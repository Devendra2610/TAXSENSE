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06/relationships/ui/userCustomization" Target="userCustomization/customUI.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server\K\Kohinoor Group\Moonstone Realinfra Pvt Ltd\Financials\FY 2025-26\Financials\Final Balance sheet\"/>
    </mc:Choice>
  </mc:AlternateContent>
  <bookViews>
    <workbookView xWindow="-120" yWindow="-120" windowWidth="20730" windowHeight="11160" tabRatio="940" firstSheet="1" activeTab="6"/>
  </bookViews>
  <sheets>
    <sheet name="Observation" sheetId="1" state="hidden" r:id="rId1"/>
    <sheet name="BS" sheetId="2" r:id="rId2"/>
    <sheet name="PL" sheetId="3" r:id="rId3"/>
    <sheet name="Cashflow" sheetId="16" r:id="rId4"/>
    <sheet name="Sheet1 (2)" sheetId="15" state="hidden" r:id="rId5"/>
    <sheet name="WIP Final" sheetId="4" r:id="rId6"/>
    <sheet name="Notes" sheetId="6" r:id="rId7"/>
    <sheet name="ESC" sheetId="5" r:id="rId8"/>
    <sheet name="Note-4" sheetId="14" r:id="rId9"/>
    <sheet name="Dep &amp; DTA DTL" sheetId="7" r:id="rId10"/>
    <sheet name="Customer Reco details" sheetId="17" r:id="rId11"/>
    <sheet name="Customer" sheetId="9" state="hidden" r:id="rId12"/>
    <sheet name="SAP Cross Check" sheetId="10" r:id="rId13"/>
    <sheet name="Raw TB_26.04.2026 (SAP Paste)" sheetId="11" r:id="rId14"/>
    <sheet name="TB_31.03.2026 (Links)" sheetId="13" r:id="rId15"/>
    <sheet name="TB" sheetId="18" r:id="rId16"/>
  </sheets>
  <externalReferences>
    <externalReference r:id="rId17"/>
    <externalReference r:id="rId18"/>
  </externalReferences>
  <definedNames>
    <definedName name="_xlnm._FilterDatabase" localSheetId="6" hidden="1">Notes!$A$1:$G$4</definedName>
    <definedName name="_xlnm._FilterDatabase" localSheetId="13" hidden="1">'Raw TB_26.04.2026 (SAP Paste)'!$A$5:$S$208</definedName>
    <definedName name="_xlnm._FilterDatabase" localSheetId="15" hidden="1">TB!$A$3:$H$202</definedName>
    <definedName name="_xlnm._FilterDatabase" localSheetId="14" hidden="1">'TB_31.03.2026 (Links)'!$A$4:$J$207</definedName>
    <definedName name="_xlnm._FilterDatabase" localSheetId="5" hidden="1">'WIP Final'!$A$210:$J$273</definedName>
    <definedName name="_xlnm.Print_Area" localSheetId="1">BS!$A$2:$I$70</definedName>
    <definedName name="_xlnm.Print_Area" localSheetId="9">'Dep &amp; DTA DTL'!$B$1:$M$36</definedName>
    <definedName name="_xlnm.Print_Area" localSheetId="7">ESC!$A$1:$E$48</definedName>
    <definedName name="_xlnm.Print_Area" localSheetId="8">'Note-4'!$A$1:$F$21</definedName>
    <definedName name="_xlnm.Print_Area" localSheetId="6">Notes!$A$1:$G$298</definedName>
    <definedName name="_xlnm.Print_Area" localSheetId="2">PL!$A$2:$J$67</definedName>
    <definedName name="Z_25A74BDD_8752_452A_A89B_2AC1567C9ED7_.wvu.FilterData" localSheetId="5" hidden="1">'WIP Final'!$A$210:$J$271</definedName>
    <definedName name="Z_7AC0F4D5_87A1_4003_807A_DCBC3CADBBD0_.wvu.FilterData" localSheetId="13" hidden="1">'Raw TB_26.04.2026 (SAP Paste)'!$A$5:$L$207</definedName>
    <definedName name="Z_7AC0F4D5_87A1_4003_807A_DCBC3CADBBD0_.wvu.FilterData" localSheetId="14" hidden="1">'TB_31.03.2026 (Links)'!$A$4:$H$206</definedName>
    <definedName name="Z_8C4DF1F4_EAB1_489E_8362_1E2D3E732D13_.wvu.Cols" localSheetId="2" hidden="1">PL!#REF!,PL!#REF!,PL!#REF!</definedName>
    <definedName name="Z_8C4DF1F4_EAB1_489E_8362_1E2D3E732D13_.wvu.FilterData" localSheetId="13" hidden="1">'Raw TB_26.04.2026 (SAP Paste)'!$A$5:$L$207</definedName>
    <definedName name="Z_8C4DF1F4_EAB1_489E_8362_1E2D3E732D13_.wvu.FilterData" localSheetId="14" hidden="1">'TB_31.03.2026 (Links)'!$A$4:$H$206</definedName>
    <definedName name="Z_8C4DF1F4_EAB1_489E_8362_1E2D3E732D13_.wvu.FilterData" localSheetId="5" hidden="1">'WIP Final'!$A$210:$J$271</definedName>
    <definedName name="Z_8C4DF1F4_EAB1_489E_8362_1E2D3E732D13_.wvu.PrintArea" localSheetId="1" hidden="1">BS!$A$2:$I$70</definedName>
    <definedName name="Z_8C4DF1F4_EAB1_489E_8362_1E2D3E732D13_.wvu.PrintArea" localSheetId="9" hidden="1">'Dep &amp; DTA DTL'!$B$1:$M$36</definedName>
    <definedName name="Z_8C4DF1F4_EAB1_489E_8362_1E2D3E732D13_.wvu.PrintArea" localSheetId="7" hidden="1">ESC!$A$1:$E$48</definedName>
    <definedName name="Z_8C4DF1F4_EAB1_489E_8362_1E2D3E732D13_.wvu.PrintArea" localSheetId="6" hidden="1">Notes!$A$1:$G$298</definedName>
    <definedName name="Z_8C4DF1F4_EAB1_489E_8362_1E2D3E732D13_.wvu.PrintArea" localSheetId="2" hidden="1">PL!$A$2:$J$67</definedName>
    <definedName name="Z_8C4DF1F4_EAB1_489E_8362_1E2D3E732D13_.wvu.Rows" localSheetId="7" hidden="1">ESC!$49:$60</definedName>
    <definedName name="Z_B8A679C5_B961_4392_BACF_6DDFA7297AAE_.wvu.Cols" localSheetId="2" hidden="1">PL!#REF!,PL!#REF!,PL!#REF!</definedName>
    <definedName name="Z_B8A679C5_B961_4392_BACF_6DDFA7297AAE_.wvu.FilterData" localSheetId="13" hidden="1">'Raw TB_26.04.2026 (SAP Paste)'!$A$5:$L$207</definedName>
    <definedName name="Z_B8A679C5_B961_4392_BACF_6DDFA7297AAE_.wvu.FilterData" localSheetId="14" hidden="1">'TB_31.03.2026 (Links)'!$A$4:$H$206</definedName>
    <definedName name="Z_B8A679C5_B961_4392_BACF_6DDFA7297AAE_.wvu.FilterData" localSheetId="5" hidden="1">'WIP Final'!$A$210:$J$271</definedName>
    <definedName name="Z_B8A679C5_B961_4392_BACF_6DDFA7297AAE_.wvu.PrintArea" localSheetId="1" hidden="1">BS!$A$2:$I$70</definedName>
    <definedName name="Z_B8A679C5_B961_4392_BACF_6DDFA7297AAE_.wvu.PrintArea" localSheetId="9" hidden="1">'Dep &amp; DTA DTL'!$B$1:$M$36</definedName>
    <definedName name="Z_B8A679C5_B961_4392_BACF_6DDFA7297AAE_.wvu.PrintArea" localSheetId="7" hidden="1">ESC!$A$1:$E$48</definedName>
    <definedName name="Z_B8A679C5_B961_4392_BACF_6DDFA7297AAE_.wvu.PrintArea" localSheetId="6" hidden="1">Notes!$A$1:$G$298</definedName>
    <definedName name="Z_B8A679C5_B961_4392_BACF_6DDFA7297AAE_.wvu.PrintArea" localSheetId="2" hidden="1">PL!$A$2:$J$67</definedName>
    <definedName name="Z_B8A679C5_B961_4392_BACF_6DDFA7297AAE_.wvu.Rows" localSheetId="7" hidden="1">ESC!$49:$60</definedName>
    <definedName name="Z_DEA14913_9729_4C6C_B479_A92A59FB4580_.wvu.Cols" localSheetId="2" hidden="1">PL!#REF!,PL!#REF!,PL!#REF!</definedName>
    <definedName name="Z_DEA14913_9729_4C6C_B479_A92A59FB4580_.wvu.FilterData" localSheetId="13" hidden="1">'Raw TB_26.04.2026 (SAP Paste)'!$A$5:$L$207</definedName>
    <definedName name="Z_DEA14913_9729_4C6C_B479_A92A59FB4580_.wvu.FilterData" localSheetId="14" hidden="1">'TB_31.03.2026 (Links)'!$A$4:$H$206</definedName>
    <definedName name="Z_DEA14913_9729_4C6C_B479_A92A59FB4580_.wvu.FilterData" localSheetId="5" hidden="1">'WIP Final'!$A$210:$J$271</definedName>
    <definedName name="Z_DEA14913_9729_4C6C_B479_A92A59FB4580_.wvu.PrintArea" localSheetId="1" hidden="1">BS!$A$2:$I$70</definedName>
    <definedName name="Z_DEA14913_9729_4C6C_B479_A92A59FB4580_.wvu.PrintArea" localSheetId="9" hidden="1">'Dep &amp; DTA DTL'!$B$1:$M$36</definedName>
    <definedName name="Z_DEA14913_9729_4C6C_B479_A92A59FB4580_.wvu.PrintArea" localSheetId="7" hidden="1">ESC!$A$1:$E$48</definedName>
    <definedName name="Z_DEA14913_9729_4C6C_B479_A92A59FB4580_.wvu.PrintArea" localSheetId="6" hidden="1">Notes!$A$1:$G$298</definedName>
    <definedName name="Z_DEA14913_9729_4C6C_B479_A92A59FB4580_.wvu.PrintArea" localSheetId="2" hidden="1">PL!$A$2:$J$67</definedName>
    <definedName name="Z_DEA14913_9729_4C6C_B479_A92A59FB4580_.wvu.Rows" localSheetId="7" hidden="1">ESC!$49:$60</definedName>
    <definedName name="Z_E127DCAD_200D_4FFF_82E0_B379967A8081_.wvu.FilterData" localSheetId="13" hidden="1">'Raw TB_26.04.2026 (SAP Paste)'!$A$5:$L$207</definedName>
  </definedNames>
  <calcPr calcId="191029"/>
  <customWorkbookViews>
    <customWorkbookView name="admin - Personal View" guid="{B8A679C5-B961-4392-BACF-6DDFA7297AAE}" mergeInterval="0" personalView="1" maximized="1" xWindow="-8" yWindow="-8" windowWidth="1936" windowHeight="1056" tabRatio="742" activeSheetId="4"/>
    <customWorkbookView name="Audit - Personal View" guid="{DEA14913-9729-4C6C-B479-A92A59FB4580}" mergeInterval="0" personalView="1" maximized="1" xWindow="-11" yWindow="-11" windowWidth="1942" windowHeight="1030" tabRatio="742" activeSheetId="6"/>
    <customWorkbookView name="Akshay Jagtap - Personal View" guid="{8C4DF1F4-EAB1-489E-8362-1E2D3E732D13}" mergeInterval="0" personalView="1" maximized="1" xWindow="-11" yWindow="-11" windowWidth="1942" windowHeight="1030" tabRatio="742" activeSheetId="17"/>
  </customWorkbookViews>
  <pivotCaches>
    <pivotCache cacheId="0" r:id="rId19"/>
    <pivotCache cacheId="1" r:id="rId2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1" i="6" l="1"/>
  <c r="C61" i="6"/>
  <c r="B61" i="6"/>
  <c r="I43" i="2"/>
  <c r="A98" i="6"/>
  <c r="C91" i="6"/>
  <c r="G91" i="6"/>
  <c r="D61" i="16"/>
  <c r="C61" i="16"/>
  <c r="E19" i="6"/>
  <c r="C19" i="6"/>
  <c r="B19" i="6"/>
  <c r="G17" i="6"/>
  <c r="G19" i="6" s="1"/>
  <c r="I19" i="2" s="1"/>
  <c r="G171" i="6"/>
  <c r="D171" i="6"/>
  <c r="F171" i="6" s="1"/>
  <c r="B42" i="6"/>
  <c r="C42" i="6"/>
  <c r="A17" i="6"/>
  <c r="G19" i="2" l="1"/>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72" i="13"/>
  <c r="I73" i="13"/>
  <c r="I74" i="13"/>
  <c r="I75" i="13"/>
  <c r="I76" i="13"/>
  <c r="I77" i="13"/>
  <c r="I78" i="13"/>
  <c r="I79" i="13"/>
  <c r="I80" i="13"/>
  <c r="I81" i="13"/>
  <c r="I82" i="13"/>
  <c r="I83" i="13"/>
  <c r="I84" i="13"/>
  <c r="I85" i="13"/>
  <c r="I86" i="13"/>
  <c r="I87" i="13"/>
  <c r="I88" i="13"/>
  <c r="I89" i="13"/>
  <c r="I90" i="13"/>
  <c r="I91" i="13"/>
  <c r="I92" i="13"/>
  <c r="I93" i="13"/>
  <c r="I94" i="13"/>
  <c r="I95" i="13"/>
  <c r="I96" i="13"/>
  <c r="I97" i="13"/>
  <c r="I98" i="13"/>
  <c r="I99" i="13"/>
  <c r="I100" i="13"/>
  <c r="I101" i="13"/>
  <c r="I102" i="13"/>
  <c r="I103" i="13"/>
  <c r="I104" i="13"/>
  <c r="I105" i="13"/>
  <c r="I106" i="13"/>
  <c r="I107" i="13"/>
  <c r="I108" i="13"/>
  <c r="I109" i="13"/>
  <c r="I110" i="13"/>
  <c r="I111" i="13"/>
  <c r="I112" i="13"/>
  <c r="I113" i="13"/>
  <c r="I114" i="13"/>
  <c r="I115" i="13"/>
  <c r="I116" i="13"/>
  <c r="I117" i="13"/>
  <c r="I118" i="13"/>
  <c r="I119" i="13"/>
  <c r="I120" i="13"/>
  <c r="I121" i="13"/>
  <c r="I122" i="13"/>
  <c r="I123" i="13"/>
  <c r="I124" i="13"/>
  <c r="I125" i="13"/>
  <c r="I126" i="13"/>
  <c r="I127" i="13"/>
  <c r="I128" i="13"/>
  <c r="I129" i="13"/>
  <c r="I130" i="13"/>
  <c r="I131" i="13"/>
  <c r="I132" i="13"/>
  <c r="I133" i="13"/>
  <c r="I134" i="13"/>
  <c r="I135" i="13"/>
  <c r="I136" i="13"/>
  <c r="I137" i="13"/>
  <c r="I138" i="13"/>
  <c r="I139" i="13"/>
  <c r="I140" i="13"/>
  <c r="I141" i="13"/>
  <c r="I142" i="13"/>
  <c r="I143" i="13"/>
  <c r="I144" i="13"/>
  <c r="I145" i="13"/>
  <c r="I146" i="13"/>
  <c r="I147" i="13"/>
  <c r="I148" i="13"/>
  <c r="I149" i="13"/>
  <c r="I150" i="13"/>
  <c r="I151" i="13"/>
  <c r="I152" i="13"/>
  <c r="I153" i="13"/>
  <c r="I154" i="13"/>
  <c r="I155" i="13"/>
  <c r="I156" i="13"/>
  <c r="I157" i="13"/>
  <c r="I158" i="13"/>
  <c r="I159" i="13"/>
  <c r="I160" i="13"/>
  <c r="I161" i="13"/>
  <c r="I162" i="13"/>
  <c r="I163" i="13"/>
  <c r="I164" i="13"/>
  <c r="I165" i="13"/>
  <c r="I166" i="13"/>
  <c r="I167" i="13"/>
  <c r="I168" i="13"/>
  <c r="I169" i="13"/>
  <c r="I170" i="13"/>
  <c r="I171" i="13"/>
  <c r="I172" i="13"/>
  <c r="I173" i="13"/>
  <c r="I174" i="13"/>
  <c r="I175" i="13"/>
  <c r="I176" i="13"/>
  <c r="I177" i="13"/>
  <c r="I178" i="13"/>
  <c r="I179" i="13"/>
  <c r="I180" i="13"/>
  <c r="I181" i="13"/>
  <c r="I182" i="13"/>
  <c r="I183" i="13"/>
  <c r="I184" i="13"/>
  <c r="I185" i="13"/>
  <c r="I186" i="13"/>
  <c r="I187" i="13"/>
  <c r="I188" i="13"/>
  <c r="I189" i="13"/>
  <c r="I190" i="13"/>
  <c r="I191" i="13"/>
  <c r="I192" i="13"/>
  <c r="I193" i="13"/>
  <c r="I199" i="13"/>
  <c r="I200" i="13"/>
  <c r="I201" i="13"/>
  <c r="I202" i="13"/>
  <c r="I203" i="13"/>
  <c r="J203" i="13" s="1"/>
  <c r="I204" i="13"/>
  <c r="J204" i="13" s="1"/>
  <c r="I205" i="13"/>
  <c r="J205" i="13" s="1"/>
  <c r="I206" i="13"/>
  <c r="J206" i="13" s="1"/>
  <c r="I207" i="13"/>
  <c r="J207" i="13" s="1"/>
  <c r="O18" i="14"/>
  <c r="L18" i="14"/>
  <c r="P17" i="14"/>
  <c r="P18" i="14" s="1"/>
  <c r="R16" i="14"/>
  <c r="E207" i="13"/>
  <c r="F204" i="13"/>
  <c r="F203" i="13"/>
  <c r="E202" i="13"/>
  <c r="E203" i="13"/>
  <c r="E204" i="13"/>
  <c r="E205" i="13"/>
  <c r="E206" i="13"/>
  <c r="R7" i="11"/>
  <c r="S7" i="11" s="1"/>
  <c r="R8" i="11"/>
  <c r="S8" i="11" s="1"/>
  <c r="R9" i="11"/>
  <c r="S9" i="11" s="1"/>
  <c r="R10" i="11"/>
  <c r="S10" i="11" s="1"/>
  <c r="R11" i="11"/>
  <c r="S11" i="11" s="1"/>
  <c r="R12" i="11"/>
  <c r="S12" i="11" s="1"/>
  <c r="R13" i="11"/>
  <c r="S13" i="11" s="1"/>
  <c r="R14" i="11"/>
  <c r="S14" i="11" s="1"/>
  <c r="R15" i="11"/>
  <c r="S15" i="11" s="1"/>
  <c r="R16" i="11"/>
  <c r="S16" i="11" s="1"/>
  <c r="R17" i="11"/>
  <c r="S17" i="11" s="1"/>
  <c r="R18" i="11"/>
  <c r="S18" i="11" s="1"/>
  <c r="R19" i="11"/>
  <c r="S19" i="11" s="1"/>
  <c r="R20" i="11"/>
  <c r="S20" i="11" s="1"/>
  <c r="R21" i="11"/>
  <c r="S21" i="11" s="1"/>
  <c r="R22" i="11"/>
  <c r="S22" i="11" s="1"/>
  <c r="R23" i="11"/>
  <c r="S23" i="11" s="1"/>
  <c r="R24" i="11"/>
  <c r="S24" i="11" s="1"/>
  <c r="R25" i="11"/>
  <c r="S25" i="11" s="1"/>
  <c r="R26" i="11"/>
  <c r="S26" i="11" s="1"/>
  <c r="R27" i="11"/>
  <c r="S27" i="11" s="1"/>
  <c r="R28" i="11"/>
  <c r="S28" i="11" s="1"/>
  <c r="R29" i="11"/>
  <c r="S29" i="11" s="1"/>
  <c r="R30" i="11"/>
  <c r="S30" i="11" s="1"/>
  <c r="R31" i="11"/>
  <c r="S31" i="11" s="1"/>
  <c r="R32" i="11"/>
  <c r="S32" i="11" s="1"/>
  <c r="R33" i="11"/>
  <c r="S33" i="11" s="1"/>
  <c r="R34" i="11"/>
  <c r="S34" i="11" s="1"/>
  <c r="R35" i="11"/>
  <c r="S35" i="11" s="1"/>
  <c r="R36" i="11"/>
  <c r="S36" i="11" s="1"/>
  <c r="R37" i="11"/>
  <c r="S37" i="11" s="1"/>
  <c r="R38" i="11"/>
  <c r="S38" i="11" s="1"/>
  <c r="R39" i="11"/>
  <c r="S39" i="11" s="1"/>
  <c r="R40" i="11"/>
  <c r="S40" i="11" s="1"/>
  <c r="R41" i="11"/>
  <c r="S41" i="11" s="1"/>
  <c r="R42" i="11"/>
  <c r="S42" i="11" s="1"/>
  <c r="R43" i="11"/>
  <c r="S43" i="11" s="1"/>
  <c r="R44" i="11"/>
  <c r="R45" i="11"/>
  <c r="S45" i="11" s="1"/>
  <c r="R46" i="11"/>
  <c r="S46" i="11" s="1"/>
  <c r="R47" i="11"/>
  <c r="S47" i="11" s="1"/>
  <c r="R48" i="11"/>
  <c r="S48" i="11" s="1"/>
  <c r="R49" i="11"/>
  <c r="S49" i="11" s="1"/>
  <c r="R50" i="11"/>
  <c r="S50" i="11" s="1"/>
  <c r="R51" i="11"/>
  <c r="S51" i="11" s="1"/>
  <c r="R52" i="11"/>
  <c r="S52" i="11" s="1"/>
  <c r="R53" i="11"/>
  <c r="S53" i="11" s="1"/>
  <c r="R54" i="11"/>
  <c r="S54" i="11" s="1"/>
  <c r="R55" i="11"/>
  <c r="S55" i="11" s="1"/>
  <c r="R56" i="11"/>
  <c r="S56" i="11" s="1"/>
  <c r="R57" i="11"/>
  <c r="S57" i="11" s="1"/>
  <c r="R58" i="11"/>
  <c r="S58" i="11" s="1"/>
  <c r="R59" i="11"/>
  <c r="S59" i="11" s="1"/>
  <c r="R60" i="11"/>
  <c r="S60" i="11" s="1"/>
  <c r="R61" i="11"/>
  <c r="S61" i="11" s="1"/>
  <c r="R62" i="11"/>
  <c r="S62" i="11" s="1"/>
  <c r="R63" i="11"/>
  <c r="S63" i="11" s="1"/>
  <c r="R64" i="11"/>
  <c r="S64" i="11" s="1"/>
  <c r="R65" i="11"/>
  <c r="S65" i="11" s="1"/>
  <c r="R66" i="11"/>
  <c r="S66" i="11" s="1"/>
  <c r="R67" i="11"/>
  <c r="S67" i="11" s="1"/>
  <c r="R68" i="11"/>
  <c r="R69" i="11"/>
  <c r="S69" i="11" s="1"/>
  <c r="R70" i="11"/>
  <c r="S70" i="11" s="1"/>
  <c r="R71" i="11"/>
  <c r="S71" i="11" s="1"/>
  <c r="R72" i="11"/>
  <c r="S72" i="11" s="1"/>
  <c r="R73" i="11"/>
  <c r="S73" i="11" s="1"/>
  <c r="R74" i="11"/>
  <c r="S74" i="11" s="1"/>
  <c r="R75" i="11"/>
  <c r="S75" i="11" s="1"/>
  <c r="R76" i="11"/>
  <c r="S76" i="11" s="1"/>
  <c r="R77" i="11"/>
  <c r="S77" i="11" s="1"/>
  <c r="R78" i="11"/>
  <c r="S78" i="11" s="1"/>
  <c r="R79" i="11"/>
  <c r="S79" i="11" s="1"/>
  <c r="R80" i="11"/>
  <c r="S80" i="11" s="1"/>
  <c r="R81" i="11"/>
  <c r="S81" i="11" s="1"/>
  <c r="R82" i="11"/>
  <c r="S82" i="11" s="1"/>
  <c r="R83" i="11"/>
  <c r="S83" i="11" s="1"/>
  <c r="R84" i="11"/>
  <c r="S84" i="11" s="1"/>
  <c r="R85" i="11"/>
  <c r="S85" i="11" s="1"/>
  <c r="R86" i="11"/>
  <c r="S86" i="11" s="1"/>
  <c r="R87" i="11"/>
  <c r="S87" i="11" s="1"/>
  <c r="R88" i="11"/>
  <c r="S88" i="11" s="1"/>
  <c r="R89" i="11"/>
  <c r="S89" i="11" s="1"/>
  <c r="R90" i="11"/>
  <c r="S90" i="11" s="1"/>
  <c r="R91" i="11"/>
  <c r="S91" i="11" s="1"/>
  <c r="R92" i="11"/>
  <c r="S92" i="11" s="1"/>
  <c r="R93" i="11"/>
  <c r="S93" i="11" s="1"/>
  <c r="R94" i="11"/>
  <c r="R95" i="11"/>
  <c r="S95" i="11" s="1"/>
  <c r="R96" i="11"/>
  <c r="S96" i="11" s="1"/>
  <c r="R97" i="11"/>
  <c r="S97" i="11" s="1"/>
  <c r="R98" i="11"/>
  <c r="S98" i="11" s="1"/>
  <c r="R99" i="11"/>
  <c r="S99" i="11" s="1"/>
  <c r="R100" i="11"/>
  <c r="S100" i="11" s="1"/>
  <c r="R101" i="11"/>
  <c r="S101" i="11" s="1"/>
  <c r="R102" i="11"/>
  <c r="S102" i="11" s="1"/>
  <c r="R103" i="11"/>
  <c r="S103" i="11" s="1"/>
  <c r="R104" i="11"/>
  <c r="S104" i="11" s="1"/>
  <c r="R105" i="11"/>
  <c r="S105" i="11" s="1"/>
  <c r="R106" i="11"/>
  <c r="S106" i="11" s="1"/>
  <c r="R107" i="11"/>
  <c r="S107" i="11" s="1"/>
  <c r="R108" i="11"/>
  <c r="S108" i="11" s="1"/>
  <c r="R109" i="11"/>
  <c r="S109" i="11" s="1"/>
  <c r="R110" i="11"/>
  <c r="S110" i="11" s="1"/>
  <c r="R111" i="11"/>
  <c r="S111" i="11" s="1"/>
  <c r="R112" i="11"/>
  <c r="S112" i="11" s="1"/>
  <c r="R113" i="11"/>
  <c r="S113" i="11" s="1"/>
  <c r="R114" i="11"/>
  <c r="S114" i="11" s="1"/>
  <c r="R115" i="11"/>
  <c r="S115" i="11" s="1"/>
  <c r="R116" i="11"/>
  <c r="S116" i="11" s="1"/>
  <c r="R117" i="11"/>
  <c r="S117" i="11" s="1"/>
  <c r="R118" i="11"/>
  <c r="S118" i="11" s="1"/>
  <c r="R119" i="11"/>
  <c r="S119" i="11" s="1"/>
  <c r="R120" i="11"/>
  <c r="S120" i="11" s="1"/>
  <c r="R121" i="11"/>
  <c r="S121" i="11" s="1"/>
  <c r="R122" i="11"/>
  <c r="S122" i="11" s="1"/>
  <c r="R123" i="11"/>
  <c r="S123" i="11" s="1"/>
  <c r="R124" i="11"/>
  <c r="S124" i="11" s="1"/>
  <c r="R125" i="11"/>
  <c r="S125" i="11" s="1"/>
  <c r="R126" i="11"/>
  <c r="S126" i="11" s="1"/>
  <c r="R127" i="11"/>
  <c r="S127" i="11" s="1"/>
  <c r="R128" i="11"/>
  <c r="S128" i="11" s="1"/>
  <c r="R129" i="11"/>
  <c r="S129" i="11" s="1"/>
  <c r="R130" i="11"/>
  <c r="S130" i="11" s="1"/>
  <c r="R131" i="11"/>
  <c r="S131" i="11" s="1"/>
  <c r="R132" i="11"/>
  <c r="S132" i="11" s="1"/>
  <c r="R133" i="11"/>
  <c r="S133" i="11" s="1"/>
  <c r="R134" i="11"/>
  <c r="S134" i="11" s="1"/>
  <c r="R135" i="11"/>
  <c r="S135" i="11" s="1"/>
  <c r="R136" i="11"/>
  <c r="S136" i="11" s="1"/>
  <c r="R137" i="11"/>
  <c r="S137" i="11" s="1"/>
  <c r="R138" i="11"/>
  <c r="S138" i="11" s="1"/>
  <c r="R139" i="11"/>
  <c r="S139" i="11" s="1"/>
  <c r="R140" i="11"/>
  <c r="S140" i="11" s="1"/>
  <c r="R141" i="11"/>
  <c r="S141" i="11" s="1"/>
  <c r="R142" i="11"/>
  <c r="S142" i="11" s="1"/>
  <c r="R143" i="11"/>
  <c r="R144" i="11"/>
  <c r="S144" i="11" s="1"/>
  <c r="R145" i="11"/>
  <c r="S145" i="11" s="1"/>
  <c r="R146" i="11"/>
  <c r="S146" i="11" s="1"/>
  <c r="R147" i="11"/>
  <c r="S147" i="11" s="1"/>
  <c r="R148" i="11"/>
  <c r="S148" i="11" s="1"/>
  <c r="R149" i="11"/>
  <c r="S149" i="11" s="1"/>
  <c r="R150" i="11"/>
  <c r="S150" i="11" s="1"/>
  <c r="R151" i="11"/>
  <c r="S151" i="11" s="1"/>
  <c r="R152" i="11"/>
  <c r="S152" i="11" s="1"/>
  <c r="R153" i="11"/>
  <c r="S153" i="11" s="1"/>
  <c r="R154" i="11"/>
  <c r="S154" i="11" s="1"/>
  <c r="R155" i="11"/>
  <c r="S155" i="11" s="1"/>
  <c r="R156" i="11"/>
  <c r="S156" i="11" s="1"/>
  <c r="R157" i="11"/>
  <c r="S157" i="11" s="1"/>
  <c r="R158" i="11"/>
  <c r="S158" i="11" s="1"/>
  <c r="R159" i="11"/>
  <c r="S159" i="11" s="1"/>
  <c r="R160" i="11"/>
  <c r="S160" i="11" s="1"/>
  <c r="R161" i="11"/>
  <c r="S161" i="11" s="1"/>
  <c r="R162" i="11"/>
  <c r="S162" i="11" s="1"/>
  <c r="R163" i="11"/>
  <c r="S163" i="11" s="1"/>
  <c r="R164" i="11"/>
  <c r="S164" i="11" s="1"/>
  <c r="R165" i="11"/>
  <c r="S165" i="11" s="1"/>
  <c r="R166" i="11"/>
  <c r="S166" i="11" s="1"/>
  <c r="R167" i="11"/>
  <c r="S167" i="11" s="1"/>
  <c r="R168" i="11"/>
  <c r="S168" i="11" s="1"/>
  <c r="R169" i="11"/>
  <c r="S169" i="11" s="1"/>
  <c r="R170" i="11"/>
  <c r="S170" i="11" s="1"/>
  <c r="R171" i="11"/>
  <c r="S171" i="11" s="1"/>
  <c r="R172" i="11"/>
  <c r="S172" i="11" s="1"/>
  <c r="R173" i="11"/>
  <c r="S173" i="11" s="1"/>
  <c r="R174" i="11"/>
  <c r="S174" i="11" s="1"/>
  <c r="R175" i="11"/>
  <c r="S175" i="11" s="1"/>
  <c r="R176" i="11"/>
  <c r="S176" i="11" s="1"/>
  <c r="R177" i="11"/>
  <c r="R178" i="11"/>
  <c r="R179" i="11"/>
  <c r="S179" i="11" s="1"/>
  <c r="R180" i="11"/>
  <c r="S180" i="11" s="1"/>
  <c r="R181" i="11"/>
  <c r="S181" i="11" s="1"/>
  <c r="R182" i="11"/>
  <c r="S182" i="11" s="1"/>
  <c r="R183" i="11"/>
  <c r="S183" i="11" s="1"/>
  <c r="R184" i="11"/>
  <c r="S184" i="11" s="1"/>
  <c r="R185" i="11"/>
  <c r="S185" i="11" s="1"/>
  <c r="R186" i="11"/>
  <c r="S186" i="11" s="1"/>
  <c r="R187" i="11"/>
  <c r="S187" i="11" s="1"/>
  <c r="R188" i="11"/>
  <c r="S188" i="11" s="1"/>
  <c r="R189" i="11"/>
  <c r="S189" i="11" s="1"/>
  <c r="R190" i="11"/>
  <c r="S190" i="11" s="1"/>
  <c r="R191" i="11"/>
  <c r="S191" i="11" s="1"/>
  <c r="R192" i="11"/>
  <c r="S192" i="11" s="1"/>
  <c r="R193" i="11"/>
  <c r="S193" i="11" s="1"/>
  <c r="R194" i="11"/>
  <c r="S194" i="11" s="1"/>
  <c r="R195" i="11"/>
  <c r="S195" i="11" s="1"/>
  <c r="R196" i="11"/>
  <c r="S196" i="11" s="1"/>
  <c r="R197" i="11"/>
  <c r="S197" i="11" s="1"/>
  <c r="R198" i="11"/>
  <c r="S198" i="11" s="1"/>
  <c r="R199" i="11"/>
  <c r="S199" i="11" s="1"/>
  <c r="R200" i="11"/>
  <c r="R201" i="11"/>
  <c r="S201" i="11" s="1"/>
  <c r="R202" i="11"/>
  <c r="S202" i="11" s="1"/>
  <c r="R203" i="11"/>
  <c r="S203" i="11" s="1"/>
  <c r="R204" i="11"/>
  <c r="S204" i="11" s="1"/>
  <c r="R205" i="11"/>
  <c r="S205" i="11" s="1"/>
  <c r="R206" i="11"/>
  <c r="S206" i="11" s="1"/>
  <c r="R207" i="11"/>
  <c r="S207" i="11" s="1"/>
  <c r="R6" i="11"/>
  <c r="S6" i="11" s="1"/>
  <c r="D37" i="3"/>
  <c r="D20" i="3"/>
  <c r="C43" i="2"/>
  <c r="C240" i="6"/>
  <c r="B240" i="6"/>
  <c r="C297" i="6"/>
  <c r="B297" i="6"/>
  <c r="G238" i="6"/>
  <c r="G235" i="6"/>
  <c r="D209" i="4"/>
  <c r="R17" i="14" l="1"/>
  <c r="I3" i="13"/>
  <c r="G74" i="6"/>
  <c r="I36" i="3"/>
  <c r="L49" i="6"/>
  <c r="N49" i="6"/>
  <c r="D33" i="16"/>
  <c r="D74" i="6" l="1"/>
  <c r="F74" i="6" s="1"/>
  <c r="J71" i="6" s="1"/>
  <c r="A5" i="17"/>
  <c r="A6" i="17" s="1"/>
  <c r="A7" i="17" s="1"/>
  <c r="A8" i="17" s="1"/>
  <c r="A9" i="17" s="1"/>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A115" i="17" s="1"/>
  <c r="A116" i="17" s="1"/>
  <c r="A117" i="17" s="1"/>
  <c r="A118" i="17" s="1"/>
  <c r="A119" i="17" s="1"/>
  <c r="A120" i="17" s="1"/>
  <c r="A121" i="17" s="1"/>
  <c r="A122" i="17" s="1"/>
  <c r="A123" i="17" s="1"/>
  <c r="A124" i="17" s="1"/>
  <c r="A125" i="17" s="1"/>
  <c r="A126" i="17" s="1"/>
  <c r="A127" i="17" s="1"/>
  <c r="A128" i="17" s="1"/>
  <c r="A129" i="17" s="1"/>
  <c r="A130" i="17" s="1"/>
  <c r="A131" i="17" s="1"/>
  <c r="A132" i="17" s="1"/>
  <c r="A133" i="17" s="1"/>
  <c r="A134" i="17" s="1"/>
  <c r="A135" i="17" s="1"/>
  <c r="A136" i="17" s="1"/>
  <c r="A137" i="17" s="1"/>
  <c r="A138" i="17" s="1"/>
  <c r="A139" i="17" s="1"/>
  <c r="A140" i="17" s="1"/>
  <c r="A141" i="17" s="1"/>
  <c r="A142" i="17" s="1"/>
  <c r="A143" i="17" s="1"/>
  <c r="A144" i="17" s="1"/>
  <c r="A145" i="17" s="1"/>
  <c r="A146" i="17" s="1"/>
  <c r="A147" i="17" s="1"/>
  <c r="A148" i="17" s="1"/>
  <c r="A149" i="17" s="1"/>
  <c r="A150" i="17" s="1"/>
  <c r="A151" i="17" s="1"/>
  <c r="A152" i="17" s="1"/>
  <c r="A153" i="17" s="1"/>
  <c r="A154" i="17" s="1"/>
  <c r="A155" i="17" s="1"/>
  <c r="A156" i="17" s="1"/>
  <c r="A157" i="17" s="1"/>
  <c r="A158" i="17" s="1"/>
  <c r="A159" i="17" s="1"/>
  <c r="A160" i="17" s="1"/>
  <c r="A161" i="17" s="1"/>
  <c r="A162" i="17" s="1"/>
  <c r="A163" i="17" s="1"/>
  <c r="A164" i="17" s="1"/>
  <c r="A165" i="17" s="1"/>
  <c r="A166" i="17" s="1"/>
  <c r="A167" i="17" s="1"/>
  <c r="A168" i="17" s="1"/>
  <c r="A169" i="17" s="1"/>
  <c r="A170" i="17" s="1"/>
  <c r="A171" i="17" s="1"/>
  <c r="A172" i="17" s="1"/>
  <c r="A173" i="17" s="1"/>
  <c r="A174" i="17" s="1"/>
  <c r="A175" i="17" s="1"/>
  <c r="A176" i="17" s="1"/>
  <c r="A177" i="17" s="1"/>
  <c r="A178" i="17" s="1"/>
  <c r="A179" i="17" s="1"/>
  <c r="A180" i="17" s="1"/>
  <c r="A181" i="17" s="1"/>
  <c r="A182" i="17" s="1"/>
  <c r="A183" i="17" s="1"/>
  <c r="A184" i="17" s="1"/>
  <c r="A185" i="17" s="1"/>
  <c r="A186" i="17" s="1"/>
  <c r="A187" i="17" s="1"/>
  <c r="A188" i="17" s="1"/>
  <c r="A189" i="17" s="1"/>
  <c r="A190" i="17" s="1"/>
  <c r="A191" i="17" s="1"/>
  <c r="A192" i="17" s="1"/>
  <c r="A193" i="17" s="1"/>
  <c r="A194" i="17" s="1"/>
  <c r="A195" i="17" s="1"/>
  <c r="A196" i="17" s="1"/>
  <c r="A197" i="17" s="1"/>
  <c r="A198" i="17" s="1"/>
  <c r="A199" i="17" s="1"/>
  <c r="A200" i="17" s="1"/>
  <c r="A201" i="17" s="1"/>
  <c r="A202" i="17" s="1"/>
  <c r="A203" i="17" s="1"/>
  <c r="A204" i="17" s="1"/>
  <c r="A205" i="17" s="1"/>
  <c r="A206" i="17" s="1"/>
  <c r="A207" i="17" s="1"/>
  <c r="A208" i="17" s="1"/>
  <c r="A209" i="17" s="1"/>
  <c r="A210" i="17" s="1"/>
  <c r="A211" i="17" s="1"/>
  <c r="A212" i="17" s="1"/>
  <c r="A213" i="17" s="1"/>
  <c r="A214" i="17" s="1"/>
  <c r="A215" i="17" s="1"/>
  <c r="A216" i="17" s="1"/>
  <c r="A217" i="17" s="1"/>
  <c r="A218" i="17" s="1"/>
  <c r="A219" i="17" s="1"/>
  <c r="A220" i="17" s="1"/>
  <c r="A221" i="17" s="1"/>
  <c r="A222" i="17" s="1"/>
  <c r="A223" i="17" s="1"/>
  <c r="A224" i="17" s="1"/>
  <c r="A225" i="17" s="1"/>
  <c r="A226" i="17" s="1"/>
  <c r="A227" i="17" s="1"/>
  <c r="A228" i="17" s="1"/>
  <c r="A229" i="17" s="1"/>
  <c r="A230" i="17" s="1"/>
  <c r="A231" i="17" s="1"/>
  <c r="A232" i="17" s="1"/>
  <c r="A233" i="17" s="1"/>
  <c r="A234" i="17" s="1"/>
  <c r="A235" i="17" s="1"/>
  <c r="A236" i="17" s="1"/>
  <c r="A237" i="17" s="1"/>
  <c r="A238" i="17" s="1"/>
  <c r="A239" i="17" s="1"/>
  <c r="A240" i="17" s="1"/>
  <c r="A241" i="17" s="1"/>
  <c r="A242" i="17" s="1"/>
  <c r="A243" i="17" s="1"/>
  <c r="A244" i="17" s="1"/>
  <c r="A245" i="17" s="1"/>
  <c r="A246" i="17" s="1"/>
  <c r="A247" i="17" s="1"/>
  <c r="A248" i="17" s="1"/>
  <c r="A249" i="17" s="1"/>
  <c r="A250" i="17" s="1"/>
  <c r="A251" i="17" s="1"/>
  <c r="A252" i="17" s="1"/>
  <c r="A253" i="17" s="1"/>
  <c r="A254" i="17" s="1"/>
  <c r="A255" i="17" s="1"/>
  <c r="A256" i="17" s="1"/>
  <c r="A257" i="17" s="1"/>
  <c r="A258" i="17" s="1"/>
  <c r="A259" i="17" s="1"/>
  <c r="A260" i="17" s="1"/>
  <c r="A261" i="17" s="1"/>
  <c r="A262" i="17" s="1"/>
  <c r="A263" i="17" s="1"/>
  <c r="A264" i="17" s="1"/>
  <c r="A265" i="17" s="1"/>
  <c r="A266" i="17" s="1"/>
  <c r="A267" i="17" s="1"/>
  <c r="A268" i="17" s="1"/>
  <c r="A269" i="17" s="1"/>
  <c r="A270" i="17" s="1"/>
  <c r="A271" i="17" s="1"/>
  <c r="A272" i="17" s="1"/>
  <c r="A273" i="17" s="1"/>
  <c r="A274" i="17" s="1"/>
  <c r="A275" i="17" s="1"/>
  <c r="A276" i="17" s="1"/>
  <c r="A277" i="17" s="1"/>
  <c r="A278" i="17" s="1"/>
  <c r="A279" i="17" s="1"/>
  <c r="A280" i="17" s="1"/>
  <c r="A281" i="17" s="1"/>
  <c r="A282" i="17" s="1"/>
  <c r="A283" i="17" s="1"/>
  <c r="A284" i="17" s="1"/>
  <c r="A285" i="17" s="1"/>
  <c r="A286" i="17" s="1"/>
  <c r="A287" i="17" s="1"/>
  <c r="A288" i="17" s="1"/>
  <c r="A289" i="17" s="1"/>
  <c r="A290" i="17" s="1"/>
  <c r="A291" i="17" s="1"/>
  <c r="A292" i="17" s="1"/>
  <c r="A293" i="17" s="1"/>
  <c r="A294" i="17" s="1"/>
  <c r="A295" i="17" s="1"/>
  <c r="A296" i="17" s="1"/>
  <c r="A297" i="17" s="1"/>
  <c r="A298" i="17" s="1"/>
  <c r="A299" i="17" s="1"/>
  <c r="A300" i="17" s="1"/>
  <c r="A301" i="17" s="1"/>
  <c r="A302" i="17" s="1"/>
  <c r="A303" i="17" s="1"/>
  <c r="A304" i="17" s="1"/>
  <c r="A305" i="17" s="1"/>
  <c r="A306" i="17" s="1"/>
  <c r="A307" i="17" s="1"/>
  <c r="A308" i="17" s="1"/>
  <c r="A309" i="17" s="1"/>
  <c r="A310" i="17" s="1"/>
  <c r="A311" i="17" s="1"/>
  <c r="A312" i="17" s="1"/>
  <c r="A313" i="17" s="1"/>
  <c r="A314" i="17" s="1"/>
  <c r="A315" i="17" s="1"/>
  <c r="A316" i="17" s="1"/>
  <c r="A317" i="17" s="1"/>
  <c r="A318" i="17" s="1"/>
  <c r="A319" i="17" s="1"/>
  <c r="A320" i="17" s="1"/>
  <c r="A321" i="17" s="1"/>
  <c r="A322" i="17" s="1"/>
  <c r="A323" i="17" s="1"/>
  <c r="A324" i="17" s="1"/>
  <c r="A325" i="17" s="1"/>
  <c r="A326" i="17" s="1"/>
  <c r="A327" i="17" s="1"/>
  <c r="A328" i="17" s="1"/>
  <c r="A329" i="17" s="1"/>
  <c r="A330" i="17" s="1"/>
  <c r="A331" i="17" s="1"/>
  <c r="A332" i="17" s="1"/>
  <c r="A333" i="17" s="1"/>
  <c r="A334" i="17" s="1"/>
  <c r="A335" i="17" s="1"/>
  <c r="A336" i="17" s="1"/>
  <c r="A337" i="17" s="1"/>
  <c r="A338" i="17" s="1"/>
  <c r="A339" i="17" s="1"/>
  <c r="A340" i="17" s="1"/>
  <c r="A341" i="17" s="1"/>
  <c r="A342" i="17" s="1"/>
  <c r="A343" i="17" s="1"/>
  <c r="A344" i="17" s="1"/>
  <c r="A345" i="17" s="1"/>
  <c r="A346" i="17" s="1"/>
  <c r="A347" i="17" s="1"/>
  <c r="A348" i="17" s="1"/>
  <c r="A349" i="17" s="1"/>
  <c r="A350" i="17" s="1"/>
  <c r="A351" i="17" s="1"/>
  <c r="A352" i="17" s="1"/>
  <c r="A353" i="17" s="1"/>
  <c r="A354" i="17" s="1"/>
  <c r="A355" i="17" s="1"/>
  <c r="A356" i="17" s="1"/>
  <c r="A357" i="17" s="1"/>
  <c r="A358" i="17" s="1"/>
  <c r="A359" i="17" s="1"/>
  <c r="A360" i="17" s="1"/>
  <c r="A361" i="17" s="1"/>
  <c r="A362" i="17" s="1"/>
  <c r="A363" i="17" s="1"/>
  <c r="A364" i="17" s="1"/>
  <c r="A365" i="17" s="1"/>
  <c r="A366" i="17" s="1"/>
  <c r="A367" i="17" s="1"/>
  <c r="A368" i="17" s="1"/>
  <c r="A369" i="17" s="1"/>
  <c r="A370" i="17" s="1"/>
  <c r="A371" i="17" s="1"/>
  <c r="A372" i="17" s="1"/>
  <c r="A373" i="17" s="1"/>
  <c r="A374" i="17" s="1"/>
  <c r="A375" i="17" s="1"/>
  <c r="A376" i="17" s="1"/>
  <c r="A377" i="17" s="1"/>
  <c r="A378" i="17" s="1"/>
  <c r="A379" i="17" s="1"/>
  <c r="A380" i="17" s="1"/>
  <c r="A381" i="17" s="1"/>
  <c r="A382" i="17" s="1"/>
  <c r="A383" i="17" s="1"/>
  <c r="A384" i="17" s="1"/>
  <c r="A385" i="17" s="1"/>
  <c r="A386" i="17" s="1"/>
  <c r="A387" i="17" s="1"/>
  <c r="A388" i="17" s="1"/>
  <c r="A389" i="17" s="1"/>
  <c r="A390" i="17" s="1"/>
  <c r="A391" i="17" s="1"/>
  <c r="A392" i="17" s="1"/>
  <c r="A393" i="17" s="1"/>
  <c r="A394" i="17" s="1"/>
  <c r="A395" i="17" s="1"/>
  <c r="A396" i="17" s="1"/>
  <c r="A397" i="17" s="1"/>
  <c r="A398" i="17" s="1"/>
  <c r="A399" i="17" s="1"/>
  <c r="A400" i="17" s="1"/>
  <c r="A401" i="17" s="1"/>
  <c r="A402" i="17" s="1"/>
  <c r="A403" i="17" s="1"/>
  <c r="A404" i="17" s="1"/>
  <c r="A405" i="17" s="1"/>
  <c r="A406" i="17" s="1"/>
  <c r="A407" i="17" s="1"/>
  <c r="A408" i="17" s="1"/>
  <c r="A409" i="17" s="1"/>
  <c r="A410" i="17" s="1"/>
  <c r="A411" i="17" s="1"/>
  <c r="A412" i="17" s="1"/>
  <c r="A413" i="17" s="1"/>
  <c r="A414" i="17" s="1"/>
  <c r="A415" i="17" s="1"/>
  <c r="A416" i="17" s="1"/>
  <c r="A417" i="17" s="1"/>
  <c r="A418" i="17" s="1"/>
  <c r="A419" i="17" s="1"/>
  <c r="A420" i="17" s="1"/>
  <c r="A421" i="17" s="1"/>
  <c r="A422" i="17" s="1"/>
  <c r="A423" i="17" s="1"/>
  <c r="A424" i="17" s="1"/>
  <c r="A425" i="17" s="1"/>
  <c r="A426" i="17" s="1"/>
  <c r="A427" i="17" s="1"/>
  <c r="A428" i="17" s="1"/>
  <c r="A429" i="17" s="1"/>
  <c r="A430" i="17" s="1"/>
  <c r="A431" i="17" s="1"/>
  <c r="A432" i="17" s="1"/>
  <c r="A433" i="17" s="1"/>
  <c r="A434" i="17" s="1"/>
  <c r="A435" i="17" s="1"/>
  <c r="A436" i="17" s="1"/>
  <c r="A437" i="17" s="1"/>
  <c r="A438" i="17" s="1"/>
  <c r="A439" i="17" s="1"/>
  <c r="A440" i="17" s="1"/>
  <c r="A441" i="17" s="1"/>
  <c r="A442" i="17" s="1"/>
  <c r="A443" i="17" s="1"/>
  <c r="A444" i="17" s="1"/>
  <c r="A445" i="17" s="1"/>
  <c r="A446" i="17" s="1"/>
  <c r="A447" i="17" s="1"/>
  <c r="A448" i="17" s="1"/>
  <c r="A449" i="17" s="1"/>
  <c r="A450" i="17" s="1"/>
  <c r="A451" i="17" s="1"/>
  <c r="A452" i="17" s="1"/>
  <c r="A453" i="17" s="1"/>
  <c r="A454" i="17" s="1"/>
  <c r="A455" i="17" s="1"/>
  <c r="A456" i="17" s="1"/>
  <c r="A457" i="17" s="1"/>
  <c r="A458" i="17" s="1"/>
  <c r="A459" i="17" s="1"/>
  <c r="A460" i="17" s="1"/>
  <c r="A461" i="17" s="1"/>
  <c r="A462" i="17" s="1"/>
  <c r="A463" i="17" s="1"/>
  <c r="A464" i="17" s="1"/>
  <c r="A465" i="17" s="1"/>
  <c r="A466" i="17" s="1"/>
  <c r="A467" i="17" s="1"/>
  <c r="A468" i="17" s="1"/>
  <c r="A469" i="17" s="1"/>
  <c r="A470" i="17" s="1"/>
  <c r="A471" i="17" s="1"/>
  <c r="A472" i="17" s="1"/>
  <c r="A473" i="17" s="1"/>
  <c r="A474" i="17" s="1"/>
  <c r="A475" i="17" s="1"/>
  <c r="A476" i="17" s="1"/>
  <c r="A477" i="17" s="1"/>
  <c r="A478" i="17" s="1"/>
  <c r="A479" i="17" s="1"/>
  <c r="A480" i="17" s="1"/>
  <c r="A481" i="17" s="1"/>
  <c r="A482" i="17" s="1"/>
  <c r="A483" i="17" s="1"/>
  <c r="A484" i="17" s="1"/>
  <c r="A485" i="17" s="1"/>
  <c r="A486" i="17" s="1"/>
  <c r="A487" i="17" s="1"/>
  <c r="A488" i="17" s="1"/>
  <c r="A489" i="17" s="1"/>
  <c r="A490" i="17" s="1"/>
  <c r="A491" i="17" s="1"/>
  <c r="A492" i="17" s="1"/>
  <c r="A493" i="17" s="1"/>
  <c r="A494" i="17" s="1"/>
  <c r="A495" i="17" s="1"/>
  <c r="A496" i="17" s="1"/>
  <c r="A497" i="17" s="1"/>
  <c r="A498" i="17" s="1"/>
  <c r="A499" i="17" s="1"/>
  <c r="A500" i="17" s="1"/>
  <c r="A501" i="17" s="1"/>
  <c r="A502" i="17" s="1"/>
  <c r="A503" i="17" s="1"/>
  <c r="A504" i="17" s="1"/>
  <c r="A505" i="17" s="1"/>
  <c r="A506" i="17" s="1"/>
  <c r="A507" i="17" s="1"/>
  <c r="A508" i="17" s="1"/>
  <c r="A509" i="17" s="1"/>
  <c r="A510" i="17" s="1"/>
  <c r="A511" i="17" s="1"/>
  <c r="A512" i="17" s="1"/>
  <c r="A513" i="17" s="1"/>
  <c r="A514" i="17" s="1"/>
  <c r="A515" i="17" s="1"/>
  <c r="A516" i="17" s="1"/>
  <c r="A517" i="17" s="1"/>
  <c r="A518" i="17" s="1"/>
  <c r="A519" i="17" s="1"/>
  <c r="A520" i="17" s="1"/>
  <c r="A521" i="17" s="1"/>
  <c r="A522" i="17" s="1"/>
  <c r="A523" i="17" s="1"/>
  <c r="A524" i="17" s="1"/>
  <c r="A525" i="17" s="1"/>
  <c r="A526" i="17" s="1"/>
  <c r="A527" i="17" s="1"/>
  <c r="A528" i="17" s="1"/>
  <c r="A529" i="17" s="1"/>
  <c r="A530" i="17" s="1"/>
  <c r="A531" i="17" s="1"/>
  <c r="A532" i="17" s="1"/>
  <c r="A533" i="17" s="1"/>
  <c r="A534" i="17" s="1"/>
  <c r="A535" i="17" s="1"/>
  <c r="A536" i="17" s="1"/>
  <c r="A537" i="17" s="1"/>
  <c r="A538" i="17" s="1"/>
  <c r="A539" i="17" s="1"/>
  <c r="A540" i="17" s="1"/>
  <c r="A541" i="17" s="1"/>
  <c r="A542" i="17" s="1"/>
  <c r="A543" i="17" s="1"/>
  <c r="A544" i="17" s="1"/>
  <c r="A545" i="17" s="1"/>
  <c r="A546" i="17" s="1"/>
  <c r="A547" i="17" s="1"/>
  <c r="A548" i="17" s="1"/>
  <c r="A549" i="17" s="1"/>
  <c r="A550" i="17" s="1"/>
  <c r="A551" i="17" s="1"/>
  <c r="A552" i="17" s="1"/>
  <c r="A553" i="17" s="1"/>
  <c r="A554" i="17" s="1"/>
  <c r="A555" i="17" s="1"/>
  <c r="A556" i="17" s="1"/>
  <c r="A557" i="17" s="1"/>
  <c r="A558" i="17" s="1"/>
  <c r="A559" i="17" s="1"/>
  <c r="A560" i="17" s="1"/>
  <c r="A561" i="17" s="1"/>
  <c r="A562" i="17" s="1"/>
  <c r="A563" i="17" s="1"/>
  <c r="A564" i="17" s="1"/>
  <c r="A565" i="17" s="1"/>
  <c r="A566" i="17" s="1"/>
  <c r="A567" i="17" s="1"/>
  <c r="A568" i="17" s="1"/>
  <c r="A569" i="17" s="1"/>
  <c r="A570" i="17" s="1"/>
  <c r="A571" i="17" s="1"/>
  <c r="A572" i="17" s="1"/>
  <c r="A573" i="17" s="1"/>
  <c r="A574" i="17" s="1"/>
  <c r="A575" i="17" s="1"/>
  <c r="A576" i="17" s="1"/>
  <c r="A577" i="17" s="1"/>
  <c r="A578" i="17" s="1"/>
  <c r="A579" i="17" s="1"/>
  <c r="A580" i="17" s="1"/>
  <c r="A581" i="17" s="1"/>
  <c r="A582" i="17" s="1"/>
  <c r="A583" i="17" s="1"/>
  <c r="A584" i="17" s="1"/>
  <c r="A585" i="17" s="1"/>
  <c r="A586" i="17" s="1"/>
  <c r="A587" i="17" s="1"/>
  <c r="A588" i="17" s="1"/>
  <c r="A589" i="17" s="1"/>
  <c r="A590" i="17" s="1"/>
  <c r="A591" i="17" s="1"/>
  <c r="A592" i="17" s="1"/>
  <c r="A593" i="17" s="1"/>
  <c r="A594" i="17" s="1"/>
  <c r="A595" i="17" s="1"/>
  <c r="A596" i="17" s="1"/>
  <c r="A597" i="17" s="1"/>
  <c r="A598" i="17" s="1"/>
  <c r="A599" i="17" s="1"/>
  <c r="A600" i="17" s="1"/>
  <c r="A601" i="17" s="1"/>
  <c r="A602" i="17" s="1"/>
  <c r="A603" i="17" s="1"/>
  <c r="A604" i="17" s="1"/>
  <c r="A605" i="17" s="1"/>
  <c r="A606" i="17" s="1"/>
  <c r="A607" i="17" s="1"/>
  <c r="A608" i="17" s="1"/>
  <c r="A609" i="17" s="1"/>
  <c r="A610" i="17" s="1"/>
  <c r="A611" i="17" s="1"/>
  <c r="A612" i="17" s="1"/>
  <c r="A613" i="17" s="1"/>
  <c r="A614" i="17" s="1"/>
  <c r="A615" i="17" s="1"/>
  <c r="A616" i="17" s="1"/>
  <c r="A617" i="17" s="1"/>
  <c r="A618" i="17" s="1"/>
  <c r="A619" i="17" s="1"/>
  <c r="A620" i="17" s="1"/>
  <c r="A621" i="17" s="1"/>
  <c r="A622" i="17" s="1"/>
  <c r="A623" i="17" s="1"/>
  <c r="A624" i="17" s="1"/>
  <c r="A625" i="17" s="1"/>
  <c r="A626" i="17" s="1"/>
  <c r="A627" i="17" s="1"/>
  <c r="A628" i="17" s="1"/>
  <c r="A629" i="17" s="1"/>
  <c r="A630" i="17" s="1"/>
  <c r="A631" i="17" s="1"/>
  <c r="A632" i="17" s="1"/>
  <c r="A633" i="17" s="1"/>
  <c r="A634" i="17" s="1"/>
  <c r="A635" i="17" s="1"/>
  <c r="A636" i="17" s="1"/>
  <c r="A637" i="17" s="1"/>
  <c r="A638" i="17" s="1"/>
  <c r="A639" i="17" s="1"/>
  <c r="A640" i="17" s="1"/>
  <c r="A641" i="17" s="1"/>
  <c r="A642" i="17" s="1"/>
  <c r="A643" i="17" s="1"/>
  <c r="A644" i="17" s="1"/>
  <c r="A645" i="17" s="1"/>
  <c r="A646" i="17" s="1"/>
  <c r="A647" i="17" s="1"/>
  <c r="A648" i="17" s="1"/>
  <c r="A649" i="17" s="1"/>
  <c r="A650" i="17" s="1"/>
  <c r="A651" i="17" s="1"/>
  <c r="A652" i="17" s="1"/>
  <c r="A653" i="17" s="1"/>
  <c r="A654" i="17" s="1"/>
  <c r="A655" i="17" s="1"/>
  <c r="A656" i="17" s="1"/>
  <c r="A657" i="17" s="1"/>
  <c r="A658" i="17" s="1"/>
  <c r="A659" i="17" s="1"/>
  <c r="A660" i="17" s="1"/>
  <c r="A661" i="17" s="1"/>
  <c r="A662" i="17" s="1"/>
  <c r="A663" i="17" s="1"/>
  <c r="A664" i="17" s="1"/>
  <c r="A665" i="17" s="1"/>
  <c r="A666" i="17" s="1"/>
  <c r="A667" i="17" s="1"/>
  <c r="A668" i="17" s="1"/>
  <c r="A669" i="17" s="1"/>
  <c r="A670" i="17" s="1"/>
  <c r="A671" i="17" s="1"/>
  <c r="A672" i="17" s="1"/>
  <c r="A673" i="17" s="1"/>
  <c r="A674" i="17" s="1"/>
  <c r="A675" i="17" s="1"/>
  <c r="A676" i="17" s="1"/>
  <c r="A677" i="17" s="1"/>
  <c r="A678" i="17" s="1"/>
  <c r="A679" i="17" s="1"/>
  <c r="A680" i="17" s="1"/>
  <c r="A681" i="17" s="1"/>
  <c r="A682" i="17" s="1"/>
  <c r="A683" i="17" s="1"/>
  <c r="A684" i="17" s="1"/>
  <c r="A685" i="17" s="1"/>
  <c r="A686" i="17" s="1"/>
  <c r="A687" i="17" s="1"/>
  <c r="A688" i="17" s="1"/>
  <c r="A689" i="17" s="1"/>
  <c r="A690" i="17" s="1"/>
  <c r="A691" i="17" s="1"/>
  <c r="A692" i="17" s="1"/>
  <c r="A693" i="17" s="1"/>
  <c r="A694" i="17" s="1"/>
  <c r="A695" i="17" s="1"/>
  <c r="A696" i="17" s="1"/>
  <c r="A697" i="17" s="1"/>
  <c r="A698" i="17" s="1"/>
  <c r="A699" i="17" s="1"/>
  <c r="A700" i="17" s="1"/>
  <c r="A701" i="17" s="1"/>
  <c r="A702" i="17" s="1"/>
  <c r="A703" i="17" s="1"/>
  <c r="A704" i="17" s="1"/>
  <c r="A705" i="17" s="1"/>
  <c r="A706" i="17" s="1"/>
  <c r="A707" i="17" s="1"/>
  <c r="A708" i="17" s="1"/>
  <c r="A709" i="17" s="1"/>
  <c r="A710" i="17" s="1"/>
  <c r="A711" i="17" s="1"/>
  <c r="A712" i="17" s="1"/>
  <c r="A713" i="17" s="1"/>
  <c r="A714" i="17" s="1"/>
  <c r="A715" i="17" s="1"/>
  <c r="A716" i="17" s="1"/>
  <c r="A717" i="17" s="1"/>
  <c r="A718" i="17" s="1"/>
  <c r="A719" i="17" s="1"/>
  <c r="A720" i="17" s="1"/>
  <c r="A721" i="17" s="1"/>
  <c r="A722" i="17" s="1"/>
  <c r="A723" i="17" s="1"/>
  <c r="A724" i="17" s="1"/>
  <c r="A725" i="17" s="1"/>
  <c r="A726" i="17" s="1"/>
  <c r="A727" i="17" s="1"/>
  <c r="A728" i="17" s="1"/>
  <c r="A729" i="17" s="1"/>
  <c r="A730" i="17" s="1"/>
  <c r="A731" i="17" s="1"/>
  <c r="A732" i="17" s="1"/>
  <c r="A733" i="17" s="1"/>
  <c r="A734" i="17" s="1"/>
  <c r="A735" i="17" s="1"/>
  <c r="A736" i="17" s="1"/>
  <c r="A737" i="17" s="1"/>
  <c r="A738" i="17" s="1"/>
  <c r="A739" i="17" s="1"/>
  <c r="A740" i="17" s="1"/>
  <c r="A741" i="17" s="1"/>
  <c r="A742" i="17" s="1"/>
  <c r="A743" i="17" s="1"/>
  <c r="A744" i="17" s="1"/>
  <c r="A745" i="17" s="1"/>
  <c r="A746" i="17" s="1"/>
  <c r="A747" i="17" s="1"/>
  <c r="A748" i="17" s="1"/>
  <c r="A749" i="17" s="1"/>
  <c r="A750" i="17" s="1"/>
  <c r="A751" i="17" s="1"/>
  <c r="A752" i="17" s="1"/>
  <c r="A753" i="17" s="1"/>
  <c r="A754" i="17" s="1"/>
  <c r="A755" i="17" s="1"/>
  <c r="A756" i="17" s="1"/>
  <c r="A757" i="17" s="1"/>
  <c r="A758" i="17" s="1"/>
  <c r="A759" i="17" s="1"/>
  <c r="A760" i="17" s="1"/>
  <c r="A761" i="17" s="1"/>
  <c r="A762" i="17" s="1"/>
  <c r="A763" i="17" s="1"/>
  <c r="A764" i="17" s="1"/>
  <c r="A765" i="17" s="1"/>
  <c r="A766" i="17" s="1"/>
  <c r="A767" i="17" s="1"/>
  <c r="A768" i="17" s="1"/>
  <c r="A769" i="17" s="1"/>
  <c r="A770" i="17" s="1"/>
  <c r="A771" i="17" s="1"/>
  <c r="A772" i="17" s="1"/>
  <c r="A773" i="17" s="1"/>
  <c r="A774" i="17" s="1"/>
  <c r="A775" i="17" s="1"/>
  <c r="A776" i="17" s="1"/>
  <c r="A777" i="17" s="1"/>
  <c r="A778" i="17" s="1"/>
  <c r="A779" i="17" s="1"/>
  <c r="A780" i="17" s="1"/>
  <c r="A781" i="17" s="1"/>
  <c r="A782" i="17" s="1"/>
  <c r="A783" i="17" s="1"/>
  <c r="A784" i="17" s="1"/>
  <c r="A785" i="17" s="1"/>
  <c r="A786" i="17" s="1"/>
  <c r="A787" i="17" s="1"/>
  <c r="A788" i="17" s="1"/>
  <c r="A789" i="17" s="1"/>
  <c r="A790" i="17" s="1"/>
  <c r="A791" i="17" s="1"/>
  <c r="A792" i="17" s="1"/>
  <c r="A793" i="17" s="1"/>
  <c r="A794" i="17" s="1"/>
  <c r="A795" i="17" s="1"/>
  <c r="A796" i="17" s="1"/>
  <c r="A797" i="17" s="1"/>
  <c r="A798" i="17" s="1"/>
  <c r="A799" i="17" s="1"/>
  <c r="A800" i="17" s="1"/>
  <c r="A801" i="17" s="1"/>
  <c r="A802" i="17" s="1"/>
  <c r="A803" i="17" s="1"/>
  <c r="A804" i="17" s="1"/>
  <c r="A805" i="17" s="1"/>
  <c r="A806" i="17" s="1"/>
  <c r="A807" i="17" s="1"/>
  <c r="A808" i="17" s="1"/>
  <c r="A809" i="17" s="1"/>
  <c r="A810" i="17" s="1"/>
  <c r="A811" i="17" s="1"/>
  <c r="A812" i="17" s="1"/>
  <c r="A813" i="17" s="1"/>
  <c r="A814" i="17" s="1"/>
  <c r="A815" i="17" s="1"/>
  <c r="A816" i="17" s="1"/>
  <c r="A817" i="17" s="1"/>
  <c r="A818" i="17" s="1"/>
  <c r="A819" i="17" s="1"/>
  <c r="A820" i="17" s="1"/>
  <c r="A821" i="17" s="1"/>
  <c r="A822" i="17" s="1"/>
  <c r="A823" i="17" s="1"/>
  <c r="A824" i="17" s="1"/>
  <c r="A825" i="17" s="1"/>
  <c r="A826" i="17" s="1"/>
  <c r="A827" i="17" s="1"/>
  <c r="A828" i="17" s="1"/>
  <c r="A829" i="17" s="1"/>
  <c r="A830" i="17" s="1"/>
  <c r="A831" i="17" s="1"/>
  <c r="A832" i="17" s="1"/>
  <c r="A833" i="17" s="1"/>
  <c r="A834" i="17" s="1"/>
  <c r="A835" i="17" s="1"/>
  <c r="A836" i="17" s="1"/>
  <c r="A837" i="17" s="1"/>
  <c r="A838" i="17" s="1"/>
  <c r="A839" i="17" s="1"/>
  <c r="A840" i="17" s="1"/>
  <c r="A841" i="17" s="1"/>
  <c r="A842" i="17" s="1"/>
  <c r="A843" i="17" s="1"/>
  <c r="A844" i="17" s="1"/>
  <c r="A845" i="17" s="1"/>
  <c r="A846" i="17" s="1"/>
  <c r="A847" i="17" s="1"/>
  <c r="A848" i="17" s="1"/>
  <c r="A849" i="17" s="1"/>
  <c r="A850" i="17" s="1"/>
  <c r="A851" i="17" s="1"/>
  <c r="A852" i="17" s="1"/>
  <c r="A853" i="17" s="1"/>
  <c r="A854" i="17" s="1"/>
  <c r="A855" i="17" s="1"/>
  <c r="A856" i="17" s="1"/>
  <c r="A857" i="17" s="1"/>
  <c r="A858" i="17" s="1"/>
  <c r="A859" i="17" s="1"/>
  <c r="A860" i="17" s="1"/>
  <c r="A861" i="17" s="1"/>
  <c r="A862" i="17" s="1"/>
  <c r="A863" i="17" s="1"/>
  <c r="A864" i="17" s="1"/>
  <c r="A865" i="17" s="1"/>
  <c r="A866" i="17" s="1"/>
  <c r="A867" i="17" s="1"/>
  <c r="A868" i="17" s="1"/>
  <c r="A869" i="17" s="1"/>
  <c r="A870" i="17" s="1"/>
  <c r="A871" i="17" s="1"/>
  <c r="A872" i="17" s="1"/>
  <c r="A873" i="17" s="1"/>
  <c r="A874" i="17" s="1"/>
  <c r="A875" i="17" s="1"/>
  <c r="A876" i="17" s="1"/>
  <c r="A877" i="17" s="1"/>
  <c r="A878" i="17" s="1"/>
  <c r="A879" i="17" s="1"/>
  <c r="A880" i="17" s="1"/>
  <c r="A881" i="17" s="1"/>
  <c r="A882" i="17" s="1"/>
  <c r="A883" i="17" s="1"/>
  <c r="A884" i="17" s="1"/>
  <c r="A885" i="17" s="1"/>
  <c r="A886" i="17" s="1"/>
  <c r="A887" i="17" s="1"/>
  <c r="A888" i="17" s="1"/>
  <c r="A889" i="17" s="1"/>
  <c r="A890" i="17" s="1"/>
  <c r="A891" i="17" s="1"/>
  <c r="A892" i="17" s="1"/>
  <c r="A893" i="17" s="1"/>
  <c r="A894" i="17" s="1"/>
  <c r="A895" i="17" s="1"/>
  <c r="A896" i="17" s="1"/>
  <c r="A897" i="17" s="1"/>
  <c r="A898" i="17" s="1"/>
  <c r="A899" i="17" s="1"/>
  <c r="A900" i="17" s="1"/>
  <c r="A901" i="17" s="1"/>
  <c r="A902" i="17" s="1"/>
  <c r="A903" i="17" s="1"/>
  <c r="A904" i="17" s="1"/>
  <c r="A905" i="17" s="1"/>
  <c r="A906" i="17" s="1"/>
  <c r="A907" i="17" s="1"/>
  <c r="A908" i="17" s="1"/>
  <c r="A909" i="17" s="1"/>
  <c r="A910" i="17" s="1"/>
  <c r="A911" i="17" s="1"/>
  <c r="A912" i="17" s="1"/>
  <c r="A913" i="17" s="1"/>
  <c r="A914" i="17" s="1"/>
  <c r="A915" i="17" s="1"/>
  <c r="A916" i="17" s="1"/>
  <c r="A917" i="17" s="1"/>
  <c r="A918" i="17" s="1"/>
  <c r="A919" i="17" s="1"/>
  <c r="A920" i="17" s="1"/>
  <c r="A921" i="17" s="1"/>
  <c r="A922" i="17" s="1"/>
  <c r="A923" i="17" s="1"/>
  <c r="A924" i="17" s="1"/>
  <c r="A925" i="17" s="1"/>
  <c r="A926" i="17" s="1"/>
  <c r="A927" i="17" s="1"/>
  <c r="A928" i="17" s="1"/>
  <c r="A929" i="17" s="1"/>
  <c r="A930" i="17" s="1"/>
  <c r="A931" i="17" s="1"/>
  <c r="A932" i="17" s="1"/>
  <c r="A933" i="17" s="1"/>
  <c r="A934" i="17" s="1"/>
  <c r="A935" i="17" s="1"/>
  <c r="A936" i="17" s="1"/>
  <c r="A937" i="17" s="1"/>
  <c r="A938" i="17" s="1"/>
  <c r="A939" i="17" s="1"/>
  <c r="A940" i="17" s="1"/>
  <c r="A941" i="17" s="1"/>
  <c r="A942" i="17" s="1"/>
  <c r="A943" i="17" s="1"/>
  <c r="A944" i="17" s="1"/>
  <c r="A945" i="17" s="1"/>
  <c r="A946" i="17" s="1"/>
  <c r="A947" i="17" s="1"/>
  <c r="A948" i="17" s="1"/>
  <c r="Z970" i="17"/>
  <c r="V970" i="17"/>
  <c r="AA953" i="17" a="1"/>
  <c r="AA953" i="17" s="1"/>
  <c r="AI949" i="17"/>
  <c r="AF949" i="17"/>
  <c r="AE949" i="17"/>
  <c r="AD949" i="17"/>
  <c r="AC949" i="17"/>
  <c r="AB949" i="17"/>
  <c r="AA949" i="17"/>
  <c r="Z949" i="17"/>
  <c r="Y949" i="17"/>
  <c r="X949" i="17"/>
  <c r="W949" i="17"/>
  <c r="V949" i="17"/>
  <c r="T949" i="17"/>
  <c r="S949" i="17"/>
  <c r="R949" i="17"/>
  <c r="AL948" i="17"/>
  <c r="AJ948" i="17"/>
  <c r="AG948" i="17"/>
  <c r="U948" i="17"/>
  <c r="AL947" i="17"/>
  <c r="U947" i="17"/>
  <c r="AJ947" i="17" s="1"/>
  <c r="AL946" i="17"/>
  <c r="U946" i="17"/>
  <c r="AJ946" i="17" s="1"/>
  <c r="AL945" i="17"/>
  <c r="U945" i="17"/>
  <c r="AJ945" i="17" s="1"/>
  <c r="AL944" i="17"/>
  <c r="U944" i="17"/>
  <c r="AL943" i="17"/>
  <c r="U943" i="17"/>
  <c r="AL942" i="17"/>
  <c r="U942" i="17"/>
  <c r="AL941" i="17"/>
  <c r="U941" i="17"/>
  <c r="AL940" i="17"/>
  <c r="U940" i="17"/>
  <c r="AL939" i="17"/>
  <c r="U939" i="17"/>
  <c r="AJ939" i="17" s="1"/>
  <c r="AL938" i="17"/>
  <c r="U938" i="17"/>
  <c r="AL937" i="17"/>
  <c r="U937" i="17"/>
  <c r="AG937" i="17" s="1"/>
  <c r="AL936" i="17"/>
  <c r="U936" i="17"/>
  <c r="AL935" i="17"/>
  <c r="U935" i="17"/>
  <c r="AL934" i="17"/>
  <c r="U934" i="17"/>
  <c r="AJ934" i="17" s="1"/>
  <c r="AL933" i="17"/>
  <c r="U933" i="17"/>
  <c r="AG933" i="17" s="1"/>
  <c r="AL932" i="17"/>
  <c r="U932" i="17"/>
  <c r="AL931" i="17"/>
  <c r="U931" i="17"/>
  <c r="AJ931" i="17" s="1"/>
  <c r="AL930" i="17"/>
  <c r="U930" i="17"/>
  <c r="AL929" i="17"/>
  <c r="U929" i="17"/>
  <c r="AG929" i="17" s="1"/>
  <c r="AL928" i="17"/>
  <c r="U928" i="17"/>
  <c r="AL927" i="17"/>
  <c r="U927" i="17"/>
  <c r="AL926" i="17"/>
  <c r="U926" i="17"/>
  <c r="AL925" i="17"/>
  <c r="U925" i="17"/>
  <c r="AG925" i="17" s="1"/>
  <c r="AL924" i="17"/>
  <c r="U924" i="17"/>
  <c r="AL923" i="17"/>
  <c r="U923" i="17"/>
  <c r="AJ923" i="17" s="1"/>
  <c r="AL922" i="17"/>
  <c r="U922" i="17"/>
  <c r="AJ922" i="17" s="1"/>
  <c r="AL921" i="17"/>
  <c r="U921" i="17"/>
  <c r="AG921" i="17" s="1"/>
  <c r="AL920" i="17"/>
  <c r="U920" i="17"/>
  <c r="AL919" i="17"/>
  <c r="U919" i="17"/>
  <c r="AJ919" i="17" s="1"/>
  <c r="AL918" i="17"/>
  <c r="U918" i="17"/>
  <c r="AG918" i="17" s="1"/>
  <c r="AL917" i="17"/>
  <c r="U917" i="17"/>
  <c r="AG917" i="17" s="1"/>
  <c r="AL916" i="17"/>
  <c r="U916" i="17"/>
  <c r="AL915" i="17"/>
  <c r="U915" i="17"/>
  <c r="AJ915" i="17" s="1"/>
  <c r="AL914" i="17"/>
  <c r="U914" i="17"/>
  <c r="AJ914" i="17" s="1"/>
  <c r="AL913" i="17"/>
  <c r="U913" i="17"/>
  <c r="AG913" i="17" s="1"/>
  <c r="AL912" i="17"/>
  <c r="U912" i="17"/>
  <c r="AL911" i="17"/>
  <c r="U911" i="17"/>
  <c r="AL910" i="17"/>
  <c r="U910" i="17"/>
  <c r="AL909" i="17"/>
  <c r="U909" i="17"/>
  <c r="AG909" i="17" s="1"/>
  <c r="AL908" i="17"/>
  <c r="U908" i="17"/>
  <c r="AL907" i="17"/>
  <c r="U907" i="17"/>
  <c r="AJ907" i="17" s="1"/>
  <c r="AL906" i="17"/>
  <c r="U906" i="17"/>
  <c r="AG906" i="17" s="1"/>
  <c r="AL905" i="17"/>
  <c r="U905" i="17"/>
  <c r="AG905" i="17" s="1"/>
  <c r="AL904" i="17"/>
  <c r="U904" i="17"/>
  <c r="AL903" i="17"/>
  <c r="U903" i="17"/>
  <c r="AJ903" i="17" s="1"/>
  <c r="AL902" i="17"/>
  <c r="U902" i="17"/>
  <c r="AJ902" i="17" s="1"/>
  <c r="AL901" i="17"/>
  <c r="U901" i="17"/>
  <c r="AG901" i="17" s="1"/>
  <c r="AL900" i="17"/>
  <c r="U900" i="17"/>
  <c r="AL899" i="17"/>
  <c r="U899" i="17"/>
  <c r="AL898" i="17"/>
  <c r="U898" i="17"/>
  <c r="AL897" i="17"/>
  <c r="U897" i="17"/>
  <c r="AG897" i="17" s="1"/>
  <c r="AL896" i="17"/>
  <c r="U896" i="17"/>
  <c r="AL895" i="17"/>
  <c r="U895" i="17"/>
  <c r="AL894" i="17"/>
  <c r="U894" i="17"/>
  <c r="AL893" i="17"/>
  <c r="U893" i="17"/>
  <c r="AL892" i="17"/>
  <c r="U892" i="17"/>
  <c r="AL891" i="17"/>
  <c r="U891" i="17"/>
  <c r="AJ891" i="17" s="1"/>
  <c r="AL890" i="17"/>
  <c r="U890" i="17"/>
  <c r="AL889" i="17"/>
  <c r="U889" i="17"/>
  <c r="AL888" i="17"/>
  <c r="U888" i="17"/>
  <c r="AL887" i="17"/>
  <c r="U887" i="17"/>
  <c r="AL886" i="17"/>
  <c r="U886" i="17"/>
  <c r="AL885" i="17"/>
  <c r="U885" i="17"/>
  <c r="AL884" i="17"/>
  <c r="U884" i="17"/>
  <c r="AL883" i="17"/>
  <c r="U883" i="17"/>
  <c r="AL882" i="17"/>
  <c r="U882" i="17"/>
  <c r="AL881" i="17"/>
  <c r="U881" i="17"/>
  <c r="AL880" i="17"/>
  <c r="U880" i="17"/>
  <c r="AL879" i="17"/>
  <c r="U879" i="17"/>
  <c r="AJ879" i="17" s="1"/>
  <c r="AL878" i="17"/>
  <c r="U878" i="17"/>
  <c r="AL877" i="17"/>
  <c r="U877" i="17"/>
  <c r="AJ877" i="17" s="1"/>
  <c r="AL876" i="17"/>
  <c r="U876" i="17"/>
  <c r="AL875" i="17"/>
  <c r="U875" i="17"/>
  <c r="AJ875" i="17" s="1"/>
  <c r="AL874" i="17"/>
  <c r="U874" i="17"/>
  <c r="AJ874" i="17" s="1"/>
  <c r="AL873" i="17"/>
  <c r="U873" i="17"/>
  <c r="AJ873" i="17" s="1"/>
  <c r="AL872" i="17"/>
  <c r="U872" i="17"/>
  <c r="AL871" i="17"/>
  <c r="U871" i="17"/>
  <c r="AJ871" i="17" s="1"/>
  <c r="AL870" i="17"/>
  <c r="U870" i="17"/>
  <c r="AL869" i="17"/>
  <c r="U869" i="17"/>
  <c r="AG869" i="17" s="1"/>
  <c r="AL868" i="17"/>
  <c r="U868" i="17"/>
  <c r="AL867" i="17"/>
  <c r="U867" i="17"/>
  <c r="AL866" i="17"/>
  <c r="U866" i="17"/>
  <c r="AG866" i="17" s="1"/>
  <c r="AL865" i="17"/>
  <c r="U865" i="17"/>
  <c r="AG865" i="17" s="1"/>
  <c r="AL864" i="17"/>
  <c r="U864" i="17"/>
  <c r="AL863" i="17"/>
  <c r="U863" i="17"/>
  <c r="AJ863" i="17" s="1"/>
  <c r="AL862" i="17"/>
  <c r="U862" i="17"/>
  <c r="AG862" i="17" s="1"/>
  <c r="AL861" i="17"/>
  <c r="U861" i="17"/>
  <c r="AG861" i="17" s="1"/>
  <c r="AL860" i="17"/>
  <c r="U860" i="17"/>
  <c r="AL859" i="17"/>
  <c r="U859" i="17"/>
  <c r="AJ859" i="17" s="1"/>
  <c r="AL858" i="17"/>
  <c r="U858" i="17"/>
  <c r="AJ858" i="17" s="1"/>
  <c r="AL857" i="17"/>
  <c r="U857" i="17"/>
  <c r="AJ857" i="17" s="1"/>
  <c r="AL856" i="17"/>
  <c r="U856" i="17"/>
  <c r="AL855" i="17"/>
  <c r="U855" i="17"/>
  <c r="AL854" i="17"/>
  <c r="U854" i="17"/>
  <c r="AJ854" i="17" s="1"/>
  <c r="AL853" i="17"/>
  <c r="U853" i="17"/>
  <c r="AJ853" i="17" s="1"/>
  <c r="AL852" i="17"/>
  <c r="U852" i="17"/>
  <c r="AL851" i="17"/>
  <c r="U851" i="17"/>
  <c r="AL850" i="17"/>
  <c r="U850" i="17"/>
  <c r="AL849" i="17"/>
  <c r="U849" i="17"/>
  <c r="AL848" i="17"/>
  <c r="U848" i="17"/>
  <c r="AL847" i="17"/>
  <c r="U847" i="17"/>
  <c r="AJ847" i="17" s="1"/>
  <c r="AL846" i="17"/>
  <c r="U846" i="17"/>
  <c r="AL845" i="17"/>
  <c r="U845" i="17"/>
  <c r="AL844" i="17"/>
  <c r="U844" i="17"/>
  <c r="AL843" i="17"/>
  <c r="U843" i="17"/>
  <c r="AJ843" i="17" s="1"/>
  <c r="AL842" i="17"/>
  <c r="U842" i="17"/>
  <c r="AJ842" i="17" s="1"/>
  <c r="AL841" i="17"/>
  <c r="U841" i="17"/>
  <c r="AL840" i="17"/>
  <c r="U840" i="17"/>
  <c r="AL839" i="17"/>
  <c r="U839" i="17"/>
  <c r="AL838" i="17"/>
  <c r="U838" i="17"/>
  <c r="AJ838" i="17" s="1"/>
  <c r="AL837" i="17"/>
  <c r="U837" i="17"/>
  <c r="AG837" i="17" s="1"/>
  <c r="AL836" i="17"/>
  <c r="U836" i="17"/>
  <c r="AJ836" i="17" s="1"/>
  <c r="AL835" i="17"/>
  <c r="U835" i="17"/>
  <c r="AL834" i="17"/>
  <c r="U834" i="17"/>
  <c r="AL833" i="17"/>
  <c r="U833" i="17"/>
  <c r="AG833" i="17" s="1"/>
  <c r="AL832" i="17"/>
  <c r="U832" i="17"/>
  <c r="AJ832" i="17" s="1"/>
  <c r="AL831" i="17"/>
  <c r="U831" i="17"/>
  <c r="AL830" i="17"/>
  <c r="U830" i="17"/>
  <c r="AL829" i="17"/>
  <c r="U829" i="17"/>
  <c r="AG829" i="17" s="1"/>
  <c r="AL828" i="17"/>
  <c r="U828" i="17"/>
  <c r="AJ828" i="17" s="1"/>
  <c r="AL827" i="17"/>
  <c r="U827" i="17"/>
  <c r="AL826" i="17"/>
  <c r="U826" i="17"/>
  <c r="AL825" i="17"/>
  <c r="U825" i="17"/>
  <c r="AL824" i="17"/>
  <c r="U824" i="17"/>
  <c r="AJ824" i="17" s="1"/>
  <c r="AL823" i="17"/>
  <c r="U823" i="17"/>
  <c r="AL822" i="17"/>
  <c r="U822" i="17"/>
  <c r="AL821" i="17"/>
  <c r="U821" i="17"/>
  <c r="AG821" i="17" s="1"/>
  <c r="AL820" i="17"/>
  <c r="U820" i="17"/>
  <c r="AJ820" i="17" s="1"/>
  <c r="AL819" i="17"/>
  <c r="U819" i="17"/>
  <c r="AL818" i="17"/>
  <c r="U818" i="17"/>
  <c r="AL817" i="17"/>
  <c r="U817" i="17"/>
  <c r="AG817" i="17" s="1"/>
  <c r="AL816" i="17"/>
  <c r="U816" i="17"/>
  <c r="AJ816" i="17" s="1"/>
  <c r="AL815" i="17"/>
  <c r="U815" i="17"/>
  <c r="AL814" i="17"/>
  <c r="U814" i="17"/>
  <c r="AL813" i="17"/>
  <c r="U813" i="17"/>
  <c r="AG813" i="17" s="1"/>
  <c r="AL812" i="17"/>
  <c r="U812" i="17"/>
  <c r="AL811" i="17"/>
  <c r="U811" i="17"/>
  <c r="AL810" i="17"/>
  <c r="U810" i="17"/>
  <c r="AL809" i="17"/>
  <c r="U809" i="17"/>
  <c r="AL808" i="17"/>
  <c r="U808" i="17"/>
  <c r="AL807" i="17"/>
  <c r="U807" i="17"/>
  <c r="AL806" i="17"/>
  <c r="U806" i="17"/>
  <c r="AL805" i="17"/>
  <c r="U805" i="17"/>
  <c r="AL804" i="17"/>
  <c r="U804" i="17"/>
  <c r="AL803" i="17"/>
  <c r="U803" i="17"/>
  <c r="AJ803" i="17" s="1"/>
  <c r="AL802" i="17"/>
  <c r="U802" i="17"/>
  <c r="AG802" i="17" s="1"/>
  <c r="AL801" i="17"/>
  <c r="U801" i="17"/>
  <c r="AL800" i="17"/>
  <c r="U800" i="17"/>
  <c r="AL799" i="17"/>
  <c r="U799" i="17"/>
  <c r="AL798" i="17"/>
  <c r="U798" i="17"/>
  <c r="AL797" i="17"/>
  <c r="U797" i="17"/>
  <c r="AG797" i="17" s="1"/>
  <c r="AL796" i="17"/>
  <c r="U796" i="17"/>
  <c r="AJ796" i="17" s="1"/>
  <c r="AL795" i="17"/>
  <c r="U795" i="17"/>
  <c r="AG795" i="17" s="1"/>
  <c r="AL794" i="17"/>
  <c r="U794" i="17"/>
  <c r="AJ794" i="17" s="1"/>
  <c r="AL793" i="17"/>
  <c r="U793" i="17"/>
  <c r="AG793" i="17" s="1"/>
  <c r="AL792" i="17"/>
  <c r="U792" i="17"/>
  <c r="AJ792" i="17" s="1"/>
  <c r="AL791" i="17"/>
  <c r="U791" i="17"/>
  <c r="AL790" i="17"/>
  <c r="U790" i="17"/>
  <c r="AG790" i="17" s="1"/>
  <c r="AL789" i="17"/>
  <c r="U789" i="17"/>
  <c r="AL788" i="17"/>
  <c r="U788" i="17"/>
  <c r="AL787" i="17"/>
  <c r="U787" i="17"/>
  <c r="AJ787" i="17" s="1"/>
  <c r="AL786" i="17"/>
  <c r="U786" i="17"/>
  <c r="AL785" i="17"/>
  <c r="U785" i="17"/>
  <c r="AG785" i="17" s="1"/>
  <c r="AL784" i="17"/>
  <c r="U784" i="17"/>
  <c r="AL783" i="17"/>
  <c r="U783" i="17"/>
  <c r="AL782" i="17"/>
  <c r="U782" i="17"/>
  <c r="AL781" i="17"/>
  <c r="U781" i="17"/>
  <c r="AL780" i="17"/>
  <c r="U780" i="17"/>
  <c r="AJ780" i="17" s="1"/>
  <c r="AL779" i="17"/>
  <c r="U779" i="17"/>
  <c r="AG779" i="17" s="1"/>
  <c r="AL778" i="17"/>
  <c r="U778" i="17"/>
  <c r="AL777" i="17"/>
  <c r="U777" i="17"/>
  <c r="AG777" i="17" s="1"/>
  <c r="AL776" i="17"/>
  <c r="U776" i="17"/>
  <c r="AJ776" i="17" s="1"/>
  <c r="AL775" i="17"/>
  <c r="U775" i="17"/>
  <c r="AL774" i="17"/>
  <c r="U774" i="17"/>
  <c r="AJ774" i="17" s="1"/>
  <c r="AL773" i="17"/>
  <c r="U773" i="17"/>
  <c r="AL772" i="17"/>
  <c r="U772" i="17"/>
  <c r="AL771" i="17"/>
  <c r="U771" i="17"/>
  <c r="AL770" i="17"/>
  <c r="U770" i="17"/>
  <c r="AJ770" i="17" s="1"/>
  <c r="AL769" i="17"/>
  <c r="U769" i="17"/>
  <c r="AG769" i="17" s="1"/>
  <c r="AL768" i="17"/>
  <c r="U768" i="17"/>
  <c r="AJ768" i="17" s="1"/>
  <c r="AL767" i="17"/>
  <c r="U767" i="17"/>
  <c r="AJ767" i="17" s="1"/>
  <c r="AL766" i="17"/>
  <c r="U766" i="17"/>
  <c r="AJ766" i="17" s="1"/>
  <c r="AL765" i="17"/>
  <c r="U765" i="17"/>
  <c r="AL764" i="17"/>
  <c r="U764" i="17"/>
  <c r="AJ764" i="17" s="1"/>
  <c r="AL763" i="17"/>
  <c r="U763" i="17"/>
  <c r="AG763" i="17" s="1"/>
  <c r="AL762" i="17"/>
  <c r="U762" i="17"/>
  <c r="AG762" i="17" s="1"/>
  <c r="AL761" i="17"/>
  <c r="U761" i="17"/>
  <c r="AG761" i="17" s="1"/>
  <c r="AL760" i="17"/>
  <c r="U760" i="17"/>
  <c r="AJ760" i="17" s="1"/>
  <c r="AL759" i="17"/>
  <c r="U759" i="17"/>
  <c r="AL758" i="17"/>
  <c r="U758" i="17"/>
  <c r="AL757" i="17"/>
  <c r="U757" i="17"/>
  <c r="AL756" i="17"/>
  <c r="U756" i="17"/>
  <c r="AL755" i="17"/>
  <c r="U755" i="17"/>
  <c r="AJ755" i="17" s="1"/>
  <c r="AL754" i="17"/>
  <c r="U754" i="17"/>
  <c r="AL753" i="17"/>
  <c r="U753" i="17"/>
  <c r="AG753" i="17" s="1"/>
  <c r="AL752" i="17"/>
  <c r="U752" i="17"/>
  <c r="AL751" i="17"/>
  <c r="U751" i="17"/>
  <c r="AL750" i="17"/>
  <c r="U750" i="17"/>
  <c r="AJ750" i="17" s="1"/>
  <c r="AL749" i="17"/>
  <c r="U749" i="17"/>
  <c r="AL748" i="17"/>
  <c r="U748" i="17"/>
  <c r="AL747" i="17"/>
  <c r="U747" i="17"/>
  <c r="AJ747" i="17" s="1"/>
  <c r="AL746" i="17"/>
  <c r="U746" i="17"/>
  <c r="AL745" i="17"/>
  <c r="U745" i="17"/>
  <c r="AG745" i="17" s="1"/>
  <c r="AL744" i="17"/>
  <c r="U744" i="17"/>
  <c r="AL743" i="17"/>
  <c r="U743" i="17"/>
  <c r="AL742" i="17"/>
  <c r="U742" i="17"/>
  <c r="AJ742" i="17" s="1"/>
  <c r="AL741" i="17"/>
  <c r="U741" i="17"/>
  <c r="AG741" i="17" s="1"/>
  <c r="AL740" i="17"/>
  <c r="U740" i="17"/>
  <c r="AL739" i="17"/>
  <c r="U739" i="17"/>
  <c r="AJ739" i="17" s="1"/>
  <c r="AL738" i="17"/>
  <c r="U738" i="17"/>
  <c r="AG738" i="17" s="1"/>
  <c r="AL737" i="17"/>
  <c r="U737" i="17"/>
  <c r="AG737" i="17" s="1"/>
  <c r="AL736" i="17"/>
  <c r="U736" i="17"/>
  <c r="AL735" i="17"/>
  <c r="U735" i="17"/>
  <c r="AL734" i="17"/>
  <c r="U734" i="17"/>
  <c r="AL733" i="17"/>
  <c r="U733" i="17"/>
  <c r="AL732" i="17"/>
  <c r="U732" i="17"/>
  <c r="AL731" i="17"/>
  <c r="U731" i="17"/>
  <c r="AJ731" i="17" s="1"/>
  <c r="AL730" i="17"/>
  <c r="U730" i="17"/>
  <c r="AL729" i="17"/>
  <c r="U729" i="17"/>
  <c r="AG729" i="17" s="1"/>
  <c r="AL728" i="17"/>
  <c r="U728" i="17"/>
  <c r="AL727" i="17"/>
  <c r="U727" i="17"/>
  <c r="AL726" i="17"/>
  <c r="U726" i="17"/>
  <c r="AJ726" i="17" s="1"/>
  <c r="AL725" i="17"/>
  <c r="U725" i="17"/>
  <c r="AG725" i="17" s="1"/>
  <c r="AL724" i="17"/>
  <c r="U724" i="17"/>
  <c r="AL723" i="17"/>
  <c r="U723" i="17"/>
  <c r="AJ723" i="17" s="1"/>
  <c r="AL722" i="17"/>
  <c r="U722" i="17"/>
  <c r="AL721" i="17"/>
  <c r="U721" i="17"/>
  <c r="AG721" i="17" s="1"/>
  <c r="AL720" i="17"/>
  <c r="U720" i="17"/>
  <c r="AL719" i="17"/>
  <c r="U719" i="17"/>
  <c r="AL718" i="17"/>
  <c r="U718" i="17"/>
  <c r="AJ718" i="17" s="1"/>
  <c r="AL717" i="17"/>
  <c r="U717" i="17"/>
  <c r="AL716" i="17"/>
  <c r="U716" i="17"/>
  <c r="AL715" i="17"/>
  <c r="U715" i="17"/>
  <c r="AJ715" i="17" s="1"/>
  <c r="AL714" i="17"/>
  <c r="U714" i="17"/>
  <c r="AL713" i="17"/>
  <c r="U713" i="17"/>
  <c r="AG713" i="17" s="1"/>
  <c r="AL712" i="17"/>
  <c r="U712" i="17"/>
  <c r="AL711" i="17"/>
  <c r="U711" i="17"/>
  <c r="AL710" i="17"/>
  <c r="U710" i="17"/>
  <c r="AJ710" i="17" s="1"/>
  <c r="AL709" i="17"/>
  <c r="U709" i="17"/>
  <c r="AG709" i="17" s="1"/>
  <c r="AL708" i="17"/>
  <c r="U708" i="17"/>
  <c r="AL707" i="17"/>
  <c r="U707" i="17"/>
  <c r="AJ707" i="17" s="1"/>
  <c r="AL706" i="17"/>
  <c r="U706" i="17"/>
  <c r="AG706" i="17" s="1"/>
  <c r="AL705" i="17"/>
  <c r="U705" i="17"/>
  <c r="AG705" i="17" s="1"/>
  <c r="AL704" i="17"/>
  <c r="U704" i="17"/>
  <c r="AL703" i="17"/>
  <c r="U703" i="17"/>
  <c r="AL702" i="17"/>
  <c r="U702" i="17"/>
  <c r="AL701" i="17"/>
  <c r="U701" i="17"/>
  <c r="AL700" i="17"/>
  <c r="U700" i="17"/>
  <c r="AL699" i="17"/>
  <c r="U699" i="17"/>
  <c r="AJ699" i="17" s="1"/>
  <c r="AL698" i="17"/>
  <c r="U698" i="17"/>
  <c r="AL697" i="17"/>
  <c r="U697" i="17"/>
  <c r="AG697" i="17" s="1"/>
  <c r="AL696" i="17"/>
  <c r="U696" i="17"/>
  <c r="AL695" i="17"/>
  <c r="U695" i="17"/>
  <c r="AL694" i="17"/>
  <c r="U694" i="17"/>
  <c r="AG694" i="17" s="1"/>
  <c r="AL693" i="17"/>
  <c r="U693" i="17"/>
  <c r="AG693" i="17" s="1"/>
  <c r="AL692" i="17"/>
  <c r="U692" i="17"/>
  <c r="AL691" i="17"/>
  <c r="U691" i="17"/>
  <c r="AJ691" i="17" s="1"/>
  <c r="AL690" i="17"/>
  <c r="U690" i="17"/>
  <c r="AG690" i="17" s="1"/>
  <c r="AL689" i="17"/>
  <c r="U689" i="17"/>
  <c r="AG689" i="17" s="1"/>
  <c r="AL688" i="17"/>
  <c r="U688" i="17"/>
  <c r="AL687" i="17"/>
  <c r="U687" i="17"/>
  <c r="AL686" i="17"/>
  <c r="U686" i="17"/>
  <c r="AJ686" i="17" s="1"/>
  <c r="AL685" i="17"/>
  <c r="U685" i="17"/>
  <c r="AL684" i="17"/>
  <c r="U684" i="17"/>
  <c r="AL683" i="17"/>
  <c r="U683" i="17"/>
  <c r="AL682" i="17"/>
  <c r="U682" i="17"/>
  <c r="AJ682" i="17" s="1"/>
  <c r="AL681" i="17"/>
  <c r="U681" i="17"/>
  <c r="AL680" i="17"/>
  <c r="U680" i="17"/>
  <c r="AL679" i="17"/>
  <c r="U679" i="17"/>
  <c r="AL678" i="17"/>
  <c r="U678" i="17"/>
  <c r="AG678" i="17" s="1"/>
  <c r="AL677" i="17"/>
  <c r="U677" i="17"/>
  <c r="AG677" i="17" s="1"/>
  <c r="AL676" i="17"/>
  <c r="U676" i="17"/>
  <c r="AJ676" i="17" s="1"/>
  <c r="AL675" i="17"/>
  <c r="U675" i="17"/>
  <c r="AJ675" i="17" s="1"/>
  <c r="AL674" i="17"/>
  <c r="U674" i="17"/>
  <c r="AG674" i="17" s="1"/>
  <c r="AL673" i="17"/>
  <c r="U673" i="17"/>
  <c r="AG673" i="17" s="1"/>
  <c r="AL672" i="17"/>
  <c r="U672" i="17"/>
  <c r="AJ672" i="17" s="1"/>
  <c r="AL671" i="17"/>
  <c r="U671" i="17"/>
  <c r="AL670" i="17"/>
  <c r="U670" i="17"/>
  <c r="AG670" i="17" s="1"/>
  <c r="AL669" i="17"/>
  <c r="U669" i="17"/>
  <c r="AL668" i="17"/>
  <c r="U668" i="17"/>
  <c r="AL667" i="17"/>
  <c r="U667" i="17"/>
  <c r="AL666" i="17"/>
  <c r="U666" i="17"/>
  <c r="AG666" i="17" s="1"/>
  <c r="AL665" i="17"/>
  <c r="U665" i="17"/>
  <c r="AG665" i="17" s="1"/>
  <c r="AL664" i="17"/>
  <c r="U664" i="17"/>
  <c r="AL663" i="17"/>
  <c r="U663" i="17"/>
  <c r="AG663" i="17" s="1"/>
  <c r="AL662" i="17"/>
  <c r="U662" i="17"/>
  <c r="AJ662" i="17" s="1"/>
  <c r="AL661" i="17"/>
  <c r="U661" i="17"/>
  <c r="AG661" i="17" s="1"/>
  <c r="AL660" i="17"/>
  <c r="U660" i="17"/>
  <c r="AJ660" i="17" s="1"/>
  <c r="AL659" i="17"/>
  <c r="U659" i="17"/>
  <c r="AJ659" i="17" s="1"/>
  <c r="AL658" i="17"/>
  <c r="U658" i="17"/>
  <c r="AJ658" i="17" s="1"/>
  <c r="AL657" i="17"/>
  <c r="U657" i="17"/>
  <c r="AG657" i="17" s="1"/>
  <c r="AL656" i="17"/>
  <c r="U656" i="17"/>
  <c r="AJ656" i="17" s="1"/>
  <c r="AL655" i="17"/>
  <c r="U655" i="17"/>
  <c r="AL654" i="17"/>
  <c r="U654" i="17"/>
  <c r="AJ654" i="17" s="1"/>
  <c r="AL653" i="17"/>
  <c r="U653" i="17"/>
  <c r="AL652" i="17"/>
  <c r="U652" i="17"/>
  <c r="AL651" i="17"/>
  <c r="U651" i="17"/>
  <c r="AJ651" i="17" s="1"/>
  <c r="AL650" i="17"/>
  <c r="U650" i="17"/>
  <c r="AJ650" i="17" s="1"/>
  <c r="AL649" i="17"/>
  <c r="U649" i="17"/>
  <c r="AL648" i="17"/>
  <c r="U648" i="17"/>
  <c r="AJ648" i="17" s="1"/>
  <c r="AL647" i="17"/>
  <c r="U647" i="17"/>
  <c r="AL646" i="17"/>
  <c r="U646" i="17"/>
  <c r="AG646" i="17" s="1"/>
  <c r="AL645" i="17"/>
  <c r="U645" i="17"/>
  <c r="AG645" i="17" s="1"/>
  <c r="AL644" i="17"/>
  <c r="U644" i="17"/>
  <c r="AJ644" i="17" s="1"/>
  <c r="AL643" i="17"/>
  <c r="U643" i="17"/>
  <c r="AJ643" i="17" s="1"/>
  <c r="AL642" i="17"/>
  <c r="U642" i="17"/>
  <c r="AG642" i="17" s="1"/>
  <c r="AL641" i="17"/>
  <c r="U641" i="17"/>
  <c r="AG641" i="17" s="1"/>
  <c r="AL640" i="17"/>
  <c r="U640" i="17"/>
  <c r="AL639" i="17"/>
  <c r="U639" i="17"/>
  <c r="AG639" i="17" s="1"/>
  <c r="AL638" i="17"/>
  <c r="U638" i="17"/>
  <c r="AG638" i="17" s="1"/>
  <c r="AL637" i="17"/>
  <c r="U637" i="17"/>
  <c r="AJ637" i="17" s="1"/>
  <c r="AL636" i="17"/>
  <c r="U636" i="17"/>
  <c r="AL635" i="17"/>
  <c r="U635" i="17"/>
  <c r="AL634" i="17"/>
  <c r="U634" i="17"/>
  <c r="AL633" i="17"/>
  <c r="U633" i="17"/>
  <c r="AJ633" i="17" s="1"/>
  <c r="AL632" i="17"/>
  <c r="U632" i="17"/>
  <c r="AL631" i="17"/>
  <c r="U631" i="17"/>
  <c r="AG631" i="17" s="1"/>
  <c r="AL630" i="17"/>
  <c r="U630" i="17"/>
  <c r="AG630" i="17" s="1"/>
  <c r="AL629" i="17"/>
  <c r="U629" i="17"/>
  <c r="AJ629" i="17" s="1"/>
  <c r="AL628" i="17"/>
  <c r="U628" i="17"/>
  <c r="AL627" i="17"/>
  <c r="U627" i="17"/>
  <c r="AG627" i="17" s="1"/>
  <c r="AL626" i="17"/>
  <c r="U626" i="17"/>
  <c r="AL625" i="17"/>
  <c r="U625" i="17"/>
  <c r="AJ625" i="17" s="1"/>
  <c r="AL624" i="17"/>
  <c r="U624" i="17"/>
  <c r="AL623" i="17"/>
  <c r="U623" i="17"/>
  <c r="AG623" i="17" s="1"/>
  <c r="AL622" i="17"/>
  <c r="U622" i="17"/>
  <c r="AG622" i="17" s="1"/>
  <c r="AL621" i="17"/>
  <c r="U621" i="17"/>
  <c r="AJ621" i="17" s="1"/>
  <c r="AL620" i="17"/>
  <c r="U620" i="17"/>
  <c r="AL619" i="17"/>
  <c r="U619" i="17"/>
  <c r="AJ619" i="17" s="1"/>
  <c r="AL618" i="17"/>
  <c r="U618" i="17"/>
  <c r="AL617" i="17"/>
  <c r="U617" i="17"/>
  <c r="AJ617" i="17" s="1"/>
  <c r="AL616" i="17"/>
  <c r="U616" i="17"/>
  <c r="AL615" i="17"/>
  <c r="U615" i="17"/>
  <c r="AG615" i="17" s="1"/>
  <c r="AL614" i="17"/>
  <c r="U614" i="17"/>
  <c r="AG614" i="17" s="1"/>
  <c r="AL613" i="17"/>
  <c r="U613" i="17"/>
  <c r="AJ613" i="17" s="1"/>
  <c r="AL612" i="17"/>
  <c r="U612" i="17"/>
  <c r="AL611" i="17"/>
  <c r="U611" i="17"/>
  <c r="AJ611" i="17" s="1"/>
  <c r="AL610" i="17"/>
  <c r="U610" i="17"/>
  <c r="AL609" i="17"/>
  <c r="U609" i="17"/>
  <c r="AJ609" i="17" s="1"/>
  <c r="AL608" i="17"/>
  <c r="U608" i="17"/>
  <c r="AL607" i="17"/>
  <c r="U607" i="17"/>
  <c r="AG607" i="17" s="1"/>
  <c r="AL606" i="17"/>
  <c r="U606" i="17"/>
  <c r="AG606" i="17" s="1"/>
  <c r="AL605" i="17"/>
  <c r="U605" i="17"/>
  <c r="AJ605" i="17" s="1"/>
  <c r="AL604" i="17"/>
  <c r="U604" i="17"/>
  <c r="AL603" i="17"/>
  <c r="U603" i="17"/>
  <c r="AL602" i="17"/>
  <c r="U602" i="17"/>
  <c r="AJ602" i="17" s="1"/>
  <c r="AL601" i="17"/>
  <c r="U601" i="17"/>
  <c r="AJ601" i="17" s="1"/>
  <c r="AL600" i="17"/>
  <c r="U600" i="17"/>
  <c r="AL599" i="17"/>
  <c r="U599" i="17"/>
  <c r="AJ599" i="17" s="1"/>
  <c r="AL598" i="17"/>
  <c r="U598" i="17"/>
  <c r="AL597" i="17"/>
  <c r="U597" i="17"/>
  <c r="AJ597" i="17" s="1"/>
  <c r="AL596" i="17"/>
  <c r="U596" i="17"/>
  <c r="AL595" i="17"/>
  <c r="U595" i="17"/>
  <c r="AG595" i="17" s="1"/>
  <c r="AL594" i="17"/>
  <c r="U594" i="17"/>
  <c r="AG594" i="17" s="1"/>
  <c r="AL593" i="17"/>
  <c r="U593" i="17"/>
  <c r="AJ593" i="17" s="1"/>
  <c r="AL592" i="17"/>
  <c r="U592" i="17"/>
  <c r="AL591" i="17"/>
  <c r="U591" i="17"/>
  <c r="AJ591" i="17" s="1"/>
  <c r="AL590" i="17"/>
  <c r="U590" i="17"/>
  <c r="AL589" i="17"/>
  <c r="U589" i="17"/>
  <c r="AJ589" i="17" s="1"/>
  <c r="AL588" i="17"/>
  <c r="U588" i="17"/>
  <c r="AL587" i="17"/>
  <c r="U587" i="17"/>
  <c r="AG587" i="17" s="1"/>
  <c r="AL586" i="17"/>
  <c r="U586" i="17"/>
  <c r="AL585" i="17"/>
  <c r="U585" i="17"/>
  <c r="AJ585" i="17" s="1"/>
  <c r="AL584" i="17"/>
  <c r="U584" i="17"/>
  <c r="AL583" i="17"/>
  <c r="U583" i="17"/>
  <c r="AJ583" i="17" s="1"/>
  <c r="AL582" i="17"/>
  <c r="U582" i="17"/>
  <c r="AJ582" i="17" s="1"/>
  <c r="AL581" i="17"/>
  <c r="U581" i="17"/>
  <c r="AJ581" i="17" s="1"/>
  <c r="AL580" i="17"/>
  <c r="U580" i="17"/>
  <c r="AL579" i="17"/>
  <c r="U579" i="17"/>
  <c r="AJ579" i="17" s="1"/>
  <c r="AL578" i="17"/>
  <c r="U578" i="17"/>
  <c r="AJ578" i="17" s="1"/>
  <c r="AL577" i="17"/>
  <c r="U577" i="17"/>
  <c r="AJ577" i="17" s="1"/>
  <c r="AL576" i="17"/>
  <c r="U576" i="17"/>
  <c r="AL575" i="17"/>
  <c r="U575" i="17"/>
  <c r="AJ575" i="17" s="1"/>
  <c r="AL574" i="17"/>
  <c r="U574" i="17"/>
  <c r="AJ574" i="17" s="1"/>
  <c r="AL573" i="17"/>
  <c r="U573" i="17"/>
  <c r="AJ573" i="17" s="1"/>
  <c r="AL572" i="17"/>
  <c r="U572" i="17"/>
  <c r="AL571" i="17"/>
  <c r="U571" i="17"/>
  <c r="AJ571" i="17" s="1"/>
  <c r="AL570" i="17"/>
  <c r="U570" i="17"/>
  <c r="AL569" i="17"/>
  <c r="U569" i="17"/>
  <c r="AJ569" i="17" s="1"/>
  <c r="AL568" i="17"/>
  <c r="U568" i="17"/>
  <c r="AL567" i="17"/>
  <c r="U567" i="17"/>
  <c r="AJ567" i="17" s="1"/>
  <c r="AL566" i="17"/>
  <c r="U566" i="17"/>
  <c r="AJ566" i="17" s="1"/>
  <c r="AL565" i="17"/>
  <c r="U565" i="17"/>
  <c r="AJ565" i="17" s="1"/>
  <c r="AL564" i="17"/>
  <c r="U564" i="17"/>
  <c r="AL563" i="17"/>
  <c r="U563" i="17"/>
  <c r="AJ563" i="17" s="1"/>
  <c r="AL562" i="17"/>
  <c r="U562" i="17"/>
  <c r="AJ562" i="17" s="1"/>
  <c r="AL561" i="17"/>
  <c r="U561" i="17"/>
  <c r="AJ561" i="17" s="1"/>
  <c r="AL560" i="17"/>
  <c r="U560" i="17"/>
  <c r="AL559" i="17"/>
  <c r="U559" i="17"/>
  <c r="AJ559" i="17" s="1"/>
  <c r="AL558" i="17"/>
  <c r="U558" i="17"/>
  <c r="AJ558" i="17" s="1"/>
  <c r="AL557" i="17"/>
  <c r="U557" i="17"/>
  <c r="AJ557" i="17" s="1"/>
  <c r="AL556" i="17"/>
  <c r="U556" i="17"/>
  <c r="AL555" i="17"/>
  <c r="U555" i="17"/>
  <c r="AJ555" i="17" s="1"/>
  <c r="AL554" i="17"/>
  <c r="U554" i="17"/>
  <c r="AJ554" i="17" s="1"/>
  <c r="AL553" i="17"/>
  <c r="U553" i="17"/>
  <c r="AJ553" i="17" s="1"/>
  <c r="AL552" i="17"/>
  <c r="U552" i="17"/>
  <c r="AL551" i="17"/>
  <c r="U551" i="17"/>
  <c r="AJ551" i="17" s="1"/>
  <c r="AL550" i="17"/>
  <c r="U550" i="17"/>
  <c r="AJ550" i="17" s="1"/>
  <c r="AL549" i="17"/>
  <c r="U549" i="17"/>
  <c r="AJ549" i="17" s="1"/>
  <c r="AL548" i="17"/>
  <c r="U548" i="17"/>
  <c r="AL547" i="17"/>
  <c r="U547" i="17"/>
  <c r="AJ547" i="17" s="1"/>
  <c r="AL546" i="17"/>
  <c r="U546" i="17"/>
  <c r="AJ546" i="17" s="1"/>
  <c r="AL545" i="17"/>
  <c r="U545" i="17"/>
  <c r="AJ545" i="17" s="1"/>
  <c r="AL544" i="17"/>
  <c r="U544" i="17"/>
  <c r="AL543" i="17"/>
  <c r="U543" i="17"/>
  <c r="AJ543" i="17" s="1"/>
  <c r="AL542" i="17"/>
  <c r="U542" i="17"/>
  <c r="AJ542" i="17" s="1"/>
  <c r="AL541" i="17"/>
  <c r="U541" i="17"/>
  <c r="AJ541" i="17" s="1"/>
  <c r="AL540" i="17"/>
  <c r="U540" i="17"/>
  <c r="AL539" i="17"/>
  <c r="U539" i="17"/>
  <c r="AJ539" i="17" s="1"/>
  <c r="AL538" i="17"/>
  <c r="U538" i="17"/>
  <c r="AJ538" i="17" s="1"/>
  <c r="AL537" i="17"/>
  <c r="U537" i="17"/>
  <c r="AJ537" i="17" s="1"/>
  <c r="AL536" i="17"/>
  <c r="U536" i="17"/>
  <c r="AL535" i="17"/>
  <c r="U535" i="17"/>
  <c r="AJ535" i="17" s="1"/>
  <c r="AL534" i="17"/>
  <c r="U534" i="17"/>
  <c r="AJ534" i="17" s="1"/>
  <c r="AL533" i="17"/>
  <c r="U533" i="17"/>
  <c r="AJ533" i="17" s="1"/>
  <c r="AL532" i="17"/>
  <c r="U532" i="17"/>
  <c r="AL531" i="17"/>
  <c r="U531" i="17"/>
  <c r="AJ531" i="17" s="1"/>
  <c r="AL530" i="17"/>
  <c r="U530" i="17"/>
  <c r="AJ530" i="17" s="1"/>
  <c r="AL529" i="17"/>
  <c r="U529" i="17"/>
  <c r="AJ529" i="17" s="1"/>
  <c r="AL528" i="17"/>
  <c r="U528" i="17"/>
  <c r="AL527" i="17"/>
  <c r="U527" i="17"/>
  <c r="AJ527" i="17" s="1"/>
  <c r="AL526" i="17"/>
  <c r="U526" i="17"/>
  <c r="AJ526" i="17" s="1"/>
  <c r="AL525" i="17"/>
  <c r="U525" i="17"/>
  <c r="AJ525" i="17" s="1"/>
  <c r="AL524" i="17"/>
  <c r="U524" i="17"/>
  <c r="AL523" i="17"/>
  <c r="U523" i="17"/>
  <c r="AJ523" i="17" s="1"/>
  <c r="AL522" i="17"/>
  <c r="U522" i="17"/>
  <c r="AJ522" i="17" s="1"/>
  <c r="AL521" i="17"/>
  <c r="U521" i="17"/>
  <c r="AJ521" i="17" s="1"/>
  <c r="AL520" i="17"/>
  <c r="U520" i="17"/>
  <c r="AL519" i="17"/>
  <c r="U519" i="17"/>
  <c r="AJ519" i="17" s="1"/>
  <c r="AL518" i="17"/>
  <c r="U518" i="17"/>
  <c r="AJ518" i="17" s="1"/>
  <c r="AL517" i="17"/>
  <c r="U517" i="17"/>
  <c r="AJ517" i="17" s="1"/>
  <c r="AL516" i="17"/>
  <c r="U516" i="17"/>
  <c r="AL515" i="17"/>
  <c r="U515" i="17"/>
  <c r="AJ515" i="17" s="1"/>
  <c r="AL514" i="17"/>
  <c r="U514" i="17"/>
  <c r="AJ514" i="17" s="1"/>
  <c r="AL513" i="17"/>
  <c r="U513" i="17"/>
  <c r="AJ513" i="17" s="1"/>
  <c r="AL512" i="17"/>
  <c r="U512" i="17"/>
  <c r="AL511" i="17"/>
  <c r="U511" i="17"/>
  <c r="AJ511" i="17" s="1"/>
  <c r="AL510" i="17"/>
  <c r="U510" i="17"/>
  <c r="AJ510" i="17" s="1"/>
  <c r="AL509" i="17"/>
  <c r="U509" i="17"/>
  <c r="AJ509" i="17" s="1"/>
  <c r="AL508" i="17"/>
  <c r="U508" i="17"/>
  <c r="AL507" i="17"/>
  <c r="U507" i="17"/>
  <c r="AJ507" i="17" s="1"/>
  <c r="AL506" i="17"/>
  <c r="U506" i="17"/>
  <c r="AJ506" i="17" s="1"/>
  <c r="AL505" i="17"/>
  <c r="U505" i="17"/>
  <c r="AJ505" i="17" s="1"/>
  <c r="AL504" i="17"/>
  <c r="U504" i="17"/>
  <c r="AL503" i="17"/>
  <c r="U503" i="17"/>
  <c r="AJ503" i="17" s="1"/>
  <c r="AL502" i="17"/>
  <c r="U502" i="17"/>
  <c r="AJ502" i="17" s="1"/>
  <c r="AL501" i="17"/>
  <c r="U501" i="17"/>
  <c r="AJ501" i="17" s="1"/>
  <c r="AL500" i="17"/>
  <c r="U500" i="17"/>
  <c r="AJ500" i="17" s="1"/>
  <c r="AL499" i="17"/>
  <c r="U499" i="17"/>
  <c r="AL498" i="17"/>
  <c r="U498" i="17"/>
  <c r="AG498" i="17" s="1"/>
  <c r="AL497" i="17"/>
  <c r="U497" i="17"/>
  <c r="AL496" i="17"/>
  <c r="U496" i="17"/>
  <c r="AL495" i="17"/>
  <c r="U495" i="17"/>
  <c r="AG495" i="17" s="1"/>
  <c r="AL494" i="17"/>
  <c r="U494" i="17"/>
  <c r="AG494" i="17" s="1"/>
  <c r="AL493" i="17"/>
  <c r="U493" i="17"/>
  <c r="AL492" i="17"/>
  <c r="U492" i="17"/>
  <c r="AJ492" i="17" s="1"/>
  <c r="AL491" i="17"/>
  <c r="U491" i="17"/>
  <c r="AL490" i="17"/>
  <c r="U490" i="17"/>
  <c r="AG490" i="17" s="1"/>
  <c r="AL489" i="17"/>
  <c r="U489" i="17"/>
  <c r="AL488" i="17"/>
  <c r="U488" i="17"/>
  <c r="AJ488" i="17" s="1"/>
  <c r="AL487" i="17"/>
  <c r="U487" i="17"/>
  <c r="AJ487" i="17" s="1"/>
  <c r="AL486" i="17"/>
  <c r="U486" i="17"/>
  <c r="AJ486" i="17" s="1"/>
  <c r="AL485" i="17"/>
  <c r="U485" i="17"/>
  <c r="AL484" i="17"/>
  <c r="U484" i="17"/>
  <c r="AJ484" i="17" s="1"/>
  <c r="AL483" i="17"/>
  <c r="U483" i="17"/>
  <c r="AJ483" i="17" s="1"/>
  <c r="AL482" i="17"/>
  <c r="U482" i="17"/>
  <c r="AJ482" i="17" s="1"/>
  <c r="AL481" i="17"/>
  <c r="U481" i="17"/>
  <c r="AL480" i="17"/>
  <c r="U480" i="17"/>
  <c r="AL479" i="17"/>
  <c r="U479" i="17"/>
  <c r="AJ479" i="17" s="1"/>
  <c r="AL478" i="17"/>
  <c r="U478" i="17"/>
  <c r="AJ478" i="17" s="1"/>
  <c r="AL477" i="17"/>
  <c r="U477" i="17"/>
  <c r="AL476" i="17"/>
  <c r="U476" i="17"/>
  <c r="AJ476" i="17" s="1"/>
  <c r="AL475" i="17"/>
  <c r="U475" i="17"/>
  <c r="AJ475" i="17" s="1"/>
  <c r="AL474" i="17"/>
  <c r="U474" i="17"/>
  <c r="AJ474" i="17" s="1"/>
  <c r="AL473" i="17"/>
  <c r="U473" i="17"/>
  <c r="AL472" i="17"/>
  <c r="U472" i="17"/>
  <c r="AL471" i="17"/>
  <c r="U471" i="17"/>
  <c r="AL470" i="17"/>
  <c r="U470" i="17"/>
  <c r="AL469" i="17"/>
  <c r="U469" i="17"/>
  <c r="AL468" i="17"/>
  <c r="U468" i="17"/>
  <c r="AJ468" i="17" s="1"/>
  <c r="AL467" i="17"/>
  <c r="U467" i="17"/>
  <c r="AG467" i="17" s="1"/>
  <c r="AL466" i="17"/>
  <c r="U466" i="17"/>
  <c r="AJ466" i="17" s="1"/>
  <c r="AL465" i="17"/>
  <c r="U465" i="17"/>
  <c r="AG465" i="17" s="1"/>
  <c r="AL464" i="17"/>
  <c r="U464" i="17"/>
  <c r="AG464" i="17" s="1"/>
  <c r="AL463" i="17"/>
  <c r="U463" i="17"/>
  <c r="AL462" i="17"/>
  <c r="U462" i="17"/>
  <c r="AJ462" i="17" s="1"/>
  <c r="AL461" i="17"/>
  <c r="U461" i="17"/>
  <c r="AG461" i="17" s="1"/>
  <c r="AL460" i="17"/>
  <c r="U460" i="17"/>
  <c r="AG460" i="17" s="1"/>
  <c r="AL459" i="17"/>
  <c r="U459" i="17"/>
  <c r="AL458" i="17"/>
  <c r="U458" i="17"/>
  <c r="AL457" i="17"/>
  <c r="U457" i="17"/>
  <c r="AL456" i="17"/>
  <c r="U456" i="17"/>
  <c r="AG456" i="17" s="1"/>
  <c r="AL455" i="17"/>
  <c r="U455" i="17"/>
  <c r="AL454" i="17"/>
  <c r="U454" i="17"/>
  <c r="AJ454" i="17" s="1"/>
  <c r="AL453" i="17"/>
  <c r="U453" i="17"/>
  <c r="AJ453" i="17" s="1"/>
  <c r="AL452" i="17"/>
  <c r="U452" i="17"/>
  <c r="AG452" i="17" s="1"/>
  <c r="AL451" i="17"/>
  <c r="U451" i="17"/>
  <c r="AL450" i="17"/>
  <c r="U450" i="17"/>
  <c r="AJ450" i="17" s="1"/>
  <c r="AL449" i="17"/>
  <c r="U449" i="17"/>
  <c r="AJ449" i="17" s="1"/>
  <c r="AL448" i="17"/>
  <c r="U448" i="17"/>
  <c r="AG448" i="17" s="1"/>
  <c r="AL447" i="17"/>
  <c r="U447" i="17"/>
  <c r="AL446" i="17"/>
  <c r="U446" i="17"/>
  <c r="AL445" i="17"/>
  <c r="U445" i="17"/>
  <c r="AJ445" i="17" s="1"/>
  <c r="AL444" i="17"/>
  <c r="U444" i="17"/>
  <c r="AG444" i="17" s="1"/>
  <c r="AL443" i="17"/>
  <c r="U443" i="17"/>
  <c r="AL442" i="17"/>
  <c r="U442" i="17"/>
  <c r="AJ442" i="17" s="1"/>
  <c r="AL441" i="17"/>
  <c r="U441" i="17"/>
  <c r="AJ441" i="17" s="1"/>
  <c r="AL440" i="17"/>
  <c r="U440" i="17"/>
  <c r="AG440" i="17" s="1"/>
  <c r="AL439" i="17"/>
  <c r="U439" i="17"/>
  <c r="AL438" i="17"/>
  <c r="U438" i="17"/>
  <c r="AL437" i="17"/>
  <c r="U437" i="17"/>
  <c r="AJ437" i="17" s="1"/>
  <c r="AL436" i="17"/>
  <c r="U436" i="17"/>
  <c r="AG436" i="17" s="1"/>
  <c r="AL435" i="17"/>
  <c r="U435" i="17"/>
  <c r="AL434" i="17"/>
  <c r="U434" i="17"/>
  <c r="AJ434" i="17" s="1"/>
  <c r="AL433" i="17"/>
  <c r="U433" i="17"/>
  <c r="AJ433" i="17" s="1"/>
  <c r="AL432" i="17"/>
  <c r="U432" i="17"/>
  <c r="AG432" i="17" s="1"/>
  <c r="AL431" i="17"/>
  <c r="U431" i="17"/>
  <c r="AL430" i="17"/>
  <c r="U430" i="17"/>
  <c r="AL429" i="17"/>
  <c r="U429" i="17"/>
  <c r="AJ429" i="17" s="1"/>
  <c r="AL428" i="17"/>
  <c r="U428" i="17"/>
  <c r="AG428" i="17" s="1"/>
  <c r="AL427" i="17"/>
  <c r="U427" i="17"/>
  <c r="AL426" i="17"/>
  <c r="U426" i="17"/>
  <c r="AJ426" i="17" s="1"/>
  <c r="AL425" i="17"/>
  <c r="U425" i="17"/>
  <c r="AJ425" i="17" s="1"/>
  <c r="AL424" i="17"/>
  <c r="U424" i="17"/>
  <c r="AG424" i="17" s="1"/>
  <c r="AL423" i="17"/>
  <c r="U423" i="17"/>
  <c r="AL422" i="17"/>
  <c r="U422" i="17"/>
  <c r="AL421" i="17"/>
  <c r="U421" i="17"/>
  <c r="AJ421" i="17" s="1"/>
  <c r="AL420" i="17"/>
  <c r="U420" i="17"/>
  <c r="AG420" i="17" s="1"/>
  <c r="AL419" i="17"/>
  <c r="U419" i="17"/>
  <c r="AL418" i="17"/>
  <c r="U418" i="17"/>
  <c r="AJ418" i="17" s="1"/>
  <c r="AL417" i="17"/>
  <c r="U417" i="17"/>
  <c r="AJ417" i="17" s="1"/>
  <c r="AL416" i="17"/>
  <c r="U416" i="17"/>
  <c r="AG416" i="17" s="1"/>
  <c r="AL415" i="17"/>
  <c r="U415" i="17"/>
  <c r="AL414" i="17"/>
  <c r="U414" i="17"/>
  <c r="AL413" i="17"/>
  <c r="U413" i="17"/>
  <c r="AJ413" i="17" s="1"/>
  <c r="AL412" i="17"/>
  <c r="U412" i="17"/>
  <c r="AG412" i="17" s="1"/>
  <c r="AL411" i="17"/>
  <c r="U411" i="17"/>
  <c r="AL410" i="17"/>
  <c r="U410" i="17"/>
  <c r="AJ410" i="17" s="1"/>
  <c r="AL409" i="17"/>
  <c r="U409" i="17"/>
  <c r="AJ409" i="17" s="1"/>
  <c r="AL408" i="17"/>
  <c r="U408" i="17"/>
  <c r="AG408" i="17" s="1"/>
  <c r="AL407" i="17"/>
  <c r="U407" i="17"/>
  <c r="AL406" i="17"/>
  <c r="U406" i="17"/>
  <c r="AL405" i="17"/>
  <c r="U405" i="17"/>
  <c r="AJ405" i="17" s="1"/>
  <c r="AL404" i="17"/>
  <c r="U404" i="17"/>
  <c r="AG404" i="17" s="1"/>
  <c r="AL403" i="17"/>
  <c r="U403" i="17"/>
  <c r="AL402" i="17"/>
  <c r="U402" i="17"/>
  <c r="AJ402" i="17" s="1"/>
  <c r="AL401" i="17"/>
  <c r="U401" i="17"/>
  <c r="AJ401" i="17" s="1"/>
  <c r="AL400" i="17"/>
  <c r="U400" i="17"/>
  <c r="AG400" i="17" s="1"/>
  <c r="AL399" i="17"/>
  <c r="U399" i="17"/>
  <c r="AL398" i="17"/>
  <c r="U398" i="17"/>
  <c r="AL397" i="17"/>
  <c r="U397" i="17"/>
  <c r="AJ397" i="17" s="1"/>
  <c r="AL396" i="17"/>
  <c r="U396" i="17"/>
  <c r="AG396" i="17" s="1"/>
  <c r="AL395" i="17"/>
  <c r="U395" i="17"/>
  <c r="AL394" i="17"/>
  <c r="U394" i="17"/>
  <c r="AJ394" i="17" s="1"/>
  <c r="AL393" i="17"/>
  <c r="U393" i="17"/>
  <c r="AJ393" i="17" s="1"/>
  <c r="AL392" i="17"/>
  <c r="U392" i="17"/>
  <c r="AG392" i="17" s="1"/>
  <c r="AL391" i="17"/>
  <c r="U391" i="17"/>
  <c r="AL390" i="17"/>
  <c r="U390" i="17"/>
  <c r="AL389" i="17"/>
  <c r="U389" i="17"/>
  <c r="AJ389" i="17" s="1"/>
  <c r="AL388" i="17"/>
  <c r="U388" i="17"/>
  <c r="AG388" i="17" s="1"/>
  <c r="AL387" i="17"/>
  <c r="U387" i="17"/>
  <c r="AL386" i="17"/>
  <c r="U386" i="17"/>
  <c r="AJ386" i="17" s="1"/>
  <c r="AL385" i="17"/>
  <c r="U385" i="17"/>
  <c r="AJ385" i="17" s="1"/>
  <c r="AL384" i="17"/>
  <c r="U384" i="17"/>
  <c r="AG384" i="17" s="1"/>
  <c r="AL383" i="17"/>
  <c r="U383" i="17"/>
  <c r="AL382" i="17"/>
  <c r="U382" i="17"/>
  <c r="AL381" i="17"/>
  <c r="U381" i="17"/>
  <c r="AJ381" i="17" s="1"/>
  <c r="AL380" i="17"/>
  <c r="U380" i="17"/>
  <c r="AG380" i="17" s="1"/>
  <c r="AL379" i="17"/>
  <c r="U379" i="17"/>
  <c r="AL378" i="17"/>
  <c r="U378" i="17"/>
  <c r="AJ378" i="17" s="1"/>
  <c r="AL377" i="17"/>
  <c r="U377" i="17"/>
  <c r="AJ377" i="17" s="1"/>
  <c r="AL376" i="17"/>
  <c r="U376" i="17"/>
  <c r="AG376" i="17" s="1"/>
  <c r="AL375" i="17"/>
  <c r="U375" i="17"/>
  <c r="AL374" i="17"/>
  <c r="U374" i="17"/>
  <c r="AL373" i="17"/>
  <c r="U373" i="17"/>
  <c r="AJ373" i="17" s="1"/>
  <c r="AL372" i="17"/>
  <c r="U372" i="17"/>
  <c r="AG372" i="17" s="1"/>
  <c r="AL371" i="17"/>
  <c r="U371" i="17"/>
  <c r="AL370" i="17"/>
  <c r="U370" i="17"/>
  <c r="AJ370" i="17" s="1"/>
  <c r="AL369" i="17"/>
  <c r="U369" i="17"/>
  <c r="AJ369" i="17" s="1"/>
  <c r="AL368" i="17"/>
  <c r="U368" i="17"/>
  <c r="AG368" i="17" s="1"/>
  <c r="AL367" i="17"/>
  <c r="U367" i="17"/>
  <c r="AL366" i="17"/>
  <c r="U366" i="17"/>
  <c r="AL365" i="17"/>
  <c r="U365" i="17"/>
  <c r="AJ365" i="17" s="1"/>
  <c r="AL364" i="17"/>
  <c r="U364" i="17"/>
  <c r="AG364" i="17" s="1"/>
  <c r="AL363" i="17"/>
  <c r="U363" i="17"/>
  <c r="AL362" i="17"/>
  <c r="U362" i="17"/>
  <c r="AJ362" i="17" s="1"/>
  <c r="AL361" i="17"/>
  <c r="U361" i="17"/>
  <c r="AJ361" i="17" s="1"/>
  <c r="AL360" i="17"/>
  <c r="U360" i="17"/>
  <c r="AG360" i="17" s="1"/>
  <c r="AL359" i="17"/>
  <c r="U359" i="17"/>
  <c r="AL358" i="17"/>
  <c r="U358" i="17"/>
  <c r="AL357" i="17"/>
  <c r="U357" i="17"/>
  <c r="AJ357" i="17" s="1"/>
  <c r="AL356" i="17"/>
  <c r="U356" i="17"/>
  <c r="AG356" i="17" s="1"/>
  <c r="AL355" i="17"/>
  <c r="U355" i="17"/>
  <c r="AL354" i="17"/>
  <c r="U354" i="17"/>
  <c r="AJ354" i="17" s="1"/>
  <c r="AL353" i="17"/>
  <c r="U353" i="17"/>
  <c r="AJ353" i="17" s="1"/>
  <c r="AL352" i="17"/>
  <c r="U352" i="17"/>
  <c r="AG352" i="17" s="1"/>
  <c r="AL351" i="17"/>
  <c r="U351" i="17"/>
  <c r="AL350" i="17"/>
  <c r="U350" i="17"/>
  <c r="AL349" i="17"/>
  <c r="U349" i="17"/>
  <c r="AJ349" i="17" s="1"/>
  <c r="AL348" i="17"/>
  <c r="U348" i="17"/>
  <c r="AG348" i="17" s="1"/>
  <c r="AL347" i="17"/>
  <c r="U347" i="17"/>
  <c r="AL346" i="17"/>
  <c r="U346" i="17"/>
  <c r="AJ346" i="17" s="1"/>
  <c r="AL345" i="17"/>
  <c r="U345" i="17"/>
  <c r="AJ345" i="17" s="1"/>
  <c r="AL344" i="17"/>
  <c r="U344" i="17"/>
  <c r="AG344" i="17" s="1"/>
  <c r="AL343" i="17"/>
  <c r="U343" i="17"/>
  <c r="AL342" i="17"/>
  <c r="U342" i="17"/>
  <c r="AL341" i="17"/>
  <c r="U341" i="17"/>
  <c r="AJ341" i="17" s="1"/>
  <c r="AL340" i="17"/>
  <c r="U340" i="17"/>
  <c r="AG340" i="17" s="1"/>
  <c r="AL339" i="17"/>
  <c r="U339" i="17"/>
  <c r="AL338" i="17"/>
  <c r="U338" i="17"/>
  <c r="AJ338" i="17" s="1"/>
  <c r="AL337" i="17"/>
  <c r="U337" i="17"/>
  <c r="AJ337" i="17" s="1"/>
  <c r="AL336" i="17"/>
  <c r="U336" i="17"/>
  <c r="AG336" i="17" s="1"/>
  <c r="AL335" i="17"/>
  <c r="U335" i="17"/>
  <c r="AL334" i="17"/>
  <c r="U334" i="17"/>
  <c r="AL333" i="17"/>
  <c r="U333" i="17"/>
  <c r="AL332" i="17"/>
  <c r="U332" i="17"/>
  <c r="AG332" i="17" s="1"/>
  <c r="AL331" i="17"/>
  <c r="U331" i="17"/>
  <c r="AL330" i="17"/>
  <c r="U330" i="17"/>
  <c r="AJ330" i="17" s="1"/>
  <c r="AL329" i="17"/>
  <c r="U329" i="17"/>
  <c r="AJ329" i="17" s="1"/>
  <c r="AL328" i="17"/>
  <c r="U328" i="17"/>
  <c r="AG328" i="17" s="1"/>
  <c r="AL327" i="17"/>
  <c r="U327" i="17"/>
  <c r="AL326" i="17"/>
  <c r="U326" i="17"/>
  <c r="AL325" i="17"/>
  <c r="U325" i="17"/>
  <c r="AJ325" i="17" s="1"/>
  <c r="AL324" i="17"/>
  <c r="U324" i="17"/>
  <c r="AG324" i="17" s="1"/>
  <c r="AL323" i="17"/>
  <c r="U323" i="17"/>
  <c r="AL322" i="17"/>
  <c r="U322" i="17"/>
  <c r="AJ322" i="17" s="1"/>
  <c r="AL321" i="17"/>
  <c r="U321" i="17"/>
  <c r="AJ321" i="17" s="1"/>
  <c r="AL320" i="17"/>
  <c r="U320" i="17"/>
  <c r="AL319" i="17"/>
  <c r="U319" i="17"/>
  <c r="AL318" i="17"/>
  <c r="U318" i="17"/>
  <c r="AL317" i="17"/>
  <c r="U317" i="17"/>
  <c r="AG317" i="17" s="1"/>
  <c r="AL316" i="17"/>
  <c r="U316" i="17"/>
  <c r="AG316" i="17" s="1"/>
  <c r="AL315" i="17"/>
  <c r="U315" i="17"/>
  <c r="AL314" i="17"/>
  <c r="U314" i="17"/>
  <c r="AJ314" i="17" s="1"/>
  <c r="AL313" i="17"/>
  <c r="U313" i="17"/>
  <c r="AG313" i="17" s="1"/>
  <c r="AL312" i="17"/>
  <c r="U312" i="17"/>
  <c r="AL311" i="17"/>
  <c r="U311" i="17"/>
  <c r="AL310" i="17"/>
  <c r="U310" i="17"/>
  <c r="AL309" i="17"/>
  <c r="U309" i="17"/>
  <c r="AJ309" i="17" s="1"/>
  <c r="AL308" i="17"/>
  <c r="U308" i="17"/>
  <c r="AG308" i="17" s="1"/>
  <c r="AL307" i="17"/>
  <c r="U307" i="17"/>
  <c r="AL306" i="17"/>
  <c r="U306" i="17"/>
  <c r="AJ306" i="17" s="1"/>
  <c r="AL305" i="17"/>
  <c r="U305" i="17"/>
  <c r="AJ305" i="17" s="1"/>
  <c r="AL304" i="17"/>
  <c r="U304" i="17"/>
  <c r="AG304" i="17" s="1"/>
  <c r="AL303" i="17"/>
  <c r="U303" i="17"/>
  <c r="AL302" i="17"/>
  <c r="U302" i="17"/>
  <c r="AL301" i="17"/>
  <c r="U301" i="17"/>
  <c r="AJ301" i="17" s="1"/>
  <c r="AL300" i="17"/>
  <c r="U300" i="17"/>
  <c r="AG300" i="17" s="1"/>
  <c r="AL299" i="17"/>
  <c r="U299" i="17"/>
  <c r="AL298" i="17"/>
  <c r="U298" i="17"/>
  <c r="AJ298" i="17" s="1"/>
  <c r="AL297" i="17"/>
  <c r="U297" i="17"/>
  <c r="AG297" i="17" s="1"/>
  <c r="AL296" i="17"/>
  <c r="U296" i="17"/>
  <c r="AG296" i="17" s="1"/>
  <c r="AL295" i="17"/>
  <c r="U295" i="17"/>
  <c r="AL294" i="17"/>
  <c r="U294" i="17"/>
  <c r="AL293" i="17"/>
  <c r="U293" i="17"/>
  <c r="AL292" i="17"/>
  <c r="U292" i="17"/>
  <c r="AG292" i="17" s="1"/>
  <c r="AL291" i="17"/>
  <c r="U291" i="17"/>
  <c r="AL290" i="17"/>
  <c r="U290" i="17"/>
  <c r="AJ290" i="17" s="1"/>
  <c r="AL289" i="17"/>
  <c r="U289" i="17"/>
  <c r="AJ289" i="17" s="1"/>
  <c r="AL288" i="17"/>
  <c r="U288" i="17"/>
  <c r="AG288" i="17" s="1"/>
  <c r="AL287" i="17"/>
  <c r="U287" i="17"/>
  <c r="AL286" i="17"/>
  <c r="U286" i="17"/>
  <c r="AL285" i="17"/>
  <c r="U285" i="17"/>
  <c r="AJ285" i="17" s="1"/>
  <c r="AL284" i="17"/>
  <c r="U284" i="17"/>
  <c r="AG284" i="17" s="1"/>
  <c r="AL283" i="17"/>
  <c r="U283" i="17"/>
  <c r="AL282" i="17"/>
  <c r="U282" i="17"/>
  <c r="AJ282" i="17" s="1"/>
  <c r="AL281" i="17"/>
  <c r="U281" i="17"/>
  <c r="AG281" i="17" s="1"/>
  <c r="AL280" i="17"/>
  <c r="U280" i="17"/>
  <c r="AG280" i="17" s="1"/>
  <c r="AL279" i="17"/>
  <c r="U279" i="17"/>
  <c r="AL278" i="17"/>
  <c r="U278" i="17"/>
  <c r="AL277" i="17"/>
  <c r="U277" i="17"/>
  <c r="AJ277" i="17" s="1"/>
  <c r="AL276" i="17"/>
  <c r="U276" i="17"/>
  <c r="AG276" i="17" s="1"/>
  <c r="AL275" i="17"/>
  <c r="U275" i="17"/>
  <c r="AL274" i="17"/>
  <c r="U274" i="17"/>
  <c r="AJ274" i="17" s="1"/>
  <c r="AL273" i="17"/>
  <c r="U273" i="17"/>
  <c r="AJ273" i="17" s="1"/>
  <c r="AL272" i="17"/>
  <c r="U272" i="17"/>
  <c r="AL271" i="17"/>
  <c r="U271" i="17"/>
  <c r="AL270" i="17"/>
  <c r="U270" i="17"/>
  <c r="AJ270" i="17" s="1"/>
  <c r="AL269" i="17"/>
  <c r="U269" i="17"/>
  <c r="AL268" i="17"/>
  <c r="U268" i="17"/>
  <c r="AG268" i="17" s="1"/>
  <c r="AL267" i="17"/>
  <c r="U267" i="17"/>
  <c r="AJ267" i="17" s="1"/>
  <c r="AL266" i="17"/>
  <c r="U266" i="17"/>
  <c r="AG266" i="17" s="1"/>
  <c r="AL265" i="17"/>
  <c r="U265" i="17"/>
  <c r="AG265" i="17" s="1"/>
  <c r="AL264" i="17"/>
  <c r="U264" i="17"/>
  <c r="AG264" i="17" s="1"/>
  <c r="AL263" i="17"/>
  <c r="U263" i="17"/>
  <c r="AJ263" i="17" s="1"/>
  <c r="AL262" i="17"/>
  <c r="U262" i="17"/>
  <c r="AJ262" i="17" s="1"/>
  <c r="AL261" i="17"/>
  <c r="U261" i="17"/>
  <c r="AJ261" i="17" s="1"/>
  <c r="AL260" i="17"/>
  <c r="U260" i="17"/>
  <c r="AG260" i="17" s="1"/>
  <c r="AL259" i="17"/>
  <c r="U259" i="17"/>
  <c r="AJ259" i="17" s="1"/>
  <c r="AL258" i="17"/>
  <c r="U258" i="17"/>
  <c r="AL257" i="17"/>
  <c r="U257" i="17"/>
  <c r="AL256" i="17"/>
  <c r="U256" i="17"/>
  <c r="AL255" i="17"/>
  <c r="U255" i="17"/>
  <c r="AL254" i="17"/>
  <c r="U254" i="17"/>
  <c r="AJ254" i="17" s="1"/>
  <c r="AL253" i="17"/>
  <c r="U253" i="17"/>
  <c r="AJ253" i="17" s="1"/>
  <c r="AL252" i="17"/>
  <c r="U252" i="17"/>
  <c r="AG252" i="17" s="1"/>
  <c r="AL251" i="17"/>
  <c r="U251" i="17"/>
  <c r="AJ251" i="17" s="1"/>
  <c r="AL250" i="17"/>
  <c r="U250" i="17"/>
  <c r="AG250" i="17" s="1"/>
  <c r="AL249" i="17"/>
  <c r="U249" i="17"/>
  <c r="AJ249" i="17" s="1"/>
  <c r="AL248" i="17"/>
  <c r="U248" i="17"/>
  <c r="AG248" i="17" s="1"/>
  <c r="AL247" i="17"/>
  <c r="U247" i="17"/>
  <c r="AJ247" i="17" s="1"/>
  <c r="AL246" i="17"/>
  <c r="U246" i="17"/>
  <c r="AJ246" i="17" s="1"/>
  <c r="AL245" i="17"/>
  <c r="U245" i="17"/>
  <c r="AL244" i="17"/>
  <c r="U244" i="17"/>
  <c r="AG244" i="17" s="1"/>
  <c r="AL243" i="17"/>
  <c r="U243" i="17"/>
  <c r="AJ243" i="17" s="1"/>
  <c r="AL242" i="17"/>
  <c r="U242" i="17"/>
  <c r="AL241" i="17"/>
  <c r="U241" i="17"/>
  <c r="AG241" i="17" s="1"/>
  <c r="AL240" i="17"/>
  <c r="U240" i="17"/>
  <c r="AL239" i="17"/>
  <c r="U239" i="17"/>
  <c r="AL238" i="17"/>
  <c r="U238" i="17"/>
  <c r="AG238" i="17" s="1"/>
  <c r="AL237" i="17"/>
  <c r="U237" i="17"/>
  <c r="AL236" i="17"/>
  <c r="U236" i="17"/>
  <c r="AL235" i="17"/>
  <c r="U235" i="17"/>
  <c r="AJ235" i="17" s="1"/>
  <c r="AL234" i="17"/>
  <c r="U234" i="17"/>
  <c r="AG234" i="17" s="1"/>
  <c r="AL233" i="17"/>
  <c r="U233" i="17"/>
  <c r="AJ233" i="17" s="1"/>
  <c r="AL232" i="17"/>
  <c r="U232" i="17"/>
  <c r="AG232" i="17" s="1"/>
  <c r="AL231" i="17"/>
  <c r="U231" i="17"/>
  <c r="AJ231" i="17" s="1"/>
  <c r="AL230" i="17"/>
  <c r="U230" i="17"/>
  <c r="AJ230" i="17" s="1"/>
  <c r="AL229" i="17"/>
  <c r="U229" i="17"/>
  <c r="AG229" i="17" s="1"/>
  <c r="AL228" i="17"/>
  <c r="U228" i="17"/>
  <c r="AG228" i="17" s="1"/>
  <c r="AL227" i="17"/>
  <c r="U227" i="17"/>
  <c r="AJ227" i="17" s="1"/>
  <c r="AL226" i="17"/>
  <c r="U226" i="17"/>
  <c r="AL225" i="17"/>
  <c r="U225" i="17"/>
  <c r="AG225" i="17" s="1"/>
  <c r="AL224" i="17"/>
  <c r="U224" i="17"/>
  <c r="AL223" i="17"/>
  <c r="U223" i="17"/>
  <c r="AL222" i="17"/>
  <c r="U222" i="17"/>
  <c r="AG222" i="17" s="1"/>
  <c r="AL221" i="17"/>
  <c r="U221" i="17"/>
  <c r="AG221" i="17" s="1"/>
  <c r="AL220" i="17"/>
  <c r="U220" i="17"/>
  <c r="AJ220" i="17" s="1"/>
  <c r="AL219" i="17"/>
  <c r="U219" i="17"/>
  <c r="AL218" i="17"/>
  <c r="U218" i="17"/>
  <c r="AJ218" i="17" s="1"/>
  <c r="AL217" i="17"/>
  <c r="U217" i="17"/>
  <c r="AG217" i="17" s="1"/>
  <c r="AL216" i="17"/>
  <c r="U216" i="17"/>
  <c r="AJ216" i="17" s="1"/>
  <c r="AL215" i="17"/>
  <c r="U215" i="17"/>
  <c r="AL214" i="17"/>
  <c r="U214" i="17"/>
  <c r="AJ214" i="17" s="1"/>
  <c r="AL213" i="17"/>
  <c r="U213" i="17"/>
  <c r="AG213" i="17" s="1"/>
  <c r="AL212" i="17"/>
  <c r="U212" i="17"/>
  <c r="AJ212" i="17" s="1"/>
  <c r="AL211" i="17"/>
  <c r="U211" i="17"/>
  <c r="AL210" i="17"/>
  <c r="U210" i="17"/>
  <c r="AG210" i="17" s="1"/>
  <c r="AL209" i="17"/>
  <c r="U209" i="17"/>
  <c r="AG209" i="17" s="1"/>
  <c r="AL208" i="17"/>
  <c r="U208" i="17"/>
  <c r="AJ208" i="17" s="1"/>
  <c r="AL207" i="17"/>
  <c r="U207" i="17"/>
  <c r="AL206" i="17"/>
  <c r="U206" i="17"/>
  <c r="AG206" i="17" s="1"/>
  <c r="AL205" i="17"/>
  <c r="U205" i="17"/>
  <c r="AG205" i="17" s="1"/>
  <c r="AL204" i="17"/>
  <c r="U204" i="17"/>
  <c r="AJ204" i="17" s="1"/>
  <c r="AL203" i="17"/>
  <c r="U203" i="17"/>
  <c r="AL202" i="17"/>
  <c r="U202" i="17"/>
  <c r="AJ202" i="17" s="1"/>
  <c r="AL201" i="17"/>
  <c r="U201" i="17"/>
  <c r="AG201" i="17" s="1"/>
  <c r="AL200" i="17"/>
  <c r="U200" i="17"/>
  <c r="AJ200" i="17" s="1"/>
  <c r="AL199" i="17"/>
  <c r="U199" i="17"/>
  <c r="AL198" i="17"/>
  <c r="U198" i="17"/>
  <c r="AJ198" i="17" s="1"/>
  <c r="AL197" i="17"/>
  <c r="U197" i="17"/>
  <c r="AG197" i="17" s="1"/>
  <c r="AL196" i="17"/>
  <c r="U196" i="17"/>
  <c r="AJ196" i="17" s="1"/>
  <c r="AL195" i="17"/>
  <c r="U195" i="17"/>
  <c r="AL194" i="17"/>
  <c r="U194" i="17"/>
  <c r="AJ194" i="17" s="1"/>
  <c r="AL193" i="17"/>
  <c r="U193" i="17"/>
  <c r="AG193" i="17" s="1"/>
  <c r="AL192" i="17"/>
  <c r="U192" i="17"/>
  <c r="AJ192" i="17" s="1"/>
  <c r="AL191" i="17"/>
  <c r="U191" i="17"/>
  <c r="AL190" i="17"/>
  <c r="U190" i="17"/>
  <c r="AG190" i="17" s="1"/>
  <c r="AL189" i="17"/>
  <c r="U189" i="17"/>
  <c r="AG189" i="17" s="1"/>
  <c r="AL188" i="17"/>
  <c r="U188" i="17"/>
  <c r="AJ188" i="17" s="1"/>
  <c r="AL187" i="17"/>
  <c r="U187" i="17"/>
  <c r="AL186" i="17"/>
  <c r="U186" i="17"/>
  <c r="AJ186" i="17" s="1"/>
  <c r="AL185" i="17"/>
  <c r="U185" i="17"/>
  <c r="AG185" i="17" s="1"/>
  <c r="AL184" i="17"/>
  <c r="U184" i="17"/>
  <c r="AJ184" i="17" s="1"/>
  <c r="AL183" i="17"/>
  <c r="U183" i="17"/>
  <c r="AL182" i="17"/>
  <c r="U182" i="17"/>
  <c r="AJ182" i="17" s="1"/>
  <c r="AL181" i="17"/>
  <c r="U181" i="17"/>
  <c r="AG181" i="17" s="1"/>
  <c r="AL180" i="17"/>
  <c r="U180" i="17"/>
  <c r="AJ180" i="17" s="1"/>
  <c r="AL179" i="17"/>
  <c r="U179" i="17"/>
  <c r="AL178" i="17"/>
  <c r="U178" i="17"/>
  <c r="AJ178" i="17" s="1"/>
  <c r="AL177" i="17"/>
  <c r="U177" i="17"/>
  <c r="AG177" i="17" s="1"/>
  <c r="AL176" i="17"/>
  <c r="U176" i="17"/>
  <c r="AJ176" i="17" s="1"/>
  <c r="AL175" i="17"/>
  <c r="U175" i="17"/>
  <c r="AL174" i="17"/>
  <c r="U174" i="17"/>
  <c r="AG174" i="17" s="1"/>
  <c r="AL173" i="17"/>
  <c r="U173" i="17"/>
  <c r="AG173" i="17" s="1"/>
  <c r="AL172" i="17"/>
  <c r="U172" i="17"/>
  <c r="AJ172" i="17" s="1"/>
  <c r="AL171" i="17"/>
  <c r="U171" i="17"/>
  <c r="AL170" i="17"/>
  <c r="U170" i="17"/>
  <c r="AJ170" i="17" s="1"/>
  <c r="AL169" i="17"/>
  <c r="U169" i="17"/>
  <c r="AG169" i="17" s="1"/>
  <c r="AL168" i="17"/>
  <c r="U168" i="17"/>
  <c r="AJ168" i="17" s="1"/>
  <c r="AL167" i="17"/>
  <c r="U167" i="17"/>
  <c r="AL166" i="17"/>
  <c r="U166" i="17"/>
  <c r="AJ166" i="17" s="1"/>
  <c r="AL165" i="17"/>
  <c r="U165" i="17"/>
  <c r="AG165" i="17" s="1"/>
  <c r="AL164" i="17"/>
  <c r="U164" i="17"/>
  <c r="AJ164" i="17" s="1"/>
  <c r="AL163" i="17"/>
  <c r="U163" i="17"/>
  <c r="AL162" i="17"/>
  <c r="U162" i="17"/>
  <c r="AJ162" i="17" s="1"/>
  <c r="AL161" i="17"/>
  <c r="U161" i="17"/>
  <c r="AG161" i="17" s="1"/>
  <c r="AL160" i="17"/>
  <c r="U160" i="17"/>
  <c r="AJ160" i="17" s="1"/>
  <c r="AL159" i="17"/>
  <c r="U159" i="17"/>
  <c r="AL158" i="17"/>
  <c r="U158" i="17"/>
  <c r="AG158" i="17" s="1"/>
  <c r="AL157" i="17"/>
  <c r="U157" i="17"/>
  <c r="AG157" i="17" s="1"/>
  <c r="AL156" i="17"/>
  <c r="U156" i="17"/>
  <c r="AJ156" i="17" s="1"/>
  <c r="AL155" i="17"/>
  <c r="U155" i="17"/>
  <c r="AL154" i="17"/>
  <c r="U154" i="17"/>
  <c r="AJ154" i="17" s="1"/>
  <c r="AL153" i="17"/>
  <c r="U153" i="17"/>
  <c r="AG153" i="17" s="1"/>
  <c r="AL152" i="17"/>
  <c r="U152" i="17"/>
  <c r="AJ152" i="17" s="1"/>
  <c r="AL151" i="17"/>
  <c r="U151" i="17"/>
  <c r="AL150" i="17"/>
  <c r="U150" i="17"/>
  <c r="AJ150" i="17" s="1"/>
  <c r="AL149" i="17"/>
  <c r="U149" i="17"/>
  <c r="AG149" i="17" s="1"/>
  <c r="AL148" i="17"/>
  <c r="U148" i="17"/>
  <c r="AJ148" i="17" s="1"/>
  <c r="AL147" i="17"/>
  <c r="U147" i="17"/>
  <c r="AL146" i="17"/>
  <c r="U146" i="17"/>
  <c r="AJ146" i="17" s="1"/>
  <c r="AL145" i="17"/>
  <c r="U145" i="17"/>
  <c r="AG145" i="17" s="1"/>
  <c r="AL144" i="17"/>
  <c r="U144" i="17"/>
  <c r="AJ144" i="17" s="1"/>
  <c r="AL143" i="17"/>
  <c r="U143" i="17"/>
  <c r="AL142" i="17"/>
  <c r="U142" i="17"/>
  <c r="AG142" i="17" s="1"/>
  <c r="AL141" i="17"/>
  <c r="U141" i="17"/>
  <c r="AG141" i="17" s="1"/>
  <c r="AL140" i="17"/>
  <c r="U140" i="17"/>
  <c r="AJ140" i="17" s="1"/>
  <c r="AL139" i="17"/>
  <c r="U139" i="17"/>
  <c r="AL138" i="17"/>
  <c r="U138" i="17"/>
  <c r="AJ138" i="17" s="1"/>
  <c r="AL137" i="17"/>
  <c r="U137" i="17"/>
  <c r="AG137" i="17" s="1"/>
  <c r="AL136" i="17"/>
  <c r="U136" i="17"/>
  <c r="AJ136" i="17" s="1"/>
  <c r="AL135" i="17"/>
  <c r="U135" i="17"/>
  <c r="AL134" i="17"/>
  <c r="U134" i="17"/>
  <c r="AJ134" i="17" s="1"/>
  <c r="AL133" i="17"/>
  <c r="U133" i="17"/>
  <c r="AG133" i="17" s="1"/>
  <c r="AL132" i="17"/>
  <c r="U132" i="17"/>
  <c r="AJ132" i="17" s="1"/>
  <c r="AL131" i="17"/>
  <c r="U131" i="17"/>
  <c r="AL130" i="17"/>
  <c r="U130" i="17"/>
  <c r="AJ130" i="17" s="1"/>
  <c r="AL129" i="17"/>
  <c r="U129" i="17"/>
  <c r="AG129" i="17" s="1"/>
  <c r="AL128" i="17"/>
  <c r="U128" i="17"/>
  <c r="AJ128" i="17" s="1"/>
  <c r="AL127" i="17"/>
  <c r="U127" i="17"/>
  <c r="AL126" i="17"/>
  <c r="U126" i="17"/>
  <c r="AG126" i="17" s="1"/>
  <c r="AL125" i="17"/>
  <c r="U125" i="17"/>
  <c r="AG125" i="17" s="1"/>
  <c r="AL124" i="17"/>
  <c r="U124" i="17"/>
  <c r="AJ124" i="17" s="1"/>
  <c r="AL123" i="17"/>
  <c r="U123" i="17"/>
  <c r="AL122" i="17"/>
  <c r="U122" i="17"/>
  <c r="AJ122" i="17" s="1"/>
  <c r="AL121" i="17"/>
  <c r="U121" i="17"/>
  <c r="AG121" i="17" s="1"/>
  <c r="AL120" i="17"/>
  <c r="U120" i="17"/>
  <c r="AJ120" i="17" s="1"/>
  <c r="AL119" i="17"/>
  <c r="U119" i="17"/>
  <c r="AL118" i="17"/>
  <c r="U118" i="17"/>
  <c r="AJ118" i="17" s="1"/>
  <c r="AL117" i="17"/>
  <c r="U117" i="17"/>
  <c r="AG117" i="17" s="1"/>
  <c r="AL116" i="17"/>
  <c r="U116" i="17"/>
  <c r="AJ116" i="17" s="1"/>
  <c r="AL115" i="17"/>
  <c r="U115" i="17"/>
  <c r="AL114" i="17"/>
  <c r="U114" i="17"/>
  <c r="AJ114" i="17" s="1"/>
  <c r="AL113" i="17"/>
  <c r="U113" i="17"/>
  <c r="AG113" i="17" s="1"/>
  <c r="AL112" i="17"/>
  <c r="U112" i="17"/>
  <c r="AJ112" i="17" s="1"/>
  <c r="AL111" i="17"/>
  <c r="U111" i="17"/>
  <c r="AL110" i="17"/>
  <c r="U110" i="17"/>
  <c r="AG110" i="17" s="1"/>
  <c r="AL109" i="17"/>
  <c r="U109" i="17"/>
  <c r="AG109" i="17" s="1"/>
  <c r="AL108" i="17"/>
  <c r="U108" i="17"/>
  <c r="AJ108" i="17" s="1"/>
  <c r="AL107" i="17"/>
  <c r="U107" i="17"/>
  <c r="AL106" i="17"/>
  <c r="U106" i="17"/>
  <c r="AJ106" i="17" s="1"/>
  <c r="AL105" i="17"/>
  <c r="U105" i="17"/>
  <c r="AG105" i="17" s="1"/>
  <c r="AL104" i="17"/>
  <c r="U104" i="17"/>
  <c r="AJ104" i="17" s="1"/>
  <c r="AL103" i="17"/>
  <c r="U103" i="17"/>
  <c r="AL102" i="17"/>
  <c r="U102" i="17"/>
  <c r="AJ102" i="17" s="1"/>
  <c r="AL101" i="17"/>
  <c r="U101" i="17"/>
  <c r="AG101" i="17" s="1"/>
  <c r="AL100" i="17"/>
  <c r="U100" i="17"/>
  <c r="AJ100" i="17" s="1"/>
  <c r="AL99" i="17"/>
  <c r="U99" i="17"/>
  <c r="AL98" i="17"/>
  <c r="U98" i="17"/>
  <c r="AJ98" i="17" s="1"/>
  <c r="AL97" i="17"/>
  <c r="U97" i="17"/>
  <c r="AG97" i="17" s="1"/>
  <c r="AL96" i="17"/>
  <c r="U96" i="17"/>
  <c r="AJ96" i="17" s="1"/>
  <c r="AL95" i="17"/>
  <c r="U95" i="17"/>
  <c r="AL94" i="17"/>
  <c r="U94" i="17"/>
  <c r="AG94" i="17" s="1"/>
  <c r="AL93" i="17"/>
  <c r="U93" i="17"/>
  <c r="AG93" i="17" s="1"/>
  <c r="AL92" i="17"/>
  <c r="U92" i="17"/>
  <c r="AJ92" i="17" s="1"/>
  <c r="AL91" i="17"/>
  <c r="U91" i="17"/>
  <c r="AL90" i="17"/>
  <c r="U90" i="17"/>
  <c r="AJ90" i="17" s="1"/>
  <c r="AL89" i="17"/>
  <c r="U89" i="17"/>
  <c r="AG89" i="17" s="1"/>
  <c r="AL88" i="17"/>
  <c r="U88" i="17"/>
  <c r="AJ88" i="17" s="1"/>
  <c r="AL87" i="17"/>
  <c r="U87" i="17"/>
  <c r="AL86" i="17"/>
  <c r="U86" i="17"/>
  <c r="AJ86" i="17" s="1"/>
  <c r="AL85" i="17"/>
  <c r="U85" i="17"/>
  <c r="AG85" i="17" s="1"/>
  <c r="AL84" i="17"/>
  <c r="U84" i="17"/>
  <c r="AJ84" i="17" s="1"/>
  <c r="AL83" i="17"/>
  <c r="U83" i="17"/>
  <c r="AL82" i="17"/>
  <c r="U82" i="17"/>
  <c r="AJ82" i="17" s="1"/>
  <c r="AL81" i="17"/>
  <c r="U81" i="17"/>
  <c r="AG81" i="17" s="1"/>
  <c r="AL80" i="17"/>
  <c r="U80" i="17"/>
  <c r="AJ80" i="17" s="1"/>
  <c r="AL79" i="17"/>
  <c r="U79" i="17"/>
  <c r="AL78" i="17"/>
  <c r="U78" i="17"/>
  <c r="AG78" i="17" s="1"/>
  <c r="AL77" i="17"/>
  <c r="U77" i="17"/>
  <c r="AG77" i="17" s="1"/>
  <c r="AL76" i="17"/>
  <c r="U76" i="17"/>
  <c r="AJ76" i="17" s="1"/>
  <c r="AL75" i="17"/>
  <c r="U75" i="17"/>
  <c r="AJ75" i="17" s="1"/>
  <c r="AL74" i="17"/>
  <c r="U74" i="17"/>
  <c r="AG74" i="17" s="1"/>
  <c r="AL73" i="17"/>
  <c r="U73" i="17"/>
  <c r="AG73" i="17" s="1"/>
  <c r="AL72" i="17"/>
  <c r="U72" i="17"/>
  <c r="AJ72" i="17" s="1"/>
  <c r="AL71" i="17"/>
  <c r="U71" i="17"/>
  <c r="AG71" i="17" s="1"/>
  <c r="AL70" i="17"/>
  <c r="U70" i="17"/>
  <c r="AJ70" i="17" s="1"/>
  <c r="AL69" i="17"/>
  <c r="U69" i="17"/>
  <c r="AG69" i="17" s="1"/>
  <c r="AL68" i="17"/>
  <c r="U68" i="17"/>
  <c r="AJ68" i="17" s="1"/>
  <c r="AL67" i="17"/>
  <c r="U67" i="17"/>
  <c r="AJ67" i="17" s="1"/>
  <c r="AL66" i="17"/>
  <c r="U66" i="17"/>
  <c r="AJ66" i="17" s="1"/>
  <c r="AL65" i="17"/>
  <c r="U65" i="17"/>
  <c r="AJ65" i="17" s="1"/>
  <c r="AL64" i="17"/>
  <c r="U64" i="17"/>
  <c r="AG64" i="17" s="1"/>
  <c r="AL63" i="17"/>
  <c r="U63" i="17"/>
  <c r="AJ63" i="17" s="1"/>
  <c r="AL62" i="17"/>
  <c r="U62" i="17"/>
  <c r="AJ62" i="17" s="1"/>
  <c r="AL61" i="17"/>
  <c r="U61" i="17"/>
  <c r="AJ61" i="17" s="1"/>
  <c r="AL60" i="17"/>
  <c r="U60" i="17"/>
  <c r="AG60" i="17" s="1"/>
  <c r="AL59" i="17"/>
  <c r="U59" i="17"/>
  <c r="AJ59" i="17" s="1"/>
  <c r="AL58" i="17"/>
  <c r="U58" i="17"/>
  <c r="AJ58" i="17" s="1"/>
  <c r="AL57" i="17"/>
  <c r="U57" i="17"/>
  <c r="AJ57" i="17" s="1"/>
  <c r="AL56" i="17"/>
  <c r="U56" i="17"/>
  <c r="AG56" i="17" s="1"/>
  <c r="AL55" i="17"/>
  <c r="U55" i="17"/>
  <c r="AJ55" i="17" s="1"/>
  <c r="AL54" i="17"/>
  <c r="U54" i="17"/>
  <c r="AJ54" i="17" s="1"/>
  <c r="AL53" i="17"/>
  <c r="U53" i="17"/>
  <c r="AJ53" i="17" s="1"/>
  <c r="AL52" i="17"/>
  <c r="U52" i="17"/>
  <c r="AG52" i="17" s="1"/>
  <c r="AL51" i="17"/>
  <c r="U51" i="17"/>
  <c r="AJ51" i="17" s="1"/>
  <c r="AL50" i="17"/>
  <c r="U50" i="17"/>
  <c r="AJ50" i="17" s="1"/>
  <c r="AL49" i="17"/>
  <c r="U49" i="17"/>
  <c r="AJ49" i="17" s="1"/>
  <c r="AL48" i="17"/>
  <c r="U48" i="17"/>
  <c r="AG48" i="17" s="1"/>
  <c r="AL47" i="17"/>
  <c r="U47" i="17"/>
  <c r="AJ47" i="17" s="1"/>
  <c r="AL46" i="17"/>
  <c r="U46" i="17"/>
  <c r="AJ46" i="17" s="1"/>
  <c r="AL45" i="17"/>
  <c r="U45" i="17"/>
  <c r="AJ45" i="17" s="1"/>
  <c r="AL44" i="17"/>
  <c r="U44" i="17"/>
  <c r="AG44" i="17" s="1"/>
  <c r="AL43" i="17"/>
  <c r="U43" i="17"/>
  <c r="AJ43" i="17" s="1"/>
  <c r="AL42" i="17"/>
  <c r="U42" i="17"/>
  <c r="AJ42" i="17" s="1"/>
  <c r="AL41" i="17"/>
  <c r="U41" i="17"/>
  <c r="AJ41" i="17" s="1"/>
  <c r="AL40" i="17"/>
  <c r="U40" i="17"/>
  <c r="AG40" i="17" s="1"/>
  <c r="AL39" i="17"/>
  <c r="U39" i="17"/>
  <c r="AJ39" i="17" s="1"/>
  <c r="AL38" i="17"/>
  <c r="U38" i="17"/>
  <c r="AJ38" i="17" s="1"/>
  <c r="AL37" i="17"/>
  <c r="U37" i="17"/>
  <c r="AJ37" i="17" s="1"/>
  <c r="AL36" i="17"/>
  <c r="U36" i="17"/>
  <c r="AG36" i="17" s="1"/>
  <c r="AL35" i="17"/>
  <c r="U35" i="17"/>
  <c r="AJ35" i="17" s="1"/>
  <c r="AL34" i="17"/>
  <c r="U34" i="17"/>
  <c r="AJ34" i="17" s="1"/>
  <c r="AL33" i="17"/>
  <c r="U33" i="17"/>
  <c r="AJ33" i="17" s="1"/>
  <c r="AL32" i="17"/>
  <c r="U32" i="17"/>
  <c r="AG32" i="17" s="1"/>
  <c r="AL31" i="17"/>
  <c r="U31" i="17"/>
  <c r="AJ31" i="17" s="1"/>
  <c r="AL30" i="17"/>
  <c r="U30" i="17"/>
  <c r="AJ30" i="17" s="1"/>
  <c r="AL29" i="17"/>
  <c r="U29" i="17"/>
  <c r="AJ29" i="17" s="1"/>
  <c r="AL28" i="17"/>
  <c r="U28" i="17"/>
  <c r="AG28" i="17" s="1"/>
  <c r="AL27" i="17"/>
  <c r="U27" i="17"/>
  <c r="AJ27" i="17" s="1"/>
  <c r="AL26" i="17"/>
  <c r="U26" i="17"/>
  <c r="AJ26" i="17" s="1"/>
  <c r="AL25" i="17"/>
  <c r="U25" i="17"/>
  <c r="AJ25" i="17" s="1"/>
  <c r="AL24" i="17"/>
  <c r="U24" i="17"/>
  <c r="AG24" i="17" s="1"/>
  <c r="AL23" i="17"/>
  <c r="U23" i="17"/>
  <c r="AJ23" i="17" s="1"/>
  <c r="AL22" i="17"/>
  <c r="U22" i="17"/>
  <c r="AJ22" i="17" s="1"/>
  <c r="AL21" i="17"/>
  <c r="U21" i="17"/>
  <c r="AJ21" i="17" s="1"/>
  <c r="AL20" i="17"/>
  <c r="U20" i="17"/>
  <c r="AG20" i="17" s="1"/>
  <c r="AL19" i="17"/>
  <c r="U19" i="17"/>
  <c r="AJ19" i="17" s="1"/>
  <c r="AL18" i="17"/>
  <c r="U18" i="17"/>
  <c r="AJ18" i="17" s="1"/>
  <c r="AL17" i="17"/>
  <c r="U17" i="17"/>
  <c r="AJ17" i="17" s="1"/>
  <c r="AL16" i="17"/>
  <c r="U16" i="17"/>
  <c r="AG16" i="17" s="1"/>
  <c r="AL15" i="17"/>
  <c r="U15" i="17"/>
  <c r="AJ15" i="17" s="1"/>
  <c r="AL14" i="17"/>
  <c r="U14" i="17"/>
  <c r="AJ14" i="17" s="1"/>
  <c r="AL13" i="17"/>
  <c r="U13" i="17"/>
  <c r="AJ13" i="17" s="1"/>
  <c r="AL12" i="17"/>
  <c r="U12" i="17"/>
  <c r="AG12" i="17" s="1"/>
  <c r="AL11" i="17"/>
  <c r="U11" i="17"/>
  <c r="AJ11" i="17" s="1"/>
  <c r="AL10" i="17"/>
  <c r="U10" i="17"/>
  <c r="AJ10" i="17" s="1"/>
  <c r="AL9" i="17"/>
  <c r="U9" i="17"/>
  <c r="AJ9" i="17" s="1"/>
  <c r="AL8" i="17"/>
  <c r="U8" i="17"/>
  <c r="AG8" i="17" s="1"/>
  <c r="AL7" i="17"/>
  <c r="U7" i="17"/>
  <c r="AJ7" i="17" s="1"/>
  <c r="AL6" i="17"/>
  <c r="U6" i="17"/>
  <c r="AJ6" i="17" s="1"/>
  <c r="AL5" i="17"/>
  <c r="U5" i="17"/>
  <c r="AJ5" i="17" s="1"/>
  <c r="AL4" i="17"/>
  <c r="U4" i="17"/>
  <c r="AJ4" i="17" s="1"/>
  <c r="AG945" i="17" l="1"/>
  <c r="AJ779" i="17"/>
  <c r="AJ280" i="17"/>
  <c r="AG879" i="17"/>
  <c r="AG563" i="17"/>
  <c r="AG547" i="17"/>
  <c r="AG662" i="17"/>
  <c r="AG138" i="17"/>
  <c r="AG253" i="17"/>
  <c r="AJ328" i="17"/>
  <c r="AG742" i="17"/>
  <c r="AJ833" i="17"/>
  <c r="AJ73" i="17"/>
  <c r="AJ210" i="17"/>
  <c r="AG402" i="17"/>
  <c r="AG449" i="17"/>
  <c r="AG859" i="17"/>
  <c r="AG418" i="17"/>
  <c r="AJ638" i="17"/>
  <c r="AJ36" i="17"/>
  <c r="AG354" i="17"/>
  <c r="AG555" i="17"/>
  <c r="AG582" i="17"/>
  <c r="AJ615" i="17"/>
  <c r="AG650" i="17"/>
  <c r="AJ697" i="17"/>
  <c r="AG853" i="17"/>
  <c r="AG270" i="17"/>
  <c r="AG386" i="17"/>
  <c r="AJ606" i="17"/>
  <c r="AJ110" i="17"/>
  <c r="AJ181" i="17"/>
  <c r="AJ304" i="17"/>
  <c r="AG434" i="17"/>
  <c r="AJ461" i="17"/>
  <c r="AJ674" i="17"/>
  <c r="AJ713" i="17"/>
  <c r="AG766" i="17"/>
  <c r="AJ797" i="17"/>
  <c r="AJ865" i="17"/>
  <c r="AG914" i="17"/>
  <c r="AJ297" i="17"/>
  <c r="AG369" i="17"/>
  <c r="AG377" i="17"/>
  <c r="AJ52" i="17"/>
  <c r="AG202" i="17"/>
  <c r="AG277" i="17"/>
  <c r="AJ296" i="17"/>
  <c r="AG301" i="17"/>
  <c r="AG353" i="17"/>
  <c r="AG401" i="17"/>
  <c r="AG433" i="17"/>
  <c r="AJ494" i="17"/>
  <c r="AG551" i="17"/>
  <c r="AJ594" i="17"/>
  <c r="AG611" i="17"/>
  <c r="AJ622" i="17"/>
  <c r="AG654" i="17"/>
  <c r="AJ663" i="17"/>
  <c r="AG774" i="17"/>
  <c r="AJ918" i="17"/>
  <c r="AG90" i="17"/>
  <c r="AJ117" i="17"/>
  <c r="AG162" i="17"/>
  <c r="AJ238" i="17"/>
  <c r="AJ265" i="17"/>
  <c r="AG325" i="17"/>
  <c r="AG361" i="17"/>
  <c r="AG370" i="17"/>
  <c r="AG385" i="17"/>
  <c r="AG417" i="17"/>
  <c r="AG441" i="17"/>
  <c r="AG450" i="17"/>
  <c r="AG559" i="17"/>
  <c r="AG574" i="17"/>
  <c r="AJ646" i="17"/>
  <c r="AJ689" i="17"/>
  <c r="AJ706" i="17"/>
  <c r="AJ737" i="17"/>
  <c r="AG750" i="17"/>
  <c r="AG794" i="17"/>
  <c r="AJ817" i="17"/>
  <c r="AG842" i="17"/>
  <c r="AG857" i="17"/>
  <c r="AJ862" i="17"/>
  <c r="AG873" i="17"/>
  <c r="AJ906" i="17"/>
  <c r="AG70" i="17"/>
  <c r="AJ157" i="17"/>
  <c r="AJ174" i="17"/>
  <c r="AJ222" i="17"/>
  <c r="AJ241" i="17"/>
  <c r="AJ260" i="17"/>
  <c r="AG267" i="17"/>
  <c r="AG285" i="17"/>
  <c r="AJ316" i="17"/>
  <c r="AG346" i="17"/>
  <c r="AG362" i="17"/>
  <c r="AG378" i="17"/>
  <c r="AG394" i="17"/>
  <c r="AG410" i="17"/>
  <c r="AG426" i="17"/>
  <c r="AG442" i="17"/>
  <c r="AJ465" i="17"/>
  <c r="AG502" i="17"/>
  <c r="AG503" i="17"/>
  <c r="AG506" i="17"/>
  <c r="AG507" i="17"/>
  <c r="AG510" i="17"/>
  <c r="AG511" i="17"/>
  <c r="AG514" i="17"/>
  <c r="AG515" i="17"/>
  <c r="AG518" i="17"/>
  <c r="AG519" i="17"/>
  <c r="AG522" i="17"/>
  <c r="AG523" i="17"/>
  <c r="AG526" i="17"/>
  <c r="AG527" i="17"/>
  <c r="AG530" i="17"/>
  <c r="AG531" i="17"/>
  <c r="AG534" i="17"/>
  <c r="AG535" i="17"/>
  <c r="AG538" i="17"/>
  <c r="AG539" i="17"/>
  <c r="AG542" i="17"/>
  <c r="AG543" i="17"/>
  <c r="AG546" i="17"/>
  <c r="AG554" i="17"/>
  <c r="AG562" i="17"/>
  <c r="AG578" i="17"/>
  <c r="AG591" i="17"/>
  <c r="AJ607" i="17"/>
  <c r="AJ614" i="17"/>
  <c r="AG619" i="17"/>
  <c r="AJ639" i="17"/>
  <c r="AG648" i="17"/>
  <c r="AG651" i="17"/>
  <c r="AG658" i="17"/>
  <c r="AJ694" i="17"/>
  <c r="AJ705" i="17"/>
  <c r="AG710" i="17"/>
  <c r="AJ738" i="17"/>
  <c r="AJ745" i="17"/>
  <c r="AG764" i="17"/>
  <c r="AG767" i="17"/>
  <c r="AG858" i="17"/>
  <c r="AG874" i="17"/>
  <c r="AJ905" i="17"/>
  <c r="AG915" i="17"/>
  <c r="AJ313" i="17"/>
  <c r="AG345" i="17"/>
  <c r="AG393" i="17"/>
  <c r="AG409" i="17"/>
  <c r="AG425" i="17"/>
  <c r="AG462" i="17"/>
  <c r="AG550" i="17"/>
  <c r="AG558" i="17"/>
  <c r="AG566" i="17"/>
  <c r="AG599" i="17"/>
  <c r="AJ627" i="17"/>
  <c r="AJ665" i="17"/>
  <c r="AG686" i="17"/>
  <c r="AG718" i="17"/>
  <c r="AJ790" i="17"/>
  <c r="AJ795" i="17"/>
  <c r="AJ802" i="17"/>
  <c r="AJ821" i="17"/>
  <c r="AG838" i="17"/>
  <c r="AG843" i="17"/>
  <c r="AG854" i="17"/>
  <c r="AG863" i="17"/>
  <c r="AJ866" i="17"/>
  <c r="AG907" i="17"/>
  <c r="AG919" i="17"/>
  <c r="AJ40" i="17"/>
  <c r="AJ78" i="17"/>
  <c r="AJ85" i="17"/>
  <c r="AG106" i="17"/>
  <c r="AJ109" i="17"/>
  <c r="AG114" i="17"/>
  <c r="AG154" i="17"/>
  <c r="AJ173" i="17"/>
  <c r="AG178" i="17"/>
  <c r="AJ221" i="17"/>
  <c r="AJ229" i="17"/>
  <c r="AG236" i="17"/>
  <c r="AJ236" i="17"/>
  <c r="AG320" i="17"/>
  <c r="AJ320" i="17"/>
  <c r="AJ350" i="17"/>
  <c r="AG350" i="17"/>
  <c r="AJ366" i="17"/>
  <c r="AG366" i="17"/>
  <c r="AJ398" i="17"/>
  <c r="AG398" i="17"/>
  <c r="AJ414" i="17"/>
  <c r="AG414" i="17"/>
  <c r="AJ446" i="17"/>
  <c r="AG446" i="17"/>
  <c r="AJ839" i="17"/>
  <c r="AG839" i="17"/>
  <c r="AJ60" i="17"/>
  <c r="AJ77" i="17"/>
  <c r="AJ142" i="17"/>
  <c r="AJ149" i="17"/>
  <c r="AG170" i="17"/>
  <c r="AJ189" i="17"/>
  <c r="AJ206" i="17"/>
  <c r="AJ228" i="17"/>
  <c r="AJ257" i="17"/>
  <c r="AG257" i="17"/>
  <c r="AG499" i="17"/>
  <c r="AJ499" i="17"/>
  <c r="AG586" i="17"/>
  <c r="AJ586" i="17"/>
  <c r="AJ680" i="17"/>
  <c r="AG680" i="17"/>
  <c r="AJ702" i="17"/>
  <c r="AG702" i="17"/>
  <c r="AG786" i="17"/>
  <c r="AJ786" i="17"/>
  <c r="AJ890" i="17"/>
  <c r="AG890" i="17"/>
  <c r="AJ894" i="17"/>
  <c r="AG894" i="17"/>
  <c r="AG898" i="17"/>
  <c r="AJ898" i="17"/>
  <c r="AJ56" i="17"/>
  <c r="AJ126" i="17"/>
  <c r="AJ133" i="17"/>
  <c r="AJ190" i="17"/>
  <c r="AJ197" i="17"/>
  <c r="AJ234" i="17"/>
  <c r="AG245" i="17"/>
  <c r="AJ245" i="17"/>
  <c r="AJ269" i="17"/>
  <c r="AG269" i="17"/>
  <c r="AJ293" i="17"/>
  <c r="AG293" i="17"/>
  <c r="AG333" i="17"/>
  <c r="AJ333" i="17"/>
  <c r="AJ382" i="17"/>
  <c r="AG382" i="17"/>
  <c r="AJ430" i="17"/>
  <c r="AG430" i="17"/>
  <c r="AJ457" i="17"/>
  <c r="AG457" i="17"/>
  <c r="AJ471" i="17"/>
  <c r="AG471" i="17"/>
  <c r="AG491" i="17"/>
  <c r="AJ491" i="17"/>
  <c r="AJ778" i="17"/>
  <c r="AG778" i="17"/>
  <c r="AG809" i="17"/>
  <c r="AJ809" i="17"/>
  <c r="AJ878" i="17"/>
  <c r="AG878" i="17"/>
  <c r="AJ910" i="17"/>
  <c r="AG910" i="17"/>
  <c r="AJ926" i="17"/>
  <c r="AG926" i="17"/>
  <c r="AG930" i="17"/>
  <c r="AJ930" i="17"/>
  <c r="AJ942" i="17"/>
  <c r="AG942" i="17"/>
  <c r="AJ28" i="17"/>
  <c r="AJ44" i="17"/>
  <c r="AG82" i="17"/>
  <c r="AJ94" i="17"/>
  <c r="AJ101" i="17"/>
  <c r="AJ125" i="17"/>
  <c r="AG130" i="17"/>
  <c r="AG194" i="17"/>
  <c r="AG218" i="17"/>
  <c r="AG233" i="17"/>
  <c r="AJ32" i="17"/>
  <c r="AJ48" i="17"/>
  <c r="AJ64" i="17"/>
  <c r="AJ71" i="17"/>
  <c r="AJ74" i="17"/>
  <c r="AJ93" i="17"/>
  <c r="AG98" i="17"/>
  <c r="AG122" i="17"/>
  <c r="AJ141" i="17"/>
  <c r="AG146" i="17"/>
  <c r="AJ158" i="17"/>
  <c r="AJ165" i="17"/>
  <c r="AG186" i="17"/>
  <c r="AJ205" i="17"/>
  <c r="AJ213" i="17"/>
  <c r="AJ225" i="17"/>
  <c r="AG237" i="17"/>
  <c r="AJ237" i="17"/>
  <c r="AG312" i="17"/>
  <c r="AJ312" i="17"/>
  <c r="AJ342" i="17"/>
  <c r="AG342" i="17"/>
  <c r="AJ358" i="17"/>
  <c r="AG358" i="17"/>
  <c r="AJ374" i="17"/>
  <c r="AG374" i="17"/>
  <c r="AJ390" i="17"/>
  <c r="AG390" i="17"/>
  <c r="AJ406" i="17"/>
  <c r="AG406" i="17"/>
  <c r="AJ422" i="17"/>
  <c r="AG422" i="17"/>
  <c r="AJ438" i="17"/>
  <c r="AG438" i="17"/>
  <c r="AJ458" i="17"/>
  <c r="AG458" i="17"/>
  <c r="AJ470" i="17"/>
  <c r="AG470" i="17"/>
  <c r="AJ472" i="17"/>
  <c r="AG472" i="17"/>
  <c r="AJ570" i="17"/>
  <c r="AG570" i="17"/>
  <c r="AJ603" i="17"/>
  <c r="AG603" i="17"/>
  <c r="AJ635" i="17"/>
  <c r="AG635" i="17"/>
  <c r="AG667" i="17"/>
  <c r="AJ667" i="17"/>
  <c r="AG722" i="17"/>
  <c r="AJ722" i="17"/>
  <c r="AJ734" i="17"/>
  <c r="AG734" i="17"/>
  <c r="AJ806" i="17"/>
  <c r="AG806" i="17"/>
  <c r="AG825" i="17"/>
  <c r="AJ825" i="17"/>
  <c r="AG870" i="17"/>
  <c r="AJ870" i="17"/>
  <c r="AJ911" i="17"/>
  <c r="AG911" i="17"/>
  <c r="AJ927" i="17"/>
  <c r="AG927" i="17"/>
  <c r="AG272" i="17"/>
  <c r="AJ272" i="17"/>
  <c r="AJ683" i="17"/>
  <c r="AG683" i="17"/>
  <c r="AG754" i="17"/>
  <c r="AJ754" i="17"/>
  <c r="AG781" i="17"/>
  <c r="AJ781" i="17"/>
  <c r="AG801" i="17"/>
  <c r="AJ801" i="17"/>
  <c r="AJ889" i="17"/>
  <c r="AG889" i="17"/>
  <c r="AJ893" i="17"/>
  <c r="AG893" i="17"/>
  <c r="AJ895" i="17"/>
  <c r="AG895" i="17"/>
  <c r="AJ244" i="17"/>
  <c r="AG251" i="17"/>
  <c r="AG254" i="17"/>
  <c r="AJ281" i="17"/>
  <c r="AJ288" i="17"/>
  <c r="AG309" i="17"/>
  <c r="AJ317" i="17"/>
  <c r="AG329" i="17"/>
  <c r="AJ332" i="17"/>
  <c r="AG341" i="17"/>
  <c r="AG349" i="17"/>
  <c r="AG357" i="17"/>
  <c r="AG365" i="17"/>
  <c r="AG373" i="17"/>
  <c r="AG381" i="17"/>
  <c r="AG389" i="17"/>
  <c r="AG397" i="17"/>
  <c r="AG405" i="17"/>
  <c r="AG413" i="17"/>
  <c r="AG421" i="17"/>
  <c r="AG429" i="17"/>
  <c r="AG437" i="17"/>
  <c r="AG445" i="17"/>
  <c r="AG453" i="17"/>
  <c r="AG454" i="17"/>
  <c r="AJ467" i="17"/>
  <c r="AJ490" i="17"/>
  <c r="AJ498" i="17"/>
  <c r="AG602" i="17"/>
  <c r="AJ630" i="17"/>
  <c r="AG682" i="17"/>
  <c r="AJ721" i="17"/>
  <c r="AG726" i="17"/>
  <c r="AJ729" i="17"/>
  <c r="AJ753" i="17"/>
  <c r="AJ762" i="17"/>
  <c r="AG770" i="17"/>
  <c r="AJ785" i="17"/>
  <c r="AJ813" i="17"/>
  <c r="AJ829" i="17"/>
  <c r="AJ869" i="17"/>
  <c r="AG877" i="17"/>
  <c r="AJ897" i="17"/>
  <c r="AG902" i="17"/>
  <c r="AG922" i="17"/>
  <c r="AG923" i="17"/>
  <c r="AJ929" i="17"/>
  <c r="AG934" i="17"/>
  <c r="AJ937" i="17"/>
  <c r="AG947" i="17"/>
  <c r="AG466" i="17"/>
  <c r="AJ495" i="17"/>
  <c r="AG946" i="17"/>
  <c r="AG681" i="17"/>
  <c r="AJ681" i="17"/>
  <c r="AG701" i="17"/>
  <c r="AJ701" i="17"/>
  <c r="AG733" i="17"/>
  <c r="AJ733" i="17"/>
  <c r="AJ800" i="17"/>
  <c r="AG800" i="17"/>
  <c r="AJ886" i="17"/>
  <c r="AG886" i="17"/>
  <c r="AG5" i="17"/>
  <c r="AG6" i="17"/>
  <c r="AG9" i="17"/>
  <c r="AG10" i="17"/>
  <c r="AG13" i="17"/>
  <c r="AG14" i="17"/>
  <c r="AG17" i="17"/>
  <c r="AG18" i="17"/>
  <c r="AG21" i="17"/>
  <c r="AG22" i="17"/>
  <c r="AG25" i="17"/>
  <c r="AG26" i="17"/>
  <c r="AG29" i="17"/>
  <c r="AG30" i="17"/>
  <c r="AG33" i="17"/>
  <c r="AG34" i="17"/>
  <c r="AG37" i="17"/>
  <c r="AG38" i="17"/>
  <c r="AG41" i="17"/>
  <c r="AG42" i="17"/>
  <c r="AG45" i="17"/>
  <c r="AG46" i="17"/>
  <c r="AG49" i="17"/>
  <c r="AG50" i="17"/>
  <c r="AG53" i="17"/>
  <c r="AG54" i="17"/>
  <c r="AG57" i="17"/>
  <c r="AG58" i="17"/>
  <c r="AG61" i="17"/>
  <c r="AG62" i="17"/>
  <c r="AG65" i="17"/>
  <c r="AG66" i="17"/>
  <c r="AG72" i="17"/>
  <c r="AG86" i="17"/>
  <c r="AJ89" i="17"/>
  <c r="AG102" i="17"/>
  <c r="AJ105" i="17"/>
  <c r="AG118" i="17"/>
  <c r="AJ121" i="17"/>
  <c r="AG134" i="17"/>
  <c r="AJ137" i="17"/>
  <c r="AG150" i="17"/>
  <c r="AJ153" i="17"/>
  <c r="AG166" i="17"/>
  <c r="AJ169" i="17"/>
  <c r="AG182" i="17"/>
  <c r="AJ185" i="17"/>
  <c r="AG198" i="17"/>
  <c r="AJ201" i="17"/>
  <c r="AG214" i="17"/>
  <c r="AJ217" i="17"/>
  <c r="AG227" i="17"/>
  <c r="AG235" i="17"/>
  <c r="AG243" i="17"/>
  <c r="AG249" i="17"/>
  <c r="AJ250" i="17"/>
  <c r="AG261" i="17"/>
  <c r="AJ268" i="17"/>
  <c r="AG273" i="17"/>
  <c r="AJ276" i="17"/>
  <c r="AG289" i="17"/>
  <c r="AJ292" i="17"/>
  <c r="AG305" i="17"/>
  <c r="AJ308" i="17"/>
  <c r="AG321" i="17"/>
  <c r="AJ324" i="17"/>
  <c r="AG337" i="17"/>
  <c r="AJ340" i="17"/>
  <c r="AJ344" i="17"/>
  <c r="AJ348" i="17"/>
  <c r="AJ352" i="17"/>
  <c r="AJ356" i="17"/>
  <c r="AJ360" i="17"/>
  <c r="AJ364" i="17"/>
  <c r="AJ368" i="17"/>
  <c r="AJ372" i="17"/>
  <c r="AJ376" i="17"/>
  <c r="AJ380" i="17"/>
  <c r="AJ384" i="17"/>
  <c r="AJ388" i="17"/>
  <c r="AJ392" i="17"/>
  <c r="AJ396" i="17"/>
  <c r="AJ400" i="17"/>
  <c r="AJ404" i="17"/>
  <c r="AJ408" i="17"/>
  <c r="AJ412" i="17"/>
  <c r="AJ416" i="17"/>
  <c r="AJ420" i="17"/>
  <c r="AJ424" i="17"/>
  <c r="AJ428" i="17"/>
  <c r="AJ432" i="17"/>
  <c r="AJ436" i="17"/>
  <c r="AJ440" i="17"/>
  <c r="AJ444" i="17"/>
  <c r="AJ448" i="17"/>
  <c r="AJ452" i="17"/>
  <c r="AJ456" i="17"/>
  <c r="AJ460" i="17"/>
  <c r="AJ464" i="17"/>
  <c r="AG474" i="17"/>
  <c r="AG475" i="17"/>
  <c r="AG478" i="17"/>
  <c r="AG479" i="17"/>
  <c r="AG482" i="17"/>
  <c r="AG483" i="17"/>
  <c r="AG484" i="17"/>
  <c r="AG571" i="17"/>
  <c r="AG579" i="17"/>
  <c r="AJ587" i="17"/>
  <c r="AJ595" i="17"/>
  <c r="AJ623" i="17"/>
  <c r="AJ631" i="17"/>
  <c r="AJ666" i="17"/>
  <c r="AJ678" i="17"/>
  <c r="AJ782" i="17"/>
  <c r="AG782" i="17"/>
  <c r="AJ784" i="17"/>
  <c r="AG784" i="17"/>
  <c r="AJ810" i="17"/>
  <c r="AG810" i="17"/>
  <c r="AJ826" i="17"/>
  <c r="AG826" i="17"/>
  <c r="AJ845" i="17"/>
  <c r="AG845" i="17"/>
  <c r="AJ849" i="17"/>
  <c r="AG849" i="17"/>
  <c r="AJ851" i="17"/>
  <c r="AG851" i="17"/>
  <c r="AG610" i="17"/>
  <c r="AJ610" i="17"/>
  <c r="AG618" i="17"/>
  <c r="AJ618" i="17"/>
  <c r="AJ714" i="17"/>
  <c r="AG714" i="17"/>
  <c r="AJ746" i="17"/>
  <c r="AG746" i="17"/>
  <c r="AJ798" i="17"/>
  <c r="AG798" i="17"/>
  <c r="AJ822" i="17"/>
  <c r="AG822" i="17"/>
  <c r="AJ882" i="17"/>
  <c r="AG882" i="17"/>
  <c r="AG941" i="17"/>
  <c r="AJ941" i="17"/>
  <c r="AL949" i="17"/>
  <c r="AJ8" i="17"/>
  <c r="AJ12" i="17"/>
  <c r="AJ16" i="17"/>
  <c r="AJ20" i="17"/>
  <c r="AJ24" i="17"/>
  <c r="AJ336" i="17"/>
  <c r="AG486" i="17"/>
  <c r="AG487" i="17"/>
  <c r="AG488" i="17"/>
  <c r="AG647" i="17"/>
  <c r="AJ647" i="17"/>
  <c r="AJ698" i="17"/>
  <c r="AG698" i="17"/>
  <c r="AG717" i="17"/>
  <c r="AJ717" i="17"/>
  <c r="AJ730" i="17"/>
  <c r="AG730" i="17"/>
  <c r="AG749" i="17"/>
  <c r="AJ749" i="17"/>
  <c r="AJ799" i="17"/>
  <c r="AG799" i="17"/>
  <c r="AJ814" i="17"/>
  <c r="AG814" i="17"/>
  <c r="AJ830" i="17"/>
  <c r="AG830" i="17"/>
  <c r="AJ881" i="17"/>
  <c r="AG881" i="17"/>
  <c r="AJ885" i="17"/>
  <c r="AG885" i="17"/>
  <c r="AJ887" i="17"/>
  <c r="AG887" i="17"/>
  <c r="AJ938" i="17"/>
  <c r="AG938" i="17"/>
  <c r="AG75" i="17"/>
  <c r="AJ81" i="17"/>
  <c r="AJ97" i="17"/>
  <c r="AJ113" i="17"/>
  <c r="AJ129" i="17"/>
  <c r="AJ145" i="17"/>
  <c r="AJ161" i="17"/>
  <c r="AJ177" i="17"/>
  <c r="AJ193" i="17"/>
  <c r="AJ209" i="17"/>
  <c r="AG230" i="17"/>
  <c r="AJ252" i="17"/>
  <c r="AJ266" i="17"/>
  <c r="AJ284" i="17"/>
  <c r="AJ300" i="17"/>
  <c r="AG468" i="17"/>
  <c r="AG500" i="17"/>
  <c r="AG567" i="17"/>
  <c r="AG575" i="17"/>
  <c r="AG583" i="17"/>
  <c r="AG590" i="17"/>
  <c r="AJ590" i="17"/>
  <c r="AG598" i="17"/>
  <c r="AJ598" i="17"/>
  <c r="AG626" i="17"/>
  <c r="AJ626" i="17"/>
  <c r="AG634" i="17"/>
  <c r="AJ634" i="17"/>
  <c r="AJ642" i="17"/>
  <c r="AG649" i="17"/>
  <c r="AJ649" i="17"/>
  <c r="AJ664" i="17"/>
  <c r="AG664" i="17"/>
  <c r="AJ670" i="17"/>
  <c r="AG679" i="17"/>
  <c r="AJ679" i="17"/>
  <c r="AJ690" i="17"/>
  <c r="AJ758" i="17"/>
  <c r="AG758" i="17"/>
  <c r="AG765" i="17"/>
  <c r="AJ765" i="17"/>
  <c r="AJ783" i="17"/>
  <c r="AG783" i="17"/>
  <c r="AJ811" i="17"/>
  <c r="AG811" i="17"/>
  <c r="AJ818" i="17"/>
  <c r="AG818" i="17"/>
  <c r="AJ834" i="17"/>
  <c r="AG834" i="17"/>
  <c r="AG841" i="17"/>
  <c r="AJ841" i="17"/>
  <c r="AJ846" i="17"/>
  <c r="AG846" i="17"/>
  <c r="AJ850" i="17"/>
  <c r="AG850" i="17"/>
  <c r="AJ693" i="17"/>
  <c r="AJ709" i="17"/>
  <c r="AJ725" i="17"/>
  <c r="AJ741" i="17"/>
  <c r="AJ763" i="17"/>
  <c r="AG780" i="17"/>
  <c r="AG787" i="17"/>
  <c r="AG796" i="17"/>
  <c r="AG803" i="17"/>
  <c r="AG816" i="17"/>
  <c r="AG820" i="17"/>
  <c r="AG824" i="17"/>
  <c r="AG828" i="17"/>
  <c r="AG832" i="17"/>
  <c r="AG836" i="17"/>
  <c r="AJ861" i="17"/>
  <c r="AG871" i="17"/>
  <c r="AJ901" i="17"/>
  <c r="AJ909" i="17"/>
  <c r="AJ913" i="17"/>
  <c r="AJ917" i="17"/>
  <c r="AJ921" i="17"/>
  <c r="AJ925" i="17"/>
  <c r="AJ933" i="17"/>
  <c r="AG240" i="17"/>
  <c r="AJ240" i="17"/>
  <c r="AJ255" i="17"/>
  <c r="AG255" i="17"/>
  <c r="AJ580" i="17"/>
  <c r="AG580" i="17"/>
  <c r="AJ743" i="17"/>
  <c r="AG743" i="17"/>
  <c r="AJ807" i="17"/>
  <c r="AG807" i="17"/>
  <c r="AG15" i="17"/>
  <c r="AG19" i="17"/>
  <c r="AG27" i="17"/>
  <c r="AG35" i="17"/>
  <c r="AG47" i="17"/>
  <c r="AG55" i="17"/>
  <c r="AG59" i="17"/>
  <c r="AG63" i="17"/>
  <c r="AG67" i="17"/>
  <c r="AG224" i="17"/>
  <c r="AJ224" i="17"/>
  <c r="AJ271" i="17"/>
  <c r="AG271" i="17"/>
  <c r="AJ286" i="17"/>
  <c r="AG286" i="17"/>
  <c r="AJ303" i="17"/>
  <c r="AG303" i="17"/>
  <c r="AJ318" i="17"/>
  <c r="AG318" i="17"/>
  <c r="AJ335" i="17"/>
  <c r="AG335" i="17"/>
  <c r="AJ347" i="17"/>
  <c r="AG347" i="17"/>
  <c r="AJ411" i="17"/>
  <c r="AG411" i="17"/>
  <c r="AJ481" i="17"/>
  <c r="AG481" i="17"/>
  <c r="AJ696" i="17"/>
  <c r="AG696" i="17"/>
  <c r="AJ258" i="17"/>
  <c r="AG258" i="17"/>
  <c r="AJ279" i="17"/>
  <c r="AG279" i="17"/>
  <c r="AJ294" i="17"/>
  <c r="AG294" i="17"/>
  <c r="AJ311" i="17"/>
  <c r="AG311" i="17"/>
  <c r="AJ326" i="17"/>
  <c r="AG326" i="17"/>
  <c r="AJ395" i="17"/>
  <c r="AG395" i="17"/>
  <c r="AJ459" i="17"/>
  <c r="AG459" i="17"/>
  <c r="AJ497" i="17"/>
  <c r="AG497" i="17"/>
  <c r="AJ804" i="17"/>
  <c r="AG804" i="17"/>
  <c r="AJ815" i="17"/>
  <c r="AG815" i="17"/>
  <c r="U949" i="17"/>
  <c r="V971" i="17" s="1"/>
  <c r="V972" i="17" s="1"/>
  <c r="AG7" i="17"/>
  <c r="AG11" i="17"/>
  <c r="AG23" i="17"/>
  <c r="AG31" i="17"/>
  <c r="AG39" i="17"/>
  <c r="AG43" i="17"/>
  <c r="AG51" i="17"/>
  <c r="AG4" i="17"/>
  <c r="AG68" i="17"/>
  <c r="AJ69" i="17"/>
  <c r="AJ239" i="17"/>
  <c r="AG239" i="17"/>
  <c r="AJ242" i="17"/>
  <c r="AG242" i="17"/>
  <c r="AG256" i="17"/>
  <c r="AJ256" i="17"/>
  <c r="AJ278" i="17"/>
  <c r="AG278" i="17"/>
  <c r="AJ295" i="17"/>
  <c r="AG295" i="17"/>
  <c r="AJ310" i="17"/>
  <c r="AG310" i="17"/>
  <c r="AJ327" i="17"/>
  <c r="AG327" i="17"/>
  <c r="AJ363" i="17"/>
  <c r="AG363" i="17"/>
  <c r="AJ427" i="17"/>
  <c r="AG427" i="17"/>
  <c r="AJ79" i="17"/>
  <c r="AG79" i="17"/>
  <c r="AJ83" i="17"/>
  <c r="AG83" i="17"/>
  <c r="AJ87" i="17"/>
  <c r="AG87" i="17"/>
  <c r="AJ91" i="17"/>
  <c r="AG91" i="17"/>
  <c r="AJ95" i="17"/>
  <c r="AG95" i="17"/>
  <c r="AJ99" i="17"/>
  <c r="AG99" i="17"/>
  <c r="AJ103" i="17"/>
  <c r="AG103" i="17"/>
  <c r="AJ107" i="17"/>
  <c r="AG107" i="17"/>
  <c r="AJ111" i="17"/>
  <c r="AG111" i="17"/>
  <c r="AJ115" i="17"/>
  <c r="AG115" i="17"/>
  <c r="AJ119" i="17"/>
  <c r="AG119" i="17"/>
  <c r="AJ123" i="17"/>
  <c r="AG123" i="17"/>
  <c r="AJ127" i="17"/>
  <c r="AG127" i="17"/>
  <c r="AJ131" i="17"/>
  <c r="AG131" i="17"/>
  <c r="AJ135" i="17"/>
  <c r="AG135" i="17"/>
  <c r="AJ139" i="17"/>
  <c r="AG139" i="17"/>
  <c r="AJ143" i="17"/>
  <c r="AG143" i="17"/>
  <c r="AJ147" i="17"/>
  <c r="AG147" i="17"/>
  <c r="AJ151" i="17"/>
  <c r="AG151" i="17"/>
  <c r="AJ155" i="17"/>
  <c r="AG155" i="17"/>
  <c r="AJ159" i="17"/>
  <c r="AG159" i="17"/>
  <c r="AJ163" i="17"/>
  <c r="AG163" i="17"/>
  <c r="AJ167" i="17"/>
  <c r="AG167" i="17"/>
  <c r="AJ171" i="17"/>
  <c r="AG171" i="17"/>
  <c r="AJ175" i="17"/>
  <c r="AG175" i="17"/>
  <c r="AJ179" i="17"/>
  <c r="AG179" i="17"/>
  <c r="AJ183" i="17"/>
  <c r="AG183" i="17"/>
  <c r="AJ187" i="17"/>
  <c r="AG187" i="17"/>
  <c r="AJ191" i="17"/>
  <c r="AG191" i="17"/>
  <c r="AJ195" i="17"/>
  <c r="AG195" i="17"/>
  <c r="AJ199" i="17"/>
  <c r="AG199" i="17"/>
  <c r="AJ203" i="17"/>
  <c r="AG203" i="17"/>
  <c r="AJ207" i="17"/>
  <c r="AG207" i="17"/>
  <c r="AJ211" i="17"/>
  <c r="AG211" i="17"/>
  <c r="AJ215" i="17"/>
  <c r="AG215" i="17"/>
  <c r="AJ219" i="17"/>
  <c r="AG219" i="17"/>
  <c r="AJ223" i="17"/>
  <c r="AG223" i="17"/>
  <c r="AJ226" i="17"/>
  <c r="AG226" i="17"/>
  <c r="AJ287" i="17"/>
  <c r="AG287" i="17"/>
  <c r="AJ302" i="17"/>
  <c r="AG302" i="17"/>
  <c r="AJ319" i="17"/>
  <c r="AG319" i="17"/>
  <c r="AJ334" i="17"/>
  <c r="AG334" i="17"/>
  <c r="AJ379" i="17"/>
  <c r="AG379" i="17"/>
  <c r="AJ443" i="17"/>
  <c r="AG443" i="17"/>
  <c r="AJ516" i="17"/>
  <c r="AG516" i="17"/>
  <c r="AJ351" i="17"/>
  <c r="AG351" i="17"/>
  <c r="AJ367" i="17"/>
  <c r="AG367" i="17"/>
  <c r="AJ383" i="17"/>
  <c r="AG383" i="17"/>
  <c r="AJ399" i="17"/>
  <c r="AG399" i="17"/>
  <c r="AJ415" i="17"/>
  <c r="AG415" i="17"/>
  <c r="AJ431" i="17"/>
  <c r="AG431" i="17"/>
  <c r="AJ447" i="17"/>
  <c r="AG447" i="17"/>
  <c r="AJ463" i="17"/>
  <c r="AG463" i="17"/>
  <c r="AJ532" i="17"/>
  <c r="AG532" i="17"/>
  <c r="AJ728" i="17"/>
  <c r="AG728" i="17"/>
  <c r="AG76" i="17"/>
  <c r="AG80" i="17"/>
  <c r="AG84" i="17"/>
  <c r="AG88" i="17"/>
  <c r="AG92" i="17"/>
  <c r="AG96" i="17"/>
  <c r="AG100" i="17"/>
  <c r="AG104" i="17"/>
  <c r="AG108" i="17"/>
  <c r="AG112" i="17"/>
  <c r="AG116" i="17"/>
  <c r="AG120" i="17"/>
  <c r="AG124" i="17"/>
  <c r="AG128" i="17"/>
  <c r="AG132" i="17"/>
  <c r="AG136" i="17"/>
  <c r="AG140" i="17"/>
  <c r="AG144" i="17"/>
  <c r="AG148" i="17"/>
  <c r="AG152" i="17"/>
  <c r="AG156" i="17"/>
  <c r="AG160" i="17"/>
  <c r="AG164" i="17"/>
  <c r="AG168" i="17"/>
  <c r="AG172" i="17"/>
  <c r="AG176" i="17"/>
  <c r="AG180" i="17"/>
  <c r="AG184" i="17"/>
  <c r="AG188" i="17"/>
  <c r="AG192" i="17"/>
  <c r="AG196" i="17"/>
  <c r="AG200" i="17"/>
  <c r="AG204" i="17"/>
  <c r="AG208" i="17"/>
  <c r="AG212" i="17"/>
  <c r="AG216" i="17"/>
  <c r="AG220" i="17"/>
  <c r="AG246" i="17"/>
  <c r="AG259" i="17"/>
  <c r="AG262" i="17"/>
  <c r="AJ275" i="17"/>
  <c r="AG275" i="17"/>
  <c r="AJ283" i="17"/>
  <c r="AG283" i="17"/>
  <c r="AJ291" i="17"/>
  <c r="AG291" i="17"/>
  <c r="AJ299" i="17"/>
  <c r="AG299" i="17"/>
  <c r="AJ307" i="17"/>
  <c r="AG307" i="17"/>
  <c r="AJ315" i="17"/>
  <c r="AG315" i="17"/>
  <c r="AJ323" i="17"/>
  <c r="AG323" i="17"/>
  <c r="AJ331" i="17"/>
  <c r="AG331" i="17"/>
  <c r="AJ339" i="17"/>
  <c r="AG339" i="17"/>
  <c r="AJ355" i="17"/>
  <c r="AG355" i="17"/>
  <c r="AJ371" i="17"/>
  <c r="AG371" i="17"/>
  <c r="AJ387" i="17"/>
  <c r="AG387" i="17"/>
  <c r="AJ403" i="17"/>
  <c r="AG403" i="17"/>
  <c r="AJ419" i="17"/>
  <c r="AG419" i="17"/>
  <c r="AJ435" i="17"/>
  <c r="AG435" i="17"/>
  <c r="AJ451" i="17"/>
  <c r="AG451" i="17"/>
  <c r="AJ480" i="17"/>
  <c r="AG480" i="17"/>
  <c r="AJ496" i="17"/>
  <c r="AG496" i="17"/>
  <c r="AJ548" i="17"/>
  <c r="AG548" i="17"/>
  <c r="AG231" i="17"/>
  <c r="AJ232" i="17"/>
  <c r="AG247" i="17"/>
  <c r="AJ248" i="17"/>
  <c r="AG263" i="17"/>
  <c r="AJ264" i="17"/>
  <c r="AG274" i="17"/>
  <c r="AG282" i="17"/>
  <c r="AG290" i="17"/>
  <c r="AG298" i="17"/>
  <c r="AG306" i="17"/>
  <c r="AG314" i="17"/>
  <c r="AG322" i="17"/>
  <c r="AG330" i="17"/>
  <c r="AG338" i="17"/>
  <c r="AJ343" i="17"/>
  <c r="AG343" i="17"/>
  <c r="AJ359" i="17"/>
  <c r="AG359" i="17"/>
  <c r="AJ375" i="17"/>
  <c r="AG375" i="17"/>
  <c r="AJ391" i="17"/>
  <c r="AG391" i="17"/>
  <c r="AJ407" i="17"/>
  <c r="AG407" i="17"/>
  <c r="AJ423" i="17"/>
  <c r="AG423" i="17"/>
  <c r="AJ439" i="17"/>
  <c r="AG439" i="17"/>
  <c r="AJ455" i="17"/>
  <c r="AG455" i="17"/>
  <c r="AJ564" i="17"/>
  <c r="AG564" i="17"/>
  <c r="AJ711" i="17"/>
  <c r="AG711" i="17"/>
  <c r="AJ477" i="17"/>
  <c r="AG477" i="17"/>
  <c r="AJ493" i="17"/>
  <c r="AG493" i="17"/>
  <c r="AJ504" i="17"/>
  <c r="AG504" i="17"/>
  <c r="AJ520" i="17"/>
  <c r="AG520" i="17"/>
  <c r="AJ536" i="17"/>
  <c r="AG536" i="17"/>
  <c r="AJ552" i="17"/>
  <c r="AG552" i="17"/>
  <c r="AJ568" i="17"/>
  <c r="AG568" i="17"/>
  <c r="AJ584" i="17"/>
  <c r="AG584" i="17"/>
  <c r="AJ588" i="17"/>
  <c r="AG588" i="17"/>
  <c r="AJ592" i="17"/>
  <c r="AG592" i="17"/>
  <c r="AJ596" i="17"/>
  <c r="AG596" i="17"/>
  <c r="AJ600" i="17"/>
  <c r="AG600" i="17"/>
  <c r="AG653" i="17"/>
  <c r="AJ653" i="17"/>
  <c r="AG669" i="17"/>
  <c r="AJ669" i="17"/>
  <c r="AG685" i="17"/>
  <c r="AJ685" i="17"/>
  <c r="AJ688" i="17"/>
  <c r="AG688" i="17"/>
  <c r="AJ703" i="17"/>
  <c r="AG703" i="17"/>
  <c r="AJ720" i="17"/>
  <c r="AG720" i="17"/>
  <c r="AJ735" i="17"/>
  <c r="AG735" i="17"/>
  <c r="AJ752" i="17"/>
  <c r="AG752" i="17"/>
  <c r="AJ759" i="17"/>
  <c r="AG759" i="17"/>
  <c r="AJ771" i="17"/>
  <c r="AG771" i="17"/>
  <c r="AJ473" i="17"/>
  <c r="AG473" i="17"/>
  <c r="AG476" i="17"/>
  <c r="AJ489" i="17"/>
  <c r="AG489" i="17"/>
  <c r="AG492" i="17"/>
  <c r="AJ508" i="17"/>
  <c r="AG508" i="17"/>
  <c r="AJ524" i="17"/>
  <c r="AG524" i="17"/>
  <c r="AJ540" i="17"/>
  <c r="AG540" i="17"/>
  <c r="AJ556" i="17"/>
  <c r="AG556" i="17"/>
  <c r="AJ572" i="17"/>
  <c r="AG572" i="17"/>
  <c r="AJ604" i="17"/>
  <c r="AG604" i="17"/>
  <c r="AJ608" i="17"/>
  <c r="AG608" i="17"/>
  <c r="AJ612" i="17"/>
  <c r="AG612" i="17"/>
  <c r="AJ616" i="17"/>
  <c r="AG616" i="17"/>
  <c r="AJ620" i="17"/>
  <c r="AG620" i="17"/>
  <c r="AJ624" i="17"/>
  <c r="AG624" i="17"/>
  <c r="AJ628" i="17"/>
  <c r="AG628" i="17"/>
  <c r="AJ632" i="17"/>
  <c r="AG632" i="17"/>
  <c r="AJ636" i="17"/>
  <c r="AG636" i="17"/>
  <c r="AJ640" i="17"/>
  <c r="AG640" i="17"/>
  <c r="AJ695" i="17"/>
  <c r="AG695" i="17"/>
  <c r="AJ712" i="17"/>
  <c r="AG712" i="17"/>
  <c r="AJ727" i="17"/>
  <c r="AG727" i="17"/>
  <c r="AJ744" i="17"/>
  <c r="AG744" i="17"/>
  <c r="AJ867" i="17"/>
  <c r="AG867" i="17"/>
  <c r="AJ899" i="17"/>
  <c r="AG899" i="17"/>
  <c r="AJ469" i="17"/>
  <c r="AG469" i="17"/>
  <c r="AJ485" i="17"/>
  <c r="AG485" i="17"/>
  <c r="AJ512" i="17"/>
  <c r="AG512" i="17"/>
  <c r="AJ528" i="17"/>
  <c r="AG528" i="17"/>
  <c r="AJ544" i="17"/>
  <c r="AG544" i="17"/>
  <c r="AJ560" i="17"/>
  <c r="AG560" i="17"/>
  <c r="AJ576" i="17"/>
  <c r="AG576" i="17"/>
  <c r="AJ652" i="17"/>
  <c r="AG652" i="17"/>
  <c r="AJ655" i="17"/>
  <c r="AG655" i="17"/>
  <c r="AJ668" i="17"/>
  <c r="AG668" i="17"/>
  <c r="AJ671" i="17"/>
  <c r="AG671" i="17"/>
  <c r="AJ684" i="17"/>
  <c r="AG684" i="17"/>
  <c r="AJ687" i="17"/>
  <c r="AG687" i="17"/>
  <c r="AJ704" i="17"/>
  <c r="AG704" i="17"/>
  <c r="AJ719" i="17"/>
  <c r="AG719" i="17"/>
  <c r="AJ736" i="17"/>
  <c r="AG736" i="17"/>
  <c r="AJ751" i="17"/>
  <c r="AG751" i="17"/>
  <c r="AJ772" i="17"/>
  <c r="AG772" i="17"/>
  <c r="AG757" i="17"/>
  <c r="AJ757" i="17"/>
  <c r="AJ788" i="17"/>
  <c r="AG788" i="17"/>
  <c r="AJ791" i="17"/>
  <c r="AG791" i="17"/>
  <c r="AJ831" i="17"/>
  <c r="AG831" i="17"/>
  <c r="AJ856" i="17"/>
  <c r="AG856" i="17"/>
  <c r="AJ935" i="17"/>
  <c r="AG935" i="17"/>
  <c r="AG501" i="17"/>
  <c r="AG505" i="17"/>
  <c r="AG509" i="17"/>
  <c r="AG513" i="17"/>
  <c r="AG517" i="17"/>
  <c r="AG521" i="17"/>
  <c r="AG525" i="17"/>
  <c r="AG529" i="17"/>
  <c r="AG533" i="17"/>
  <c r="AG537" i="17"/>
  <c r="AG541" i="17"/>
  <c r="AG545" i="17"/>
  <c r="AG549" i="17"/>
  <c r="AG553" i="17"/>
  <c r="AG557" i="17"/>
  <c r="AG561" i="17"/>
  <c r="AG565" i="17"/>
  <c r="AG569" i="17"/>
  <c r="AG573" i="17"/>
  <c r="AG577" i="17"/>
  <c r="AG581" i="17"/>
  <c r="AG585" i="17"/>
  <c r="AG589" i="17"/>
  <c r="AG593" i="17"/>
  <c r="AG597" i="17"/>
  <c r="AG601" i="17"/>
  <c r="AG605" i="17"/>
  <c r="AG609" i="17"/>
  <c r="AG613" i="17"/>
  <c r="AG617" i="17"/>
  <c r="AG621" i="17"/>
  <c r="AG625" i="17"/>
  <c r="AG629" i="17"/>
  <c r="AG633" i="17"/>
  <c r="AG637" i="17"/>
  <c r="AJ641" i="17"/>
  <c r="AG643" i="17"/>
  <c r="AG656" i="17"/>
  <c r="AJ657" i="17"/>
  <c r="AG659" i="17"/>
  <c r="AG672" i="17"/>
  <c r="AJ673" i="17"/>
  <c r="AG675" i="17"/>
  <c r="AJ692" i="17"/>
  <c r="AG692" i="17"/>
  <c r="AJ700" i="17"/>
  <c r="AG700" i="17"/>
  <c r="AJ708" i="17"/>
  <c r="AG708" i="17"/>
  <c r="AJ716" i="17"/>
  <c r="AG716" i="17"/>
  <c r="AJ724" i="17"/>
  <c r="AG724" i="17"/>
  <c r="AJ732" i="17"/>
  <c r="AG732" i="17"/>
  <c r="AJ740" i="17"/>
  <c r="AG740" i="17"/>
  <c r="AJ748" i="17"/>
  <c r="AG748" i="17"/>
  <c r="AJ756" i="17"/>
  <c r="AG756" i="17"/>
  <c r="AJ769" i="17"/>
  <c r="AJ775" i="17"/>
  <c r="AG775" i="17"/>
  <c r="AG805" i="17"/>
  <c r="AJ805" i="17"/>
  <c r="AJ808" i="17"/>
  <c r="AG808" i="17"/>
  <c r="AJ883" i="17"/>
  <c r="AG883" i="17"/>
  <c r="AG644" i="17"/>
  <c r="AJ645" i="17"/>
  <c r="AG660" i="17"/>
  <c r="AJ661" i="17"/>
  <c r="AG676" i="17"/>
  <c r="AJ677" i="17"/>
  <c r="AG691" i="17"/>
  <c r="AG699" i="17"/>
  <c r="AG707" i="17"/>
  <c r="AG715" i="17"/>
  <c r="AG723" i="17"/>
  <c r="AG731" i="17"/>
  <c r="AG739" i="17"/>
  <c r="AG747" i="17"/>
  <c r="AG755" i="17"/>
  <c r="AG768" i="17"/>
  <c r="AG773" i="17"/>
  <c r="AJ773" i="17"/>
  <c r="AG789" i="17"/>
  <c r="AJ789" i="17"/>
  <c r="AJ819" i="17"/>
  <c r="AG819" i="17"/>
  <c r="AJ835" i="17"/>
  <c r="AG835" i="17"/>
  <c r="AJ944" i="17"/>
  <c r="AG944" i="17"/>
  <c r="AG760" i="17"/>
  <c r="AJ761" i="17"/>
  <c r="AG776" i="17"/>
  <c r="AJ777" i="17"/>
  <c r="AG792" i="17"/>
  <c r="AJ793" i="17"/>
  <c r="AJ812" i="17"/>
  <c r="AG812" i="17"/>
  <c r="AJ823" i="17"/>
  <c r="AG823" i="17"/>
  <c r="AJ855" i="17"/>
  <c r="AG855" i="17"/>
  <c r="AJ868" i="17"/>
  <c r="AG868" i="17"/>
  <c r="AJ884" i="17"/>
  <c r="AG884" i="17"/>
  <c r="AJ900" i="17"/>
  <c r="AG900" i="17"/>
  <c r="AJ936" i="17"/>
  <c r="AG936" i="17"/>
  <c r="AJ827" i="17"/>
  <c r="AG827" i="17"/>
  <c r="AJ943" i="17"/>
  <c r="AG943" i="17"/>
  <c r="AJ840" i="17"/>
  <c r="AG840" i="17"/>
  <c r="AJ852" i="17"/>
  <c r="AG852" i="17"/>
  <c r="AJ864" i="17"/>
  <c r="AG864" i="17"/>
  <c r="AJ880" i="17"/>
  <c r="AG880" i="17"/>
  <c r="AJ896" i="17"/>
  <c r="AG896" i="17"/>
  <c r="AJ908" i="17"/>
  <c r="AG908" i="17"/>
  <c r="AJ916" i="17"/>
  <c r="AG916" i="17"/>
  <c r="AJ924" i="17"/>
  <c r="AG924" i="17"/>
  <c r="AJ848" i="17"/>
  <c r="AG848" i="17"/>
  <c r="AJ876" i="17"/>
  <c r="AG876" i="17"/>
  <c r="AJ892" i="17"/>
  <c r="AG892" i="17"/>
  <c r="AJ904" i="17"/>
  <c r="AG904" i="17"/>
  <c r="AJ932" i="17"/>
  <c r="AG932" i="17"/>
  <c r="AJ940" i="17"/>
  <c r="AG940" i="17"/>
  <c r="AJ837" i="17"/>
  <c r="AJ844" i="17"/>
  <c r="AG844" i="17"/>
  <c r="AG847" i="17"/>
  <c r="AJ860" i="17"/>
  <c r="AG860" i="17"/>
  <c r="AJ872" i="17"/>
  <c r="AG872" i="17"/>
  <c r="AG875" i="17"/>
  <c r="AJ888" i="17"/>
  <c r="AG888" i="17"/>
  <c r="AG891" i="17"/>
  <c r="AG903" i="17"/>
  <c r="AJ912" i="17"/>
  <c r="AG912" i="17"/>
  <c r="AJ920" i="17"/>
  <c r="AG920" i="17"/>
  <c r="AJ928" i="17"/>
  <c r="AG928" i="17"/>
  <c r="AG931" i="17"/>
  <c r="AG939" i="17"/>
  <c r="AJ949" i="17" l="1"/>
  <c r="AG949" i="17"/>
  <c r="Z971" i="17" s="1"/>
  <c r="Z972" i="17" s="1"/>
  <c r="AG2" i="17"/>
  <c r="C38" i="16" l="1"/>
  <c r="D24" i="16"/>
  <c r="A55" i="16"/>
  <c r="D38" i="16"/>
  <c r="A2" i="16"/>
  <c r="G282" i="6"/>
  <c r="G191" i="6"/>
  <c r="D191" i="6"/>
  <c r="F191" i="6" s="1"/>
  <c r="D184" i="4"/>
  <c r="D176" i="4"/>
  <c r="D167" i="4"/>
  <c r="D158" i="4"/>
  <c r="C184" i="4"/>
  <c r="B151" i="4"/>
  <c r="C151" i="4" s="1"/>
  <c r="B145" i="4"/>
  <c r="B143" i="4"/>
  <c r="D49" i="2"/>
  <c r="I143" i="11"/>
  <c r="J143" i="11" s="1"/>
  <c r="S143" i="11" s="1"/>
  <c r="F40" i="6"/>
  <c r="F235" i="6"/>
  <c r="F238" i="6"/>
  <c r="G79" i="6"/>
  <c r="E277" i="6"/>
  <c r="B264" i="6"/>
  <c r="C264" i="6"/>
  <c r="B254" i="6"/>
  <c r="C254" i="6"/>
  <c r="B193" i="6"/>
  <c r="C193" i="6"/>
  <c r="G170" i="6"/>
  <c r="G169" i="6"/>
  <c r="G167" i="6"/>
  <c r="G166" i="6"/>
  <c r="E271" i="4"/>
  <c r="G271" i="4" s="1"/>
  <c r="G209" i="4" s="1"/>
  <c r="I273" i="4"/>
  <c r="I272" i="4"/>
  <c r="I271" i="4"/>
  <c r="E241" i="4"/>
  <c r="G241" i="4" s="1"/>
  <c r="E240" i="4"/>
  <c r="G240" i="4" s="1"/>
  <c r="E238" i="4"/>
  <c r="F220" i="4"/>
  <c r="H68" i="11"/>
  <c r="G54" i="6"/>
  <c r="C53" i="6"/>
  <c r="J94" i="11"/>
  <c r="S94" i="11" s="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5" i="11"/>
  <c r="P46" i="11"/>
  <c r="P47" i="11"/>
  <c r="P48" i="11"/>
  <c r="P49" i="11"/>
  <c r="P50" i="11"/>
  <c r="P51" i="11"/>
  <c r="P52" i="11"/>
  <c r="P53" i="11"/>
  <c r="P54" i="11"/>
  <c r="P55" i="11"/>
  <c r="P56" i="11"/>
  <c r="P57" i="11"/>
  <c r="P58" i="11"/>
  <c r="P59" i="11"/>
  <c r="P60" i="11"/>
  <c r="P61" i="11"/>
  <c r="P62" i="11"/>
  <c r="P63" i="11"/>
  <c r="P64" i="11"/>
  <c r="P65" i="11"/>
  <c r="P66" i="11"/>
  <c r="P67" i="11"/>
  <c r="P69" i="11"/>
  <c r="P70" i="11"/>
  <c r="P71" i="11"/>
  <c r="P72" i="11"/>
  <c r="P73" i="11"/>
  <c r="P74" i="11"/>
  <c r="P75" i="11"/>
  <c r="P76" i="11"/>
  <c r="P77" i="11"/>
  <c r="P78" i="11"/>
  <c r="P79" i="11"/>
  <c r="P80" i="11"/>
  <c r="P81" i="11"/>
  <c r="P82" i="11"/>
  <c r="P83" i="11"/>
  <c r="P84" i="11"/>
  <c r="P85" i="11"/>
  <c r="P86" i="11"/>
  <c r="P87" i="11"/>
  <c r="P88" i="11"/>
  <c r="P89" i="11"/>
  <c r="P90" i="11"/>
  <c r="P91" i="11"/>
  <c r="P92" i="11"/>
  <c r="P93" i="11"/>
  <c r="P95" i="11"/>
  <c r="P96" i="11"/>
  <c r="P97" i="11"/>
  <c r="P98" i="11"/>
  <c r="P99" i="11"/>
  <c r="P100" i="11"/>
  <c r="P101" i="11"/>
  <c r="P102" i="11"/>
  <c r="P103" i="11"/>
  <c r="P104" i="11"/>
  <c r="P105" i="11"/>
  <c r="P106" i="11"/>
  <c r="P107" i="11"/>
  <c r="P108" i="11"/>
  <c r="P109" i="11"/>
  <c r="P110" i="11"/>
  <c r="P111" i="11"/>
  <c r="P112" i="11"/>
  <c r="P113" i="11"/>
  <c r="P114" i="11"/>
  <c r="P115" i="11"/>
  <c r="P116" i="11"/>
  <c r="P117" i="11"/>
  <c r="P118" i="11"/>
  <c r="P119" i="11"/>
  <c r="P120" i="11"/>
  <c r="P121" i="11"/>
  <c r="P122" i="11"/>
  <c r="P123" i="11"/>
  <c r="P124" i="11"/>
  <c r="P125" i="11"/>
  <c r="P126" i="11"/>
  <c r="P127" i="11"/>
  <c r="P128" i="11"/>
  <c r="P129" i="11"/>
  <c r="P130" i="11"/>
  <c r="P131" i="11"/>
  <c r="P132" i="11"/>
  <c r="P133" i="11"/>
  <c r="P134" i="11"/>
  <c r="P135" i="11"/>
  <c r="P136" i="11"/>
  <c r="P137" i="11"/>
  <c r="P138" i="11"/>
  <c r="P139" i="11"/>
  <c r="P140" i="11"/>
  <c r="P141" i="11"/>
  <c r="P142" i="11"/>
  <c r="P144" i="11"/>
  <c r="P145" i="11"/>
  <c r="P146" i="11"/>
  <c r="P147" i="11"/>
  <c r="P148" i="11"/>
  <c r="P149" i="11"/>
  <c r="P150" i="11"/>
  <c r="P151" i="11"/>
  <c r="P152" i="11"/>
  <c r="P153" i="11"/>
  <c r="P154" i="11"/>
  <c r="P155" i="11"/>
  <c r="P156" i="11"/>
  <c r="P157" i="11"/>
  <c r="P158" i="11"/>
  <c r="P159" i="11"/>
  <c r="P160" i="11"/>
  <c r="P161" i="11"/>
  <c r="P162" i="11"/>
  <c r="P163" i="11"/>
  <c r="P164" i="11"/>
  <c r="P165" i="11"/>
  <c r="P166" i="11"/>
  <c r="P167" i="11"/>
  <c r="P168" i="11"/>
  <c r="P169" i="11"/>
  <c r="P170" i="11"/>
  <c r="P171" i="11"/>
  <c r="P172" i="11"/>
  <c r="P173" i="11"/>
  <c r="P174" i="11"/>
  <c r="P175" i="11"/>
  <c r="P176" i="11"/>
  <c r="P179" i="11"/>
  <c r="P180" i="11"/>
  <c r="P181" i="11"/>
  <c r="P182" i="11"/>
  <c r="P183" i="11"/>
  <c r="P184" i="11"/>
  <c r="P185" i="11"/>
  <c r="P186" i="11"/>
  <c r="P187" i="11"/>
  <c r="P188" i="11"/>
  <c r="P189" i="11"/>
  <c r="P190" i="11"/>
  <c r="P191" i="11"/>
  <c r="P192" i="11"/>
  <c r="P193" i="11"/>
  <c r="P194" i="11"/>
  <c r="P195" i="11"/>
  <c r="P196" i="11"/>
  <c r="P197" i="11"/>
  <c r="P198" i="11"/>
  <c r="P199" i="11"/>
  <c r="P201" i="11"/>
  <c r="P202" i="11"/>
  <c r="P203" i="11"/>
  <c r="P204" i="11"/>
  <c r="P205" i="11"/>
  <c r="P206" i="11"/>
  <c r="P207" i="11"/>
  <c r="P6" i="11"/>
  <c r="I68" i="11"/>
  <c r="H178" i="11"/>
  <c r="J178" i="11" s="1"/>
  <c r="S178" i="11" s="1"/>
  <c r="H177" i="11"/>
  <c r="J177" i="11" s="1"/>
  <c r="S177" i="11" s="1"/>
  <c r="H200" i="11"/>
  <c r="J200" i="11" s="1"/>
  <c r="S200" i="11" s="1"/>
  <c r="G220" i="4" l="1"/>
  <c r="F209" i="4"/>
  <c r="G238" i="4"/>
  <c r="E209" i="4"/>
  <c r="B170" i="4"/>
  <c r="D170" i="4" s="1"/>
  <c r="J271" i="4"/>
  <c r="J68" i="11"/>
  <c r="P143" i="11"/>
  <c r="P94" i="11"/>
  <c r="P178" i="11"/>
  <c r="P177" i="11"/>
  <c r="P200" i="11"/>
  <c r="D285" i="4"/>
  <c r="D286" i="4"/>
  <c r="D287" i="4"/>
  <c r="D288" i="4"/>
  <c r="D289" i="4"/>
  <c r="D290" i="4"/>
  <c r="D291" i="4"/>
  <c r="D292" i="4"/>
  <c r="D284" i="4"/>
  <c r="P68" i="11" l="1"/>
  <c r="S68" i="11"/>
  <c r="G273" i="4"/>
  <c r="G73" i="6"/>
  <c r="G28" i="6"/>
  <c r="L139" i="13" l="1"/>
  <c r="D282" i="6" s="1"/>
  <c r="F282" i="6" s="1"/>
  <c r="G272" i="4"/>
  <c r="J273" i="4"/>
  <c r="D101" i="4"/>
  <c r="D102" i="4"/>
  <c r="D58" i="4"/>
  <c r="B61" i="4"/>
  <c r="D61" i="4" s="1"/>
  <c r="B60" i="4"/>
  <c r="D60" i="4" s="1"/>
  <c r="B59" i="4"/>
  <c r="D59" i="4" s="1"/>
  <c r="B57" i="4"/>
  <c r="D57" i="4" s="1"/>
  <c r="B56" i="4"/>
  <c r="D56" i="4" s="1"/>
  <c r="B55" i="4"/>
  <c r="D55" i="4" s="1"/>
  <c r="D62" i="4"/>
  <c r="D103" i="4"/>
  <c r="D104" i="4"/>
  <c r="D105" i="4"/>
  <c r="D106" i="4"/>
  <c r="D107" i="4"/>
  <c r="D108" i="4"/>
  <c r="D109" i="4"/>
  <c r="D110" i="4"/>
  <c r="D111" i="4"/>
  <c r="D112" i="4"/>
  <c r="D113" i="4"/>
  <c r="D114" i="4"/>
  <c r="D115" i="4"/>
  <c r="D116" i="4"/>
  <c r="D117" i="4"/>
  <c r="D118" i="4"/>
  <c r="D119" i="4"/>
  <c r="D120" i="4"/>
  <c r="D121" i="4"/>
  <c r="D76" i="4"/>
  <c r="D78" i="4"/>
  <c r="D79" i="4"/>
  <c r="D80" i="4"/>
  <c r="D81" i="4"/>
  <c r="D82" i="4"/>
  <c r="D83" i="4"/>
  <c r="D84" i="4"/>
  <c r="E227" i="6"/>
  <c r="E226" i="6"/>
  <c r="E273" i="6"/>
  <c r="E297" i="6" s="1"/>
  <c r="G262" i="6"/>
  <c r="E260" i="6"/>
  <c r="D262" i="6"/>
  <c r="F262" i="6" s="1"/>
  <c r="Q193" i="13"/>
  <c r="N193" i="13"/>
  <c r="G148" i="6"/>
  <c r="F137" i="6"/>
  <c r="G138" i="6"/>
  <c r="G100" i="6"/>
  <c r="G99" i="6"/>
  <c r="G98" i="6"/>
  <c r="G97" i="6"/>
  <c r="G96" i="6"/>
  <c r="G95" i="6"/>
  <c r="G94" i="6"/>
  <c r="G59" i="6"/>
  <c r="G40" i="6"/>
  <c r="G39" i="6"/>
  <c r="G38" i="6"/>
  <c r="G37" i="6"/>
  <c r="D122" i="4"/>
  <c r="D123" i="4"/>
  <c r="D124" i="4"/>
  <c r="D125" i="4"/>
  <c r="D126" i="4"/>
  <c r="D127" i="4"/>
  <c r="D128" i="4"/>
  <c r="D129" i="4"/>
  <c r="D63" i="4"/>
  <c r="D64" i="4"/>
  <c r="D65" i="4"/>
  <c r="D66" i="4"/>
  <c r="D67" i="4"/>
  <c r="D68" i="4"/>
  <c r="D69" i="4"/>
  <c r="D70" i="4"/>
  <c r="D71" i="4"/>
  <c r="D72" i="4"/>
  <c r="D73" i="4"/>
  <c r="D74" i="4"/>
  <c r="D75" i="4"/>
  <c r="E118" i="6"/>
  <c r="D69" i="6"/>
  <c r="G202" i="6"/>
  <c r="J37" i="3"/>
  <c r="G261" i="6"/>
  <c r="G150" i="6"/>
  <c r="R15" i="14"/>
  <c r="E21" i="14"/>
  <c r="D21" i="14"/>
  <c r="C21" i="14"/>
  <c r="B21" i="14"/>
  <c r="Q14" i="14"/>
  <c r="Q18" i="14" s="1"/>
  <c r="B8" i="14" s="1"/>
  <c r="F20" i="14"/>
  <c r="R13" i="14"/>
  <c r="F19" i="14"/>
  <c r="R12" i="14"/>
  <c r="F18" i="14"/>
  <c r="R11" i="14"/>
  <c r="F17" i="14"/>
  <c r="R10" i="14"/>
  <c r="R9" i="14"/>
  <c r="R8" i="14"/>
  <c r="R7" i="14"/>
  <c r="R6" i="14"/>
  <c r="E12" i="14"/>
  <c r="D12" i="14"/>
  <c r="R5" i="14"/>
  <c r="F11" i="14"/>
  <c r="R4" i="14"/>
  <c r="F10" i="14"/>
  <c r="R3" i="14"/>
  <c r="C9" i="14"/>
  <c r="C12" i="14" s="1"/>
  <c r="F8" i="14"/>
  <c r="J212" i="11"/>
  <c r="J213" i="11" s="1"/>
  <c r="F27" i="2" l="1"/>
  <c r="H27" i="2"/>
  <c r="G28" i="2"/>
  <c r="I28" i="2"/>
  <c r="G27" i="2"/>
  <c r="I27" i="2"/>
  <c r="R18" i="14"/>
  <c r="E240" i="6"/>
  <c r="J272" i="4"/>
  <c r="K139" i="13"/>
  <c r="F21" i="14"/>
  <c r="B9" i="14"/>
  <c r="F9" i="14" s="1"/>
  <c r="H28" i="2" s="1"/>
  <c r="M139" i="13" l="1"/>
  <c r="D218" i="6"/>
  <c r="F12" i="14"/>
  <c r="F28" i="2"/>
  <c r="B12" i="14"/>
  <c r="B171" i="4" l="1"/>
  <c r="D171" i="4" s="1"/>
  <c r="B77" i="4" l="1"/>
  <c r="E5" i="4"/>
  <c r="F11" i="4"/>
  <c r="H11" i="4"/>
  <c r="D77" i="4" l="1"/>
  <c r="E10" i="4"/>
  <c r="D10" i="4"/>
  <c r="D5" i="4"/>
  <c r="D8" i="4"/>
  <c r="G8" i="4" s="1"/>
  <c r="D7" i="4"/>
  <c r="G7" i="4" s="1"/>
  <c r="D6" i="4"/>
  <c r="G6" i="4" s="1"/>
  <c r="E9" i="4"/>
  <c r="D9" i="4"/>
  <c r="G293" i="6"/>
  <c r="G207" i="6"/>
  <c r="G291" i="6"/>
  <c r="G292" i="6"/>
  <c r="G290" i="6"/>
  <c r="G227" i="6"/>
  <c r="G226" i="6"/>
  <c r="G225" i="6"/>
  <c r="G224" i="6"/>
  <c r="F224" i="6"/>
  <c r="G223" i="6"/>
  <c r="G288" i="6"/>
  <c r="G232" i="6"/>
  <c r="G231" i="6"/>
  <c r="G230" i="6"/>
  <c r="G286" i="6"/>
  <c r="G285" i="6"/>
  <c r="G284" i="6"/>
  <c r="G283" i="6"/>
  <c r="G218" i="6"/>
  <c r="G237" i="6"/>
  <c r="G280" i="6"/>
  <c r="G236" i="6"/>
  <c r="F236" i="6"/>
  <c r="G279" i="6"/>
  <c r="G234" i="6"/>
  <c r="G278" i="6"/>
  <c r="G277" i="6"/>
  <c r="G272" i="6"/>
  <c r="G273" i="6"/>
  <c r="G274" i="6"/>
  <c r="I215" i="4"/>
  <c r="J215" i="4" s="1"/>
  <c r="I216" i="4"/>
  <c r="J216" i="4" s="1"/>
  <c r="I217" i="4"/>
  <c r="J217" i="4" s="1"/>
  <c r="I218" i="4"/>
  <c r="J218" i="4" s="1"/>
  <c r="I219" i="4"/>
  <c r="J219" i="4" s="1"/>
  <c r="I220" i="4"/>
  <c r="J220" i="4" s="1"/>
  <c r="I221" i="4"/>
  <c r="J221" i="4" s="1"/>
  <c r="I222" i="4"/>
  <c r="J222" i="4" s="1"/>
  <c r="I223" i="4"/>
  <c r="J223" i="4" s="1"/>
  <c r="I224" i="4"/>
  <c r="J224" i="4" s="1"/>
  <c r="I225" i="4"/>
  <c r="J225" i="4" s="1"/>
  <c r="I226" i="4"/>
  <c r="J226" i="4" s="1"/>
  <c r="I227" i="4"/>
  <c r="J227" i="4" s="1"/>
  <c r="I228" i="4"/>
  <c r="J228" i="4" s="1"/>
  <c r="I229" i="4"/>
  <c r="J229" i="4" s="1"/>
  <c r="I230" i="4"/>
  <c r="J230" i="4" s="1"/>
  <c r="I231" i="4"/>
  <c r="J231" i="4" s="1"/>
  <c r="I232" i="4"/>
  <c r="J232" i="4" s="1"/>
  <c r="I233" i="4"/>
  <c r="J233" i="4" s="1"/>
  <c r="I234" i="4"/>
  <c r="J234" i="4" s="1"/>
  <c r="I235" i="4"/>
  <c r="J235" i="4" s="1"/>
  <c r="I277" i="4"/>
  <c r="J277" i="4" s="1"/>
  <c r="I278" i="4"/>
  <c r="J278" i="4" s="1"/>
  <c r="I251" i="4"/>
  <c r="J251" i="4" s="1"/>
  <c r="I252" i="4"/>
  <c r="J252" i="4" s="1"/>
  <c r="I253" i="4"/>
  <c r="J253" i="4" s="1"/>
  <c r="I254" i="4"/>
  <c r="J254" i="4" s="1"/>
  <c r="I255" i="4"/>
  <c r="J255" i="4" s="1"/>
  <c r="I256" i="4"/>
  <c r="J256" i="4" s="1"/>
  <c r="I257" i="4"/>
  <c r="J257" i="4" s="1"/>
  <c r="I258" i="4"/>
  <c r="J258" i="4" s="1"/>
  <c r="I259" i="4"/>
  <c r="J259" i="4" s="1"/>
  <c r="I260" i="4"/>
  <c r="J260" i="4" s="1"/>
  <c r="I261" i="4"/>
  <c r="J261" i="4" s="1"/>
  <c r="I262" i="4"/>
  <c r="J262" i="4" s="1"/>
  <c r="I263" i="4"/>
  <c r="J263" i="4" s="1"/>
  <c r="I236" i="4"/>
  <c r="J236" i="4" s="1"/>
  <c r="I247" i="4"/>
  <c r="J247" i="4" s="1"/>
  <c r="I264" i="4"/>
  <c r="J264" i="4" s="1"/>
  <c r="I240" i="4"/>
  <c r="J240" i="4" s="1"/>
  <c r="I241" i="4"/>
  <c r="J241" i="4" s="1"/>
  <c r="I242" i="4"/>
  <c r="J242" i="4" s="1"/>
  <c r="I265" i="4"/>
  <c r="J265" i="4" s="1"/>
  <c r="I239" i="4"/>
  <c r="J239" i="4" s="1"/>
  <c r="I243" i="4"/>
  <c r="J243" i="4" s="1"/>
  <c r="I244" i="4"/>
  <c r="J244" i="4" s="1"/>
  <c r="I245" i="4"/>
  <c r="J245" i="4" s="1"/>
  <c r="I246" i="4"/>
  <c r="J246" i="4" s="1"/>
  <c r="I248" i="4"/>
  <c r="J248" i="4" s="1"/>
  <c r="I250" i="4"/>
  <c r="J250" i="4" s="1"/>
  <c r="I266" i="4"/>
  <c r="J266" i="4" s="1"/>
  <c r="I267" i="4"/>
  <c r="J267" i="4" s="1"/>
  <c r="I268" i="4"/>
  <c r="J268" i="4" s="1"/>
  <c r="I238" i="4"/>
  <c r="J238" i="4" s="1"/>
  <c r="I269" i="4"/>
  <c r="J269" i="4" s="1"/>
  <c r="I249" i="4"/>
  <c r="J249" i="4" s="1"/>
  <c r="I270" i="4"/>
  <c r="J270" i="4" s="1"/>
  <c r="B27" i="4" l="1"/>
  <c r="G9" i="4"/>
  <c r="G10" i="4"/>
  <c r="G5" i="4"/>
  <c r="B17" i="4" s="1"/>
  <c r="B20" i="4" s="1"/>
  <c r="B26" i="4" s="1"/>
  <c r="D11" i="4"/>
  <c r="E11" i="4"/>
  <c r="B10" i="4"/>
  <c r="C10" i="4" s="1"/>
  <c r="C9" i="4"/>
  <c r="C5" i="4"/>
  <c r="C8" i="4"/>
  <c r="B7" i="4"/>
  <c r="C7" i="4" s="1"/>
  <c r="B6" i="4"/>
  <c r="B54" i="4" l="1"/>
  <c r="B48" i="4"/>
  <c r="B11" i="4"/>
  <c r="G11" i="4"/>
  <c r="C6" i="4"/>
  <c r="C11" i="4" s="1"/>
  <c r="B142" i="4" s="1"/>
  <c r="B144" i="4" s="1"/>
  <c r="C145" i="4" l="1"/>
  <c r="B146" i="4"/>
  <c r="C146" i="4" s="1"/>
  <c r="B53" i="4"/>
  <c r="B95" i="4" s="1"/>
  <c r="E194" i="13"/>
  <c r="F194" i="13"/>
  <c r="G194" i="13"/>
  <c r="H194" i="13"/>
  <c r="E195" i="13"/>
  <c r="F195" i="13"/>
  <c r="G195" i="13"/>
  <c r="H195" i="13"/>
  <c r="E196" i="13"/>
  <c r="F196" i="13"/>
  <c r="G196" i="13"/>
  <c r="H196" i="13"/>
  <c r="E197" i="13"/>
  <c r="F197" i="13"/>
  <c r="G197" i="13"/>
  <c r="H197" i="13"/>
  <c r="E198" i="13"/>
  <c r="F198" i="13"/>
  <c r="G198" i="13"/>
  <c r="H198" i="13"/>
  <c r="F4" i="11"/>
  <c r="G4" i="11"/>
  <c r="H4" i="11"/>
  <c r="I4" i="11"/>
  <c r="D293" i="6"/>
  <c r="F293" i="6" s="1"/>
  <c r="G294" i="6"/>
  <c r="G295" i="6"/>
  <c r="D295" i="6"/>
  <c r="F295" i="6" s="1"/>
  <c r="G180" i="6"/>
  <c r="G179" i="6"/>
  <c r="D180" i="6"/>
  <c r="L204" i="11"/>
  <c r="L205" i="11"/>
  <c r="L206" i="11"/>
  <c r="L207" i="11"/>
  <c r="D54" i="4" l="1"/>
  <c r="B100" i="4"/>
  <c r="B138" i="4" s="1"/>
  <c r="D27" i="4"/>
  <c r="D19" i="4"/>
  <c r="D18" i="4"/>
  <c r="K5" i="4"/>
  <c r="K7" i="4"/>
  <c r="K6" i="4"/>
  <c r="K8" i="4"/>
  <c r="K9" i="4"/>
  <c r="K10" i="4"/>
  <c r="D130" i="4"/>
  <c r="D131" i="4"/>
  <c r="D137" i="4"/>
  <c r="D132" i="4"/>
  <c r="D133" i="4"/>
  <c r="D134" i="4"/>
  <c r="D135" i="4"/>
  <c r="D136" i="4"/>
  <c r="D85" i="4"/>
  <c r="D86" i="4"/>
  <c r="D92" i="4"/>
  <c r="D87" i="4"/>
  <c r="D93" i="4"/>
  <c r="D88" i="4"/>
  <c r="D94" i="4"/>
  <c r="D89" i="4"/>
  <c r="D90" i="4"/>
  <c r="D91" i="4"/>
  <c r="D29" i="4"/>
  <c r="D35" i="4"/>
  <c r="D41" i="4"/>
  <c r="D47" i="4"/>
  <c r="D30" i="4"/>
  <c r="D36" i="4"/>
  <c r="D42" i="4"/>
  <c r="D31" i="4"/>
  <c r="D43" i="4"/>
  <c r="D37" i="4"/>
  <c r="D46" i="4"/>
  <c r="D32" i="4"/>
  <c r="D38" i="4"/>
  <c r="D44" i="4"/>
  <c r="D40" i="4"/>
  <c r="D33" i="4"/>
  <c r="D39" i="4"/>
  <c r="D45" i="4"/>
  <c r="D34" i="4"/>
  <c r="D28" i="4"/>
  <c r="D17" i="4"/>
  <c r="C54" i="4"/>
  <c r="F180" i="6"/>
  <c r="B152" i="4"/>
  <c r="J44" i="11"/>
  <c r="P44" i="11" l="1"/>
  <c r="S44" i="11"/>
  <c r="C152" i="4"/>
  <c r="B190" i="4"/>
  <c r="D20" i="4"/>
  <c r="C27" i="4"/>
  <c r="C19" i="4"/>
  <c r="C18" i="4"/>
  <c r="K11" i="4"/>
  <c r="J5" i="4"/>
  <c r="J7" i="4"/>
  <c r="J8" i="4"/>
  <c r="J6" i="4"/>
  <c r="J10" i="4"/>
  <c r="J9" i="4"/>
  <c r="C130" i="4"/>
  <c r="C131" i="4"/>
  <c r="C137" i="4"/>
  <c r="C132" i="4"/>
  <c r="C133" i="4"/>
  <c r="C134" i="4"/>
  <c r="C135" i="4"/>
  <c r="C136" i="4"/>
  <c r="C85" i="4"/>
  <c r="C86" i="4"/>
  <c r="C92" i="4"/>
  <c r="C87" i="4"/>
  <c r="C93" i="4"/>
  <c r="C88" i="4"/>
  <c r="C94" i="4"/>
  <c r="C89" i="4"/>
  <c r="C90" i="4"/>
  <c r="C91" i="4"/>
  <c r="C28" i="4"/>
  <c r="C29" i="4"/>
  <c r="C35" i="4"/>
  <c r="C41" i="4"/>
  <c r="C47" i="4"/>
  <c r="C36" i="4"/>
  <c r="C30" i="4"/>
  <c r="C42" i="4"/>
  <c r="C31" i="4"/>
  <c r="C37" i="4"/>
  <c r="C43" i="4"/>
  <c r="C32" i="4"/>
  <c r="C38" i="4"/>
  <c r="C44" i="4"/>
  <c r="C33" i="4"/>
  <c r="C39" i="4"/>
  <c r="C45" i="4"/>
  <c r="C34" i="4"/>
  <c r="C40" i="4"/>
  <c r="C46" i="4"/>
  <c r="C17" i="4"/>
  <c r="B183" i="4"/>
  <c r="D183" i="4" s="1"/>
  <c r="J4" i="11"/>
  <c r="F17" i="9"/>
  <c r="E50" i="6" s="1"/>
  <c r="C20" i="4" l="1"/>
  <c r="F20" i="4" s="1"/>
  <c r="D26" i="4"/>
  <c r="D48" i="4" s="1"/>
  <c r="J11" i="4"/>
  <c r="F19" i="9"/>
  <c r="F22" i="9" s="1"/>
  <c r="D53" i="4" l="1"/>
  <c r="D95" i="4" s="1"/>
  <c r="D100" i="4" s="1"/>
  <c r="D138" i="4" s="1"/>
  <c r="D190" i="4" s="1"/>
  <c r="C26" i="4"/>
  <c r="C48" i="4" s="1"/>
  <c r="F48" i="4" s="1"/>
  <c r="I17" i="9"/>
  <c r="C53" i="4" l="1"/>
  <c r="H202" i="13"/>
  <c r="J202" i="13" s="1"/>
  <c r="G202" i="13"/>
  <c r="F202" i="13"/>
  <c r="H201" i="13"/>
  <c r="J201" i="13" s="1"/>
  <c r="G201" i="13"/>
  <c r="F201" i="13"/>
  <c r="E201" i="13"/>
  <c r="H200" i="13"/>
  <c r="J200" i="13" s="1"/>
  <c r="G200" i="13"/>
  <c r="F200" i="13"/>
  <c r="E200" i="13"/>
  <c r="H199" i="13"/>
  <c r="J199" i="13" s="1"/>
  <c r="G199" i="13"/>
  <c r="F199" i="13"/>
  <c r="E199" i="13"/>
  <c r="L194" i="11"/>
  <c r="L193" i="11"/>
  <c r="L192" i="11"/>
  <c r="H193" i="13"/>
  <c r="J193" i="13" s="1"/>
  <c r="G193" i="13"/>
  <c r="F193" i="13"/>
  <c r="E193" i="13"/>
  <c r="H192" i="13"/>
  <c r="J192" i="13" s="1"/>
  <c r="G192" i="13"/>
  <c r="F192" i="13"/>
  <c r="E192" i="13"/>
  <c r="H191" i="13"/>
  <c r="J191" i="13" s="1"/>
  <c r="G191" i="13"/>
  <c r="F191" i="13"/>
  <c r="E191" i="13"/>
  <c r="H190" i="13"/>
  <c r="J190" i="13" s="1"/>
  <c r="G190" i="13"/>
  <c r="F190" i="13"/>
  <c r="E190" i="13"/>
  <c r="H189" i="13"/>
  <c r="J189" i="13" s="1"/>
  <c r="G189" i="13"/>
  <c r="F189" i="13"/>
  <c r="E189" i="13"/>
  <c r="H188" i="13"/>
  <c r="J188" i="13" s="1"/>
  <c r="G188" i="13"/>
  <c r="F188" i="13"/>
  <c r="E188" i="13"/>
  <c r="H187" i="13"/>
  <c r="J187" i="13" s="1"/>
  <c r="G187" i="13"/>
  <c r="F187" i="13"/>
  <c r="E187" i="13"/>
  <c r="H186" i="13"/>
  <c r="J186" i="13" s="1"/>
  <c r="G186" i="13"/>
  <c r="F186" i="13"/>
  <c r="E186" i="13"/>
  <c r="H185" i="13"/>
  <c r="J185" i="13" s="1"/>
  <c r="G185" i="13"/>
  <c r="F185" i="13"/>
  <c r="E185" i="13"/>
  <c r="H184" i="13"/>
  <c r="J184" i="13" s="1"/>
  <c r="G184" i="13"/>
  <c r="F184" i="13"/>
  <c r="E184" i="13"/>
  <c r="H183" i="13"/>
  <c r="J183" i="13" s="1"/>
  <c r="G183" i="13"/>
  <c r="F183" i="13"/>
  <c r="E183" i="13"/>
  <c r="H182" i="13"/>
  <c r="J182" i="13" s="1"/>
  <c r="G182" i="13"/>
  <c r="F182" i="13"/>
  <c r="E182" i="13"/>
  <c r="H181" i="13"/>
  <c r="J181" i="13" s="1"/>
  <c r="G181" i="13"/>
  <c r="F181" i="13"/>
  <c r="E181" i="13"/>
  <c r="H180" i="13"/>
  <c r="J180" i="13" s="1"/>
  <c r="G180" i="13"/>
  <c r="F180" i="13"/>
  <c r="E180" i="13"/>
  <c r="H179" i="13"/>
  <c r="J179" i="13" s="1"/>
  <c r="G179" i="13"/>
  <c r="F179" i="13"/>
  <c r="E179" i="13"/>
  <c r="H178" i="13"/>
  <c r="J178" i="13" s="1"/>
  <c r="G178" i="13"/>
  <c r="F178" i="13"/>
  <c r="E178" i="13"/>
  <c r="H177" i="13"/>
  <c r="J177" i="13" s="1"/>
  <c r="G177" i="13"/>
  <c r="F177" i="13"/>
  <c r="E177" i="13"/>
  <c r="H176" i="13"/>
  <c r="J176" i="13" s="1"/>
  <c r="G176" i="13"/>
  <c r="F176" i="13"/>
  <c r="E176" i="13"/>
  <c r="H175" i="13"/>
  <c r="J175" i="13" s="1"/>
  <c r="G175" i="13"/>
  <c r="F175" i="13"/>
  <c r="E175" i="13"/>
  <c r="H174" i="13"/>
  <c r="J174" i="13" s="1"/>
  <c r="G174" i="13"/>
  <c r="F174" i="13"/>
  <c r="E174" i="13"/>
  <c r="H173" i="13"/>
  <c r="J173" i="13" s="1"/>
  <c r="G173" i="13"/>
  <c r="F173" i="13"/>
  <c r="E173" i="13"/>
  <c r="H172" i="13"/>
  <c r="J172" i="13" s="1"/>
  <c r="G172" i="13"/>
  <c r="F172" i="13"/>
  <c r="E172" i="13"/>
  <c r="H171" i="13"/>
  <c r="J171" i="13" s="1"/>
  <c r="G171" i="13"/>
  <c r="F171" i="13"/>
  <c r="E171" i="13"/>
  <c r="H170" i="13"/>
  <c r="J170" i="13" s="1"/>
  <c r="G170" i="13"/>
  <c r="F170" i="13"/>
  <c r="E170" i="13"/>
  <c r="H169" i="13"/>
  <c r="J169" i="13" s="1"/>
  <c r="G169" i="13"/>
  <c r="F169" i="13"/>
  <c r="E169" i="13"/>
  <c r="H168" i="13"/>
  <c r="J168" i="13" s="1"/>
  <c r="G168" i="13"/>
  <c r="F168" i="13"/>
  <c r="E168" i="13"/>
  <c r="H167" i="13"/>
  <c r="J167" i="13" s="1"/>
  <c r="G167" i="13"/>
  <c r="F167" i="13"/>
  <c r="E167" i="13"/>
  <c r="H166" i="13"/>
  <c r="J166" i="13" s="1"/>
  <c r="G166" i="13"/>
  <c r="F166" i="13"/>
  <c r="E166" i="13"/>
  <c r="H165" i="13"/>
  <c r="J165" i="13" s="1"/>
  <c r="G165" i="13"/>
  <c r="F165" i="13"/>
  <c r="E165" i="13"/>
  <c r="H164" i="13"/>
  <c r="J164" i="13" s="1"/>
  <c r="G164" i="13"/>
  <c r="F164" i="13"/>
  <c r="E164" i="13"/>
  <c r="H163" i="13"/>
  <c r="J163" i="13" s="1"/>
  <c r="G163" i="13"/>
  <c r="F163" i="13"/>
  <c r="E163" i="13"/>
  <c r="H162" i="13"/>
  <c r="J162" i="13" s="1"/>
  <c r="G162" i="13"/>
  <c r="F162" i="13"/>
  <c r="E162" i="13"/>
  <c r="H161" i="13"/>
  <c r="J161" i="13" s="1"/>
  <c r="G161" i="13"/>
  <c r="F161" i="13"/>
  <c r="E161" i="13"/>
  <c r="H160" i="13"/>
  <c r="J160" i="13" s="1"/>
  <c r="G160" i="13"/>
  <c r="F160" i="13"/>
  <c r="E160" i="13"/>
  <c r="H159" i="13"/>
  <c r="J159" i="13" s="1"/>
  <c r="G159" i="13"/>
  <c r="F159" i="13"/>
  <c r="E159" i="13"/>
  <c r="H158" i="13"/>
  <c r="J158" i="13" s="1"/>
  <c r="G158" i="13"/>
  <c r="F158" i="13"/>
  <c r="E158" i="13"/>
  <c r="H157" i="13"/>
  <c r="J157" i="13" s="1"/>
  <c r="G157" i="13"/>
  <c r="F157" i="13"/>
  <c r="E157" i="13"/>
  <c r="H156" i="13"/>
  <c r="J156" i="13" s="1"/>
  <c r="G156" i="13"/>
  <c r="F156" i="13"/>
  <c r="E156" i="13"/>
  <c r="H155" i="13"/>
  <c r="J155" i="13" s="1"/>
  <c r="G155" i="13"/>
  <c r="F155" i="13"/>
  <c r="E155" i="13"/>
  <c r="H154" i="13"/>
  <c r="J154" i="13" s="1"/>
  <c r="G154" i="13"/>
  <c r="F154" i="13"/>
  <c r="E154" i="13"/>
  <c r="H153" i="13"/>
  <c r="J153" i="13" s="1"/>
  <c r="G153" i="13"/>
  <c r="F153" i="13"/>
  <c r="E153" i="13"/>
  <c r="H152" i="13"/>
  <c r="J152" i="13" s="1"/>
  <c r="G152" i="13"/>
  <c r="F152" i="13"/>
  <c r="E152" i="13"/>
  <c r="H151" i="13"/>
  <c r="J151" i="13" s="1"/>
  <c r="G151" i="13"/>
  <c r="F151" i="13"/>
  <c r="E151" i="13"/>
  <c r="H150" i="13"/>
  <c r="J150" i="13" s="1"/>
  <c r="G150" i="13"/>
  <c r="F150" i="13"/>
  <c r="E150" i="13"/>
  <c r="H149" i="13"/>
  <c r="J149" i="13" s="1"/>
  <c r="G149" i="13"/>
  <c r="F149" i="13"/>
  <c r="E149" i="13"/>
  <c r="H148" i="13"/>
  <c r="J148" i="13" s="1"/>
  <c r="G148" i="13"/>
  <c r="F148" i="13"/>
  <c r="E148" i="13"/>
  <c r="H147" i="13"/>
  <c r="J147" i="13" s="1"/>
  <c r="G147" i="13"/>
  <c r="F147" i="13"/>
  <c r="E147" i="13"/>
  <c r="H146" i="13"/>
  <c r="J146" i="13" s="1"/>
  <c r="G146" i="13"/>
  <c r="F146" i="13"/>
  <c r="E146" i="13"/>
  <c r="H145" i="13"/>
  <c r="J145" i="13" s="1"/>
  <c r="G145" i="13"/>
  <c r="F145" i="13"/>
  <c r="E145" i="13"/>
  <c r="H144" i="13"/>
  <c r="J144" i="13" s="1"/>
  <c r="G144" i="13"/>
  <c r="F144" i="13"/>
  <c r="E144" i="13"/>
  <c r="H143" i="13"/>
  <c r="J143" i="13" s="1"/>
  <c r="G143" i="13"/>
  <c r="F143" i="13"/>
  <c r="E143" i="13"/>
  <c r="H142" i="13"/>
  <c r="J142" i="13" s="1"/>
  <c r="G142" i="13"/>
  <c r="F142" i="13"/>
  <c r="E142" i="13"/>
  <c r="H141" i="13"/>
  <c r="J141" i="13" s="1"/>
  <c r="G141" i="13"/>
  <c r="F141" i="13"/>
  <c r="E141" i="13"/>
  <c r="H140" i="13"/>
  <c r="J140" i="13" s="1"/>
  <c r="G140" i="13"/>
  <c r="F140" i="13"/>
  <c r="E140" i="13"/>
  <c r="H139" i="13"/>
  <c r="J139" i="13" s="1"/>
  <c r="G139" i="13"/>
  <c r="F139" i="13"/>
  <c r="E139" i="13"/>
  <c r="H138" i="13"/>
  <c r="J138" i="13" s="1"/>
  <c r="G138" i="13"/>
  <c r="F138" i="13"/>
  <c r="E138" i="13"/>
  <c r="H137" i="13"/>
  <c r="J137" i="13" s="1"/>
  <c r="G137" i="13"/>
  <c r="F137" i="13"/>
  <c r="E137" i="13"/>
  <c r="H136" i="13"/>
  <c r="J136" i="13" s="1"/>
  <c r="G136" i="13"/>
  <c r="F136" i="13"/>
  <c r="E136" i="13"/>
  <c r="H135" i="13"/>
  <c r="J135" i="13" s="1"/>
  <c r="G135" i="13"/>
  <c r="F135" i="13"/>
  <c r="E135" i="13"/>
  <c r="H134" i="13"/>
  <c r="J134" i="13" s="1"/>
  <c r="G134" i="13"/>
  <c r="F134" i="13"/>
  <c r="E134" i="13"/>
  <c r="H133" i="13"/>
  <c r="J133" i="13" s="1"/>
  <c r="G133" i="13"/>
  <c r="F133" i="13"/>
  <c r="E133" i="13"/>
  <c r="H132" i="13"/>
  <c r="J132" i="13" s="1"/>
  <c r="G132" i="13"/>
  <c r="F132" i="13"/>
  <c r="E132" i="13"/>
  <c r="H131" i="13"/>
  <c r="J131" i="13" s="1"/>
  <c r="G131" i="13"/>
  <c r="F131" i="13"/>
  <c r="E131" i="13"/>
  <c r="H130" i="13"/>
  <c r="J130" i="13" s="1"/>
  <c r="G130" i="13"/>
  <c r="F130" i="13"/>
  <c r="E130" i="13"/>
  <c r="H129" i="13"/>
  <c r="J129" i="13" s="1"/>
  <c r="G129" i="13"/>
  <c r="F129" i="13"/>
  <c r="E129" i="13"/>
  <c r="H128" i="13"/>
  <c r="J128" i="13" s="1"/>
  <c r="G128" i="13"/>
  <c r="F128" i="13"/>
  <c r="E128" i="13"/>
  <c r="H127" i="13"/>
  <c r="J127" i="13" s="1"/>
  <c r="G127" i="13"/>
  <c r="F127" i="13"/>
  <c r="E127" i="13"/>
  <c r="H126" i="13"/>
  <c r="J126" i="13" s="1"/>
  <c r="G126" i="13"/>
  <c r="F126" i="13"/>
  <c r="E126" i="13"/>
  <c r="H125" i="13"/>
  <c r="J125" i="13" s="1"/>
  <c r="G125" i="13"/>
  <c r="F125" i="13"/>
  <c r="E125" i="13"/>
  <c r="H124" i="13"/>
  <c r="J124" i="13" s="1"/>
  <c r="G124" i="13"/>
  <c r="F124" i="13"/>
  <c r="E124" i="13"/>
  <c r="H123" i="13"/>
  <c r="J123" i="13" s="1"/>
  <c r="G123" i="13"/>
  <c r="F123" i="13"/>
  <c r="E123" i="13"/>
  <c r="H122" i="13"/>
  <c r="J122" i="13" s="1"/>
  <c r="G122" i="13"/>
  <c r="F122" i="13"/>
  <c r="E122" i="13"/>
  <c r="H121" i="13"/>
  <c r="J121" i="13" s="1"/>
  <c r="G121" i="13"/>
  <c r="F121" i="13"/>
  <c r="E121" i="13"/>
  <c r="H120" i="13"/>
  <c r="J120" i="13" s="1"/>
  <c r="G120" i="13"/>
  <c r="F120" i="13"/>
  <c r="E120" i="13"/>
  <c r="H119" i="13"/>
  <c r="J119" i="13" s="1"/>
  <c r="G119" i="13"/>
  <c r="F119" i="13"/>
  <c r="E119" i="13"/>
  <c r="H118" i="13"/>
  <c r="J118" i="13" s="1"/>
  <c r="G118" i="13"/>
  <c r="F118" i="13"/>
  <c r="E118" i="13"/>
  <c r="H117" i="13"/>
  <c r="J117" i="13" s="1"/>
  <c r="G117" i="13"/>
  <c r="F117" i="13"/>
  <c r="E117" i="13"/>
  <c r="H116" i="13"/>
  <c r="J116" i="13" s="1"/>
  <c r="G116" i="13"/>
  <c r="F116" i="13"/>
  <c r="E116" i="13"/>
  <c r="H115" i="13"/>
  <c r="J115" i="13" s="1"/>
  <c r="G115" i="13"/>
  <c r="F115" i="13"/>
  <c r="E115" i="13"/>
  <c r="H114" i="13"/>
  <c r="J114" i="13" s="1"/>
  <c r="G114" i="13"/>
  <c r="F114" i="13"/>
  <c r="E114" i="13"/>
  <c r="H113" i="13"/>
  <c r="J113" i="13" s="1"/>
  <c r="G113" i="13"/>
  <c r="F113" i="13"/>
  <c r="E113" i="13"/>
  <c r="H112" i="13"/>
  <c r="J112" i="13" s="1"/>
  <c r="G112" i="13"/>
  <c r="F112" i="13"/>
  <c r="E112" i="13"/>
  <c r="H111" i="13"/>
  <c r="J111" i="13" s="1"/>
  <c r="G111" i="13"/>
  <c r="F111" i="13"/>
  <c r="E111" i="13"/>
  <c r="H110" i="13"/>
  <c r="J110" i="13" s="1"/>
  <c r="G110" i="13"/>
  <c r="F110" i="13"/>
  <c r="E110" i="13"/>
  <c r="H109" i="13"/>
  <c r="J109" i="13" s="1"/>
  <c r="G109" i="13"/>
  <c r="F109" i="13"/>
  <c r="E109" i="13"/>
  <c r="H108" i="13"/>
  <c r="J108" i="13" s="1"/>
  <c r="G108" i="13"/>
  <c r="F108" i="13"/>
  <c r="E108" i="13"/>
  <c r="H107" i="13"/>
  <c r="J107" i="13" s="1"/>
  <c r="G107" i="13"/>
  <c r="F107" i="13"/>
  <c r="E107" i="13"/>
  <c r="H106" i="13"/>
  <c r="J106" i="13" s="1"/>
  <c r="G106" i="13"/>
  <c r="F106" i="13"/>
  <c r="E106" i="13"/>
  <c r="H105" i="13"/>
  <c r="J105" i="13" s="1"/>
  <c r="G105" i="13"/>
  <c r="F105" i="13"/>
  <c r="E105" i="13"/>
  <c r="H104" i="13"/>
  <c r="J104" i="13" s="1"/>
  <c r="G104" i="13"/>
  <c r="F104" i="13"/>
  <c r="E104" i="13"/>
  <c r="H103" i="13"/>
  <c r="J103" i="13" s="1"/>
  <c r="G103" i="13"/>
  <c r="F103" i="13"/>
  <c r="E103" i="13"/>
  <c r="H102" i="13"/>
  <c r="J102" i="13" s="1"/>
  <c r="G102" i="13"/>
  <c r="F102" i="13"/>
  <c r="E102" i="13"/>
  <c r="H101" i="13"/>
  <c r="J101" i="13" s="1"/>
  <c r="G101" i="13"/>
  <c r="F101" i="13"/>
  <c r="E101" i="13"/>
  <c r="H100" i="13"/>
  <c r="J100" i="13" s="1"/>
  <c r="G100" i="13"/>
  <c r="F100" i="13"/>
  <c r="E100" i="13"/>
  <c r="H99" i="13"/>
  <c r="J99" i="13" s="1"/>
  <c r="G99" i="13"/>
  <c r="F99" i="13"/>
  <c r="E99" i="13"/>
  <c r="H98" i="13"/>
  <c r="J98" i="13" s="1"/>
  <c r="G98" i="13"/>
  <c r="F98" i="13"/>
  <c r="E98" i="13"/>
  <c r="H97" i="13"/>
  <c r="J97" i="13" s="1"/>
  <c r="G97" i="13"/>
  <c r="F97" i="13"/>
  <c r="E97" i="13"/>
  <c r="H96" i="13"/>
  <c r="J96" i="13" s="1"/>
  <c r="G96" i="13"/>
  <c r="F96" i="13"/>
  <c r="E96" i="13"/>
  <c r="H95" i="13"/>
  <c r="J95" i="13" s="1"/>
  <c r="G95" i="13"/>
  <c r="F95" i="13"/>
  <c r="E95" i="13"/>
  <c r="H94" i="13"/>
  <c r="J94" i="13" s="1"/>
  <c r="G94" i="13"/>
  <c r="F94" i="13"/>
  <c r="E94" i="13"/>
  <c r="H93" i="13"/>
  <c r="J93" i="13" s="1"/>
  <c r="G93" i="13"/>
  <c r="F93" i="13"/>
  <c r="E93" i="13"/>
  <c r="H92" i="13"/>
  <c r="J92" i="13" s="1"/>
  <c r="G92" i="13"/>
  <c r="F92" i="13"/>
  <c r="E92" i="13"/>
  <c r="H91" i="13"/>
  <c r="J91" i="13" s="1"/>
  <c r="G91" i="13"/>
  <c r="F91" i="13"/>
  <c r="E91" i="13"/>
  <c r="H90" i="13"/>
  <c r="J90" i="13" s="1"/>
  <c r="G90" i="13"/>
  <c r="F90" i="13"/>
  <c r="E90" i="13"/>
  <c r="H89" i="13"/>
  <c r="J89" i="13" s="1"/>
  <c r="G89" i="13"/>
  <c r="F89" i="13"/>
  <c r="E89" i="13"/>
  <c r="H88" i="13"/>
  <c r="J88" i="13" s="1"/>
  <c r="G88" i="13"/>
  <c r="F88" i="13"/>
  <c r="E88" i="13"/>
  <c r="H87" i="13"/>
  <c r="J87" i="13" s="1"/>
  <c r="G87" i="13"/>
  <c r="F87" i="13"/>
  <c r="E87" i="13"/>
  <c r="H86" i="13"/>
  <c r="J86" i="13" s="1"/>
  <c r="G86" i="13"/>
  <c r="F86" i="13"/>
  <c r="E86" i="13"/>
  <c r="H85" i="13"/>
  <c r="J85" i="13" s="1"/>
  <c r="G85" i="13"/>
  <c r="F85" i="13"/>
  <c r="E85" i="13"/>
  <c r="H84" i="13"/>
  <c r="J84" i="13" s="1"/>
  <c r="G84" i="13"/>
  <c r="F84" i="13"/>
  <c r="E84" i="13"/>
  <c r="H83" i="13"/>
  <c r="J83" i="13" s="1"/>
  <c r="G83" i="13"/>
  <c r="F83" i="13"/>
  <c r="E83" i="13"/>
  <c r="H82" i="13"/>
  <c r="J82" i="13" s="1"/>
  <c r="G82" i="13"/>
  <c r="F82" i="13"/>
  <c r="E82" i="13"/>
  <c r="H81" i="13"/>
  <c r="J81" i="13" s="1"/>
  <c r="G81" i="13"/>
  <c r="F81" i="13"/>
  <c r="E81" i="13"/>
  <c r="H80" i="13"/>
  <c r="J80" i="13" s="1"/>
  <c r="G80" i="13"/>
  <c r="F80" i="13"/>
  <c r="E80" i="13"/>
  <c r="H79" i="13"/>
  <c r="J79" i="13" s="1"/>
  <c r="G79" i="13"/>
  <c r="F79" i="13"/>
  <c r="E79" i="13"/>
  <c r="H78" i="13"/>
  <c r="J78" i="13" s="1"/>
  <c r="G78" i="13"/>
  <c r="F78" i="13"/>
  <c r="E78" i="13"/>
  <c r="H77" i="13"/>
  <c r="J77" i="13" s="1"/>
  <c r="G77" i="13"/>
  <c r="F77" i="13"/>
  <c r="E77" i="13"/>
  <c r="H76" i="13"/>
  <c r="J76" i="13" s="1"/>
  <c r="G76" i="13"/>
  <c r="F76" i="13"/>
  <c r="E76" i="13"/>
  <c r="H75" i="13"/>
  <c r="J75" i="13" s="1"/>
  <c r="G75" i="13"/>
  <c r="F75" i="13"/>
  <c r="E75" i="13"/>
  <c r="H74" i="13"/>
  <c r="J74" i="13" s="1"/>
  <c r="G74" i="13"/>
  <c r="F74" i="13"/>
  <c r="E74" i="13"/>
  <c r="H73" i="13"/>
  <c r="J73" i="13" s="1"/>
  <c r="G73" i="13"/>
  <c r="F73" i="13"/>
  <c r="E73" i="13"/>
  <c r="H72" i="13"/>
  <c r="G72" i="13"/>
  <c r="F72" i="13"/>
  <c r="E72" i="13"/>
  <c r="H71" i="13"/>
  <c r="J71" i="13" s="1"/>
  <c r="G71" i="13"/>
  <c r="F71" i="13"/>
  <c r="E71" i="13"/>
  <c r="E35" i="6" s="1"/>
  <c r="G35" i="6" s="1"/>
  <c r="H70" i="13"/>
  <c r="J70" i="13" s="1"/>
  <c r="G70" i="13"/>
  <c r="F70" i="13"/>
  <c r="E70" i="13"/>
  <c r="E34" i="6" s="1"/>
  <c r="H69" i="13"/>
  <c r="J69" i="13" s="1"/>
  <c r="G69" i="13"/>
  <c r="F69" i="13"/>
  <c r="E69" i="13"/>
  <c r="E36" i="6" s="1"/>
  <c r="G36" i="6" s="1"/>
  <c r="H68" i="13"/>
  <c r="J68" i="13" s="1"/>
  <c r="G68" i="13"/>
  <c r="F68" i="13"/>
  <c r="E68" i="13"/>
  <c r="H67" i="13"/>
  <c r="J67" i="13" s="1"/>
  <c r="G67" i="13"/>
  <c r="F67" i="13"/>
  <c r="E67" i="13"/>
  <c r="H66" i="13"/>
  <c r="J66" i="13" s="1"/>
  <c r="G66" i="13"/>
  <c r="F66" i="13"/>
  <c r="E66" i="13"/>
  <c r="H65" i="13"/>
  <c r="J65" i="13" s="1"/>
  <c r="G65" i="13"/>
  <c r="F65" i="13"/>
  <c r="E65" i="13"/>
  <c r="H64" i="13"/>
  <c r="J64" i="13" s="1"/>
  <c r="G64" i="13"/>
  <c r="F64" i="13"/>
  <c r="E64" i="13"/>
  <c r="H63" i="13"/>
  <c r="J63" i="13" s="1"/>
  <c r="G63" i="13"/>
  <c r="F63" i="13"/>
  <c r="E63" i="13"/>
  <c r="H62" i="13"/>
  <c r="J62" i="13" s="1"/>
  <c r="G62" i="13"/>
  <c r="F62" i="13"/>
  <c r="E62" i="13"/>
  <c r="H61" i="13"/>
  <c r="J61" i="13" s="1"/>
  <c r="G61" i="13"/>
  <c r="F61" i="13"/>
  <c r="E61" i="13"/>
  <c r="H60" i="13"/>
  <c r="J60" i="13" s="1"/>
  <c r="G60" i="13"/>
  <c r="F60" i="13"/>
  <c r="E60" i="13"/>
  <c r="H59" i="13"/>
  <c r="J59" i="13" s="1"/>
  <c r="G59" i="13"/>
  <c r="F59" i="13"/>
  <c r="E59" i="13"/>
  <c r="E53" i="6" s="1"/>
  <c r="H58" i="13"/>
  <c r="J58" i="13" s="1"/>
  <c r="G58" i="13"/>
  <c r="F58" i="13"/>
  <c r="E58" i="13"/>
  <c r="H57" i="13"/>
  <c r="J57" i="13" s="1"/>
  <c r="G57" i="13"/>
  <c r="F57" i="13"/>
  <c r="E57" i="13"/>
  <c r="H56" i="13"/>
  <c r="J56" i="13" s="1"/>
  <c r="G56" i="13"/>
  <c r="F56" i="13"/>
  <c r="E56" i="13"/>
  <c r="H55" i="13"/>
  <c r="J55" i="13" s="1"/>
  <c r="G55" i="13"/>
  <c r="F55" i="13"/>
  <c r="E55" i="13"/>
  <c r="H54" i="13"/>
  <c r="J54" i="13" s="1"/>
  <c r="G54" i="13"/>
  <c r="F54" i="13"/>
  <c r="E54" i="13"/>
  <c r="H53" i="13"/>
  <c r="J53" i="13" s="1"/>
  <c r="G53" i="13"/>
  <c r="F53" i="13"/>
  <c r="E53" i="13"/>
  <c r="H52" i="13"/>
  <c r="J52" i="13" s="1"/>
  <c r="G52" i="13"/>
  <c r="F52" i="13"/>
  <c r="E52" i="13"/>
  <c r="H51" i="13"/>
  <c r="J51" i="13" s="1"/>
  <c r="G51" i="13"/>
  <c r="F51" i="13"/>
  <c r="E51" i="13"/>
  <c r="H50" i="13"/>
  <c r="J50" i="13" s="1"/>
  <c r="G50" i="13"/>
  <c r="F50" i="13"/>
  <c r="E50" i="13"/>
  <c r="H49" i="13"/>
  <c r="J49" i="13" s="1"/>
  <c r="G49" i="13"/>
  <c r="F49" i="13"/>
  <c r="E49" i="13"/>
  <c r="H48" i="13"/>
  <c r="J48" i="13" s="1"/>
  <c r="G48" i="13"/>
  <c r="F48" i="13"/>
  <c r="E48" i="13"/>
  <c r="H47" i="13"/>
  <c r="J47" i="13" s="1"/>
  <c r="G47" i="13"/>
  <c r="F47" i="13"/>
  <c r="E47" i="13"/>
  <c r="H46" i="13"/>
  <c r="J46" i="13" s="1"/>
  <c r="G46" i="13"/>
  <c r="F46" i="13"/>
  <c r="E46" i="13"/>
  <c r="H45" i="13"/>
  <c r="J45" i="13" s="1"/>
  <c r="G45" i="13"/>
  <c r="F45" i="13"/>
  <c r="E45" i="13"/>
  <c r="H44" i="13"/>
  <c r="J44" i="13" s="1"/>
  <c r="G44" i="13"/>
  <c r="F44" i="13"/>
  <c r="E44" i="13"/>
  <c r="H43" i="13"/>
  <c r="J43" i="13" s="1"/>
  <c r="G43" i="13"/>
  <c r="F43" i="13"/>
  <c r="E43" i="13"/>
  <c r="H42" i="13"/>
  <c r="J42" i="13" s="1"/>
  <c r="G42" i="13"/>
  <c r="F42" i="13"/>
  <c r="E42" i="13"/>
  <c r="H41" i="13"/>
  <c r="J41" i="13" s="1"/>
  <c r="G41" i="13"/>
  <c r="F41" i="13"/>
  <c r="E41" i="13"/>
  <c r="H40" i="13"/>
  <c r="J40" i="13" s="1"/>
  <c r="G40" i="13"/>
  <c r="F40" i="13"/>
  <c r="E40" i="13"/>
  <c r="H39" i="13"/>
  <c r="J39" i="13" s="1"/>
  <c r="G39" i="13"/>
  <c r="F39" i="13"/>
  <c r="E39" i="13"/>
  <c r="H38" i="13"/>
  <c r="J38" i="13" s="1"/>
  <c r="G38" i="13"/>
  <c r="F38" i="13"/>
  <c r="E38" i="13"/>
  <c r="H37" i="13"/>
  <c r="J37" i="13" s="1"/>
  <c r="G37" i="13"/>
  <c r="F37" i="13"/>
  <c r="E37" i="13"/>
  <c r="H36" i="13"/>
  <c r="J36" i="13" s="1"/>
  <c r="G36" i="13"/>
  <c r="F36" i="13"/>
  <c r="E36" i="13"/>
  <c r="H35" i="13"/>
  <c r="J35" i="13" s="1"/>
  <c r="G35" i="13"/>
  <c r="F35" i="13"/>
  <c r="E35" i="13"/>
  <c r="H34" i="13"/>
  <c r="J34" i="13" s="1"/>
  <c r="G34" i="13"/>
  <c r="F34" i="13"/>
  <c r="E34" i="13"/>
  <c r="H33" i="13"/>
  <c r="J33" i="13" s="1"/>
  <c r="G33" i="13"/>
  <c r="F33" i="13"/>
  <c r="E33" i="13"/>
  <c r="H32" i="13"/>
  <c r="J32" i="13" s="1"/>
  <c r="G32" i="13"/>
  <c r="F32" i="13"/>
  <c r="E32" i="13"/>
  <c r="H31" i="13"/>
  <c r="J31" i="13" s="1"/>
  <c r="G31" i="13"/>
  <c r="F31" i="13"/>
  <c r="E31" i="13"/>
  <c r="H30" i="13"/>
  <c r="J30" i="13" s="1"/>
  <c r="G30" i="13"/>
  <c r="F30" i="13"/>
  <c r="E30" i="13"/>
  <c r="H29" i="13"/>
  <c r="J29" i="13" s="1"/>
  <c r="G29" i="13"/>
  <c r="F29" i="13"/>
  <c r="E29" i="13"/>
  <c r="H28" i="13"/>
  <c r="J28" i="13" s="1"/>
  <c r="G28" i="13"/>
  <c r="F28" i="13"/>
  <c r="E28" i="13"/>
  <c r="H27" i="13"/>
  <c r="J27" i="13" s="1"/>
  <c r="G27" i="13"/>
  <c r="F27" i="13"/>
  <c r="E27" i="13"/>
  <c r="H26" i="13"/>
  <c r="J26" i="13" s="1"/>
  <c r="G26" i="13"/>
  <c r="F26" i="13"/>
  <c r="E26" i="13"/>
  <c r="H25" i="13"/>
  <c r="J25" i="13" s="1"/>
  <c r="G25" i="13"/>
  <c r="F25" i="13"/>
  <c r="E25" i="13"/>
  <c r="H24" i="13"/>
  <c r="J24" i="13" s="1"/>
  <c r="G24" i="13"/>
  <c r="F24" i="13"/>
  <c r="E24" i="13"/>
  <c r="H23" i="13"/>
  <c r="J23" i="13" s="1"/>
  <c r="G23" i="13"/>
  <c r="F23" i="13"/>
  <c r="E23" i="13"/>
  <c r="H22" i="13"/>
  <c r="J22" i="13" s="1"/>
  <c r="G22" i="13"/>
  <c r="F22" i="13"/>
  <c r="E22" i="13"/>
  <c r="H21" i="13"/>
  <c r="J21" i="13" s="1"/>
  <c r="G21" i="13"/>
  <c r="F21" i="13"/>
  <c r="E21" i="13"/>
  <c r="H20" i="13"/>
  <c r="J20" i="13" s="1"/>
  <c r="G20" i="13"/>
  <c r="F20" i="13"/>
  <c r="E20" i="13"/>
  <c r="H19" i="13"/>
  <c r="J19" i="13" s="1"/>
  <c r="G19" i="13"/>
  <c r="F19" i="13"/>
  <c r="E19" i="13"/>
  <c r="H18" i="13"/>
  <c r="J18" i="13" s="1"/>
  <c r="G18" i="13"/>
  <c r="F18" i="13"/>
  <c r="E18" i="13"/>
  <c r="H17" i="13"/>
  <c r="J17" i="13" s="1"/>
  <c r="G17" i="13"/>
  <c r="F17" i="13"/>
  <c r="E17" i="13"/>
  <c r="H16" i="13"/>
  <c r="J16" i="13" s="1"/>
  <c r="G16" i="13"/>
  <c r="F16" i="13"/>
  <c r="E16" i="13"/>
  <c r="H15" i="13"/>
  <c r="J15" i="13" s="1"/>
  <c r="G15" i="13"/>
  <c r="F15" i="13"/>
  <c r="E15" i="13"/>
  <c r="H14" i="13"/>
  <c r="J14" i="13" s="1"/>
  <c r="G14" i="13"/>
  <c r="F14" i="13"/>
  <c r="E14" i="13"/>
  <c r="H13" i="13"/>
  <c r="J13" i="13" s="1"/>
  <c r="G13" i="13"/>
  <c r="F13" i="13"/>
  <c r="E13" i="13"/>
  <c r="H12" i="13"/>
  <c r="J12" i="13" s="1"/>
  <c r="G12" i="13"/>
  <c r="F12" i="13"/>
  <c r="E12" i="13"/>
  <c r="H11" i="13"/>
  <c r="J11" i="13" s="1"/>
  <c r="G11" i="13"/>
  <c r="F11" i="13"/>
  <c r="E11" i="13"/>
  <c r="H10" i="13"/>
  <c r="J10" i="13" s="1"/>
  <c r="G10" i="13"/>
  <c r="F10" i="13"/>
  <c r="E10" i="13"/>
  <c r="H9" i="13"/>
  <c r="J9" i="13" s="1"/>
  <c r="G9" i="13"/>
  <c r="F9" i="13"/>
  <c r="E9" i="13"/>
  <c r="D247" i="6" s="1"/>
  <c r="H8" i="13"/>
  <c r="J8" i="13" s="1"/>
  <c r="G8" i="13"/>
  <c r="F8" i="13"/>
  <c r="E8" i="13"/>
  <c r="H7" i="13"/>
  <c r="J7" i="13" s="1"/>
  <c r="G7" i="13"/>
  <c r="F7" i="13"/>
  <c r="E7" i="13"/>
  <c r="H6" i="13"/>
  <c r="J6" i="13" s="1"/>
  <c r="G6" i="13"/>
  <c r="F6" i="13"/>
  <c r="E6" i="13"/>
  <c r="H5" i="13"/>
  <c r="J5" i="13" s="1"/>
  <c r="G5" i="13"/>
  <c r="F5" i="13"/>
  <c r="E5" i="13"/>
  <c r="L195" i="11"/>
  <c r="H25" i="7"/>
  <c r="G25" i="7"/>
  <c r="F25" i="7"/>
  <c r="E25" i="7"/>
  <c r="J23" i="7"/>
  <c r="I9" i="7"/>
  <c r="H21" i="3"/>
  <c r="F296" i="6"/>
  <c r="A207" i="6"/>
  <c r="A291" i="6"/>
  <c r="A290" i="6"/>
  <c r="A286" i="6"/>
  <c r="A285" i="6"/>
  <c r="A284" i="6"/>
  <c r="A283" i="6"/>
  <c r="A237" i="6"/>
  <c r="A274" i="6"/>
  <c r="G271" i="6"/>
  <c r="G297" i="6" s="1"/>
  <c r="G269" i="6"/>
  <c r="F269" i="6"/>
  <c r="E269" i="6"/>
  <c r="C269" i="6"/>
  <c r="E264" i="6"/>
  <c r="H19" i="3" s="1"/>
  <c r="F19" i="3"/>
  <c r="G260" i="6"/>
  <c r="G264" i="6" s="1"/>
  <c r="J19" i="3" s="1"/>
  <c r="G259" i="6"/>
  <c r="F259" i="6"/>
  <c r="E259" i="6"/>
  <c r="C259" i="6"/>
  <c r="E249" i="6"/>
  <c r="G247" i="6"/>
  <c r="G249" i="6" s="1"/>
  <c r="G245" i="6"/>
  <c r="F245" i="6"/>
  <c r="E245" i="6"/>
  <c r="C245" i="6"/>
  <c r="A243" i="6"/>
  <c r="A294" i="6"/>
  <c r="G217" i="6"/>
  <c r="G216" i="6"/>
  <c r="G215" i="6"/>
  <c r="G214" i="6"/>
  <c r="G213" i="6"/>
  <c r="G212" i="6"/>
  <c r="G211" i="6"/>
  <c r="G210" i="6"/>
  <c r="G209" i="6"/>
  <c r="G208" i="6"/>
  <c r="G206" i="6"/>
  <c r="G205" i="6"/>
  <c r="G204" i="6"/>
  <c r="G203" i="6"/>
  <c r="A202" i="6"/>
  <c r="G201" i="6"/>
  <c r="G200" i="6"/>
  <c r="F200" i="6"/>
  <c r="G198" i="6"/>
  <c r="F198" i="6"/>
  <c r="E198" i="6"/>
  <c r="C198" i="6"/>
  <c r="G190" i="6"/>
  <c r="F190" i="6"/>
  <c r="G189" i="6"/>
  <c r="F189" i="6"/>
  <c r="G188" i="6"/>
  <c r="G187" i="6"/>
  <c r="F187" i="6"/>
  <c r="E187" i="6"/>
  <c r="E193" i="6" s="1"/>
  <c r="H10" i="3" s="1"/>
  <c r="C187" i="6"/>
  <c r="F10" i="3" s="1"/>
  <c r="G178" i="6"/>
  <c r="F178" i="6"/>
  <c r="E178" i="6"/>
  <c r="E182" i="6" s="1"/>
  <c r="H9" i="3" s="1"/>
  <c r="C178" i="6"/>
  <c r="C182" i="6" s="1"/>
  <c r="E173" i="6"/>
  <c r="G53" i="2" s="1"/>
  <c r="C173" i="6"/>
  <c r="E53" i="2" s="1"/>
  <c r="B173" i="6"/>
  <c r="D53" i="2" s="1"/>
  <c r="F172" i="6"/>
  <c r="F168" i="6"/>
  <c r="G165" i="6"/>
  <c r="G162" i="6"/>
  <c r="F162" i="6"/>
  <c r="E162" i="6"/>
  <c r="C162" i="6"/>
  <c r="E157" i="6"/>
  <c r="G52" i="2" s="1"/>
  <c r="C157" i="6"/>
  <c r="E52" i="2" s="1"/>
  <c r="B157" i="6"/>
  <c r="D52" i="2" s="1"/>
  <c r="G155" i="6"/>
  <c r="F155" i="6"/>
  <c r="G154" i="6"/>
  <c r="F154" i="6"/>
  <c r="G153" i="6"/>
  <c r="F153" i="6"/>
  <c r="G145" i="6"/>
  <c r="F145" i="6"/>
  <c r="E145" i="6"/>
  <c r="C145" i="6"/>
  <c r="E140" i="6"/>
  <c r="G51" i="2" s="1"/>
  <c r="C140" i="6"/>
  <c r="E51" i="2" s="1"/>
  <c r="B140" i="6"/>
  <c r="D51" i="2" s="1"/>
  <c r="A138" i="6"/>
  <c r="G137" i="6"/>
  <c r="G136" i="6"/>
  <c r="G135" i="6"/>
  <c r="G134" i="6"/>
  <c r="G133" i="6"/>
  <c r="G132" i="6"/>
  <c r="G131" i="6"/>
  <c r="G130" i="6"/>
  <c r="G129" i="6"/>
  <c r="G126" i="6"/>
  <c r="G125" i="6"/>
  <c r="F125" i="6"/>
  <c r="E125" i="6"/>
  <c r="C125" i="6"/>
  <c r="E120" i="6"/>
  <c r="G49" i="2" s="1"/>
  <c r="C120" i="6"/>
  <c r="G118" i="6"/>
  <c r="G120" i="6" s="1"/>
  <c r="I49" i="2" s="1"/>
  <c r="G116" i="6"/>
  <c r="F116" i="6"/>
  <c r="E116" i="6"/>
  <c r="C116" i="6"/>
  <c r="E111" i="6"/>
  <c r="G48" i="2" s="1"/>
  <c r="C111" i="6"/>
  <c r="G109" i="6"/>
  <c r="G108" i="6"/>
  <c r="G107" i="6"/>
  <c r="F107" i="6"/>
  <c r="E107" i="6"/>
  <c r="C107" i="6"/>
  <c r="E102" i="6"/>
  <c r="G30" i="2" s="1"/>
  <c r="C102" i="6"/>
  <c r="E30" i="2" s="1"/>
  <c r="B102" i="6"/>
  <c r="D30" i="2" s="1"/>
  <c r="A99" i="6"/>
  <c r="A97" i="6"/>
  <c r="A96" i="6"/>
  <c r="A95" i="6"/>
  <c r="A94" i="6"/>
  <c r="G93" i="6"/>
  <c r="G92" i="6"/>
  <c r="G90" i="6"/>
  <c r="G89" i="6"/>
  <c r="G86" i="6"/>
  <c r="G85" i="6"/>
  <c r="G84" i="6"/>
  <c r="G83" i="6"/>
  <c r="G82" i="6"/>
  <c r="G81" i="6"/>
  <c r="G80" i="6"/>
  <c r="A73" i="6"/>
  <c r="G72" i="6"/>
  <c r="F72" i="6"/>
  <c r="G71" i="6"/>
  <c r="G70" i="6"/>
  <c r="A70" i="6"/>
  <c r="G69" i="6"/>
  <c r="F69" i="6"/>
  <c r="G66" i="6"/>
  <c r="F66" i="6"/>
  <c r="E66" i="6"/>
  <c r="C66" i="6"/>
  <c r="E29" i="2"/>
  <c r="D29" i="2"/>
  <c r="G58" i="6"/>
  <c r="F58" i="6"/>
  <c r="A55" i="6"/>
  <c r="A54" i="6"/>
  <c r="G50" i="6"/>
  <c r="G48" i="6"/>
  <c r="F48" i="6"/>
  <c r="E48" i="6"/>
  <c r="C48" i="6"/>
  <c r="E25" i="2"/>
  <c r="D25" i="2"/>
  <c r="F59" i="6"/>
  <c r="F39" i="6"/>
  <c r="F38" i="6"/>
  <c r="F37" i="6"/>
  <c r="G25" i="6"/>
  <c r="G15" i="6" s="1"/>
  <c r="F25" i="6"/>
  <c r="F15" i="6" s="1"/>
  <c r="E25" i="6"/>
  <c r="E15" i="6" s="1"/>
  <c r="C25" i="6"/>
  <c r="C15" i="6" s="1"/>
  <c r="D4" i="6"/>
  <c r="B4" i="6"/>
  <c r="C56" i="5"/>
  <c r="C47" i="5"/>
  <c r="B47" i="5"/>
  <c r="C41" i="5"/>
  <c r="B41" i="5"/>
  <c r="E34" i="5"/>
  <c r="D34" i="5"/>
  <c r="C34" i="5"/>
  <c r="B34" i="5"/>
  <c r="E26" i="5"/>
  <c r="C26" i="5"/>
  <c r="D18" i="5"/>
  <c r="B18" i="5"/>
  <c r="E15" i="5"/>
  <c r="E18" i="5" s="1"/>
  <c r="I12" i="2" s="1"/>
  <c r="C15" i="5"/>
  <c r="E11" i="5"/>
  <c r="C11" i="5"/>
  <c r="E51" i="3"/>
  <c r="E50" i="3"/>
  <c r="I45" i="3"/>
  <c r="H45" i="3"/>
  <c r="J45" i="3" s="1"/>
  <c r="J43" i="3"/>
  <c r="I43" i="3"/>
  <c r="J42" i="3"/>
  <c r="I42" i="3"/>
  <c r="J38" i="3"/>
  <c r="I38" i="3"/>
  <c r="C24" i="16" s="1"/>
  <c r="J36" i="3"/>
  <c r="J31" i="3"/>
  <c r="I31" i="3"/>
  <c r="J27" i="3"/>
  <c r="I27" i="3"/>
  <c r="D21" i="3"/>
  <c r="F20" i="3"/>
  <c r="J20" i="3" s="1"/>
  <c r="D19" i="3"/>
  <c r="H18" i="3"/>
  <c r="G18" i="3"/>
  <c r="F18" i="3"/>
  <c r="D17" i="3"/>
  <c r="J16" i="3"/>
  <c r="I16" i="3"/>
  <c r="D15" i="3"/>
  <c r="D10" i="3"/>
  <c r="F9" i="3"/>
  <c r="D9" i="3"/>
  <c r="G7" i="3"/>
  <c r="E7" i="3"/>
  <c r="B159" i="4"/>
  <c r="D159" i="4" s="1"/>
  <c r="B157" i="4"/>
  <c r="D157" i="4" s="1"/>
  <c r="I50" i="2"/>
  <c r="D13" i="16" s="1"/>
  <c r="H50" i="2"/>
  <c r="I45" i="2"/>
  <c r="D15" i="16" s="1"/>
  <c r="H45" i="2"/>
  <c r="I44" i="2"/>
  <c r="H44" i="2"/>
  <c r="I42" i="2"/>
  <c r="H42" i="2"/>
  <c r="I41" i="2"/>
  <c r="H41" i="2"/>
  <c r="I40" i="2"/>
  <c r="H40" i="2"/>
  <c r="I39" i="2"/>
  <c r="H39" i="2"/>
  <c r="I22" i="2"/>
  <c r="H22" i="2"/>
  <c r="I21" i="2"/>
  <c r="D16" i="16" s="1"/>
  <c r="H21" i="2"/>
  <c r="I20" i="2"/>
  <c r="H20" i="2"/>
  <c r="H16" i="2"/>
  <c r="E16" i="2"/>
  <c r="I14" i="2"/>
  <c r="H14" i="2"/>
  <c r="F7" i="2"/>
  <c r="D7" i="2"/>
  <c r="C8" i="1"/>
  <c r="I153" i="6" l="1"/>
  <c r="J72" i="13"/>
  <c r="D17" i="6"/>
  <c r="G34" i="6"/>
  <c r="G42" i="6" s="1"/>
  <c r="E42" i="6"/>
  <c r="G128" i="6"/>
  <c r="G140" i="6" s="1"/>
  <c r="I51" i="2" s="1"/>
  <c r="C44" i="16" s="1"/>
  <c r="F3" i="13"/>
  <c r="G3" i="13"/>
  <c r="E3" i="13"/>
  <c r="H3" i="13"/>
  <c r="L198" i="11"/>
  <c r="L200" i="11"/>
  <c r="L203" i="11"/>
  <c r="L7" i="11"/>
  <c r="L9" i="11"/>
  <c r="L12" i="11"/>
  <c r="L14" i="11"/>
  <c r="L18" i="11"/>
  <c r="L20" i="11"/>
  <c r="L22" i="11"/>
  <c r="L25" i="11"/>
  <c r="L27" i="11"/>
  <c r="L29" i="11"/>
  <c r="L32" i="11"/>
  <c r="L34" i="11"/>
  <c r="L37" i="11"/>
  <c r="L41" i="11"/>
  <c r="L47" i="11"/>
  <c r="L49" i="11"/>
  <c r="L51" i="11"/>
  <c r="L53" i="11"/>
  <c r="L55" i="11"/>
  <c r="L59" i="11"/>
  <c r="L60" i="11"/>
  <c r="L62" i="11"/>
  <c r="L63" i="11"/>
  <c r="L64" i="11"/>
  <c r="L65" i="11"/>
  <c r="L70" i="11"/>
  <c r="L71" i="11"/>
  <c r="L72" i="11"/>
  <c r="F54" i="6"/>
  <c r="C18" i="5"/>
  <c r="F12" i="2" s="1"/>
  <c r="L76" i="11"/>
  <c r="L77" i="11"/>
  <c r="L78" i="11"/>
  <c r="L79" i="11"/>
  <c r="D35" i="6"/>
  <c r="F35" i="6" s="1"/>
  <c r="L83" i="11"/>
  <c r="L84" i="11"/>
  <c r="D80" i="6"/>
  <c r="F80" i="6" s="1"/>
  <c r="L86" i="11"/>
  <c r="L88" i="11"/>
  <c r="L89" i="11"/>
  <c r="L90" i="11"/>
  <c r="F84" i="6"/>
  <c r="L92" i="11"/>
  <c r="D86" i="6"/>
  <c r="F86" i="6" s="1"/>
  <c r="L94" i="11"/>
  <c r="D90" i="6"/>
  <c r="F90" i="6" s="1"/>
  <c r="L98" i="11"/>
  <c r="L99" i="11"/>
  <c r="L100" i="11"/>
  <c r="L101" i="11"/>
  <c r="L103" i="11"/>
  <c r="L104" i="11"/>
  <c r="L105" i="11"/>
  <c r="L106" i="11"/>
  <c r="D99" i="6"/>
  <c r="F99" i="6" s="1"/>
  <c r="L108" i="11"/>
  <c r="L109" i="11"/>
  <c r="D71" i="6"/>
  <c r="F71" i="6" s="1"/>
  <c r="L199" i="11"/>
  <c r="L112" i="11"/>
  <c r="L113" i="11"/>
  <c r="L114" i="11"/>
  <c r="L115" i="11"/>
  <c r="L116" i="11"/>
  <c r="L117" i="11"/>
  <c r="L118" i="11"/>
  <c r="L119" i="11"/>
  <c r="L120" i="11"/>
  <c r="L121" i="11"/>
  <c r="L122" i="11"/>
  <c r="L124" i="11"/>
  <c r="L126" i="11"/>
  <c r="L127" i="11"/>
  <c r="L128" i="11"/>
  <c r="L129" i="11"/>
  <c r="L130" i="11"/>
  <c r="L131" i="11"/>
  <c r="L132" i="11"/>
  <c r="L133" i="11"/>
  <c r="L134" i="11"/>
  <c r="L135" i="11"/>
  <c r="D188" i="6"/>
  <c r="D193" i="6" s="1"/>
  <c r="G10" i="3" s="1"/>
  <c r="L138" i="11"/>
  <c r="D206" i="6"/>
  <c r="F206" i="6" s="1"/>
  <c r="D209" i="6"/>
  <c r="F209" i="6" s="1"/>
  <c r="L142" i="11"/>
  <c r="D237" i="6"/>
  <c r="F237" i="6" s="1"/>
  <c r="L146" i="11"/>
  <c r="L148" i="11"/>
  <c r="L151" i="11"/>
  <c r="D203" i="6"/>
  <c r="F203" i="6" s="1"/>
  <c r="D204" i="6"/>
  <c r="F204" i="6" s="1"/>
  <c r="L158" i="11"/>
  <c r="L161" i="11"/>
  <c r="L162" i="11"/>
  <c r="L164" i="11"/>
  <c r="L166" i="11"/>
  <c r="L170" i="11"/>
  <c r="D277" i="6"/>
  <c r="F277" i="6" s="1"/>
  <c r="D273" i="6"/>
  <c r="F273" i="6" s="1"/>
  <c r="D272" i="6"/>
  <c r="F272" i="6" s="1"/>
  <c r="L174" i="11"/>
  <c r="D291" i="6"/>
  <c r="F291" i="6" s="1"/>
  <c r="L183" i="11"/>
  <c r="L186" i="11"/>
  <c r="D260" i="6"/>
  <c r="F260" i="6" s="1"/>
  <c r="L189" i="11"/>
  <c r="L190" i="11"/>
  <c r="L17" i="11"/>
  <c r="D167" i="6"/>
  <c r="F167" i="6" s="1"/>
  <c r="D150" i="6"/>
  <c r="F150" i="6" s="1"/>
  <c r="L35" i="11"/>
  <c r="L40" i="11"/>
  <c r="L42" i="11"/>
  <c r="L43" i="11"/>
  <c r="L45" i="11"/>
  <c r="L46" i="11"/>
  <c r="L67" i="11"/>
  <c r="L73" i="11"/>
  <c r="L87" i="11"/>
  <c r="L110" i="11"/>
  <c r="L140" i="11"/>
  <c r="L143" i="11"/>
  <c r="L150" i="11"/>
  <c r="L154" i="11"/>
  <c r="L167" i="11"/>
  <c r="D294" i="6"/>
  <c r="F294" i="6" s="1"/>
  <c r="D278" i="6"/>
  <c r="F278" i="6" s="1"/>
  <c r="L177" i="11"/>
  <c r="L178" i="11"/>
  <c r="L8" i="11"/>
  <c r="L10" i="11"/>
  <c r="L11" i="11"/>
  <c r="L13" i="11"/>
  <c r="L15" i="11"/>
  <c r="L16" i="11"/>
  <c r="D148" i="6"/>
  <c r="F148" i="6" s="1"/>
  <c r="L21" i="11"/>
  <c r="L23" i="11"/>
  <c r="L24" i="11"/>
  <c r="L26" i="11"/>
  <c r="L28" i="11"/>
  <c r="L30" i="11"/>
  <c r="L31" i="11"/>
  <c r="L33" i="11"/>
  <c r="L38" i="11"/>
  <c r="L39" i="11"/>
  <c r="L44" i="11"/>
  <c r="L48" i="11"/>
  <c r="L50" i="11"/>
  <c r="L52" i="11"/>
  <c r="L54" i="11"/>
  <c r="L56" i="11"/>
  <c r="G240" i="6"/>
  <c r="J15" i="3" s="1"/>
  <c r="D9" i="16"/>
  <c r="D8" i="16"/>
  <c r="C17" i="16"/>
  <c r="C19" i="16"/>
  <c r="C30" i="16"/>
  <c r="C13" i="16"/>
  <c r="C16" i="16"/>
  <c r="C15" i="16"/>
  <c r="C31" i="16"/>
  <c r="I18" i="3"/>
  <c r="F21" i="3"/>
  <c r="F218" i="6"/>
  <c r="N139" i="13"/>
  <c r="O139" i="13" s="1"/>
  <c r="D48" i="6"/>
  <c r="B162" i="6"/>
  <c r="L80" i="11"/>
  <c r="D34" i="6"/>
  <c r="F34" i="6" s="1"/>
  <c r="L68" i="11"/>
  <c r="D53" i="6"/>
  <c r="I16" i="2"/>
  <c r="G53" i="6"/>
  <c r="G61" i="6" s="1"/>
  <c r="I29" i="2" s="1"/>
  <c r="D7" i="6"/>
  <c r="D28" i="6"/>
  <c r="F55" i="6"/>
  <c r="C95" i="4"/>
  <c r="F95" i="4" s="1"/>
  <c r="L202" i="11"/>
  <c r="D261" i="6"/>
  <c r="D226" i="6"/>
  <c r="F226" i="6" s="1"/>
  <c r="E49" i="2"/>
  <c r="E55" i="2" s="1"/>
  <c r="F17" i="3"/>
  <c r="L82" i="11"/>
  <c r="L149" i="11"/>
  <c r="D202" i="6"/>
  <c r="F202" i="6" s="1"/>
  <c r="L201" i="11"/>
  <c r="D292" i="6"/>
  <c r="L6" i="11"/>
  <c r="D9" i="7"/>
  <c r="L191" i="11"/>
  <c r="L179" i="11"/>
  <c r="D232" i="6"/>
  <c r="F232" i="6" s="1"/>
  <c r="L157" i="11"/>
  <c r="D217" i="6"/>
  <c r="F217" i="6" s="1"/>
  <c r="D216" i="6"/>
  <c r="F216" i="6" s="1"/>
  <c r="L156" i="11"/>
  <c r="L147" i="11"/>
  <c r="D201" i="6"/>
  <c r="D91" i="6"/>
  <c r="F91" i="6" s="1"/>
  <c r="L96" i="11"/>
  <c r="D50" i="6"/>
  <c r="F50" i="6" s="1"/>
  <c r="L36" i="11"/>
  <c r="L188" i="11"/>
  <c r="L185" i="11"/>
  <c r="L182" i="11"/>
  <c r="D207" i="6"/>
  <c r="F207" i="6" s="1"/>
  <c r="L181" i="11"/>
  <c r="D223" i="6"/>
  <c r="F223" i="6" s="1"/>
  <c r="L180" i="11"/>
  <c r="D288" i="6"/>
  <c r="F288" i="6" s="1"/>
  <c r="D286" i="6"/>
  <c r="F286" i="6" s="1"/>
  <c r="L168" i="11"/>
  <c r="L163" i="11"/>
  <c r="D284" i="6"/>
  <c r="F284" i="6" s="1"/>
  <c r="L155" i="11"/>
  <c r="D213" i="6"/>
  <c r="F213" i="6" s="1"/>
  <c r="L145" i="11"/>
  <c r="D215" i="6"/>
  <c r="F215" i="6" s="1"/>
  <c r="D70" i="6"/>
  <c r="F70" i="6" s="1"/>
  <c r="D169" i="6"/>
  <c r="F169" i="6" s="1"/>
  <c r="D170" i="6"/>
  <c r="F170" i="6" s="1"/>
  <c r="D208" i="6"/>
  <c r="F208" i="6" s="1"/>
  <c r="D214" i="6"/>
  <c r="F214" i="6" s="1"/>
  <c r="D230" i="6"/>
  <c r="F230" i="6" s="1"/>
  <c r="L176" i="11"/>
  <c r="L187" i="11"/>
  <c r="L196" i="11"/>
  <c r="D279" i="6"/>
  <c r="F279" i="6" s="1"/>
  <c r="D280" i="6"/>
  <c r="F280" i="6" s="1"/>
  <c r="H12" i="2"/>
  <c r="D211" i="6"/>
  <c r="F211" i="6" s="1"/>
  <c r="D227" i="6"/>
  <c r="F227" i="6" s="1"/>
  <c r="L139" i="11"/>
  <c r="L160" i="11"/>
  <c r="D271" i="6"/>
  <c r="D290" i="6"/>
  <c r="F290" i="6" s="1"/>
  <c r="L169" i="11"/>
  <c r="L184" i="11"/>
  <c r="L197" i="11"/>
  <c r="L111" i="11"/>
  <c r="D95" i="6"/>
  <c r="F95" i="6" s="1"/>
  <c r="L125" i="11"/>
  <c r="L95" i="11"/>
  <c r="D73" i="6"/>
  <c r="F73" i="6" s="1"/>
  <c r="L69" i="11"/>
  <c r="L144" i="11"/>
  <c r="L165" i="11"/>
  <c r="D212" i="6"/>
  <c r="F212" i="6" s="1"/>
  <c r="D274" i="6"/>
  <c r="F274" i="6" s="1"/>
  <c r="L97" i="11"/>
  <c r="L141" i="11"/>
  <c r="L152" i="11"/>
  <c r="L171" i="11"/>
  <c r="L81" i="11"/>
  <c r="E7" i="6"/>
  <c r="G7" i="6" s="1"/>
  <c r="D93" i="6"/>
  <c r="F93" i="6" s="1"/>
  <c r="D100" i="6"/>
  <c r="F100" i="6" s="1"/>
  <c r="D179" i="6"/>
  <c r="F179" i="6" s="1"/>
  <c r="F182" i="6" s="1"/>
  <c r="I9" i="3" s="1"/>
  <c r="D283" i="6"/>
  <c r="F283" i="6" s="1"/>
  <c r="D285" i="6"/>
  <c r="F285" i="6" s="1"/>
  <c r="D231" i="6"/>
  <c r="F231" i="6" s="1"/>
  <c r="D225" i="6"/>
  <c r="F225" i="6" s="1"/>
  <c r="L107" i="11"/>
  <c r="L136" i="11"/>
  <c r="L173" i="11"/>
  <c r="D81" i="6"/>
  <c r="F81" i="6" s="1"/>
  <c r="D96" i="6"/>
  <c r="F96" i="6" s="1"/>
  <c r="D132" i="6"/>
  <c r="F132" i="6" s="1"/>
  <c r="D136" i="6"/>
  <c r="F136" i="6" s="1"/>
  <c r="L75" i="11"/>
  <c r="L153" i="11"/>
  <c r="L159" i="11"/>
  <c r="L175" i="11"/>
  <c r="D131" i="6"/>
  <c r="F131" i="6" s="1"/>
  <c r="D138" i="6"/>
  <c r="F138" i="6" s="1"/>
  <c r="D126" i="6"/>
  <c r="F126" i="6" s="1"/>
  <c r="D133" i="6"/>
  <c r="F133" i="6" s="1"/>
  <c r="D135" i="6"/>
  <c r="F135" i="6" s="1"/>
  <c r="D205" i="6"/>
  <c r="F205" i="6" s="1"/>
  <c r="D234" i="6"/>
  <c r="F234" i="6" s="1"/>
  <c r="L19" i="11"/>
  <c r="L61" i="11"/>
  <c r="L102" i="11"/>
  <c r="L123" i="11"/>
  <c r="L137" i="11"/>
  <c r="L172" i="11"/>
  <c r="D79" i="6"/>
  <c r="F79" i="6" s="1"/>
  <c r="L58" i="11"/>
  <c r="L85" i="11"/>
  <c r="D36" i="6"/>
  <c r="F36" i="6" s="1"/>
  <c r="F83" i="6"/>
  <c r="D94" i="6"/>
  <c r="F94" i="6" s="1"/>
  <c r="B125" i="6"/>
  <c r="B145" i="6"/>
  <c r="D210" i="6"/>
  <c r="F210" i="6" s="1"/>
  <c r="L66" i="11"/>
  <c r="D85" i="6"/>
  <c r="F85" i="6" s="1"/>
  <c r="L74" i="11"/>
  <c r="L91" i="11"/>
  <c r="B160" i="4"/>
  <c r="E61" i="6"/>
  <c r="G29" i="2" s="1"/>
  <c r="D82" i="6"/>
  <c r="F82" i="6" s="1"/>
  <c r="F89" i="6"/>
  <c r="D92" i="6"/>
  <c r="F92" i="6" s="1"/>
  <c r="D98" i="6"/>
  <c r="F98" i="6" s="1"/>
  <c r="B107" i="6"/>
  <c r="F129" i="6"/>
  <c r="F166" i="6"/>
  <c r="L57" i="11"/>
  <c r="L93" i="11"/>
  <c r="J18" i="3"/>
  <c r="G182" i="6"/>
  <c r="J9" i="3" s="1"/>
  <c r="G25" i="2"/>
  <c r="G193" i="6"/>
  <c r="J10" i="3" s="1"/>
  <c r="G111" i="6"/>
  <c r="I48" i="2" s="1"/>
  <c r="G157" i="6"/>
  <c r="I52" i="2" s="1"/>
  <c r="D97" i="6"/>
  <c r="F97" i="6" s="1"/>
  <c r="D109" i="6"/>
  <c r="F109" i="6" s="1"/>
  <c r="B116" i="6"/>
  <c r="G173" i="6"/>
  <c r="I53" i="2" s="1"/>
  <c r="D14" i="16" s="1"/>
  <c r="C32" i="7"/>
  <c r="B172" i="4" s="1"/>
  <c r="D172" i="4" s="1"/>
  <c r="K23" i="7"/>
  <c r="K25" i="7" s="1"/>
  <c r="J25" i="7"/>
  <c r="I25" i="2"/>
  <c r="F247" i="6"/>
  <c r="J21" i="3"/>
  <c r="D116" i="6"/>
  <c r="D66" i="6"/>
  <c r="D259" i="6"/>
  <c r="D162" i="6"/>
  <c r="D107" i="6"/>
  <c r="D269" i="6"/>
  <c r="D145" i="6"/>
  <c r="D198" i="6"/>
  <c r="D125" i="6"/>
  <c r="D25" i="6"/>
  <c r="D15" i="6" s="1"/>
  <c r="D187" i="6"/>
  <c r="D245" i="6"/>
  <c r="D55" i="2"/>
  <c r="B182" i="4"/>
  <c r="D182" i="4" s="1"/>
  <c r="H12" i="3"/>
  <c r="D178" i="6"/>
  <c r="E251" i="6"/>
  <c r="B269" i="6"/>
  <c r="B259" i="6"/>
  <c r="B245" i="6"/>
  <c r="B187" i="6"/>
  <c r="B48" i="6"/>
  <c r="B66" i="6"/>
  <c r="B25" i="6"/>
  <c r="B15" i="6" s="1"/>
  <c r="B178" i="6"/>
  <c r="G102" i="6"/>
  <c r="I30" i="2" s="1"/>
  <c r="B198" i="6"/>
  <c r="D249" i="6"/>
  <c r="D108" i="6"/>
  <c r="D130" i="6"/>
  <c r="D134" i="6"/>
  <c r="F134" i="6" s="1"/>
  <c r="D165" i="6"/>
  <c r="I148" i="6" l="1"/>
  <c r="J12" i="3"/>
  <c r="J69" i="6"/>
  <c r="J70" i="6"/>
  <c r="F17" i="6"/>
  <c r="F19" i="6" s="1"/>
  <c r="D19" i="6"/>
  <c r="F28" i="6"/>
  <c r="F42" i="6" s="1"/>
  <c r="H25" i="2" s="1"/>
  <c r="D42" i="6"/>
  <c r="F25" i="2" s="1"/>
  <c r="F157" i="6"/>
  <c r="F188" i="6"/>
  <c r="F193" i="6" s="1"/>
  <c r="I10" i="3" s="1"/>
  <c r="I12" i="3" s="1"/>
  <c r="D157" i="6"/>
  <c r="F52" i="2" s="1"/>
  <c r="D240" i="6"/>
  <c r="F271" i="6"/>
  <c r="D297" i="6"/>
  <c r="G21" i="3" s="1"/>
  <c r="F201" i="6"/>
  <c r="F240" i="6" s="1"/>
  <c r="D160" i="4"/>
  <c r="D51" i="16"/>
  <c r="F53" i="6"/>
  <c r="F61" i="6" s="1"/>
  <c r="C100" i="4"/>
  <c r="C138" i="4" s="1"/>
  <c r="C190" i="4" s="1"/>
  <c r="C193" i="4" s="1"/>
  <c r="D264" i="6"/>
  <c r="G19" i="3" s="1"/>
  <c r="F261" i="6"/>
  <c r="F264" i="6" s="1"/>
  <c r="I19" i="3" s="1"/>
  <c r="F292" i="6"/>
  <c r="B169" i="4"/>
  <c r="D169" i="4" s="1"/>
  <c r="G38" i="2"/>
  <c r="D12" i="7"/>
  <c r="I38" i="2" s="1"/>
  <c r="F9" i="7"/>
  <c r="D182" i="6"/>
  <c r="G9" i="3" s="1"/>
  <c r="F5" i="10"/>
  <c r="F8" i="10"/>
  <c r="F29" i="2"/>
  <c r="D102" i="6"/>
  <c r="F30" i="2" s="1"/>
  <c r="D140" i="6"/>
  <c r="F51" i="2" s="1"/>
  <c r="F130" i="6"/>
  <c r="F128" i="6" s="1"/>
  <c r="F140" i="6" s="1"/>
  <c r="H51" i="2" s="1"/>
  <c r="E254" i="6"/>
  <c r="H17" i="3" s="1"/>
  <c r="E253" i="6"/>
  <c r="G251" i="6"/>
  <c r="F249" i="6"/>
  <c r="F108" i="6"/>
  <c r="F111" i="6" s="1"/>
  <c r="D111" i="6"/>
  <c r="F48" i="2" s="1"/>
  <c r="F165" i="6"/>
  <c r="F173" i="6" s="1"/>
  <c r="H53" i="2" s="1"/>
  <c r="C14" i="16" s="1"/>
  <c r="D173" i="6"/>
  <c r="F53" i="2" s="1"/>
  <c r="J72" i="6" l="1"/>
  <c r="H48" i="2"/>
  <c r="C32" i="16" s="1"/>
  <c r="F19" i="2"/>
  <c r="H19" i="2"/>
  <c r="C36" i="16" s="1"/>
  <c r="H29" i="2"/>
  <c r="C18" i="16" s="1"/>
  <c r="C9" i="16"/>
  <c r="C39" i="16" s="1"/>
  <c r="H52" i="2"/>
  <c r="C29" i="16" s="1"/>
  <c r="C37" i="16"/>
  <c r="F102" i="6"/>
  <c r="F297" i="6"/>
  <c r="C51" i="16"/>
  <c r="B153" i="4"/>
  <c r="B154" i="4" s="1"/>
  <c r="C154" i="4" s="1"/>
  <c r="F138" i="4"/>
  <c r="G55" i="2"/>
  <c r="F12" i="7"/>
  <c r="K9" i="7"/>
  <c r="L9" i="7" s="1"/>
  <c r="M9" i="7" s="1"/>
  <c r="G12" i="3"/>
  <c r="G253" i="6"/>
  <c r="G254" i="6"/>
  <c r="J17" i="3" s="1"/>
  <c r="C41" i="16" l="1"/>
  <c r="H30" i="2"/>
  <c r="C20" i="16" s="1"/>
  <c r="I21" i="3"/>
  <c r="C153" i="4"/>
  <c r="D7" i="10"/>
  <c r="E7" i="10" s="1"/>
  <c r="H7" i="10" s="1"/>
  <c r="B195" i="4"/>
  <c r="C195" i="4" s="1"/>
  <c r="C197" i="4" s="1"/>
  <c r="I55" i="2"/>
  <c r="C31" i="7"/>
  <c r="L12" i="7"/>
  <c r="D39" i="16"/>
  <c r="D19" i="16" l="1"/>
  <c r="G20" i="3"/>
  <c r="I20" i="3"/>
  <c r="C8" i="16" s="1"/>
  <c r="B168" i="4"/>
  <c r="C33" i="7"/>
  <c r="C35" i="7" s="1"/>
  <c r="C37" i="7" s="1"/>
  <c r="M12" i="7"/>
  <c r="H38" i="2" s="1"/>
  <c r="F38" i="2"/>
  <c r="C28" i="16" l="1"/>
  <c r="C33" i="16" s="1"/>
  <c r="D168" i="4"/>
  <c r="I37" i="3"/>
  <c r="G204" i="4" s="1"/>
  <c r="H43" i="2"/>
  <c r="G5" i="10"/>
  <c r="G37" i="3"/>
  <c r="G6" i="10"/>
  <c r="F43" i="2"/>
  <c r="D40" i="16" l="1"/>
  <c r="D41" i="16" s="1"/>
  <c r="J23" i="3"/>
  <c r="G15" i="3"/>
  <c r="H15" i="3"/>
  <c r="H23" i="3" s="1"/>
  <c r="H25" i="3" s="1"/>
  <c r="H29" i="3" s="1"/>
  <c r="H33" i="3" s="1"/>
  <c r="H40" i="3" s="1"/>
  <c r="H47" i="3" s="1"/>
  <c r="I15" i="3"/>
  <c r="F15" i="3"/>
  <c r="F23" i="3" s="1"/>
  <c r="F25" i="3" s="1"/>
  <c r="F29" i="3" s="1"/>
  <c r="F33" i="3" s="1"/>
  <c r="F40" i="3" s="1"/>
  <c r="F47" i="3" s="1"/>
  <c r="J25" i="3" l="1"/>
  <c r="H51" i="3"/>
  <c r="H50" i="3"/>
  <c r="E8" i="6"/>
  <c r="E10" i="6" s="1"/>
  <c r="G13" i="2" s="1"/>
  <c r="G32" i="2" s="1"/>
  <c r="G56" i="2" s="1"/>
  <c r="C8" i="6"/>
  <c r="F50" i="3"/>
  <c r="F51" i="3"/>
  <c r="J29" i="3" l="1"/>
  <c r="C10" i="6"/>
  <c r="G8" i="6"/>
  <c r="G10" i="6" s="1"/>
  <c r="I13" i="2" s="1"/>
  <c r="I32" i="2" s="1"/>
  <c r="K55" i="2" s="1"/>
  <c r="J33" i="3" l="1"/>
  <c r="B7" i="6"/>
  <c r="E13" i="2"/>
  <c r="E32" i="2" s="1"/>
  <c r="E56" i="2" s="1"/>
  <c r="J40" i="3" l="1"/>
  <c r="J47" i="3" s="1"/>
  <c r="D6" i="16"/>
  <c r="D10" i="16" s="1"/>
  <c r="D23" i="16" s="1"/>
  <c r="D25" i="16" s="1"/>
  <c r="D43" i="16" s="1"/>
  <c r="D46" i="16" s="1"/>
  <c r="B10" i="6"/>
  <c r="D13" i="2" s="1"/>
  <c r="D32" i="2" s="1"/>
  <c r="D56" i="2" s="1"/>
  <c r="F7" i="6"/>
  <c r="J50" i="3" l="1"/>
  <c r="J51" i="3"/>
  <c r="B201" i="4" l="1"/>
  <c r="B202" i="4"/>
  <c r="C202" i="4" s="1"/>
  <c r="B203" i="4"/>
  <c r="C203" i="4" s="1"/>
  <c r="B205" i="4"/>
  <c r="B204" i="4"/>
  <c r="B206" i="4" l="1"/>
  <c r="D205" i="4"/>
  <c r="G202" i="4"/>
  <c r="D204" i="4"/>
  <c r="G201" i="4"/>
  <c r="D203" i="4"/>
  <c r="C201" i="4"/>
  <c r="C206" i="4" s="1"/>
  <c r="B192" i="4" s="1"/>
  <c r="G203" i="4" l="1"/>
  <c r="G205" i="4" s="1"/>
  <c r="D206" i="4"/>
  <c r="B162" i="4" s="1"/>
  <c r="B164" i="4" s="1"/>
  <c r="D192" i="4"/>
  <c r="D193" i="4" s="1"/>
  <c r="D197" i="4" s="1"/>
  <c r="B193" i="4"/>
  <c r="B197" i="4" s="1"/>
  <c r="D162" i="4" l="1"/>
  <c r="D164" i="4"/>
  <c r="B174" i="4"/>
  <c r="D118" i="6"/>
  <c r="D251" i="6"/>
  <c r="D120" i="6" l="1"/>
  <c r="F49" i="2" s="1"/>
  <c r="F55" i="2" s="1"/>
  <c r="F118" i="6"/>
  <c r="F120" i="6" s="1"/>
  <c r="H49" i="2" s="1"/>
  <c r="B178" i="4"/>
  <c r="D174" i="4"/>
  <c r="D254" i="6"/>
  <c r="G17" i="3" s="1"/>
  <c r="D253" i="6"/>
  <c r="F251" i="6"/>
  <c r="F254" i="6" l="1"/>
  <c r="I17" i="3" s="1"/>
  <c r="I23" i="3" s="1"/>
  <c r="I25" i="3" s="1"/>
  <c r="I29" i="3" s="1"/>
  <c r="I33" i="3" s="1"/>
  <c r="C6" i="16" s="1"/>
  <c r="F253" i="6"/>
  <c r="D178" i="4"/>
  <c r="B180" i="4"/>
  <c r="C21" i="16"/>
  <c r="H55" i="2"/>
  <c r="G23" i="3"/>
  <c r="G25" i="3" s="1"/>
  <c r="G29" i="3" s="1"/>
  <c r="G33" i="3" s="1"/>
  <c r="D6" i="10"/>
  <c r="E6" i="10" s="1"/>
  <c r="H6" i="10" s="1"/>
  <c r="D7" i="1"/>
  <c r="E7" i="1" s="1"/>
  <c r="D180" i="4" l="1"/>
  <c r="B188" i="4"/>
  <c r="D188" i="4" s="1"/>
  <c r="G40" i="3"/>
  <c r="G47" i="3" s="1"/>
  <c r="D9" i="1"/>
  <c r="E9" i="1" s="1"/>
  <c r="I40" i="3"/>
  <c r="C10" i="16"/>
  <c r="C23" i="16" s="1"/>
  <c r="C25" i="16" s="1"/>
  <c r="C43" i="16" s="1"/>
  <c r="C46" i="16" s="1"/>
  <c r="G51" i="3" l="1"/>
  <c r="G50" i="3"/>
  <c r="D8" i="6"/>
  <c r="I47" i="3"/>
  <c r="F8" i="6" l="1"/>
  <c r="D10" i="6"/>
  <c r="F13" i="2" s="1"/>
  <c r="F32" i="2" s="1"/>
  <c r="I50" i="3"/>
  <c r="I51" i="3"/>
  <c r="F10" i="6" l="1"/>
  <c r="H13" i="2" s="1"/>
  <c r="H32" i="2" s="1"/>
  <c r="J55" i="2" s="1"/>
  <c r="D8" i="1"/>
  <c r="E8" i="1" s="1"/>
  <c r="F8" i="1" s="1"/>
  <c r="D5" i="10"/>
  <c r="F56" i="2"/>
  <c r="E5" i="10" l="1"/>
  <c r="H5" i="10" s="1"/>
  <c r="D8" i="10"/>
  <c r="E8" i="10" s="1"/>
  <c r="H8" i="10"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<sst xmlns="http://schemas.openxmlformats.org/spreadsheetml/2006/main" count="30918" uniqueCount="5995">
  <si>
    <t xml:space="preserve">Moonstone Realinfra Pvt Ltd </t>
  </si>
  <si>
    <t>CIN :- U45201PN2022PTC207521</t>
  </si>
  <si>
    <t>A 102 ICC TRADE TOWER 403/A SENAPATI BAPAT ROAD PUNE , MH 411016</t>
  </si>
  <si>
    <t>Particulars</t>
  </si>
  <si>
    <t>Note No</t>
  </si>
  <si>
    <t>HO</t>
  </si>
  <si>
    <t>Construction Division</t>
  </si>
  <si>
    <t>Total</t>
  </si>
  <si>
    <t>Figures as at the end of 31.03.2025</t>
  </si>
  <si>
    <t>I. EQUITY AND LIABILITIES</t>
  </si>
  <si>
    <t xml:space="preserve">      (a) Share Capital</t>
  </si>
  <si>
    <t xml:space="preserve">      (c) Money Received Against Share Warrants</t>
  </si>
  <si>
    <t/>
  </si>
  <si>
    <t>(2) Share Application Money Pending Allotment</t>
  </si>
  <si>
    <t>(3) Non-Current Liabilities</t>
  </si>
  <si>
    <t>(a) Long-Term Borrowings</t>
  </si>
  <si>
    <t>(b) Deferred Tax Liabilities (Net)</t>
  </si>
  <si>
    <t>(c) Other Long Term Liabilities</t>
  </si>
  <si>
    <t>(d) Long-Term Provision</t>
  </si>
  <si>
    <t>(4) Current Liabilities</t>
  </si>
  <si>
    <t>(a) Short-Term Borrowings</t>
  </si>
  <si>
    <t>(b) Trade Payable</t>
  </si>
  <si>
    <t>(i) Total Outstanding Dues of Micro Enterprises and Small Enterprises; and</t>
  </si>
  <si>
    <t>(c) Other Current Liabilities</t>
  </si>
  <si>
    <t>(d) Short-Term Provisions</t>
  </si>
  <si>
    <t>II. Assets</t>
  </si>
  <si>
    <t>(1) Non-Current Assets</t>
  </si>
  <si>
    <t>(a) Property, Plant and Equipment</t>
  </si>
  <si>
    <t>(i)   Property, Plant and Equipment</t>
  </si>
  <si>
    <t>(ii)  Intangible Assets</t>
  </si>
  <si>
    <t>(iii) Capital Work-In-Progress</t>
  </si>
  <si>
    <t>(iv) Intangible Assets Under Development</t>
  </si>
  <si>
    <t>(b) Non- Current Investment</t>
  </si>
  <si>
    <t>(c) Deferred Tax Assets (Net)</t>
  </si>
  <si>
    <t>(d) Long Term Loans And Advances</t>
  </si>
  <si>
    <t>(e) Other Non-Current Assets</t>
  </si>
  <si>
    <t>(2) Current Assets</t>
  </si>
  <si>
    <t>(a) Current Investment</t>
  </si>
  <si>
    <t>(b) Inventories</t>
  </si>
  <si>
    <t xml:space="preserve">(c) Trade Receivables </t>
  </si>
  <si>
    <t>(d) Cash And Cash Equivalents</t>
  </si>
  <si>
    <t>(e) Short Term Loans And Advances</t>
  </si>
  <si>
    <t>(f) Other Current Assets</t>
  </si>
  <si>
    <t xml:space="preserve"> </t>
  </si>
  <si>
    <t>Significant Accounting Policies &amp; Notes on Accounts</t>
  </si>
  <si>
    <t>As per our report of even date</t>
  </si>
  <si>
    <t>Bhandari S A A J &amp; Associates</t>
  </si>
  <si>
    <t>Chartered Accountants</t>
  </si>
  <si>
    <t>FRN :- 108155W</t>
  </si>
  <si>
    <t xml:space="preserve">  </t>
  </si>
  <si>
    <t>CA. Pravin B. Bhandari</t>
  </si>
  <si>
    <t>Rajesh K. Goyal</t>
  </si>
  <si>
    <t>Vineet K. Goyal</t>
  </si>
  <si>
    <t>Partner</t>
  </si>
  <si>
    <t>Director</t>
  </si>
  <si>
    <t>MRN  :- 032548</t>
  </si>
  <si>
    <t>DIN  :- 00516086</t>
  </si>
  <si>
    <t>DIN  :- 02305167</t>
  </si>
  <si>
    <t>UDIN:-</t>
  </si>
  <si>
    <t>Date:-</t>
  </si>
  <si>
    <t>Place :- Pune</t>
  </si>
  <si>
    <t xml:space="preserve">A 102 ICC TRADE TOWER 403/A SENAPATI BAPAT ROAD PUNE , MH 411016 </t>
  </si>
  <si>
    <t>I. Revenue From Operations</t>
  </si>
  <si>
    <t>II. Other Income</t>
  </si>
  <si>
    <t>III. Total Revenue (I +II)</t>
  </si>
  <si>
    <t>IV. Expenses:</t>
  </si>
  <si>
    <t>(a) Cost of Construction</t>
  </si>
  <si>
    <t>(b) Purchase of Stock-in-Trade</t>
  </si>
  <si>
    <t xml:space="preserve">(c) Changes in Inventories of Finished Goods, work-In Progress and Stock-in-Trade </t>
  </si>
  <si>
    <t>(g) Other Expenses</t>
  </si>
  <si>
    <t>IV. Total Expenses</t>
  </si>
  <si>
    <t>VI. Exceptional Items</t>
  </si>
  <si>
    <t>VIII. Extraordinary Items</t>
  </si>
  <si>
    <t>IX. Profit Before Tax (VII- VIII)</t>
  </si>
  <si>
    <t>X. Tax Expense:</t>
  </si>
  <si>
    <t xml:space="preserve"> (1) Current Tax</t>
  </si>
  <si>
    <t xml:space="preserve"> (2) Deferred Tax</t>
  </si>
  <si>
    <t xml:space="preserve"> (3) Taxation For Earlier Years</t>
  </si>
  <si>
    <t>XI. Profit (Loss) For The Period From Continuing Operations</t>
  </si>
  <si>
    <t>XII. Profit/(Loss) From Discontinuing Operations</t>
  </si>
  <si>
    <t>XIII. Tax Expense Of Discontinuing Operations</t>
  </si>
  <si>
    <t>XIV. Profit/(Loss) From Discontinuing Operations (After Tax)</t>
  </si>
  <si>
    <t>XV. Profit (Loss) For The Period</t>
  </si>
  <si>
    <t>XVI. Earning Per Equity Share:</t>
  </si>
  <si>
    <t xml:space="preserve">       (1) Basic</t>
  </si>
  <si>
    <t xml:space="preserve">       (2) Diluted</t>
  </si>
  <si>
    <t>For &amp; on behalf of the Board of</t>
  </si>
  <si>
    <t xml:space="preserve">Moonstone Realinfra Pvt. Ltd. </t>
  </si>
  <si>
    <t>CA Pravin B. Bhandari</t>
  </si>
  <si>
    <t>UDIN</t>
  </si>
  <si>
    <t xml:space="preserve">Date: </t>
  </si>
  <si>
    <t>Note-2</t>
  </si>
  <si>
    <t>Reserves and Surplus</t>
  </si>
  <si>
    <t>Profit and Loss A/c</t>
  </si>
  <si>
    <t>Opening Balance</t>
  </si>
  <si>
    <t xml:space="preserve">Add :- Surplus / (Deficit) in Statement of Profit and Loss </t>
  </si>
  <si>
    <t>Grand Total</t>
  </si>
  <si>
    <t>Note-3</t>
  </si>
  <si>
    <t>Short Term Borrowings</t>
  </si>
  <si>
    <t>Domestic Customers - Basic &amp; Infra</t>
  </si>
  <si>
    <t>Domestic Customers - GST</t>
  </si>
  <si>
    <t>Domestic Customers - SDR</t>
  </si>
  <si>
    <t>Loans and Advances From Related Parties</t>
  </si>
  <si>
    <t>Domestic Customers</t>
  </si>
  <si>
    <t>Customer Suspense</t>
  </si>
  <si>
    <t>Customer - Advance Taken</t>
  </si>
  <si>
    <t>Customer - Tax on Advance</t>
  </si>
  <si>
    <t>Customer - EOI / Token</t>
  </si>
  <si>
    <t>Loan from Directors &amp; Relatives (Unsecured &amp; considered good)</t>
  </si>
  <si>
    <t>Customer - Tax on EOI</t>
  </si>
  <si>
    <t>Rajesh Goyal</t>
  </si>
  <si>
    <t>Customer - SDR Advance</t>
  </si>
  <si>
    <t>Vineet Goyal</t>
  </si>
  <si>
    <t>Customer - Maintenance Advance</t>
  </si>
  <si>
    <t>Krishnakumar Goyal</t>
  </si>
  <si>
    <t>Customer - Refund EOI &amp; Advance</t>
  </si>
  <si>
    <t>Rehaan Vineet Goyal</t>
  </si>
  <si>
    <t>Sheetal Manoj Gupta</t>
  </si>
  <si>
    <t>Shilpa Sachin Garg</t>
  </si>
  <si>
    <t>Customer - Due</t>
  </si>
  <si>
    <t>Note-5</t>
  </si>
  <si>
    <t>Other Current Liabilities</t>
  </si>
  <si>
    <t>Contractual Deposit Received From Customer</t>
  </si>
  <si>
    <t>Branch/Division</t>
  </si>
  <si>
    <t>Interbranch Transaction</t>
  </si>
  <si>
    <t>Advance Received Against Land</t>
  </si>
  <si>
    <t>Punawale</t>
  </si>
  <si>
    <t>Note-6</t>
  </si>
  <si>
    <t>Short Term Provision</t>
  </si>
  <si>
    <t>Expense Payable</t>
  </si>
  <si>
    <t>Interest Payable</t>
  </si>
  <si>
    <t>Professional Fees Payable</t>
  </si>
  <si>
    <t>Audit Fees Payable</t>
  </si>
  <si>
    <t>Interest Payable to Rajesh Goyal</t>
  </si>
  <si>
    <t>Duties and Taxes</t>
  </si>
  <si>
    <t>GST Payable</t>
  </si>
  <si>
    <t>CGST Customer Payable</t>
  </si>
  <si>
    <t>SGST Customer Payable</t>
  </si>
  <si>
    <t>Output CGST 2.5%  Payable</t>
  </si>
  <si>
    <t>Output SGST 2.5%  Payable</t>
  </si>
  <si>
    <t>Output CGST 9%  Payable</t>
  </si>
  <si>
    <t>Output SGST  9%  Payable</t>
  </si>
  <si>
    <t>CGST RCM Payable</t>
  </si>
  <si>
    <t>SGST RCM Payable</t>
  </si>
  <si>
    <t>TDS Payable</t>
  </si>
  <si>
    <t>TDS Payable on Purchase (194Q)</t>
  </si>
  <si>
    <t>TDS Payable on Brokerage (194H)</t>
  </si>
  <si>
    <t>TDS Payable on Interest (194A)</t>
  </si>
  <si>
    <t>TDS Payable on Professional Fees (194J)</t>
  </si>
  <si>
    <t>TDS Payable on Contractor (194C)</t>
  </si>
  <si>
    <t>Note-7</t>
  </si>
  <si>
    <t>Current Investment</t>
  </si>
  <si>
    <t>Investment in Fixed Deposit</t>
  </si>
  <si>
    <t>Interest on Fixed Deposit Accrued but Not Due</t>
  </si>
  <si>
    <t>Balances with banks</t>
  </si>
  <si>
    <t>IDBI- 0600102000012582- Collection A/c- Main</t>
  </si>
  <si>
    <t>IDBI- 0600102000012582- Collection A/c- Incoming</t>
  </si>
  <si>
    <t>IDBI- 0600102000012591- RERA A/c- Main</t>
  </si>
  <si>
    <t>IDBI- 0600102000012607- Expenses A/c- Main</t>
  </si>
  <si>
    <t>Inventories</t>
  </si>
  <si>
    <t>IDBI- 0600102000012607- Expenses A/c- Outgoing</t>
  </si>
  <si>
    <t>IDBI- 0600102000012616- E-Tax A/c- Main</t>
  </si>
  <si>
    <t>IDBI- 0600102000012616- E-Tax A/c- Incoming</t>
  </si>
  <si>
    <t>Inventories at the end of the year:</t>
  </si>
  <si>
    <t>IDBI- 0600102000012625- Maintenance A/c- Main</t>
  </si>
  <si>
    <t>Work in Progress</t>
  </si>
  <si>
    <t>IDBI- 0600102000013916- Collection A/c- Main</t>
  </si>
  <si>
    <t>IDBI- 0600102000013907- Rera A/c- Main</t>
  </si>
  <si>
    <t>Note-9</t>
  </si>
  <si>
    <t>Cash on hand</t>
  </si>
  <si>
    <t>IDBI- 0600102000012582- Collection A/c</t>
  </si>
  <si>
    <t>IDBI- 0600102000012591- RERA A/c</t>
  </si>
  <si>
    <t>IDBI- 0600102000012607- Expenses A/c</t>
  </si>
  <si>
    <t>IDBI- 0600102000012616- E-Tax A/c</t>
  </si>
  <si>
    <t>IDBI- 0600102000012625 Maintenance A/c</t>
  </si>
  <si>
    <t>IDBI- 0600102000013916- Collection A/c</t>
  </si>
  <si>
    <t>ICICI- 0600102000013891- Expenses A/c</t>
  </si>
  <si>
    <t>IDBI- 0600102000013907- Rera A/c</t>
  </si>
  <si>
    <t>IDBI- 0600102000011501</t>
  </si>
  <si>
    <t>Note-10</t>
  </si>
  <si>
    <t>Short term loans and advances</t>
  </si>
  <si>
    <t>Unsecured, considered good</t>
  </si>
  <si>
    <t>Advances to Staff</t>
  </si>
  <si>
    <t>Manoj Kumar Verma</t>
  </si>
  <si>
    <t>Advance Against Land</t>
  </si>
  <si>
    <t>Aarya Balasaheb Naikare Patil</t>
  </si>
  <si>
    <t>Govind Dharmaaji Darshale</t>
  </si>
  <si>
    <t>Shubham Balasaheb Naikare Patil</t>
  </si>
  <si>
    <t>Note-11</t>
  </si>
  <si>
    <t>Current Assets</t>
  </si>
  <si>
    <t>TDS Receivable</t>
  </si>
  <si>
    <t>TDS on Sale of Residential Property 1 % Receivable</t>
  </si>
  <si>
    <t>TDS on FD Interest</t>
  </si>
  <si>
    <t>Prepaid Expenses</t>
  </si>
  <si>
    <t>Note-12</t>
  </si>
  <si>
    <t>Revenue From Operations</t>
  </si>
  <si>
    <t>Booking Cancellation Charges</t>
  </si>
  <si>
    <t>Note-13</t>
  </si>
  <si>
    <t>Other Income</t>
  </si>
  <si>
    <t>Interest Income on Fixed Deposit</t>
  </si>
  <si>
    <t>Write Back Income</t>
  </si>
  <si>
    <t>Round Off</t>
  </si>
  <si>
    <t>Note-14</t>
  </si>
  <si>
    <t>Cost of Construction</t>
  </si>
  <si>
    <t>TDR Purchase</t>
  </si>
  <si>
    <t>Consumption - Civil Material</t>
  </si>
  <si>
    <t>Subcontracting Cost - Engineering &amp; Civil Work</t>
  </si>
  <si>
    <t>Subcontracting Cost - Electrical Work</t>
  </si>
  <si>
    <t>Subcontracting Cost - Plumbing Work</t>
  </si>
  <si>
    <t>Site Water Supply Charges</t>
  </si>
  <si>
    <t>Site Security Charges</t>
  </si>
  <si>
    <t>Site Engineering Expenses</t>
  </si>
  <si>
    <t>Site Fuel Expenses</t>
  </si>
  <si>
    <t>Site Housekeeping Expenses</t>
  </si>
  <si>
    <t>Site Expenses - Admin</t>
  </si>
  <si>
    <t>Labour Charges -Security Guard</t>
  </si>
  <si>
    <t>Consultancy &amp; Architect Expenses</t>
  </si>
  <si>
    <t>Development Expenses</t>
  </si>
  <si>
    <t>Property Tax</t>
  </si>
  <si>
    <t>CGST Direct Expenses</t>
  </si>
  <si>
    <t>SGST Direct Expenses</t>
  </si>
  <si>
    <t>Note-15</t>
  </si>
  <si>
    <t>Inventories at the beginning of the year:</t>
  </si>
  <si>
    <t>Net (increase) / decrease in Inventory</t>
  </si>
  <si>
    <t>Note-16</t>
  </si>
  <si>
    <t>Finance Cost</t>
  </si>
  <si>
    <t>Interest Paid on Loan</t>
  </si>
  <si>
    <t>Note-18</t>
  </si>
  <si>
    <t>Other Expenses</t>
  </si>
  <si>
    <t>Administration Expenses</t>
  </si>
  <si>
    <t>Bank Charges</t>
  </si>
  <si>
    <t>Round Off Expense</t>
  </si>
  <si>
    <t>Computer consumables</t>
  </si>
  <si>
    <t>Repair &amp; Maintenance</t>
  </si>
  <si>
    <t>Legal and Professional Expenses</t>
  </si>
  <si>
    <t>Professional Fees</t>
  </si>
  <si>
    <t>Audit Fees</t>
  </si>
  <si>
    <t>ROC Filing Expenses</t>
  </si>
  <si>
    <t>RERA Expenses</t>
  </si>
  <si>
    <t>Profession Tax (PTEC)</t>
  </si>
  <si>
    <t>NSDL Charges</t>
  </si>
  <si>
    <t>Membership and Registration Fees</t>
  </si>
  <si>
    <t>GST &amp; TDS Expenses</t>
  </si>
  <si>
    <t>CGST Indirect Expenses</t>
  </si>
  <si>
    <t>SGST Indirect Expenses</t>
  </si>
  <si>
    <t>IGST Indirect Expenses</t>
  </si>
  <si>
    <t>Interest on GST</t>
  </si>
  <si>
    <t>Advertisement Expenses</t>
  </si>
  <si>
    <t>Brokerage &amp; Commission</t>
  </si>
  <si>
    <t>Sample Flat Expenses</t>
  </si>
  <si>
    <t>Digital Marketing</t>
  </si>
  <si>
    <t>Office Expenses</t>
  </si>
  <si>
    <t>Outdoor Marketing Cost</t>
  </si>
  <si>
    <t>Other Marketing Expenses</t>
  </si>
  <si>
    <t>Other Sales Cost</t>
  </si>
  <si>
    <t>Note-17</t>
  </si>
  <si>
    <t>Block of Assets</t>
  </si>
  <si>
    <t>Name of Assets</t>
  </si>
  <si>
    <t>Date of Acquisition/
Put to Use</t>
  </si>
  <si>
    <t>Residual Value</t>
  </si>
  <si>
    <t>Useful Life</t>
  </si>
  <si>
    <t>No. Days Used till Last Period</t>
  </si>
  <si>
    <t>Balance Life</t>
  </si>
  <si>
    <t>No. Days Used in Current Year</t>
  </si>
  <si>
    <t>Depreciation Rate</t>
  </si>
  <si>
    <t>Depreciation Amount</t>
  </si>
  <si>
    <t>Closing WDV</t>
  </si>
  <si>
    <t>Plant &amp; Machinery</t>
  </si>
  <si>
    <t>Office Equipment</t>
  </si>
  <si>
    <t>Block of Asset</t>
  </si>
  <si>
    <t>Name of Asset</t>
  </si>
  <si>
    <t>Rate</t>
  </si>
  <si>
    <t>Opening WDV</t>
  </si>
  <si>
    <t>Addition</t>
  </si>
  <si>
    <t>Deletion</t>
  </si>
  <si>
    <t>Depreciation</t>
  </si>
  <si>
    <t>More Than 180 Days</t>
  </si>
  <si>
    <t>Less Than 180 Days</t>
  </si>
  <si>
    <t>Deffered Tax Assets/Deffered Tax Liability</t>
  </si>
  <si>
    <t>Particular</t>
  </si>
  <si>
    <t>Amount</t>
  </si>
  <si>
    <t>Deductiable Temporary Difference</t>
  </si>
  <si>
    <t>Tax Rate</t>
  </si>
  <si>
    <t>Deffered Tax Assets should be created</t>
  </si>
  <si>
    <t>Share Capital</t>
  </si>
  <si>
    <t>Figures as at the end of current reporting Period 31-03-2025</t>
  </si>
  <si>
    <t>Number of shares</t>
  </si>
  <si>
    <t>(a) Authorised</t>
  </si>
  <si>
    <t>50,000 Equity shares of Rs.10/- each with voting rights</t>
  </si>
  <si>
    <t>(b) Issued,  Subscribed and Paid up</t>
  </si>
  <si>
    <t xml:space="preserve">   At the Beginning of the year</t>
  </si>
  <si>
    <t>10,000 Equity shares of Rs.10/- each with voting rights</t>
  </si>
  <si>
    <t xml:space="preserve">  Issued During the Year</t>
  </si>
  <si>
    <t xml:space="preserve">  Shares bought back during the year</t>
  </si>
  <si>
    <r>
      <t xml:space="preserve"> At the End of the Year  
1</t>
    </r>
    <r>
      <rPr>
        <sz val="10"/>
        <rFont val="Calibri"/>
        <family val="2"/>
        <scheme val="minor"/>
      </rPr>
      <t>0,000 Equity Shares of Rs.10 Each with voting Rights</t>
    </r>
  </si>
  <si>
    <t>Shares in the company held by its holding company or its ultimate holding company including shares held by or by subsidiaries or associates of the holding company or the ultimate holding company</t>
  </si>
  <si>
    <t>Shares held by Holding Company</t>
  </si>
  <si>
    <t>List of Shareholders holding more than 5% share capital</t>
  </si>
  <si>
    <t>% of total shares</t>
  </si>
  <si>
    <t>NOTE 1A. Shares held by Promoter's</t>
  </si>
  <si>
    <t>For Current Reporting Period</t>
  </si>
  <si>
    <t>Promotor's Name</t>
  </si>
  <si>
    <t>No of shares</t>
  </si>
  <si>
    <t>% Change during the year</t>
  </si>
  <si>
    <t>For Previous reporting Period</t>
  </si>
  <si>
    <t xml:space="preserve">In terms of our report attached. </t>
  </si>
  <si>
    <t xml:space="preserve">For Bhandari S A A J &amp; Associates </t>
  </si>
  <si>
    <t>For, Kothari Cars Private Limited</t>
  </si>
  <si>
    <t xml:space="preserve">Chartered Accountants </t>
  </si>
  <si>
    <t>FRN    : 108155W</t>
  </si>
  <si>
    <t>Rajendra B. Kothari</t>
  </si>
  <si>
    <t>Ashish R. Kothari</t>
  </si>
  <si>
    <t>(Partner)</t>
  </si>
  <si>
    <t>M No. : 032548</t>
  </si>
  <si>
    <t>DIN : 00477141</t>
  </si>
  <si>
    <t>DIN : 01923933</t>
  </si>
  <si>
    <t>Place   : Pune</t>
  </si>
  <si>
    <t>Date    : 30-08-2022</t>
  </si>
  <si>
    <t>Company Code</t>
  </si>
  <si>
    <t>G/L Account</t>
  </si>
  <si>
    <t>G/L Acct Long Text</t>
  </si>
  <si>
    <t>Balance Carryforward</t>
  </si>
  <si>
    <t>Debit Blnce of Reportng Period</t>
  </si>
  <si>
    <t>Credit Balance Reporting Per.</t>
  </si>
  <si>
    <t>Accumulated Balance</t>
  </si>
  <si>
    <t>Office Equipments</t>
  </si>
  <si>
    <t>Accumulated Dep - Office Equipments</t>
  </si>
  <si>
    <t>FD - Investment in Fixed Deposit</t>
  </si>
  <si>
    <t>Capital WIP</t>
  </si>
  <si>
    <t>FD - TDS on FD Interest</t>
  </si>
  <si>
    <t>Advances to Employee</t>
  </si>
  <si>
    <t>Cash</t>
  </si>
  <si>
    <t>IDBI- 0600102000012582- Collection A/c- Outgoing</t>
  </si>
  <si>
    <t>IDBI- 0600102000012591- RERA A/c- Incoming</t>
  </si>
  <si>
    <t>IDBI- 0600102000012591- RERA A/c- Outgoing</t>
  </si>
  <si>
    <t>IDBI- 0600102000012607- Expenses A/c- Incoming</t>
  </si>
  <si>
    <t>IDBI- 0600102000012616- E-Tax A/c- Outgoing</t>
  </si>
  <si>
    <t>IDBI- 0600102000013891- Expenses A/c- Main</t>
  </si>
  <si>
    <t>FD-Interest on Fixed Deposit Accrued but Not Due</t>
  </si>
  <si>
    <t>Input CGST 2.5%  Receivable</t>
  </si>
  <si>
    <t>Input SGST 2.5%  Receivable</t>
  </si>
  <si>
    <t>Input CGST 6%  Receivable</t>
  </si>
  <si>
    <t>Input SGST 6%  Receivable</t>
  </si>
  <si>
    <t>Input CGST 9%  Receivable</t>
  </si>
  <si>
    <t>Input SGST  9%  Receivable</t>
  </si>
  <si>
    <t>Input CGST 14%  Receivable</t>
  </si>
  <si>
    <t>Input SGST 14%  Receivable</t>
  </si>
  <si>
    <t>Input IGST 18%  Receivable</t>
  </si>
  <si>
    <t>CGST RCM Receivable A/c</t>
  </si>
  <si>
    <t>SGST RCM Receivable A/c</t>
  </si>
  <si>
    <t>InterBranch Transaction</t>
  </si>
  <si>
    <t>IC RECEIVALE CLEARING</t>
  </si>
  <si>
    <t>Deferred Tax Assets</t>
  </si>
  <si>
    <t>Reserves &amp; Surplus</t>
  </si>
  <si>
    <t>Zero Balance Clearing for PCA</t>
  </si>
  <si>
    <t>Loan from Relative -Krishna kumar Goyal</t>
  </si>
  <si>
    <t>Loan from Directors - Rajesh Goyal</t>
  </si>
  <si>
    <t>Loan from Directors - Vineet Goyal</t>
  </si>
  <si>
    <t>TDS Payable on Rent (194I)</t>
  </si>
  <si>
    <t>TDS on Salary</t>
  </si>
  <si>
    <t>Reimbursement Exp Payable to Rajesh Goyal</t>
  </si>
  <si>
    <t>Reimbursement Exp Payable to Vineet Goyal</t>
  </si>
  <si>
    <t>Vendor - Domestic Supplier Control A/c</t>
  </si>
  <si>
    <t>Vendor - Contractors Control A/c</t>
  </si>
  <si>
    <t>Vendor - Consultant Control A/c</t>
  </si>
  <si>
    <t>Vendor - Broker Control A/c</t>
  </si>
  <si>
    <t>Vendor - Employee Control A/c</t>
  </si>
  <si>
    <t>Vendor - Intercompany Vendor Control A/c</t>
  </si>
  <si>
    <t>GR/IR - Purchases</t>
  </si>
  <si>
    <t>GR/IR - Services</t>
  </si>
  <si>
    <t>IC Payables CLEARING</t>
  </si>
  <si>
    <t>TRM - Investment Payable</t>
  </si>
  <si>
    <t>Customer SDR Due (Stamp Duty &amp; Registration Chg</t>
  </si>
  <si>
    <t>FD - Interest Income on Fixed Deposit</t>
  </si>
  <si>
    <t>ROC Fees Paid</t>
  </si>
  <si>
    <t>Consumption - Boughout items (Hardware)</t>
  </si>
  <si>
    <t>Consumption - Furniture</t>
  </si>
  <si>
    <t>Printing &amp; Stationery</t>
  </si>
  <si>
    <t>Migration Account - Assets</t>
  </si>
  <si>
    <t>Migration Account - Inventory</t>
  </si>
  <si>
    <t>Migration Account - Customers</t>
  </si>
  <si>
    <t>Migration Account - Vendor</t>
  </si>
  <si>
    <t>Migration Account - GL</t>
  </si>
  <si>
    <t>Figures as at the end of 31.03.2026</t>
  </si>
  <si>
    <t>1900</t>
  </si>
  <si>
    <t>Registration and Filing Fees</t>
  </si>
  <si>
    <t>OD - Interest on OD</t>
  </si>
  <si>
    <t>Scheme Rebate</t>
  </si>
  <si>
    <t>Interest on Late Payment of GST</t>
  </si>
  <si>
    <t>Out of Pocket Expences</t>
  </si>
  <si>
    <t>MLWF Employer Contribution</t>
  </si>
  <si>
    <t>Employer Contribution at ESIC</t>
  </si>
  <si>
    <t>Other Deduction related to Personnel Cost</t>
  </si>
  <si>
    <t>PF Admin Charges</t>
  </si>
  <si>
    <t>EDLI Contribution</t>
  </si>
  <si>
    <t>PF Employer Contribution</t>
  </si>
  <si>
    <t>Conveyance Expenses</t>
  </si>
  <si>
    <t>Employee Bonus</t>
  </si>
  <si>
    <t>Salary A/c</t>
  </si>
  <si>
    <t>PCMC Scrutiny Fees</t>
  </si>
  <si>
    <t>Other Deduction From Salary Payable</t>
  </si>
  <si>
    <t>Interest Payable on OD A/c</t>
  </si>
  <si>
    <t>Maharashtra Labour Welfare Fund Payable</t>
  </si>
  <si>
    <t>Employee Bonus Payable</t>
  </si>
  <si>
    <t>Profession Tax Payable</t>
  </si>
  <si>
    <t>P.F. Employee Contribution Payable</t>
  </si>
  <si>
    <t>Salary Payable</t>
  </si>
  <si>
    <t>PF Employer Contribution Payable</t>
  </si>
  <si>
    <t>PF Admin Charges  Payable</t>
  </si>
  <si>
    <t>Employer Contribution at ESI Payable</t>
  </si>
  <si>
    <t>EDLI Contribution Payable</t>
  </si>
  <si>
    <t>Output CGST 0.5%  Payable</t>
  </si>
  <si>
    <t>Aditya Birla Capital Loan- 962471</t>
  </si>
  <si>
    <t>Aditya Birla Capital Loan- 935318</t>
  </si>
  <si>
    <t>Retained Earning A/c</t>
  </si>
  <si>
    <t>Branch Ho-Liablities</t>
  </si>
  <si>
    <t>Current Capital - Rajesh Goyal</t>
  </si>
  <si>
    <t>Branch-Ho-Assets</t>
  </si>
  <si>
    <t>HDFC- 57500001831984- Rera A/c- Incoming</t>
  </si>
  <si>
    <t>HDFC- 57500001831984- Rera A/c- Main</t>
  </si>
  <si>
    <t>HDFC- 57500001831820- Expenses A/c- Outgoing</t>
  </si>
  <si>
    <t>HDFC- 57500001831820- Expenses A/c- Incoming</t>
  </si>
  <si>
    <t>HDFC- 57500001831820- Expenses A/c- Main</t>
  </si>
  <si>
    <t>HDFC- 57500001831971- Collection A/c- Outgoing</t>
  </si>
  <si>
    <t>HDFC- 57500001831971- Collection A/c- Incoming</t>
  </si>
  <si>
    <t>HDFC- 57500001831971- Collection A/c- Main</t>
  </si>
  <si>
    <t>IDBI- 0600102000012625- Maintenance A/c- Incoming</t>
  </si>
  <si>
    <t>Customer-Others</t>
  </si>
  <si>
    <t>FD - Investment in Fixed Deposit Receivable</t>
  </si>
  <si>
    <t>BS type</t>
  </si>
  <si>
    <t>Income</t>
  </si>
  <si>
    <t>Expenses</t>
  </si>
  <si>
    <t>Row Labels</t>
  </si>
  <si>
    <t>Sum of Accumulated Balance</t>
  </si>
  <si>
    <t>Statement of Profit &amp; Loss for the year ended 31.03.2026</t>
  </si>
  <si>
    <t>Balance Sheet as at 31.03.2026</t>
  </si>
  <si>
    <t>HDFC-99919917012022-Expenses A/c</t>
  </si>
  <si>
    <t>Figures as at the end of current reporting Period 31-03-2026</t>
  </si>
  <si>
    <t>Assets</t>
  </si>
  <si>
    <t>TDS on Sale of Commercial Property 1 % Rece- 194IA</t>
  </si>
  <si>
    <t>TDS Receivable - Aditya Birla Capital limited</t>
  </si>
  <si>
    <t>Advance to Vendor</t>
  </si>
  <si>
    <t>IDBI- 0600102000012625- Maintenance A/c- Outgoing</t>
  </si>
  <si>
    <t>IDBI- 0600102000013916- Rera A/c- Outgoing</t>
  </si>
  <si>
    <t>IDBI- 0600102000013891- Expenses A/c- Incoming</t>
  </si>
  <si>
    <t>IDBI - 0600102000013891-Expenses A/c- Outgoing</t>
  </si>
  <si>
    <t>IDBI- 0600102000013907- Rera A/c- Incoming</t>
  </si>
  <si>
    <t>IDBI- 0600102000013907- Rera A/c- Outgoing</t>
  </si>
  <si>
    <t>Prepaid Insurance</t>
  </si>
  <si>
    <t>Liablities</t>
  </si>
  <si>
    <t>Current Capital - Vineet Goyal</t>
  </si>
  <si>
    <t>Output SGST 0.5%  Payable</t>
  </si>
  <si>
    <t>PTEC Payable</t>
  </si>
  <si>
    <t>PNL</t>
  </si>
  <si>
    <t>Consumption - Plumbing &amp; Sanitary</t>
  </si>
  <si>
    <t>Consumption - Electricals</t>
  </si>
  <si>
    <t>Insurance Charges</t>
  </si>
  <si>
    <t>Copy Paste SAP TB here under the same headings</t>
  </si>
  <si>
    <t>If error means Ledger Heading not present in TB (Input)</t>
  </si>
  <si>
    <t>CoCd</t>
  </si>
  <si>
    <t>G/L Acct</t>
  </si>
  <si>
    <t>Crcy</t>
  </si>
  <si>
    <t>BusA</t>
  </si>
  <si>
    <t>Balance of Prior Periods</t>
  </si>
  <si>
    <t>Cross Check</t>
  </si>
  <si>
    <t>INR</t>
  </si>
  <si>
    <t>HDFC-99919907012022-OD A/c-Main</t>
  </si>
  <si>
    <t>HDFC-99919907012022-OD A/c-Incoming</t>
  </si>
  <si>
    <t>HDFC-99919907012022-OD A/c-Outgoing</t>
  </si>
  <si>
    <t>Depreciation - Office Equipments</t>
  </si>
  <si>
    <t>NOTES ANNEXED TO AND FORMING PART OF THE BALANCE SHEET AS ON 31ST March 2026</t>
  </si>
  <si>
    <t xml:space="preserve">Depreciation as per books </t>
  </si>
  <si>
    <t>Depreciation as per Income Tax</t>
  </si>
  <si>
    <t>Liabilities</t>
  </si>
  <si>
    <t>(blank)</t>
  </si>
  <si>
    <t>Amounts as per SAP</t>
  </si>
  <si>
    <t>BS PL Amounts</t>
  </si>
  <si>
    <t>Difference</t>
  </si>
  <si>
    <t>DTA entry yet to be passed in SAP</t>
  </si>
  <si>
    <t>Final Difference</t>
  </si>
  <si>
    <t>Reasons</t>
  </si>
  <si>
    <t>Note 4</t>
  </si>
  <si>
    <r>
      <t xml:space="preserve">There are 3 branch balances in TB:
</t>
    </r>
    <r>
      <rPr>
        <sz val="11"/>
        <color rgb="FFFF0000"/>
        <rFont val="Calibri"/>
        <family val="2"/>
        <scheme val="minor"/>
      </rPr>
      <t>- Interbranch Transaction Cr 71,20,22,472 (SAP Assets) (Our BS Liab)</t>
    </r>
    <r>
      <rPr>
        <sz val="11"/>
        <color theme="1"/>
        <rFont val="Calibri"/>
        <family val="2"/>
        <scheme val="minor"/>
      </rPr>
      <t xml:space="preserve">
- Branch Ho-Liablities Cr 72,86,681 (SAP Liab) (Our BS Liab)
</t>
    </r>
    <r>
      <rPr>
        <sz val="11"/>
        <color rgb="FFFF0000"/>
        <rFont val="Calibri"/>
        <family val="2"/>
        <scheme val="minor"/>
      </rPr>
      <t xml:space="preserve">- Branch-Ho-Assets Dr 72,56,064 (SAP Assets) (Our BS Liab)
</t>
    </r>
    <r>
      <rPr>
        <sz val="11"/>
        <color theme="1"/>
        <rFont val="Calibri"/>
        <family val="2"/>
        <scheme val="minor"/>
      </rPr>
      <t>So, Difference is coming due to change in classification, SAP Assets &gt; Our BS Liability</t>
    </r>
  </si>
  <si>
    <t>PF Excess Paid</t>
  </si>
  <si>
    <t>Advertising Expenses</t>
  </si>
  <si>
    <t>Penalty/Fine/Damages</t>
  </si>
  <si>
    <t>Deffered Tax - P&amp;L</t>
  </si>
  <si>
    <t>Interest Paid on Loan (OD)</t>
  </si>
  <si>
    <t>Saesha Goyal</t>
  </si>
  <si>
    <t>Indirect</t>
  </si>
  <si>
    <t>Ineligible exp</t>
  </si>
  <si>
    <t>Head as per WIP</t>
  </si>
  <si>
    <t>Moonstone Realinfra Pvt Ltd</t>
  </si>
  <si>
    <t xml:space="preserve">Interest Received </t>
  </si>
  <si>
    <t>Booking Cancellation income</t>
  </si>
  <si>
    <t xml:space="preserve">Exp Incurred </t>
  </si>
  <si>
    <t>Net Profit</t>
  </si>
  <si>
    <t>Disallowance as per Income Tax 43B(h)</t>
  </si>
  <si>
    <t>Add :- Depreciation As per Co.Act</t>
  </si>
  <si>
    <t>Less:- Deporeciation As per Income Tax</t>
  </si>
  <si>
    <t>Net Profit as per Income Tax</t>
  </si>
  <si>
    <t>Tax on Above</t>
  </si>
  <si>
    <t>TDS Receivable other income</t>
  </si>
  <si>
    <t>Total Tax Payable/(Refund)</t>
  </si>
  <si>
    <t>Closing Stock as on 31.03.2025</t>
  </si>
  <si>
    <t>Dir Exp</t>
  </si>
  <si>
    <t>Sale of Land</t>
  </si>
  <si>
    <t>Cost of Land</t>
  </si>
  <si>
    <t>Gross Profit</t>
  </si>
  <si>
    <t>Indirect Income</t>
  </si>
  <si>
    <t>Estimated Indirect Income upto 31.03.26</t>
  </si>
  <si>
    <t>S.No</t>
  </si>
  <si>
    <t>31/1,31/1/1A..</t>
  </si>
  <si>
    <t>32/1,32/7, 32/3</t>
  </si>
  <si>
    <t>32/3</t>
  </si>
  <si>
    <t>32/6</t>
  </si>
  <si>
    <t>Total area Purchase in Co</t>
  </si>
  <si>
    <t>34/2/2/2</t>
  </si>
  <si>
    <t>34/2/2/3</t>
  </si>
  <si>
    <t>Punawale Land</t>
  </si>
  <si>
    <t>TDR at Chikhali (S.No 41 Part</t>
  </si>
  <si>
    <t>TDR at Chikhali (S.No. 93 Part</t>
  </si>
  <si>
    <t>TDR at Ravet (S.No. 75/1A/1A/1A/1 Part</t>
  </si>
  <si>
    <t>TDR at Tathwade (S.No. 91/2 Part</t>
  </si>
  <si>
    <t>TDR at Thergaon (S.No 37/6P</t>
  </si>
  <si>
    <t>TDR at Wakad (12/1 Part</t>
  </si>
  <si>
    <t>Vendor Account: Name 1</t>
  </si>
  <si>
    <t>Sum of Company Code Currency Value</t>
  </si>
  <si>
    <t>360 Realtors LLP</t>
  </si>
  <si>
    <t>LANDROOF &amp; CO</t>
  </si>
  <si>
    <t>Mahesh Tulashiram Golawar</t>
  </si>
  <si>
    <t>Prajkta Rajendra Dhanokar</t>
  </si>
  <si>
    <t>PropTiger Marketing Services Pvt. L</t>
  </si>
  <si>
    <t>RENUKA ENTERPRISES</t>
  </si>
  <si>
    <t>SAI ENTERPRISES</t>
  </si>
  <si>
    <t>THANISH CONSTRUCTION LLP</t>
  </si>
  <si>
    <t>BHANDARI SAAJ &amp; ASSOCIATES</t>
  </si>
  <si>
    <t>FAST FACILITY SERVICES</t>
  </si>
  <si>
    <t>NIKISHA CONSULTANCY SERVICES</t>
  </si>
  <si>
    <t>Sadguru Enterprises</t>
  </si>
  <si>
    <t>VK DESIGN AND PROJECTS PRIVATE LIMI</t>
  </si>
  <si>
    <t>TEJAS SUDAM THAKUR PATIL</t>
  </si>
  <si>
    <t>Income Tax Refund</t>
  </si>
  <si>
    <t>Sale of - Land</t>
  </si>
  <si>
    <t>Stamp Duty &amp; Registration Expenses - on Land Purch</t>
  </si>
  <si>
    <t>Interest On Late Payment of TDS</t>
  </si>
  <si>
    <t>Area in hectre as per index II</t>
  </si>
  <si>
    <t>Area in hectre converted to Sq mt as per index II</t>
  </si>
  <si>
    <t>TDR Purchase (F.Y 24-25)</t>
  </si>
  <si>
    <t>Land</t>
  </si>
  <si>
    <t>Sale area</t>
  </si>
  <si>
    <t>194IA TDS Received From RGS Reality</t>
  </si>
  <si>
    <t>Advance tax</t>
  </si>
  <si>
    <t>TDS Receivable 194A</t>
  </si>
  <si>
    <t>Add :- Penalty/Fine/Damages</t>
  </si>
  <si>
    <t>Stamp Duty</t>
  </si>
  <si>
    <t>Commission</t>
  </si>
  <si>
    <t xml:space="preserve">Land Consideration </t>
  </si>
  <si>
    <t>Total Cost of Land</t>
  </si>
  <si>
    <t>Development expenses</t>
  </si>
  <si>
    <t>Purchased in
FY</t>
  </si>
  <si>
    <t>21-22</t>
  </si>
  <si>
    <t>22-23</t>
  </si>
  <si>
    <t>23-24</t>
  </si>
  <si>
    <t>FY 21-22</t>
  </si>
  <si>
    <t>FY 22-23</t>
  </si>
  <si>
    <t>FY 23-24</t>
  </si>
  <si>
    <t>FY 24-25</t>
  </si>
  <si>
    <t>Advertisement Expenses (Punawale-S.No. 31)</t>
  </si>
  <si>
    <t>Advertisement Expenses (Punawale-S.No. 32)</t>
  </si>
  <si>
    <t>Advertisement Expenses (Punawale-S.No. 32/3)</t>
  </si>
  <si>
    <t>Advertisement Expenses (Punawale-S.No. 32/6)</t>
  </si>
  <si>
    <t>Development Expenses (Punawale - S.No. 31)</t>
  </si>
  <si>
    <t>Development Expenses (Punawale - S.No. 32)</t>
  </si>
  <si>
    <t>Development Expenses (Punawale - S.No 32/3)</t>
  </si>
  <si>
    <t>Development Expenses (Punawale-S.No. 32/6)</t>
  </si>
  <si>
    <t>Electrical Work (Punawale-S.No.31)</t>
  </si>
  <si>
    <t>Electrical Work (Punawale - S.No. 32)</t>
  </si>
  <si>
    <t>Electrical Work (Punawale-S.No. 32/3)</t>
  </si>
  <si>
    <t>Electrical Work (Punawale-S.No. 32/6)</t>
  </si>
  <si>
    <t>Fencing Work Expenses (Punawale-S.No. 31)</t>
  </si>
  <si>
    <t>Fencing Work Expenses (Punawale-S.No. 32)</t>
  </si>
  <si>
    <t>Liasoning Expenses (Punawale - S.No. 31)</t>
  </si>
  <si>
    <t>Liasoning Expenses (Punawale - S.No. 32)</t>
  </si>
  <si>
    <t>Professional Expenses (Punawale-S.No. 31)</t>
  </si>
  <si>
    <t>Professional Expenses (Punawale -S.No. 32)</t>
  </si>
  <si>
    <t>Professional Expenses (Punawale -S.No. 32/3)</t>
  </si>
  <si>
    <t>Professional Expenses (Punawale -S.No. 32/6)</t>
  </si>
  <si>
    <t>Development Expenses (Punawale)</t>
  </si>
  <si>
    <t>Expense Type</t>
  </si>
  <si>
    <t>Building Permission Development Charges</t>
  </si>
  <si>
    <t>CONSULTANCY &amp; ARCHITECH EXPENSE</t>
  </si>
  <si>
    <t>CGST (Direct Expenses)</t>
  </si>
  <si>
    <t>Electrical Expenses</t>
  </si>
  <si>
    <t>LABOUR CHARGES -CONSULTANT</t>
  </si>
  <si>
    <t>LABOUR CHARGES -Development</t>
  </si>
  <si>
    <t>MIning Application</t>
  </si>
  <si>
    <t>Royalty Paid</t>
  </si>
  <si>
    <t>SECURITY CHARGES</t>
  </si>
  <si>
    <t>SGST (Direct Expenses)</t>
  </si>
  <si>
    <t>Site Expenses - Engg.</t>
  </si>
  <si>
    <t>TCS on Royalty</t>
  </si>
  <si>
    <t>BROKERAGE &amp; COMMISSION</t>
  </si>
  <si>
    <t>CGST (Indirect Expenses)</t>
  </si>
  <si>
    <t>COLLATERALS</t>
  </si>
  <si>
    <t>EVENT AND ACTIVATION</t>
  </si>
  <si>
    <t>Interest paid on Loan</t>
  </si>
  <si>
    <t>LEGAL &amp; PROFESSIONAL FEES</t>
  </si>
  <si>
    <t>OTHER MARKETING EXPENSE</t>
  </si>
  <si>
    <t>OUTDOOR</t>
  </si>
  <si>
    <t>PRINT</t>
  </si>
  <si>
    <t>ROUND OFF EXPENSE</t>
  </si>
  <si>
    <t>SAMPLE FLAT EXPENSES</t>
  </si>
  <si>
    <t>SGST (Indirect Expenses)</t>
  </si>
  <si>
    <t>Tax Audit Fees</t>
  </si>
  <si>
    <t>Direct Cost (Project)</t>
  </si>
  <si>
    <t>Indirect Cost (Project)</t>
  </si>
  <si>
    <t>Subcon-Engg&amp;Civil Wo</t>
  </si>
  <si>
    <t>Brokerage &amp; Com</t>
  </si>
  <si>
    <t>Cons-Civil Material</t>
  </si>
  <si>
    <t>Sample Flat Exp</t>
  </si>
  <si>
    <t>Subcon-Electric Work</t>
  </si>
  <si>
    <t>Outdoor Marketi</t>
  </si>
  <si>
    <t>CGST Indirect Expens</t>
  </si>
  <si>
    <t>SGST Indirect Expens</t>
  </si>
  <si>
    <t>Consultancy &amp;archi</t>
  </si>
  <si>
    <t>Interest Paid o</t>
  </si>
  <si>
    <t>Other Marketing</t>
  </si>
  <si>
    <t>Site fuel</t>
  </si>
  <si>
    <t>IGST Indirect Expens</t>
  </si>
  <si>
    <t>Site housekeep</t>
  </si>
  <si>
    <t>Site security</t>
  </si>
  <si>
    <t>Develp expen</t>
  </si>
  <si>
    <t>Site Eng exp</t>
  </si>
  <si>
    <t>Profess fee-Direct</t>
  </si>
  <si>
    <t>LG -Security Gu</t>
  </si>
  <si>
    <t>Site Expenses -Admin</t>
  </si>
  <si>
    <t>Legal Expens</t>
  </si>
  <si>
    <t>Site water Supply</t>
  </si>
  <si>
    <t>Repair &amp; Maint</t>
  </si>
  <si>
    <t>Subcon-Plumbing Work</t>
  </si>
  <si>
    <t>CGWA NOC</t>
  </si>
  <si>
    <t>Depre-Office Equip</t>
  </si>
  <si>
    <t>RERA exp</t>
  </si>
  <si>
    <t>Profession Tax (PTEC</t>
  </si>
  <si>
    <t>Total Area (Sq.Mt)</t>
  </si>
  <si>
    <t>Area Given to PCMC</t>
  </si>
  <si>
    <t>Total area for Project + Land sale</t>
  </si>
  <si>
    <t>Land sold to RGS</t>
  </si>
  <si>
    <t>Total Area for Project</t>
  </si>
  <si>
    <t>Area</t>
  </si>
  <si>
    <t>Sq.mt</t>
  </si>
  <si>
    <t>During the year expense</t>
  </si>
  <si>
    <t>Add :- Deffered Tax - P&amp;L</t>
  </si>
  <si>
    <t>B/f Loss</t>
  </si>
  <si>
    <t>Gross Total Income as per Income Tax</t>
  </si>
  <si>
    <t>Trade Payables</t>
  </si>
  <si>
    <t>MSME Status</t>
  </si>
  <si>
    <t>Other</t>
  </si>
  <si>
    <t>Outstanding for following periods from due date of payment</t>
  </si>
  <si>
    <t>Less than 1 Year</t>
  </si>
  <si>
    <t>1-2 Years</t>
  </si>
  <si>
    <t>2-3 Years</t>
  </si>
  <si>
    <t>More than 3 Years</t>
  </si>
  <si>
    <t>MSME</t>
  </si>
  <si>
    <t>Others</t>
  </si>
  <si>
    <t>Dispute dues-MSME</t>
  </si>
  <si>
    <t>Dispute dues Others</t>
  </si>
  <si>
    <t>OMKAR MADHAV SAMBHUS</t>
  </si>
  <si>
    <t>Dispute dues others</t>
  </si>
  <si>
    <t>Profit Center</t>
  </si>
  <si>
    <t>Count of Count of Outstanding More than 3 Years</t>
  </si>
  <si>
    <t>Count of Count of Outstanding since 2 to 3 Year</t>
  </si>
  <si>
    <t>Sum of Sum of Outstanding since 1 to 2 Year</t>
  </si>
  <si>
    <t>Sum of Sum of Outstanding less Than 1 Year</t>
  </si>
  <si>
    <t xml:space="preserve">MSME </t>
  </si>
  <si>
    <t>Interest Paid on Loan ABFL</t>
  </si>
  <si>
    <t>Interest Paid on Loan Unsecured Loan</t>
  </si>
  <si>
    <t>15 Days ABFL Interest Payable</t>
  </si>
  <si>
    <t>Other interest</t>
  </si>
  <si>
    <t>Project</t>
  </si>
  <si>
    <t>ABFL Loan Interest</t>
  </si>
  <si>
    <t>Unsecured loan interest</t>
  </si>
  <si>
    <t>Indirect cost (Common)</t>
  </si>
  <si>
    <t>Direct cost  (Common)</t>
  </si>
  <si>
    <t>Opening WIP</t>
  </si>
  <si>
    <t>Month</t>
  </si>
  <si>
    <t>Type</t>
  </si>
  <si>
    <t>Company</t>
  </si>
  <si>
    <t>Employee Code</t>
  </si>
  <si>
    <t>Employee Name</t>
  </si>
  <si>
    <t>Gender</t>
  </si>
  <si>
    <t>Company Branch</t>
  </si>
  <si>
    <t>DOJ</t>
  </si>
  <si>
    <t>PAN</t>
  </si>
  <si>
    <t>UAN</t>
  </si>
  <si>
    <t>Designation</t>
  </si>
  <si>
    <t>CorporateTitle</t>
  </si>
  <si>
    <t>Department</t>
  </si>
  <si>
    <t>Grade</t>
  </si>
  <si>
    <t>PF Status</t>
  </si>
  <si>
    <t>ESI Status</t>
  </si>
  <si>
    <t>PF Number</t>
  </si>
  <si>
    <t>ESI Number</t>
  </si>
  <si>
    <t>Aadhaar/SS Number</t>
  </si>
  <si>
    <t>Account No</t>
  </si>
  <si>
    <t>Bank Name</t>
  </si>
  <si>
    <t>IFS Code</t>
  </si>
  <si>
    <t>No Of Days In Month</t>
  </si>
  <si>
    <t>OTDays</t>
  </si>
  <si>
    <t>LOPDays</t>
  </si>
  <si>
    <t>Working Days</t>
  </si>
  <si>
    <t xml:space="preserve">Working Days + OT Days </t>
  </si>
  <si>
    <t>Monthly CTC</t>
  </si>
  <si>
    <t xml:space="preserve">Monthly Gross Amount </t>
  </si>
  <si>
    <t>BASIC</t>
  </si>
  <si>
    <t>HRA</t>
  </si>
  <si>
    <t>Conveyance</t>
  </si>
  <si>
    <t>Children Education Allowance</t>
  </si>
  <si>
    <t>Medical</t>
  </si>
  <si>
    <t>Leave Travel Assistance</t>
  </si>
  <si>
    <t>Helper Allowance</t>
  </si>
  <si>
    <t>Vehicle Insurance &amp; Maintenance</t>
  </si>
  <si>
    <t>Newspaper Journal Allowance</t>
  </si>
  <si>
    <t>Mobile/Internet Reimbursment</t>
  </si>
  <si>
    <t>Uniform</t>
  </si>
  <si>
    <t>Supplementary / MISC Allowance</t>
  </si>
  <si>
    <t>Employeer PF</t>
  </si>
  <si>
    <t>Transport Allowance</t>
  </si>
  <si>
    <t>EXTRA WORKING DAYS</t>
  </si>
  <si>
    <t>OTHER INCOME</t>
  </si>
  <si>
    <t>NT Reimbursement</t>
  </si>
  <si>
    <t>Gross Salary Payable</t>
  </si>
  <si>
    <t>Taxable Income</t>
  </si>
  <si>
    <t>Mediclaim Deduction</t>
  </si>
  <si>
    <t>OTHER DEDUCTION</t>
  </si>
  <si>
    <t>IT</t>
  </si>
  <si>
    <t>PT</t>
  </si>
  <si>
    <t>PF</t>
  </si>
  <si>
    <t>ESI</t>
  </si>
  <si>
    <t>VPF</t>
  </si>
  <si>
    <t>LWF</t>
  </si>
  <si>
    <t>Advance</t>
  </si>
  <si>
    <t>Total Ded</t>
  </si>
  <si>
    <t>Net Pay</t>
  </si>
  <si>
    <t>Head</t>
  </si>
  <si>
    <t>Remark</t>
  </si>
  <si>
    <t>Salary</t>
  </si>
  <si>
    <t>S19014J001</t>
  </si>
  <si>
    <t>MOONSTONE REALINFRA PRIVATE LIMITED</t>
  </si>
  <si>
    <t>AAKASH ARVIND SHELAR</t>
  </si>
  <si>
    <t>Male</t>
  </si>
  <si>
    <t>Jul 28, 2023</t>
  </si>
  <si>
    <t>CKIPS7322F</t>
  </si>
  <si>
    <t>101208002832</t>
  </si>
  <si>
    <t>FIELD ENGINEER</t>
  </si>
  <si>
    <t>Technical</t>
  </si>
  <si>
    <t>TM</t>
  </si>
  <si>
    <t>NA</t>
  </si>
  <si>
    <t>201223935020</t>
  </si>
  <si>
    <t>50100317873546</t>
  </si>
  <si>
    <t>HDFC BANK</t>
  </si>
  <si>
    <t>HDFC0000007</t>
  </si>
  <si>
    <t>ABHIJIT SHEWALE</t>
  </si>
  <si>
    <t>May 17, 2016</t>
  </si>
  <si>
    <t>BDYPS3411D</t>
  </si>
  <si>
    <t>101411999470</t>
  </si>
  <si>
    <t>ASSISTANT PROJECT MANAGER</t>
  </si>
  <si>
    <t>assistant project manager</t>
  </si>
  <si>
    <t>229249842338</t>
  </si>
  <si>
    <t>50100745804232</t>
  </si>
  <si>
    <t>HDFC0001791</t>
  </si>
  <si>
    <t>AJAY KUMAR GUPTA</t>
  </si>
  <si>
    <t>Feb 24, 2025</t>
  </si>
  <si>
    <t>ASQPG3376F</t>
  </si>
  <si>
    <t>102171897914</t>
  </si>
  <si>
    <t>DEPUTY MANAGER</t>
  </si>
  <si>
    <t>SALES &amp; MARKETING</t>
  </si>
  <si>
    <t>877766770711</t>
  </si>
  <si>
    <t>50100732468640</t>
  </si>
  <si>
    <t>AJIT KUMAR</t>
  </si>
  <si>
    <t>Jun 03, 2024</t>
  </si>
  <si>
    <t>BJLPK0917M</t>
  </si>
  <si>
    <t>101437448909</t>
  </si>
  <si>
    <t>447833121308</t>
  </si>
  <si>
    <t>50100390591634</t>
  </si>
  <si>
    <t>HDFC0001794</t>
  </si>
  <si>
    <t>AMIT VILASRAO MALWADE</t>
  </si>
  <si>
    <t>Apr 01, 2025</t>
  </si>
  <si>
    <t>BYWPM1111R</t>
  </si>
  <si>
    <t>100098825740</t>
  </si>
  <si>
    <t>SENIOR MANAGER - MEP</t>
  </si>
  <si>
    <t>TL</t>
  </si>
  <si>
    <t>572207945645</t>
  </si>
  <si>
    <t>50100288775748</t>
  </si>
  <si>
    <t>HDFC0001578</t>
  </si>
  <si>
    <t>AMOL BHANUDAS LOKHANDE</t>
  </si>
  <si>
    <t>Jun 07, 2023</t>
  </si>
  <si>
    <t>AFPPL3898F</t>
  </si>
  <si>
    <t>101428013109</t>
  </si>
  <si>
    <t>SITE SUPERVISOR</t>
  </si>
  <si>
    <t>Site Supervisor</t>
  </si>
  <si>
    <t>311191516453</t>
  </si>
  <si>
    <t>50100317873701</t>
  </si>
  <si>
    <t>AMRISH SATLING BHAIKATTI</t>
  </si>
  <si>
    <t>Jun 26, 2024</t>
  </si>
  <si>
    <t>BJPPB0731A</t>
  </si>
  <si>
    <t>100871268608</t>
  </si>
  <si>
    <t>599090920656</t>
  </si>
  <si>
    <t>50100396121468</t>
  </si>
  <si>
    <t>HDFC0000148</t>
  </si>
  <si>
    <t>ANNU PRIYA SINGH</t>
  </si>
  <si>
    <t>Female</t>
  </si>
  <si>
    <t>Jul 21, 2023</t>
  </si>
  <si>
    <t>BMKPP0899K</t>
  </si>
  <si>
    <t>101703468619</t>
  </si>
  <si>
    <t>MANAGER - SALES</t>
  </si>
  <si>
    <t>MANAGER-SALES</t>
  </si>
  <si>
    <t>492782446574</t>
  </si>
  <si>
    <t>99996206293744</t>
  </si>
  <si>
    <t>BHAVESH SHANKAR WANI</t>
  </si>
  <si>
    <t>Jan 09, 2024</t>
  </si>
  <si>
    <t>AGNPW7537K</t>
  </si>
  <si>
    <t>102034237231</t>
  </si>
  <si>
    <t>MANAGEMENT TRAINEE</t>
  </si>
  <si>
    <t>467176812861</t>
  </si>
  <si>
    <t>50100394142702</t>
  </si>
  <si>
    <t>HDFC0001785</t>
  </si>
  <si>
    <t>BHUJBAL SAGAR DNYANESHWAR</t>
  </si>
  <si>
    <t>Sep 12, 2022</t>
  </si>
  <si>
    <t>DQJPB2913K</t>
  </si>
  <si>
    <t>101457017133</t>
  </si>
  <si>
    <t>EXECUTIVE - POSSESSION</t>
  </si>
  <si>
    <t>HR &amp; ADMIN</t>
  </si>
  <si>
    <t>241411121642</t>
  </si>
  <si>
    <t>0600104000093754</t>
  </si>
  <si>
    <t>IDBI BANK</t>
  </si>
  <si>
    <t>IBKL0000600</t>
  </si>
  <si>
    <t>BHUSHAN MADANLAL LUNKAD</t>
  </si>
  <si>
    <t>Sep 05, 2015</t>
  </si>
  <si>
    <t>ADTPL6823A</t>
  </si>
  <si>
    <t>101487437414</t>
  </si>
  <si>
    <t>MANAGER - A &amp; O</t>
  </si>
  <si>
    <t>991187937886</t>
  </si>
  <si>
    <t>00521050124966</t>
  </si>
  <si>
    <t>HDFC0000052</t>
  </si>
  <si>
    <t>DHAIRYA PRASAD</t>
  </si>
  <si>
    <t>Feb 17, 2025</t>
  </si>
  <si>
    <t>EPBPP8390Q</t>
  </si>
  <si>
    <t>102171851924</t>
  </si>
  <si>
    <t>851362488850</t>
  </si>
  <si>
    <t>50100731565504</t>
  </si>
  <si>
    <t>DHANAJI ARJUN MALI</t>
  </si>
  <si>
    <t>Nov 11, 2024</t>
  </si>
  <si>
    <t>DBNPM8263C</t>
  </si>
  <si>
    <t>101816559661</t>
  </si>
  <si>
    <t>SENIOR ENGINEER</t>
  </si>
  <si>
    <t>450862785164</t>
  </si>
  <si>
    <t>50100769916547</t>
  </si>
  <si>
    <t>HDFC0001210</t>
  </si>
  <si>
    <t>DIVYA RAGHWENDRA PANDEY</t>
  </si>
  <si>
    <t>Feb 14, 2023</t>
  </si>
  <si>
    <t>BBYPP6423N</t>
  </si>
  <si>
    <t>101696630616</t>
  </si>
  <si>
    <t>EXECUTIVE - PRE SALES</t>
  </si>
  <si>
    <t>PUPUN28328860000010030</t>
  </si>
  <si>
    <t>247383564927</t>
  </si>
  <si>
    <t>0600104000095105</t>
  </si>
  <si>
    <t>DUNDAPPA MALLAPPA SANKPAL</t>
  </si>
  <si>
    <t>Sep 03, 2022</t>
  </si>
  <si>
    <t>CVOPS6863E</t>
  </si>
  <si>
    <t>100379494874</t>
  </si>
  <si>
    <t>DEPUTY MANAGER - HR</t>
  </si>
  <si>
    <t>MANAGER - HR</t>
  </si>
  <si>
    <t>818967487034</t>
  </si>
  <si>
    <t>50100188631775</t>
  </si>
  <si>
    <t>HDFC0000039</t>
  </si>
  <si>
    <t>GANESH SURESH PAWAR</t>
  </si>
  <si>
    <t>Sep 01, 2023</t>
  </si>
  <si>
    <t>CANPP1627F</t>
  </si>
  <si>
    <t>101292152161</t>
  </si>
  <si>
    <t>EXECUTIVE - MIS</t>
  </si>
  <si>
    <t>427581798506</t>
  </si>
  <si>
    <t>50100729824722</t>
  </si>
  <si>
    <t>GAURAV KASHINATH KURANE</t>
  </si>
  <si>
    <t>Sep 28, 2022</t>
  </si>
  <si>
    <t>ARVPK8048G</t>
  </si>
  <si>
    <t>100151644732</t>
  </si>
  <si>
    <t>597630357761</t>
  </si>
  <si>
    <t>50100318162255</t>
  </si>
  <si>
    <t>GAURAV RAGHUNATH GUND</t>
  </si>
  <si>
    <t>Oct 01, 2022</t>
  </si>
  <si>
    <t>DBBPG3735B</t>
  </si>
  <si>
    <t>101882634974</t>
  </si>
  <si>
    <t>EXECUTIVE</t>
  </si>
  <si>
    <t>EXECUTIVE - MARKETING</t>
  </si>
  <si>
    <t>566657564956</t>
  </si>
  <si>
    <t>50100632579034</t>
  </si>
  <si>
    <t>HDFC0008300</t>
  </si>
  <si>
    <t>KALPESH KADAM</t>
  </si>
  <si>
    <t>Feb 22, 2021</t>
  </si>
  <si>
    <t>DPAPK0829F</t>
  </si>
  <si>
    <t>101173740664</t>
  </si>
  <si>
    <t>LISIONING-OFFICER</t>
  </si>
  <si>
    <t>LEGAL</t>
  </si>
  <si>
    <t>656902116787</t>
  </si>
  <si>
    <t>50100045505567</t>
  </si>
  <si>
    <t>HDFC0000794</t>
  </si>
  <si>
    <t>KRISHNA KUMAR TIWARI</t>
  </si>
  <si>
    <t>Sep 09, 2024</t>
  </si>
  <si>
    <t>AGXPT8418N</t>
  </si>
  <si>
    <t>101910507765</t>
  </si>
  <si>
    <t>375923391923</t>
  </si>
  <si>
    <t>50100755728692</t>
  </si>
  <si>
    <t>LAKSHADIP PUNDALIK THAKUR</t>
  </si>
  <si>
    <t>Jul 01, 2022</t>
  </si>
  <si>
    <t>AIKPT5980A</t>
  </si>
  <si>
    <t>100202447925</t>
  </si>
  <si>
    <t>SENIOR MANAGER - SALES</t>
  </si>
  <si>
    <t>332553462353</t>
  </si>
  <si>
    <t>50100224949010</t>
  </si>
  <si>
    <t>HDFC0003982</t>
  </si>
  <si>
    <t>MAHESH MADHUKAR KATE</t>
  </si>
  <si>
    <t>Feb 15, 2025</t>
  </si>
  <si>
    <t>JJFPK7967B</t>
  </si>
  <si>
    <t>101675376988</t>
  </si>
  <si>
    <t>SAFETY OFFICER</t>
  </si>
  <si>
    <t>SAFETY OFICER</t>
  </si>
  <si>
    <t>696647163423</t>
  </si>
  <si>
    <t>50100731567384</t>
  </si>
  <si>
    <t>MAHVEEN SAYYED</t>
  </si>
  <si>
    <t>Dec 01, 2020</t>
  </si>
  <si>
    <t>NUMPS3199R</t>
  </si>
  <si>
    <t>101726376057</t>
  </si>
  <si>
    <t>RECEPTIONIST</t>
  </si>
  <si>
    <t>677097563942</t>
  </si>
  <si>
    <t>50100317492831</t>
  </si>
  <si>
    <t>MANOJ KUMAR VARMA</t>
  </si>
  <si>
    <t>May 02, 2024</t>
  </si>
  <si>
    <t>AAEPV3962E</t>
  </si>
  <si>
    <t>101345330257</t>
  </si>
  <si>
    <t>SENIOR VICE PRESIDENT</t>
  </si>
  <si>
    <t>GENERAL MANAGER</t>
  </si>
  <si>
    <t>TH</t>
  </si>
  <si>
    <t>768669459723</t>
  </si>
  <si>
    <t>01531050005109</t>
  </si>
  <si>
    <t>HDFC0000153</t>
  </si>
  <si>
    <t>MAYANK ACHARYA</t>
  </si>
  <si>
    <t>Nov 25, 2024</t>
  </si>
  <si>
    <t>DZPPA7006D</t>
  </si>
  <si>
    <t>102142125408</t>
  </si>
  <si>
    <t>596849238511</t>
  </si>
  <si>
    <t>50100773207188</t>
  </si>
  <si>
    <t>MAYUR RAJAN SALUNKE</t>
  </si>
  <si>
    <t>Dec 11, 2018</t>
  </si>
  <si>
    <t>EIWPS6074N</t>
  </si>
  <si>
    <t>101412010976</t>
  </si>
  <si>
    <t>SENIOR EXECUTIVE - POSSESSION</t>
  </si>
  <si>
    <t>202787997088</t>
  </si>
  <si>
    <t>50100624532338</t>
  </si>
  <si>
    <t>HDFC0000633</t>
  </si>
  <si>
    <t>MAYURESH LANGOTE</t>
  </si>
  <si>
    <t>Aug 01, 2019</t>
  </si>
  <si>
    <t>AEWPL1281L</t>
  </si>
  <si>
    <t>100053793326</t>
  </si>
  <si>
    <t>250203086491</t>
  </si>
  <si>
    <t>50100231649761</t>
  </si>
  <si>
    <t>MOHAN SHRIKRISHNA UDGIRI</t>
  </si>
  <si>
    <t>Mar 24, 2025</t>
  </si>
  <si>
    <t>AAZPU1282B</t>
  </si>
  <si>
    <t>100242792314</t>
  </si>
  <si>
    <t>ASSISTANT GENERAL MANAGER</t>
  </si>
  <si>
    <t>524156423700</t>
  </si>
  <si>
    <t>5421140100824</t>
  </si>
  <si>
    <t>HDFC0000542</t>
  </si>
  <si>
    <t>NARENDRA ROHTAS MAHUR</t>
  </si>
  <si>
    <t>May 16, 2022</t>
  </si>
  <si>
    <t>EJTPM6853H</t>
  </si>
  <si>
    <t>101646143832</t>
  </si>
  <si>
    <t>EXECUTIVE - ADMIN</t>
  </si>
  <si>
    <t>SENIOR EXECUTIVE - MIS</t>
  </si>
  <si>
    <t>325860489575</t>
  </si>
  <si>
    <t>50100654540599</t>
  </si>
  <si>
    <t>NILESH SUDAM DODAKE</t>
  </si>
  <si>
    <t>Aug 16, 2023</t>
  </si>
  <si>
    <t>ATZPD2744A</t>
  </si>
  <si>
    <t>101985884549</t>
  </si>
  <si>
    <t>SUPERVISOR</t>
  </si>
  <si>
    <t>800783241563</t>
  </si>
  <si>
    <t>50100624533443</t>
  </si>
  <si>
    <t>NITEESH SHARMA</t>
  </si>
  <si>
    <t>Apr 11, 2024</t>
  </si>
  <si>
    <t>BYHPS8894Q</t>
  </si>
  <si>
    <t>101416879888</t>
  </si>
  <si>
    <t>ASSISTANT MANAGER - SALES</t>
  </si>
  <si>
    <t>461172332390</t>
  </si>
  <si>
    <t>99991911230890</t>
  </si>
  <si>
    <t>NITESH SUKHDEORAO RAUT</t>
  </si>
  <si>
    <t>Feb 28, 2019</t>
  </si>
  <si>
    <t>ECHPR5827R</t>
  </si>
  <si>
    <t>101438956994</t>
  </si>
  <si>
    <t>549202367903</t>
  </si>
  <si>
    <t>50100317492446</t>
  </si>
  <si>
    <t>Mar 21, 2022</t>
  </si>
  <si>
    <t>BKVPS7936K</t>
  </si>
  <si>
    <t>101090148328</t>
  </si>
  <si>
    <t>Senior Manager</t>
  </si>
  <si>
    <t>580372226603</t>
  </si>
  <si>
    <t>50100056805482</t>
  </si>
  <si>
    <t>HDFC0000146</t>
  </si>
  <si>
    <t>PARESH GUND</t>
  </si>
  <si>
    <t>Dec 10, 2021</t>
  </si>
  <si>
    <t>BLJPG3170L</t>
  </si>
  <si>
    <t>101257803535</t>
  </si>
  <si>
    <t>267117144733</t>
  </si>
  <si>
    <t>0600104000083526</t>
  </si>
  <si>
    <t>POORNIMA SATYANARAYAN MASKE</t>
  </si>
  <si>
    <t>May 09, 2022</t>
  </si>
  <si>
    <t>FPPPM6332Q</t>
  </si>
  <si>
    <t>101489017926</t>
  </si>
  <si>
    <t>DEPUTY MANAGER - SALES</t>
  </si>
  <si>
    <t>535343696935</t>
  </si>
  <si>
    <t>50100288878569</t>
  </si>
  <si>
    <t>PRADIP PHOFALE</t>
  </si>
  <si>
    <t>Jan 05, 2021</t>
  </si>
  <si>
    <t>FJPPP4191E</t>
  </si>
  <si>
    <t>101287262182</t>
  </si>
  <si>
    <t>ADMIN - EXECUTIVE</t>
  </si>
  <si>
    <t>3314734184</t>
  </si>
  <si>
    <t>348597161366</t>
  </si>
  <si>
    <t>50100624534038</t>
  </si>
  <si>
    <t>PRAJAKTA KULKARNI</t>
  </si>
  <si>
    <t>Feb 01, 2020</t>
  </si>
  <si>
    <t>BJHPK2873G</t>
  </si>
  <si>
    <t>101902983475</t>
  </si>
  <si>
    <t>Asst. General Manager - HR</t>
  </si>
  <si>
    <t>287366904609</t>
  </si>
  <si>
    <t>50100317874269</t>
  </si>
  <si>
    <t>PRAMOD HANMANT PAWAR</t>
  </si>
  <si>
    <t>May 20, 2024</t>
  </si>
  <si>
    <t>DFHPP2315Q</t>
  </si>
  <si>
    <t>102021330261</t>
  </si>
  <si>
    <t>PAINTER</t>
  </si>
  <si>
    <t>SS</t>
  </si>
  <si>
    <t>464124497454</t>
  </si>
  <si>
    <t>50100317492692</t>
  </si>
  <si>
    <t>PRASENJEET TATYARAM RANPISE</t>
  </si>
  <si>
    <t>BEAPR4151J</t>
  </si>
  <si>
    <t>101090722152</t>
  </si>
  <si>
    <t>327697944280</t>
  </si>
  <si>
    <t>50100198966720</t>
  </si>
  <si>
    <t>PRASHANT PANDITRAO AVHAD</t>
  </si>
  <si>
    <t>Nov 11, 2021</t>
  </si>
  <si>
    <t>AQYPA5398K</t>
  </si>
  <si>
    <t>100285599207</t>
  </si>
  <si>
    <t>533750994596</t>
  </si>
  <si>
    <t>50100021738166</t>
  </si>
  <si>
    <t>PRASHANT SUDAM GADRE</t>
  </si>
  <si>
    <t>Jun 01, 2023</t>
  </si>
  <si>
    <t>AUVPG5057A</t>
  </si>
  <si>
    <t>101403170926</t>
  </si>
  <si>
    <t>879059513265</t>
  </si>
  <si>
    <t>50100268119865</t>
  </si>
  <si>
    <t>HDFC0002493</t>
  </si>
  <si>
    <t>PRATHMESH MAKARAND PATWARDHAN</t>
  </si>
  <si>
    <t>Nov 21, 2024</t>
  </si>
  <si>
    <t>DIPPP8235N</t>
  </si>
  <si>
    <t>101650676266</t>
  </si>
  <si>
    <t>ENGINEERING - COORDINATOR</t>
  </si>
  <si>
    <t>989836806639</t>
  </si>
  <si>
    <t>50100773207162</t>
  </si>
  <si>
    <t>RAHUL SANJAY SONAWANE</t>
  </si>
  <si>
    <t>COZPS7657L</t>
  </si>
  <si>
    <t>102171897905</t>
  </si>
  <si>
    <t>EXECUTIVE - POSSESSION SUPPORT</t>
  </si>
  <si>
    <t>SSR</t>
  </si>
  <si>
    <t>969590676456</t>
  </si>
  <si>
    <t>50100731567322</t>
  </si>
  <si>
    <t>RAKESH DNYANOBA SONAWANE</t>
  </si>
  <si>
    <t>Jul 19, 2023</t>
  </si>
  <si>
    <t>DJBPS0548N</t>
  </si>
  <si>
    <t>100318745002</t>
  </si>
  <si>
    <t>815335472494</t>
  </si>
  <si>
    <t>50100098216176</t>
  </si>
  <si>
    <t>HDFC0000359</t>
  </si>
  <si>
    <t>RATIKANT RAMA CHANDRA ROUT</t>
  </si>
  <si>
    <t>BKMPR1999E</t>
  </si>
  <si>
    <t>101411918080</t>
  </si>
  <si>
    <t>516990099788</t>
  </si>
  <si>
    <t>50100317879206</t>
  </si>
  <si>
    <t>RAVI BHARTI</t>
  </si>
  <si>
    <t>BKLPB8249J</t>
  </si>
  <si>
    <t>101569634502</t>
  </si>
  <si>
    <t>844495303708</t>
  </si>
  <si>
    <t>50100585317756</t>
  </si>
  <si>
    <t>HDFC0000627</t>
  </si>
  <si>
    <t>RISHABH CHANDEL</t>
  </si>
  <si>
    <t>BAOPC6525R</t>
  </si>
  <si>
    <t>101633454393</t>
  </si>
  <si>
    <t>821066376289</t>
  </si>
  <si>
    <t>50100312589050</t>
  </si>
  <si>
    <t>HDFC0009453</t>
  </si>
  <si>
    <t>ROHIT KANHAIYALAL GYANCHANDANI</t>
  </si>
  <si>
    <t>Mar 03, 2025</t>
  </si>
  <si>
    <t>BFFPG1593D</t>
  </si>
  <si>
    <t>101468514180</t>
  </si>
  <si>
    <t>ASSISTANT MANAGER -  ACCOUNTS</t>
  </si>
  <si>
    <t>ASSISTANT MANAGER - ACCOUNTS</t>
  </si>
  <si>
    <t>FINANCE &amp; ACCOUNTS</t>
  </si>
  <si>
    <t>710877491907</t>
  </si>
  <si>
    <t>50100257695801</t>
  </si>
  <si>
    <t>HDFC0001445</t>
  </si>
  <si>
    <t>SANDIP GHANSHAM FAND</t>
  </si>
  <si>
    <t>Feb 05, 2019</t>
  </si>
  <si>
    <t>ACBPF9894L</t>
  </si>
  <si>
    <t>101432955213</t>
  </si>
  <si>
    <t>SITE ENGINEER</t>
  </si>
  <si>
    <t>918983892865</t>
  </si>
  <si>
    <t>50100317492765</t>
  </si>
  <si>
    <t>SANDIP RAMESHRAO JAKKALWAD</t>
  </si>
  <si>
    <t>Apr 24, 2023</t>
  </si>
  <si>
    <t>AWLPJ2490A</t>
  </si>
  <si>
    <t>101938922335</t>
  </si>
  <si>
    <t>SENIOR EXECUTIVE - ACCOUNTS</t>
  </si>
  <si>
    <t>SENIOR  EXECUTIVE - ACCOUNTS</t>
  </si>
  <si>
    <t>790987241865</t>
  </si>
  <si>
    <t>50100318162101</t>
  </si>
  <si>
    <t>SANTOSH DAMU MANKAR</t>
  </si>
  <si>
    <t>Sep 14, 2023</t>
  </si>
  <si>
    <t>ARVPM8431B</t>
  </si>
  <si>
    <t>101916942878</t>
  </si>
  <si>
    <t>PROJECT MANAGER</t>
  </si>
  <si>
    <t>863607704890</t>
  </si>
  <si>
    <t>04861720000752</t>
  </si>
  <si>
    <t>HDFC0002454</t>
  </si>
  <si>
    <t>SANTOSH KADAM</t>
  </si>
  <si>
    <t>May 10, 2023</t>
  </si>
  <si>
    <t>AZUPK6484F</t>
  </si>
  <si>
    <t>100924255914</t>
  </si>
  <si>
    <t>333622114009</t>
  </si>
  <si>
    <t>50100502294986</t>
  </si>
  <si>
    <t>SHANKAR BASAPPA GAVI</t>
  </si>
  <si>
    <t>Nov 25, 2022</t>
  </si>
  <si>
    <t>BNUPG2416C</t>
  </si>
  <si>
    <t>101450766269</t>
  </si>
  <si>
    <t>SR.ENGG - BILLING</t>
  </si>
  <si>
    <t>SENIOR ENGINEER - BILLING</t>
  </si>
  <si>
    <t>325630092478</t>
  </si>
  <si>
    <t>50100734599528</t>
  </si>
  <si>
    <t>SHASHIKANT RAJKUMAR BHASKAR</t>
  </si>
  <si>
    <t>May 25, 2024</t>
  </si>
  <si>
    <t>DUVPB0713F</t>
  </si>
  <si>
    <t>101916942813</t>
  </si>
  <si>
    <t>630621029579</t>
  </si>
  <si>
    <t>50100563889297</t>
  </si>
  <si>
    <t>HDFC0009526</t>
  </si>
  <si>
    <t>SHRINATH SITARAM KHANDALE</t>
  </si>
  <si>
    <t>Jan 23, 2024</t>
  </si>
  <si>
    <t>BIZPK8142F</t>
  </si>
  <si>
    <t>101215605497</t>
  </si>
  <si>
    <t>740935311886</t>
  </si>
  <si>
    <t>50100647442391</t>
  </si>
  <si>
    <t>SHRIVATSA SHRIRANG DESHPANDE</t>
  </si>
  <si>
    <t>CQKPD1013N</t>
  </si>
  <si>
    <t>102074135450</t>
  </si>
  <si>
    <t>JUNIOR ENGINEER</t>
  </si>
  <si>
    <t>775752480136</t>
  </si>
  <si>
    <t>50100318176957</t>
  </si>
  <si>
    <t>SIDDHARTH VIJAY PANDIT</t>
  </si>
  <si>
    <t>Aug 24, 2023</t>
  </si>
  <si>
    <t>EQTPP2620G</t>
  </si>
  <si>
    <t>101281441913</t>
  </si>
  <si>
    <t>SENIOR EXECUTIVE - SALES</t>
  </si>
  <si>
    <t>417386289363</t>
  </si>
  <si>
    <t>50100317491982</t>
  </si>
  <si>
    <t>TAUKEEL RASHID JAMADAR</t>
  </si>
  <si>
    <t>Jan 02, 2024</t>
  </si>
  <si>
    <t>CGPPJ6786D</t>
  </si>
  <si>
    <t>102034245800</t>
  </si>
  <si>
    <t>477762356796</t>
  </si>
  <si>
    <t>50100624533482</t>
  </si>
  <si>
    <t>TIPPUSULATAN ABDUL NADAF</t>
  </si>
  <si>
    <t>Mar 25, 2025</t>
  </si>
  <si>
    <t>ATNPN5727D</t>
  </si>
  <si>
    <t>102119999896</t>
  </si>
  <si>
    <t>308508124099</t>
  </si>
  <si>
    <t>50100090742768</t>
  </si>
  <si>
    <t>HDFC0005554</t>
  </si>
  <si>
    <t>Tulsidas Rajeram Jadhav</t>
  </si>
  <si>
    <t>Apr 17, 2019</t>
  </si>
  <si>
    <t>AYBPJ9623R</t>
  </si>
  <si>
    <t>101242964024</t>
  </si>
  <si>
    <t>OFFICE ASISTANT</t>
  </si>
  <si>
    <t>229139310763</t>
  </si>
  <si>
    <t>50100459101052</t>
  </si>
  <si>
    <t>HDFC0002844</t>
  </si>
  <si>
    <t>UJJWAL PANCHANAN SARKAR</t>
  </si>
  <si>
    <t>BNXPS5649Q</t>
  </si>
  <si>
    <t>100536583293</t>
  </si>
  <si>
    <t>893388738382</t>
  </si>
  <si>
    <t>99991683288448</t>
  </si>
  <si>
    <t>HDFC0000223</t>
  </si>
  <si>
    <t>VAIJNATH KIRAN DHURVE</t>
  </si>
  <si>
    <t>FFEPD0662H</t>
  </si>
  <si>
    <t>102171851953</t>
  </si>
  <si>
    <t>264600892806</t>
  </si>
  <si>
    <t>50100731565520</t>
  </si>
  <si>
    <t>VENKATESH AGASAR</t>
  </si>
  <si>
    <t>Aug 01, 2022</t>
  </si>
  <si>
    <t>BVSPA7273D</t>
  </si>
  <si>
    <t>101852002045</t>
  </si>
  <si>
    <t>Executive - Business Excellence</t>
  </si>
  <si>
    <t>BILLING - EXECUTIVE</t>
  </si>
  <si>
    <t>225161825284</t>
  </si>
  <si>
    <t>50100744366803</t>
  </si>
  <si>
    <t>VICKY SONAWANE</t>
  </si>
  <si>
    <t>Nov 02, 2017</t>
  </si>
  <si>
    <t>DUIPS5584N</t>
  </si>
  <si>
    <t>101343066494</t>
  </si>
  <si>
    <t>556127037647</t>
  </si>
  <si>
    <t>50100225745629</t>
  </si>
  <si>
    <t>VISHAL BHAGWAN BHALERAO</t>
  </si>
  <si>
    <t>Nov 04, 2022</t>
  </si>
  <si>
    <t>ASCPB5291L</t>
  </si>
  <si>
    <t>101511554357</t>
  </si>
  <si>
    <t>959686301184</t>
  </si>
  <si>
    <t>50100317490351</t>
  </si>
  <si>
    <t>VISHAL BHAUSAHEB KHAMGAL</t>
  </si>
  <si>
    <t>Dec 02, 2024</t>
  </si>
  <si>
    <t>JMIPK9231A</t>
  </si>
  <si>
    <t>101949409807</t>
  </si>
  <si>
    <t>664943149815</t>
  </si>
  <si>
    <t>50100390573599</t>
  </si>
  <si>
    <t>VISHAL DILIP GAIKWAD</t>
  </si>
  <si>
    <t>Dec 12, 2024</t>
  </si>
  <si>
    <t>AQIPG9250G</t>
  </si>
  <si>
    <t>101589191488</t>
  </si>
  <si>
    <t>501229058284</t>
  </si>
  <si>
    <t>0607104000125031</t>
  </si>
  <si>
    <t>IBKL0000607</t>
  </si>
  <si>
    <t>VISHAL SHANTARAM KORADE</t>
  </si>
  <si>
    <t>Apr 10, 2023</t>
  </si>
  <si>
    <t>BLYPK5831K</t>
  </si>
  <si>
    <t>101150007330</t>
  </si>
  <si>
    <t>ADMIN-ASSISSTANT</t>
  </si>
  <si>
    <t>491390366032</t>
  </si>
  <si>
    <t>50100624533367</t>
  </si>
  <si>
    <t>VIVEK VILAS BHOSALE</t>
  </si>
  <si>
    <t>Mar 13, 2025</t>
  </si>
  <si>
    <t>EXDPB6825C</t>
  </si>
  <si>
    <t>102055428527</t>
  </si>
  <si>
    <t>826110651139</t>
  </si>
  <si>
    <t>50100808789342</t>
  </si>
  <si>
    <t>YASH HARESH DAGHA</t>
  </si>
  <si>
    <t>Jun 15, 2022</t>
  </si>
  <si>
    <t>ASJPD7716K</t>
  </si>
  <si>
    <t>101459690850</t>
  </si>
  <si>
    <t>975613704897</t>
  </si>
  <si>
    <t>50100489634680</t>
  </si>
  <si>
    <t>HDFC0000163</t>
  </si>
  <si>
    <t>YOGESH KALIDAS PAWAR</t>
  </si>
  <si>
    <t>Aug 01, 2023</t>
  </si>
  <si>
    <t>ASXPP0952H</t>
  </si>
  <si>
    <t>101235805115</t>
  </si>
  <si>
    <t>487287182825</t>
  </si>
  <si>
    <t>50100505734101</t>
  </si>
  <si>
    <t>ASSITANT PROJECT MANAGER</t>
  </si>
  <si>
    <t>AJAY ANIRUDDHA VAIDYA</t>
  </si>
  <si>
    <t>Jul 08, 2025</t>
  </si>
  <si>
    <t>AFVPV5692P</t>
  </si>
  <si>
    <t>102185382695</t>
  </si>
  <si>
    <t>GENERAL MANAGER - ENGINEERING</t>
  </si>
  <si>
    <t>GL</t>
  </si>
  <si>
    <t>806537391280</t>
  </si>
  <si>
    <t>50100582779333</t>
  </si>
  <si>
    <t>RESIDENTIAL SALES</t>
  </si>
  <si>
    <t>MT</t>
  </si>
  <si>
    <t>DIPAK MAGAN KHAJURE</t>
  </si>
  <si>
    <t>Aug 11, 2025</t>
  </si>
  <si>
    <t>HZWPK8086G</t>
  </si>
  <si>
    <t>101305133627</t>
  </si>
  <si>
    <t>620286516208</t>
  </si>
  <si>
    <t>50100820320194</t>
  </si>
  <si>
    <t>MANAGER - LIASIONING</t>
  </si>
  <si>
    <t>MANAGER - LIAISONING</t>
  </si>
  <si>
    <t>KEWALRAJ POUDEL</t>
  </si>
  <si>
    <t>Jul 01, 2025</t>
  </si>
  <si>
    <t>ETGPP5536R</t>
  </si>
  <si>
    <t>102121019968</t>
  </si>
  <si>
    <t>462816190119</t>
  </si>
  <si>
    <t>50100815728426</t>
  </si>
  <si>
    <t>SENIOR MANAGER - RESI. SALES</t>
  </si>
  <si>
    <t>SENIOR MANAGER</t>
  </si>
  <si>
    <t>MANAGER</t>
  </si>
  <si>
    <t>RAHUL SAYAJI SHETE</t>
  </si>
  <si>
    <t>Aug 18, 2025</t>
  </si>
  <si>
    <t>LVGPS7330P</t>
  </si>
  <si>
    <t>102106669268</t>
  </si>
  <si>
    <t>POSSESSION EXECUTIVE</t>
  </si>
  <si>
    <t>330583203857</t>
  </si>
  <si>
    <t>50100709895411</t>
  </si>
  <si>
    <t>HDFC0009332</t>
  </si>
  <si>
    <t>SANDEEP MARUTI SAWANT</t>
  </si>
  <si>
    <t>CJDPS9049F</t>
  </si>
  <si>
    <t>101160800602</t>
  </si>
  <si>
    <t>ASSISTANT MANAGER</t>
  </si>
  <si>
    <t>396088354849</t>
  </si>
  <si>
    <t>50100815728515</t>
  </si>
  <si>
    <t>SAURABH MININATH NANNAVARE</t>
  </si>
  <si>
    <t>BIJPN9700N</t>
  </si>
  <si>
    <t>101177464600</t>
  </si>
  <si>
    <t>ENGINEER</t>
  </si>
  <si>
    <t>706192695680</t>
  </si>
  <si>
    <t>50100815728452</t>
  </si>
  <si>
    <t>SAYALI LAXMAN DHAIGUDE</t>
  </si>
  <si>
    <t>IODPD3701L</t>
  </si>
  <si>
    <t>102070661731</t>
  </si>
  <si>
    <t>GUEST RELATION EXECUTIVE</t>
  </si>
  <si>
    <t>616621359625</t>
  </si>
  <si>
    <t>50100815728531</t>
  </si>
  <si>
    <t>SNEHAL PRASHANT WALE</t>
  </si>
  <si>
    <t>Jul 15, 2025</t>
  </si>
  <si>
    <t>CHLPK4878N</t>
  </si>
  <si>
    <t>102226028536</t>
  </si>
  <si>
    <t>MANAGER - BUDGETING</t>
  </si>
  <si>
    <t>499534600849</t>
  </si>
  <si>
    <t>99997798677300</t>
  </si>
  <si>
    <t>HDFC0001795</t>
  </si>
  <si>
    <t>OFFICE ASSISTANT</t>
  </si>
  <si>
    <t>SR. EXECUTIVE</t>
  </si>
  <si>
    <t>SENIOR EXECUTIVE</t>
  </si>
  <si>
    <t>HRITIK VILAS VIGHE</t>
  </si>
  <si>
    <t>Jul 10, 2025</t>
  </si>
  <si>
    <t>BSYPV6349C</t>
  </si>
  <si>
    <t>101901925416</t>
  </si>
  <si>
    <t>EXECUTIVE - CRM</t>
  </si>
  <si>
    <t>861411565711</t>
  </si>
  <si>
    <t>50100825960037</t>
  </si>
  <si>
    <t>DEPUTY MANAGER - RESI. SALES</t>
  </si>
  <si>
    <t>AVINASH NANASAHEB GAGARE</t>
  </si>
  <si>
    <t>Sep 15, 2025</t>
  </si>
  <si>
    <t>AWHPG2500N</t>
  </si>
  <si>
    <t>101839693043</t>
  </si>
  <si>
    <t>687922588113</t>
  </si>
  <si>
    <t>50100730455272</t>
  </si>
  <si>
    <t>ASSISTANT MANAGER - RESI. SALES</t>
  </si>
  <si>
    <t>MANAGER - RESI. SALES</t>
  </si>
  <si>
    <t xml:space="preserve">GUNDAREDDY </t>
  </si>
  <si>
    <t>Sep 30, 2025</t>
  </si>
  <si>
    <t>BPTPG4400H</t>
  </si>
  <si>
    <t>101276751702</t>
  </si>
  <si>
    <t>SENIOR EXECUTIVE HR</t>
  </si>
  <si>
    <t>793955988124</t>
  </si>
  <si>
    <t>50100501671220</t>
  </si>
  <si>
    <t>HDFC0004884</t>
  </si>
  <si>
    <t>KAMLESH BABULAL RAJPUROHIT</t>
  </si>
  <si>
    <t>EMJPR1063R</t>
  </si>
  <si>
    <t>102077336068</t>
  </si>
  <si>
    <t>EXECUTIVE ASSISTANT</t>
  </si>
  <si>
    <t>530249989111</t>
  </si>
  <si>
    <t>50100833997330</t>
  </si>
  <si>
    <t>HDFC0000437</t>
  </si>
  <si>
    <t>05421140100824</t>
  </si>
  <si>
    <t>PRIYANKA UTTAMARAV KHAMKAR</t>
  </si>
  <si>
    <t>Sep 23, 2025</t>
  </si>
  <si>
    <t>FDVPK7029C</t>
  </si>
  <si>
    <t>101434303744</t>
  </si>
  <si>
    <t>825677487713</t>
  </si>
  <si>
    <t>Hold</t>
  </si>
  <si>
    <t>968210310000084</t>
  </si>
  <si>
    <t>BANK OF INDIA</t>
  </si>
  <si>
    <t>BKID0000537</t>
  </si>
  <si>
    <t>SAURAV RAJENDRA NANDURKAR</t>
  </si>
  <si>
    <t>CESPN7298P</t>
  </si>
  <si>
    <t>101733070912</t>
  </si>
  <si>
    <t>ASSISTANT MANAGER - PLANNING</t>
  </si>
  <si>
    <t>204027680041</t>
  </si>
  <si>
    <t>239001532252</t>
  </si>
  <si>
    <t>ICICI Bank</t>
  </si>
  <si>
    <t>ICIC0002390</t>
  </si>
  <si>
    <t>SHANKAR JAGNNATH FARATE</t>
  </si>
  <si>
    <t>AATPF9623K</t>
  </si>
  <si>
    <t>102246696731</t>
  </si>
  <si>
    <t>LIAISON-OFFICER</t>
  </si>
  <si>
    <t>Liaison</t>
  </si>
  <si>
    <t>431958079389</t>
  </si>
  <si>
    <t>50100403586832</t>
  </si>
  <si>
    <t>HDFC0000103</t>
  </si>
  <si>
    <t>BAJARANG V CHAUGULE</t>
  </si>
  <si>
    <t>Oct 07, 2025</t>
  </si>
  <si>
    <t>ANJPC4768M</t>
  </si>
  <si>
    <t>102257230707</t>
  </si>
  <si>
    <t>222947030647</t>
  </si>
  <si>
    <t>50100216811030</t>
  </si>
  <si>
    <t>HDFC0001783</t>
  </si>
  <si>
    <t>BHUSHAN SATISH DESHPANDE</t>
  </si>
  <si>
    <t>Oct 14, 2025</t>
  </si>
  <si>
    <t>AHUPD7618N</t>
  </si>
  <si>
    <t>101156996356</t>
  </si>
  <si>
    <t>SENIOR MANAGER - CONTRACTS</t>
  </si>
  <si>
    <t>225825367425</t>
  </si>
  <si>
    <t>01031050120083</t>
  </si>
  <si>
    <t>KESAVAPATNAM SAI DIVYA</t>
  </si>
  <si>
    <t>AXQPK7747R</t>
  </si>
  <si>
    <t>100736813583</t>
  </si>
  <si>
    <t>544132081350</t>
  </si>
  <si>
    <t>50100713590393</t>
  </si>
  <si>
    <t>MANVI DHRUVRAJ SINGH</t>
  </si>
  <si>
    <t>Oct 09, 2025</t>
  </si>
  <si>
    <t>OCSPS6842C</t>
  </si>
  <si>
    <t>101948310999</t>
  </si>
  <si>
    <t>SENIOR EXECUTIVE - RESI. SALES</t>
  </si>
  <si>
    <t>395020615512</t>
  </si>
  <si>
    <t>50100774099998</t>
  </si>
  <si>
    <t>HDFC0002690</t>
  </si>
  <si>
    <t>PRANAV DILIP JADHAV</t>
  </si>
  <si>
    <t>Oct 27, 2025</t>
  </si>
  <si>
    <t>APIPJ3777J</t>
  </si>
  <si>
    <t>101813329564</t>
  </si>
  <si>
    <t>ACCOUNTANT</t>
  </si>
  <si>
    <t>384265861977</t>
  </si>
  <si>
    <t>50100382069641</t>
  </si>
  <si>
    <t>HDFC0000104</t>
  </si>
  <si>
    <t>Incentive</t>
  </si>
  <si>
    <t>S19012J001</t>
  </si>
  <si>
    <t>ANJUSHREE MALAKAR</t>
  </si>
  <si>
    <t>Nov 17, 2025</t>
  </si>
  <si>
    <t>HTIPM6513C</t>
  </si>
  <si>
    <t>102267032395</t>
  </si>
  <si>
    <t>439111071354</t>
  </si>
  <si>
    <t>50100847876972</t>
  </si>
  <si>
    <t>AVANISH KUMAR</t>
  </si>
  <si>
    <t>JXXPK8257E</t>
  </si>
  <si>
    <t>102267048375</t>
  </si>
  <si>
    <t>411849541395</t>
  </si>
  <si>
    <t>50100847876548</t>
  </si>
  <si>
    <t>BIDIPTA DEY SARKAR</t>
  </si>
  <si>
    <t>PGOPS8165P</t>
  </si>
  <si>
    <t>102187952261</t>
  </si>
  <si>
    <t>800708836063</t>
  </si>
  <si>
    <t>50100847878732</t>
  </si>
  <si>
    <t>HARSH VIJAY</t>
  </si>
  <si>
    <t>CWBPV9777L</t>
  </si>
  <si>
    <t>102267049861</t>
  </si>
  <si>
    <t>997756624145</t>
  </si>
  <si>
    <t>50100847878811</t>
  </si>
  <si>
    <t>KHUSHI SAGAR JOSHI</t>
  </si>
  <si>
    <t>Nov 20, 2025</t>
  </si>
  <si>
    <t>CKAPJ8208F</t>
  </si>
  <si>
    <t>101827593005</t>
  </si>
  <si>
    <t>352779432599</t>
  </si>
  <si>
    <t>50100490342573</t>
  </si>
  <si>
    <t>HDFC0002503</t>
  </si>
  <si>
    <t>MAHIMA RAWAL</t>
  </si>
  <si>
    <t>DVJPR7360M</t>
  </si>
  <si>
    <t>101675947536</t>
  </si>
  <si>
    <t>707738000576</t>
  </si>
  <si>
    <t>50100289085145</t>
  </si>
  <si>
    <t>HDFC0001443</t>
  </si>
  <si>
    <t>MUSKAN GUPTA</t>
  </si>
  <si>
    <t>CBLPG6588H</t>
  </si>
  <si>
    <t>101656725733</t>
  </si>
  <si>
    <t>997006836878</t>
  </si>
  <si>
    <t>50100272775380</t>
  </si>
  <si>
    <t>HDFC0003650</t>
  </si>
  <si>
    <t>OM RAJESH MALPE</t>
  </si>
  <si>
    <t>GULPM4704E</t>
  </si>
  <si>
    <t>102267032535</t>
  </si>
  <si>
    <t>457332892501</t>
  </si>
  <si>
    <t>50100847876498</t>
  </si>
  <si>
    <t>RUSHIKESH RAJESH RAUT</t>
  </si>
  <si>
    <t>Nov 25, 2025</t>
  </si>
  <si>
    <t>FAQPR4627P</t>
  </si>
  <si>
    <t>102001267668</t>
  </si>
  <si>
    <t>837091508388</t>
  </si>
  <si>
    <t>50100730710140</t>
  </si>
  <si>
    <t>SACHIN ASHOK PAWAR</t>
  </si>
  <si>
    <t>Nov 07, 2025</t>
  </si>
  <si>
    <t>DTMPP4631Q</t>
  </si>
  <si>
    <t>100996638416</t>
  </si>
  <si>
    <t>920319128160</t>
  </si>
  <si>
    <t>50100400164872</t>
  </si>
  <si>
    <t>SAGAR MAITY</t>
  </si>
  <si>
    <t>GSSPM2737N</t>
  </si>
  <si>
    <t>102267033942</t>
  </si>
  <si>
    <t>428582736571</t>
  </si>
  <si>
    <t>50100847876561</t>
  </si>
  <si>
    <t>SAKSHI DIPAK PATIL</t>
  </si>
  <si>
    <t>HUDPP2758G</t>
  </si>
  <si>
    <t>102267032459</t>
  </si>
  <si>
    <t>571929796742</t>
  </si>
  <si>
    <t>50100847878784</t>
  </si>
  <si>
    <t>SAMARIDHYA BASAK</t>
  </si>
  <si>
    <t>EYPPB5256Q</t>
  </si>
  <si>
    <t>102267034998</t>
  </si>
  <si>
    <t>601551323382</t>
  </si>
  <si>
    <t>50100847878758</t>
  </si>
  <si>
    <t>ICICI</t>
  </si>
  <si>
    <t>SAYALI SHARAD PAWAR</t>
  </si>
  <si>
    <t>GMJPP4299H</t>
  </si>
  <si>
    <t>102267033957</t>
  </si>
  <si>
    <t>548309932874</t>
  </si>
  <si>
    <t>50100847878771</t>
  </si>
  <si>
    <t>YASHWANT HANUMANT WADKAR</t>
  </si>
  <si>
    <t>AFVPW2119Q</t>
  </si>
  <si>
    <t>102060208625</t>
  </si>
  <si>
    <t>982600635271</t>
  </si>
  <si>
    <t>50100846852161</t>
  </si>
  <si>
    <t>AMIT KUMAR</t>
  </si>
  <si>
    <t>Dec 15, 2025</t>
  </si>
  <si>
    <t>AULPK0803G</t>
  </si>
  <si>
    <t>101599373063</t>
  </si>
  <si>
    <t>ASSISTANT GENERAN MANAGER - RES. SALES</t>
  </si>
  <si>
    <t>897330270549</t>
  </si>
  <si>
    <t>50100313981270</t>
  </si>
  <si>
    <t>ATISH HARISHCHANDRA PAWAR</t>
  </si>
  <si>
    <t>Dec 01, 2025</t>
  </si>
  <si>
    <t>DPJPP4164K</t>
  </si>
  <si>
    <t>102272485329</t>
  </si>
  <si>
    <t>ASSISTANT MANAGER - MARKETING</t>
  </si>
  <si>
    <t>715363363050</t>
  </si>
  <si>
    <t>50100845758240</t>
  </si>
  <si>
    <t>MOHIT SACHAN</t>
  </si>
  <si>
    <t>Dec 10, 2025</t>
  </si>
  <si>
    <t>CRQPS3492F</t>
  </si>
  <si>
    <t>101770675103</t>
  </si>
  <si>
    <t>570819612739</t>
  </si>
  <si>
    <t>50100041124166</t>
  </si>
  <si>
    <t>POOJA MARUTI PASALKAR</t>
  </si>
  <si>
    <t>Nov 27, 2025</t>
  </si>
  <si>
    <t>CHLPP6869G</t>
  </si>
  <si>
    <t>101057246841</t>
  </si>
  <si>
    <t>327110703241</t>
  </si>
  <si>
    <t>50100258660340</t>
  </si>
  <si>
    <t>HDFC0003649</t>
  </si>
  <si>
    <t>GENERAL MANAGER - HR</t>
  </si>
  <si>
    <t>ICICI BANK</t>
  </si>
  <si>
    <t>YOGITA BAFNA</t>
  </si>
  <si>
    <t>AMHPB6910F</t>
  </si>
  <si>
    <t>101139292859</t>
  </si>
  <si>
    <t>HEAD - LIASIONING</t>
  </si>
  <si>
    <t>HEAD LIAISIONING</t>
  </si>
  <si>
    <t>321961356560</t>
  </si>
  <si>
    <t>50100317492410</t>
  </si>
  <si>
    <t>POST SALES</t>
  </si>
  <si>
    <t>PRADIP POFALE</t>
  </si>
  <si>
    <t>50100860045062</t>
  </si>
  <si>
    <t>New Entry Updated</t>
  </si>
  <si>
    <t>Bank Overdraft</t>
  </si>
  <si>
    <t>Salary - Direct</t>
  </si>
  <si>
    <t>Salary - Indirect</t>
  </si>
  <si>
    <t>Sum of Taxable Income</t>
  </si>
  <si>
    <t>Sum of OTHER DEDUCTION</t>
  </si>
  <si>
    <t>Net Salary</t>
  </si>
  <si>
    <t>Bifurcation</t>
  </si>
  <si>
    <t>Bifurcated in Direct &amp; Indirect</t>
  </si>
  <si>
    <t>WIP for the Year
Direct + Indirect</t>
  </si>
  <si>
    <t>As per TB
16.05.2026</t>
  </si>
  <si>
    <t>Diff</t>
  </si>
  <si>
    <t>Add :- Interest On Late Payment of TDS</t>
  </si>
  <si>
    <t>Direct</t>
  </si>
  <si>
    <t>As per TB</t>
  </si>
  <si>
    <t>Closing Stock as on 31-03-2026</t>
  </si>
  <si>
    <t>March 26 (Total)</t>
  </si>
  <si>
    <t>WIP Working March 2026</t>
  </si>
  <si>
    <t>CASH FLOW STATEMENT</t>
  </si>
  <si>
    <t>Sr.No.</t>
  </si>
  <si>
    <t>A</t>
  </si>
  <si>
    <t>Cash Flow From Operating Activities</t>
  </si>
  <si>
    <t>Net Profit Before Tax</t>
  </si>
  <si>
    <t>Adjustments For</t>
  </si>
  <si>
    <t xml:space="preserve">Operating Profit Before Working Capital Changes </t>
  </si>
  <si>
    <t xml:space="preserve">Adjustments For </t>
  </si>
  <si>
    <t>(Increase) / Decrease In Trade Receivables</t>
  </si>
  <si>
    <t>(Increase) /Decrease In Other Current Assets</t>
  </si>
  <si>
    <t>(Increase) /Decrease In Other Non-Current Assets</t>
  </si>
  <si>
    <t>Increase / (Decrease) In Other Long Term Liabilities</t>
  </si>
  <si>
    <t>Increase / (Decrease) In Trade Payables</t>
  </si>
  <si>
    <t>Increase/ (Decrease) In Other Current Liabilities</t>
  </si>
  <si>
    <t>Increase/ (Decrease) In Long Term Provisions</t>
  </si>
  <si>
    <t>Increase/ (Decrease) In Short Term Provisions</t>
  </si>
  <si>
    <t>(Increase) / Decrease In  Inventories</t>
  </si>
  <si>
    <t>Cash Generated From Operations</t>
  </si>
  <si>
    <t>Less: Taxes Paid / (Refund) - Net</t>
  </si>
  <si>
    <t>Net Cash Inflow / (Outflow) From Operating Activities</t>
  </si>
  <si>
    <t>B</t>
  </si>
  <si>
    <t>Cash Flow From Investing Activities</t>
  </si>
  <si>
    <t>(Purchase) / Sale Of Fixed Assets</t>
  </si>
  <si>
    <t>(Increase) / Decrease In Short Term Loans &amp; Advances</t>
  </si>
  <si>
    <t>(Increase) / Decrease In Long Term Loans &amp; Advances</t>
  </si>
  <si>
    <t>(Increase) / Decrease In Non- Current Investment</t>
  </si>
  <si>
    <t>(Increase) / Decrease In Current Investment</t>
  </si>
  <si>
    <t>Net Cash Flows From Investing Activities</t>
  </si>
  <si>
    <t>C</t>
  </si>
  <si>
    <t>Cash Flow From Financing Activities</t>
  </si>
  <si>
    <t>Increase/ (Decrease) In Long-Term Borrowings</t>
  </si>
  <si>
    <t>Increase/ (Decrease) In Short-Term Borrowings</t>
  </si>
  <si>
    <t>Issue of  Shares For Cash</t>
  </si>
  <si>
    <t>Finance Costs Paid</t>
  </si>
  <si>
    <t>Increase/ (Decrease) In Reserve and Surplus</t>
  </si>
  <si>
    <t>Net Cash Flows From Financing Activities</t>
  </si>
  <si>
    <t>D</t>
  </si>
  <si>
    <t>Net Changes In Cash &amp; Cash Equivalents (A+B+C)</t>
  </si>
  <si>
    <t>Cash &amp; Cash Equivalents At The Beginning Of The Year</t>
  </si>
  <si>
    <t>Cash &amp; Cash Equivalents At The End Of The Year</t>
  </si>
  <si>
    <t>Components Of Cash And Cash Equivalents</t>
  </si>
  <si>
    <t xml:space="preserve">Total of Cash &amp; Cash Equivalents </t>
  </si>
  <si>
    <t>For the year ended 31.03.2025</t>
  </si>
  <si>
    <t>For the year ended 31.03.2026</t>
  </si>
  <si>
    <t>Project Name</t>
  </si>
  <si>
    <t>Flat No</t>
  </si>
  <si>
    <t>Tower</t>
  </si>
  <si>
    <t>Unit No</t>
  </si>
  <si>
    <t>Unit Type</t>
  </si>
  <si>
    <t>Saleable Area Sq.Ft</t>
  </si>
  <si>
    <t>RERA Carpet Area Sq.Ft</t>
  </si>
  <si>
    <t>Total Carpet Area Sq.Ft</t>
  </si>
  <si>
    <t>Title</t>
  </si>
  <si>
    <t>Customer Code</t>
  </si>
  <si>
    <t>Customer Name</t>
  </si>
  <si>
    <t>Customer Pan</t>
  </si>
  <si>
    <t>Registration No</t>
  </si>
  <si>
    <t>Registration Date</t>
  </si>
  <si>
    <t>Total Agreement Value</t>
  </si>
  <si>
    <t>Booking Status</t>
  </si>
  <si>
    <t>Opening - Maintenance</t>
  </si>
  <si>
    <t>Opening - SDR</t>
  </si>
  <si>
    <t>Opening
Receipt</t>
  </si>
  <si>
    <t>Total Opening (As per TB 31-3-25)</t>
  </si>
  <si>
    <t>Receipts
Including GST</t>
  </si>
  <si>
    <t>Receipt- TDS</t>
  </si>
  <si>
    <t>Due-Maintenance</t>
  </si>
  <si>
    <t>Receipt - Maintenance</t>
  </si>
  <si>
    <t>Payment-SDR</t>
  </si>
  <si>
    <t>Receipt-SDR</t>
  </si>
  <si>
    <t>Due-Interest
(Including GST)</t>
  </si>
  <si>
    <t xml:space="preserve">GST
</t>
  </si>
  <si>
    <t>Payment
Including GST (Refund)</t>
  </si>
  <si>
    <t>Due Booking Cancellation 
(Including GST)</t>
  </si>
  <si>
    <t>Sales</t>
  </si>
  <si>
    <t>Closing Balance (As per TB 31-3-26)</t>
  </si>
  <si>
    <t>As per GST payable Ledger of books 25-26</t>
  </si>
  <si>
    <t>Net receipt against Flat (Basic)</t>
  </si>
  <si>
    <t>KOHINOOR UPTOWN AVENUE</t>
  </si>
  <si>
    <t>Tower 8-608</t>
  </si>
  <si>
    <t>Tower 8</t>
  </si>
  <si>
    <t>608</t>
  </si>
  <si>
    <t>2BHK</t>
  </si>
  <si>
    <t>Mr.</t>
  </si>
  <si>
    <t>2002502</t>
  </si>
  <si>
    <t>ABHIJEET BALASAHEB LONDHE</t>
  </si>
  <si>
    <t>AVQPL7206G</t>
  </si>
  <si>
    <t>2134/2024</t>
  </si>
  <si>
    <t>SOLD</t>
  </si>
  <si>
    <t>Tower 1-1107</t>
  </si>
  <si>
    <t>Tower 1</t>
  </si>
  <si>
    <t>1107</t>
  </si>
  <si>
    <t>2020808</t>
  </si>
  <si>
    <t>ABHIJEET KUSURKAR</t>
  </si>
  <si>
    <t>BCSPK1165K</t>
  </si>
  <si>
    <t>CANCELLED</t>
  </si>
  <si>
    <t>Tower 7-901</t>
  </si>
  <si>
    <t>Tower 7</t>
  </si>
  <si>
    <t>901</t>
  </si>
  <si>
    <t>2002404</t>
  </si>
  <si>
    <t>ABHIJEET NAMDEV PATIL</t>
  </si>
  <si>
    <t>BVNPP0532M</t>
  </si>
  <si>
    <t>2627/2024</t>
  </si>
  <si>
    <t>Tower 4-1703</t>
  </si>
  <si>
    <t>Tower 4</t>
  </si>
  <si>
    <t>1703</t>
  </si>
  <si>
    <t>3BHK</t>
  </si>
  <si>
    <t>2018875</t>
  </si>
  <si>
    <t>ABHIJEET PRAKASH SAMANT</t>
  </si>
  <si>
    <t>AZCPS1564J</t>
  </si>
  <si>
    <t>4689/2024</t>
  </si>
  <si>
    <t>Tower 2-1201</t>
  </si>
  <si>
    <t>Tower 2</t>
  </si>
  <si>
    <t>1201</t>
  </si>
  <si>
    <t>Ms.</t>
  </si>
  <si>
    <t>2020347</t>
  </si>
  <si>
    <t>ABHIJIT ANIL SHRUNGARE</t>
  </si>
  <si>
    <t>ETMPS6757M</t>
  </si>
  <si>
    <t>Tower 8-1805</t>
  </si>
  <si>
    <t>1805</t>
  </si>
  <si>
    <t>Row House</t>
  </si>
  <si>
    <t>2002464</t>
  </si>
  <si>
    <t>ABHIJIT ARUNRAO KHANDAR</t>
  </si>
  <si>
    <t>BJYPK7780D</t>
  </si>
  <si>
    <t>2904/2024</t>
  </si>
  <si>
    <t>Tower 2-301</t>
  </si>
  <si>
    <t>301</t>
  </si>
  <si>
    <t>2019572</t>
  </si>
  <si>
    <t>ABHIJIT ARUNRAO KULKARNI</t>
  </si>
  <si>
    <t>BNQPK0310M</t>
  </si>
  <si>
    <t>Tower 1-701</t>
  </si>
  <si>
    <t>701</t>
  </si>
  <si>
    <t>2018482</t>
  </si>
  <si>
    <t>ABHIJIT LAXMAN NALAWADE</t>
  </si>
  <si>
    <t>BGVPN4676D</t>
  </si>
  <si>
    <t>Tower 2-1902</t>
  </si>
  <si>
    <t>1902</t>
  </si>
  <si>
    <t>2021311</t>
  </si>
  <si>
    <t>Tower 6-1202</t>
  </si>
  <si>
    <t>Tower 6</t>
  </si>
  <si>
    <t>1202</t>
  </si>
  <si>
    <t>2017884</t>
  </si>
  <si>
    <t>ABHIJIT PRAKASHRAO DATIR</t>
  </si>
  <si>
    <t>BYIPD4430L</t>
  </si>
  <si>
    <t>2842/2024</t>
  </si>
  <si>
    <t>Tower 6-308</t>
  </si>
  <si>
    <t>308</t>
  </si>
  <si>
    <t>2017703</t>
  </si>
  <si>
    <t>ABHIJIT SHANKARRAO SALUNKHE</t>
  </si>
  <si>
    <t>IKFPS3114A</t>
  </si>
  <si>
    <t>2550/2024</t>
  </si>
  <si>
    <t>Tower 7-1007</t>
  </si>
  <si>
    <t>1007</t>
  </si>
  <si>
    <t>2018907</t>
  </si>
  <si>
    <t>ABHIMANYU MARUTI GHARGINE</t>
  </si>
  <si>
    <t>ABQPG9733K</t>
  </si>
  <si>
    <t>3349/2024</t>
  </si>
  <si>
    <t>Tower 1-707</t>
  </si>
  <si>
    <t>707</t>
  </si>
  <si>
    <t>2018363</t>
  </si>
  <si>
    <t>ABHISHEK CHANDRAKANT SURYAWANSHI</t>
  </si>
  <si>
    <t>LVJPS2992E</t>
  </si>
  <si>
    <t>Tower 7-1601</t>
  </si>
  <si>
    <t>1601</t>
  </si>
  <si>
    <t>2021019</t>
  </si>
  <si>
    <t>ABHISHEK CHOUHAN</t>
  </si>
  <si>
    <t>AJNPC6908P</t>
  </si>
  <si>
    <t>2061/2025</t>
  </si>
  <si>
    <t>Tower 8-1001</t>
  </si>
  <si>
    <t>1001</t>
  </si>
  <si>
    <t>2002410</t>
  </si>
  <si>
    <t>ABHISHEK DILIP BONDARDE</t>
  </si>
  <si>
    <t>BLDPB6997C</t>
  </si>
  <si>
    <t>1713/2024</t>
  </si>
  <si>
    <t>Tower 6-2208</t>
  </si>
  <si>
    <t>2208</t>
  </si>
  <si>
    <t>2015482</t>
  </si>
  <si>
    <t>ABHISHEK MODI</t>
  </si>
  <si>
    <t>BMOPM2291L</t>
  </si>
  <si>
    <t>3036/2024</t>
  </si>
  <si>
    <t>Tower 3-1407</t>
  </si>
  <si>
    <t>Tower 3</t>
  </si>
  <si>
    <t>1407</t>
  </si>
  <si>
    <t>2001892</t>
  </si>
  <si>
    <t>ABHISHEK PRAVINKUMAR KODULE</t>
  </si>
  <si>
    <t>EPNPK9324H</t>
  </si>
  <si>
    <t>2542/2024</t>
  </si>
  <si>
    <t>Tower 3-1902</t>
  </si>
  <si>
    <t>2002189</t>
  </si>
  <si>
    <t>ABHISHEK RAJENDRA HINGE</t>
  </si>
  <si>
    <t>AXIPH5032N</t>
  </si>
  <si>
    <t>2003/2024</t>
  </si>
  <si>
    <t>Tower 3-1205</t>
  </si>
  <si>
    <t>1205</t>
  </si>
  <si>
    <t>2022124</t>
  </si>
  <si>
    <t>ABHISHEK SONI</t>
  </si>
  <si>
    <t>BSPPS9925N</t>
  </si>
  <si>
    <t>2888/2024</t>
  </si>
  <si>
    <t>Tower 4-306</t>
  </si>
  <si>
    <t>306</t>
  </si>
  <si>
    <t>2002244</t>
  </si>
  <si>
    <t>ABHISHEK UPADHYAY</t>
  </si>
  <si>
    <t>ABLPU5450C</t>
  </si>
  <si>
    <t>2508/2024</t>
  </si>
  <si>
    <t>Tower 4-901</t>
  </si>
  <si>
    <t>2002256</t>
  </si>
  <si>
    <t>ABINASH ACHARYA</t>
  </si>
  <si>
    <t>BKJPA0876Q</t>
  </si>
  <si>
    <t>2087/2024</t>
  </si>
  <si>
    <t>Tower 8-1104</t>
  </si>
  <si>
    <t>1104</t>
  </si>
  <si>
    <t>2002418</t>
  </si>
  <si>
    <t>ABOLI AVINASH PATHAK</t>
  </si>
  <si>
    <t>ECGPP5376E</t>
  </si>
  <si>
    <t>2450/2024</t>
  </si>
  <si>
    <t>Tower 2-1007</t>
  </si>
  <si>
    <t>2021515</t>
  </si>
  <si>
    <t>ADITYA ABHAY GAIKWAD</t>
  </si>
  <si>
    <t>DFWPG8744D</t>
  </si>
  <si>
    <t>Tower 7-804</t>
  </si>
  <si>
    <t>804</t>
  </si>
  <si>
    <t>2.5BHK</t>
  </si>
  <si>
    <t>2002399</t>
  </si>
  <si>
    <t>ADITYA AJAY BIDKAR</t>
  </si>
  <si>
    <t>CTQPB9937G</t>
  </si>
  <si>
    <t>1838/2024</t>
  </si>
  <si>
    <t>Tower 3-607</t>
  </si>
  <si>
    <t>607</t>
  </si>
  <si>
    <t>2002220</t>
  </si>
  <si>
    <t>ADITYA DEEPAK FUKE</t>
  </si>
  <si>
    <t>ACOPF6786C</t>
  </si>
  <si>
    <t>2050/2024</t>
  </si>
  <si>
    <t>Tower 3-1001</t>
  </si>
  <si>
    <t>2001869</t>
  </si>
  <si>
    <t>ADITYA GAJANAN VEDPATHAK</t>
  </si>
  <si>
    <t>AYIPV8704G</t>
  </si>
  <si>
    <t>1976/2024</t>
  </si>
  <si>
    <t>Tower 3-1203</t>
  </si>
  <si>
    <t>1203</t>
  </si>
  <si>
    <t>2015843</t>
  </si>
  <si>
    <t>ADITYA PATIL</t>
  </si>
  <si>
    <t>CNPPP3018R</t>
  </si>
  <si>
    <t>2661/2024</t>
  </si>
  <si>
    <t>Tower 8-1904</t>
  </si>
  <si>
    <t>1904</t>
  </si>
  <si>
    <t>Mrs.</t>
  </si>
  <si>
    <t>2019424</t>
  </si>
  <si>
    <t>AHIRE SEEMA SAHEBRAO</t>
  </si>
  <si>
    <t>AHHPA9667M</t>
  </si>
  <si>
    <t>4088/2024</t>
  </si>
  <si>
    <t>Tower 3-1006</t>
  </si>
  <si>
    <t>1006</t>
  </si>
  <si>
    <t>2001872</t>
  </si>
  <si>
    <t>AJAY ANANDRAO BHANDARE</t>
  </si>
  <si>
    <t>NJHMK6793D</t>
  </si>
  <si>
    <t>2868/2024</t>
  </si>
  <si>
    <t>Tower 8-1304</t>
  </si>
  <si>
    <t>1304</t>
  </si>
  <si>
    <t>2002430</t>
  </si>
  <si>
    <t>AJAY KUMAR SAH</t>
  </si>
  <si>
    <t>EPTPS7020J</t>
  </si>
  <si>
    <t>3028/2024</t>
  </si>
  <si>
    <t>Tower 4-304</t>
  </si>
  <si>
    <t>304</t>
  </si>
  <si>
    <t>2002242</t>
  </si>
  <si>
    <t>AJAY SINGH</t>
  </si>
  <si>
    <t>AETPT3769G</t>
  </si>
  <si>
    <t>2357/2024</t>
  </si>
  <si>
    <t>Tower 3-1005</t>
  </si>
  <si>
    <t>1005</t>
  </si>
  <si>
    <t>2001871</t>
  </si>
  <si>
    <t>AJITA PRASAD DESHPANDE</t>
  </si>
  <si>
    <t>AIPPU3226P</t>
  </si>
  <si>
    <t>1905/2024</t>
  </si>
  <si>
    <t>Tower 8-408</t>
  </si>
  <si>
    <t>408</t>
  </si>
  <si>
    <t>2002494</t>
  </si>
  <si>
    <t>AKASH DEBASHISH CHATTERJI</t>
  </si>
  <si>
    <t>BDMPC9577Q</t>
  </si>
  <si>
    <t>1826/2024</t>
  </si>
  <si>
    <t>Tower 4-902</t>
  </si>
  <si>
    <t>902</t>
  </si>
  <si>
    <t>2019333</t>
  </si>
  <si>
    <t>AKASH RAJENDRA TAWADE</t>
  </si>
  <si>
    <t>BJSPT4107R</t>
  </si>
  <si>
    <t>3027/2024</t>
  </si>
  <si>
    <t>Tower 1-2108</t>
  </si>
  <si>
    <t>2108</t>
  </si>
  <si>
    <t>2017977</t>
  </si>
  <si>
    <t>Akash Ramesh Naktode</t>
  </si>
  <si>
    <t>ATNPN5524E</t>
  </si>
  <si>
    <t>Tower 6-702</t>
  </si>
  <si>
    <t>702</t>
  </si>
  <si>
    <t>2002275</t>
  </si>
  <si>
    <t>AKASH SAMBHE</t>
  </si>
  <si>
    <t>GFDPE7974P</t>
  </si>
  <si>
    <t>2091/2024</t>
  </si>
  <si>
    <t>Tower 6-905</t>
  </si>
  <si>
    <t>905</t>
  </si>
  <si>
    <t>2018838</t>
  </si>
  <si>
    <t>AKASH SHANTARAM DOKE</t>
  </si>
  <si>
    <t>CUNPD7096Q</t>
  </si>
  <si>
    <t>4694/2024</t>
  </si>
  <si>
    <t>Tower 7-707</t>
  </si>
  <si>
    <t>2002395</t>
  </si>
  <si>
    <t>AKASH SUBHASHRAO NAGAPURE</t>
  </si>
  <si>
    <t>AVZPN3770E</t>
  </si>
  <si>
    <t>2105/2024</t>
  </si>
  <si>
    <t>Tower 6-1305</t>
  </si>
  <si>
    <t>1305</t>
  </si>
  <si>
    <t>2017891</t>
  </si>
  <si>
    <t>AKASH VISHWAS LONDHE</t>
  </si>
  <si>
    <t>AUPPL5382D</t>
  </si>
  <si>
    <t>2415/2024</t>
  </si>
  <si>
    <t>Tower 7-1802</t>
  </si>
  <si>
    <t>1802</t>
  </si>
  <si>
    <t>2002340</t>
  </si>
  <si>
    <t>AKHILESH JITENDRA OJHA</t>
  </si>
  <si>
    <t>AISPD7368N</t>
  </si>
  <si>
    <t>1876/2024</t>
  </si>
  <si>
    <t>Tower 6-407</t>
  </si>
  <si>
    <t>407</t>
  </si>
  <si>
    <t>2018246</t>
  </si>
  <si>
    <t>AKOSKAR S P</t>
  </si>
  <si>
    <t>AAWPA4618E</t>
  </si>
  <si>
    <t>3161/2024</t>
  </si>
  <si>
    <t>Tower 6-301</t>
  </si>
  <si>
    <t>2017685</t>
  </si>
  <si>
    <t>AKSHADA SUNIL KADAM</t>
  </si>
  <si>
    <t>GNFPK6654C</t>
  </si>
  <si>
    <t>2649/2024</t>
  </si>
  <si>
    <t>Tower 8-2102</t>
  </si>
  <si>
    <t>2102</t>
  </si>
  <si>
    <t>2002480</t>
  </si>
  <si>
    <t>AKSHAY ADINATH NILAPWAR</t>
  </si>
  <si>
    <t>AXEPN3198D</t>
  </si>
  <si>
    <t>2024//2024</t>
  </si>
  <si>
    <t>Tower 7-1407</t>
  </si>
  <si>
    <t>2002317</t>
  </si>
  <si>
    <t>AKSHAY BHIM AMBETKAR</t>
  </si>
  <si>
    <t>BWHPA4249K</t>
  </si>
  <si>
    <t>2352/2024</t>
  </si>
  <si>
    <t>Tower 6-2108</t>
  </si>
  <si>
    <t>2017695</t>
  </si>
  <si>
    <t>AKSHAY SANJAY JOGDAND</t>
  </si>
  <si>
    <t>AQZPJ0259P</t>
  </si>
  <si>
    <t>2732/2024</t>
  </si>
  <si>
    <t>Tower 8-1305</t>
  </si>
  <si>
    <t>2002431</t>
  </si>
  <si>
    <t>AKSHAY SHRIRANG VYAS</t>
  </si>
  <si>
    <t>ARGPV8615H</t>
  </si>
  <si>
    <t>2175/2024</t>
  </si>
  <si>
    <t>Tower 2-1702</t>
  </si>
  <si>
    <t>1702</t>
  </si>
  <si>
    <t>2020799</t>
  </si>
  <si>
    <t>AKSHAY SUDHAKAR DOD</t>
  </si>
  <si>
    <t>DGGPD8361C</t>
  </si>
  <si>
    <t>Tower 3-1307</t>
  </si>
  <si>
    <t>1307</t>
  </si>
  <si>
    <t>2001888</t>
  </si>
  <si>
    <t>AMAR ANANDRAO VANJARI</t>
  </si>
  <si>
    <t>ALALK6454T</t>
  </si>
  <si>
    <t>2011/2024</t>
  </si>
  <si>
    <t>Tower 8-802</t>
  </si>
  <si>
    <t>802</t>
  </si>
  <si>
    <t>2002509</t>
  </si>
  <si>
    <t>AMARJA MANOHAR HONKAR</t>
  </si>
  <si>
    <t>ANRPH5641Q</t>
  </si>
  <si>
    <t>1703/2024</t>
  </si>
  <si>
    <t>Tower 8-1105</t>
  </si>
  <si>
    <t>1105</t>
  </si>
  <si>
    <t>2015493</t>
  </si>
  <si>
    <t>AMEYA SUNIL DANI</t>
  </si>
  <si>
    <t>FAXPD2918G</t>
  </si>
  <si>
    <t>3035/2024</t>
  </si>
  <si>
    <t>Tower 8-1604</t>
  </si>
  <si>
    <t>1604</t>
  </si>
  <si>
    <t>2002450</t>
  </si>
  <si>
    <t>AMIT ARUN LONDHE</t>
  </si>
  <si>
    <t>AHGPL7524H</t>
  </si>
  <si>
    <t>2647/2024</t>
  </si>
  <si>
    <t>Tower 7-1701</t>
  </si>
  <si>
    <t>1701</t>
  </si>
  <si>
    <t>2002333</t>
  </si>
  <si>
    <t>AMIT KUMAR GUPTA</t>
  </si>
  <si>
    <t>AZKPG3199H</t>
  </si>
  <si>
    <t>2114/2024</t>
  </si>
  <si>
    <t>Tower 7-301</t>
  </si>
  <si>
    <t>2002370</t>
  </si>
  <si>
    <t>AMIT SUBHASH GADADE</t>
  </si>
  <si>
    <t>ASVFD1245G</t>
  </si>
  <si>
    <t>3488/2024</t>
  </si>
  <si>
    <t>Tower 4-303</t>
  </si>
  <si>
    <t>303</t>
  </si>
  <si>
    <t>2002241</t>
  </si>
  <si>
    <t>AMIT TUKARAM MANE</t>
  </si>
  <si>
    <t>AMAPM4498C</t>
  </si>
  <si>
    <t>1990/2024</t>
  </si>
  <si>
    <t>Tower 7-603</t>
  </si>
  <si>
    <t>603</t>
  </si>
  <si>
    <t>2002387</t>
  </si>
  <si>
    <t>AMIT VERMA</t>
  </si>
  <si>
    <t>ANLPV3155F</t>
  </si>
  <si>
    <t>2046/2024</t>
  </si>
  <si>
    <t>Tower 6-1902</t>
  </si>
  <si>
    <t>2015487</t>
  </si>
  <si>
    <t>AMITKUMAR GOTE</t>
  </si>
  <si>
    <t>ALVPG8085H</t>
  </si>
  <si>
    <t>2499/2024</t>
  </si>
  <si>
    <t>2015500</t>
  </si>
  <si>
    <t>AMOL MUKUNDRAO AKOLKAR</t>
  </si>
  <si>
    <t>ANRPA7916P</t>
  </si>
  <si>
    <t>Tower 7-501</t>
  </si>
  <si>
    <t>501</t>
  </si>
  <si>
    <t>2002380</t>
  </si>
  <si>
    <t>AMOL VASANTRAO PATIL</t>
  </si>
  <si>
    <t>AUMPP3757D</t>
  </si>
  <si>
    <t>4004/2024</t>
  </si>
  <si>
    <t>Tower 7-401</t>
  </si>
  <si>
    <t>401</t>
  </si>
  <si>
    <t>2002376</t>
  </si>
  <si>
    <t>AMRUTA PRASAD NIKAM</t>
  </si>
  <si>
    <t>BJVPN2088L</t>
  </si>
  <si>
    <t>1979/2024</t>
  </si>
  <si>
    <t>Tower 8-103</t>
  </si>
  <si>
    <t>103</t>
  </si>
  <si>
    <t>2017841</t>
  </si>
  <si>
    <t>AMRUTA PRATIK LADE</t>
  </si>
  <si>
    <t>BUGPR4706M</t>
  </si>
  <si>
    <t>2005/2024</t>
  </si>
  <si>
    <t>Tower 6-202</t>
  </si>
  <si>
    <t>202</t>
  </si>
  <si>
    <t>2017834</t>
  </si>
  <si>
    <t>ANAGHA A PHATAK</t>
  </si>
  <si>
    <t>CWMPP1011N</t>
  </si>
  <si>
    <t>2496/2024</t>
  </si>
  <si>
    <t>Tower 6-2107</t>
  </si>
  <si>
    <t>2107</t>
  </si>
  <si>
    <t>2015782</t>
  </si>
  <si>
    <t>ANAND ASANGI</t>
  </si>
  <si>
    <t>BAWPA9065Q</t>
  </si>
  <si>
    <t>2954/2024</t>
  </si>
  <si>
    <t>Tower 7-1205</t>
  </si>
  <si>
    <t>2015757</t>
  </si>
  <si>
    <t>ANIKET DESHMUKH</t>
  </si>
  <si>
    <t>ATCPD0137A</t>
  </si>
  <si>
    <t>Tower 6-1507</t>
  </si>
  <si>
    <t>1507</t>
  </si>
  <si>
    <t>2017964</t>
  </si>
  <si>
    <t>ANIKET RAMESH PAWAR</t>
  </si>
  <si>
    <t>DENPP3213L</t>
  </si>
  <si>
    <t>2432/2024</t>
  </si>
  <si>
    <t>Tower 3-1305</t>
  </si>
  <si>
    <t>2001887</t>
  </si>
  <si>
    <t>ANIKET SAMPAT JONDHALE</t>
  </si>
  <si>
    <t>ATXPJ7267Q</t>
  </si>
  <si>
    <t>2359/2024</t>
  </si>
  <si>
    <t>Tower 1-1801</t>
  </si>
  <si>
    <t>1801</t>
  </si>
  <si>
    <t>2018075</t>
  </si>
  <si>
    <t>ANIRBAN SARKAR</t>
  </si>
  <si>
    <t>BHUPS9671R</t>
  </si>
  <si>
    <t>Tower 8-1301</t>
  </si>
  <si>
    <t>1301</t>
  </si>
  <si>
    <t>2002428</t>
  </si>
  <si>
    <t>ANISH MANSUR NADAF</t>
  </si>
  <si>
    <t>AQRPN5894N</t>
  </si>
  <si>
    <t>2410/2024</t>
  </si>
  <si>
    <t>Tower 2-501</t>
  </si>
  <si>
    <t>2018505</t>
  </si>
  <si>
    <t>ANISH SANJIV WAGHULDE</t>
  </si>
  <si>
    <t>AAWPW8994M</t>
  </si>
  <si>
    <t>Tower 7-204</t>
  </si>
  <si>
    <t>204</t>
  </si>
  <si>
    <t>2002361</t>
  </si>
  <si>
    <t>ANITA MOHAN DUTT</t>
  </si>
  <si>
    <t>AFIPD4303A</t>
  </si>
  <si>
    <t>2096/2024</t>
  </si>
  <si>
    <t>Tower 3-1501</t>
  </si>
  <si>
    <t>1501</t>
  </si>
  <si>
    <t>2001894</t>
  </si>
  <si>
    <t>ANITA VAIJINATH SOMWANSHI</t>
  </si>
  <si>
    <t>DNMPS5557Q</t>
  </si>
  <si>
    <t>1790/2024</t>
  </si>
  <si>
    <t>Tower 8-1705</t>
  </si>
  <si>
    <t>1705</t>
  </si>
  <si>
    <t>2002457</t>
  </si>
  <si>
    <t>ANKIN KIRANBHAI SHAH</t>
  </si>
  <si>
    <t>CPAPS6438F</t>
  </si>
  <si>
    <t>2065/2024</t>
  </si>
  <si>
    <t>Tower 7-1404</t>
  </si>
  <si>
    <t>1404</t>
  </si>
  <si>
    <t>2002315</t>
  </si>
  <si>
    <t>ANKIT DUBEY</t>
  </si>
  <si>
    <t>BFMPD5677N</t>
  </si>
  <si>
    <t>2274/2024</t>
  </si>
  <si>
    <t>Tower 8-1704</t>
  </si>
  <si>
    <t>1704</t>
  </si>
  <si>
    <t>2002456</t>
  </si>
  <si>
    <t>ANKIT HIRAMAN UJAGARE</t>
  </si>
  <si>
    <t>AIZPU3794Q</t>
  </si>
  <si>
    <t>0</t>
  </si>
  <si>
    <t>Tower 7-1006</t>
  </si>
  <si>
    <t>2002288</t>
  </si>
  <si>
    <t>ANKIT RAVINDRAPPA KALE</t>
  </si>
  <si>
    <t>FHPPK3209A</t>
  </si>
  <si>
    <t>2507/2024</t>
  </si>
  <si>
    <t>Tower 7-502</t>
  </si>
  <si>
    <t>502</t>
  </si>
  <si>
    <t>2002381</t>
  </si>
  <si>
    <t>ANKIT SUJANTEE</t>
  </si>
  <si>
    <t>EFSPS2152Q</t>
  </si>
  <si>
    <t>2236/2024</t>
  </si>
  <si>
    <t>Tower 3-1003</t>
  </si>
  <si>
    <t>1003</t>
  </si>
  <si>
    <t>2019137</t>
  </si>
  <si>
    <t>ANKIT SUNIL PATIL</t>
  </si>
  <si>
    <t>DDVPP8923A</t>
  </si>
  <si>
    <t>2648/2024</t>
  </si>
  <si>
    <t>Tower 8-906</t>
  </si>
  <si>
    <t>906</t>
  </si>
  <si>
    <t>2002518</t>
  </si>
  <si>
    <t>ANKUR PRAVIN KOTHAWADE</t>
  </si>
  <si>
    <t>JNVPK5303K</t>
  </si>
  <si>
    <t>1969/2024</t>
  </si>
  <si>
    <t>Tower 2-804</t>
  </si>
  <si>
    <t>2020284</t>
  </si>
  <si>
    <t>ANOOP TIWARI</t>
  </si>
  <si>
    <t>AQJPT9936D</t>
  </si>
  <si>
    <t>Tower 7-1004</t>
  </si>
  <si>
    <t>1004</t>
  </si>
  <si>
    <t>2002287</t>
  </si>
  <si>
    <t>ANSHUL KUMAR MENDHIRATTA</t>
  </si>
  <si>
    <t>BFZPM4528J</t>
  </si>
  <si>
    <t>Tower 6-807</t>
  </si>
  <si>
    <t>807</t>
  </si>
  <si>
    <t>2002279</t>
  </si>
  <si>
    <t>ANU RANI</t>
  </si>
  <si>
    <t>ASDFG2415J</t>
  </si>
  <si>
    <t>2018/2024</t>
  </si>
  <si>
    <t>Tower 7-1707</t>
  </si>
  <si>
    <t>1707</t>
  </si>
  <si>
    <t>2002337</t>
  </si>
  <si>
    <t>ANUJ SANTOSH TUNDALWAR</t>
  </si>
  <si>
    <t>BKAPT8899R</t>
  </si>
  <si>
    <t>1837/2024</t>
  </si>
  <si>
    <t>Tower 6-608</t>
  </si>
  <si>
    <t>2019061</t>
  </si>
  <si>
    <t>ANUKUL SURYABHAN BANSOD</t>
  </si>
  <si>
    <t>BZVPB0898Q</t>
  </si>
  <si>
    <t>2374/2024</t>
  </si>
  <si>
    <t>Tower 7-607</t>
  </si>
  <si>
    <t>2002389</t>
  </si>
  <si>
    <t>ANUP DIPAK AGARWAL</t>
  </si>
  <si>
    <t>BRCPA1210L</t>
  </si>
  <si>
    <t>2427/2024</t>
  </si>
  <si>
    <t>Tower 7-203</t>
  </si>
  <si>
    <t>203</t>
  </si>
  <si>
    <t>2002360</t>
  </si>
  <si>
    <t>ANUP MADGHE</t>
  </si>
  <si>
    <t>JHGFD4567T</t>
  </si>
  <si>
    <t>Tower 3-1805</t>
  </si>
  <si>
    <t>2002185</t>
  </si>
  <si>
    <t>ANUP NANDAKUMAR RANAWARE</t>
  </si>
  <si>
    <t>ANRPR1148J</t>
  </si>
  <si>
    <t>2249/2024</t>
  </si>
  <si>
    <t>Tower 7-801</t>
  </si>
  <si>
    <t>801</t>
  </si>
  <si>
    <t>2002397</t>
  </si>
  <si>
    <t>ANURADHA RAHUL DONGARE</t>
  </si>
  <si>
    <t>BUPDH0506P</t>
  </si>
  <si>
    <t>2010/2024</t>
  </si>
  <si>
    <t>Tower 4-1104</t>
  </si>
  <si>
    <t>2018927</t>
  </si>
  <si>
    <t>ANURADHA RAVINDRAKUMAR SHINDE</t>
  </si>
  <si>
    <t>EUPPS0386L</t>
  </si>
  <si>
    <t>4388/2024</t>
  </si>
  <si>
    <t>Tower 6-1904</t>
  </si>
  <si>
    <t>2018112</t>
  </si>
  <si>
    <t>ANURAG DOSHI</t>
  </si>
  <si>
    <t>AUVPD9557A</t>
  </si>
  <si>
    <t>2892/2024</t>
  </si>
  <si>
    <t>Tower 3-2105</t>
  </si>
  <si>
    <t>2105</t>
  </si>
  <si>
    <t>2002200</t>
  </si>
  <si>
    <t>ANURAG MISHRA</t>
  </si>
  <si>
    <t>CBFPM5734D</t>
  </si>
  <si>
    <t>Tower 5-1503</t>
  </si>
  <si>
    <t>Tower 5</t>
  </si>
  <si>
    <t>1503</t>
  </si>
  <si>
    <t>2017316</t>
  </si>
  <si>
    <t>ANUSAYA NARAYAN BHARATI</t>
  </si>
  <si>
    <t>BOAPB2087R</t>
  </si>
  <si>
    <t>4688/2024</t>
  </si>
  <si>
    <t>Tower 3-404</t>
  </si>
  <si>
    <t>404</t>
  </si>
  <si>
    <t>2015492</t>
  </si>
  <si>
    <t>APURVA A DHAWALE</t>
  </si>
  <si>
    <t>AXDPD2044H</t>
  </si>
  <si>
    <t>3025/2024</t>
  </si>
  <si>
    <t>Tower 7-2001</t>
  </si>
  <si>
    <t>2001</t>
  </si>
  <si>
    <t>2002353</t>
  </si>
  <si>
    <t>ARATI INDRAJIT GAIKWAD</t>
  </si>
  <si>
    <t>BFMPG3285D</t>
  </si>
  <si>
    <t>1863/2024</t>
  </si>
  <si>
    <t>Tower 7-304</t>
  </si>
  <si>
    <t>2015601</t>
  </si>
  <si>
    <t>ARCHANA SINGH</t>
  </si>
  <si>
    <t>CCCPS2881R</t>
  </si>
  <si>
    <t>3720/2024</t>
  </si>
  <si>
    <t>Tower 8-1607</t>
  </si>
  <si>
    <t>1607</t>
  </si>
  <si>
    <t>2002451</t>
  </si>
  <si>
    <t>ARCHI UPADHYAY</t>
  </si>
  <si>
    <t>ADZPU3652N</t>
  </si>
  <si>
    <t>2192/2024</t>
  </si>
  <si>
    <t>Tower 8-2004</t>
  </si>
  <si>
    <t>2004</t>
  </si>
  <si>
    <t>2002475</t>
  </si>
  <si>
    <t>ARIF AJAMUDDIN DESAI</t>
  </si>
  <si>
    <t>AONPD2209P</t>
  </si>
  <si>
    <t>2072/2024</t>
  </si>
  <si>
    <t>Tower 7-1905</t>
  </si>
  <si>
    <t>1905</t>
  </si>
  <si>
    <t>2017783</t>
  </si>
  <si>
    <t>ARIJIT BANDYOPADHYAY</t>
  </si>
  <si>
    <t>AAOPB4061E</t>
  </si>
  <si>
    <t>2759/2024</t>
  </si>
  <si>
    <t>Tower 8-904</t>
  </si>
  <si>
    <t>904</t>
  </si>
  <si>
    <t>2021224</t>
  </si>
  <si>
    <t>ARPIT JAIN</t>
  </si>
  <si>
    <t>AMCPJ0197R</t>
  </si>
  <si>
    <t>2169/2025</t>
  </si>
  <si>
    <t>Tower 8-1702</t>
  </si>
  <si>
    <t>2002454</t>
  </si>
  <si>
    <t>ARTI CHAKROBORTY</t>
  </si>
  <si>
    <t>ELHPS0662C</t>
  </si>
  <si>
    <t>2066/2024</t>
  </si>
  <si>
    <t>Tower 3-507</t>
  </si>
  <si>
    <t>507</t>
  </si>
  <si>
    <t>2002215</t>
  </si>
  <si>
    <t>ARYAN SINGH</t>
  </si>
  <si>
    <t>ASMPK7696J</t>
  </si>
  <si>
    <t>1928/2024</t>
  </si>
  <si>
    <t>Tower 1-805</t>
  </si>
  <si>
    <t>805</t>
  </si>
  <si>
    <t>2020060</t>
  </si>
  <si>
    <t>ASHA PANKAJ SHARMA</t>
  </si>
  <si>
    <t>ENFPS1043R</t>
  </si>
  <si>
    <t>Tower 3-1701</t>
  </si>
  <si>
    <t>2002179</t>
  </si>
  <si>
    <t>ASHIMA MANSHA KISPOTTA</t>
  </si>
  <si>
    <t>ABCDE2451K</t>
  </si>
  <si>
    <t>1875/2024</t>
  </si>
  <si>
    <t>Tower 7-807</t>
  </si>
  <si>
    <t>2002402</t>
  </si>
  <si>
    <t>ASHISH RAJENDRA CHAUDHARI</t>
  </si>
  <si>
    <t>BYPPC2850L</t>
  </si>
  <si>
    <t>1799/2024</t>
  </si>
  <si>
    <t>Tower 2-2008</t>
  </si>
  <si>
    <t>2008</t>
  </si>
  <si>
    <t>2018732</t>
  </si>
  <si>
    <t>ASHISH SUBHASH CHAVAN</t>
  </si>
  <si>
    <t>AZCPC7056M</t>
  </si>
  <si>
    <t>Tower 7-1203</t>
  </si>
  <si>
    <t>2002300</t>
  </si>
  <si>
    <t>ASHISH TOMAR</t>
  </si>
  <si>
    <t>AZYPT4492N</t>
  </si>
  <si>
    <t>2138/2024</t>
  </si>
  <si>
    <t>Tower 7-1101</t>
  </si>
  <si>
    <t>1101</t>
  </si>
  <si>
    <t>2002291</t>
  </si>
  <si>
    <t>ASHISH YADAV</t>
  </si>
  <si>
    <t>AFYPY6115P</t>
  </si>
  <si>
    <t>2063/2024</t>
  </si>
  <si>
    <t>Tower 6-1804</t>
  </si>
  <si>
    <t>1804</t>
  </si>
  <si>
    <t>2015486</t>
  </si>
  <si>
    <t>ASHOK BABASAHEB GANGAWANE</t>
  </si>
  <si>
    <t>CDOPG9296H</t>
  </si>
  <si>
    <t>2337/2024</t>
  </si>
  <si>
    <t>Tower 5-1104</t>
  </si>
  <si>
    <t>2018878</t>
  </si>
  <si>
    <t>ASHVINI MAYUR SHINDE</t>
  </si>
  <si>
    <t>BNOPB3519B</t>
  </si>
  <si>
    <t>3336/2024</t>
  </si>
  <si>
    <t>Tower 6-1802</t>
  </si>
  <si>
    <t>2017667</t>
  </si>
  <si>
    <t>ASHWINI PRAMOD TUPE</t>
  </si>
  <si>
    <t>ARMPT5279R</t>
  </si>
  <si>
    <t>2478/2024</t>
  </si>
  <si>
    <t>Tower 8-403</t>
  </si>
  <si>
    <t>403</t>
  </si>
  <si>
    <t>2018855</t>
  </si>
  <si>
    <t>ASHWINI SHARAD PATIL</t>
  </si>
  <si>
    <t>BXWPR1932E</t>
  </si>
  <si>
    <t>Tower 1-907</t>
  </si>
  <si>
    <t>907</t>
  </si>
  <si>
    <t>2022195</t>
  </si>
  <si>
    <t>ASMITA SHEKHAR BOTE</t>
  </si>
  <si>
    <t>EKYPB2576Q</t>
  </si>
  <si>
    <t>Tower 6-1302</t>
  </si>
  <si>
    <t>1302</t>
  </si>
  <si>
    <t>2017782</t>
  </si>
  <si>
    <t>ATIMA GIRISH RATHI</t>
  </si>
  <si>
    <t>BBCPA4944D</t>
  </si>
  <si>
    <t>Tower 3-1708</t>
  </si>
  <si>
    <t>1708</t>
  </si>
  <si>
    <t>2019412</t>
  </si>
  <si>
    <t>ATRE RASIKA GIRISH</t>
  </si>
  <si>
    <t>AVIPK2528E</t>
  </si>
  <si>
    <t>2645/2024</t>
  </si>
  <si>
    <t>Tower 1-1002</t>
  </si>
  <si>
    <t>1002</t>
  </si>
  <si>
    <t>2020810</t>
  </si>
  <si>
    <t>AVANI MULYE</t>
  </si>
  <si>
    <t>BFOPM3698J</t>
  </si>
  <si>
    <t>Tower 1-1701</t>
  </si>
  <si>
    <t>2018088</t>
  </si>
  <si>
    <t>AVINASH BABAJI KUMKAR</t>
  </si>
  <si>
    <t>CJMPK5361D</t>
  </si>
  <si>
    <t>Tower 7-1508</t>
  </si>
  <si>
    <t>1508</t>
  </si>
  <si>
    <t>2002325</t>
  </si>
  <si>
    <t>AVINASH BHAU NANGARE</t>
  </si>
  <si>
    <t>AWNPN9210G</t>
  </si>
  <si>
    <t>2171/2024</t>
  </si>
  <si>
    <t>Tower 5-2001</t>
  </si>
  <si>
    <t>2020158</t>
  </si>
  <si>
    <t>AVINASH NATHU NEWHAR</t>
  </si>
  <si>
    <t>ATAPN0296N</t>
  </si>
  <si>
    <t>Tower 8-2005</t>
  </si>
  <si>
    <t>2005</t>
  </si>
  <si>
    <t>2017923</t>
  </si>
  <si>
    <t>AVINASH S KUMAWAT</t>
  </si>
  <si>
    <t>BOFPK1095H</t>
  </si>
  <si>
    <t>2875/2024</t>
  </si>
  <si>
    <t>Tower 3-708</t>
  </si>
  <si>
    <t>708</t>
  </si>
  <si>
    <t>2002226</t>
  </si>
  <si>
    <t>BACHKAR MACHINDRA VISHWANATH</t>
  </si>
  <si>
    <t>ASSPB0452B</t>
  </si>
  <si>
    <t>2578/2024</t>
  </si>
  <si>
    <t>Tower 3-1607</t>
  </si>
  <si>
    <t>2001901</t>
  </si>
  <si>
    <t>BALAJI DEVIDASRAO ACHOLE</t>
  </si>
  <si>
    <t>AEJPA7901F</t>
  </si>
  <si>
    <t>2002/2024</t>
  </si>
  <si>
    <t>Tower 6-1008</t>
  </si>
  <si>
    <t>1008</t>
  </si>
  <si>
    <t>2014722</t>
  </si>
  <si>
    <t>BALAJI VISHNU KADAM</t>
  </si>
  <si>
    <t>IPIPK9348E</t>
  </si>
  <si>
    <t>2603/2024</t>
  </si>
  <si>
    <t>Tower 1-1408</t>
  </si>
  <si>
    <t>1408</t>
  </si>
  <si>
    <t>2022196</t>
  </si>
  <si>
    <t>BALU SUKHDEO KULAL</t>
  </si>
  <si>
    <t>AHPPK5348B</t>
  </si>
  <si>
    <t>Tower 6-1002</t>
  </si>
  <si>
    <t>2002263</t>
  </si>
  <si>
    <t>BHAGWAT MADHUKAR NIPTE</t>
  </si>
  <si>
    <t>ACIPN9045J</t>
  </si>
  <si>
    <t>2333/2024</t>
  </si>
  <si>
    <t>Tower 7-1306</t>
  </si>
  <si>
    <t>1306</t>
  </si>
  <si>
    <t>2002309</t>
  </si>
  <si>
    <t>BHAGYASHREE ASHOK .JADHAV</t>
  </si>
  <si>
    <t>AXPPJ9872P</t>
  </si>
  <si>
    <t>1867/2024</t>
  </si>
  <si>
    <t>Tower 2-1307</t>
  </si>
  <si>
    <t>2018058</t>
  </si>
  <si>
    <t>BHAGYASHREE B KULKARNI</t>
  </si>
  <si>
    <t>DRDPK8420F</t>
  </si>
  <si>
    <t>Tower 4-906</t>
  </si>
  <si>
    <t>2020080</t>
  </si>
  <si>
    <t>BHAGYASHREE RAJAN ADMANE</t>
  </si>
  <si>
    <t>ASPPA9740E</t>
  </si>
  <si>
    <t>2131/2024</t>
  </si>
  <si>
    <t>Tower 7-602</t>
  </si>
  <si>
    <t>602</t>
  </si>
  <si>
    <t>2002386</t>
  </si>
  <si>
    <t>BHAGYASHRI BHAGWAN JADHAV</t>
  </si>
  <si>
    <t>BDRPG1603H</t>
  </si>
  <si>
    <t>2089/2024</t>
  </si>
  <si>
    <t>Tower 3-1406</t>
  </si>
  <si>
    <t>1406</t>
  </si>
  <si>
    <t>2018593</t>
  </si>
  <si>
    <t>BHARAT JAYASING PARTE</t>
  </si>
  <si>
    <t>BCMPP6659R</t>
  </si>
  <si>
    <t>2298/2024</t>
  </si>
  <si>
    <t>Tower 3-1506</t>
  </si>
  <si>
    <t>1506</t>
  </si>
  <si>
    <t>2019347</t>
  </si>
  <si>
    <t>Tower 8-1303</t>
  </si>
  <si>
    <t>1303</t>
  </si>
  <si>
    <t>2017897</t>
  </si>
  <si>
    <t>BHARAT SINGH YADAV</t>
  </si>
  <si>
    <t>ADBPY8675P</t>
  </si>
  <si>
    <t>3139/2024</t>
  </si>
  <si>
    <t>Tower 1-1602</t>
  </si>
  <si>
    <t>1602</t>
  </si>
  <si>
    <t>2020438</t>
  </si>
  <si>
    <t>BHARATI MANOJ JADHAV</t>
  </si>
  <si>
    <t>ARFPJ7032F</t>
  </si>
  <si>
    <t>Tower 3-1302</t>
  </si>
  <si>
    <t>2001885</t>
  </si>
  <si>
    <t>BHARATRATNA WASUDEORAO KSHIRSA</t>
  </si>
  <si>
    <t>EOZPK7572G</t>
  </si>
  <si>
    <t>2076/2024</t>
  </si>
  <si>
    <t>Tower 6-1501</t>
  </si>
  <si>
    <t>2017908</t>
  </si>
  <si>
    <t>BHINGARDIVE RAHUL VASANT</t>
  </si>
  <si>
    <t>BEAPB4032E</t>
  </si>
  <si>
    <t>2725/2024</t>
  </si>
  <si>
    <t>Tower 3-1303</t>
  </si>
  <si>
    <t>2018032</t>
  </si>
  <si>
    <t>BHIRUD VIDYA PRAVIN</t>
  </si>
  <si>
    <t>AQHPB9072C</t>
  </si>
  <si>
    <t>4201/2024</t>
  </si>
  <si>
    <t>Tower 3-207</t>
  </si>
  <si>
    <t>207</t>
  </si>
  <si>
    <t>2017987</t>
  </si>
  <si>
    <t>BHOMA RAM</t>
  </si>
  <si>
    <t>AQXPR0845H</t>
  </si>
  <si>
    <t>2792/2024</t>
  </si>
  <si>
    <t>Tower 4-1502</t>
  </si>
  <si>
    <t>1502</t>
  </si>
  <si>
    <t>2018194</t>
  </si>
  <si>
    <t>BINEET AGARWALLA</t>
  </si>
  <si>
    <t>ALMPA7432R</t>
  </si>
  <si>
    <t>4691/2024</t>
  </si>
  <si>
    <t>Tower 1-607</t>
  </si>
  <si>
    <t>2019597</t>
  </si>
  <si>
    <t>BINOD KUMAR MAJI</t>
  </si>
  <si>
    <t>AITPM7845C</t>
  </si>
  <si>
    <t>Tower 3-706</t>
  </si>
  <si>
    <t>706</t>
  </si>
  <si>
    <t>2017813</t>
  </si>
  <si>
    <t>BOJE ABHIJEET VYANKAT</t>
  </si>
  <si>
    <t>CKXPB4597C</t>
  </si>
  <si>
    <t>2972/2024</t>
  </si>
  <si>
    <t>Tower 8-2008</t>
  </si>
  <si>
    <t>2002477</t>
  </si>
  <si>
    <t>CHAITALI V TAYSHETYE</t>
  </si>
  <si>
    <t>AEFPT5652L</t>
  </si>
  <si>
    <t>2135/2024</t>
  </si>
  <si>
    <t>Tower 8-1602</t>
  </si>
  <si>
    <t>2002448</t>
  </si>
  <si>
    <t>CHANDRAKANT GAIKWAD</t>
  </si>
  <si>
    <t>AMPPG8671G</t>
  </si>
  <si>
    <t>1902/2024</t>
  </si>
  <si>
    <t>Tower 5-1801</t>
  </si>
  <si>
    <t>2017846</t>
  </si>
  <si>
    <t>CHANDRASHEKHAR VITHAL GAJAI</t>
  </si>
  <si>
    <t>BISPG1790G</t>
  </si>
  <si>
    <t>2548/2024</t>
  </si>
  <si>
    <t>Tower 8-1706</t>
  </si>
  <si>
    <t>1706</t>
  </si>
  <si>
    <t>2019179</t>
  </si>
  <si>
    <t>CHAWAN PRASHANT KUMAR</t>
  </si>
  <si>
    <t>AWHPC4805C</t>
  </si>
  <si>
    <t>3330/2024</t>
  </si>
  <si>
    <t>Tower 6-907</t>
  </si>
  <si>
    <t>2002283</t>
  </si>
  <si>
    <t>CHETAN RAJESH SANAP</t>
  </si>
  <si>
    <t>FHIPS0932R</t>
  </si>
  <si>
    <t>2084/2024</t>
  </si>
  <si>
    <t>Tower 7-1505</t>
  </si>
  <si>
    <t>1505</t>
  </si>
  <si>
    <t>2017844</t>
  </si>
  <si>
    <t>CHETAN SHARMA</t>
  </si>
  <si>
    <t>EADPS0377H</t>
  </si>
  <si>
    <t>2803/2024</t>
  </si>
  <si>
    <t>Tower 2-2208</t>
  </si>
  <si>
    <t>2020277</t>
  </si>
  <si>
    <t>CHETANA G PATIL</t>
  </si>
  <si>
    <t>ANBPP0354J</t>
  </si>
  <si>
    <t>Tower 7-802</t>
  </si>
  <si>
    <t>2002398</t>
  </si>
  <si>
    <t>CHHAYA SHANTARAM MAHAJAN</t>
  </si>
  <si>
    <t>BWRPM2758M</t>
  </si>
  <si>
    <t>1784/2024</t>
  </si>
  <si>
    <t>Tower 5-602</t>
  </si>
  <si>
    <t>2014727</t>
  </si>
  <si>
    <t>CHINMAY VIJAY KARANKAR</t>
  </si>
  <si>
    <t>EPMPK3009A</t>
  </si>
  <si>
    <t>2356/2024</t>
  </si>
  <si>
    <t>Tower 3-1705</t>
  </si>
  <si>
    <t>2017878</t>
  </si>
  <si>
    <t>CHINMAY VIVEK MOTARWAR</t>
  </si>
  <si>
    <t>GAYPM8796R</t>
  </si>
  <si>
    <t>3982/2024</t>
  </si>
  <si>
    <t>Tower 3-907</t>
  </si>
  <si>
    <t>2018919</t>
  </si>
  <si>
    <t>CHINMAYEE PRIYADARSHINI DASH</t>
  </si>
  <si>
    <t>BZPPD6589Q</t>
  </si>
  <si>
    <t>2942/2024</t>
  </si>
  <si>
    <t>Tower 3-308</t>
  </si>
  <si>
    <t>2002208</t>
  </si>
  <si>
    <t>CHITRESH VINOD KAPLE</t>
  </si>
  <si>
    <t>DMBPK0807H</t>
  </si>
  <si>
    <t>2069/2024</t>
  </si>
  <si>
    <t>Tower 6-2001</t>
  </si>
  <si>
    <t>2015576</t>
  </si>
  <si>
    <t>CHITTE SHWETA DILIP</t>
  </si>
  <si>
    <t>BCNPC1318M</t>
  </si>
  <si>
    <t>2419/2024</t>
  </si>
  <si>
    <t>Tower 7-207</t>
  </si>
  <si>
    <t>2017688</t>
  </si>
  <si>
    <t>CHOUTRE RAHUL MANOHAR</t>
  </si>
  <si>
    <t>AFHPC2501G</t>
  </si>
  <si>
    <t>2444/2024</t>
  </si>
  <si>
    <t>Tower 6-1601</t>
  </si>
  <si>
    <t>2017997</t>
  </si>
  <si>
    <t>DAYANAND LALASAHEB SALUNKE</t>
  </si>
  <si>
    <t>GYCPS3014Q</t>
  </si>
  <si>
    <t>2472/2024</t>
  </si>
  <si>
    <t>Tower 8-2002</t>
  </si>
  <si>
    <t>2002</t>
  </si>
  <si>
    <t>2002473</t>
  </si>
  <si>
    <t>DEEPAK DASHORE</t>
  </si>
  <si>
    <t>BSWPD7428L</t>
  </si>
  <si>
    <t>2068/2024</t>
  </si>
  <si>
    <t>Tower 6-901</t>
  </si>
  <si>
    <t>2002281</t>
  </si>
  <si>
    <t>DEEPAK GAVASANE</t>
  </si>
  <si>
    <t>AKVPG9781H</t>
  </si>
  <si>
    <t>2029/2024</t>
  </si>
  <si>
    <t>Tower 8-2003</t>
  </si>
  <si>
    <t>2003</t>
  </si>
  <si>
    <t>2002474</t>
  </si>
  <si>
    <t>DEEPAK KUMAR</t>
  </si>
  <si>
    <t>DOAPK2267G</t>
  </si>
  <si>
    <t>2133/2024</t>
  </si>
  <si>
    <t>Tower 4-301</t>
  </si>
  <si>
    <t>2002240</t>
  </si>
  <si>
    <t>DEEPAK NARAYAN VANTALE</t>
  </si>
  <si>
    <t>ANGPV1011M</t>
  </si>
  <si>
    <t>1972/2024</t>
  </si>
  <si>
    <t>Tower 4-105</t>
  </si>
  <si>
    <t>105</t>
  </si>
  <si>
    <t>2015676</t>
  </si>
  <si>
    <t>DEEPALI RAVINDRA SHEDGE</t>
  </si>
  <si>
    <t>AOOPB8089A</t>
  </si>
  <si>
    <t>Tower 8-102</t>
  </si>
  <si>
    <t>102</t>
  </si>
  <si>
    <t>2002414</t>
  </si>
  <si>
    <t>DEEPALI SUNIL GHADGE</t>
  </si>
  <si>
    <t>GHJKM9876E</t>
  </si>
  <si>
    <t>Tower 3-1706</t>
  </si>
  <si>
    <t>2023050</t>
  </si>
  <si>
    <t>DEEPANJALI AMOL PATIL</t>
  </si>
  <si>
    <t>BIZPP3870M</t>
  </si>
  <si>
    <t>5185/2025</t>
  </si>
  <si>
    <t>Tower 2-1304</t>
  </si>
  <si>
    <t>2020811</t>
  </si>
  <si>
    <t>Tower 5-1602</t>
  </si>
  <si>
    <t>2018020</t>
  </si>
  <si>
    <t>Deepanshu Chouhan</t>
  </si>
  <si>
    <t>BEMPC2920L</t>
  </si>
  <si>
    <t>2543/2024</t>
  </si>
  <si>
    <t>Tower 7-803</t>
  </si>
  <si>
    <t>803</t>
  </si>
  <si>
    <t>2017894</t>
  </si>
  <si>
    <t>DEEPTENDU DAS</t>
  </si>
  <si>
    <t>AQAPD4093L</t>
  </si>
  <si>
    <t>2440/2024</t>
  </si>
  <si>
    <t>Tower 6-505</t>
  </si>
  <si>
    <t>505</t>
  </si>
  <si>
    <t>2017705</t>
  </si>
  <si>
    <t>DESHMUKH NANDA SADASHIV</t>
  </si>
  <si>
    <t>AOUPD3698F</t>
  </si>
  <si>
    <t>3572/2024</t>
  </si>
  <si>
    <t>Tower 2-208</t>
  </si>
  <si>
    <t>208</t>
  </si>
  <si>
    <t>2021180</t>
  </si>
  <si>
    <t>DEVANGKUMAR JAGDISHBHAI MISTRY</t>
  </si>
  <si>
    <t>CLGPM4052F</t>
  </si>
  <si>
    <t>Tower 2-1803</t>
  </si>
  <si>
    <t>1803</t>
  </si>
  <si>
    <t>2018170</t>
  </si>
  <si>
    <t>DEVENDRA LOTESH SONAWANE</t>
  </si>
  <si>
    <t>DFBPS4274D</t>
  </si>
  <si>
    <t>Tower 6-1502</t>
  </si>
  <si>
    <t>2017978</t>
  </si>
  <si>
    <t>DEVENDRA TEMBHE</t>
  </si>
  <si>
    <t>AVYPT8131C</t>
  </si>
  <si>
    <t>2821/2024</t>
  </si>
  <si>
    <t>Tower 7-1301</t>
  </si>
  <si>
    <t>2002305</t>
  </si>
  <si>
    <t>DEVICHAND BALCHAND TATTU</t>
  </si>
  <si>
    <t>AXYPTF855F</t>
  </si>
  <si>
    <t>2279/2024</t>
  </si>
  <si>
    <t>Tower 4-1701</t>
  </si>
  <si>
    <t>2017314</t>
  </si>
  <si>
    <t>DHAKE PRASHANT VASUDEO</t>
  </si>
  <si>
    <t>AKJPD7001M</t>
  </si>
  <si>
    <t>4098/2024</t>
  </si>
  <si>
    <t>Tower 1-604</t>
  </si>
  <si>
    <t>604</t>
  </si>
  <si>
    <t>2020578</t>
  </si>
  <si>
    <t>DHANANJAY BHATU SONAR</t>
  </si>
  <si>
    <t>FVSPS9285M</t>
  </si>
  <si>
    <t>Tower 6-2201</t>
  </si>
  <si>
    <t>2201</t>
  </si>
  <si>
    <t>2018516</t>
  </si>
  <si>
    <t>DHANANJAY SURESHRAO MAHAJAN</t>
  </si>
  <si>
    <t>AIJPM4118N</t>
  </si>
  <si>
    <t>2722/2024</t>
  </si>
  <si>
    <t>Tower 3-1905</t>
  </si>
  <si>
    <t>2018517</t>
  </si>
  <si>
    <t>DHAWAL DATTATRAY LADKAT</t>
  </si>
  <si>
    <t>ACJPL7087R</t>
  </si>
  <si>
    <t>Tower 7-1001</t>
  </si>
  <si>
    <t>2020714</t>
  </si>
  <si>
    <t>DHAWAL NILESH BHARAT</t>
  </si>
  <si>
    <t>AMYPB9400B</t>
  </si>
  <si>
    <t>2020998</t>
  </si>
  <si>
    <t>1573/2025</t>
  </si>
  <si>
    <t>Tower 5-1401</t>
  </si>
  <si>
    <t>1401</t>
  </si>
  <si>
    <t>2018008</t>
  </si>
  <si>
    <t>DHIRAJ KUMAR</t>
  </si>
  <si>
    <t>CRCPK0017Q</t>
  </si>
  <si>
    <t>2288/2024</t>
  </si>
  <si>
    <t>Tower 3-1102</t>
  </si>
  <si>
    <t>1102</t>
  </si>
  <si>
    <t>2001876</t>
  </si>
  <si>
    <t>DIGAMBAR HINDURAO PATIL</t>
  </si>
  <si>
    <t>LKMNH6787Y</t>
  </si>
  <si>
    <t>2502/2024</t>
  </si>
  <si>
    <t>Tower 7-504</t>
  </si>
  <si>
    <t>504</t>
  </si>
  <si>
    <t>2002382</t>
  </si>
  <si>
    <t>DIGVIJAY SHANKARRAO INAMDAR</t>
  </si>
  <si>
    <t>AEOPI3360R</t>
  </si>
  <si>
    <t>1959/2024</t>
  </si>
  <si>
    <t>Tower 1-601</t>
  </si>
  <si>
    <t>601</t>
  </si>
  <si>
    <t>2018507</t>
  </si>
  <si>
    <t>DIKSHA PRATIKSINH PRANKDA</t>
  </si>
  <si>
    <t>BZCPR3408K</t>
  </si>
  <si>
    <t>Tower 3-407</t>
  </si>
  <si>
    <t>Dr.</t>
  </si>
  <si>
    <t>2002211</t>
  </si>
  <si>
    <t>DIKSHA PREMCHAND SEWAIWAR</t>
  </si>
  <si>
    <t>LSIPS4309D</t>
  </si>
  <si>
    <t>2119/2024</t>
  </si>
  <si>
    <t>Tower 7-1305</t>
  </si>
  <si>
    <t>2022050</t>
  </si>
  <si>
    <t>Tower 3-1908</t>
  </si>
  <si>
    <t>1908</t>
  </si>
  <si>
    <t>2002191</t>
  </si>
  <si>
    <t>DILIP PARABATI GOLE</t>
  </si>
  <si>
    <t>ANJPG6866C</t>
  </si>
  <si>
    <t>2210/2024</t>
  </si>
  <si>
    <t>Tower 4-2101</t>
  </si>
  <si>
    <t>2101</t>
  </si>
  <si>
    <t>2018926</t>
  </si>
  <si>
    <t>DILIP RATANLAL SHAH</t>
  </si>
  <si>
    <t>AMPPS7332C</t>
  </si>
  <si>
    <t>Tower 1-1301</t>
  </si>
  <si>
    <t>2019171</t>
  </si>
  <si>
    <t>DINESH DIGAMBARRAO JOSHI</t>
  </si>
  <si>
    <t>ABFPJ9349D</t>
  </si>
  <si>
    <t>Tower 6-805</t>
  </si>
  <si>
    <t>2017682</t>
  </si>
  <si>
    <t>DIPAK ANIL MAHAJAN</t>
  </si>
  <si>
    <t>EJHPM0632L</t>
  </si>
  <si>
    <t>2753/2024</t>
  </si>
  <si>
    <t>Tower 2-1708</t>
  </si>
  <si>
    <t>2018497</t>
  </si>
  <si>
    <t>DIPALI BHASKAR ATKARI</t>
  </si>
  <si>
    <t>CMZPK4341P</t>
  </si>
  <si>
    <t>Tower 1-1508</t>
  </si>
  <si>
    <t>2023055</t>
  </si>
  <si>
    <t>DIPALI VAIBHAV PAWAR</t>
  </si>
  <si>
    <t>FKEPP3694G</t>
  </si>
  <si>
    <t>Tower 2-1901</t>
  </si>
  <si>
    <t>1901</t>
  </si>
  <si>
    <t>2022035</t>
  </si>
  <si>
    <t>DISHA DINESH GUPTA</t>
  </si>
  <si>
    <t>ATRPG8081B</t>
  </si>
  <si>
    <t>2017899</t>
  </si>
  <si>
    <t>DIVYA SONI</t>
  </si>
  <si>
    <t>CRYPS2300G</t>
  </si>
  <si>
    <t>Tower 6-1402</t>
  </si>
  <si>
    <t>1402</t>
  </si>
  <si>
    <t>2017665</t>
  </si>
  <si>
    <t>DOLE AKASH GAHININATH</t>
  </si>
  <si>
    <t>BXIPD8310C</t>
  </si>
  <si>
    <t>2335/2024</t>
  </si>
  <si>
    <t>Tower 6-908</t>
  </si>
  <si>
    <t>908</t>
  </si>
  <si>
    <t>2002284</t>
  </si>
  <si>
    <t>DOLLY CHATTERJEE</t>
  </si>
  <si>
    <t>ABCDE5678G</t>
  </si>
  <si>
    <t>2234/2024</t>
  </si>
  <si>
    <t>Tower 3-701</t>
  </si>
  <si>
    <t>2002222</t>
  </si>
  <si>
    <t>EKNATH JAGANNATH JAGANNATHDHOL</t>
  </si>
  <si>
    <t>AMZPD5501H</t>
  </si>
  <si>
    <t>2361/2024</t>
  </si>
  <si>
    <t>Tower 2-1602</t>
  </si>
  <si>
    <t>2022252</t>
  </si>
  <si>
    <t>GAJANAN SHANKARRAO WANARE</t>
  </si>
  <si>
    <t>AABPW8533B</t>
  </si>
  <si>
    <t>Tower 2-408</t>
  </si>
  <si>
    <t>2020052</t>
  </si>
  <si>
    <t>GANDEWAR JAYSHRI PRADEEP</t>
  </si>
  <si>
    <t>AMFPG6834M</t>
  </si>
  <si>
    <t>Tower 7-1703</t>
  </si>
  <si>
    <t>2015578</t>
  </si>
  <si>
    <t>GANESH BABUAPPA PATALE</t>
  </si>
  <si>
    <t>AORPP4789G</t>
  </si>
  <si>
    <t>2241/2024</t>
  </si>
  <si>
    <t>Tower 6-2207</t>
  </si>
  <si>
    <t>2207</t>
  </si>
  <si>
    <t>2015763</t>
  </si>
  <si>
    <t>GANESH KRISHNA MINDE</t>
  </si>
  <si>
    <t>AOOPM6520K</t>
  </si>
  <si>
    <t>3438/2024</t>
  </si>
  <si>
    <t>Tower 7-408</t>
  </si>
  <si>
    <t>2002379</t>
  </si>
  <si>
    <t>GANESH RAVINDRA GATKUL</t>
  </si>
  <si>
    <t>BEQPG7293N</t>
  </si>
  <si>
    <t>2058/2024</t>
  </si>
  <si>
    <t>Tower 7-2104</t>
  </si>
  <si>
    <t>2104</t>
  </si>
  <si>
    <t>2018040</t>
  </si>
  <si>
    <t>GANESH SURESH ADEKAR</t>
  </si>
  <si>
    <t>BVCPA0685F</t>
  </si>
  <si>
    <t>3998/2024</t>
  </si>
  <si>
    <t>Tower 7-1201</t>
  </si>
  <si>
    <t>2002298</t>
  </si>
  <si>
    <t>GAURAV DIGAMBAR DESHMUKH</t>
  </si>
  <si>
    <t>DYAPD4751E</t>
  </si>
  <si>
    <t>1743/2024</t>
  </si>
  <si>
    <t>Tower 2-1502</t>
  </si>
  <si>
    <t>2018924</t>
  </si>
  <si>
    <t>GAURAV SUNIL DESHPANDE</t>
  </si>
  <si>
    <t>DNUPD0996Q</t>
  </si>
  <si>
    <t>Tower 7-906</t>
  </si>
  <si>
    <t>2022143</t>
  </si>
  <si>
    <t>3738/2025</t>
  </si>
  <si>
    <t>Tower 1-301</t>
  </si>
  <si>
    <t>2019643</t>
  </si>
  <si>
    <t>GAURAVI PRAVIN KHANAPURE</t>
  </si>
  <si>
    <t>EMAPK6029M</t>
  </si>
  <si>
    <t>Tower 6-1206</t>
  </si>
  <si>
    <t>1206</t>
  </si>
  <si>
    <t>2022078</t>
  </si>
  <si>
    <t>GAUTAM NAGI</t>
  </si>
  <si>
    <t>ASKPN7970Q</t>
  </si>
  <si>
    <t>3918/2025</t>
  </si>
  <si>
    <t>Tower 1-1201</t>
  </si>
  <si>
    <t>2018889</t>
  </si>
  <si>
    <t>GAYATRI</t>
  </si>
  <si>
    <t>CQGPG7170R</t>
  </si>
  <si>
    <t>Tower 6-2008</t>
  </si>
  <si>
    <t>2017690</t>
  </si>
  <si>
    <t>GAYATRI RAGHO PILLAI</t>
  </si>
  <si>
    <t>AXSPP6957C</t>
  </si>
  <si>
    <t>2804/2024</t>
  </si>
  <si>
    <t>Tower 7-201</t>
  </si>
  <si>
    <t>201</t>
  </si>
  <si>
    <t>2002359</t>
  </si>
  <si>
    <t>GEETA SHIBNATH MANDAL</t>
  </si>
  <si>
    <t>AFNPM1621F</t>
  </si>
  <si>
    <t>2764/2024</t>
  </si>
  <si>
    <t>Tower 1-1608</t>
  </si>
  <si>
    <t>1608</t>
  </si>
  <si>
    <t>2018319</t>
  </si>
  <si>
    <t>GHULE RAHUL DNYANESHWAR</t>
  </si>
  <si>
    <t>CIYPG9788D</t>
  </si>
  <si>
    <t>Tower 8-705</t>
  </si>
  <si>
    <t>705</t>
  </si>
  <si>
    <t>2015771</t>
  </si>
  <si>
    <t>GIMMY CHOUHAN</t>
  </si>
  <si>
    <t>APRPC1654C</t>
  </si>
  <si>
    <t>2760/2024</t>
  </si>
  <si>
    <t>Tower 7-2107</t>
  </si>
  <si>
    <t>2002367</t>
  </si>
  <si>
    <t>GIRIJA A DEVADKAR</t>
  </si>
  <si>
    <t>ARBPD8282B</t>
  </si>
  <si>
    <t>2584/2024</t>
  </si>
  <si>
    <t>Tower 3-1007</t>
  </si>
  <si>
    <t>2001873</t>
  </si>
  <si>
    <t>GIRISH CHANDRAKANT KURKURE</t>
  </si>
  <si>
    <t>EJTPK6042J</t>
  </si>
  <si>
    <t>2509/2024</t>
  </si>
  <si>
    <t>Tower 3-1002</t>
  </si>
  <si>
    <t>2001870</t>
  </si>
  <si>
    <t>GIRISH MANOHAR MALI</t>
  </si>
  <si>
    <t>FAVPM3509J</t>
  </si>
  <si>
    <t>2251/2024</t>
  </si>
  <si>
    <t>Tower 7-1902</t>
  </si>
  <si>
    <t>2002348</t>
  </si>
  <si>
    <t>GITANJALI DATTATRAYA GODSE</t>
  </si>
  <si>
    <t>BWMPG3502Q</t>
  </si>
  <si>
    <t>2188/2024</t>
  </si>
  <si>
    <t>Tower 5-1601</t>
  </si>
  <si>
    <t>2017992</t>
  </si>
  <si>
    <t>GOKUL MACHINDRA KOKATE</t>
  </si>
  <si>
    <t>DXVPK1314J</t>
  </si>
  <si>
    <t>2761/2024</t>
  </si>
  <si>
    <t>Tower 6-2102</t>
  </si>
  <si>
    <t>2017906</t>
  </si>
  <si>
    <t>GORE ROHIT RAMKISAN</t>
  </si>
  <si>
    <t>AQZPG7535M</t>
  </si>
  <si>
    <t>2850/2024</t>
  </si>
  <si>
    <t>Tower 8-202</t>
  </si>
  <si>
    <t>2018019</t>
  </si>
  <si>
    <t>GOSAVI VIDYA VILAS</t>
  </si>
  <si>
    <t>AJKPG5092P</t>
  </si>
  <si>
    <t>2471/2024</t>
  </si>
  <si>
    <t>Tower 8-1603</t>
  </si>
  <si>
    <t>1603</t>
  </si>
  <si>
    <t>2002449</t>
  </si>
  <si>
    <t>GURUPRASAD P SHINDE</t>
  </si>
  <si>
    <t>CYKPS2969C</t>
  </si>
  <si>
    <t>2800/2024</t>
  </si>
  <si>
    <t>Tower 3-2002</t>
  </si>
  <si>
    <t>2002194</t>
  </si>
  <si>
    <t>HARI NANDAN GUPTA</t>
  </si>
  <si>
    <t>ARMPG9821E</t>
  </si>
  <si>
    <t>2296/2024</t>
  </si>
  <si>
    <t>Tower 3-2107</t>
  </si>
  <si>
    <t>2002201</t>
  </si>
  <si>
    <t>HARIOM SANDEEP PRABHAKARSINGH</t>
  </si>
  <si>
    <t>BVXPP4654A</t>
  </si>
  <si>
    <t>1783/2024</t>
  </si>
  <si>
    <t>Tower 1-201</t>
  </si>
  <si>
    <t>2018847</t>
  </si>
  <si>
    <t>HARSHAD SHANKAR DAINGADE</t>
  </si>
  <si>
    <t>BYHPD8086M</t>
  </si>
  <si>
    <t>Tower 8-607</t>
  </si>
  <si>
    <t>2002501</t>
  </si>
  <si>
    <t>HARSHADA RAVINDRA PRABHUNE</t>
  </si>
  <si>
    <t>AUCPP8446D</t>
  </si>
  <si>
    <t>1774/2024</t>
  </si>
  <si>
    <t>Tower 7-1302</t>
  </si>
  <si>
    <t>2002306</t>
  </si>
  <si>
    <t>HARSHAL SUDHAKAR DARADE</t>
  </si>
  <si>
    <t>BZWPD9586Q</t>
  </si>
  <si>
    <t>2198/2024</t>
  </si>
  <si>
    <t>Tower 4-106</t>
  </si>
  <si>
    <t>106</t>
  </si>
  <si>
    <t>2002239</t>
  </si>
  <si>
    <t>HARSHARANI GYANOBA KACHE</t>
  </si>
  <si>
    <t>DPQPK5679D</t>
  </si>
  <si>
    <t>2637/2024</t>
  </si>
  <si>
    <t>Tower 8-901</t>
  </si>
  <si>
    <t>2002515</t>
  </si>
  <si>
    <t>HARSHVARDHAN TRIPATHI</t>
  </si>
  <si>
    <t>ARHPT1817E</t>
  </si>
  <si>
    <t>2623/2024</t>
  </si>
  <si>
    <t>Tower 6-1106</t>
  </si>
  <si>
    <t>1106</t>
  </si>
  <si>
    <t>2022046</t>
  </si>
  <si>
    <t>HEMAN JYOTI DEKA</t>
  </si>
  <si>
    <t>AHEPD9305J</t>
  </si>
  <si>
    <t>3610/2025</t>
  </si>
  <si>
    <t>Tower 5-1702</t>
  </si>
  <si>
    <t>2015509</t>
  </si>
  <si>
    <t>HEMANT NAVNATH JANRAO</t>
  </si>
  <si>
    <t>AMNPJ7894A</t>
  </si>
  <si>
    <t>2545/2024</t>
  </si>
  <si>
    <t>Tower 7-1408</t>
  </si>
  <si>
    <t>2002318</t>
  </si>
  <si>
    <t>HEMANT VIJAY BHOYAR</t>
  </si>
  <si>
    <t>CTNPB9370C</t>
  </si>
  <si>
    <t>1971/2024</t>
  </si>
  <si>
    <t>Tower 3-2006</t>
  </si>
  <si>
    <t>2006</t>
  </si>
  <si>
    <t>2002195</t>
  </si>
  <si>
    <t>HEMANTKUMAR VINODKUMAR TAK</t>
  </si>
  <si>
    <t>AFRPT9179B</t>
  </si>
  <si>
    <t>1965/2024</t>
  </si>
  <si>
    <t>Tower 3-1608</t>
  </si>
  <si>
    <t>2002178</t>
  </si>
  <si>
    <t>HEMLATA SAMEER VASAVE</t>
  </si>
  <si>
    <t>AIIPV5621N</t>
  </si>
  <si>
    <t>2529/2024</t>
  </si>
  <si>
    <t>Tower 5-1502</t>
  </si>
  <si>
    <t>2017790</t>
  </si>
  <si>
    <t>HERIN K LAKDAWALA</t>
  </si>
  <si>
    <t>AGEPL1833A</t>
  </si>
  <si>
    <t>2495/2024</t>
  </si>
  <si>
    <t>Tower 6-1602</t>
  </si>
  <si>
    <t>2015602</t>
  </si>
  <si>
    <t>HIMANSHU VIJAY DUBE</t>
  </si>
  <si>
    <t>CBDPD9758G</t>
  </si>
  <si>
    <t>2451/2024</t>
  </si>
  <si>
    <t>Tower 7-2102</t>
  </si>
  <si>
    <t>2002365</t>
  </si>
  <si>
    <t>HINA DHAWAN</t>
  </si>
  <si>
    <t>BKZPD5040F</t>
  </si>
  <si>
    <t>2754/2024</t>
  </si>
  <si>
    <t>Tower 7-1107</t>
  </si>
  <si>
    <t>2018909</t>
  </si>
  <si>
    <t>HRUSHABH MAHESH SHINDE</t>
  </si>
  <si>
    <t>FBVPS5955R</t>
  </si>
  <si>
    <t>2631/2024</t>
  </si>
  <si>
    <t>Tower 2-1308</t>
  </si>
  <si>
    <t>1308</t>
  </si>
  <si>
    <t>2018097</t>
  </si>
  <si>
    <t>IMRAN SAYED</t>
  </si>
  <si>
    <t>ABUPI6345R</t>
  </si>
  <si>
    <t>Tower 4-502</t>
  </si>
  <si>
    <t>2002246</t>
  </si>
  <si>
    <t>IMTIYAJ MOHAMAD ALI SHAIKH</t>
  </si>
  <si>
    <t>AZHPS1381A</t>
  </si>
  <si>
    <t>1873/2024</t>
  </si>
  <si>
    <t>Tower 7-1504</t>
  </si>
  <si>
    <t>1504</t>
  </si>
  <si>
    <t>2002322</t>
  </si>
  <si>
    <t>INDRANIL CHOUDHURY</t>
  </si>
  <si>
    <t>AHOPC0257E</t>
  </si>
  <si>
    <t>1915/2024</t>
  </si>
  <si>
    <t>Tower 7-1602</t>
  </si>
  <si>
    <t>2002327</t>
  </si>
  <si>
    <t>INDRANIL SANGLE</t>
  </si>
  <si>
    <t>LOWPS0892F</t>
  </si>
  <si>
    <t>1822/2024</t>
  </si>
  <si>
    <t>Tower 7-308</t>
  </si>
  <si>
    <t>2002375</t>
  </si>
  <si>
    <t>ISHA SONI</t>
  </si>
  <si>
    <t>DWDPS3651F</t>
  </si>
  <si>
    <t>2814/2024</t>
  </si>
  <si>
    <t>Tower 5-701</t>
  </si>
  <si>
    <t>2015620</t>
  </si>
  <si>
    <t>JAGATAP PRANAV CHANDRAKANT</t>
  </si>
  <si>
    <t>AVUPJ8527C</t>
  </si>
  <si>
    <t>2297/2024</t>
  </si>
  <si>
    <t>2002265</t>
  </si>
  <si>
    <t>JAGDISH RAMESH BADGUJAR</t>
  </si>
  <si>
    <t>AIGPB5161K</t>
  </si>
  <si>
    <t>Tower 2-1108</t>
  </si>
  <si>
    <t>1108</t>
  </si>
  <si>
    <t>2018057</t>
  </si>
  <si>
    <t>JAIN TRISHA AMIT</t>
  </si>
  <si>
    <t>AVCPJ0197N</t>
  </si>
  <si>
    <t>Tower 4-102</t>
  </si>
  <si>
    <t>2017748</t>
  </si>
  <si>
    <t>JAIN VINISH VIKAS</t>
  </si>
  <si>
    <t>AHVPJ2365D</t>
  </si>
  <si>
    <t>2015/2024</t>
  </si>
  <si>
    <t>Tower 4-103</t>
  </si>
  <si>
    <t>2002237</t>
  </si>
  <si>
    <t>JANE ANTHONY KOMATHAN</t>
  </si>
  <si>
    <t>CRGPK3703H</t>
  </si>
  <si>
    <t>2080/2024</t>
  </si>
  <si>
    <t>Tower 1-902</t>
  </si>
  <si>
    <t>2019947</t>
  </si>
  <si>
    <t>JAVED SAIFUR RAHMAN</t>
  </si>
  <si>
    <t>AIIPR0716Q</t>
  </si>
  <si>
    <t>Tower 3-501</t>
  </si>
  <si>
    <t>2002213</t>
  </si>
  <si>
    <t>JAWARE PRAMOD</t>
  </si>
  <si>
    <t>BHFPJ9727C</t>
  </si>
  <si>
    <t>1853/2024</t>
  </si>
  <si>
    <t>Tower 7-1308</t>
  </si>
  <si>
    <t>2002311</t>
  </si>
  <si>
    <t>JAYANT DEOLAL WANKHADE</t>
  </si>
  <si>
    <t>ACBPW9010F</t>
  </si>
  <si>
    <t>2270/2024</t>
  </si>
  <si>
    <t>Tower 4-905</t>
  </si>
  <si>
    <t>2002260</t>
  </si>
  <si>
    <t>JAYESH VASANTLAL LOTIYA</t>
  </si>
  <si>
    <t>AAJPL1800E</t>
  </si>
  <si>
    <t>Tower 7-601</t>
  </si>
  <si>
    <t>2002385</t>
  </si>
  <si>
    <t>JAYESH YUVRAJ FIRAKE</t>
  </si>
  <si>
    <t>ADRPF3603J</t>
  </si>
  <si>
    <t>1869/2024</t>
  </si>
  <si>
    <t>Tower 4-101</t>
  </si>
  <si>
    <t>101</t>
  </si>
  <si>
    <t>2002236</t>
  </si>
  <si>
    <t>JAYSHREE DESHPANDE</t>
  </si>
  <si>
    <t>FFBPD0178D</t>
  </si>
  <si>
    <t>3332/2024</t>
  </si>
  <si>
    <t>Tower 2-901</t>
  </si>
  <si>
    <t>2023113</t>
  </si>
  <si>
    <t>JIGNABEN HIRENBHAI CHAVDA</t>
  </si>
  <si>
    <t>BIXPC0489F</t>
  </si>
  <si>
    <t>Tower 8-1402</t>
  </si>
  <si>
    <t>2002435</t>
  </si>
  <si>
    <t>JISHA PILLAI</t>
  </si>
  <si>
    <t>CRBPP3218D</t>
  </si>
  <si>
    <t>2079/2024</t>
  </si>
  <si>
    <t>Tower 7-1503</t>
  </si>
  <si>
    <t>2002321</t>
  </si>
  <si>
    <t>JITENDRA LACHHMAN MANGLANI</t>
  </si>
  <si>
    <t>AAZPM8504G</t>
  </si>
  <si>
    <t>1966/2024</t>
  </si>
  <si>
    <t>Tower 8-1102</t>
  </si>
  <si>
    <t>2002416</t>
  </si>
  <si>
    <t>JITENDRA TOLIRAM KAWLE</t>
  </si>
  <si>
    <t>CIFPK6708J</t>
  </si>
  <si>
    <t>1718/2024</t>
  </si>
  <si>
    <t>Tower 5-501</t>
  </si>
  <si>
    <t>2017912</t>
  </si>
  <si>
    <t>JITENDRA TUKARAM PATEL</t>
  </si>
  <si>
    <t>BSTPP6809A</t>
  </si>
  <si>
    <t>2540/2024</t>
  </si>
  <si>
    <t>Tower 3-1907</t>
  </si>
  <si>
    <t>1907</t>
  </si>
  <si>
    <t>2002190</t>
  </si>
  <si>
    <t>JIYA KUMARI</t>
  </si>
  <si>
    <t>FECPK5004D</t>
  </si>
  <si>
    <t>2277/2024</t>
  </si>
  <si>
    <t>Tower 8-1207</t>
  </si>
  <si>
    <t>1207</t>
  </si>
  <si>
    <t>2002426</t>
  </si>
  <si>
    <t>JOHN NANDKUMAR BHORE</t>
  </si>
  <si>
    <t>ASPHB3337L</t>
  </si>
  <si>
    <t>2000/2024</t>
  </si>
  <si>
    <t>Tower 8-406</t>
  </si>
  <si>
    <t>406</t>
  </si>
  <si>
    <t>2017312</t>
  </si>
  <si>
    <t>JONDHALE ROHIT BHIMRAO</t>
  </si>
  <si>
    <t>AUQPJ1613A</t>
  </si>
  <si>
    <t>4791/2024</t>
  </si>
  <si>
    <t>Tower 7-404</t>
  </si>
  <si>
    <t>2017494</t>
  </si>
  <si>
    <t>JOSHI MANOJ GANESHRAO</t>
  </si>
  <si>
    <t>BBPPJ2045H</t>
  </si>
  <si>
    <t>3490/2024</t>
  </si>
  <si>
    <t>Tower 6-2005</t>
  </si>
  <si>
    <t>2019528</t>
  </si>
  <si>
    <t>JOSHI PRADNYA SANTOSH</t>
  </si>
  <si>
    <t>BRAPJ0924L</t>
  </si>
  <si>
    <t>Tower 5-702</t>
  </si>
  <si>
    <t>2017816</t>
  </si>
  <si>
    <t>JOSHI REVATI DASDEO</t>
  </si>
  <si>
    <t>AXUPJ2709C</t>
  </si>
  <si>
    <t>2379/2024</t>
  </si>
  <si>
    <t>Tower 1-1808</t>
  </si>
  <si>
    <t>1808</t>
  </si>
  <si>
    <t>2018178</t>
  </si>
  <si>
    <t>JUBIKA SINGH</t>
  </si>
  <si>
    <t>DTUPK6118M</t>
  </si>
  <si>
    <t>Tower 6-402</t>
  </si>
  <si>
    <t>402</t>
  </si>
  <si>
    <t>2015480</t>
  </si>
  <si>
    <t>JYOTI SANDEEP KODAG</t>
  </si>
  <si>
    <t>HKKPK2361H</t>
  </si>
  <si>
    <t>2477/2024</t>
  </si>
  <si>
    <t>Tower 5-1201</t>
  </si>
  <si>
    <t>2017760</t>
  </si>
  <si>
    <t>KADLAG JAGDISH UTTAMRAO</t>
  </si>
  <si>
    <t>CFIPK9599F</t>
  </si>
  <si>
    <t>2573/2024</t>
  </si>
  <si>
    <t>Tower 3-1202</t>
  </si>
  <si>
    <t>2001881</t>
  </si>
  <si>
    <t>KAILVALYA DNYANESHWAR GHOLAP</t>
  </si>
  <si>
    <t>BNUPG2218J</t>
  </si>
  <si>
    <t>2172/2024</t>
  </si>
  <si>
    <t>Tower 8-801</t>
  </si>
  <si>
    <t>2002508</t>
  </si>
  <si>
    <t>KALPESH LAXMAN MAHAJAN</t>
  </si>
  <si>
    <t>KJFGH6787Y</t>
  </si>
  <si>
    <t>1807/2024</t>
  </si>
  <si>
    <t>Tower 4-1704</t>
  </si>
  <si>
    <t>2023374</t>
  </si>
  <si>
    <t>KALYANI VASANT DARADE</t>
  </si>
  <si>
    <t>AXEPD7341L</t>
  </si>
  <si>
    <t>Tower 6-1201</t>
  </si>
  <si>
    <t>2002269</t>
  </si>
  <si>
    <t>KAMLESH ANILRAO PATIL</t>
  </si>
  <si>
    <t>BHGPP2645N</t>
  </si>
  <si>
    <t>2501/2024</t>
  </si>
  <si>
    <t>Tower 3-1801</t>
  </si>
  <si>
    <t>2002183</t>
  </si>
  <si>
    <t>KAMLESH HIRALAL WAGH</t>
  </si>
  <si>
    <t>ADSPW8150E</t>
  </si>
  <si>
    <t>1866/2024</t>
  </si>
  <si>
    <t>Tower 7-808</t>
  </si>
  <si>
    <t>808</t>
  </si>
  <si>
    <t>2002403</t>
  </si>
  <si>
    <t>KANCHAN VIJAY PARDHI</t>
  </si>
  <si>
    <t>APYPT4129A</t>
  </si>
  <si>
    <t>1864/2024</t>
  </si>
  <si>
    <t>Tower 6-1004</t>
  </si>
  <si>
    <t>2018923</t>
  </si>
  <si>
    <t>KANEGAONKAR SUMIT SATISHRAO</t>
  </si>
  <si>
    <t>DZTPK0981H</t>
  </si>
  <si>
    <t>4142/2024</t>
  </si>
  <si>
    <t>Tower 5-401</t>
  </si>
  <si>
    <t>2015502</t>
  </si>
  <si>
    <t>KAPANDIS ARCHANA SANJAY</t>
  </si>
  <si>
    <t>BNCPK3661F</t>
  </si>
  <si>
    <t>2431/2024</t>
  </si>
  <si>
    <t>Difference Last year GST Reverse</t>
  </si>
  <si>
    <t>Tower 6-1606</t>
  </si>
  <si>
    <t>1606</t>
  </si>
  <si>
    <t>2015530</t>
  </si>
  <si>
    <t>KAPIL CHANDRAKANT MAGDUM</t>
  </si>
  <si>
    <t>APYPM2912E</t>
  </si>
  <si>
    <t>2940/2024</t>
  </si>
  <si>
    <t>Tower 7-806</t>
  </si>
  <si>
    <t>806</t>
  </si>
  <si>
    <t>2002401</t>
  </si>
  <si>
    <t>KAPIL KUMAR OJHA</t>
  </si>
  <si>
    <t>KSDAF4455P</t>
  </si>
  <si>
    <t>Tower 6-1107</t>
  </si>
  <si>
    <t>2002268</t>
  </si>
  <si>
    <t>KARAN BANDOPANT DHAGE</t>
  </si>
  <si>
    <t>BRIPD0721R</t>
  </si>
  <si>
    <t>1968/2024</t>
  </si>
  <si>
    <t>Tower 8-2108</t>
  </si>
  <si>
    <t>2002483</t>
  </si>
  <si>
    <t>KARTHIK M</t>
  </si>
  <si>
    <t>APSPK6584L</t>
  </si>
  <si>
    <t>3091/2024</t>
  </si>
  <si>
    <t>Tower 2-1004</t>
  </si>
  <si>
    <t>2020269</t>
  </si>
  <si>
    <t>KARUNA PRANESH SIDDHANTI</t>
  </si>
  <si>
    <t>BQZPK5402N</t>
  </si>
  <si>
    <t>Tower 3-1201</t>
  </si>
  <si>
    <t>2019743</t>
  </si>
  <si>
    <t>KASABE KOMAL HARI</t>
  </si>
  <si>
    <t>EHFPK9862N</t>
  </si>
  <si>
    <t>2454/2024</t>
  </si>
  <si>
    <t>Tower 8-1007</t>
  </si>
  <si>
    <t>2002412</t>
  </si>
  <si>
    <t>KAUSTUBH NEHTE</t>
  </si>
  <si>
    <t>AGMPN8860F</t>
  </si>
  <si>
    <t>2174/2024</t>
  </si>
  <si>
    <t>Tower 3-502</t>
  </si>
  <si>
    <t>2002214</t>
  </si>
  <si>
    <t>KAVISH UPADHYAY</t>
  </si>
  <si>
    <t>ADKPV9668B</t>
  </si>
  <si>
    <t>2115/2024</t>
  </si>
  <si>
    <t>Tower 1-1401</t>
  </si>
  <si>
    <t>2018169</t>
  </si>
  <si>
    <t>KAVITA BORWAL</t>
  </si>
  <si>
    <t>AKOPB5747R</t>
  </si>
  <si>
    <t>2022590</t>
  </si>
  <si>
    <t>KEDAR LAXMANRAO SARAF</t>
  </si>
  <si>
    <t>ETGPS2330C</t>
  </si>
  <si>
    <t>4282/2025</t>
  </si>
  <si>
    <t>Tower 3-608</t>
  </si>
  <si>
    <t>2002221</t>
  </si>
  <si>
    <t>KETAN NANDKISHOR MUNDADA</t>
  </si>
  <si>
    <t>AQIPM8947J</t>
  </si>
  <si>
    <t>1911/2024</t>
  </si>
  <si>
    <t>Tower 3-1802</t>
  </si>
  <si>
    <t>2002184</t>
  </si>
  <si>
    <t>KHADE VIKAS JOTIRAM</t>
  </si>
  <si>
    <t>CTDPK3012J</t>
  </si>
  <si>
    <t>2074/2024</t>
  </si>
  <si>
    <t>Tower 1-1901</t>
  </si>
  <si>
    <t>2017937</t>
  </si>
  <si>
    <t>KHATAL SANKET SANJAY</t>
  </si>
  <si>
    <t>DUGPK0877N</t>
  </si>
  <si>
    <t>Tower 8-804</t>
  </si>
  <si>
    <t>2002510</t>
  </si>
  <si>
    <t>KHEMCHAND KRIPLANI</t>
  </si>
  <si>
    <t>RRTMS1277L</t>
  </si>
  <si>
    <t>1829/2024</t>
  </si>
  <si>
    <t>Tower 8-706</t>
  </si>
  <si>
    <t>2002505</t>
  </si>
  <si>
    <t>KHUSHBOO GIRI</t>
  </si>
  <si>
    <t>BAOPG9408H</t>
  </si>
  <si>
    <t>1825/2024</t>
  </si>
  <si>
    <t>Tower 8-1307</t>
  </si>
  <si>
    <t>2002432</t>
  </si>
  <si>
    <t>KHUSHBU GAJAN GOWDAPATIL</t>
  </si>
  <si>
    <t>BPWPG1390B</t>
  </si>
  <si>
    <t>2094/2024</t>
  </si>
  <si>
    <t>Tower 3-805</t>
  </si>
  <si>
    <t>2020221</t>
  </si>
  <si>
    <t>KINJAL ADITYA SHAH</t>
  </si>
  <si>
    <t>CZMPM1379M</t>
  </si>
  <si>
    <t>Tower 7-1502</t>
  </si>
  <si>
    <t>2002320</t>
  </si>
  <si>
    <t>KIRAN JAGANNATH KARDEL</t>
  </si>
  <si>
    <t>DLDPK9726A</t>
  </si>
  <si>
    <t>1860/2024</t>
  </si>
  <si>
    <t>Tower 4-904</t>
  </si>
  <si>
    <t>2002259</t>
  </si>
  <si>
    <t>KIRAN PRAKASHRAO PANDE</t>
  </si>
  <si>
    <t>BRZPP6313G</t>
  </si>
  <si>
    <t>2043/2024</t>
  </si>
  <si>
    <t>Tower 3-908</t>
  </si>
  <si>
    <t>2002235</t>
  </si>
  <si>
    <t>KIRANKUMAR RAJABHAU BURSE</t>
  </si>
  <si>
    <t>AMNPB4145L</t>
  </si>
  <si>
    <t>2020/2024</t>
  </si>
  <si>
    <t>Tower 2-907</t>
  </si>
  <si>
    <t>2021855</t>
  </si>
  <si>
    <t>KISHOR BALKRUSHNA PATIL</t>
  </si>
  <si>
    <t>CSEPP2219J</t>
  </si>
  <si>
    <t>2021322</t>
  </si>
  <si>
    <t>KISHOR MURLIDHAR BAVISKAR</t>
  </si>
  <si>
    <t>ANIPB2103N</t>
  </si>
  <si>
    <t>Tower 7-1406</t>
  </si>
  <si>
    <t>2002316</t>
  </si>
  <si>
    <t>KOMAL NADEEM SHAIKH</t>
  </si>
  <si>
    <t>AJSPT1902D</t>
  </si>
  <si>
    <t>1845/2024</t>
  </si>
  <si>
    <t>Tower 4-503</t>
  </si>
  <si>
    <t>503</t>
  </si>
  <si>
    <t>2002247</t>
  </si>
  <si>
    <t>KOMAL ROSHAN</t>
  </si>
  <si>
    <t>BFOPR1964N</t>
  </si>
  <si>
    <t>1804/2024</t>
  </si>
  <si>
    <t>Tower 8-2104</t>
  </si>
  <si>
    <t>2002481</t>
  </si>
  <si>
    <t>KOMAL SURESH SINGH</t>
  </si>
  <si>
    <t>IHMPS2621L</t>
  </si>
  <si>
    <t>Tower 3-1703</t>
  </si>
  <si>
    <t>2020057</t>
  </si>
  <si>
    <t>KORE AMOL CHANDRAKANT</t>
  </si>
  <si>
    <t>EPLPK1338K</t>
  </si>
  <si>
    <t>HVL28/208/2025</t>
  </si>
  <si>
    <t>Tower 2-1107</t>
  </si>
  <si>
    <t>2019901</t>
  </si>
  <si>
    <t>KOUSTUBH VASANT PAWAR</t>
  </si>
  <si>
    <t>DPIPP9873N</t>
  </si>
  <si>
    <t>Tower 8-1808</t>
  </si>
  <si>
    <t>2002466</t>
  </si>
  <si>
    <t>KRANTI SAKHARAM NAWALE</t>
  </si>
  <si>
    <t>BDYPN7152E</t>
  </si>
  <si>
    <t>2411/2024</t>
  </si>
  <si>
    <t>Tower 8-404</t>
  </si>
  <si>
    <t>2002492</t>
  </si>
  <si>
    <t>KRISHNA RAVINDRAKUMAR BIYANI</t>
  </si>
  <si>
    <t>DKYPB2128H</t>
  </si>
  <si>
    <t>1978/2024</t>
  </si>
  <si>
    <t>Tower 6-808</t>
  </si>
  <si>
    <t>2019437</t>
  </si>
  <si>
    <t>KSHIRSAGAR MAYUR GANGADHAR</t>
  </si>
  <si>
    <t>BQNPK3146H</t>
  </si>
  <si>
    <t>2898/2024</t>
  </si>
  <si>
    <t>Tower 3-1603</t>
  </si>
  <si>
    <t>2015571</t>
  </si>
  <si>
    <t>KULKARNI SACHIN PRABHAKAR</t>
  </si>
  <si>
    <t>AFVPK3201K</t>
  </si>
  <si>
    <t>2974/2024</t>
  </si>
  <si>
    <t>2002407</t>
  </si>
  <si>
    <t>KUMAR SAMARTH</t>
  </si>
  <si>
    <t>BXAPS0115A</t>
  </si>
  <si>
    <t>Tower 2-1801</t>
  </si>
  <si>
    <t>2019031</t>
  </si>
  <si>
    <t>KUMBHAR NEHAL VASANT</t>
  </si>
  <si>
    <t>DYHPK4541Q</t>
  </si>
  <si>
    <t>Tower 3-702</t>
  </si>
  <si>
    <t>2002223</t>
  </si>
  <si>
    <t>KUNAL MAHENDRA BORSE</t>
  </si>
  <si>
    <t>BYCPB8673H</t>
  </si>
  <si>
    <t>1877/2024</t>
  </si>
  <si>
    <t>Tower 1-1308</t>
  </si>
  <si>
    <t>2020492</t>
  </si>
  <si>
    <t>KUNDANSING SATISH KAYATE</t>
  </si>
  <si>
    <t>FYBPK8423F</t>
  </si>
  <si>
    <t>Tower 5-302</t>
  </si>
  <si>
    <t>302</t>
  </si>
  <si>
    <t>2018689</t>
  </si>
  <si>
    <t>Kunti Khemani</t>
  </si>
  <si>
    <t>BQVPK0493D</t>
  </si>
  <si>
    <t>2765/2024</t>
  </si>
  <si>
    <t>Tower 1-1707</t>
  </si>
  <si>
    <t>2018065</t>
  </si>
  <si>
    <t>KUSHAL SANJAY JADHAV</t>
  </si>
  <si>
    <t>BTHPJ6187L</t>
  </si>
  <si>
    <t>Tower 5-902</t>
  </si>
  <si>
    <t>2017994</t>
  </si>
  <si>
    <t>KUSUM BHUPENDRAKUMAR SHARMA</t>
  </si>
  <si>
    <t>PAUPS3030R</t>
  </si>
  <si>
    <t>2518/2024</t>
  </si>
  <si>
    <t>Tower 4-2104</t>
  </si>
  <si>
    <t>2021021</t>
  </si>
  <si>
    <t>LAD GAURI GAJANAN</t>
  </si>
  <si>
    <t>AMCPL9623J</t>
  </si>
  <si>
    <t>Tower 6-801</t>
  </si>
  <si>
    <t>2002277</t>
  </si>
  <si>
    <t>LAXMAN SUBHASH HUKIRE</t>
  </si>
  <si>
    <t>ADEPH7544K</t>
  </si>
  <si>
    <t>2057/2024</t>
  </si>
  <si>
    <t>Tower 3-2201</t>
  </si>
  <si>
    <t>2002203</t>
  </si>
  <si>
    <t>LAXMI HAMMANTRAO MARPALE</t>
  </si>
  <si>
    <t>BPRPM2618R</t>
  </si>
  <si>
    <t>3333/2024</t>
  </si>
  <si>
    <t>Tower 3-2205</t>
  </si>
  <si>
    <t>2205</t>
  </si>
  <si>
    <t>2019519</t>
  </si>
  <si>
    <t>LEENA GANDHE NILESH</t>
  </si>
  <si>
    <t>DQQPG7372Q</t>
  </si>
  <si>
    <t>Tower 3-2108</t>
  </si>
  <si>
    <t>2002202</t>
  </si>
  <si>
    <t>LEENA SHYAMSINGH MANGLORE</t>
  </si>
  <si>
    <t>AHAPJ7783Q</t>
  </si>
  <si>
    <t>2185/2024</t>
  </si>
  <si>
    <t>2020519</t>
  </si>
  <si>
    <t>LILA NANARAO GHUGE</t>
  </si>
  <si>
    <t>ESDPG3138L</t>
  </si>
  <si>
    <t>Tower 3-2005</t>
  </si>
  <si>
    <t>2017827</t>
  </si>
  <si>
    <t>LOHAR GANESH BHIKA</t>
  </si>
  <si>
    <t>ANBPL2602D</t>
  </si>
  <si>
    <t>2433/2024</t>
  </si>
  <si>
    <t>Tower 3-806</t>
  </si>
  <si>
    <t>2017660</t>
  </si>
  <si>
    <t>MACVIN ANDREW DMELLO</t>
  </si>
  <si>
    <t>APFPD2155M</t>
  </si>
  <si>
    <t>4094/2024</t>
  </si>
  <si>
    <t>Tower 3-2008</t>
  </si>
  <si>
    <t>2002197</t>
  </si>
  <si>
    <t>MADHURESH SURESH BHAGWAT</t>
  </si>
  <si>
    <t>CTFPB9301K</t>
  </si>
  <si>
    <t>1862/2024</t>
  </si>
  <si>
    <t>Tower 8-1803</t>
  </si>
  <si>
    <t>2002462</t>
  </si>
  <si>
    <t>MADHURI ARUNRAO SHINDE</t>
  </si>
  <si>
    <t>ALALK6756T</t>
  </si>
  <si>
    <t>Tower 8-1606</t>
  </si>
  <si>
    <t>2017793</t>
  </si>
  <si>
    <t>MAHADEV</t>
  </si>
  <si>
    <t>BSAPM6877Q</t>
  </si>
  <si>
    <t>3329/2024</t>
  </si>
  <si>
    <t>Tower 8-1701</t>
  </si>
  <si>
    <t>2002453</t>
  </si>
  <si>
    <t>MAHENDRA PRATAP SINGH</t>
  </si>
  <si>
    <t>CVMPS1733H</t>
  </si>
  <si>
    <t>2169/2024</t>
  </si>
  <si>
    <t>Tower 6-1207</t>
  </si>
  <si>
    <t>2015779</t>
  </si>
  <si>
    <t>MAHESH BABRUWAN THAKUR</t>
  </si>
  <si>
    <t>AQBPT2685H</t>
  </si>
  <si>
    <t>2498/2024</t>
  </si>
  <si>
    <t>Tower 8-507</t>
  </si>
  <si>
    <t>2002497</t>
  </si>
  <si>
    <t>MAHESH DATTATRAYA GADADE</t>
  </si>
  <si>
    <t>BEVPG2582P</t>
  </si>
  <si>
    <t>1830/2024</t>
  </si>
  <si>
    <t>Tower 3-801</t>
  </si>
  <si>
    <t>2002227</t>
  </si>
  <si>
    <t>MAHESH DATTATRAYA GADE</t>
  </si>
  <si>
    <t>BQGPG0838M</t>
  </si>
  <si>
    <t>1793/2024</t>
  </si>
  <si>
    <t>Tower 3-1707</t>
  </si>
  <si>
    <t>2002181</t>
  </si>
  <si>
    <t>MAHESH POPAT LONDHE</t>
  </si>
  <si>
    <t>AJKPL7325C</t>
  </si>
  <si>
    <t>3829/2024</t>
  </si>
  <si>
    <t>Tower 8-1801</t>
  </si>
  <si>
    <t>2002460</t>
  </si>
  <si>
    <t>MAHESH SHIVAJI JADHAV</t>
  </si>
  <si>
    <t>AKWPJ7245C</t>
  </si>
  <si>
    <t>2121/2024</t>
  </si>
  <si>
    <t>Tower 8-1906</t>
  </si>
  <si>
    <t>1906</t>
  </si>
  <si>
    <t>2020219</t>
  </si>
  <si>
    <t>MAHESH VYAS</t>
  </si>
  <si>
    <t>AMNPV4587A</t>
  </si>
  <si>
    <t>256/2025</t>
  </si>
  <si>
    <t>Tower 1-1807</t>
  </si>
  <si>
    <t>1807</t>
  </si>
  <si>
    <t>2020046</t>
  </si>
  <si>
    <t>MAHESHKUMAR PARMESHWAR SURYAVANSHI</t>
  </si>
  <si>
    <t>CZQPS2675N</t>
  </si>
  <si>
    <t>Tower 7-1204</t>
  </si>
  <si>
    <t>1204</t>
  </si>
  <si>
    <t>2002301</t>
  </si>
  <si>
    <t>MAHIMA SONI</t>
  </si>
  <si>
    <t>FMLPS1720R</t>
  </si>
  <si>
    <t>Tower 8-1408</t>
  </si>
  <si>
    <t>2002439</t>
  </si>
  <si>
    <t>MAITREYEE SAHOO</t>
  </si>
  <si>
    <t>BOTPS6295D</t>
  </si>
  <si>
    <t>1717/2024</t>
  </si>
  <si>
    <t>Tower 8-1208</t>
  </si>
  <si>
    <t>1208</t>
  </si>
  <si>
    <t>2002427</t>
  </si>
  <si>
    <t>MANASI VIKRANT TAWDE</t>
  </si>
  <si>
    <t>AQIPT4526A</t>
  </si>
  <si>
    <t>1846/2024</t>
  </si>
  <si>
    <t>Tower 6-508</t>
  </si>
  <si>
    <t>508</t>
  </si>
  <si>
    <t>2017990</t>
  </si>
  <si>
    <t>MANDAR JEETENDRA DUKHANDE</t>
  </si>
  <si>
    <t>CBJPD6077L</t>
  </si>
  <si>
    <t>2533/2024</t>
  </si>
  <si>
    <t>Tower 7-605</t>
  </si>
  <si>
    <t>605</t>
  </si>
  <si>
    <t>2019157</t>
  </si>
  <si>
    <t>MANE DILIP MALLIKARJUN</t>
  </si>
  <si>
    <t>ABHPM6195N</t>
  </si>
  <si>
    <t>Tower 7-402</t>
  </si>
  <si>
    <t>2002377</t>
  </si>
  <si>
    <t>MANGAL PRAKASH SHINDE</t>
  </si>
  <si>
    <t>ENJPS4900M</t>
  </si>
  <si>
    <t>1975/2024</t>
  </si>
  <si>
    <t>Tower 8-903</t>
  </si>
  <si>
    <t>903</t>
  </si>
  <si>
    <t>2002517</t>
  </si>
  <si>
    <t>MANGESH NATHURAM JADHAV</t>
  </si>
  <si>
    <t>ABGPJ0301E</t>
  </si>
  <si>
    <t>2028/2024</t>
  </si>
  <si>
    <t>Tower 2-802</t>
  </si>
  <si>
    <t>2018446</t>
  </si>
  <si>
    <t>MANISH KANKANI</t>
  </si>
  <si>
    <t>ASQPK6288G</t>
  </si>
  <si>
    <t>Tower 3-1107</t>
  </si>
  <si>
    <t>2001878</t>
  </si>
  <si>
    <t>MANISH SANDESH KOTHE</t>
  </si>
  <si>
    <t>CADPK1429G</t>
  </si>
  <si>
    <t>1907/2024</t>
  </si>
  <si>
    <t>Tower 7-1908</t>
  </si>
  <si>
    <t>2002352</t>
  </si>
  <si>
    <t>MANISHA ASHOK BABAR</t>
  </si>
  <si>
    <t>AZMPB2201M</t>
  </si>
  <si>
    <t>1865/2024</t>
  </si>
  <si>
    <t>Tower 7-508</t>
  </si>
  <si>
    <t>2002384</t>
  </si>
  <si>
    <t>MANISHA DAGAJIRAO PATIL</t>
  </si>
  <si>
    <t>AUMPP6899G</t>
  </si>
  <si>
    <t>2173/2024</t>
  </si>
  <si>
    <t>Tower 6-1806</t>
  </si>
  <si>
    <t>1806</t>
  </si>
  <si>
    <t>2021146</t>
  </si>
  <si>
    <t>MANISHA MANOHAR PATIL</t>
  </si>
  <si>
    <t>EOHPP7211F</t>
  </si>
  <si>
    <t>2234/2025</t>
  </si>
  <si>
    <t>2002308</t>
  </si>
  <si>
    <t>MANOJ BHAGWAT TIKALE</t>
  </si>
  <si>
    <t>AQNPT1177C</t>
  </si>
  <si>
    <t>2022048</t>
  </si>
  <si>
    <t>2420/2024</t>
  </si>
  <si>
    <t>Tower 7-2005</t>
  </si>
  <si>
    <t>2015774</t>
  </si>
  <si>
    <t>MANOJ DATTATRAY PAKHARE</t>
  </si>
  <si>
    <t>AOIPP4413L</t>
  </si>
  <si>
    <t>Tower 6-502</t>
  </si>
  <si>
    <t>2002270</t>
  </si>
  <si>
    <t>MANOJ UMAKANT PATIL</t>
  </si>
  <si>
    <t>ASLPP2757Q</t>
  </si>
  <si>
    <t>2551/2024</t>
  </si>
  <si>
    <t>Tower 3-505</t>
  </si>
  <si>
    <t>2017777</t>
  </si>
  <si>
    <t>MANOJKUMAR GANESH AMRUTKAR</t>
  </si>
  <si>
    <t>BTUPA3100R</t>
  </si>
  <si>
    <t>2791/2024</t>
  </si>
  <si>
    <t>Tower 8-1403</t>
  </si>
  <si>
    <t>1403</t>
  </si>
  <si>
    <t>2002436</t>
  </si>
  <si>
    <t>MANSOOR ALAM</t>
  </si>
  <si>
    <t>BUMPM4451J</t>
  </si>
  <si>
    <t>2088/2024</t>
  </si>
  <si>
    <t>Tower 3-601</t>
  </si>
  <si>
    <t>2002217</t>
  </si>
  <si>
    <t>MAYA VIDHYADHAR DESHMUKH</t>
  </si>
  <si>
    <t>BWPPD6806D</t>
  </si>
  <si>
    <t>2393/2024</t>
  </si>
  <si>
    <t>Tower 6-2004</t>
  </si>
  <si>
    <t>2017714</t>
  </si>
  <si>
    <t>Mayank Thakur</t>
  </si>
  <si>
    <t>AQQPT1010R</t>
  </si>
  <si>
    <t>3741/2024</t>
  </si>
  <si>
    <t>Tower 7-2002</t>
  </si>
  <si>
    <t>2002354</t>
  </si>
  <si>
    <t>MAYUR JIVANRAO KALE</t>
  </si>
  <si>
    <t>EQAPK6693D</t>
  </si>
  <si>
    <t>1989/2024</t>
  </si>
  <si>
    <t>Tower 8-1202</t>
  </si>
  <si>
    <t>2002422</t>
  </si>
  <si>
    <t>MAYUR MANIK GAIKWAD</t>
  </si>
  <si>
    <t>BXDPG7909K</t>
  </si>
  <si>
    <t>1710/2024</t>
  </si>
  <si>
    <t>2002182</t>
  </si>
  <si>
    <t>MAYUR RAJU ANDHARE</t>
  </si>
  <si>
    <t>NHMPO7069D</t>
  </si>
  <si>
    <t>Tower 6-1308</t>
  </si>
  <si>
    <t>2020150</t>
  </si>
  <si>
    <t>MAYUR SHIVAJI SHEWALE</t>
  </si>
  <si>
    <t>KUJPS8376G</t>
  </si>
  <si>
    <t>2569/2024</t>
  </si>
  <si>
    <t>Tower 8-301</t>
  </si>
  <si>
    <t>2002486</t>
  </si>
  <si>
    <t>MAYUR SHRIMANT GHORPADE</t>
  </si>
  <si>
    <t>CQKPG4882N</t>
  </si>
  <si>
    <t>1742/2024</t>
  </si>
  <si>
    <t>Tower 2-902</t>
  </si>
  <si>
    <t>2018499</t>
  </si>
  <si>
    <t>MAYURI KISHOR BAWANKULE</t>
  </si>
  <si>
    <t>BZOPB6613E</t>
  </si>
  <si>
    <t>Tower 7-1604</t>
  </si>
  <si>
    <t>2002328</t>
  </si>
  <si>
    <t>MAYURI SAGAR AKOLKAR</t>
  </si>
  <si>
    <t>CHWPS3951H</t>
  </si>
  <si>
    <t>2136/2024</t>
  </si>
  <si>
    <t>2002326</t>
  </si>
  <si>
    <t>MEENU JAYRAJ SHAH</t>
  </si>
  <si>
    <t>AQWPB6304Q</t>
  </si>
  <si>
    <t>2412/2024</t>
  </si>
  <si>
    <t>Tower 6-701</t>
  </si>
  <si>
    <t>2002274</t>
  </si>
  <si>
    <t>MEGHA PRASHANT MEDHE</t>
  </si>
  <si>
    <t>AVSPA2917R</t>
  </si>
  <si>
    <t>2275/2024</t>
  </si>
  <si>
    <t>2018831</t>
  </si>
  <si>
    <t>MEGHA RAHUL NIMBALKAR</t>
  </si>
  <si>
    <t>CBDPN3325D</t>
  </si>
  <si>
    <t>Tower 8-401</t>
  </si>
  <si>
    <t>2002490</t>
  </si>
  <si>
    <t>MEGHA SHREERAM SAKHARKAR</t>
  </si>
  <si>
    <t>HEJPS5580D</t>
  </si>
  <si>
    <t>1908/2024</t>
  </si>
  <si>
    <t>Tower 1-1702</t>
  </si>
  <si>
    <t>2017967</t>
  </si>
  <si>
    <t>MEHTA SARSWATI MAHENDRA</t>
  </si>
  <si>
    <t>AMKPM6823B</t>
  </si>
  <si>
    <t>2019518</t>
  </si>
  <si>
    <t>MEHUL TOMAR</t>
  </si>
  <si>
    <t>ATFPT6862M</t>
  </si>
  <si>
    <t>2022127</t>
  </si>
  <si>
    <t>2020301</t>
  </si>
  <si>
    <t>MER KISHOR KALUBHAI</t>
  </si>
  <si>
    <t>AUQPM4613B</t>
  </si>
  <si>
    <t>Tower 2-1501</t>
  </si>
  <si>
    <t>2018191</t>
  </si>
  <si>
    <t>MHETRE PRADNYA DILIP</t>
  </si>
  <si>
    <t>CRXPM7266A</t>
  </si>
  <si>
    <t>Tower 7-1003</t>
  </si>
  <si>
    <t>2017787</t>
  </si>
  <si>
    <t>MIHIR SHAILENDRA PARKAR</t>
  </si>
  <si>
    <t>AQTPP9614N</t>
  </si>
  <si>
    <t>2815/2024</t>
  </si>
  <si>
    <t>Tower 6-1208</t>
  </si>
  <si>
    <t>2017982</t>
  </si>
  <si>
    <t>MILIND BHAGWAN TAKAWALE</t>
  </si>
  <si>
    <t>ALAPT4555A</t>
  </si>
  <si>
    <t>2846/2024</t>
  </si>
  <si>
    <t>Tower 7-702</t>
  </si>
  <si>
    <t>2002392</t>
  </si>
  <si>
    <t>MINAL DILIP SONAWANE</t>
  </si>
  <si>
    <t>JDOPS9240A</t>
  </si>
  <si>
    <t>1973/2024</t>
  </si>
  <si>
    <t>Tower 5-1501</t>
  </si>
  <si>
    <t>2018010</t>
  </si>
  <si>
    <t>MINU ARUN ARAKKAL</t>
  </si>
  <si>
    <t>CLGPM3572A</t>
  </si>
  <si>
    <t>2447/2024</t>
  </si>
  <si>
    <t>Tower 1-508</t>
  </si>
  <si>
    <t>2018511</t>
  </si>
  <si>
    <t>MIRAJKAR APURVA AJAY</t>
  </si>
  <si>
    <t>ADYPB4236E</t>
  </si>
  <si>
    <t>Tower 2-808</t>
  </si>
  <si>
    <t>2018503</t>
  </si>
  <si>
    <t>MOHAMMAD HUSSAIN</t>
  </si>
  <si>
    <t>ABBPH7349K</t>
  </si>
  <si>
    <t>Tower 3-2101</t>
  </si>
  <si>
    <t>2002198</t>
  </si>
  <si>
    <t>MOHIT MANOJ CHAUDHARI</t>
  </si>
  <si>
    <t>CMCPC4337A</t>
  </si>
  <si>
    <t>2042/2024</t>
  </si>
  <si>
    <t>Tower 8-1507</t>
  </si>
  <si>
    <t>2002445</t>
  </si>
  <si>
    <t>MOHIT SINGH</t>
  </si>
  <si>
    <t>IMVPS1369R</t>
  </si>
  <si>
    <t>2023/2024</t>
  </si>
  <si>
    <t>Tower 5-904</t>
  </si>
  <si>
    <t>2020540</t>
  </si>
  <si>
    <t>MOHNISH NYATI</t>
  </si>
  <si>
    <t>AHHPN4974E</t>
  </si>
  <si>
    <t>2021216</t>
  </si>
  <si>
    <t>MONI KUMARI</t>
  </si>
  <si>
    <t>CZBPK9250J</t>
  </si>
  <si>
    <t>Tower 7-708</t>
  </si>
  <si>
    <t>2002396</t>
  </si>
  <si>
    <t>MONICA BHOSALE</t>
  </si>
  <si>
    <t>AKVPB2206L</t>
  </si>
  <si>
    <t>2021/2024</t>
  </si>
  <si>
    <t>Tower 3-2208</t>
  </si>
  <si>
    <t>2002204</t>
  </si>
  <si>
    <t>MONIKA .</t>
  </si>
  <si>
    <t>ASTPM4784G</t>
  </si>
  <si>
    <t>2195/2024</t>
  </si>
  <si>
    <t>Tower 1-1108</t>
  </si>
  <si>
    <t>2020581</t>
  </si>
  <si>
    <t>MONIKA TIRTH SHINDE</t>
  </si>
  <si>
    <t>AUTPB3850C</t>
  </si>
  <si>
    <t>Tower 2-1305</t>
  </si>
  <si>
    <t>2019764</t>
  </si>
  <si>
    <t>MORE SHASHIKALA RAJAN</t>
  </si>
  <si>
    <t>BGIPM6455Q</t>
  </si>
  <si>
    <t>Tower 7-2008</t>
  </si>
  <si>
    <t>2002358</t>
  </si>
  <si>
    <t>MRUNAL KISHOR PATHAK</t>
  </si>
  <si>
    <t>BFUPP0054H</t>
  </si>
  <si>
    <t>2294/2024</t>
  </si>
  <si>
    <t>Tower 8-307</t>
  </si>
  <si>
    <t>307</t>
  </si>
  <si>
    <t>2002488</t>
  </si>
  <si>
    <t>NAGENDRA KUMAR BOKADE</t>
  </si>
  <si>
    <t>BHLPB3862Q</t>
  </si>
  <si>
    <t>1801/2024</t>
  </si>
  <si>
    <t>Tower 8-1101</t>
  </si>
  <si>
    <t>2002415</t>
  </si>
  <si>
    <t>NAJUKA DADASAHEB GHULE</t>
  </si>
  <si>
    <t>BJMPG8599J</t>
  </si>
  <si>
    <t>2456/2024</t>
  </si>
  <si>
    <t>Tower 7-2108</t>
  </si>
  <si>
    <t>2002368</t>
  </si>
  <si>
    <t>NANA MADHUKAR GAIKWAD</t>
  </si>
  <si>
    <t>AJDPG3776D</t>
  </si>
  <si>
    <t>1930/2024</t>
  </si>
  <si>
    <t>Tower 2-2201</t>
  </si>
  <si>
    <t>2019340</t>
  </si>
  <si>
    <t>NANDU SHANKARRAO BIRADAR</t>
  </si>
  <si>
    <t>AQDPB0697D</t>
  </si>
  <si>
    <t>Tower 7-2004</t>
  </si>
  <si>
    <t>2002355</t>
  </si>
  <si>
    <t>NARESH KUMAR CHHUTTANI</t>
  </si>
  <si>
    <t>ADIPC7150Q</t>
  </si>
  <si>
    <t>2022/2024</t>
  </si>
  <si>
    <t>Tower 6-1204</t>
  </si>
  <si>
    <t>3.5BHK</t>
  </si>
  <si>
    <t>2022077</t>
  </si>
  <si>
    <t>NAROTTAM NAGI</t>
  </si>
  <si>
    <t>ASRPN7173L</t>
  </si>
  <si>
    <t>3915/2025</t>
  </si>
  <si>
    <t>Tower 8-302</t>
  </si>
  <si>
    <t>2002487</t>
  </si>
  <si>
    <t>NAUSHIN PIRMOHAMED SHAIKH</t>
  </si>
  <si>
    <t>GGDPS0908E</t>
  </si>
  <si>
    <t>2092/2024</t>
  </si>
  <si>
    <t>Tower 7-403</t>
  </si>
  <si>
    <t>2017797</t>
  </si>
  <si>
    <t>NAVARATNA RAMCHANDRA NIRMALE</t>
  </si>
  <si>
    <t>BBKPN1160J</t>
  </si>
  <si>
    <t>3489/2024</t>
  </si>
  <si>
    <t>Tower 3-602</t>
  </si>
  <si>
    <t>2002218</t>
  </si>
  <si>
    <t>NAVIN SHARMA</t>
  </si>
  <si>
    <t>DZXPS5346N</t>
  </si>
  <si>
    <t>2086/2024</t>
  </si>
  <si>
    <t>2018726</t>
  </si>
  <si>
    <t>NEELAM SATISH RAUT</t>
  </si>
  <si>
    <t>BCTPR5177D</t>
  </si>
  <si>
    <t>Tower 6-1304</t>
  </si>
  <si>
    <t>2017985</t>
  </si>
  <si>
    <t>NEERAJ BALIRAJ PRAJAPATI</t>
  </si>
  <si>
    <t>DXAPP4452F</t>
  </si>
  <si>
    <t>2370/2024</t>
  </si>
  <si>
    <t>Tower 6-708</t>
  </si>
  <si>
    <t>2017848</t>
  </si>
  <si>
    <t>NEERAJ SINGH BAni</t>
  </si>
  <si>
    <t>CKTPB2591Q</t>
  </si>
  <si>
    <t>2442/2024</t>
  </si>
  <si>
    <t>Tower 5-601</t>
  </si>
  <si>
    <t>2015484</t>
  </si>
  <si>
    <t>NEHA BAN</t>
  </si>
  <si>
    <t>DASPB7385C</t>
  </si>
  <si>
    <t>2819/2024</t>
  </si>
  <si>
    <t>Tower 3-1206</t>
  </si>
  <si>
    <t>2015478</t>
  </si>
  <si>
    <t>NEHA SUBHASH ZOTING</t>
  </si>
  <si>
    <t>ABJPZ5270D</t>
  </si>
  <si>
    <t>2731/2024</t>
  </si>
  <si>
    <t>Tower 5-1804</t>
  </si>
  <si>
    <t>2019895</t>
  </si>
  <si>
    <t>NIDHI MAHENDRA SAVLA</t>
  </si>
  <si>
    <t>FHZPS8759F</t>
  </si>
  <si>
    <t>2020076</t>
  </si>
  <si>
    <t>161/2025</t>
  </si>
  <si>
    <t>Tower 3-1106</t>
  </si>
  <si>
    <t>2017910</t>
  </si>
  <si>
    <t>NIDHI SAHU</t>
  </si>
  <si>
    <t>CRUPS0182C</t>
  </si>
  <si>
    <t>2893/2024</t>
  </si>
  <si>
    <t>Tower 7-2105</t>
  </si>
  <si>
    <t>2018056</t>
  </si>
  <si>
    <t>NIHARIKA ANIL PILLAY</t>
  </si>
  <si>
    <t>EEOPP1493C</t>
  </si>
  <si>
    <t>3999/2024</t>
  </si>
  <si>
    <t>Tower 3-1402</t>
  </si>
  <si>
    <t>2001891</t>
  </si>
  <si>
    <t>NIKHIL DAYANAND SATHE</t>
  </si>
  <si>
    <t>JCJPS3599L</t>
  </si>
  <si>
    <t>2078/2024</t>
  </si>
  <si>
    <t>Tower 3-2106</t>
  </si>
  <si>
    <t>2106</t>
  </si>
  <si>
    <t>2018856</t>
  </si>
  <si>
    <t>NIKHIL KAKADE</t>
  </si>
  <si>
    <t>BVEPK2624N</t>
  </si>
  <si>
    <t>Tower 5-901</t>
  </si>
  <si>
    <t>2017960</t>
  </si>
  <si>
    <t>Nikhil N ravan</t>
  </si>
  <si>
    <t>BVIPR0718J</t>
  </si>
  <si>
    <t>2546/2024</t>
  </si>
  <si>
    <t>Tower 7-701</t>
  </si>
  <si>
    <t>2002391</t>
  </si>
  <si>
    <t>NIKHIL RAMCHANDRA PATIL</t>
  </si>
  <si>
    <t>BPZPP0642A</t>
  </si>
  <si>
    <t>2184/2024</t>
  </si>
  <si>
    <t>Tower 3-1803</t>
  </si>
  <si>
    <t>2017836</t>
  </si>
  <si>
    <t>NIKHIL VIJAY JAGTAP</t>
  </si>
  <si>
    <t>BACPJ7077F</t>
  </si>
  <si>
    <t>2890/2024</t>
  </si>
  <si>
    <t>Tower 7-1102</t>
  </si>
  <si>
    <t>2002292</t>
  </si>
  <si>
    <t>NILIMA RANGANATH UKANDE</t>
  </si>
  <si>
    <t>ABWPU7073Q</t>
  </si>
  <si>
    <t>2064/2024</t>
  </si>
  <si>
    <t>Tower 7-1105</t>
  </si>
  <si>
    <t>2017970</t>
  </si>
  <si>
    <t>NILIMA SUDHIR OMERGEKAR</t>
  </si>
  <si>
    <t>AXFPD6468B</t>
  </si>
  <si>
    <t>2721/2024</t>
  </si>
  <si>
    <t>Tower 7-1806</t>
  </si>
  <si>
    <t>2002344</t>
  </si>
  <si>
    <t>NIRANJAN ANIL PATIL</t>
  </si>
  <si>
    <t>EQOPP7497C</t>
  </si>
  <si>
    <t>2900/2024</t>
  </si>
  <si>
    <t>2022126</t>
  </si>
  <si>
    <t>NIRUPAMA MANOHAR KAKADE</t>
  </si>
  <si>
    <t>BGCPK0308L</t>
  </si>
  <si>
    <t>Tower 6-307</t>
  </si>
  <si>
    <t>2017984</t>
  </si>
  <si>
    <t>NISHANT MAKKAR</t>
  </si>
  <si>
    <t>CHFPM7888G</t>
  </si>
  <si>
    <t>2343/2024</t>
  </si>
  <si>
    <t>Tower 3-307</t>
  </si>
  <si>
    <t>2002207</t>
  </si>
  <si>
    <t>NITESH BHOMARAM KHER</t>
  </si>
  <si>
    <t>BVKPK1233R</t>
  </si>
  <si>
    <t>2903/2024</t>
  </si>
  <si>
    <t>2018359</t>
  </si>
  <si>
    <t>NITESH KUMAR</t>
  </si>
  <si>
    <t>BJCPK7546M</t>
  </si>
  <si>
    <t>4899/2024</t>
  </si>
  <si>
    <t>2021588</t>
  </si>
  <si>
    <t>Tower 8-1002</t>
  </si>
  <si>
    <t>2002411</t>
  </si>
  <si>
    <t>NITIN BHARATRAO TAMMEWAR</t>
  </si>
  <si>
    <t>BMMPT4759C</t>
  </si>
  <si>
    <t>2202/2024</t>
  </si>
  <si>
    <t>Tower 7-1603</t>
  </si>
  <si>
    <t>2017839</t>
  </si>
  <si>
    <t>NITIN NAGNATH SARODE</t>
  </si>
  <si>
    <t>CUEPS1422E</t>
  </si>
  <si>
    <t>2247/2024</t>
  </si>
  <si>
    <t>Tower 7-1606</t>
  </si>
  <si>
    <t>2002330</t>
  </si>
  <si>
    <t>OJAS SADASHIV INGALE</t>
  </si>
  <si>
    <t>AGSPI8807K</t>
  </si>
  <si>
    <t>1803/2024</t>
  </si>
  <si>
    <t>Tower 8-1003</t>
  </si>
  <si>
    <t>2018016</t>
  </si>
  <si>
    <t>OMKAR SURESH SUTAR</t>
  </si>
  <si>
    <t>HCMPS1422K</t>
  </si>
  <si>
    <t>2196/2024</t>
  </si>
  <si>
    <t>Tower 7-1501</t>
  </si>
  <si>
    <t>2002319</t>
  </si>
  <si>
    <t>OMKAR VILASRAO JADHAV</t>
  </si>
  <si>
    <t>BWDPJ5292D</t>
  </si>
  <si>
    <t>2048/2024</t>
  </si>
  <si>
    <t>Tower 7-1906</t>
  </si>
  <si>
    <t>2002350</t>
  </si>
  <si>
    <t>ONKAR GALPALLI</t>
  </si>
  <si>
    <t>CORPG5824F</t>
  </si>
  <si>
    <t>1795/2024</t>
  </si>
  <si>
    <t>Tower 8-602</t>
  </si>
  <si>
    <t>2002500</t>
  </si>
  <si>
    <t>PALLAVI AJAY NIKAM</t>
  </si>
  <si>
    <t>FYJPM7439D</t>
  </si>
  <si>
    <t>1714/2024</t>
  </si>
  <si>
    <t>Tower 6-1801</t>
  </si>
  <si>
    <t>2017845</t>
  </si>
  <si>
    <t>PALLAVI PRITISH DESHPANDE</t>
  </si>
  <si>
    <t>AVAPN5107G</t>
  </si>
  <si>
    <t>2426/2024</t>
  </si>
  <si>
    <t>Tower 1-1908</t>
  </si>
  <si>
    <t>2018096</t>
  </si>
  <si>
    <t>PANCHAL SUCHITRA RAJKUMAR</t>
  </si>
  <si>
    <t>DGUPP1227D</t>
  </si>
  <si>
    <t>Tower 6-707</t>
  </si>
  <si>
    <t>2002276</t>
  </si>
  <si>
    <t>PANDURANG KOPNAR</t>
  </si>
  <si>
    <t>HJDUG7625D</t>
  </si>
  <si>
    <t>2896/2024</t>
  </si>
  <si>
    <t>Tower 4-505</t>
  </si>
  <si>
    <t>2022055</t>
  </si>
  <si>
    <t>PANKAJ JUGALKISHORE SAHU</t>
  </si>
  <si>
    <t>BAPPS1240A</t>
  </si>
  <si>
    <t>2899/2024</t>
  </si>
  <si>
    <t>Tower 3-2001</t>
  </si>
  <si>
    <t>2002192</t>
  </si>
  <si>
    <t>PANKAJ PRALHAD KOLHE</t>
  </si>
  <si>
    <t>CYMPK1592D</t>
  </si>
  <si>
    <t>1792/2024</t>
  </si>
  <si>
    <t>Tower 4-305</t>
  </si>
  <si>
    <t>305</t>
  </si>
  <si>
    <t>2002243</t>
  </si>
  <si>
    <t>PANKAJ SAHU</t>
  </si>
  <si>
    <t>2537/2024</t>
  </si>
  <si>
    <t>Tower 1-205</t>
  </si>
  <si>
    <t>205</t>
  </si>
  <si>
    <t>2017211</t>
  </si>
  <si>
    <t>PANKAJ SANJAY AMBEKAR</t>
  </si>
  <si>
    <t>BEUPA1220D</t>
  </si>
  <si>
    <t>2021389</t>
  </si>
  <si>
    <t>PANKAJ SHRIMANT RANPISE</t>
  </si>
  <si>
    <t>AVZPR6783R</t>
  </si>
  <si>
    <t>Tower 3-1404</t>
  </si>
  <si>
    <t>2015765</t>
  </si>
  <si>
    <t>PANSARE MAYUR LAXMAN</t>
  </si>
  <si>
    <t>CSDPP6266L</t>
  </si>
  <si>
    <t>3436/2024</t>
  </si>
  <si>
    <t>Tower 8-707</t>
  </si>
  <si>
    <t>2002506</t>
  </si>
  <si>
    <t>PARAG BHANUDAS YEOLE</t>
  </si>
  <si>
    <t>ANJPY6866E</t>
  </si>
  <si>
    <t>1716/2024</t>
  </si>
  <si>
    <t>Tower 1-2008</t>
  </si>
  <si>
    <t>2018863</t>
  </si>
  <si>
    <t>PARAG UMAKANTRAO PURANIK HUF</t>
  </si>
  <si>
    <t>AAIHP1147F</t>
  </si>
  <si>
    <t>Tower 1-807</t>
  </si>
  <si>
    <t>2018829</t>
  </si>
  <si>
    <t>PARAS JITENDRA GOSALIA</t>
  </si>
  <si>
    <t>AWXPG4074B</t>
  </si>
  <si>
    <t>Tower 7-1106</t>
  </si>
  <si>
    <t>2002295</t>
  </si>
  <si>
    <t>PARESH MANOHAR PATIL</t>
  </si>
  <si>
    <t>FTAPP4539R</t>
  </si>
  <si>
    <t>2093/2024</t>
  </si>
  <si>
    <t>Tower 7-1605</t>
  </si>
  <si>
    <t>1605</t>
  </si>
  <si>
    <t>2002329</t>
  </si>
  <si>
    <t>PARESH VITTHAL KOLEKAR</t>
  </si>
  <si>
    <t>EIPPK5664D</t>
  </si>
  <si>
    <t>2140/2024</t>
  </si>
  <si>
    <t>Tower 8-1508</t>
  </si>
  <si>
    <t>2002446</t>
  </si>
  <si>
    <t>PARESH VIVEK BAVISKAR</t>
  </si>
  <si>
    <t>EIAPB4941P</t>
  </si>
  <si>
    <t>2045/2024</t>
  </si>
  <si>
    <t>Tower 8-1407</t>
  </si>
  <si>
    <t>2002438</t>
  </si>
  <si>
    <t>PARIKSHIT JAGANNATH RAUT</t>
  </si>
  <si>
    <t>EEXPR0763A</t>
  </si>
  <si>
    <t>2191/2024</t>
  </si>
  <si>
    <t>Tower 2-2001</t>
  </si>
  <si>
    <t>2019548</t>
  </si>
  <si>
    <t>PARMESHWAR KAMLAKAR BHADANGE</t>
  </si>
  <si>
    <t>BFVPB0832A</t>
  </si>
  <si>
    <t>Tower 6-2101</t>
  </si>
  <si>
    <t>2019923</t>
  </si>
  <si>
    <t>58/2025</t>
  </si>
  <si>
    <t>Tower 6-1604</t>
  </si>
  <si>
    <t>2019199</t>
  </si>
  <si>
    <t>PARTH RAJU GUPTA</t>
  </si>
  <si>
    <t>AQOP1500B</t>
  </si>
  <si>
    <t>2723/2024</t>
  </si>
  <si>
    <t>Tower 6-906</t>
  </si>
  <si>
    <t>2022698</t>
  </si>
  <si>
    <t>PATIL ASHA SANGRAM</t>
  </si>
  <si>
    <t>BCKPP6326D</t>
  </si>
  <si>
    <t>4476/2025</t>
  </si>
  <si>
    <t>Tower 1-2101</t>
  </si>
  <si>
    <t>2019945</t>
  </si>
  <si>
    <t>PATIL KANTESH HANUMANTGAUDA</t>
  </si>
  <si>
    <t>CBVPP2131F</t>
  </si>
  <si>
    <t>Tower 1-1805</t>
  </si>
  <si>
    <t>2018718</t>
  </si>
  <si>
    <t>PATIL POONAM BAJIRAO</t>
  </si>
  <si>
    <t>AXIPP5137E</t>
  </si>
  <si>
    <t>2020148</t>
  </si>
  <si>
    <t>Tower 4-1101</t>
  </si>
  <si>
    <t>2017796</t>
  </si>
  <si>
    <t>PATIL RAJKUMARI ARAVIND</t>
  </si>
  <si>
    <t>CNYPP0393N</t>
  </si>
  <si>
    <t>2889/2024</t>
  </si>
  <si>
    <t>Tower 1-1307</t>
  </si>
  <si>
    <t>2019054</t>
  </si>
  <si>
    <t>PAWARA BABAN PALSING</t>
  </si>
  <si>
    <t>AOXPP8901N</t>
  </si>
  <si>
    <t>Tower 1-1601</t>
  </si>
  <si>
    <t>2018059</t>
  </si>
  <si>
    <t>PAYAL RATHORE</t>
  </si>
  <si>
    <t>BOKPB9256A</t>
  </si>
  <si>
    <t>Tower 8-2106</t>
  </si>
  <si>
    <t>2017918</t>
  </si>
  <si>
    <t>PIYUSH SACHAN</t>
  </si>
  <si>
    <t>DJQPS8730B</t>
  </si>
  <si>
    <t>2235/2024</t>
  </si>
  <si>
    <t>Tower 2-1202</t>
  </si>
  <si>
    <t>2020459</t>
  </si>
  <si>
    <t>POOJA MAHESHWARI</t>
  </si>
  <si>
    <t>DRNPM6662R</t>
  </si>
  <si>
    <t>Tower 4-706</t>
  </si>
  <si>
    <t>2002255</t>
  </si>
  <si>
    <t>POOJA PANDEY</t>
  </si>
  <si>
    <t>CPOPP1919Q</t>
  </si>
  <si>
    <t>2538/2024</t>
  </si>
  <si>
    <t>Tower 2-1302</t>
  </si>
  <si>
    <t>2017973</t>
  </si>
  <si>
    <t>POOJA RAMDAS HIRE</t>
  </si>
  <si>
    <t>ANPPH9466H</t>
  </si>
  <si>
    <t>Tower 3-301</t>
  </si>
  <si>
    <t>2002205</t>
  </si>
  <si>
    <t>POONAM ANKIT DHANUKA</t>
  </si>
  <si>
    <t>DKJPS5614G</t>
  </si>
  <si>
    <t>2353/2024</t>
  </si>
  <si>
    <t>Tower 6-1108</t>
  </si>
  <si>
    <t>2017932</t>
  </si>
  <si>
    <t>Tower 6-1406</t>
  </si>
  <si>
    <t>2017362</t>
  </si>
  <si>
    <t>POONAM BATWAL</t>
  </si>
  <si>
    <t>DEKPS7922N</t>
  </si>
  <si>
    <t>4379/2024</t>
  </si>
  <si>
    <t>Tower 2-2002</t>
  </si>
  <si>
    <t>2018034</t>
  </si>
  <si>
    <t>POONAM RAJARAM ROTE</t>
  </si>
  <si>
    <t>CHCPR8605P</t>
  </si>
  <si>
    <t>Tower 6-1102</t>
  </si>
  <si>
    <t>2002267</t>
  </si>
  <si>
    <t>POONAM SAMPATRAO DONGNE</t>
  </si>
  <si>
    <t>EQUPD0036B</t>
  </si>
  <si>
    <t>2362/2024</t>
  </si>
  <si>
    <t>Tower 7-2201</t>
  </si>
  <si>
    <t>2018042</t>
  </si>
  <si>
    <t>PRABODH BHALCHANDRA MAYEKAR</t>
  </si>
  <si>
    <t>EEFPM4228K</t>
  </si>
  <si>
    <t>2117/2024</t>
  </si>
  <si>
    <t>Tower 1-2107</t>
  </si>
  <si>
    <t>2018877</t>
  </si>
  <si>
    <t>PRACHI TIWARI</t>
  </si>
  <si>
    <t>AWJPT8567G</t>
  </si>
  <si>
    <t>Tower 7-1207</t>
  </si>
  <si>
    <t>2002303</t>
  </si>
  <si>
    <t>PRADEEP RAMAKANT KASALE</t>
  </si>
  <si>
    <t>GDFPK5532M</t>
  </si>
  <si>
    <t>2090/2024</t>
  </si>
  <si>
    <t>Tower 8-1703</t>
  </si>
  <si>
    <t>2018860</t>
  </si>
  <si>
    <t>PRADEEP SINGH YADAV</t>
  </si>
  <si>
    <t>ALUPY4527D</t>
  </si>
  <si>
    <t>3660/2024</t>
  </si>
  <si>
    <t>Tower 8-1707</t>
  </si>
  <si>
    <t>2002458</t>
  </si>
  <si>
    <t>PRADEEP TUKARAM BHUITE</t>
  </si>
  <si>
    <t>BBXPB5613H</t>
  </si>
  <si>
    <t>2187/2024</t>
  </si>
  <si>
    <t>Tower 2-2108</t>
  </si>
  <si>
    <t>2018479</t>
  </si>
  <si>
    <t>PRADNESH PRAMOD KURALKAR</t>
  </si>
  <si>
    <t>EFUPK0863J</t>
  </si>
  <si>
    <t>2002296</t>
  </si>
  <si>
    <t>PRAGATI RAJENDRA GAWANDE</t>
  </si>
  <si>
    <t>CZZPG7629F</t>
  </si>
  <si>
    <t>Tower 3-2007</t>
  </si>
  <si>
    <t>2007</t>
  </si>
  <si>
    <t>2002196</t>
  </si>
  <si>
    <t>PRAGNESH HANSRAJBHAI FALDU</t>
  </si>
  <si>
    <t>AAHPF0483F</t>
  </si>
  <si>
    <t>1958/2024</t>
  </si>
  <si>
    <t>Tower 7-907</t>
  </si>
  <si>
    <t>2002408</t>
  </si>
  <si>
    <t>PRAJJWAL SURESH BEHARE</t>
  </si>
  <si>
    <t>BEPPB5739D</t>
  </si>
  <si>
    <t>1929/2024</t>
  </si>
  <si>
    <t>Tower 8-1601</t>
  </si>
  <si>
    <t>2002447</t>
  </si>
  <si>
    <t>PRAKASH BALASAHEB SHINDE</t>
  </si>
  <si>
    <t>CELPS2005G</t>
  </si>
  <si>
    <t>2292/2024</t>
  </si>
  <si>
    <t>Tower 3-2102</t>
  </si>
  <si>
    <t>2002199</t>
  </si>
  <si>
    <t>PRAKASH CHANDRA DASH</t>
  </si>
  <si>
    <t>AQWPP5832D</t>
  </si>
  <si>
    <t>2194/2024</t>
  </si>
  <si>
    <t>Tower 3-1601</t>
  </si>
  <si>
    <t>2001899</t>
  </si>
  <si>
    <t>PRAKASH CHANDRA NANDA</t>
  </si>
  <si>
    <t>AALPN6617P</t>
  </si>
  <si>
    <t>2062/2024</t>
  </si>
  <si>
    <t>Tower 6-1301</t>
  </si>
  <si>
    <t>2017853</t>
  </si>
  <si>
    <t>PRAKASH VITTHAL SONAVANE</t>
  </si>
  <si>
    <t>BQDPS9635P</t>
  </si>
  <si>
    <t>2587/2024</t>
  </si>
  <si>
    <t>Tower 2-601</t>
  </si>
  <si>
    <t>2018862</t>
  </si>
  <si>
    <t>PRAMOD ESHWARDAS DIGHEKAR</t>
  </si>
  <si>
    <t>BTTPD1897F</t>
  </si>
  <si>
    <t>Tower 7-1103</t>
  </si>
  <si>
    <t>1103</t>
  </si>
  <si>
    <t>2002293</t>
  </si>
  <si>
    <t>PRANAV MATHUR</t>
  </si>
  <si>
    <t>ATNPM8448G</t>
  </si>
  <si>
    <t>1974/2024</t>
  </si>
  <si>
    <t>Tower 7-1104</t>
  </si>
  <si>
    <t>2002294</t>
  </si>
  <si>
    <t>PRANAV PRADIP NILAWAR</t>
  </si>
  <si>
    <t>AQNPN3665R</t>
  </si>
  <si>
    <t>1856/2024</t>
  </si>
  <si>
    <t>Tower 2-1508</t>
  </si>
  <si>
    <t>2021265</t>
  </si>
  <si>
    <t>PRAPTI SANTOSH BANOTE</t>
  </si>
  <si>
    <t>EHCPB5252E</t>
  </si>
  <si>
    <t>2002261</t>
  </si>
  <si>
    <t>PRASAD SHIVANAND ZINJE</t>
  </si>
  <si>
    <t>ACNPZ3298C</t>
  </si>
  <si>
    <t>Tower 8-1005</t>
  </si>
  <si>
    <t>2015735</t>
  </si>
  <si>
    <t>PRASANNA KUMAR</t>
  </si>
  <si>
    <t>AYTPK3095Q</t>
  </si>
  <si>
    <t>2606/2024</t>
  </si>
  <si>
    <t>Tower 1-1507</t>
  </si>
  <si>
    <t>2019158</t>
  </si>
  <si>
    <t>PRASHANT ARUN JAGADALE</t>
  </si>
  <si>
    <t>ALDPJ7012M</t>
  </si>
  <si>
    <t>Tower 8-902</t>
  </si>
  <si>
    <t>2002516</t>
  </si>
  <si>
    <t>PRASHANT ASHOK KALEL</t>
  </si>
  <si>
    <t>DWWPK3666M</t>
  </si>
  <si>
    <t>1836/2024</t>
  </si>
  <si>
    <t>Tower 7-706</t>
  </si>
  <si>
    <t>2002394</t>
  </si>
  <si>
    <t>PRASHANT KUMAR</t>
  </si>
  <si>
    <t>DWQPK8290F</t>
  </si>
  <si>
    <t>2004/2024</t>
  </si>
  <si>
    <t>Tower 3-1208</t>
  </si>
  <si>
    <t>2001883</t>
  </si>
  <si>
    <t>PRASHANT MOHAN SAWANT</t>
  </si>
  <si>
    <t>AGDPS7162E</t>
  </si>
  <si>
    <t>2248/2024</t>
  </si>
  <si>
    <t>Tower 8-2101</t>
  </si>
  <si>
    <t>2002479</t>
  </si>
  <si>
    <t>PRASHANT PRAMOD KADAM</t>
  </si>
  <si>
    <t>ASIPK4386P</t>
  </si>
  <si>
    <t>1737/2024</t>
  </si>
  <si>
    <t>2020502</t>
  </si>
  <si>
    <t>PRASHANT SATISH KALE</t>
  </si>
  <si>
    <t>CFQPK6941F</t>
  </si>
  <si>
    <t>1541/2025</t>
  </si>
  <si>
    <t>Tower 6-1907</t>
  </si>
  <si>
    <t>2018012</t>
  </si>
  <si>
    <t>Pratap navnath surve</t>
  </si>
  <si>
    <t>COLPS0697N</t>
  </si>
  <si>
    <t>2820/2024</t>
  </si>
  <si>
    <t>Tower 4-1302</t>
  </si>
  <si>
    <t>2018873</t>
  </si>
  <si>
    <t>PRATEEK KUMAR GUPTA</t>
  </si>
  <si>
    <t>BKSPG7630M</t>
  </si>
  <si>
    <t>4384/2024</t>
  </si>
  <si>
    <t>Tower 5-1404</t>
  </si>
  <si>
    <t>2019907</t>
  </si>
  <si>
    <t>PRATEEK PRAVEEN</t>
  </si>
  <si>
    <t>BKWPP0146F</t>
  </si>
  <si>
    <t>2019176</t>
  </si>
  <si>
    <t>PRATHAMESH SAKHARAM SHUKLA</t>
  </si>
  <si>
    <t>EYXPS6140E</t>
  </si>
  <si>
    <t>2002285</t>
  </si>
  <si>
    <t>PRATIK CHANDRAKANT DESHMUKH</t>
  </si>
  <si>
    <t>DQXPD1460B</t>
  </si>
  <si>
    <t>Tower 6-601</t>
  </si>
  <si>
    <t>2017915</t>
  </si>
  <si>
    <t>PRATIK DILIPKUMAR BADGUJAR</t>
  </si>
  <si>
    <t>CMDPB2815H</t>
  </si>
  <si>
    <t>2544/2024</t>
  </si>
  <si>
    <t>Tower 2-2202</t>
  </si>
  <si>
    <t>2202</t>
  </si>
  <si>
    <t>2022253</t>
  </si>
  <si>
    <t>PRATIK GAJANAN WANARE</t>
  </si>
  <si>
    <t>ACTPW7924J</t>
  </si>
  <si>
    <t>Tower 7-606</t>
  </si>
  <si>
    <t>606</t>
  </si>
  <si>
    <t>2002388</t>
  </si>
  <si>
    <t>PRATIK GAJANANRAO DHAMANDE</t>
  </si>
  <si>
    <t>EQRPD6089K</t>
  </si>
  <si>
    <t>1796/2024</t>
  </si>
  <si>
    <t>Tower 7-1405</t>
  </si>
  <si>
    <t>1405</t>
  </si>
  <si>
    <t>2017754</t>
  </si>
  <si>
    <t>pratik gavshindhe</t>
  </si>
  <si>
    <t>BKXPG0969G</t>
  </si>
  <si>
    <t>2758/2024</t>
  </si>
  <si>
    <t>Tower 5-1402</t>
  </si>
  <si>
    <t>2017759</t>
  </si>
  <si>
    <t>PRATIK RAJENDRA BHAGWAT</t>
  </si>
  <si>
    <t>DDKPB7196E</t>
  </si>
  <si>
    <t>2755/2024</t>
  </si>
  <si>
    <t>2002234</t>
  </si>
  <si>
    <t>PRATIK TEJPAL CHOUGULE</t>
  </si>
  <si>
    <t>APVPC4275R</t>
  </si>
  <si>
    <t>Tower 6-1001</t>
  </si>
  <si>
    <t>2002262</t>
  </si>
  <si>
    <t>PRATIKKUMAR DINESHBHAI DHINGAN</t>
  </si>
  <si>
    <t>APVPD5095E</t>
  </si>
  <si>
    <t>2414/2024</t>
  </si>
  <si>
    <t>Tower 3-1702</t>
  </si>
  <si>
    <t>2002180</t>
  </si>
  <si>
    <t>PRATIKSHA UMESH LONDHE</t>
  </si>
  <si>
    <t>APBPL0034P</t>
  </si>
  <si>
    <t>3744/2024</t>
  </si>
  <si>
    <t>Tower 4-506</t>
  </si>
  <si>
    <t>506</t>
  </si>
  <si>
    <t>2002250</t>
  </si>
  <si>
    <t>PRATIT JINTURKAR</t>
  </si>
  <si>
    <t>BDAPJ1072K</t>
  </si>
  <si>
    <t>2339/2024</t>
  </si>
  <si>
    <t>Tower 7-1108</t>
  </si>
  <si>
    <t>2002297</t>
  </si>
  <si>
    <t>PRAVIN DADASAHEB GADEKAR</t>
  </si>
  <si>
    <t>ATVPG0515C</t>
  </si>
  <si>
    <t>2009/2024</t>
  </si>
  <si>
    <t>Tower 8-1901</t>
  </si>
  <si>
    <t>2002467</t>
  </si>
  <si>
    <t>PRAVIN PANDURANG PAWAR</t>
  </si>
  <si>
    <t>CAZPP8413R</t>
  </si>
  <si>
    <t>1962/2024</t>
  </si>
  <si>
    <t>Tower 4-903</t>
  </si>
  <si>
    <t>2002258</t>
  </si>
  <si>
    <t>PRAVINKUMAR NIRMALCHANDRA MIS</t>
  </si>
  <si>
    <t>BLCPM5354B</t>
  </si>
  <si>
    <t>2351/2024</t>
  </si>
  <si>
    <t>Tower 7-205</t>
  </si>
  <si>
    <t>2002362</t>
  </si>
  <si>
    <t>PREM BALLABH PUROHIT</t>
  </si>
  <si>
    <t>APLPP3898P</t>
  </si>
  <si>
    <t>2012/2024</t>
  </si>
  <si>
    <t>2020848</t>
  </si>
  <si>
    <t>PRERANA PRASAD KALEKAR</t>
  </si>
  <si>
    <t>AILPB3602N</t>
  </si>
  <si>
    <t>2019160</t>
  </si>
  <si>
    <t>PRITAM KUMAR SONI</t>
  </si>
  <si>
    <t>DQGPS4362J</t>
  </si>
  <si>
    <t>Tower 7-705</t>
  </si>
  <si>
    <t>2015497</t>
  </si>
  <si>
    <t>PRITI SHASHIKANT PATIL</t>
  </si>
  <si>
    <t>CDAPP7671K</t>
  </si>
  <si>
    <t>3100/2024</t>
  </si>
  <si>
    <t>Tower 8-2006</t>
  </si>
  <si>
    <t>2017917</t>
  </si>
  <si>
    <t>PRIYA GUPTA</t>
  </si>
  <si>
    <t>BJOPG3695M</t>
  </si>
  <si>
    <t>2481/2024</t>
  </si>
  <si>
    <t>Tower 1-808</t>
  </si>
  <si>
    <t>2021378</t>
  </si>
  <si>
    <t>PRIYANKA BABASAHEB SANAP</t>
  </si>
  <si>
    <t>KVOPS3867J</t>
  </si>
  <si>
    <t>Tower 4-705</t>
  </si>
  <si>
    <t>2002254</t>
  </si>
  <si>
    <t>PRIYANKA GANESH SURYAWANSHI</t>
  </si>
  <si>
    <t>CIRPS9864B</t>
  </si>
  <si>
    <t>2894/2024</t>
  </si>
  <si>
    <t>Tower 3-807</t>
  </si>
  <si>
    <t>2019590</t>
  </si>
  <si>
    <t>PRIYANKA KHARE</t>
  </si>
  <si>
    <t>BXAPK6693M</t>
  </si>
  <si>
    <t>3441/2024</t>
  </si>
  <si>
    <t>Tower 6-1006</t>
  </si>
  <si>
    <t>2019043</t>
  </si>
  <si>
    <t>PRIYANKA MAYUR GETME</t>
  </si>
  <si>
    <t>BFMPG3915G</t>
  </si>
  <si>
    <t>2895/2024</t>
  </si>
  <si>
    <t>Tower 6-706</t>
  </si>
  <si>
    <t>2023373</t>
  </si>
  <si>
    <t>Tower 8-1804</t>
  </si>
  <si>
    <t>2002463</t>
  </si>
  <si>
    <t>PRIYANKA SURENDRA RONGHE</t>
  </si>
  <si>
    <t>CWNPR1735A</t>
  </si>
  <si>
    <t>2067/2024</t>
  </si>
  <si>
    <t>Tower 6-405</t>
  </si>
  <si>
    <t>405</t>
  </si>
  <si>
    <t>2015490</t>
  </si>
  <si>
    <t>PURVA ARVIND ROKDE</t>
  </si>
  <si>
    <t>CBPPR0275N</t>
  </si>
  <si>
    <t>3090/2024</t>
  </si>
  <si>
    <t>2019274</t>
  </si>
  <si>
    <t>PUSHKAR UPENDRA NANDEDKAR</t>
  </si>
  <si>
    <t>BABPN6362G</t>
  </si>
  <si>
    <t>Tower 3-1804</t>
  </si>
  <si>
    <t>2017900</t>
  </si>
  <si>
    <t>RAHUL HARISHCHANDRA LAD</t>
  </si>
  <si>
    <t>AKJPL5176F</t>
  </si>
  <si>
    <t>2341/2024</t>
  </si>
  <si>
    <t>Tower 3-1605</t>
  </si>
  <si>
    <t>2017902</t>
  </si>
  <si>
    <t>RAHUL KISHORKUMAR UPADHYAY</t>
  </si>
  <si>
    <t>ADIPU0953D</t>
  </si>
  <si>
    <t>2644/2024</t>
  </si>
  <si>
    <t>Tower 7-704</t>
  </si>
  <si>
    <t>704</t>
  </si>
  <si>
    <t>2002393</t>
  </si>
  <si>
    <t>RAHUL RAJENDRA NARAKE</t>
  </si>
  <si>
    <t>AITPN1440L</t>
  </si>
  <si>
    <t>2070/2024</t>
  </si>
  <si>
    <t>Tower 8-1708</t>
  </si>
  <si>
    <t>2002459</t>
  </si>
  <si>
    <t>RAHUL SUDHIR CHINCHOLKAR</t>
  </si>
  <si>
    <t>BCMPC8813J</t>
  </si>
  <si>
    <t>2635/2024</t>
  </si>
  <si>
    <t>2022998</t>
  </si>
  <si>
    <t>RAJANI DINKARRAO SHINGNE</t>
  </si>
  <si>
    <t>BJAPS1906D</t>
  </si>
  <si>
    <t>Tower 1-1907</t>
  </si>
  <si>
    <t>2017933</t>
  </si>
  <si>
    <t>RAJANI YADAV</t>
  </si>
  <si>
    <t>AGQPY8452Q</t>
  </si>
  <si>
    <t>Tower 1-901</t>
  </si>
  <si>
    <t>2018083</t>
  </si>
  <si>
    <t>RAJAT SINGH</t>
  </si>
  <si>
    <t>FPIPS5282G</t>
  </si>
  <si>
    <t>2019076</t>
  </si>
  <si>
    <t>Tower 6-1506</t>
  </si>
  <si>
    <t>2020341</t>
  </si>
  <si>
    <t>RAJESH ALLAPPA SALGAR</t>
  </si>
  <si>
    <t>CQAPS0267H</t>
  </si>
  <si>
    <t>Tower 6-804</t>
  </si>
  <si>
    <t>2015740</t>
  </si>
  <si>
    <t>RAJESH KUMAR</t>
  </si>
  <si>
    <t>AJPPK2462A</t>
  </si>
  <si>
    <t>3444/2024</t>
  </si>
  <si>
    <t>Tower 1-501</t>
  </si>
  <si>
    <t>2018861</t>
  </si>
  <si>
    <t>RAJESH KUMAR PATRA</t>
  </si>
  <si>
    <t>BIHPP0106Q</t>
  </si>
  <si>
    <t>Tower 6-704</t>
  </si>
  <si>
    <t>2018094</t>
  </si>
  <si>
    <t>RAJESHWARI TRIPATHI</t>
  </si>
  <si>
    <t>AHYPT1882E</t>
  </si>
  <si>
    <t>4267/2024</t>
  </si>
  <si>
    <t>Tower 2-1707</t>
  </si>
  <si>
    <t>2021205</t>
  </si>
  <si>
    <t>RAKESH RAMESH AHIRAO</t>
  </si>
  <si>
    <t>AQQPA1688L</t>
  </si>
  <si>
    <t>Tower 3-1507</t>
  </si>
  <si>
    <t>2001897</t>
  </si>
  <si>
    <t>RAM SUBHASHRAO WADJE</t>
  </si>
  <si>
    <t>ADCPW9274B</t>
  </si>
  <si>
    <t>2059/2024</t>
  </si>
  <si>
    <t>Tower 7-1506</t>
  </si>
  <si>
    <t>2002323</t>
  </si>
  <si>
    <t>RAMESH DATTOPANT NAIK</t>
  </si>
  <si>
    <t>AAQPN4712Q</t>
  </si>
  <si>
    <t>1816/2024</t>
  </si>
  <si>
    <t>2018046</t>
  </si>
  <si>
    <t>RAMKRUSHNA DADARAO GORE</t>
  </si>
  <si>
    <t>BTLPG6066R</t>
  </si>
  <si>
    <t>Tower 7-905</t>
  </si>
  <si>
    <t>2018027</t>
  </si>
  <si>
    <t>RANJEET KUMAR</t>
  </si>
  <si>
    <t>BCQPK9616M</t>
  </si>
  <si>
    <t>4693/2024</t>
  </si>
  <si>
    <t>Tower 8-2208</t>
  </si>
  <si>
    <t>2019045</t>
  </si>
  <si>
    <t>RANJIT DATTATRAYA RANDIVE</t>
  </si>
  <si>
    <t>AOBPR7006L</t>
  </si>
  <si>
    <t>2762/2024</t>
  </si>
  <si>
    <t>Tower 4-1102</t>
  </si>
  <si>
    <t>2018183</t>
  </si>
  <si>
    <t>RANU BHADORIA</t>
  </si>
  <si>
    <t>BGCPB2824E</t>
  </si>
  <si>
    <t>4268/2024</t>
  </si>
  <si>
    <t>Tower 5-1101</t>
  </si>
  <si>
    <t>2015574</t>
  </si>
  <si>
    <t>RAULJI YOGENDRASINH SURENDRASINH</t>
  </si>
  <si>
    <t>BWDPR2224K</t>
  </si>
  <si>
    <t>2423/2024</t>
  </si>
  <si>
    <t>Tower 7-1303</t>
  </si>
  <si>
    <t>2015580</t>
  </si>
  <si>
    <t>RAVI KUMAR</t>
  </si>
  <si>
    <t>AQNPP5265B</t>
  </si>
  <si>
    <t>2796/2024</t>
  </si>
  <si>
    <t>Tower 3-1301</t>
  </si>
  <si>
    <t>2001884</t>
  </si>
  <si>
    <t>RAVINDRA HARI AJAGEKAR</t>
  </si>
  <si>
    <t>ASUPA3301P</t>
  </si>
  <si>
    <t>1916/2024</t>
  </si>
  <si>
    <t>Tower 4-702</t>
  </si>
  <si>
    <t>2002252</t>
  </si>
  <si>
    <t>RAVINDRA SHIVAJI GUDULKAR</t>
  </si>
  <si>
    <t>BKLPG8017R</t>
  </si>
  <si>
    <t>2366/2024</t>
  </si>
  <si>
    <t>Tower 2-801</t>
  </si>
  <si>
    <t>2018886</t>
  </si>
  <si>
    <t>RAVINDRA SURESH KOSHTI</t>
  </si>
  <si>
    <t>BDGPK1535C</t>
  </si>
  <si>
    <t>Tower 6-607</t>
  </si>
  <si>
    <t>2002273</t>
  </si>
  <si>
    <t>RAVIRAJ PRITHVIRAJ SAKHARE</t>
  </si>
  <si>
    <t>MHYUI9876T</t>
  </si>
  <si>
    <t>2051/2024</t>
  </si>
  <si>
    <t>2021388</t>
  </si>
  <si>
    <t>REKHA SANJAY SONAWANE</t>
  </si>
  <si>
    <t>BTMPS3394H</t>
  </si>
  <si>
    <t>2018052</t>
  </si>
  <si>
    <t>REKHA SATISH KAHITE</t>
  </si>
  <si>
    <t>CWWPK6110K</t>
  </si>
  <si>
    <t>Tower 5-104</t>
  </si>
  <si>
    <t>104</t>
  </si>
  <si>
    <t>2017483</t>
  </si>
  <si>
    <t>RENU SHARMA</t>
  </si>
  <si>
    <t>BRQPS4019D</t>
  </si>
  <si>
    <t>4690/2024</t>
  </si>
  <si>
    <t>Tower 5-1001</t>
  </si>
  <si>
    <t>2018277</t>
  </si>
  <si>
    <t>RESHMA PRAKASH GAIKWAD</t>
  </si>
  <si>
    <t>BYQPG5057E</t>
  </si>
  <si>
    <t>2421/2024</t>
  </si>
  <si>
    <t>2002280</t>
  </si>
  <si>
    <t>REVATI SHIVKUMAR MATHPATI</t>
  </si>
  <si>
    <t>CCIPM3268E</t>
  </si>
  <si>
    <t>Tower 6-1803</t>
  </si>
  <si>
    <t>2018475</t>
  </si>
  <si>
    <t>Reya Godhwani</t>
  </si>
  <si>
    <t>CJUPG4824M</t>
  </si>
  <si>
    <t>2547/2024</t>
  </si>
  <si>
    <t>Tower 5-2202</t>
  </si>
  <si>
    <t>2022608</t>
  </si>
  <si>
    <t>RHUTIKA PANKAJ SHRIKHANDE</t>
  </si>
  <si>
    <t>GDEPS2038M</t>
  </si>
  <si>
    <t>Tower 5-2002</t>
  </si>
  <si>
    <t>2024191</t>
  </si>
  <si>
    <t>Tower 4-704</t>
  </si>
  <si>
    <t>2002253</t>
  </si>
  <si>
    <t>RICHA KANDA</t>
  </si>
  <si>
    <t>BCTPK6416J</t>
  </si>
  <si>
    <t>2104/2024</t>
  </si>
  <si>
    <t>2022074</t>
  </si>
  <si>
    <t>RISHIDA RAJ</t>
  </si>
  <si>
    <t>BWBPR9997M</t>
  </si>
  <si>
    <t>Tower 4-104</t>
  </si>
  <si>
    <t>2002238</t>
  </si>
  <si>
    <t>RITESH PARASHAR</t>
  </si>
  <si>
    <t>AUTPP4741Q</t>
  </si>
  <si>
    <t>2073/2024</t>
  </si>
  <si>
    <t>Tower 8-1503</t>
  </si>
  <si>
    <t>2002442</t>
  </si>
  <si>
    <t>RIYABEN HARDIKKUMAR PATEL</t>
  </si>
  <si>
    <t>CXYPP9057K</t>
  </si>
  <si>
    <t>1931/2204</t>
  </si>
  <si>
    <t>2018914</t>
  </si>
  <si>
    <t>ROHAN KUMAR</t>
  </si>
  <si>
    <t>DVYPK4863B</t>
  </si>
  <si>
    <t>Tower 7-206</t>
  </si>
  <si>
    <t>206</t>
  </si>
  <si>
    <t>2002363</t>
  </si>
  <si>
    <t>ROHAN LAXMAN KADAM</t>
  </si>
  <si>
    <t>EEQPK2863M</t>
  </si>
  <si>
    <t>2002289</t>
  </si>
  <si>
    <t>ROHIDAS DEVIDAS YADAV</t>
  </si>
  <si>
    <t>AEQPY5396D</t>
  </si>
  <si>
    <t>Tower 3-1606</t>
  </si>
  <si>
    <t>2018585</t>
  </si>
  <si>
    <t>3439/2024</t>
  </si>
  <si>
    <t>Tower 5-1002</t>
  </si>
  <si>
    <t>2017770</t>
  </si>
  <si>
    <t>ROHIT ARJUN DESHMUKH</t>
  </si>
  <si>
    <t>DPWPD0816R</t>
  </si>
  <si>
    <t>2497/2024</t>
  </si>
  <si>
    <t>Tower 6-1508</t>
  </si>
  <si>
    <t>2017815</t>
  </si>
  <si>
    <t>ROHIT ARUNKUMAR BHANDE</t>
  </si>
  <si>
    <t>CYZPB0209D</t>
  </si>
  <si>
    <t>2355/2024</t>
  </si>
  <si>
    <t>Tower 8-601</t>
  </si>
  <si>
    <t>2002499</t>
  </si>
  <si>
    <t>ROHIT DILIP MAHAJAN</t>
  </si>
  <si>
    <t>FWTPM6900B</t>
  </si>
  <si>
    <t>2532/2024</t>
  </si>
  <si>
    <t>2021549</t>
  </si>
  <si>
    <t>ROHIT JALINDAR RAUT</t>
  </si>
  <si>
    <t>DUCPR6578D</t>
  </si>
  <si>
    <t>2019265</t>
  </si>
  <si>
    <t>ROHIT RAMCHANDRA WAGH</t>
  </si>
  <si>
    <t>ACYPW6560H</t>
  </si>
  <si>
    <t>2023545</t>
  </si>
  <si>
    <t>Tower 1-1501</t>
  </si>
  <si>
    <t>2018050</t>
  </si>
  <si>
    <t>ROHIT SATISHRAO CHAITWAR</t>
  </si>
  <si>
    <t>ARVPC6735A</t>
  </si>
  <si>
    <t>Tower 3-402</t>
  </si>
  <si>
    <t>2002210</t>
  </si>
  <si>
    <t>ROHIT TUKARAM GAIKWAD</t>
  </si>
  <si>
    <t>BZKPG0979C</t>
  </si>
  <si>
    <t>2583/2024</t>
  </si>
  <si>
    <t>Tower 3-1503</t>
  </si>
  <si>
    <t>2017855</t>
  </si>
  <si>
    <t>ROMESH ABASAHEB PATIL</t>
  </si>
  <si>
    <t>CSOPP5648F</t>
  </si>
  <si>
    <t>2239/2024</t>
  </si>
  <si>
    <t>Tower 5-804</t>
  </si>
  <si>
    <t>2016730</t>
  </si>
  <si>
    <t>ROSHAN V PANCHBUDHE</t>
  </si>
  <si>
    <t>ATOPP6094L</t>
  </si>
  <si>
    <t>4086/2024</t>
  </si>
  <si>
    <t>2019817</t>
  </si>
  <si>
    <t>ROSHAN VIKAS DESHMUKH</t>
  </si>
  <si>
    <t>CALPD0363C</t>
  </si>
  <si>
    <t>Tower 1-801</t>
  </si>
  <si>
    <t>2019715</t>
  </si>
  <si>
    <t>RUBIYA BASHIR MULLA</t>
  </si>
  <si>
    <t>ARTPM0231B</t>
  </si>
  <si>
    <t>2018066</t>
  </si>
  <si>
    <t>RUBY VERMA</t>
  </si>
  <si>
    <t>AJRPV8034B</t>
  </si>
  <si>
    <t>Tower 7-1403</t>
  </si>
  <si>
    <t>2019745</t>
  </si>
  <si>
    <t>RUCHIDA ZADE</t>
  </si>
  <si>
    <t>ABRPZ2290F</t>
  </si>
  <si>
    <t>3331/2024</t>
  </si>
  <si>
    <t>Tower 6-1808</t>
  </si>
  <si>
    <t>2015579</t>
  </si>
  <si>
    <t>RUGWED VILAS BURSE</t>
  </si>
  <si>
    <t>DBWPB6955D</t>
  </si>
  <si>
    <t>3347/2024</t>
  </si>
  <si>
    <t>Tower 1-208</t>
  </si>
  <si>
    <t>2018720</t>
  </si>
  <si>
    <t>RUPALI DINESH GAIKWAD</t>
  </si>
  <si>
    <t>BGTPG0026J</t>
  </si>
  <si>
    <t>Tower 1-608</t>
  </si>
  <si>
    <t>2017968</t>
  </si>
  <si>
    <t>RUPALI KISHOR BORSE</t>
  </si>
  <si>
    <t>ANUPB5928P</t>
  </si>
  <si>
    <t>Tower 5-1204</t>
  </si>
  <si>
    <t>2018734</t>
  </si>
  <si>
    <t>RUPALI MANOJ DHOMNE</t>
  </si>
  <si>
    <t>BCOPK6766Q</t>
  </si>
  <si>
    <t>Tower 6-507</t>
  </si>
  <si>
    <t>2017693</t>
  </si>
  <si>
    <t>RUPESH KUMAR</t>
  </si>
  <si>
    <t>AQWPR1534Q</t>
  </si>
  <si>
    <t>2344/2024</t>
  </si>
  <si>
    <t>Tower 6-1408</t>
  </si>
  <si>
    <t>2017980</t>
  </si>
  <si>
    <t>RUPESH RAVINDRA PATIL</t>
  </si>
  <si>
    <t>BSVPP3167M</t>
  </si>
  <si>
    <t>2506/2024</t>
  </si>
  <si>
    <t>Tower 8-1903</t>
  </si>
  <si>
    <t>1903</t>
  </si>
  <si>
    <t>2002469</t>
  </si>
  <si>
    <t>RUSHIKESH GOVIND PATIL</t>
  </si>
  <si>
    <t>GAOPP1460F</t>
  </si>
  <si>
    <t>2639/2024</t>
  </si>
  <si>
    <t>Tower 2-1608</t>
  </si>
  <si>
    <t>2018501</t>
  </si>
  <si>
    <t>RUTUJA ANIKET MANGALEKAR</t>
  </si>
  <si>
    <t>GVEPS3118E</t>
  </si>
  <si>
    <t>2020125</t>
  </si>
  <si>
    <t>RUTUJA DILIP YADAV</t>
  </si>
  <si>
    <t>AUNPY7993D</t>
  </si>
  <si>
    <t>Tower 6-902</t>
  </si>
  <si>
    <t>2002282</t>
  </si>
  <si>
    <t>SABITRI RAJENDRA MADANE</t>
  </si>
  <si>
    <t>BCMPD2551E</t>
  </si>
  <si>
    <t>2822/2024</t>
  </si>
  <si>
    <t>Tower 7-1008</t>
  </si>
  <si>
    <t>2002290</t>
  </si>
  <si>
    <t>SACHIN KHEDKAR</t>
  </si>
  <si>
    <t>GAGPL3668C</t>
  </si>
  <si>
    <t>2052/2024</t>
  </si>
  <si>
    <t>Tower 7-1307</t>
  </si>
  <si>
    <t>2002310</t>
  </si>
  <si>
    <t>SACHIN SURESH GAWALI</t>
  </si>
  <si>
    <t>BRPPG9130C</t>
  </si>
  <si>
    <t>2030/2024</t>
  </si>
  <si>
    <t>Tower 3-1806</t>
  </si>
  <si>
    <t>2015762</t>
  </si>
  <si>
    <t>SAGAR SAINATH BANDAMWAR</t>
  </si>
  <si>
    <t>CLLPB3877J</t>
  </si>
  <si>
    <t>3980/2024</t>
  </si>
  <si>
    <t>Tower 4-1504</t>
  </si>
  <si>
    <t>2018736</t>
  </si>
  <si>
    <t>SAHELI ADHIKARY</t>
  </si>
  <si>
    <t>CPOPS2105H</t>
  </si>
  <si>
    <t>3728/2024</t>
  </si>
  <si>
    <t>Tower 2-2102</t>
  </si>
  <si>
    <t>2020238</t>
  </si>
  <si>
    <t>Sahil K Lanjewar</t>
  </si>
  <si>
    <t>AJCPL9663M</t>
  </si>
  <si>
    <t>2002249</t>
  </si>
  <si>
    <t>SAINATH RAJAPPA PILLAI</t>
  </si>
  <si>
    <t>ATGPP2346D</t>
  </si>
  <si>
    <t>Tower 3-803</t>
  </si>
  <si>
    <t>2022462</t>
  </si>
  <si>
    <t>SAIPRIYA SHRINIWAS KONDAWAR</t>
  </si>
  <si>
    <t>CMRPA3026K</t>
  </si>
  <si>
    <t>4214/2025</t>
  </si>
  <si>
    <t>Tower 8-1108</t>
  </si>
  <si>
    <t>2002420</t>
  </si>
  <si>
    <t>SAIYID MUJTABA KAZIM</t>
  </si>
  <si>
    <t>ARGPK2723H</t>
  </si>
  <si>
    <t>1702/2024</t>
  </si>
  <si>
    <t>Tower 7-2007</t>
  </si>
  <si>
    <t>2002357</t>
  </si>
  <si>
    <t>SAKSHAM SINGH</t>
  </si>
  <si>
    <t>ASKPS9881P</t>
  </si>
  <si>
    <t>2530/2024</t>
  </si>
  <si>
    <t>Tower 8-1406</t>
  </si>
  <si>
    <t>2002437</t>
  </si>
  <si>
    <t>SAMEER KHARE</t>
  </si>
  <si>
    <t>BYQPK4911H</t>
  </si>
  <si>
    <t>4202/2024</t>
  </si>
  <si>
    <t>Tower 8-1802</t>
  </si>
  <si>
    <t>2002461</t>
  </si>
  <si>
    <t>SAMEER ZUNGARE</t>
  </si>
  <si>
    <t>NHMPO7065D</t>
  </si>
  <si>
    <t>2271/2024</t>
  </si>
  <si>
    <t>Tower 7-1904</t>
  </si>
  <si>
    <t>2002349</t>
  </si>
  <si>
    <t>SAMRAJ BHOWMIK</t>
  </si>
  <si>
    <t>BGGPB4362M</t>
  </si>
  <si>
    <t>1933/2024</t>
  </si>
  <si>
    <t>Tower 1-308</t>
  </si>
  <si>
    <t>2019159</t>
  </si>
  <si>
    <t>SANA JAVED PATHAN</t>
  </si>
  <si>
    <t>EQAPP1438M</t>
  </si>
  <si>
    <t>Tower 7-1002</t>
  </si>
  <si>
    <t>2002286</t>
  </si>
  <si>
    <t>SANCHIT BABAN BANGAR</t>
  </si>
  <si>
    <t>CCAPB4718E</t>
  </si>
  <si>
    <t>2505/2024</t>
  </si>
  <si>
    <t>Tower 7-2006</t>
  </si>
  <si>
    <t>2002356</t>
  </si>
  <si>
    <t>SANDEEP KUMAR</t>
  </si>
  <si>
    <t>CQVPK8048K</t>
  </si>
  <si>
    <t>2071/2024</t>
  </si>
  <si>
    <t>Tower 3-1505</t>
  </si>
  <si>
    <t>2001896</t>
  </si>
  <si>
    <t>SANDEEP RAJARAM SHINDE</t>
  </si>
  <si>
    <t>BZKPS1590R</t>
  </si>
  <si>
    <t>1818/2024</t>
  </si>
  <si>
    <t>Tower 3-1103</t>
  </si>
  <si>
    <t>2017936</t>
  </si>
  <si>
    <t>SANDEEP RAMKRISHNA TAKATE</t>
  </si>
  <si>
    <t>AFRPT5900Q</t>
  </si>
  <si>
    <t>2624/2024</t>
  </si>
  <si>
    <t>Tower 1-2001</t>
  </si>
  <si>
    <t>2018031</t>
  </si>
  <si>
    <t>SANDHYA JADHAV</t>
  </si>
  <si>
    <t>ARWPJ5637P</t>
  </si>
  <si>
    <t>Tower 8-2207</t>
  </si>
  <si>
    <t>2015609</t>
  </si>
  <si>
    <t>SANDHYABEN SURYAKANT VAGH</t>
  </si>
  <si>
    <t>CVEPV3242A</t>
  </si>
  <si>
    <t>2363/2024</t>
  </si>
  <si>
    <t>Tower 5-201</t>
  </si>
  <si>
    <t>2015587</t>
  </si>
  <si>
    <t>SANDIP NAMDEV PATIL</t>
  </si>
  <si>
    <t>DXLPP9752B</t>
  </si>
  <si>
    <t>2338/2024</t>
  </si>
  <si>
    <t>Tower 2-502</t>
  </si>
  <si>
    <t>2021653</t>
  </si>
  <si>
    <t>SANDIP NIVRUTTI REKHADGEWAD</t>
  </si>
  <si>
    <t>CABPR3011H</t>
  </si>
  <si>
    <t>Tower 3-1408</t>
  </si>
  <si>
    <t>2001893</t>
  </si>
  <si>
    <t>SANDIP SAMBHAJI TODKAR</t>
  </si>
  <si>
    <t>BBJPT5189E</t>
  </si>
  <si>
    <t>1906/2024</t>
  </si>
  <si>
    <t>Tower 6-2002</t>
  </si>
  <si>
    <t>2016804</t>
  </si>
  <si>
    <t>SANGEETA GADE</t>
  </si>
  <si>
    <t>AMSPG4257H</t>
  </si>
  <si>
    <t>2364/2024</t>
  </si>
  <si>
    <t>Tower 2-308</t>
  </si>
  <si>
    <t>2019906</t>
  </si>
  <si>
    <t>SANGEETA VISHWANATH PANHAL</t>
  </si>
  <si>
    <t>DOMPP9808G</t>
  </si>
  <si>
    <t>Tower 7-1807</t>
  </si>
  <si>
    <t>2002345</t>
  </si>
  <si>
    <t>SANIL ARUNKUMAR PRAJAPATI</t>
  </si>
  <si>
    <t>DCMPP0315N</t>
  </si>
  <si>
    <t>1868/2024</t>
  </si>
  <si>
    <t>Tower 3-605</t>
  </si>
  <si>
    <t>2002219</t>
  </si>
  <si>
    <t>SANJAY DAGADU BHISE</t>
  </si>
  <si>
    <t>AFEPB9371G</t>
  </si>
  <si>
    <t>2200/2024</t>
  </si>
  <si>
    <t>Tower 7-1304</t>
  </si>
  <si>
    <t>2002307</t>
  </si>
  <si>
    <t>SANJAY RAGHUNATH CHANDGUDE</t>
  </si>
  <si>
    <t>AAHPC9485A</t>
  </si>
  <si>
    <t>1912/2024</t>
  </si>
  <si>
    <t>Tower 3-1403</t>
  </si>
  <si>
    <t>2019940</t>
  </si>
  <si>
    <t>SANJAY RATNAPARKHI</t>
  </si>
  <si>
    <t>AGBPR2269K</t>
  </si>
  <si>
    <t>2203/2025</t>
  </si>
  <si>
    <t>Tower 3-905</t>
  </si>
  <si>
    <t>2018611</t>
  </si>
  <si>
    <t>SANJAY SINGH SISODIYA</t>
  </si>
  <si>
    <t>BDYPS8072E</t>
  </si>
  <si>
    <t>2486/2024</t>
  </si>
  <si>
    <t>Tower 3-804</t>
  </si>
  <si>
    <t>2018233</t>
  </si>
  <si>
    <t>SANJAY TRIPATHI</t>
  </si>
  <si>
    <t>APJPT8213Q</t>
  </si>
  <si>
    <t>2582/2024</t>
  </si>
  <si>
    <t>Tower 6-201</t>
  </si>
  <si>
    <t>2015591</t>
  </si>
  <si>
    <t>SANKET AJIT PATIL</t>
  </si>
  <si>
    <t>DNAPP7445C</t>
  </si>
  <si>
    <t>3069/2024</t>
  </si>
  <si>
    <t>2019429</t>
  </si>
  <si>
    <t>SANKET BHARAT ZINGADE</t>
  </si>
  <si>
    <t>ACPPZ6953J</t>
  </si>
  <si>
    <t>2422/2024</t>
  </si>
  <si>
    <t>Tower 8-702</t>
  </si>
  <si>
    <t>2002504</t>
  </si>
  <si>
    <t>SANKET NARAYANRAO GORE</t>
  </si>
  <si>
    <t>BRQPG5508P</t>
  </si>
  <si>
    <t>1731/2024</t>
  </si>
  <si>
    <t>Tower 6-1007</t>
  </si>
  <si>
    <t>2002264</t>
  </si>
  <si>
    <t>SANKET SANJAY BHOITE</t>
  </si>
  <si>
    <t>CFGPB5790F</t>
  </si>
  <si>
    <t>2132/2024</t>
  </si>
  <si>
    <t>Tower 3-903</t>
  </si>
  <si>
    <t>2019644</t>
  </si>
  <si>
    <t>SANKET SANJAY NIKAM</t>
  </si>
  <si>
    <t>AXBPN9589P</t>
  </si>
  <si>
    <t>4909/2024</t>
  </si>
  <si>
    <t>2002230</t>
  </si>
  <si>
    <t>SANKET SAWANT</t>
  </si>
  <si>
    <t>IXEPS8776L</t>
  </si>
  <si>
    <t>2186/2024</t>
  </si>
  <si>
    <t>Tower 3-1008</t>
  </si>
  <si>
    <t>2001874</t>
  </si>
  <si>
    <t>SANKET SIDHARAM PATIL</t>
  </si>
  <si>
    <t>DENPP5764J</t>
  </si>
  <si>
    <t>1874/2024</t>
  </si>
  <si>
    <t>Tower 3-401</t>
  </si>
  <si>
    <t>2002209</t>
  </si>
  <si>
    <t>SANKET SUNIL SURWASE</t>
  </si>
  <si>
    <t>NLDPS5193F</t>
  </si>
  <si>
    <t>Tower 6-1701</t>
  </si>
  <si>
    <t>2017668</t>
  </si>
  <si>
    <t>SANKETI AJAY SALI</t>
  </si>
  <si>
    <t>KOJPS6850D</t>
  </si>
  <si>
    <t>2334/2024</t>
  </si>
  <si>
    <t>Tower 6-1805</t>
  </si>
  <si>
    <t>2018035</t>
  </si>
  <si>
    <t>SANKPAL ANIRUDDH SUNIL</t>
  </si>
  <si>
    <t>DSAPS5550L</t>
  </si>
  <si>
    <t>2941/2024</t>
  </si>
  <si>
    <t>Tower 2-1701</t>
  </si>
  <si>
    <t>2018746</t>
  </si>
  <si>
    <t>SANMAN SHIVAJI CHAVAN</t>
  </si>
  <si>
    <t>AKEPC4030A</t>
  </si>
  <si>
    <t>Tower 3-508</t>
  </si>
  <si>
    <t>2002216</t>
  </si>
  <si>
    <t>SANYA SUMAN</t>
  </si>
  <si>
    <t>HIVPS0713N</t>
  </si>
  <si>
    <t>2278/2024</t>
  </si>
  <si>
    <t>Tower 3-405</t>
  </si>
  <si>
    <t>2015783</t>
  </si>
  <si>
    <t>SAPNA KUMARI</t>
  </si>
  <si>
    <t>HIAPK9003G</t>
  </si>
  <si>
    <t>Tower 8-503</t>
  </si>
  <si>
    <t>2017655</t>
  </si>
  <si>
    <t>SARANG SHAMKANT LANDGE</t>
  </si>
  <si>
    <t>ANLPL3982A</t>
  </si>
  <si>
    <t>4003/2024</t>
  </si>
  <si>
    <t>Tower 3-504</t>
  </si>
  <si>
    <t>2015477</t>
  </si>
  <si>
    <t>SARASWATI DEVI</t>
  </si>
  <si>
    <t>AGYPP1510E</t>
  </si>
  <si>
    <t>2534/2024</t>
  </si>
  <si>
    <t>Tower 6-404</t>
  </si>
  <si>
    <t>2015773</t>
  </si>
  <si>
    <t>SARASWATI KAKDE</t>
  </si>
  <si>
    <t>CACPK8291D</t>
  </si>
  <si>
    <t>3981/2024</t>
  </si>
  <si>
    <t>Tower 3-1405</t>
  </si>
  <si>
    <t>2016528</t>
  </si>
  <si>
    <t>SARITA AVINASH JADHAV</t>
  </si>
  <si>
    <t>AWSPA0394D</t>
  </si>
  <si>
    <t>3162/2024</t>
  </si>
  <si>
    <t>Tower 6-1307</t>
  </si>
  <si>
    <t>2017676</t>
  </si>
  <si>
    <t>Sarode Lupesh Prabhakar</t>
  </si>
  <si>
    <t>GAPPS3601L</t>
  </si>
  <si>
    <t>2536/2024</t>
  </si>
  <si>
    <t>Tower 8-207</t>
  </si>
  <si>
    <t>2018108</t>
  </si>
  <si>
    <t>SARVESH DHONDIRAM LOHAR</t>
  </si>
  <si>
    <t>AUKPL4154E</t>
  </si>
  <si>
    <t>2417/2024</t>
  </si>
  <si>
    <t>Tower 7-1206</t>
  </si>
  <si>
    <t>2002302</t>
  </si>
  <si>
    <t>SARVESH SHESHRAO PAWAR</t>
  </si>
  <si>
    <t>CNEPP7325J</t>
  </si>
  <si>
    <t>1872/2024</t>
  </si>
  <si>
    <t>Tower 8-908</t>
  </si>
  <si>
    <t>2018845</t>
  </si>
  <si>
    <t>SATHE MAHESH VALMIKRAO</t>
  </si>
  <si>
    <t>DXBPS4327H</t>
  </si>
  <si>
    <t>2585/2024</t>
  </si>
  <si>
    <t>Tower 8-1203</t>
  </si>
  <si>
    <t>2002423</t>
  </si>
  <si>
    <t>SATISH KUMAR SINGH</t>
  </si>
  <si>
    <t>BZOPS0532D</t>
  </si>
  <si>
    <t>1741/2024</t>
  </si>
  <si>
    <t>Tower 8-1302</t>
  </si>
  <si>
    <t>2002429</t>
  </si>
  <si>
    <t>SATYAM DATTATRAYA PAWAR</t>
  </si>
  <si>
    <t>CQBPP2139J</t>
  </si>
  <si>
    <t>1733/2024</t>
  </si>
  <si>
    <t>Tower 7-1903</t>
  </si>
  <si>
    <t>2019786</t>
  </si>
  <si>
    <t>SATYAM MANOJ MALHOTRA</t>
  </si>
  <si>
    <t>FOUPM2230F</t>
  </si>
  <si>
    <t>HVL28-59-2025</t>
  </si>
  <si>
    <t>Tower 6-1608</t>
  </si>
  <si>
    <t>2015730</t>
  </si>
  <si>
    <t>SATYAVAN UMAKANT DONGARE</t>
  </si>
  <si>
    <t>CQWPD3364C</t>
  </si>
  <si>
    <t>2424/2024</t>
  </si>
  <si>
    <t>Tower 8-1008</t>
  </si>
  <si>
    <t>2002413</t>
  </si>
  <si>
    <t>SAUMITRA VIJAY MUTATKAR</t>
  </si>
  <si>
    <t>CFZPM4123E</t>
  </si>
  <si>
    <t>1711/2024</t>
  </si>
  <si>
    <t>Tower 4-1506</t>
  </si>
  <si>
    <t>2019564</t>
  </si>
  <si>
    <t>SAUMYA PORWAL</t>
  </si>
  <si>
    <t>CKAPP7408P</t>
  </si>
  <si>
    <t>4793/2024</t>
  </si>
  <si>
    <t>Tower 4-501</t>
  </si>
  <si>
    <t>2019574</t>
  </si>
  <si>
    <t>SAURABH KUMAR</t>
  </si>
  <si>
    <t>CDQPK0175D</t>
  </si>
  <si>
    <t>2586/2024</t>
  </si>
  <si>
    <t>2018510</t>
  </si>
  <si>
    <t>SAVITA TUKARAM MOTARWAR</t>
  </si>
  <si>
    <t>DHZPM4300J</t>
  </si>
  <si>
    <t>Tower 8-502</t>
  </si>
  <si>
    <t>2002496</t>
  </si>
  <si>
    <t>SAYALI DHANANJAY DHAWALE</t>
  </si>
  <si>
    <t>DQGPD8791A</t>
  </si>
  <si>
    <t>1828/2024</t>
  </si>
  <si>
    <t>2019329</t>
  </si>
  <si>
    <t>SAYALI VAIBHAV PATHAK</t>
  </si>
  <si>
    <t>DKNPK7234J</t>
  </si>
  <si>
    <t>Tower 7-302</t>
  </si>
  <si>
    <t>2002371</t>
  </si>
  <si>
    <t>SAYARA DILAVAR MULANI</t>
  </si>
  <si>
    <t>BNIPM9023M</t>
  </si>
  <si>
    <t>2244/2204</t>
  </si>
  <si>
    <t>Tower 8-1807</t>
  </si>
  <si>
    <t>2002465</t>
  </si>
  <si>
    <t>SEEMA SUNIL RATHOD</t>
  </si>
  <si>
    <t>BFKPJ2598J</t>
  </si>
  <si>
    <t>2242/2024</t>
  </si>
  <si>
    <t>Tower 1-1001</t>
  </si>
  <si>
    <t>2020339</t>
  </si>
  <si>
    <t>SEETANSHU KOTANGALE</t>
  </si>
  <si>
    <t>FCUPK0317P</t>
  </si>
  <si>
    <t>Tower 8-308</t>
  </si>
  <si>
    <t>2002489</t>
  </si>
  <si>
    <t>SEJESH PANDURANG PAWAR</t>
  </si>
  <si>
    <t>ANMPP1199C</t>
  </si>
  <si>
    <t>1732/2024</t>
  </si>
  <si>
    <t>2018881</t>
  </si>
  <si>
    <t>SHAIKH SARFARAZ FAROOK</t>
  </si>
  <si>
    <t>EZEPS4965P</t>
  </si>
  <si>
    <t>Tower 2-1102</t>
  </si>
  <si>
    <t>2018038</t>
  </si>
  <si>
    <t>SHAILESH PRAKASH KHANNA</t>
  </si>
  <si>
    <t>BNFPK5635L</t>
  </si>
  <si>
    <t>Tower 2-1401</t>
  </si>
  <si>
    <t>2019569</t>
  </si>
  <si>
    <t>SHAKTISINGH KUMARSINGH RAJPUT</t>
  </si>
  <si>
    <t>CGHPR2059H</t>
  </si>
  <si>
    <t>Tower 2-708</t>
  </si>
  <si>
    <t>2018078</t>
  </si>
  <si>
    <t>SHAKUNTALA ASHOKRAO REWANWAR</t>
  </si>
  <si>
    <t>CTAPR1374M</t>
  </si>
  <si>
    <t>Tower 8-501</t>
  </si>
  <si>
    <t>2002495</t>
  </si>
  <si>
    <t>SHALINI AJAY BHIRUD</t>
  </si>
  <si>
    <t>BRBPB0960P</t>
  </si>
  <si>
    <t>2060/2024</t>
  </si>
  <si>
    <t>Tower 4-1106</t>
  </si>
  <si>
    <t>2018913</t>
  </si>
  <si>
    <t>SHALINI RAMDAS MEMANE</t>
  </si>
  <si>
    <t>CWZPM8677A</t>
  </si>
  <si>
    <t>4006/2024</t>
  </si>
  <si>
    <t>Tower 8-907</t>
  </si>
  <si>
    <t>2002519</t>
  </si>
  <si>
    <t>SHANISHWAR PRAKASH GHUGAL</t>
  </si>
  <si>
    <t>BLZPT7062A</t>
  </si>
  <si>
    <t>2409/2024</t>
  </si>
  <si>
    <t>Tower 8-701</t>
  </si>
  <si>
    <t>2002503</t>
  </si>
  <si>
    <t>SHANKAR UTTAM GORAD</t>
  </si>
  <si>
    <t>ALMPG1688F</t>
  </si>
  <si>
    <t>1832/2024</t>
  </si>
  <si>
    <t>2018722</t>
  </si>
  <si>
    <t>SHANTARAM MAHADU DOKE</t>
  </si>
  <si>
    <t>BBOPD0876R</t>
  </si>
  <si>
    <t>Tower 4-1304</t>
  </si>
  <si>
    <t>2020233</t>
  </si>
  <si>
    <t>SHANTI KUMARI</t>
  </si>
  <si>
    <t>GPMPK9053N</t>
  </si>
  <si>
    <t>1464/2025</t>
  </si>
  <si>
    <t>Tower 5-301</t>
  </si>
  <si>
    <t>2015770</t>
  </si>
  <si>
    <t>Sharma Priyanka</t>
  </si>
  <si>
    <t>AUZPS8208D</t>
  </si>
  <si>
    <t>2448/2024</t>
  </si>
  <si>
    <t>Tower 5-704</t>
  </si>
  <si>
    <t>2020266</t>
  </si>
  <si>
    <t>SHASHANK KELA</t>
  </si>
  <si>
    <t>BHCPK2361J</t>
  </si>
  <si>
    <t>Tower 8-1908</t>
  </si>
  <si>
    <t>2002471</t>
  </si>
  <si>
    <t>SHASHANK SUNIL PATIL</t>
  </si>
  <si>
    <t>CIJPP3578D</t>
  </si>
  <si>
    <t>2291/2024</t>
  </si>
  <si>
    <t>Tower 4-1706</t>
  </si>
  <si>
    <t>2021530</t>
  </si>
  <si>
    <t>SHASHI PRAKASH</t>
  </si>
  <si>
    <t>APDPP2187D</t>
  </si>
  <si>
    <t>2984-2025</t>
  </si>
  <si>
    <t>Tower 7-1202</t>
  </si>
  <si>
    <t>2002299</t>
  </si>
  <si>
    <t>SHASHIKALA CHANDRAKANT JAGTAP</t>
  </si>
  <si>
    <t>MZNXB6789I</t>
  </si>
  <si>
    <t>2416/2024</t>
  </si>
  <si>
    <t>Tower 3-1502</t>
  </si>
  <si>
    <t>2001895</t>
  </si>
  <si>
    <t>SHASHIKANT BABASO PATIL</t>
  </si>
  <si>
    <t>CNQPP4488N</t>
  </si>
  <si>
    <t>1858/2024</t>
  </si>
  <si>
    <t>Tower 8-504</t>
  </si>
  <si>
    <t>2019880</t>
  </si>
  <si>
    <t>SHASHIKANT GANGADHAR KALASKAR</t>
  </si>
  <si>
    <t>BJLPK7880D</t>
  </si>
  <si>
    <t>1038/2025</t>
  </si>
  <si>
    <t>2002245</t>
  </si>
  <si>
    <t>SHASHIKANT JAN</t>
  </si>
  <si>
    <t>ABCDE1254H</t>
  </si>
  <si>
    <t>Tower 1-702</t>
  </si>
  <si>
    <t>2021005</t>
  </si>
  <si>
    <t>SHEETAL BABAJI YEWALE</t>
  </si>
  <si>
    <t>AGHPY5969K</t>
  </si>
  <si>
    <t>2022860</t>
  </si>
  <si>
    <t>SHEFALI NILESH BHIRUD</t>
  </si>
  <si>
    <t>GTXPK8818N</t>
  </si>
  <si>
    <t>Tower 6-1906</t>
  </si>
  <si>
    <t>2019082</t>
  </si>
  <si>
    <t>SHEKHAR SUKHADEO DORLE</t>
  </si>
  <si>
    <t>ASGPD3663E</t>
  </si>
  <si>
    <t>4105/2024</t>
  </si>
  <si>
    <t>Tower 1-2002</t>
  </si>
  <si>
    <t>2020812</t>
  </si>
  <si>
    <t>SHILPA SUDHIR SAWALGE</t>
  </si>
  <si>
    <t>AXJPS3302D</t>
  </si>
  <si>
    <t>Tower 3-208</t>
  </si>
  <si>
    <t>2017709</t>
  </si>
  <si>
    <t>SHINDE SUSHANT PRAKASH</t>
  </si>
  <si>
    <t>GEEPS7879D</t>
  </si>
  <si>
    <t>2906/2024</t>
  </si>
  <si>
    <t>Tower 8-402</t>
  </si>
  <si>
    <t>2002491</t>
  </si>
  <si>
    <t>SHIRISH MANOHAR FULMALI</t>
  </si>
  <si>
    <t>ACBPF7038C</t>
  </si>
  <si>
    <t>1701/2024</t>
  </si>
  <si>
    <t>Tower 5-1701</t>
  </si>
  <si>
    <t>2018005</t>
  </si>
  <si>
    <t>SHIRKE CHAITALI</t>
  </si>
  <si>
    <t>ETFPS1519Q</t>
  </si>
  <si>
    <t>2470/2024</t>
  </si>
  <si>
    <t>Tower 6-1306</t>
  </si>
  <si>
    <t>2022734</t>
  </si>
  <si>
    <t>SHITAL DIGVIJAY PATIL</t>
  </si>
  <si>
    <t>BCYPN1532K</t>
  </si>
  <si>
    <t>4475/2025</t>
  </si>
  <si>
    <t>Tower 7-903</t>
  </si>
  <si>
    <t>2017986</t>
  </si>
  <si>
    <t>SHITAL N BHAISARE</t>
  </si>
  <si>
    <t>CHBPB4235L</t>
  </si>
  <si>
    <t>2766/2024</t>
  </si>
  <si>
    <t>Tower 5-1301</t>
  </si>
  <si>
    <t>2017995</t>
  </si>
  <si>
    <t>SHITAL SOURABH PATIL</t>
  </si>
  <si>
    <t>ERTPP9150G</t>
  </si>
  <si>
    <t>2621/2024</t>
  </si>
  <si>
    <t>Tower 1-2201</t>
  </si>
  <si>
    <t>2020705</t>
  </si>
  <si>
    <t>SHIVANI SANJAY GHATE</t>
  </si>
  <si>
    <t>CGLPG1741B</t>
  </si>
  <si>
    <t>Tower 5-1102</t>
  </si>
  <si>
    <t>2018530</t>
  </si>
  <si>
    <t>SHIVANSHU TRIPATHI</t>
  </si>
  <si>
    <t>BAVPT3032K</t>
  </si>
  <si>
    <t>2430/2024</t>
  </si>
  <si>
    <t>Tower 6-408</t>
  </si>
  <si>
    <t>2017732</t>
  </si>
  <si>
    <t>SHIVARAJ SAKHARAM INGALE</t>
  </si>
  <si>
    <t>ALCPI8883L</t>
  </si>
  <si>
    <t>2549/2024</t>
  </si>
  <si>
    <t>Tower 8-1205</t>
  </si>
  <si>
    <t>2002424</t>
  </si>
  <si>
    <t>SHIVEETA PANDITA</t>
  </si>
  <si>
    <t>BEXPK4847P</t>
  </si>
  <si>
    <t>2826/2024</t>
  </si>
  <si>
    <t>Tower 6-501</t>
  </si>
  <si>
    <t>2018282</t>
  </si>
  <si>
    <t>SHIVKUMAR MALLINATH MATHPATI</t>
  </si>
  <si>
    <t>CPWPM1444M</t>
  </si>
  <si>
    <t>2708/2024</t>
  </si>
  <si>
    <t>Tower 5-202</t>
  </si>
  <si>
    <t>2017991</t>
  </si>
  <si>
    <t>SHIVPRASAD G SHETTY</t>
  </si>
  <si>
    <t>BSVPS1691F</t>
  </si>
  <si>
    <t>2539/2024</t>
  </si>
  <si>
    <t>Tower 6-802</t>
  </si>
  <si>
    <t>2002278</t>
  </si>
  <si>
    <t>SHIWANI PRIYADARSHINI</t>
  </si>
  <si>
    <t>BCRPP2730A</t>
  </si>
  <si>
    <t>2027/2024</t>
  </si>
  <si>
    <t>Tower 4-1105</t>
  </si>
  <si>
    <t>2020804</t>
  </si>
  <si>
    <t>SHOAIB TASADDUKAHMED PATWEKAR</t>
  </si>
  <si>
    <t>COSPP9316L</t>
  </si>
  <si>
    <t>1911/2025</t>
  </si>
  <si>
    <t>Tower 3-408</t>
  </si>
  <si>
    <t>2002212</t>
  </si>
  <si>
    <t>SHOBHA GUPTA</t>
  </si>
  <si>
    <t>AVHPG7369J</t>
  </si>
  <si>
    <t>1961/2024</t>
  </si>
  <si>
    <t>Tower 7-604</t>
  </si>
  <si>
    <t>2015759</t>
  </si>
  <si>
    <t>SHOBHA VASANT GALPHADE</t>
  </si>
  <si>
    <t>AKRPG5385K</t>
  </si>
  <si>
    <t>3487/2024</t>
  </si>
  <si>
    <t>Tower 3-707</t>
  </si>
  <si>
    <t>2002225</t>
  </si>
  <si>
    <t>SHRADDHA ANANT MHATRE</t>
  </si>
  <si>
    <t>LKLKU7474T</t>
  </si>
  <si>
    <t>2625/2024</t>
  </si>
  <si>
    <t>2020120</t>
  </si>
  <si>
    <t>SHRADDHA PRAVINKUMAR MISHRA</t>
  </si>
  <si>
    <t>IPDPS4612L</t>
  </si>
  <si>
    <t>Tower 3-1604</t>
  </si>
  <si>
    <t>2018827</t>
  </si>
  <si>
    <t>SHREYANSH CHOUKSEY</t>
  </si>
  <si>
    <t>BHBPC7649J</t>
  </si>
  <si>
    <t>Tower 6-1707</t>
  </si>
  <si>
    <t>2015802</t>
  </si>
  <si>
    <t>SHREYAS SATISH SAWANT</t>
  </si>
  <si>
    <t>EEIPS0466A</t>
  </si>
  <si>
    <t>2336/2024</t>
  </si>
  <si>
    <t>Tower 7-407</t>
  </si>
  <si>
    <t>2002378</t>
  </si>
  <si>
    <t>SHRI RAMAN</t>
  </si>
  <si>
    <t>AAVPR7197N</t>
  </si>
  <si>
    <t>3827/2024</t>
  </si>
  <si>
    <t>Tower 8-708</t>
  </si>
  <si>
    <t>2002507</t>
  </si>
  <si>
    <t>SHRIDHAR SARJERAO DHUMAL</t>
  </si>
  <si>
    <t>BNWPD9365B</t>
  </si>
  <si>
    <t>3087/2024</t>
  </si>
  <si>
    <t>Tower 4-302</t>
  </si>
  <si>
    <t>2017674</t>
  </si>
  <si>
    <t>SHRIRAM AVINASH KULKARNI</t>
  </si>
  <si>
    <t>ATAPK7999R</t>
  </si>
  <si>
    <t>2813/2024</t>
  </si>
  <si>
    <t>Tower 8-806</t>
  </si>
  <si>
    <t>2002512</t>
  </si>
  <si>
    <t>SHRUTI MILIND PARADKAR</t>
  </si>
  <si>
    <t>JUZPS4977N</t>
  </si>
  <si>
    <t>1723/2024</t>
  </si>
  <si>
    <t>Tower 8-1401</t>
  </si>
  <si>
    <t>2002434</t>
  </si>
  <si>
    <t>SHRUTI SHRIKUMAR WADHOKAR</t>
  </si>
  <si>
    <t>ACGPW6695P</t>
  </si>
  <si>
    <t>2061/2024</t>
  </si>
  <si>
    <t>Tower 3-1401</t>
  </si>
  <si>
    <t>2001890</t>
  </si>
  <si>
    <t>SHUBHAM GANESH SHINDE</t>
  </si>
  <si>
    <t>JBRPS0484P</t>
  </si>
  <si>
    <t>1964/2024</t>
  </si>
  <si>
    <t>Tower 3-902</t>
  </si>
  <si>
    <t>2002233</t>
  </si>
  <si>
    <t>SHUBHAM JOSHI</t>
  </si>
  <si>
    <t>BRCPJ9155M</t>
  </si>
  <si>
    <t>1824/2024</t>
  </si>
  <si>
    <t>2002455</t>
  </si>
  <si>
    <t>SHUBHAM MADHUKAR KADAM</t>
  </si>
  <si>
    <t>EGNPK7444H</t>
  </si>
  <si>
    <t>Tower 4-1301</t>
  </si>
  <si>
    <t>2018498</t>
  </si>
  <si>
    <t>SHUBHAM MAHAJAN</t>
  </si>
  <si>
    <t>CKNPM5917P</t>
  </si>
  <si>
    <t>4692/2024</t>
  </si>
  <si>
    <t>Tower 1-1607</t>
  </si>
  <si>
    <t>2019085</t>
  </si>
  <si>
    <t>SHUBHAM MANOJ GOHEL</t>
  </si>
  <si>
    <t>BOOPG9448D</t>
  </si>
  <si>
    <t>Tower 2-908</t>
  </si>
  <si>
    <t>2018067</t>
  </si>
  <si>
    <t>SHUBHAM MOTIRAM PATIL</t>
  </si>
  <si>
    <t>CVKPP6939C</t>
  </si>
  <si>
    <t>Tower 3-1207</t>
  </si>
  <si>
    <t>2001882</t>
  </si>
  <si>
    <t>SHUBHAM NANDU SONAJE</t>
  </si>
  <si>
    <t>ADGJF4556K</t>
  </si>
  <si>
    <t>2626/2024</t>
  </si>
  <si>
    <t>Tower 7-1607</t>
  </si>
  <si>
    <t>2002331</t>
  </si>
  <si>
    <t>SHUBHAM PURUSHOTTAM JUMDE</t>
  </si>
  <si>
    <t>AVTPJ7486P</t>
  </si>
  <si>
    <t>1871/2024</t>
  </si>
  <si>
    <t>Tower 8-2107</t>
  </si>
  <si>
    <t>2002482</t>
  </si>
  <si>
    <t>SHUBHAM VASANT DESHMUKH</t>
  </si>
  <si>
    <t>DBCPD3795P</t>
  </si>
  <si>
    <t>2897/2024</t>
  </si>
  <si>
    <t>Tower 8-1201</t>
  </si>
  <si>
    <t>2002421</t>
  </si>
  <si>
    <t>SHUBHAM VASANTRAO KURULEKAR</t>
  </si>
  <si>
    <t>DPRPK9989B</t>
  </si>
  <si>
    <t>2077/2024</t>
  </si>
  <si>
    <t>Tower 3-802</t>
  </si>
  <si>
    <t>2002228</t>
  </si>
  <si>
    <t>SHWETA KAILAS HUME</t>
  </si>
  <si>
    <t>BAAPH5408L</t>
  </si>
  <si>
    <t>1932/2024</t>
  </si>
  <si>
    <t>Tower 8-1306</t>
  </si>
  <si>
    <t>2017697</t>
  </si>
  <si>
    <t>SHWETA RUSHIKESH PATHAK</t>
  </si>
  <si>
    <t>CESPP3931D</t>
  </si>
  <si>
    <t>2475/2024</t>
  </si>
  <si>
    <t>Tower 7-1907</t>
  </si>
  <si>
    <t>2002351</t>
  </si>
  <si>
    <t>SHWETA SAGAR GUNJAL</t>
  </si>
  <si>
    <t>CABPT9500P</t>
  </si>
  <si>
    <t>2082/2024</t>
  </si>
  <si>
    <t>Tower 6-302</t>
  </si>
  <si>
    <t>2018490</t>
  </si>
  <si>
    <t>SIDDHANT NAMDEO TUPE</t>
  </si>
  <si>
    <t>ARPPT4352E</t>
  </si>
  <si>
    <t>2295/2024</t>
  </si>
  <si>
    <t>Tower 2-1601</t>
  </si>
  <si>
    <t>2018822</t>
  </si>
  <si>
    <t>SIDDHARTH RAJENDRA BHOITE</t>
  </si>
  <si>
    <t>CZXPB3518E</t>
  </si>
  <si>
    <t>Tower 7-507</t>
  </si>
  <si>
    <t>2002383</t>
  </si>
  <si>
    <t>SIDDHI SATISH JOSHI</t>
  </si>
  <si>
    <t>BJDPJ0989C</t>
  </si>
  <si>
    <t>1857/2024</t>
  </si>
  <si>
    <t>Tower 5-801</t>
  </si>
  <si>
    <t>2017989</t>
  </si>
  <si>
    <t>SITARA RAJENDRAN</t>
  </si>
  <si>
    <t>ANMPR9202J</t>
  </si>
  <si>
    <t>2726/2024</t>
  </si>
  <si>
    <t>Tower 8-201</t>
  </si>
  <si>
    <t>2002478</t>
  </si>
  <si>
    <t>SMITA SHAMRAO THORAT</t>
  </si>
  <si>
    <t>APWPT1554K</t>
  </si>
  <si>
    <t>2246/2024</t>
  </si>
  <si>
    <t>Tower 7-202</t>
  </si>
  <si>
    <t>2017679</t>
  </si>
  <si>
    <t>SMRUTI PRASHANT JADHAV</t>
  </si>
  <si>
    <t>DIUPK1599H</t>
  </si>
  <si>
    <t>2794/2024</t>
  </si>
  <si>
    <t>Tower 1-2102</t>
  </si>
  <si>
    <t>2022896</t>
  </si>
  <si>
    <t>SNEHA ANANDRAO DEVKATTE</t>
  </si>
  <si>
    <t>EWNPD6087H</t>
  </si>
  <si>
    <t>Tower 2-1002</t>
  </si>
  <si>
    <t>2021090</t>
  </si>
  <si>
    <t>SNEHA GAURAV KARODE</t>
  </si>
  <si>
    <t>BONPP4573D</t>
  </si>
  <si>
    <t>Tower 8-1504</t>
  </si>
  <si>
    <t>2017833</t>
  </si>
  <si>
    <t>SNEHAL DIPAKRAO WAIRALE</t>
  </si>
  <si>
    <t>ABZPW5725E</t>
  </si>
  <si>
    <t>2752/2024</t>
  </si>
  <si>
    <t>Tower 6-1303</t>
  </si>
  <si>
    <t>2021303</t>
  </si>
  <si>
    <t>SNEHAL KETAN KANGUDE</t>
  </si>
  <si>
    <t>AMAPH4607E</t>
  </si>
  <si>
    <t>2235-2025</t>
  </si>
  <si>
    <t>Tower 7-1702</t>
  </si>
  <si>
    <t>2002334</t>
  </si>
  <si>
    <t>SNEHAL MAKARAND JADHAV</t>
  </si>
  <si>
    <t>LZZPS6120E</t>
  </si>
  <si>
    <t>2434/2024</t>
  </si>
  <si>
    <t>Tower 1-1202</t>
  </si>
  <si>
    <t>2019587</t>
  </si>
  <si>
    <t>SOHIT RAJENDRA THANTHARATE</t>
  </si>
  <si>
    <t>ANSPT5436E</t>
  </si>
  <si>
    <t>Tower 5-402</t>
  </si>
  <si>
    <t>2017996</t>
  </si>
  <si>
    <t>SOMANATH DILIP KUMBHAR</t>
  </si>
  <si>
    <t>CRJPK0523Q</t>
  </si>
  <si>
    <t>2340/2024</t>
  </si>
  <si>
    <t>Tower 3-1108</t>
  </si>
  <si>
    <t>2001879</t>
  </si>
  <si>
    <t>SOMNATH SUBHASH HUKKERI</t>
  </si>
  <si>
    <t>AEBPH4546K</t>
  </si>
  <si>
    <t>2031/2024</t>
  </si>
  <si>
    <t>Tower 7-805</t>
  </si>
  <si>
    <t>2002400</t>
  </si>
  <si>
    <t>SONAIYA MAHESHKUMAR BHAGVANDAS</t>
  </si>
  <si>
    <t>EEEPS2375A</t>
  </si>
  <si>
    <t>2123/2024</t>
  </si>
  <si>
    <t>Tower 1-1708</t>
  </si>
  <si>
    <t>2018888</t>
  </si>
  <si>
    <t>SONAL KUMARI</t>
  </si>
  <si>
    <t>DQIPK1922C</t>
  </si>
  <si>
    <t>Tower 3-1602</t>
  </si>
  <si>
    <t>2001900</t>
  </si>
  <si>
    <t>SONAL MARUTI AMBALKAR</t>
  </si>
  <si>
    <t>COEPA7572M</t>
  </si>
  <si>
    <t>1987/2024</t>
  </si>
  <si>
    <t>Tower 6-504</t>
  </si>
  <si>
    <t>2017920</t>
  </si>
  <si>
    <t>SONAL NISHANT NANDGAONKAR</t>
  </si>
  <si>
    <t>CGAPN2824M</t>
  </si>
  <si>
    <t>3026/2024</t>
  </si>
  <si>
    <t>Tower 6-207</t>
  </si>
  <si>
    <t>2017828</t>
  </si>
  <si>
    <t>SONAL SITARAM PATIL</t>
  </si>
  <si>
    <t>EAAPP2319P</t>
  </si>
  <si>
    <t>3029/2024</t>
  </si>
  <si>
    <t>Tower 8-808</t>
  </si>
  <si>
    <t>2002514</t>
  </si>
  <si>
    <t>SONALI NILKANTHRAO THAKARE</t>
  </si>
  <si>
    <t>ASDPT0455D</t>
  </si>
  <si>
    <t>1721/2024</t>
  </si>
  <si>
    <t>2002314</t>
  </si>
  <si>
    <t>SONALI UTTAM GHUGE</t>
  </si>
  <si>
    <t>BQZPG5415R</t>
  </si>
  <si>
    <t>Tower 6-1405</t>
  </si>
  <si>
    <t>2022503</t>
  </si>
  <si>
    <t>SONAM</t>
  </si>
  <si>
    <t>BNSPP2545R</t>
  </si>
  <si>
    <t>4283/2025</t>
  </si>
  <si>
    <t>Tower 7-303</t>
  </si>
  <si>
    <t>2002372</t>
  </si>
  <si>
    <t>SONAM SANDEEP SHARMA</t>
  </si>
  <si>
    <t>MNHGF5656T</t>
  </si>
  <si>
    <t>Tower 7-307</t>
  </si>
  <si>
    <t>2002374</t>
  </si>
  <si>
    <t>SONAWANE PRIYANKA RAKESH</t>
  </si>
  <si>
    <t>FTNPP4572D</t>
  </si>
  <si>
    <t>1914/2024</t>
  </si>
  <si>
    <t>Tower 8-2105</t>
  </si>
  <si>
    <t>2019570</t>
  </si>
  <si>
    <t>SONU ABRAHAM JOSEPH</t>
  </si>
  <si>
    <t>AKEPJ7746E</t>
  </si>
  <si>
    <t>5044/2024</t>
  </si>
  <si>
    <t>Tower 8-1505</t>
  </si>
  <si>
    <t>2002443</t>
  </si>
  <si>
    <t>SOUMYAJIT DATTA</t>
  </si>
  <si>
    <t>ALHPD3934G</t>
  </si>
  <si>
    <t>2473/2024</t>
  </si>
  <si>
    <t>Tower 3-1101</t>
  </si>
  <si>
    <t>2001875</t>
  </si>
  <si>
    <t>SOURABH VIJAY BANDIWADEKAR</t>
  </si>
  <si>
    <t>BZCPB0444F</t>
  </si>
  <si>
    <t>1855/2024</t>
  </si>
  <si>
    <t>Tower 8-1806</t>
  </si>
  <si>
    <t>2018018</t>
  </si>
  <si>
    <t>SOURAV RAJ</t>
  </si>
  <si>
    <t>BMOPR2749Q</t>
  </si>
  <si>
    <t>1967/2024</t>
  </si>
  <si>
    <t>Tower 4-1303</t>
  </si>
  <si>
    <t>2018043</t>
  </si>
  <si>
    <t>SPOORTI ALMAD</t>
  </si>
  <si>
    <t>BLAPA1303G</t>
  </si>
  <si>
    <t>3719/2024</t>
  </si>
  <si>
    <t>Tower 7-1705</t>
  </si>
  <si>
    <t>2018033</t>
  </si>
  <si>
    <t>SRUSHTI GUPTA</t>
  </si>
  <si>
    <t>DNUPG4767G</t>
  </si>
  <si>
    <t>4085/2024</t>
  </si>
  <si>
    <t>2018985</t>
  </si>
  <si>
    <t>SRUTHI K</t>
  </si>
  <si>
    <t>FYHPS5882Q</t>
  </si>
  <si>
    <t>Tower 6-1607</t>
  </si>
  <si>
    <t>2017742</t>
  </si>
  <si>
    <t>SUBHASH YADAV RAHANE</t>
  </si>
  <si>
    <t>AAXPR5300D</t>
  </si>
  <si>
    <t>2541/2024</t>
  </si>
  <si>
    <t>Tower 1-1302</t>
  </si>
  <si>
    <t>2019761</t>
  </si>
  <si>
    <t>SUCHETA J FAIRBANK</t>
  </si>
  <si>
    <t>ADMPC2691J</t>
  </si>
  <si>
    <t>Tower 2-1607</t>
  </si>
  <si>
    <t>2021308</t>
  </si>
  <si>
    <t>SUCHI VERMA</t>
  </si>
  <si>
    <t>AZNPV8991M</t>
  </si>
  <si>
    <t>Tower 8-208</t>
  </si>
  <si>
    <t>2017727</t>
  </si>
  <si>
    <t>SUDARSHAN DAJIRAM JAGATAP</t>
  </si>
  <si>
    <t>ALTPJ2790G</t>
  </si>
  <si>
    <t>2795/2024</t>
  </si>
  <si>
    <t>Tower 6-1901</t>
  </si>
  <si>
    <t>2017950</t>
  </si>
  <si>
    <t>SUHAS GAJANAN KIRTANE</t>
  </si>
  <si>
    <t>FJBPK6724G</t>
  </si>
  <si>
    <t>2449/2024</t>
  </si>
  <si>
    <t>Tower 8-1106</t>
  </si>
  <si>
    <t>2017773</t>
  </si>
  <si>
    <t>SUHAS MAHADEV PAWAR</t>
  </si>
  <si>
    <t>BKUPP1822J</t>
  </si>
  <si>
    <t>2886/2024</t>
  </si>
  <si>
    <t>Tower 3-1105</t>
  </si>
  <si>
    <t>2001877</t>
  </si>
  <si>
    <t>SUJATA SHIRISH DESHPANDE</t>
  </si>
  <si>
    <t>FSUPD9333L</t>
  </si>
  <si>
    <t>1791/2024</t>
  </si>
  <si>
    <t>Tower 2-1808</t>
  </si>
  <si>
    <t>2018876</t>
  </si>
  <si>
    <t>SUJATA UTTAM SHINGARE</t>
  </si>
  <si>
    <t>GQMPS9683D</t>
  </si>
  <si>
    <t>Tower 6-2007</t>
  </si>
  <si>
    <t>2018986</t>
  </si>
  <si>
    <t>SUJIT SANJAY WAGHMODE</t>
  </si>
  <si>
    <t>ACHPW8252D</t>
  </si>
  <si>
    <t>2371/2024</t>
  </si>
  <si>
    <t>Tower 7-902</t>
  </si>
  <si>
    <t>2002405</t>
  </si>
  <si>
    <t>SULABHA DHANANJAY KATKHEDE</t>
  </si>
  <si>
    <t>CFLPP9823A</t>
  </si>
  <si>
    <t>2095/2024</t>
  </si>
  <si>
    <t>Tower 2-1908</t>
  </si>
  <si>
    <t>2019432</t>
  </si>
  <si>
    <t>SULABHA UKHARDU RANE</t>
  </si>
  <si>
    <t>ABYPR8439D</t>
  </si>
  <si>
    <t>2002257</t>
  </si>
  <si>
    <t>SUMEDH MADHUKAR GACCHE</t>
  </si>
  <si>
    <t>BOHPG7358K</t>
  </si>
  <si>
    <t>Tower 7-1401</t>
  </si>
  <si>
    <t>2002312</t>
  </si>
  <si>
    <t>SUMIT ASTHANA</t>
  </si>
  <si>
    <t>APUPA6215Q</t>
  </si>
  <si>
    <t>2055/2024</t>
  </si>
  <si>
    <t>2001880</t>
  </si>
  <si>
    <t>SUNIL SASANE</t>
  </si>
  <si>
    <t>ABVCR2542G</t>
  </si>
  <si>
    <t>Tower 6-604</t>
  </si>
  <si>
    <t>2002272</t>
  </si>
  <si>
    <t>Tower 6-602</t>
  </si>
  <si>
    <t>2002271</t>
  </si>
  <si>
    <t>2966/2024</t>
  </si>
  <si>
    <t>Tower 4-701</t>
  </si>
  <si>
    <t>2002251</t>
  </si>
  <si>
    <t>SUNIL SHANKAR AHER</t>
  </si>
  <si>
    <t>APZPA0351C</t>
  </si>
  <si>
    <t>2083/2024</t>
  </si>
  <si>
    <t>Tower 7-2208</t>
  </si>
  <si>
    <t>2017843</t>
  </si>
  <si>
    <t>SUNIL SHARMA</t>
  </si>
  <si>
    <t>BJLPS6042R</t>
  </si>
  <si>
    <t>2801/2024</t>
  </si>
  <si>
    <t>2022245</t>
  </si>
  <si>
    <t>Tower 8-2001</t>
  </si>
  <si>
    <t>2002472</t>
  </si>
  <si>
    <t>SUNIL VEDPRAKASH MALIK</t>
  </si>
  <si>
    <t>AACPM0257D</t>
  </si>
  <si>
    <t>1963/2024</t>
  </si>
  <si>
    <t>2002520</t>
  </si>
  <si>
    <t>SUPRAKASH SINHAROY</t>
  </si>
  <si>
    <t>BAUPS5930A</t>
  </si>
  <si>
    <t>Tower 8-1206</t>
  </si>
  <si>
    <t>2002425</t>
  </si>
  <si>
    <t>SURAJ ANANDRAO PATIL</t>
  </si>
  <si>
    <t>CTLPP8901M</t>
  </si>
  <si>
    <t>1720/2024</t>
  </si>
  <si>
    <t>Tower 7-1507</t>
  </si>
  <si>
    <t>2002324</t>
  </si>
  <si>
    <t>SURAJ UDALSING RAJPUT</t>
  </si>
  <si>
    <t>CCIPR4640H</t>
  </si>
  <si>
    <t>2276/2024</t>
  </si>
  <si>
    <t>2018509</t>
  </si>
  <si>
    <t>SURAJ VASANTRAO HIREKHAN</t>
  </si>
  <si>
    <t>ALVPH8714N</t>
  </si>
  <si>
    <t>2019605</t>
  </si>
  <si>
    <t>Tower 2-1101</t>
  </si>
  <si>
    <t>2018489</t>
  </si>
  <si>
    <t>SURBHI GUPTA</t>
  </si>
  <si>
    <t>BSGPG3625J</t>
  </si>
  <si>
    <t>Tower 2-1301</t>
  </si>
  <si>
    <t>2019068</t>
  </si>
  <si>
    <t>SUREKHA PANKAJ BHUSARI</t>
  </si>
  <si>
    <t>FFDPB4545G</t>
  </si>
  <si>
    <t>Tower 6-1708</t>
  </si>
  <si>
    <t>2017780</t>
  </si>
  <si>
    <t>SURYAKANT RANJAN</t>
  </si>
  <si>
    <t>CCOPS3199G</t>
  </si>
  <si>
    <t>3350/2024</t>
  </si>
  <si>
    <t>Tower 7-608</t>
  </si>
  <si>
    <t>2002390</t>
  </si>
  <si>
    <t>SUSHAMA KISHOR WAJGE</t>
  </si>
  <si>
    <t>AHKPV7106P</t>
  </si>
  <si>
    <t>2170/2024</t>
  </si>
  <si>
    <t>Tower 8-807</t>
  </si>
  <si>
    <t>2002513</t>
  </si>
  <si>
    <t>SUSHAMA SHRIKRISHNA WADHOKAR</t>
  </si>
  <si>
    <t>AGZPP0962D</t>
  </si>
  <si>
    <t>2189/2024</t>
  </si>
  <si>
    <t>Tower 3-1807</t>
  </si>
  <si>
    <t>2002186</t>
  </si>
  <si>
    <t>SUSHANT KISAN JADHAV</t>
  </si>
  <si>
    <t>AMKPJ4230D</t>
  </si>
  <si>
    <t>2240/2024</t>
  </si>
  <si>
    <t>Tower 1-1407</t>
  </si>
  <si>
    <t>2018905</t>
  </si>
  <si>
    <t>SUSHIL TULSHIRAM DESHMUKH</t>
  </si>
  <si>
    <t>CAVPD2478N</t>
  </si>
  <si>
    <t>Tower 8-2202</t>
  </si>
  <si>
    <t>2002485</t>
  </si>
  <si>
    <t>SUYASH MOHAN RUPNAWAR</t>
  </si>
  <si>
    <t>BRHPR3909L</t>
  </si>
  <si>
    <t>2017/2024</t>
  </si>
  <si>
    <t>Tower 7-908</t>
  </si>
  <si>
    <t>2002409</t>
  </si>
  <si>
    <t>SUYASH SAMBHAJI PATIL</t>
  </si>
  <si>
    <t>FDFPP0837K</t>
  </si>
  <si>
    <t>1960/2024</t>
  </si>
  <si>
    <t>Tower 5-502</t>
  </si>
  <si>
    <t>2017958</t>
  </si>
  <si>
    <t>SWANAND MAKARAND PATKI</t>
  </si>
  <si>
    <t>EVYPP6151C</t>
  </si>
  <si>
    <t>2469/2024</t>
  </si>
  <si>
    <t>Tower 7-1708</t>
  </si>
  <si>
    <t>2002338</t>
  </si>
  <si>
    <t>SWAPNA PRADEEP NAIR</t>
  </si>
  <si>
    <t>ALAKJ6756T</t>
  </si>
  <si>
    <t>1802/2024</t>
  </si>
  <si>
    <t>Tower 1-1208</t>
  </si>
  <si>
    <t>2018192</t>
  </si>
  <si>
    <t>SWAPNIL DHANANJAY ADNAK</t>
  </si>
  <si>
    <t>CODPA2399B</t>
  </si>
  <si>
    <t>Tower 7-1805</t>
  </si>
  <si>
    <t>2002343</t>
  </si>
  <si>
    <t>SWAPNIL JAGANNATH NIMKARDE</t>
  </si>
  <si>
    <t>AQSPN1519R</t>
  </si>
  <si>
    <t>1859/2024</t>
  </si>
  <si>
    <t>2019109</t>
  </si>
  <si>
    <t>SWAPNIL MANIKRAO ALURE</t>
  </si>
  <si>
    <t>CAHPA4668R</t>
  </si>
  <si>
    <t>Tower 8-805</t>
  </si>
  <si>
    <t>2002511</t>
  </si>
  <si>
    <t>SWAPNIL SANJAY CHIMOTE</t>
  </si>
  <si>
    <t>AYYPC3253H</t>
  </si>
  <si>
    <t>2193/2024</t>
  </si>
  <si>
    <t>Tower 8-407</t>
  </si>
  <si>
    <t>2002493</t>
  </si>
  <si>
    <t>SWAPNIL SHRAWAN MASKAR</t>
  </si>
  <si>
    <t>DBZPM4894P</t>
  </si>
  <si>
    <t>2269/2024</t>
  </si>
  <si>
    <t>Tower 7-2207</t>
  </si>
  <si>
    <t>2002369</t>
  </si>
  <si>
    <t>SWARADA OMKAR KHEDGIKAR</t>
  </si>
  <si>
    <t>BSWPA0320E</t>
  </si>
  <si>
    <t>3163/2024</t>
  </si>
  <si>
    <t>Tower 3-1204</t>
  </si>
  <si>
    <t>2017752</t>
  </si>
  <si>
    <t>SWARADA PRAKASH DAMODARE</t>
  </si>
  <si>
    <t>CDCPD9251K</t>
  </si>
  <si>
    <t>3086/2024</t>
  </si>
  <si>
    <t>Tower 8-2201</t>
  </si>
  <si>
    <t>2002484</t>
  </si>
  <si>
    <t>SWARAJ AVINASH KENDRE</t>
  </si>
  <si>
    <t>IVTPK8262A</t>
  </si>
  <si>
    <t>3608/2024</t>
  </si>
  <si>
    <t>Tower 8-803</t>
  </si>
  <si>
    <t>2018244</t>
  </si>
  <si>
    <t>SWARNIM NEGI</t>
  </si>
  <si>
    <t>AWNPN3474E</t>
  </si>
  <si>
    <t>2280/2024</t>
  </si>
  <si>
    <t>2022797</t>
  </si>
  <si>
    <t>SWATI NITIN BODKE</t>
  </si>
  <si>
    <t>FVEPS5027P</t>
  </si>
  <si>
    <t>2023014</t>
  </si>
  <si>
    <t>SWATI SURESH WANKHEDE</t>
  </si>
  <si>
    <t>AWXPS4947H</t>
  </si>
  <si>
    <t>Tower 1-408</t>
  </si>
  <si>
    <t>2018880</t>
  </si>
  <si>
    <t>SWETA KUMARI</t>
  </si>
  <si>
    <t>CFBPK5354R</t>
  </si>
  <si>
    <t>pending</t>
  </si>
  <si>
    <t>2022171</t>
  </si>
  <si>
    <t>TANUJA SHIVKUMAR PADISHALWAR</t>
  </si>
  <si>
    <t>COIPP8728Q</t>
  </si>
  <si>
    <t>Tower 7-1808</t>
  </si>
  <si>
    <t>2002346</t>
  </si>
  <si>
    <t>TARUN KUMAR SINGH</t>
  </si>
  <si>
    <t>CGLPS2550Q</t>
  </si>
  <si>
    <t>1996/2024</t>
  </si>
  <si>
    <t>Tower 6-1407</t>
  </si>
  <si>
    <t>2017746</t>
  </si>
  <si>
    <t>TAWALE SURAJ SURESH</t>
  </si>
  <si>
    <t>AUTPT4766F</t>
  </si>
  <si>
    <t>2358/2024</t>
  </si>
  <si>
    <t>Tower 8-1907</t>
  </si>
  <si>
    <t>2002470</t>
  </si>
  <si>
    <t>TEJAS BABANRAO BADKHAL</t>
  </si>
  <si>
    <t>CQTPB0186P</t>
  </si>
  <si>
    <t>1831/2024</t>
  </si>
  <si>
    <t>Tower 5-2201</t>
  </si>
  <si>
    <t>2019822</t>
  </si>
  <si>
    <t>Tejas Bhawsar</t>
  </si>
  <si>
    <t>NNGGT7788K</t>
  </si>
  <si>
    <t>Tower 7-1801</t>
  </si>
  <si>
    <t>2002339</t>
  </si>
  <si>
    <t>TEJAS DNYANESHWAR UTTARWAR</t>
  </si>
  <si>
    <t>AFUPU5295A</t>
  </si>
  <si>
    <t>1854/2024</t>
  </si>
  <si>
    <t>Tower 7-208</t>
  </si>
  <si>
    <t>2017745</t>
  </si>
  <si>
    <t>TEJAS PARSHWANATH GANDHI</t>
  </si>
  <si>
    <t>DQKPG9337P</t>
  </si>
  <si>
    <t>2102/2024</t>
  </si>
  <si>
    <t>Tower 7-2106</t>
  </si>
  <si>
    <t>2002366</t>
  </si>
  <si>
    <t>TEKLAL MAHTO</t>
  </si>
  <si>
    <t>GSUSB7896D</t>
  </si>
  <si>
    <t>2640/2024</t>
  </si>
  <si>
    <t>Tower 3-604</t>
  </si>
  <si>
    <t>2019477</t>
  </si>
  <si>
    <t>THIRUMURUGAN S</t>
  </si>
  <si>
    <t>CTMPS7636B</t>
  </si>
  <si>
    <t>4792/2024</t>
  </si>
  <si>
    <t>Tower 1-1802</t>
  </si>
  <si>
    <t>2020964</t>
  </si>
  <si>
    <t>THUMMETI SHIVA KARTHIK</t>
  </si>
  <si>
    <t>AQEPT1387M</t>
  </si>
  <si>
    <t>Tower 3-1308</t>
  </si>
  <si>
    <t>2001889</t>
  </si>
  <si>
    <t>TODKAR SANDEEP MURLIDHAR</t>
  </si>
  <si>
    <t>AMEPM0699M</t>
  </si>
  <si>
    <t>2176/2024</t>
  </si>
  <si>
    <t>Tower 6-1401</t>
  </si>
  <si>
    <t>2018610</t>
  </si>
  <si>
    <t>TORASKAR ABHIJEET YASHWANT</t>
  </si>
  <si>
    <t>AYKPT3950E</t>
  </si>
  <si>
    <t>2299/2024</t>
  </si>
  <si>
    <t>Tower 8-606</t>
  </si>
  <si>
    <t>2015489</t>
  </si>
  <si>
    <t>TRUPTI BAPURAO KASURKAR</t>
  </si>
  <si>
    <t>DUNPK5111E</t>
  </si>
  <si>
    <t>2967/2024</t>
  </si>
  <si>
    <t>Tower 4-1904</t>
  </si>
  <si>
    <t>2022562</t>
  </si>
  <si>
    <t>TRUPTI SHYAM MANJRE</t>
  </si>
  <si>
    <t>AZBPB2178C</t>
  </si>
  <si>
    <t>4276/2025</t>
  </si>
  <si>
    <t>2002229</t>
  </si>
  <si>
    <t>TUSHAR JANARDAN SATARDEKAR</t>
  </si>
  <si>
    <t>DZZPS5026P</t>
  </si>
  <si>
    <t>Tower 8-1103</t>
  </si>
  <si>
    <t>2002417</t>
  </si>
  <si>
    <t>TUSHAR LAXMAN GAIKWAD</t>
  </si>
  <si>
    <t>ATOPG2481Q</t>
  </si>
  <si>
    <t>1722/2024</t>
  </si>
  <si>
    <t>Tower 7-1706</t>
  </si>
  <si>
    <t>2002336</t>
  </si>
  <si>
    <t>TUSHAR SURESH PATIL</t>
  </si>
  <si>
    <t>CXYPP3564K</t>
  </si>
  <si>
    <t>2025/2024</t>
  </si>
  <si>
    <t>Tower 3-705</t>
  </si>
  <si>
    <t>2002224</t>
  </si>
  <si>
    <t>UDDHAV GOPALRAO DANDALE</t>
  </si>
  <si>
    <t>BUWPD1362H</t>
  </si>
  <si>
    <t>2243/2024</t>
  </si>
  <si>
    <t>2018853</t>
  </si>
  <si>
    <t>UJJAL KUMAR</t>
  </si>
  <si>
    <t>AIMPK3516F</t>
  </si>
  <si>
    <t>3983-2024</t>
  </si>
  <si>
    <t>2021589</t>
  </si>
  <si>
    <t>UMESH KALIDAS JAMDADE</t>
  </si>
  <si>
    <t>AVNPJ3091J</t>
  </si>
  <si>
    <t>2300/2024</t>
  </si>
  <si>
    <t>2022128</t>
  </si>
  <si>
    <t>UMESH POPAT LONDHE</t>
  </si>
  <si>
    <t>Tower 8-1107</t>
  </si>
  <si>
    <t>2002419</t>
  </si>
  <si>
    <t>URMILA KIRAN PATIL</t>
  </si>
  <si>
    <t>LLKLK8767U</t>
  </si>
  <si>
    <t>1970/2024</t>
  </si>
  <si>
    <t>Tower 2-1402</t>
  </si>
  <si>
    <t>2018879</t>
  </si>
  <si>
    <t>UTKARSH VITTHALRAO KENDRE</t>
  </si>
  <si>
    <t>GFJPK8212L</t>
  </si>
  <si>
    <t>Tower 4-1505</t>
  </si>
  <si>
    <t>2019793</t>
  </si>
  <si>
    <t>VAIBHAV ASHOK WANKHADE</t>
  </si>
  <si>
    <t>ADIPW9813G</t>
  </si>
  <si>
    <t>HVL28/87/2025</t>
  </si>
  <si>
    <t>Tower 6-1908</t>
  </si>
  <si>
    <t>2018007</t>
  </si>
  <si>
    <t>VAIBHAV PURUSHOTTAM MAHALLE</t>
  </si>
  <si>
    <t>DGZPM6364P</t>
  </si>
  <si>
    <t>2474/2024</t>
  </si>
  <si>
    <t>Tower 8-1902</t>
  </si>
  <si>
    <t>2002468</t>
  </si>
  <si>
    <t>VAIBHAV SHIVAJI THOMBARE</t>
  </si>
  <si>
    <t>BGNPT5678P</t>
  </si>
  <si>
    <t>2199/2024</t>
  </si>
  <si>
    <t>Tower 7-405</t>
  </si>
  <si>
    <t>2017886</t>
  </si>
  <si>
    <t>VAIDYA ABHIJEET ASHOKRAO</t>
  </si>
  <si>
    <t>AVVPV4817E</t>
  </si>
  <si>
    <t>4084/2024</t>
  </si>
  <si>
    <t>Tower 3-1808</t>
  </si>
  <si>
    <t>2002187</t>
  </si>
  <si>
    <t>VAISHALI HRUSHIKESH BHADANE</t>
  </si>
  <si>
    <t>GEYPS0664L</t>
  </si>
  <si>
    <t>1999/2024</t>
  </si>
  <si>
    <t>Tower 2-701</t>
  </si>
  <si>
    <t>2019281</t>
  </si>
  <si>
    <t>VANDANA GREWAL</t>
  </si>
  <si>
    <t>AOEPK2842J</t>
  </si>
  <si>
    <t>Tower 7-703</t>
  </si>
  <si>
    <t>703</t>
  </si>
  <si>
    <t>2017988</t>
  </si>
  <si>
    <t>VANDANA MAHESH DATIR</t>
  </si>
  <si>
    <t>AVJPD5216B</t>
  </si>
  <si>
    <t>3064/2024</t>
  </si>
  <si>
    <t>Tower 2-2107</t>
  </si>
  <si>
    <t>2021535</t>
  </si>
  <si>
    <t>VARSHA MANOHAR LAMBAT</t>
  </si>
  <si>
    <t>AMAPL0485G</t>
  </si>
  <si>
    <t>Tower 3-1304</t>
  </si>
  <si>
    <t>2020218</t>
  </si>
  <si>
    <t>VARSHA RANI</t>
  </si>
  <si>
    <t>BJHPR2011R</t>
  </si>
  <si>
    <t>2425/2024</t>
  </si>
  <si>
    <t>Tower 8-1404</t>
  </si>
  <si>
    <t>2020028</t>
  </si>
  <si>
    <t>VARSHA VIJAYRAO KULKARNI</t>
  </si>
  <si>
    <t>ETAPK7561K</t>
  </si>
  <si>
    <t>162/2025</t>
  </si>
  <si>
    <t>Tower 3-1906</t>
  </si>
  <si>
    <t>2020807</t>
  </si>
  <si>
    <t>VASIM ABDULKADAR MOMIN</t>
  </si>
  <si>
    <t>CAIPM4204N</t>
  </si>
  <si>
    <t>1686/2025</t>
  </si>
  <si>
    <t>Tower 8-1502</t>
  </si>
  <si>
    <t>2002441</t>
  </si>
  <si>
    <t>VIDHYA VASANT THORAT</t>
  </si>
  <si>
    <t>JJDSN4444D</t>
  </si>
  <si>
    <t>2032/2024</t>
  </si>
  <si>
    <t>Tower 3-1504</t>
  </si>
  <si>
    <t>2019221</t>
  </si>
  <si>
    <t>VIJAY MOHANDAS BHUSEWAR</t>
  </si>
  <si>
    <t>BOXPB1093N</t>
  </si>
  <si>
    <t>Tower 3-201</t>
  </si>
  <si>
    <t>2017699</t>
  </si>
  <si>
    <t>VIJAY SANGLE</t>
  </si>
  <si>
    <t>CAEPS0589Q</t>
  </si>
  <si>
    <t>2953/2024</t>
  </si>
  <si>
    <t>Tower 7-1803</t>
  </si>
  <si>
    <t>2002341</t>
  </si>
  <si>
    <t>VIJAY SHIVALINGA KONADE</t>
  </si>
  <si>
    <t>CWOPK1829D</t>
  </si>
  <si>
    <t>2250/2024</t>
  </si>
  <si>
    <t>Tower 6-1101</t>
  </si>
  <si>
    <t>2002266</t>
  </si>
  <si>
    <t>VIKAS BHUSHAN</t>
  </si>
  <si>
    <t>LALSK7865T</t>
  </si>
  <si>
    <t>1870/2024</t>
  </si>
  <si>
    <t>2017969</t>
  </si>
  <si>
    <t>VIKAS DILIP KALEL</t>
  </si>
  <si>
    <t>ISEPK4201H</t>
  </si>
  <si>
    <t>Tower 6-903</t>
  </si>
  <si>
    <t>2021875</t>
  </si>
  <si>
    <t>3537/2025</t>
  </si>
  <si>
    <t>Tower 8-1506</t>
  </si>
  <si>
    <t>2002444</t>
  </si>
  <si>
    <t>VIKAS PURNAJEE ANDHARE</t>
  </si>
  <si>
    <t>LKJCV6785T</t>
  </si>
  <si>
    <t>1820/2024</t>
  </si>
  <si>
    <t>Tower 3-901</t>
  </si>
  <si>
    <t>2002232</t>
  </si>
  <si>
    <t>VIKAS SHIVAJIRAO WAGHMARE</t>
  </si>
  <si>
    <t>ADOPW5713D</t>
  </si>
  <si>
    <t>Tower 7-1208</t>
  </si>
  <si>
    <t>2002304</t>
  </si>
  <si>
    <t>VIKI VIKRAM DHANGAR</t>
  </si>
  <si>
    <t>BTVPD5770K</t>
  </si>
  <si>
    <t>2081/2024</t>
  </si>
  <si>
    <t>Tower 2-201</t>
  </si>
  <si>
    <t>2018841</t>
  </si>
  <si>
    <t>VIKRAM KADAM</t>
  </si>
  <si>
    <t>HFJIU4567E</t>
  </si>
  <si>
    <t>Tower 3-1901</t>
  </si>
  <si>
    <t>2002188</t>
  </si>
  <si>
    <t>VIKRAM RAJARAM LOKHANDE</t>
  </si>
  <si>
    <t>AKQPL5873N</t>
  </si>
  <si>
    <t>1844/2024</t>
  </si>
  <si>
    <t>Tower 8-1608</t>
  </si>
  <si>
    <t>2002452</t>
  </si>
  <si>
    <t>VIMALSINGH SURESH SINGH</t>
  </si>
  <si>
    <t>GIZPS8763R</t>
  </si>
  <si>
    <t>2190/2024</t>
  </si>
  <si>
    <t>Tower 7-305</t>
  </si>
  <si>
    <t>2002373</t>
  </si>
  <si>
    <t>VINAYAK B HASE</t>
  </si>
  <si>
    <t>PKJHG6756T</t>
  </si>
  <si>
    <t>Tower 7-1402</t>
  </si>
  <si>
    <t>2002313</t>
  </si>
  <si>
    <t>VINAYAK PURUSHOTTAM KALE</t>
  </si>
  <si>
    <t>GFGPK6220D</t>
  </si>
  <si>
    <t>1909/2024</t>
  </si>
  <si>
    <t>Tower 6-1404</t>
  </si>
  <si>
    <t>2015498</t>
  </si>
  <si>
    <t>VINEET KUMAR ASATI</t>
  </si>
  <si>
    <t>AFIPA4729D</t>
  </si>
  <si>
    <t>2289/2024</t>
  </si>
  <si>
    <t>2001886</t>
  </si>
  <si>
    <t>VINEET PREMDAS DHUNDALE</t>
  </si>
  <si>
    <t>AUYPD1759P</t>
  </si>
  <si>
    <t>Tower 6-1702</t>
  </si>
  <si>
    <t>2018302</t>
  </si>
  <si>
    <t>VINIT PREMDAS DHUNDALE</t>
  </si>
  <si>
    <t>2535/2024</t>
  </si>
  <si>
    <t>Tower 6-1807</t>
  </si>
  <si>
    <t>2018218</t>
  </si>
  <si>
    <t>VINOD BALVANTRAO SUGAVE</t>
  </si>
  <si>
    <t>HXTPS9863L</t>
  </si>
  <si>
    <t>2428/2024</t>
  </si>
  <si>
    <t>Tower 7-2101</t>
  </si>
  <si>
    <t>2002364</t>
  </si>
  <si>
    <t>VINOD PATIL</t>
  </si>
  <si>
    <t>CIGPP9386N</t>
  </si>
  <si>
    <t>2763/2024</t>
  </si>
  <si>
    <t>Tower 7-1901</t>
  </si>
  <si>
    <t>2002347</t>
  </si>
  <si>
    <t>VINOD RAJARAM TATIKONDA</t>
  </si>
  <si>
    <t>AJEPT8476G</t>
  </si>
  <si>
    <t>2026/2024</t>
  </si>
  <si>
    <t>Tower 8-1006</t>
  </si>
  <si>
    <t>2019641</t>
  </si>
  <si>
    <t>VIPUL ABHISHEK</t>
  </si>
  <si>
    <t>BBSPA4861M</t>
  </si>
  <si>
    <t>HVL28-57-2025</t>
  </si>
  <si>
    <t>Tower 8-2007</t>
  </si>
  <si>
    <t>2002476</t>
  </si>
  <si>
    <t>VIPUL RAJESH CHANDANKAR</t>
  </si>
  <si>
    <t>BXLPC3717R</t>
  </si>
  <si>
    <t>1998/2024</t>
  </si>
  <si>
    <t>2018421</t>
  </si>
  <si>
    <t>VIRAL JAYESH LOTIYA</t>
  </si>
  <si>
    <t>APKPL9921N</t>
  </si>
  <si>
    <t>4696/2024</t>
  </si>
  <si>
    <t>Tower 1-401</t>
  </si>
  <si>
    <t>2018792</t>
  </si>
  <si>
    <t>VIREN VIJAY BHOSALE</t>
  </si>
  <si>
    <t>AWWPB7034M</t>
  </si>
  <si>
    <t>2018851</t>
  </si>
  <si>
    <t>VISHAKHA C HADOLIKAR</t>
  </si>
  <si>
    <t>AHFPH3349M</t>
  </si>
  <si>
    <t>Tower 7-904</t>
  </si>
  <si>
    <t>2002406</t>
  </si>
  <si>
    <t>VISHAL BABURAO DALVI</t>
  </si>
  <si>
    <t>AJKPD8232E</t>
  </si>
  <si>
    <t>1861/2024</t>
  </si>
  <si>
    <t>Tower 6-401</t>
  </si>
  <si>
    <t>2015555</t>
  </si>
  <si>
    <t>VISHAL BALAJI MALCHAPURE</t>
  </si>
  <si>
    <t>CNUPM7792L</t>
  </si>
  <si>
    <t>2724/2024</t>
  </si>
  <si>
    <t>Tower 4-504</t>
  </si>
  <si>
    <t>2002248</t>
  </si>
  <si>
    <t>VISHAL KAMALAKAR AHER</t>
  </si>
  <si>
    <t>LALAH6786Y</t>
  </si>
  <si>
    <t>2490/2024</t>
  </si>
  <si>
    <t>Tower 8-1501</t>
  </si>
  <si>
    <t>2002440</t>
  </si>
  <si>
    <t>VISHAL KAMALAKAR DEORE</t>
  </si>
  <si>
    <t>EYKPD2301D</t>
  </si>
  <si>
    <t>2075/2024</t>
  </si>
  <si>
    <t>2020068</t>
  </si>
  <si>
    <t>VISHAL NARENDRA MATE</t>
  </si>
  <si>
    <t>DOHPM6814L</t>
  </si>
  <si>
    <t>2019164</t>
  </si>
  <si>
    <t>VISHAL PANDURANG NAIK</t>
  </si>
  <si>
    <t>AZRPN0640H</t>
  </si>
  <si>
    <t>2022244</t>
  </si>
  <si>
    <t>Tower 3-1508</t>
  </si>
  <si>
    <t>2001898</t>
  </si>
  <si>
    <t>VISHAL POSHETTY LAGISHETTI</t>
  </si>
  <si>
    <t>AJEPL0104B</t>
  </si>
  <si>
    <t>1809/2024</t>
  </si>
  <si>
    <t>Tower 3-202</t>
  </si>
  <si>
    <t>2015617</t>
  </si>
  <si>
    <t>VISHAL RAM RAYMAL</t>
  </si>
  <si>
    <t>BQGPR3782K</t>
  </si>
  <si>
    <t>2802/2024</t>
  </si>
  <si>
    <t>Tower 7-505</t>
  </si>
  <si>
    <t>2019845</t>
  </si>
  <si>
    <t>VISHWAJEET SIDHLING MODIWALE</t>
  </si>
  <si>
    <t>ELRPM8050C</t>
  </si>
  <si>
    <t>3142/2024</t>
  </si>
  <si>
    <t>Tower 2-1802</t>
  </si>
  <si>
    <t>2018604</t>
  </si>
  <si>
    <t>VISHWESHAWAR BABURAO BANDLE</t>
  </si>
  <si>
    <t>CGYPB2729K</t>
  </si>
  <si>
    <t>Tower 8-1308</t>
  </si>
  <si>
    <t>2002433</t>
  </si>
  <si>
    <t>VITTHAL RAMCHANDRA KUTE</t>
  </si>
  <si>
    <t>ABYPK1712A</t>
  </si>
  <si>
    <t>1834/2024</t>
  </si>
  <si>
    <t>Tower 7-1608</t>
  </si>
  <si>
    <t>2002332</t>
  </si>
  <si>
    <t>VIVEK ANIL LOKHANDE</t>
  </si>
  <si>
    <t>AKYPL4165F</t>
  </si>
  <si>
    <t>1988/2024</t>
  </si>
  <si>
    <t>Tower 2-702</t>
  </si>
  <si>
    <t>2020043</t>
  </si>
  <si>
    <t>VIVEK BHASKAR PADOLE</t>
  </si>
  <si>
    <t>CYMPP5700Q</t>
  </si>
  <si>
    <t>Tower 8-508</t>
  </si>
  <si>
    <t>2002498</t>
  </si>
  <si>
    <t>VIVEK KUMAR BARANWAL</t>
  </si>
  <si>
    <t>BIPPB9983D</t>
  </si>
  <si>
    <t>1712/2024</t>
  </si>
  <si>
    <t>Tower 3-302</t>
  </si>
  <si>
    <t>2002206</t>
  </si>
  <si>
    <t>VIVEK SIDHESHWAR GAURKHEDE</t>
  </si>
  <si>
    <t>BHVPG1030R</t>
  </si>
  <si>
    <t>1977/2024</t>
  </si>
  <si>
    <t>Tower 8-1405</t>
  </si>
  <si>
    <t>2018117</t>
  </si>
  <si>
    <t>VIVEK SINGH KUSHWAHA</t>
  </si>
  <si>
    <t>CHWPK3014R</t>
  </si>
  <si>
    <t>2413/2024</t>
  </si>
  <si>
    <t>Tower 3-808</t>
  </si>
  <si>
    <t>2002231</t>
  </si>
  <si>
    <t>VIVEK VINAYAK GHANEKAR</t>
  </si>
  <si>
    <t>AFGPG7636H</t>
  </si>
  <si>
    <t>2168/2024</t>
  </si>
  <si>
    <t>Tower 8-2103</t>
  </si>
  <si>
    <t>2103</t>
  </si>
  <si>
    <t>2017904</t>
  </si>
  <si>
    <t>WARKE SWAPNIL BHAGAWAT</t>
  </si>
  <si>
    <t>ABFPW5636G</t>
  </si>
  <si>
    <t>2643/2024</t>
  </si>
  <si>
    <t>Tower 6-208</t>
  </si>
  <si>
    <t>2017678</t>
  </si>
  <si>
    <t>YOGESH ANNA JADHAV</t>
  </si>
  <si>
    <t>BCTPJ9084R</t>
  </si>
  <si>
    <t>Tower 2-1408</t>
  </si>
  <si>
    <t>2018064</t>
  </si>
  <si>
    <t>YOGESH PANDIT DHAMANE</t>
  </si>
  <si>
    <t>CFSPD3547L</t>
  </si>
  <si>
    <t>Tower 5-1202</t>
  </si>
  <si>
    <t>2018001</t>
  </si>
  <si>
    <t>YOGESH PRAMOD NIKAM</t>
  </si>
  <si>
    <t>BCLPN1940C</t>
  </si>
  <si>
    <t>2418/2024</t>
  </si>
  <si>
    <t>Tower 7-1804</t>
  </si>
  <si>
    <t>2002342</t>
  </si>
  <si>
    <t>YOGESH RAJENDRA KALAMKAR</t>
  </si>
  <si>
    <t>HWUPK2973R</t>
  </si>
  <si>
    <t>2468/2024</t>
  </si>
  <si>
    <t>2022191</t>
  </si>
  <si>
    <t>YOGESH SHIVLING KHAPRE</t>
  </si>
  <si>
    <t>CPNPK1428L</t>
  </si>
  <si>
    <t>Tower 7-1704</t>
  </si>
  <si>
    <t>2002335</t>
  </si>
  <si>
    <t>YUGUM KAPOOR</t>
  </si>
  <si>
    <t>CIUPK6886Q</t>
  </si>
  <si>
    <t>1805/2024</t>
  </si>
  <si>
    <t>Tower 1-1503</t>
  </si>
  <si>
    <t>2021877</t>
  </si>
  <si>
    <t>SANKET MUKESH PALNITKAR</t>
  </si>
  <si>
    <t>CVSPP4329Q</t>
  </si>
  <si>
    <t>Tower 2-1001</t>
  </si>
  <si>
    <t>2020400</t>
  </si>
  <si>
    <t>PRANESH S SIDDHANTI</t>
  </si>
  <si>
    <t>BMHPS6796M</t>
  </si>
  <si>
    <t>Tower 2-2101</t>
  </si>
  <si>
    <t>2019540</t>
  </si>
  <si>
    <t>APARNA AMOL MAHAJAN</t>
  </si>
  <si>
    <t>BAWPJ7369E</t>
  </si>
  <si>
    <t>Tower 2-202</t>
  </si>
  <si>
    <t>2021068</t>
  </si>
  <si>
    <t>BHANDARE SUSHMA</t>
  </si>
  <si>
    <t>AMDPB2985Q</t>
  </si>
  <si>
    <t>Tower 2-807</t>
  </si>
  <si>
    <t>2020326</t>
  </si>
  <si>
    <t>SNEHAL ARUN ZANZAD</t>
  </si>
  <si>
    <t>ABLPZ4004F</t>
  </si>
  <si>
    <t>Tower 2-707</t>
  </si>
  <si>
    <t>2020942</t>
  </si>
  <si>
    <t>ANKUR BAJPAI</t>
  </si>
  <si>
    <t>AMXPB4817F</t>
  </si>
  <si>
    <t>2019552</t>
  </si>
  <si>
    <t>BHAVANA SACHIN BHURANE</t>
  </si>
  <si>
    <t>AWOPB5117F</t>
  </si>
  <si>
    <t>2012838</t>
  </si>
  <si>
    <t>SUNDRY DEBTORS</t>
  </si>
  <si>
    <t>2010728</t>
  </si>
  <si>
    <t>ABHIJEET TORASKAR</t>
  </si>
  <si>
    <t>2021024</t>
  </si>
  <si>
    <t>AMIT KUNDALIK TORASE</t>
  </si>
  <si>
    <t>2010875</t>
  </si>
  <si>
    <t>AMLAN ANSHU NANDA</t>
  </si>
  <si>
    <t>2019899</t>
  </si>
  <si>
    <t>AMRUTKAR KALYANI DEELIP</t>
  </si>
  <si>
    <t>2014746</t>
  </si>
  <si>
    <t>ANIRUDDH SUNIL SANKPAL</t>
  </si>
  <si>
    <t>2019301</t>
  </si>
  <si>
    <t>ANUJA SARTHAK GHARLUTE</t>
  </si>
  <si>
    <t>2011057</t>
  </si>
  <si>
    <t>ASHOK RAMCHANDRA BABAR</t>
  </si>
  <si>
    <t>2019593</t>
  </si>
  <si>
    <t>ASHWINI MANGESH KALE</t>
  </si>
  <si>
    <t>2021257</t>
  </si>
  <si>
    <t>BAPU SOMNATH LABHADE</t>
  </si>
  <si>
    <t>2022116</t>
  </si>
  <si>
    <t>Bashir Mulla</t>
  </si>
  <si>
    <t>2021246</t>
  </si>
  <si>
    <t>BHARTI DINKAR BONDE</t>
  </si>
  <si>
    <t>2014589</t>
  </si>
  <si>
    <t>CHANDRAKANT KESHAVRAO JAGTAP</t>
  </si>
  <si>
    <t>2022156</t>
  </si>
  <si>
    <t>CHHAYA DATTATRAY JADHAV</t>
  </si>
  <si>
    <t>2017340</t>
  </si>
  <si>
    <t>DEEPAK RAMDAS WARDHE</t>
  </si>
  <si>
    <t>2011310</t>
  </si>
  <si>
    <t>DHOLE EKNATH JAGANNATH</t>
  </si>
  <si>
    <t>2000438</t>
  </si>
  <si>
    <t>GAURAV KUMAR</t>
  </si>
  <si>
    <t>2020441</t>
  </si>
  <si>
    <t>GOVINDA KAMLESHKUMAR MEHARCHANDANI</t>
  </si>
  <si>
    <t>2011423</t>
  </si>
  <si>
    <t>GST SUNDRY DEBTORS</t>
  </si>
  <si>
    <t>2019557</t>
  </si>
  <si>
    <t>GUME MALIKARJUN BABURAW</t>
  </si>
  <si>
    <t>2011440</t>
  </si>
  <si>
    <t>HARSHA KACHE</t>
  </si>
  <si>
    <t>2018723</t>
  </si>
  <si>
    <t>HARSHAL RAVINDRA CHAUDHARI</t>
  </si>
  <si>
    <t>2011454</t>
  </si>
  <si>
    <t>HARSHITA HIRDANI</t>
  </si>
  <si>
    <t>2011468</t>
  </si>
  <si>
    <t>HEMANT TAK</t>
  </si>
  <si>
    <t>2020931</t>
  </si>
  <si>
    <t>Himanshu Suresh Tamboli</t>
  </si>
  <si>
    <t>2011488</t>
  </si>
  <si>
    <t>ICCHA MISHRA DUBEY</t>
  </si>
  <si>
    <t>2020274</t>
  </si>
  <si>
    <t>JAIN SAPNA PRAMOD</t>
  </si>
  <si>
    <t>2021067</t>
  </si>
  <si>
    <t>JAYENDRA BHANDARE</t>
  </si>
  <si>
    <t>2011540</t>
  </si>
  <si>
    <t>JAYRAJ SHAH</t>
  </si>
  <si>
    <t>2011625</t>
  </si>
  <si>
    <t>KETAN .</t>
  </si>
  <si>
    <t>2011627</t>
  </si>
  <si>
    <t>KETAN KANDI</t>
  </si>
  <si>
    <t>2021553</t>
  </si>
  <si>
    <t>LALITA BAPU SURYAWANSHI</t>
  </si>
  <si>
    <t>2017935</t>
  </si>
  <si>
    <t>LAXMI ASHWIN VIRUPAKSHAR</t>
  </si>
  <si>
    <t>2011774</t>
  </si>
  <si>
    <t>MAKARAND MANOHAR SAWANT</t>
  </si>
  <si>
    <t>2011833</t>
  </si>
  <si>
    <t>MAUSHIN PIRMOHAMED SHAIKH</t>
  </si>
  <si>
    <t>2021613</t>
  </si>
  <si>
    <t>MAYUR NANARAO GHUGE</t>
  </si>
  <si>
    <t>2011855</t>
  </si>
  <si>
    <t>MAYURI R SONTAKKE</t>
  </si>
  <si>
    <t>2011951</t>
  </si>
  <si>
    <t>NARESH KUMAR CGHHUTTANI</t>
  </si>
  <si>
    <t>2018508</t>
  </si>
  <si>
    <t>NIKHIL VENKATRAO DACHAWAR</t>
  </si>
  <si>
    <t>2017704</t>
  </si>
  <si>
    <t>NISHANT NARAYAN NANDGAONKAR</t>
  </si>
  <si>
    <t>2012060</t>
  </si>
  <si>
    <t>OM WAJGE</t>
  </si>
  <si>
    <t>2019173</t>
  </si>
  <si>
    <t>ONKAR DINESH JOSHI</t>
  </si>
  <si>
    <t>2012110</t>
  </si>
  <si>
    <t>PARTH DEVKATE PATIL</t>
  </si>
  <si>
    <t>2012163</t>
  </si>
  <si>
    <t>PRADEEP NAIR</t>
  </si>
  <si>
    <t>2012164</t>
  </si>
  <si>
    <t>PRADEEP RAMAKANT KASLE</t>
  </si>
  <si>
    <t>2012178</t>
  </si>
  <si>
    <t>PRAKASH DAS</t>
  </si>
  <si>
    <t>2021313</t>
  </si>
  <si>
    <t>PRALHAD SUDAM PATIL</t>
  </si>
  <si>
    <t>2020471</t>
  </si>
  <si>
    <t>PRASHANT UDAYSINH BOBADE</t>
  </si>
  <si>
    <t>2015187</t>
  </si>
  <si>
    <t>PRIYA WASNIK</t>
  </si>
  <si>
    <t>2021009</t>
  </si>
  <si>
    <t>RAKHI SATISH YADAV</t>
  </si>
  <si>
    <t>2020349</t>
  </si>
  <si>
    <t>RAMESH RANGNATH BHAGWAT</t>
  </si>
  <si>
    <t>2020577</t>
  </si>
  <si>
    <t>RUCHA SANJAY LENDE</t>
  </si>
  <si>
    <t>2021147</t>
  </si>
  <si>
    <t>SACHIN MAHADEV ITAPE</t>
  </si>
  <si>
    <t>2020346</t>
  </si>
  <si>
    <t>SACHIN NAMDEV SHINDE</t>
  </si>
  <si>
    <t>2019246</t>
  </si>
  <si>
    <t>SADDAMHUSEN MAHEBUB BAGWAN</t>
  </si>
  <si>
    <t>2012697</t>
  </si>
  <si>
    <t>SAMEER</t>
  </si>
  <si>
    <t>2013412</t>
  </si>
  <si>
    <t>SATISH GAJAPATHY</t>
  </si>
  <si>
    <t>2013445</t>
  </si>
  <si>
    <t>SHAHADAT DILAVAR MULANI</t>
  </si>
  <si>
    <t>2020814</t>
  </si>
  <si>
    <t>SNEHAL DADASAHEB DAREKAR</t>
  </si>
  <si>
    <t>2012788</t>
  </si>
  <si>
    <t>SUDARSHAN B ACHOLE</t>
  </si>
  <si>
    <t>2012810</t>
  </si>
  <si>
    <t>SUJAY PATIL</t>
  </si>
  <si>
    <t>2018727</t>
  </si>
  <si>
    <t>SUNAINA JABBAR SHAIKH</t>
  </si>
  <si>
    <t>2019366</t>
  </si>
  <si>
    <t>SUNPREETKAUR JASPALSINGH CHAWLA</t>
  </si>
  <si>
    <t>2018364</t>
  </si>
  <si>
    <t>SURYAWANSHI CHANDRAKANT CHUNILAL</t>
  </si>
  <si>
    <t>2012982</t>
  </si>
  <si>
    <t>THETE ADITYA DATTATRAYA</t>
  </si>
  <si>
    <t>2021207</t>
  </si>
  <si>
    <t>VANMALA SANJAY BHONDE</t>
  </si>
  <si>
    <t>2013991</t>
  </si>
  <si>
    <t>VIJAY INJULKAR</t>
  </si>
  <si>
    <t>2019943</t>
  </si>
  <si>
    <t>VIJAYKUMAR HANMANTRAO PAWAR</t>
  </si>
  <si>
    <t>2019894</t>
  </si>
  <si>
    <t>WAGALGAVE MAHADEVI PARSHURAM</t>
  </si>
  <si>
    <t>2014138</t>
  </si>
  <si>
    <t>YOGESH RAHANE</t>
  </si>
  <si>
    <t>2021825</t>
  </si>
  <si>
    <t>JAYESH DILIPSING RAJPUT</t>
  </si>
  <si>
    <t>2022092</t>
  </si>
  <si>
    <t>SUSHMA RAJIV WELPULWAR</t>
  </si>
  <si>
    <t>2022185</t>
  </si>
  <si>
    <t>KULDEEP MAHADEV DESHMUKH</t>
  </si>
  <si>
    <t>2022995</t>
  </si>
  <si>
    <t>USHA NITIN DAKARE</t>
  </si>
  <si>
    <t>2022996</t>
  </si>
  <si>
    <t>SURAJ VIKAS GHADAGE</t>
  </si>
  <si>
    <t>2023129</t>
  </si>
  <si>
    <t>UJWALA PRAKASH PUJARI</t>
  </si>
  <si>
    <t>2023152</t>
  </si>
  <si>
    <t>SACHIN ABHANGRAO MANE</t>
  </si>
  <si>
    <t>2014717</t>
  </si>
  <si>
    <t>SMITA SINHA</t>
  </si>
  <si>
    <t>2023153</t>
  </si>
  <si>
    <t>JAY GUPTA</t>
  </si>
  <si>
    <t>SUSPENSE</t>
  </si>
  <si>
    <t>TOTAL</t>
  </si>
  <si>
    <t>Short Text</t>
  </si>
  <si>
    <t>DomesticCustomer-Bas</t>
  </si>
  <si>
    <t>DomesticCustomer-GST</t>
  </si>
  <si>
    <t>DomesticCustomer-SDR</t>
  </si>
  <si>
    <t>DomesticCustomer</t>
  </si>
  <si>
    <t>CGST CustomerPayable</t>
  </si>
  <si>
    <t>SGST CustomerPayable</t>
  </si>
  <si>
    <t>Customer - Advance T</t>
  </si>
  <si>
    <t>Customer-Tax on Adva</t>
  </si>
  <si>
    <t>Customer - EOI / Tok</t>
  </si>
  <si>
    <t>Customer- Tax on EOI</t>
  </si>
  <si>
    <t>Customer-SDR Advance</t>
  </si>
  <si>
    <t>Cust- Maint Adv</t>
  </si>
  <si>
    <t>Customer-RefundEOIAd</t>
  </si>
  <si>
    <t>Customer SDR Due</t>
  </si>
  <si>
    <t>As per Cus GL</t>
  </si>
  <si>
    <t>Customer details</t>
  </si>
  <si>
    <t>(Secured against Unsold Units and Land of sapphire 3 project ,developers share )</t>
  </si>
  <si>
    <t>Income Tax Payable</t>
  </si>
  <si>
    <t>Note 8</t>
  </si>
  <si>
    <t>Opening DTA</t>
  </si>
  <si>
    <t>Closing DTA</t>
  </si>
  <si>
    <t xml:space="preserve">Moonstone Realinfra Private Limited </t>
  </si>
  <si>
    <t>Property, Plant and Equipment</t>
  </si>
  <si>
    <t>Deferred Tax Assets (Net)</t>
  </si>
  <si>
    <t>Note-19</t>
  </si>
  <si>
    <t>Moonstone Realinfra Private Limited</t>
  </si>
  <si>
    <t>Intofinity Promotors Private Limited</t>
  </si>
  <si>
    <t>Livience lifespaces Private Limited</t>
  </si>
  <si>
    <t>As per TB
22.05.2026</t>
  </si>
  <si>
    <t>Diff-2</t>
  </si>
  <si>
    <t xml:space="preserve"> -   </t>
  </si>
  <si>
    <t>TDS Payable (Excess Paid)</t>
  </si>
  <si>
    <t>Site Expenses</t>
  </si>
  <si>
    <t>Latest TB</t>
  </si>
  <si>
    <t>TDS Excess Paid</t>
  </si>
  <si>
    <t>Note-1B</t>
  </si>
  <si>
    <t>Note 1A</t>
  </si>
  <si>
    <t>Long-Term Borrowings</t>
  </si>
  <si>
    <t>Expenses Charged to P&amp;L as per WIP Working</t>
  </si>
  <si>
    <t>Ineligible expenses</t>
  </si>
  <si>
    <t>Expenses Claimed during Year ass per P&amp;L</t>
  </si>
  <si>
    <t>Reco of expenses Claimed as per WIP vs P&amp;L</t>
  </si>
  <si>
    <t>Professional / Consultancy / Technical fees ^</t>
  </si>
  <si>
    <t>Any other benefit</t>
  </si>
  <si>
    <t>Provision for employee benefit</t>
  </si>
  <si>
    <t>Provision for Income-tax</t>
  </si>
  <si>
    <t>GP</t>
  </si>
  <si>
    <t>NP</t>
  </si>
  <si>
    <t>Inventory</t>
  </si>
  <si>
    <t>(1) Shareholder's Funds</t>
  </si>
  <si>
    <t xml:space="preserve">                  (ii) Total Outstanding Dues of Creditors Other Than
                   Micro Enterprises and Small Enterprises</t>
  </si>
  <si>
    <t>(Secured Against Fixed Deposit)</t>
  </si>
  <si>
    <t>Indirect Expenses Capitalised</t>
  </si>
  <si>
    <t>(f) Depreciation and Amortization Expense</t>
  </si>
  <si>
    <t>V. Profit Before Exceptional and Extraordinary Items And Tax (III - IV)</t>
  </si>
  <si>
    <t>VII. Profit Before Extraordinary Items and Tax (V - VI)</t>
  </si>
  <si>
    <t xml:space="preserve">      (b) Reserves and Surplus</t>
  </si>
  <si>
    <t>Cash and cash Equivalents</t>
  </si>
  <si>
    <t>(e) Finance Cost</t>
  </si>
  <si>
    <t>(d) Employee Benefits Expense</t>
  </si>
  <si>
    <t>CGWA NOC Fees</t>
  </si>
  <si>
    <t>Stamp Duty &amp; Registration Expenses - on Land Purchase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</si>
</sst>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43" formatCode="_ * #,##0.00_ ;_ * \-#,##0.00_ ;_ * &quot;-&quot;??_ ;_ @_ "/>
    <numFmt numFmtId="164" formatCode="[&gt;=10000000]##\,##\,##\,##0;[&gt;=100000]\ ##\,##\,##0;##,##0"/>
    <numFmt numFmtId="165" formatCode="_(* #,##0.00_);_(* \(#,##0.00\);_(* &quot;-&quot;??_);_(@_)"/>
    <numFmt numFmtId="166" formatCode="dd\-mm\-yyyy"/>
    <numFmt numFmtId="167" formatCode="_(* #,##0_);_(* \(#,##0\);_(* &quot;-&quot;??_);_(@_)"/>
    <numFmt numFmtId="168" formatCode="_ * #,##0_ ;_ * \-#,##0_ ;_ * &quot;-&quot;??_ ;_ @_ "/>
    <numFmt numFmtId="169" formatCode="0.0"/>
    <numFmt numFmtId="170" formatCode="_ * #,##0.00_)\ _$_ ;_ * \(#,##0.00\)\ _$_ ;_ * &quot;-&quot;??_)\ _$_ ;_ @_ "/>
    <numFmt numFmtId="171" formatCode="_ * #,##0.0_ ;_ * \-#,##0.0_ ;_ * &quot;-&quot;??_ ;_ @_ "/>
    <numFmt numFmtId="172" formatCode="#,##0.0"/>
    <numFmt numFmtId="173" formatCode="#,##0.0000"/>
    <numFmt numFmtId="174" formatCode="_ * #,##0.00000_ ;_ * \-#,##0.00000_ ;_ * &quot;-&quot;??_ ;_ @_ "/>
    <numFmt numFmtId="175" formatCode="[$-409]mmm/yy;@"/>
    <numFmt numFmtId="176" formatCode="_ * #,##0_ ;_ * \(#,##0\)_ ;_ * &quot;-&quot;??_ ;_ @_ "/>
  </numFmts>
  <fonts count="60">
    <font>
      <sz val="11"/>
      <color theme="1"/>
      <name val="Calibri"/>
      <family val="2"/>
      <scheme val="minor"/>
    </font>
    <font>
      <sz val="11"/>
      <color theme="1"/>
      <name val="Calibri"/>
      <family val="2"/>
      <scheme val="minor"/>
    </font>
    <font>
      <b/>
      <sz val="11"/>
      <color theme="1"/>
      <name val="Calibri"/>
      <family val="2"/>
      <scheme val="minor"/>
    </font>
    <font>
      <sz val="10"/>
      <color theme="1"/>
      <name val="Cambria"/>
      <family val="1"/>
      <scheme val="major"/>
    </font>
    <font>
      <sz val="10"/>
      <name val="Arial"/>
      <family val="2"/>
    </font>
    <font>
      <b/>
      <sz val="14"/>
      <name val="Cambria"/>
      <family val="1"/>
      <scheme val="major"/>
    </font>
    <font>
      <b/>
      <sz val="11"/>
      <name val="Cambria"/>
      <family val="1"/>
      <scheme val="major"/>
    </font>
    <font>
      <b/>
      <sz val="10"/>
      <color theme="1"/>
      <name val="Cambria"/>
      <family val="1"/>
      <scheme val="major"/>
    </font>
    <font>
      <b/>
      <sz val="12"/>
      <name val="Cambria"/>
      <family val="1"/>
      <scheme val="major"/>
    </font>
    <font>
      <sz val="11"/>
      <name val="Cambria"/>
      <family val="1"/>
      <scheme val="major"/>
    </font>
    <font>
      <sz val="11"/>
      <color indexed="8"/>
      <name val="Calibri"/>
      <family val="2"/>
    </font>
    <font>
      <sz val="11"/>
      <color theme="0"/>
      <name val="Cambria"/>
      <family val="1"/>
      <scheme val="major"/>
    </font>
    <font>
      <u/>
      <sz val="10"/>
      <color indexed="12"/>
      <name val="Arial"/>
      <family val="2"/>
    </font>
    <font>
      <u/>
      <sz val="11"/>
      <color indexed="12"/>
      <name val="Cambria"/>
      <family val="1"/>
      <scheme val="major"/>
    </font>
    <font>
      <b/>
      <sz val="11"/>
      <color theme="0"/>
      <name val="Cambria"/>
      <family val="1"/>
      <scheme val="major"/>
    </font>
    <font>
      <b/>
      <sz val="11"/>
      <color theme="1"/>
      <name val="Cambria"/>
      <family val="1"/>
      <scheme val="major"/>
    </font>
    <font>
      <sz val="10"/>
      <name val="Cambria"/>
      <family val="1"/>
      <scheme val="major"/>
    </font>
    <font>
      <sz val="11"/>
      <name val="Cambria"/>
      <family val="1"/>
    </font>
    <font>
      <b/>
      <sz val="11"/>
      <name val="Cambria"/>
      <family val="1"/>
    </font>
    <font>
      <b/>
      <sz val="10"/>
      <name val="Cambria"/>
      <family val="1"/>
      <scheme val="major"/>
    </font>
    <font>
      <b/>
      <sz val="14"/>
      <name val="Cambria"/>
      <family val="1"/>
    </font>
    <font>
      <sz val="11"/>
      <color theme="1"/>
      <name val="Cambria"/>
      <family val="1"/>
      <scheme val="major"/>
    </font>
    <font>
      <sz val="14"/>
      <name val="Cambria"/>
      <family val="1"/>
    </font>
    <font>
      <b/>
      <u/>
      <sz val="14"/>
      <name val="Cambria"/>
      <family val="1"/>
    </font>
    <font>
      <b/>
      <sz val="10"/>
      <name val="Cambria"/>
      <family val="1"/>
    </font>
    <font>
      <sz val="11"/>
      <color theme="1"/>
      <name val="Calibri"/>
      <family val="2"/>
    </font>
    <font>
      <sz val="10"/>
      <color rgb="FF000000"/>
      <name val="Times New Roman"/>
      <family val="1"/>
    </font>
    <font>
      <sz val="10"/>
      <name val="Calibri"/>
      <family val="2"/>
      <scheme val="minor"/>
    </font>
    <font>
      <b/>
      <sz val="10"/>
      <name val="Calibri"/>
      <family val="2"/>
      <scheme val="minor"/>
    </font>
    <font>
      <b/>
      <sz val="9"/>
      <name val="Cambria"/>
      <family val="1"/>
      <scheme val="major"/>
    </font>
    <font>
      <b/>
      <sz val="9"/>
      <name val="Cambria"/>
      <family val="1"/>
    </font>
    <font>
      <b/>
      <sz val="10"/>
      <color indexed="8"/>
      <name val="Calibri"/>
      <family val="2"/>
      <scheme val="minor"/>
    </font>
    <font>
      <sz val="10"/>
      <color indexed="8"/>
      <name val="Calibri"/>
      <family val="2"/>
      <scheme val="minor"/>
    </font>
    <font>
      <sz val="10"/>
      <color theme="1"/>
      <name val="Calibri"/>
      <family val="2"/>
      <scheme val="minor"/>
    </font>
    <font>
      <sz val="10"/>
      <name val="Arial"/>
      <family val="2"/>
    </font>
    <font>
      <sz val="11"/>
      <color rgb="FFFF0000"/>
      <name val="Calibri"/>
      <family val="2"/>
      <scheme val="minor"/>
    </font>
    <font>
      <sz val="11"/>
      <name val="Calibri"/>
      <family val="2"/>
      <scheme val="minor"/>
    </font>
    <font>
      <b/>
      <sz val="10"/>
      <name val="Arial"/>
      <family val="2"/>
    </font>
    <font>
      <b/>
      <sz val="11"/>
      <color theme="0"/>
      <name val="Calibri"/>
      <family val="2"/>
      <scheme val="minor"/>
    </font>
    <font>
      <sz val="11"/>
      <color theme="0"/>
      <name val="Calibri"/>
      <family val="2"/>
      <scheme val="minor"/>
    </font>
    <font>
      <b/>
      <sz val="14"/>
      <color theme="1"/>
      <name val="Calibri"/>
      <family val="2"/>
      <scheme val="minor"/>
    </font>
    <font>
      <b/>
      <u/>
      <sz val="11"/>
      <color theme="1"/>
      <name val="Calibri"/>
      <family val="2"/>
      <scheme val="minor"/>
    </font>
    <font>
      <sz val="12"/>
      <color theme="1"/>
      <name val="Aptos Narrow"/>
      <family val="2"/>
    </font>
    <font>
      <b/>
      <u/>
      <sz val="12"/>
      <color theme="1"/>
      <name val="Aptos Narrow"/>
      <family val="2"/>
    </font>
    <font>
      <b/>
      <sz val="12"/>
      <color theme="1"/>
      <name val="Aptos Narrow"/>
      <family val="2"/>
    </font>
    <font>
      <sz val="14"/>
      <color theme="1"/>
      <name val="Calibri"/>
      <family val="2"/>
      <scheme val="minor"/>
    </font>
    <font>
      <sz val="12"/>
      <color theme="1"/>
      <name val="Aptos Narrow"/>
      <family val="2"/>
    </font>
    <font>
      <b/>
      <u val="singleAccounting"/>
      <sz val="11"/>
      <color theme="1"/>
      <name val="Calibri"/>
      <family val="2"/>
      <scheme val="minor"/>
    </font>
    <font>
      <sz val="10"/>
      <name val="Arial"/>
      <family val="2"/>
    </font>
    <font>
      <b/>
      <sz val="12"/>
      <color theme="0"/>
      <name val="Calibri"/>
      <family val="2"/>
      <scheme val="minor"/>
    </font>
    <font>
      <b/>
      <u/>
      <sz val="14"/>
      <color theme="1"/>
      <name val="Calibri"/>
      <family val="2"/>
      <scheme val="minor"/>
    </font>
    <font>
      <b/>
      <sz val="8"/>
      <color rgb="FF000000"/>
      <name val="Calibri"/>
      <family val="2"/>
      <scheme val="minor"/>
    </font>
    <font>
      <sz val="8"/>
      <color theme="1"/>
      <name val="Calibri"/>
      <family val="2"/>
      <scheme val="minor"/>
    </font>
    <font>
      <sz val="8"/>
      <color rgb="FF000000"/>
      <name val="Calibri"/>
      <family val="2"/>
      <scheme val="minor"/>
    </font>
    <font>
      <b/>
      <sz val="14"/>
      <color theme="1"/>
      <name val="Cambria"/>
      <family val="1"/>
      <scheme val="major"/>
    </font>
    <font>
      <sz val="14"/>
      <color theme="1"/>
      <name val="Cambria"/>
      <family val="1"/>
      <scheme val="major"/>
    </font>
    <font>
      <b/>
      <u/>
      <sz val="14"/>
      <name val="Cambria"/>
      <family val="1"/>
      <scheme val="major"/>
    </font>
    <font>
      <sz val="14"/>
      <name val="Cambria"/>
      <family val="1"/>
      <scheme val="major"/>
    </font>
    <font>
      <b/>
      <sz val="10"/>
      <color theme="0"/>
      <name val="Arial"/>
      <family val="2"/>
    </font>
    <font>
      <b/>
      <u/>
      <sz val="11"/>
      <color theme="1"/>
      <name val="Cambria"/>
      <family val="1"/>
      <scheme val="major"/>
    </font>
  </fonts>
  <fills count="18">
    <fill>
      <patternFill patternType="none"/>
    </fill>
    <fill>
      <patternFill patternType="gray125"/>
    </fill>
    <fill>
      <patternFill patternType="solid">
        <fgColor theme="8" tint="0.39997558519241921"/>
        <bgColor indexed="64"/>
      </patternFill>
    </fill>
    <fill>
      <patternFill patternType="solid">
        <fgColor theme="8" tint="0.79998168889431442"/>
        <bgColor indexed="64"/>
      </patternFill>
    </fill>
    <fill>
      <patternFill patternType="solid">
        <fgColor rgb="FF92CDDC"/>
      </patternFill>
    </fill>
    <fill>
      <patternFill patternType="solid">
        <fgColor rgb="FFDBEEF3"/>
      </patternFill>
    </fill>
    <fill>
      <patternFill patternType="solid">
        <fgColor indexed="22"/>
        <bgColor indexed="64"/>
      </patternFill>
    </fill>
    <fill>
      <patternFill patternType="solid">
        <fgColor rgb="FFFFFF00"/>
        <bgColor indexed="64"/>
      </patternFill>
    </fill>
    <fill>
      <patternFill patternType="solid">
        <fgColor rgb="FFFFC000"/>
        <bgColor indexed="64"/>
      </patternFill>
    </fill>
    <fill>
      <patternFill patternType="solid">
        <fgColor theme="4" tint="-0.499984740745262"/>
        <bgColor indexed="64"/>
      </patternFill>
    </fill>
    <fill>
      <patternFill patternType="solid">
        <fgColor theme="0"/>
        <bgColor indexed="64"/>
      </patternFill>
    </fill>
    <fill>
      <patternFill patternType="solid">
        <fgColor rgb="FFDBEEF3"/>
        <bgColor indexed="64"/>
      </patternFill>
    </fill>
    <fill>
      <patternFill patternType="solid">
        <fgColor theme="4" tint="-0.249977111117893"/>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5"/>
        <bgColor indexed="64"/>
      </patternFill>
    </fill>
    <fill>
      <patternFill patternType="solid">
        <fgColor theme="7" tint="0.59999389629810485"/>
        <bgColor indexed="64"/>
      </patternFill>
    </fill>
    <fill>
      <patternFill patternType="solid">
        <fgColor theme="0" tint="-0.34998626667073579"/>
        <bgColor indexed="64"/>
      </patternFill>
    </fill>
  </fills>
  <borders count="47">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auto="1"/>
      </left>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auto="1"/>
      </left>
      <right style="thin">
        <color auto="1"/>
      </right>
      <top/>
      <bottom/>
      <diagonal/>
    </border>
    <border>
      <left style="thin">
        <color auto="1"/>
      </left>
      <right style="medium">
        <color indexed="64"/>
      </right>
      <top/>
      <bottom/>
      <diagonal/>
    </border>
    <border>
      <left/>
      <right style="thin">
        <color auto="1"/>
      </right>
      <top/>
      <bottom/>
      <diagonal/>
    </border>
    <border>
      <left/>
      <right style="thin">
        <color indexed="64"/>
      </right>
      <top/>
      <bottom style="thin">
        <color indexed="64"/>
      </bottom>
      <diagonal/>
    </border>
    <border>
      <left style="thin">
        <color auto="1"/>
      </left>
      <right/>
      <top/>
      <bottom style="thin">
        <color auto="1"/>
      </bottom>
      <diagonal/>
    </border>
    <border>
      <left style="thin">
        <color auto="1"/>
      </left>
      <right style="thin">
        <color auto="1"/>
      </right>
      <top/>
      <bottom style="thin">
        <color auto="1"/>
      </bottom>
      <diagonal/>
    </border>
    <border>
      <left style="medium">
        <color indexed="64"/>
      </left>
      <right/>
      <top style="thin">
        <color indexed="64"/>
      </top>
      <bottom style="thin">
        <color indexed="64"/>
      </bottom>
      <diagonal/>
    </border>
    <border>
      <left/>
      <right/>
      <top style="thin">
        <color auto="1"/>
      </top>
      <bottom style="thin">
        <color auto="1"/>
      </bottom>
      <diagonal/>
    </border>
    <border>
      <left style="medium">
        <color indexed="64"/>
      </left>
      <right/>
      <top style="thin">
        <color auto="1"/>
      </top>
      <bottom/>
      <diagonal/>
    </border>
    <border>
      <left/>
      <right/>
      <top style="thin">
        <color auto="1"/>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medium">
        <color indexed="64"/>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medium">
        <color indexed="64"/>
      </top>
      <bottom style="medium">
        <color indexed="64"/>
      </bottom>
      <diagonal/>
    </border>
    <border>
      <left style="thin">
        <color auto="1"/>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bottom/>
      <diagonal/>
    </border>
    <border>
      <left style="medium">
        <color indexed="64"/>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diagonal/>
    </border>
    <border>
      <left style="medium">
        <color indexed="64"/>
      </left>
      <right/>
      <top/>
      <bottom style="thin">
        <color auto="1"/>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s>
  <cellStyleXfs count="39">
    <xf numFmtId="4" fontId="0" fillId="0" borderId="0"/>
    <xf numFmtId="43" fontId="1" fillId="0" borderId="0" applyFont="0" applyFill="0" applyBorder="0" applyAlignment="0" applyProtection="0"/>
    <xf numFmtId="4" fontId="4" fillId="0" borderId="0"/>
    <xf numFmtId="165" fontId="10" fillId="0" borderId="0" applyFont="0" applyFill="0" applyBorder="0" applyAlignment="0" applyProtection="0"/>
    <xf numFmtId="4" fontId="12" fillId="0" borderId="0" applyNumberFormat="0" applyFill="0" applyBorder="0" applyAlignment="0" applyProtection="0">
      <alignment vertical="top"/>
      <protection locked="0"/>
    </xf>
    <xf numFmtId="43" fontId="1" fillId="0" borderId="0" applyFont="0" applyFill="0" applyBorder="0" applyAlignment="0" applyProtection="0"/>
    <xf numFmtId="0" fontId="1" fillId="0" borderId="0"/>
    <xf numFmtId="9" fontId="1"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10" fillId="0" borderId="0" applyFont="0" applyFill="0" applyBorder="0" applyAlignment="0" applyProtection="0"/>
    <xf numFmtId="165" fontId="10"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0" fontId="4" fillId="0" borderId="0" applyFont="0" applyFill="0" applyBorder="0" applyAlignment="0" applyProtection="0"/>
    <xf numFmtId="0" fontId="1" fillId="0" borderId="0"/>
    <xf numFmtId="0" fontId="1" fillId="0" borderId="0"/>
    <xf numFmtId="0" fontId="1" fillId="0" borderId="0"/>
    <xf numFmtId="0" fontId="4" fillId="0" borderId="0"/>
    <xf numFmtId="4" fontId="4" fillId="0" borderId="0"/>
    <xf numFmtId="0" fontId="4" fillId="0" borderId="0"/>
    <xf numFmtId="4" fontId="1" fillId="0" borderId="0"/>
    <xf numFmtId="4" fontId="4" fillId="0" borderId="0"/>
    <xf numFmtId="4" fontId="4" fillId="0" borderId="0"/>
    <xf numFmtId="4" fontId="25" fillId="0" borderId="0"/>
    <xf numFmtId="4" fontId="25" fillId="0" borderId="0"/>
    <xf numFmtId="4" fontId="1" fillId="0" borderId="0"/>
    <xf numFmtId="4" fontId="1" fillId="0" borderId="0"/>
    <xf numFmtId="4" fontId="26" fillId="0" borderId="0"/>
    <xf numFmtId="4" fontId="26" fillId="0" borderId="0"/>
    <xf numFmtId="4" fontId="26" fillId="0" borderId="0"/>
    <xf numFmtId="0" fontId="1" fillId="0" borderId="0"/>
    <xf numFmtId="0" fontId="4" fillId="0" borderId="0"/>
    <xf numFmtId="0" fontId="4" fillId="0" borderId="0" applyBorder="0" applyAlignment="0" applyProtection="0"/>
    <xf numFmtId="0" fontId="4" fillId="0" borderId="0"/>
    <xf numFmtId="0" fontId="34" fillId="0" borderId="0"/>
    <xf numFmtId="165" fontId="1" fillId="0" borderId="0" applyFont="0" applyFill="0" applyBorder="0" applyAlignment="0" applyProtection="0"/>
    <xf numFmtId="0" fontId="48" fillId="0" borderId="0"/>
    <xf numFmtId="9" fontId="1" fillId="0" borderId="0" applyFont="0" applyFill="0" applyBorder="0" applyAlignment="0" applyProtection="0"/>
  </cellStyleXfs>
  <cellXfs count="854">
    <xf numFmtId="4" fontId="0" fillId="0" borderId="0" xfId="0"/>
    <xf numFmtId="4" fontId="3" fillId="0" borderId="0" xfId="0" applyFont="1"/>
    <xf numFmtId="164" fontId="3" fillId="0" borderId="0" xfId="0" applyNumberFormat="1" applyFont="1"/>
    <xf numFmtId="164" fontId="6" fillId="3" borderId="7" xfId="2" applyNumberFormat="1" applyFont="1" applyFill="1" applyBorder="1" applyAlignment="1">
      <alignment horizontal="center" vertical="center" wrapText="1"/>
    </xf>
    <xf numFmtId="164" fontId="6" fillId="3" borderId="5" xfId="2" applyNumberFormat="1" applyFont="1" applyFill="1" applyBorder="1" applyAlignment="1">
      <alignment horizontal="center" vertical="center" wrapText="1"/>
    </xf>
    <xf numFmtId="4" fontId="6" fillId="0" borderId="1" xfId="2" applyFont="1" applyBorder="1" applyAlignment="1">
      <alignment horizontal="center" vertical="center"/>
    </xf>
    <xf numFmtId="4" fontId="6" fillId="0" borderId="0" xfId="2" applyFont="1" applyAlignment="1">
      <alignment horizontal="center" vertical="center"/>
    </xf>
    <xf numFmtId="4" fontId="6" fillId="0" borderId="9" xfId="2" applyFont="1" applyBorder="1" applyAlignment="1">
      <alignment horizontal="center" vertical="center"/>
    </xf>
    <xf numFmtId="4" fontId="6" fillId="0" borderId="10" xfId="2" applyFont="1" applyBorder="1" applyAlignment="1">
      <alignment horizontal="center" vertical="center"/>
    </xf>
    <xf numFmtId="164" fontId="6" fillId="0" borderId="10" xfId="2" applyNumberFormat="1" applyFont="1" applyBorder="1" applyAlignment="1">
      <alignment horizontal="center" vertical="center" wrapText="1"/>
    </xf>
    <xf numFmtId="4" fontId="6" fillId="0" borderId="1" xfId="2" applyFont="1" applyBorder="1"/>
    <xf numFmtId="4" fontId="6" fillId="0" borderId="9" xfId="2" applyFont="1" applyBorder="1"/>
    <xf numFmtId="4" fontId="6" fillId="0" borderId="12" xfId="2" applyFont="1" applyBorder="1"/>
    <xf numFmtId="164" fontId="6" fillId="0" borderId="12" xfId="3" applyNumberFormat="1" applyFont="1" applyFill="1" applyBorder="1" applyAlignment="1">
      <alignment wrapText="1"/>
    </xf>
    <xf numFmtId="164" fontId="9" fillId="0" borderId="12" xfId="3" applyNumberFormat="1" applyFont="1" applyFill="1" applyBorder="1" applyAlignment="1">
      <alignment wrapText="1"/>
    </xf>
    <xf numFmtId="4" fontId="3" fillId="0" borderId="12" xfId="0" applyFont="1" applyBorder="1" applyAlignment="1">
      <alignment horizontal="left"/>
    </xf>
    <xf numFmtId="4" fontId="9" fillId="0" borderId="1" xfId="2" applyFont="1" applyBorder="1"/>
    <xf numFmtId="4" fontId="9" fillId="0" borderId="9" xfId="2" applyFont="1" applyBorder="1"/>
    <xf numFmtId="4" fontId="9" fillId="0" borderId="12" xfId="2" applyFont="1" applyBorder="1"/>
    <xf numFmtId="164" fontId="11" fillId="0" borderId="12" xfId="3" applyNumberFormat="1" applyFont="1" applyFill="1" applyBorder="1" applyAlignment="1">
      <alignment wrapText="1"/>
    </xf>
    <xf numFmtId="4" fontId="9" fillId="0" borderId="14" xfId="2" applyFont="1" applyBorder="1"/>
    <xf numFmtId="4" fontId="13" fillId="0" borderId="9" xfId="4" applyFont="1" applyFill="1" applyBorder="1" applyAlignment="1" applyProtection="1">
      <alignment horizontal="center" vertical="center"/>
    </xf>
    <xf numFmtId="167" fontId="9" fillId="0" borderId="12" xfId="3" applyNumberFormat="1" applyFont="1" applyFill="1" applyBorder="1" applyAlignment="1"/>
    <xf numFmtId="167" fontId="9" fillId="0" borderId="12" xfId="1" applyNumberFormat="1" applyFont="1" applyFill="1" applyBorder="1" applyAlignment="1"/>
    <xf numFmtId="167" fontId="9" fillId="0" borderId="12" xfId="1" applyNumberFormat="1" applyFont="1" applyFill="1" applyBorder="1" applyAlignment="1">
      <alignment horizontal="left"/>
    </xf>
    <xf numFmtId="167" fontId="9" fillId="0" borderId="12" xfId="1" applyNumberFormat="1" applyFont="1" applyFill="1" applyBorder="1" applyAlignment="1">
      <alignment wrapText="1"/>
    </xf>
    <xf numFmtId="4" fontId="9" fillId="0" borderId="1" xfId="2" applyFont="1" applyBorder="1" applyAlignment="1">
      <alignment horizontal="left" indent="2"/>
    </xf>
    <xf numFmtId="167" fontId="9" fillId="0" borderId="12" xfId="3" applyNumberFormat="1" applyFont="1" applyFill="1" applyBorder="1" applyAlignment="1">
      <alignment horizontal="left"/>
    </xf>
    <xf numFmtId="4" fontId="13" fillId="0" borderId="16" xfId="4" applyFont="1" applyFill="1" applyBorder="1" applyAlignment="1" applyProtection="1">
      <alignment horizontal="center" vertical="center"/>
    </xf>
    <xf numFmtId="167" fontId="9" fillId="0" borderId="17" xfId="3" applyNumberFormat="1" applyFont="1" applyFill="1" applyBorder="1" applyAlignment="1"/>
    <xf numFmtId="167" fontId="11" fillId="0" borderId="17" xfId="3" applyNumberFormat="1" applyFont="1" applyFill="1" applyBorder="1" applyAlignment="1"/>
    <xf numFmtId="167" fontId="11" fillId="0" borderId="12" xfId="3" applyNumberFormat="1" applyFont="1" applyFill="1" applyBorder="1" applyAlignment="1"/>
    <xf numFmtId="4" fontId="6" fillId="0" borderId="19" xfId="2" applyFont="1" applyBorder="1" applyAlignment="1">
      <alignment horizontal="right"/>
    </xf>
    <xf numFmtId="167" fontId="6" fillId="0" borderId="5" xfId="1" applyNumberFormat="1" applyFont="1" applyFill="1" applyBorder="1" applyAlignment="1">
      <alignment wrapText="1"/>
    </xf>
    <xf numFmtId="167" fontId="6" fillId="0" borderId="19" xfId="1" applyNumberFormat="1" applyFont="1" applyFill="1" applyBorder="1" applyAlignment="1">
      <alignment horizontal="left" wrapText="1"/>
    </xf>
    <xf numFmtId="167" fontId="9" fillId="0" borderId="14" xfId="2" applyNumberFormat="1" applyFont="1" applyBorder="1"/>
    <xf numFmtId="167" fontId="6" fillId="0" borderId="14" xfId="3" applyNumberFormat="1" applyFont="1" applyFill="1" applyBorder="1" applyAlignment="1">
      <alignment wrapText="1"/>
    </xf>
    <xf numFmtId="167" fontId="6" fillId="0" borderId="12" xfId="3" applyNumberFormat="1" applyFont="1" applyFill="1" applyBorder="1" applyAlignment="1">
      <alignment wrapText="1"/>
    </xf>
    <xf numFmtId="167" fontId="9" fillId="0" borderId="14" xfId="3" applyNumberFormat="1" applyFont="1" applyFill="1" applyBorder="1" applyAlignment="1">
      <alignment wrapText="1"/>
    </xf>
    <xf numFmtId="167" fontId="9" fillId="0" borderId="12" xfId="3" applyNumberFormat="1" applyFont="1" applyFill="1" applyBorder="1" applyAlignment="1">
      <alignment wrapText="1"/>
    </xf>
    <xf numFmtId="167" fontId="9" fillId="0" borderId="12" xfId="3" applyNumberFormat="1" applyFont="1" applyFill="1" applyBorder="1" applyAlignment="1">
      <alignment horizontal="left" wrapText="1"/>
    </xf>
    <xf numFmtId="167" fontId="9" fillId="0" borderId="14" xfId="3" applyNumberFormat="1" applyFont="1" applyFill="1" applyBorder="1" applyAlignment="1"/>
    <xf numFmtId="167" fontId="9" fillId="0" borderId="14" xfId="1" applyNumberFormat="1" applyFont="1" applyFill="1" applyBorder="1" applyAlignment="1"/>
    <xf numFmtId="167" fontId="9" fillId="0" borderId="14" xfId="3" applyNumberFormat="1" applyFont="1" applyFill="1" applyBorder="1" applyAlignment="1">
      <alignment horizontal="left"/>
    </xf>
    <xf numFmtId="4" fontId="13" fillId="0" borderId="12" xfId="4" applyFont="1" applyFill="1" applyBorder="1" applyAlignment="1" applyProtection="1">
      <alignment horizontal="center" vertical="center"/>
    </xf>
    <xf numFmtId="4" fontId="6" fillId="0" borderId="12" xfId="2" applyFont="1" applyBorder="1" applyAlignment="1">
      <alignment horizontal="center" vertical="center"/>
    </xf>
    <xf numFmtId="167" fontId="14" fillId="0" borderId="14" xfId="2" applyNumberFormat="1" applyFont="1" applyBorder="1" applyAlignment="1">
      <alignment horizontal="center"/>
    </xf>
    <xf numFmtId="167" fontId="11" fillId="0" borderId="14" xfId="3" applyNumberFormat="1" applyFont="1" applyFill="1" applyBorder="1" applyAlignment="1">
      <alignment wrapText="1"/>
    </xf>
    <xf numFmtId="167" fontId="11" fillId="0" borderId="12" xfId="3" applyNumberFormat="1" applyFont="1" applyFill="1" applyBorder="1" applyAlignment="1">
      <alignment wrapText="1"/>
    </xf>
    <xf numFmtId="4" fontId="15" fillId="0" borderId="1" xfId="0" applyFont="1" applyBorder="1"/>
    <xf numFmtId="4" fontId="15" fillId="0" borderId="1" xfId="0" applyFont="1" applyBorder="1" applyAlignment="1">
      <alignment horizontal="left"/>
    </xf>
    <xf numFmtId="4" fontId="6" fillId="0" borderId="2" xfId="2" applyFont="1" applyBorder="1" applyAlignment="1">
      <alignment horizontal="left" vertical="top"/>
    </xf>
    <xf numFmtId="4" fontId="6" fillId="0" borderId="2" xfId="2" applyFont="1" applyBorder="1" applyAlignment="1">
      <alignment horizontal="left"/>
    </xf>
    <xf numFmtId="4" fontId="15" fillId="0" borderId="1" xfId="0" applyFont="1" applyBorder="1" applyAlignment="1">
      <alignment vertical="top"/>
    </xf>
    <xf numFmtId="4" fontId="15" fillId="0" borderId="23" xfId="0" applyFont="1" applyBorder="1" applyAlignment="1">
      <alignment horizontal="left" vertical="top"/>
    </xf>
    <xf numFmtId="4" fontId="6" fillId="0" borderId="23" xfId="2" applyFont="1" applyBorder="1"/>
    <xf numFmtId="4" fontId="6" fillId="0" borderId="23" xfId="2" applyFont="1" applyBorder="1" applyAlignment="1">
      <alignment horizontal="left"/>
    </xf>
    <xf numFmtId="164" fontId="6" fillId="0" borderId="23" xfId="2" applyNumberFormat="1" applyFont="1" applyBorder="1" applyAlignment="1">
      <alignment horizontal="left" vertical="top"/>
    </xf>
    <xf numFmtId="4" fontId="16" fillId="0" borderId="0" xfId="2" applyFont="1"/>
    <xf numFmtId="164" fontId="16" fillId="0" borderId="0" xfId="2" applyNumberFormat="1" applyFont="1"/>
    <xf numFmtId="164" fontId="16" fillId="0" borderId="0" xfId="2" applyNumberFormat="1" applyFont="1" applyAlignment="1">
      <alignment wrapText="1"/>
    </xf>
    <xf numFmtId="4" fontId="6" fillId="0" borderId="14" xfId="2" applyFont="1" applyBorder="1" applyAlignment="1">
      <alignment horizontal="center" vertical="center"/>
    </xf>
    <xf numFmtId="164" fontId="6" fillId="0" borderId="14" xfId="2" applyNumberFormat="1" applyFont="1" applyBorder="1" applyAlignment="1">
      <alignment horizontal="center" vertical="center" wrapText="1"/>
    </xf>
    <xf numFmtId="10" fontId="9" fillId="0" borderId="12" xfId="2" applyNumberFormat="1" applyFont="1" applyBorder="1"/>
    <xf numFmtId="167" fontId="17" fillId="0" borderId="12" xfId="1" applyNumberFormat="1" applyFont="1" applyBorder="1" applyAlignment="1">
      <alignment horizontal="right" wrapText="1"/>
    </xf>
    <xf numFmtId="168" fontId="9" fillId="0" borderId="14" xfId="1" applyNumberFormat="1" applyFont="1" applyFill="1" applyBorder="1" applyAlignment="1"/>
    <xf numFmtId="4" fontId="6" fillId="0" borderId="18" xfId="2" applyFont="1" applyBorder="1" applyAlignment="1">
      <alignment horizontal="left"/>
    </xf>
    <xf numFmtId="4" fontId="9" fillId="0" borderId="19" xfId="2" applyFont="1" applyBorder="1"/>
    <xf numFmtId="4" fontId="9" fillId="0" borderId="7" xfId="2" applyFont="1" applyBorder="1"/>
    <xf numFmtId="10" fontId="9" fillId="0" borderId="5" xfId="2" applyNumberFormat="1" applyFont="1" applyBorder="1"/>
    <xf numFmtId="168" fontId="9" fillId="0" borderId="5" xfId="1" applyNumberFormat="1" applyFont="1" applyBorder="1"/>
    <xf numFmtId="168" fontId="6" fillId="0" borderId="5" xfId="1" applyNumberFormat="1" applyFont="1" applyFill="1" applyBorder="1" applyAlignment="1"/>
    <xf numFmtId="4" fontId="6" fillId="0" borderId="1" xfId="2" applyFont="1" applyBorder="1" applyAlignment="1">
      <alignment horizontal="left"/>
    </xf>
    <xf numFmtId="168" fontId="9" fillId="0" borderId="12" xfId="1" applyNumberFormat="1" applyFont="1" applyBorder="1"/>
    <xf numFmtId="168" fontId="6" fillId="0" borderId="12" xfId="1" applyNumberFormat="1" applyFont="1" applyFill="1" applyBorder="1" applyAlignment="1"/>
    <xf numFmtId="168" fontId="6" fillId="0" borderId="12" xfId="1" applyNumberFormat="1" applyFont="1" applyFill="1" applyBorder="1" applyAlignment="1">
      <alignment wrapText="1"/>
    </xf>
    <xf numFmtId="4" fontId="0" fillId="0" borderId="1" xfId="0" applyBorder="1" applyAlignment="1">
      <alignment horizontal="left" indent="2"/>
    </xf>
    <xf numFmtId="4" fontId="9" fillId="0" borderId="1" xfId="2" applyFont="1" applyBorder="1" applyAlignment="1">
      <alignment horizontal="left" vertical="top" indent="2"/>
    </xf>
    <xf numFmtId="168" fontId="18" fillId="0" borderId="5" xfId="1" applyNumberFormat="1" applyFont="1" applyBorder="1" applyAlignment="1">
      <alignment horizontal="right" wrapText="1"/>
    </xf>
    <xf numFmtId="168" fontId="9" fillId="0" borderId="12" xfId="1" applyNumberFormat="1" applyFont="1" applyFill="1" applyBorder="1" applyAlignment="1"/>
    <xf numFmtId="168" fontId="9" fillId="0" borderId="12" xfId="1" applyNumberFormat="1" applyFont="1" applyFill="1" applyBorder="1" applyAlignment="1">
      <alignment wrapText="1"/>
    </xf>
    <xf numFmtId="4" fontId="6" fillId="0" borderId="1" xfId="2" applyFont="1" applyBorder="1" applyAlignment="1">
      <alignment wrapText="1"/>
    </xf>
    <xf numFmtId="49" fontId="13" fillId="0" borderId="12" xfId="4" applyNumberFormat="1" applyFont="1" applyFill="1" applyBorder="1" applyAlignment="1" applyProtection="1">
      <alignment horizontal="center"/>
    </xf>
    <xf numFmtId="10" fontId="13" fillId="0" borderId="12" xfId="4" applyNumberFormat="1" applyFont="1" applyFill="1" applyBorder="1" applyAlignment="1" applyProtection="1">
      <alignment horizontal="center"/>
    </xf>
    <xf numFmtId="167" fontId="9" fillId="0" borderId="5" xfId="1" applyNumberFormat="1" applyFont="1" applyFill="1" applyBorder="1" applyAlignment="1"/>
    <xf numFmtId="168" fontId="17" fillId="0" borderId="12" xfId="1" applyNumberFormat="1" applyFont="1" applyBorder="1" applyAlignment="1">
      <alignment horizontal="right" wrapText="1"/>
    </xf>
    <xf numFmtId="4" fontId="9" fillId="0" borderId="1" xfId="2" applyFont="1" applyBorder="1" applyAlignment="1">
      <alignment wrapText="1"/>
    </xf>
    <xf numFmtId="168" fontId="16" fillId="0" borderId="12" xfId="1" applyNumberFormat="1" applyFont="1" applyBorder="1"/>
    <xf numFmtId="4" fontId="19" fillId="0" borderId="0" xfId="2" applyFont="1"/>
    <xf numFmtId="4" fontId="19" fillId="0" borderId="2" xfId="2" applyFont="1" applyBorder="1"/>
    <xf numFmtId="4" fontId="6" fillId="0" borderId="2" xfId="2" applyFont="1" applyBorder="1" applyAlignment="1">
      <alignment horizontal="left" vertical="top" wrapText="1"/>
    </xf>
    <xf numFmtId="4" fontId="3" fillId="0" borderId="22" xfId="0" applyFont="1" applyBorder="1"/>
    <xf numFmtId="4" fontId="19" fillId="0" borderId="24" xfId="2" applyFont="1" applyBorder="1"/>
    <xf numFmtId="4" fontId="21" fillId="0" borderId="0" xfId="0" applyFont="1" applyAlignment="1">
      <alignment horizontal="left"/>
    </xf>
    <xf numFmtId="4" fontId="21" fillId="0" borderId="0" xfId="0" applyFont="1"/>
    <xf numFmtId="167" fontId="6" fillId="3" borderId="5" xfId="2" applyNumberFormat="1" applyFont="1" applyFill="1" applyBorder="1" applyAlignment="1">
      <alignment horizontal="center" vertical="center" wrapText="1"/>
    </xf>
    <xf numFmtId="4" fontId="20" fillId="0" borderId="12" xfId="0" applyFont="1" applyBorder="1" applyAlignment="1">
      <alignment horizontal="center" wrapText="1"/>
    </xf>
    <xf numFmtId="167" fontId="20" fillId="0" borderId="12" xfId="0" applyNumberFormat="1" applyFont="1" applyBorder="1" applyAlignment="1">
      <alignment horizontal="center" wrapText="1"/>
    </xf>
    <xf numFmtId="4" fontId="20" fillId="0" borderId="12" xfId="0" applyFont="1" applyBorder="1" applyAlignment="1">
      <alignment wrapText="1"/>
    </xf>
    <xf numFmtId="167" fontId="20" fillId="0" borderId="12" xfId="0" applyNumberFormat="1" applyFont="1" applyBorder="1" applyAlignment="1">
      <alignment wrapText="1"/>
    </xf>
    <xf numFmtId="167" fontId="22" fillId="0" borderId="12" xfId="0" applyNumberFormat="1" applyFont="1" applyBorder="1" applyAlignment="1">
      <alignment horizontal="left" vertical="top"/>
    </xf>
    <xf numFmtId="4" fontId="22" fillId="0" borderId="12" xfId="0" applyFont="1" applyBorder="1" applyAlignment="1">
      <alignment horizontal="left" vertical="top"/>
    </xf>
    <xf numFmtId="167" fontId="22" fillId="0" borderId="12" xfId="1" applyNumberFormat="1" applyFont="1" applyBorder="1" applyAlignment="1">
      <alignment horizontal="right" wrapText="1"/>
    </xf>
    <xf numFmtId="167" fontId="22" fillId="0" borderId="12" xfId="1" applyNumberFormat="1" applyFont="1" applyFill="1" applyBorder="1" applyAlignment="1">
      <alignment horizontal="right" wrapText="1"/>
    </xf>
    <xf numFmtId="167" fontId="22" fillId="0" borderId="12" xfId="1" applyNumberFormat="1" applyFont="1" applyBorder="1" applyAlignment="1">
      <alignment horizontal="left" vertical="top"/>
    </xf>
    <xf numFmtId="4" fontId="20" fillId="5" borderId="5" xfId="0" applyFont="1" applyFill="1" applyBorder="1" applyAlignment="1">
      <alignment horizontal="center" wrapText="1"/>
    </xf>
    <xf numFmtId="167" fontId="20" fillId="5" borderId="5" xfId="1" applyNumberFormat="1" applyFont="1" applyFill="1" applyBorder="1" applyAlignment="1">
      <alignment horizontal="right" wrapText="1"/>
    </xf>
    <xf numFmtId="4" fontId="0" fillId="0" borderId="5" xfId="0" applyBorder="1" applyAlignment="1">
      <alignment vertical="top"/>
    </xf>
    <xf numFmtId="167" fontId="20" fillId="0" borderId="10" xfId="0" applyNumberFormat="1" applyFont="1" applyBorder="1" applyAlignment="1">
      <alignment horizontal="center" wrapText="1"/>
    </xf>
    <xf numFmtId="4" fontId="23" fillId="0" borderId="12" xfId="0" applyFont="1" applyBorder="1" applyAlignment="1">
      <alignment horizontal="left" wrapText="1"/>
    </xf>
    <xf numFmtId="167" fontId="23" fillId="0" borderId="12" xfId="0" applyNumberFormat="1" applyFont="1" applyBorder="1" applyAlignment="1">
      <alignment horizontal="left" wrapText="1"/>
    </xf>
    <xf numFmtId="4" fontId="22" fillId="0" borderId="12" xfId="0" applyFont="1" applyBorder="1" applyAlignment="1">
      <alignment horizontal="left" wrapText="1"/>
    </xf>
    <xf numFmtId="167" fontId="22" fillId="0" borderId="12" xfId="0" applyNumberFormat="1" applyFont="1" applyBorder="1" applyAlignment="1">
      <alignment horizontal="left" wrapText="1"/>
    </xf>
    <xf numFmtId="4" fontId="20" fillId="0" borderId="12" xfId="0" applyFont="1" applyBorder="1" applyAlignment="1">
      <alignment vertical="top" wrapText="1"/>
    </xf>
    <xf numFmtId="167" fontId="20" fillId="0" borderId="12" xfId="0" applyNumberFormat="1" applyFont="1" applyBorder="1" applyAlignment="1">
      <alignment vertical="top" wrapText="1"/>
    </xf>
    <xf numFmtId="167" fontId="22" fillId="0" borderId="12" xfId="1" applyNumberFormat="1" applyFont="1" applyFill="1" applyBorder="1" applyAlignment="1">
      <alignment horizontal="left" vertical="top"/>
    </xf>
    <xf numFmtId="4" fontId="20" fillId="0" borderId="12" xfId="0" applyFont="1" applyBorder="1" applyAlignment="1">
      <alignment horizontal="left" wrapText="1"/>
    </xf>
    <xf numFmtId="167" fontId="20" fillId="0" borderId="12" xfId="0" applyNumberFormat="1" applyFont="1" applyBorder="1" applyAlignment="1">
      <alignment horizontal="left" wrapText="1"/>
    </xf>
    <xf numFmtId="167" fontId="22" fillId="0" borderId="12" xfId="1" applyNumberFormat="1" applyFont="1" applyBorder="1" applyAlignment="1">
      <alignment horizontal="left" wrapText="1"/>
    </xf>
    <xf numFmtId="4" fontId="20" fillId="0" borderId="12" xfId="0" applyFont="1" applyBorder="1" applyAlignment="1">
      <alignment horizontal="center" vertical="center" wrapText="1"/>
    </xf>
    <xf numFmtId="167" fontId="6" fillId="0" borderId="12" xfId="2" applyNumberFormat="1" applyFont="1" applyBorder="1" applyAlignment="1">
      <alignment horizontal="center" vertical="center" wrapText="1"/>
    </xf>
    <xf numFmtId="4" fontId="23" fillId="0" borderId="12" xfId="0" applyFont="1" applyBorder="1" applyAlignment="1">
      <alignment horizontal="left" vertical="center" wrapText="1"/>
    </xf>
    <xf numFmtId="168" fontId="22" fillId="0" borderId="12" xfId="1" applyNumberFormat="1" applyFont="1" applyBorder="1" applyAlignment="1">
      <alignment horizontal="left" vertical="top"/>
    </xf>
    <xf numFmtId="168" fontId="20" fillId="0" borderId="12" xfId="5" applyNumberFormat="1" applyFont="1" applyBorder="1" applyAlignment="1">
      <alignment horizontal="left" wrapText="1"/>
    </xf>
    <xf numFmtId="167" fontId="20" fillId="0" borderId="12" xfId="5" applyNumberFormat="1" applyFont="1" applyBorder="1" applyAlignment="1">
      <alignment horizontal="left" wrapText="1"/>
    </xf>
    <xf numFmtId="168" fontId="22" fillId="0" borderId="9" xfId="5" applyNumberFormat="1" applyFont="1" applyBorder="1" applyAlignment="1">
      <alignment horizontal="left" wrapText="1"/>
    </xf>
    <xf numFmtId="167" fontId="22" fillId="0" borderId="9" xfId="5" applyNumberFormat="1" applyFont="1" applyBorder="1" applyAlignment="1">
      <alignment horizontal="left" wrapText="1"/>
    </xf>
    <xf numFmtId="167" fontId="6" fillId="3" borderId="10" xfId="2" applyNumberFormat="1" applyFont="1" applyFill="1" applyBorder="1" applyAlignment="1">
      <alignment horizontal="center" vertical="center" wrapText="1"/>
    </xf>
    <xf numFmtId="4" fontId="20" fillId="0" borderId="9" xfId="0" applyFont="1" applyBorder="1" applyAlignment="1">
      <alignment horizontal="left" wrapText="1"/>
    </xf>
    <xf numFmtId="167" fontId="20" fillId="0" borderId="10" xfId="0" applyNumberFormat="1" applyFont="1" applyBorder="1" applyAlignment="1">
      <alignment horizontal="left" wrapText="1"/>
    </xf>
    <xf numFmtId="167" fontId="22" fillId="0" borderId="9" xfId="1" applyNumberFormat="1" applyFont="1" applyBorder="1" applyAlignment="1">
      <alignment horizontal="right" wrapText="1"/>
    </xf>
    <xf numFmtId="167" fontId="22" fillId="0" borderId="27" xfId="1" applyNumberFormat="1" applyFont="1" applyBorder="1" applyAlignment="1">
      <alignment horizontal="right" wrapText="1"/>
    </xf>
    <xf numFmtId="167" fontId="22" fillId="0" borderId="0" xfId="1" applyNumberFormat="1" applyFont="1" applyBorder="1" applyAlignment="1">
      <alignment horizontal="right" wrapText="1"/>
    </xf>
    <xf numFmtId="4" fontId="22" fillId="0" borderId="9" xfId="0" applyFont="1" applyBorder="1" applyAlignment="1">
      <alignment horizontal="left" vertical="top"/>
    </xf>
    <xf numFmtId="4" fontId="22" fillId="0" borderId="9" xfId="0" applyFont="1" applyBorder="1" applyAlignment="1">
      <alignment horizontal="left" wrapText="1"/>
    </xf>
    <xf numFmtId="167" fontId="22" fillId="0" borderId="17" xfId="0" applyNumberFormat="1" applyFont="1" applyBorder="1" applyAlignment="1">
      <alignment horizontal="left" wrapText="1"/>
    </xf>
    <xf numFmtId="168" fontId="20" fillId="5" borderId="5" xfId="1" applyNumberFormat="1" applyFont="1" applyFill="1" applyBorder="1" applyAlignment="1">
      <alignment horizontal="center" wrapText="1"/>
    </xf>
    <xf numFmtId="167" fontId="22" fillId="0" borderId="9" xfId="0" applyNumberFormat="1" applyFont="1" applyBorder="1" applyAlignment="1">
      <alignment horizontal="left" vertical="top"/>
    </xf>
    <xf numFmtId="167" fontId="6" fillId="0" borderId="10" xfId="2" applyNumberFormat="1" applyFont="1" applyBorder="1" applyAlignment="1">
      <alignment horizontal="center" vertical="center" wrapText="1"/>
    </xf>
    <xf numFmtId="168" fontId="22" fillId="0" borderId="12" xfId="1" applyNumberFormat="1" applyFont="1" applyBorder="1" applyAlignment="1">
      <alignment horizontal="left" wrapText="1"/>
    </xf>
    <xf numFmtId="4" fontId="22" fillId="0" borderId="0" xfId="0" applyFont="1" applyAlignment="1">
      <alignment horizontal="left" vertical="top"/>
    </xf>
    <xf numFmtId="167" fontId="22" fillId="0" borderId="0" xfId="0" applyNumberFormat="1" applyFont="1" applyAlignment="1">
      <alignment horizontal="left" vertical="top"/>
    </xf>
    <xf numFmtId="168" fontId="20" fillId="0" borderId="9" xfId="5" applyNumberFormat="1" applyFont="1" applyBorder="1" applyAlignment="1">
      <alignment horizontal="left" wrapText="1"/>
    </xf>
    <xf numFmtId="167" fontId="20" fillId="0" borderId="9" xfId="5" applyNumberFormat="1" applyFont="1" applyBorder="1" applyAlignment="1">
      <alignment horizontal="left" wrapText="1"/>
    </xf>
    <xf numFmtId="167" fontId="20" fillId="0" borderId="12" xfId="5" applyNumberFormat="1" applyFont="1" applyFill="1" applyBorder="1" applyAlignment="1">
      <alignment horizontal="center" wrapText="1"/>
    </xf>
    <xf numFmtId="167" fontId="20" fillId="0" borderId="17" xfId="5" applyNumberFormat="1" applyFont="1" applyFill="1" applyBorder="1" applyAlignment="1">
      <alignment horizontal="center" wrapText="1"/>
    </xf>
    <xf numFmtId="168" fontId="20" fillId="0" borderId="5" xfId="5" applyNumberFormat="1" applyFont="1" applyBorder="1" applyAlignment="1">
      <alignment horizontal="left" wrapText="1"/>
    </xf>
    <xf numFmtId="167" fontId="20" fillId="0" borderId="5" xfId="5" applyNumberFormat="1" applyFont="1" applyBorder="1" applyAlignment="1">
      <alignment horizontal="left" wrapText="1"/>
    </xf>
    <xf numFmtId="167" fontId="20" fillId="0" borderId="5" xfId="5" applyNumberFormat="1" applyFont="1" applyFill="1" applyBorder="1" applyAlignment="1">
      <alignment horizontal="center" wrapText="1"/>
    </xf>
    <xf numFmtId="167" fontId="20" fillId="0" borderId="10" xfId="5" applyNumberFormat="1" applyFont="1" applyBorder="1" applyAlignment="1">
      <alignment horizontal="left" wrapText="1"/>
    </xf>
    <xf numFmtId="167" fontId="20" fillId="0" borderId="0" xfId="5" applyNumberFormat="1" applyFont="1" applyFill="1" applyBorder="1" applyAlignment="1">
      <alignment horizontal="center" wrapText="1"/>
    </xf>
    <xf numFmtId="168" fontId="22" fillId="0" borderId="12" xfId="5" applyNumberFormat="1" applyFont="1" applyBorder="1" applyAlignment="1">
      <alignment horizontal="left" wrapText="1"/>
    </xf>
    <xf numFmtId="167" fontId="22" fillId="0" borderId="12" xfId="5" applyNumberFormat="1" applyFont="1" applyBorder="1" applyAlignment="1">
      <alignment horizontal="left" wrapText="1"/>
    </xf>
    <xf numFmtId="167" fontId="22" fillId="0" borderId="17" xfId="5" applyNumberFormat="1" applyFont="1" applyBorder="1" applyAlignment="1">
      <alignment horizontal="left" wrapText="1"/>
    </xf>
    <xf numFmtId="168" fontId="20" fillId="5" borderId="5" xfId="5" applyNumberFormat="1" applyFont="1" applyFill="1" applyBorder="1" applyAlignment="1">
      <alignment horizontal="center" wrapText="1"/>
    </xf>
    <xf numFmtId="167" fontId="5" fillId="3" borderId="5" xfId="5" applyNumberFormat="1" applyFont="1" applyFill="1" applyBorder="1" applyAlignment="1"/>
    <xf numFmtId="168" fontId="20" fillId="0" borderId="0" xfId="5" applyNumberFormat="1" applyFont="1" applyFill="1" applyBorder="1" applyAlignment="1">
      <alignment horizontal="center" wrapText="1"/>
    </xf>
    <xf numFmtId="167" fontId="5" fillId="0" borderId="0" xfId="5" applyNumberFormat="1" applyFont="1" applyFill="1" applyBorder="1" applyAlignment="1"/>
    <xf numFmtId="167" fontId="20" fillId="0" borderId="12" xfId="1" applyNumberFormat="1" applyFont="1" applyBorder="1" applyAlignment="1">
      <alignment horizontal="left" wrapText="1"/>
    </xf>
    <xf numFmtId="0" fontId="2" fillId="0" borderId="0" xfId="6" applyFont="1"/>
    <xf numFmtId="0" fontId="1" fillId="0" borderId="0" xfId="6"/>
    <xf numFmtId="14" fontId="1" fillId="0" borderId="0" xfId="6" applyNumberFormat="1"/>
    <xf numFmtId="4" fontId="18" fillId="4" borderId="5" xfId="0" applyFont="1" applyFill="1" applyBorder="1" applyAlignment="1">
      <alignment horizontal="center" vertical="center" wrapText="1"/>
    </xf>
    <xf numFmtId="4" fontId="18" fillId="0" borderId="5" xfId="0" applyFont="1" applyBorder="1" applyAlignment="1">
      <alignment horizontal="center" vertical="center" wrapText="1"/>
    </xf>
    <xf numFmtId="0" fontId="1" fillId="0" borderId="5" xfId="6" applyBorder="1"/>
    <xf numFmtId="168" fontId="4" fillId="0" borderId="5" xfId="5" applyNumberFormat="1" applyFont="1" applyBorder="1"/>
    <xf numFmtId="14" fontId="1" fillId="0" borderId="5" xfId="6" applyNumberFormat="1" applyBorder="1"/>
    <xf numFmtId="43" fontId="4" fillId="0" borderId="5" xfId="5" applyFont="1" applyBorder="1"/>
    <xf numFmtId="169" fontId="1" fillId="0" borderId="5" xfId="6" applyNumberFormat="1" applyBorder="1"/>
    <xf numFmtId="168" fontId="1" fillId="0" borderId="5" xfId="1" applyNumberFormat="1" applyBorder="1"/>
    <xf numFmtId="10" fontId="4" fillId="0" borderId="5" xfId="7" applyNumberFormat="1" applyFont="1" applyBorder="1"/>
    <xf numFmtId="1" fontId="1" fillId="0" borderId="5" xfId="6" applyNumberFormat="1" applyBorder="1"/>
    <xf numFmtId="4" fontId="24" fillId="5" borderId="5" xfId="0" applyFont="1" applyFill="1" applyBorder="1" applyAlignment="1">
      <alignment horizontal="center" wrapText="1"/>
    </xf>
    <xf numFmtId="168" fontId="24" fillId="5" borderId="5" xfId="1" applyNumberFormat="1" applyFont="1" applyFill="1" applyBorder="1" applyAlignment="1">
      <alignment horizontal="center" wrapText="1"/>
    </xf>
    <xf numFmtId="43" fontId="1" fillId="0" borderId="0" xfId="6" applyNumberFormat="1"/>
    <xf numFmtId="0" fontId="2" fillId="0" borderId="5" xfId="6" applyFont="1" applyBorder="1" applyAlignment="1">
      <alignment horizontal="center" vertical="top"/>
    </xf>
    <xf numFmtId="2" fontId="2" fillId="0" borderId="5" xfId="6" applyNumberFormat="1" applyFont="1" applyBorder="1" applyAlignment="1">
      <alignment horizontal="center" vertical="top"/>
    </xf>
    <xf numFmtId="9" fontId="0" fillId="0" borderId="5" xfId="7" applyFont="1" applyBorder="1"/>
    <xf numFmtId="168" fontId="0" fillId="0" borderId="5" xfId="5" applyNumberFormat="1" applyFont="1" applyBorder="1"/>
    <xf numFmtId="0" fontId="1" fillId="0" borderId="10" xfId="6" applyBorder="1"/>
    <xf numFmtId="9" fontId="0" fillId="0" borderId="10" xfId="7" applyFont="1" applyBorder="1"/>
    <xf numFmtId="168" fontId="4" fillId="0" borderId="10" xfId="5" applyNumberFormat="1" applyFont="1" applyBorder="1"/>
    <xf numFmtId="168" fontId="0" fillId="0" borderId="10" xfId="5" applyNumberFormat="1" applyFont="1" applyBorder="1"/>
    <xf numFmtId="0" fontId="2" fillId="0" borderId="0" xfId="6" applyFont="1" applyAlignment="1">
      <alignment horizontal="center"/>
    </xf>
    <xf numFmtId="0" fontId="0" fillId="0" borderId="27" xfId="6" applyFont="1" applyBorder="1"/>
    <xf numFmtId="0" fontId="0" fillId="0" borderId="9" xfId="6" applyFont="1" applyBorder="1"/>
    <xf numFmtId="168" fontId="0" fillId="0" borderId="17" xfId="5" applyNumberFormat="1" applyFont="1" applyBorder="1"/>
    <xf numFmtId="4" fontId="24" fillId="5" borderId="5" xfId="0" applyFont="1" applyFill="1" applyBorder="1" applyAlignment="1">
      <alignment horizontal="left" wrapText="1"/>
    </xf>
    <xf numFmtId="168" fontId="1" fillId="0" borderId="0" xfId="6" applyNumberFormat="1"/>
    <xf numFmtId="0" fontId="1" fillId="0" borderId="12" xfId="6" applyBorder="1"/>
    <xf numFmtId="10" fontId="0" fillId="0" borderId="12" xfId="5" applyNumberFormat="1" applyFont="1" applyBorder="1"/>
    <xf numFmtId="3" fontId="1" fillId="0" borderId="0" xfId="6" applyNumberFormat="1"/>
    <xf numFmtId="0" fontId="0" fillId="0" borderId="0" xfId="6" applyFont="1"/>
    <xf numFmtId="4" fontId="27" fillId="0" borderId="0" xfId="0" applyFont="1"/>
    <xf numFmtId="4" fontId="19" fillId="0" borderId="0" xfId="2" applyFont="1" applyAlignment="1">
      <alignment horizontal="center"/>
    </xf>
    <xf numFmtId="4" fontId="19" fillId="0" borderId="15" xfId="2" applyFont="1" applyBorder="1" applyAlignment="1">
      <alignment horizontal="center"/>
    </xf>
    <xf numFmtId="4" fontId="28" fillId="0" borderId="9" xfId="0" applyFont="1" applyBorder="1" applyAlignment="1">
      <alignment horizontal="center"/>
    </xf>
    <xf numFmtId="4" fontId="28" fillId="0" borderId="0" xfId="0" applyFont="1" applyAlignment="1">
      <alignment horizontal="center"/>
    </xf>
    <xf numFmtId="4" fontId="28" fillId="0" borderId="14" xfId="0" applyFont="1" applyBorder="1" applyAlignment="1">
      <alignment horizontal="center"/>
    </xf>
    <xf numFmtId="4" fontId="28" fillId="0" borderId="9" xfId="0" applyFont="1" applyBorder="1" applyAlignment="1">
      <alignment horizontal="left"/>
    </xf>
    <xf numFmtId="4" fontId="28" fillId="0" borderId="9" xfId="0" applyFont="1" applyBorder="1" applyAlignment="1">
      <alignment horizontal="left" vertical="top"/>
    </xf>
    <xf numFmtId="4" fontId="28" fillId="0" borderId="0" xfId="0" applyFont="1" applyAlignment="1">
      <alignment horizontal="left" vertical="top" wrapText="1"/>
    </xf>
    <xf numFmtId="165" fontId="28" fillId="0" borderId="0" xfId="0" applyNumberFormat="1" applyFont="1" applyAlignment="1">
      <alignment horizontal="left" vertical="top" wrapText="1"/>
    </xf>
    <xf numFmtId="4" fontId="30" fillId="5" borderId="5" xfId="0" applyFont="1" applyFill="1" applyBorder="1" applyAlignment="1">
      <alignment horizontal="center" vertical="top" wrapText="1"/>
    </xf>
    <xf numFmtId="4" fontId="28" fillId="0" borderId="27" xfId="0" applyFont="1" applyBorder="1" applyAlignment="1">
      <alignment vertical="top"/>
    </xf>
    <xf numFmtId="165" fontId="27" fillId="0" borderId="10" xfId="10" applyNumberFormat="1" applyFont="1" applyFill="1" applyBorder="1" applyAlignment="1">
      <alignment vertical="top"/>
    </xf>
    <xf numFmtId="4" fontId="27" fillId="0" borderId="9" xfId="0" applyFont="1" applyBorder="1" applyAlignment="1">
      <alignment vertical="top" wrapText="1"/>
    </xf>
    <xf numFmtId="168" fontId="27" fillId="0" borderId="12" xfId="5" applyNumberFormat="1" applyFont="1" applyFill="1" applyBorder="1" applyAlignment="1">
      <alignment vertical="top"/>
    </xf>
    <xf numFmtId="4" fontId="27" fillId="0" borderId="16" xfId="0" applyFont="1" applyBorder="1" applyAlignment="1">
      <alignment vertical="top" wrapText="1"/>
    </xf>
    <xf numFmtId="168" fontId="27" fillId="0" borderId="17" xfId="5" applyNumberFormat="1" applyFont="1" applyFill="1" applyBorder="1" applyAlignment="1">
      <alignment vertical="top"/>
    </xf>
    <xf numFmtId="4" fontId="28" fillId="0" borderId="9" xfId="0" applyFont="1" applyBorder="1" applyAlignment="1">
      <alignment vertical="top"/>
    </xf>
    <xf numFmtId="4" fontId="27" fillId="0" borderId="9" xfId="0" applyFont="1" applyBorder="1" applyAlignment="1">
      <alignment vertical="top"/>
    </xf>
    <xf numFmtId="4" fontId="28" fillId="0" borderId="9" xfId="0" applyFont="1" applyBorder="1" applyAlignment="1">
      <alignment vertical="top" wrapText="1"/>
    </xf>
    <xf numFmtId="4" fontId="28" fillId="0" borderId="16" xfId="0" applyFont="1" applyBorder="1" applyAlignment="1">
      <alignment horizontal="left" vertical="top" wrapText="1"/>
    </xf>
    <xf numFmtId="4" fontId="28" fillId="0" borderId="9" xfId="0" applyFont="1" applyBorder="1" applyAlignment="1">
      <alignment horizontal="left" vertical="top" wrapText="1"/>
    </xf>
    <xf numFmtId="168" fontId="27" fillId="0" borderId="0" xfId="5" applyNumberFormat="1" applyFont="1" applyFill="1" applyBorder="1" applyAlignment="1">
      <alignment vertical="top"/>
    </xf>
    <xf numFmtId="168" fontId="27" fillId="0" borderId="14" xfId="5" applyNumberFormat="1" applyFont="1" applyFill="1" applyBorder="1" applyAlignment="1">
      <alignment vertical="top"/>
    </xf>
    <xf numFmtId="4" fontId="19" fillId="0" borderId="10" xfId="2" applyFont="1" applyBorder="1" applyAlignment="1">
      <alignment horizontal="center" vertical="center"/>
    </xf>
    <xf numFmtId="4" fontId="30" fillId="0" borderId="26" xfId="0" applyFont="1" applyBorder="1" applyAlignment="1">
      <alignment horizontal="center" vertical="top" wrapText="1"/>
    </xf>
    <xf numFmtId="165" fontId="28" fillId="0" borderId="12" xfId="10" applyNumberFormat="1" applyFont="1" applyFill="1" applyBorder="1" applyAlignment="1">
      <alignment horizontal="right" vertical="top" wrapText="1"/>
    </xf>
    <xf numFmtId="165" fontId="28" fillId="0" borderId="12" xfId="10" applyNumberFormat="1" applyFont="1" applyFill="1" applyBorder="1" applyAlignment="1">
      <alignment horizontal="center" vertical="center"/>
    </xf>
    <xf numFmtId="165" fontId="28" fillId="0" borderId="0" xfId="10" applyNumberFormat="1" applyFont="1" applyFill="1" applyBorder="1" applyAlignment="1">
      <alignment horizontal="center" vertical="top" wrapText="1"/>
    </xf>
    <xf numFmtId="4" fontId="27" fillId="0" borderId="16" xfId="0" applyFont="1" applyBorder="1" applyAlignment="1">
      <alignment horizontal="left" wrapText="1" indent="1"/>
    </xf>
    <xf numFmtId="168" fontId="27" fillId="0" borderId="17" xfId="5" applyNumberFormat="1" applyFont="1" applyFill="1" applyBorder="1" applyAlignment="1"/>
    <xf numFmtId="4" fontId="27" fillId="0" borderId="9" xfId="0" applyFont="1" applyBorder="1" applyAlignment="1">
      <alignment horizontal="left" wrapText="1" indent="1"/>
    </xf>
    <xf numFmtId="168" fontId="27" fillId="0" borderId="0" xfId="5" applyNumberFormat="1" applyFont="1" applyFill="1" applyBorder="1" applyAlignment="1"/>
    <xf numFmtId="168" fontId="27" fillId="0" borderId="14" xfId="5" applyNumberFormat="1" applyFont="1" applyFill="1" applyBorder="1" applyAlignment="1"/>
    <xf numFmtId="4" fontId="29" fillId="0" borderId="6" xfId="2" applyFont="1" applyBorder="1" applyAlignment="1">
      <alignment horizontal="center" wrapText="1"/>
    </xf>
    <xf numFmtId="4" fontId="29" fillId="0" borderId="7" xfId="2" applyFont="1" applyBorder="1" applyAlignment="1">
      <alignment horizontal="center" wrapText="1"/>
    </xf>
    <xf numFmtId="4" fontId="19" fillId="0" borderId="9" xfId="2" applyFont="1" applyBorder="1" applyAlignment="1">
      <alignment horizontal="center" vertical="center"/>
    </xf>
    <xf numFmtId="4" fontId="30" fillId="0" borderId="12" xfId="0" applyFont="1" applyBorder="1" applyAlignment="1">
      <alignment horizontal="center" vertical="top" wrapText="1"/>
    </xf>
    <xf numFmtId="168" fontId="32" fillId="0" borderId="12" xfId="5" applyNumberFormat="1" applyFont="1" applyFill="1" applyBorder="1" applyAlignment="1"/>
    <xf numFmtId="168" fontId="24" fillId="5" borderId="5" xfId="5" applyNumberFormat="1" applyFont="1" applyFill="1" applyBorder="1" applyAlignment="1">
      <alignment horizontal="center" wrapText="1"/>
    </xf>
    <xf numFmtId="4" fontId="31" fillId="0" borderId="0" xfId="0" applyFont="1"/>
    <xf numFmtId="165" fontId="31" fillId="0" borderId="0" xfId="0" applyNumberFormat="1" applyFont="1"/>
    <xf numFmtId="165" fontId="31" fillId="0" borderId="0" xfId="11" applyFont="1" applyFill="1" applyBorder="1"/>
    <xf numFmtId="4" fontId="28" fillId="0" borderId="0" xfId="0" applyFont="1"/>
    <xf numFmtId="165" fontId="27" fillId="0" borderId="0" xfId="0" applyNumberFormat="1" applyFont="1"/>
    <xf numFmtId="4" fontId="30" fillId="5" borderId="10" xfId="0" applyFont="1" applyFill="1" applyBorder="1" applyAlignment="1">
      <alignment horizontal="center" vertical="top" wrapText="1"/>
    </xf>
    <xf numFmtId="168" fontId="32" fillId="0" borderId="10" xfId="5" applyNumberFormat="1" applyFont="1" applyFill="1" applyBorder="1" applyAlignment="1"/>
    <xf numFmtId="168" fontId="33" fillId="0" borderId="27" xfId="5" applyNumberFormat="1" applyFont="1" applyFill="1" applyBorder="1"/>
    <xf numFmtId="168" fontId="33" fillId="0" borderId="10" xfId="5" applyNumberFormat="1" applyFont="1" applyFill="1" applyBorder="1"/>
    <xf numFmtId="168" fontId="32" fillId="0" borderId="17" xfId="5" applyNumberFormat="1" applyFont="1" applyFill="1" applyBorder="1" applyAlignment="1"/>
    <xf numFmtId="168" fontId="33" fillId="0" borderId="16" xfId="5" applyNumberFormat="1" applyFont="1" applyFill="1" applyBorder="1"/>
    <xf numFmtId="168" fontId="33" fillId="0" borderId="17" xfId="5" applyNumberFormat="1" applyFont="1" applyFill="1" applyBorder="1"/>
    <xf numFmtId="168" fontId="27" fillId="0" borderId="0" xfId="5" applyNumberFormat="1" applyFont="1" applyFill="1" applyBorder="1" applyAlignment="1">
      <alignment horizontal="left"/>
    </xf>
    <xf numFmtId="9" fontId="27" fillId="0" borderId="0" xfId="7" applyFont="1" applyFill="1" applyBorder="1"/>
    <xf numFmtId="168" fontId="33" fillId="0" borderId="12" xfId="0" applyNumberFormat="1" applyFont="1" applyBorder="1"/>
    <xf numFmtId="168" fontId="33" fillId="0" borderId="0" xfId="5" applyNumberFormat="1" applyFont="1" applyFill="1" applyBorder="1"/>
    <xf numFmtId="9" fontId="33" fillId="0" borderId="17" xfId="0" applyNumberFormat="1" applyFont="1" applyBorder="1"/>
    <xf numFmtId="4" fontId="27" fillId="0" borderId="0" xfId="0" applyFont="1" applyAlignment="1">
      <alignment vertical="top"/>
    </xf>
    <xf numFmtId="165" fontId="27" fillId="0" borderId="0" xfId="0" applyNumberFormat="1" applyFont="1" applyAlignment="1">
      <alignment vertical="top"/>
    </xf>
    <xf numFmtId="4" fontId="27" fillId="0" borderId="0" xfId="0" applyFont="1" applyAlignment="1">
      <alignment horizontal="center" vertical="top"/>
    </xf>
    <xf numFmtId="0" fontId="28" fillId="0" borderId="0" xfId="33" applyFont="1" applyBorder="1"/>
    <xf numFmtId="0" fontId="28" fillId="0" borderId="0" xfId="32" applyFont="1"/>
    <xf numFmtId="0" fontId="28" fillId="0" borderId="14" xfId="32" applyFont="1" applyBorder="1"/>
    <xf numFmtId="0" fontId="28" fillId="0" borderId="9" xfId="33" applyFont="1" applyBorder="1" applyAlignment="1">
      <alignment horizontal="left"/>
    </xf>
    <xf numFmtId="0" fontId="27" fillId="0" borderId="0" xfId="33" applyFont="1" applyBorder="1"/>
    <xf numFmtId="170" fontId="28" fillId="0" borderId="14" xfId="14" applyNumberFormat="1" applyFont="1" applyFill="1" applyBorder="1" applyAlignment="1" applyProtection="1">
      <alignment vertical="top"/>
    </xf>
    <xf numFmtId="0" fontId="28" fillId="0" borderId="9" xfId="34" applyFont="1" applyBorder="1" applyAlignment="1">
      <alignment horizontal="left"/>
    </xf>
    <xf numFmtId="0" fontId="28" fillId="0" borderId="0" xfId="34" applyFont="1" applyAlignment="1">
      <alignment horizontal="left"/>
    </xf>
    <xf numFmtId="0" fontId="28" fillId="0" borderId="14" xfId="33" applyFont="1" applyBorder="1"/>
    <xf numFmtId="0" fontId="28" fillId="0" borderId="0" xfId="34" applyFont="1"/>
    <xf numFmtId="165" fontId="27" fillId="0" borderId="0" xfId="11" applyFont="1" applyFill="1" applyBorder="1" applyAlignment="1">
      <alignment vertical="top"/>
    </xf>
    <xf numFmtId="0" fontId="28" fillId="0" borderId="14" xfId="34" applyFont="1" applyBorder="1" applyAlignment="1">
      <alignment horizontal="left"/>
    </xf>
    <xf numFmtId="4" fontId="28" fillId="0" borderId="0" xfId="0" applyFont="1" applyAlignment="1">
      <alignment horizontal="left"/>
    </xf>
    <xf numFmtId="0" fontId="28" fillId="0" borderId="14" xfId="34" applyFont="1" applyBorder="1"/>
    <xf numFmtId="165" fontId="27" fillId="0" borderId="14" xfId="11" applyFont="1" applyFill="1" applyBorder="1" applyAlignment="1">
      <alignment vertical="top"/>
    </xf>
    <xf numFmtId="0" fontId="27" fillId="0" borderId="14" xfId="33" applyFont="1" applyBorder="1"/>
    <xf numFmtId="4" fontId="13" fillId="0" borderId="14" xfId="4" applyFont="1" applyFill="1" applyBorder="1" applyAlignment="1" applyProtection="1">
      <alignment horizontal="center" vertical="center"/>
    </xf>
    <xf numFmtId="10" fontId="14" fillId="0" borderId="14" xfId="2" applyNumberFormat="1" applyFont="1" applyBorder="1" applyAlignment="1">
      <alignment horizontal="center"/>
    </xf>
    <xf numFmtId="4" fontId="8" fillId="3" borderId="7" xfId="2" applyFont="1" applyFill="1" applyBorder="1" applyAlignment="1">
      <alignment horizontal="center" vertical="center" wrapText="1"/>
    </xf>
    <xf numFmtId="0" fontId="34" fillId="0" borderId="0" xfId="35" applyAlignment="1">
      <alignment vertical="top"/>
    </xf>
    <xf numFmtId="0" fontId="34" fillId="6" borderId="5" xfId="35" applyFill="1" applyBorder="1" applyAlignment="1">
      <alignment vertical="top"/>
    </xf>
    <xf numFmtId="4" fontId="0" fillId="0" borderId="0" xfId="0" applyAlignment="1">
      <alignment horizontal="left"/>
    </xf>
    <xf numFmtId="4" fontId="0" fillId="0" borderId="0" xfId="0" applyAlignment="1">
      <alignment wrapText="1"/>
    </xf>
    <xf numFmtId="10" fontId="9" fillId="0" borderId="14" xfId="2" applyNumberFormat="1" applyFont="1" applyBorder="1"/>
    <xf numFmtId="167" fontId="17" fillId="0" borderId="14" xfId="1" applyNumberFormat="1" applyFont="1" applyBorder="1" applyAlignment="1">
      <alignment horizontal="right" wrapText="1"/>
    </xf>
    <xf numFmtId="168" fontId="6" fillId="0" borderId="10" xfId="1" applyNumberFormat="1" applyFont="1" applyFill="1" applyBorder="1" applyAlignment="1">
      <alignment wrapText="1"/>
    </xf>
    <xf numFmtId="168" fontId="6" fillId="0" borderId="17" xfId="1" applyNumberFormat="1" applyFont="1" applyFill="1" applyBorder="1" applyAlignment="1">
      <alignment wrapText="1"/>
    </xf>
    <xf numFmtId="4" fontId="20" fillId="0" borderId="0" xfId="0" applyFont="1" applyAlignment="1">
      <alignment horizontal="left" vertical="top"/>
    </xf>
    <xf numFmtId="4" fontId="18" fillId="5" borderId="5" xfId="0" applyFont="1" applyFill="1" applyBorder="1" applyAlignment="1">
      <alignment horizontal="center" vertical="center" wrapText="1"/>
    </xf>
    <xf numFmtId="4" fontId="18" fillId="5" borderId="17" xfId="0" applyFont="1" applyFill="1" applyBorder="1" applyAlignment="1">
      <alignment horizontal="center" vertical="center" wrapText="1"/>
    </xf>
    <xf numFmtId="167" fontId="6" fillId="3" borderId="17" xfId="2" applyNumberFormat="1" applyFont="1" applyFill="1" applyBorder="1" applyAlignment="1">
      <alignment horizontal="center" vertical="center" wrapText="1"/>
    </xf>
    <xf numFmtId="167" fontId="22" fillId="0" borderId="12" xfId="0" applyNumberFormat="1" applyFont="1" applyBorder="1" applyAlignment="1">
      <alignment horizontal="center" wrapText="1"/>
    </xf>
    <xf numFmtId="168" fontId="0" fillId="0" borderId="0" xfId="1" applyNumberFormat="1" applyFont="1"/>
    <xf numFmtId="168" fontId="0" fillId="0" borderId="0" xfId="0" applyNumberFormat="1"/>
    <xf numFmtId="10" fontId="6" fillId="0" borderId="2" xfId="2" applyNumberFormat="1" applyFont="1" applyBorder="1"/>
    <xf numFmtId="0" fontId="2" fillId="8" borderId="0" xfId="16" applyFont="1" applyFill="1"/>
    <xf numFmtId="0" fontId="1" fillId="8" borderId="0" xfId="16" applyFill="1"/>
    <xf numFmtId="0" fontId="1" fillId="0" borderId="0" xfId="16"/>
    <xf numFmtId="0" fontId="1" fillId="8" borderId="0" xfId="16" applyFill="1" applyAlignment="1">
      <alignment vertical="top"/>
    </xf>
    <xf numFmtId="0" fontId="1" fillId="0" borderId="0" xfId="16" applyAlignment="1">
      <alignment vertical="top"/>
    </xf>
    <xf numFmtId="4" fontId="0" fillId="0" borderId="0" xfId="0" applyAlignment="1">
      <alignment vertical="top"/>
    </xf>
    <xf numFmtId="0" fontId="0" fillId="0" borderId="0" xfId="0" applyNumberFormat="1" applyAlignment="1">
      <alignment vertical="top"/>
    </xf>
    <xf numFmtId="167" fontId="9" fillId="0" borderId="0" xfId="0" applyNumberFormat="1" applyFont="1" applyAlignment="1">
      <alignment horizontal="left"/>
    </xf>
    <xf numFmtId="4" fontId="9" fillId="0" borderId="0" xfId="0" applyFont="1" applyAlignment="1">
      <alignment horizontal="left"/>
    </xf>
    <xf numFmtId="4" fontId="9" fillId="0" borderId="0" xfId="0" applyFont="1"/>
    <xf numFmtId="167" fontId="9" fillId="0" borderId="10" xfId="0" applyNumberFormat="1" applyFont="1" applyBorder="1"/>
    <xf numFmtId="167" fontId="9" fillId="0" borderId="12" xfId="0" applyNumberFormat="1" applyFont="1" applyBorder="1"/>
    <xf numFmtId="167" fontId="9" fillId="0" borderId="17" xfId="0" applyNumberFormat="1" applyFont="1" applyBorder="1"/>
    <xf numFmtId="167" fontId="9" fillId="0" borderId="0" xfId="0" applyNumberFormat="1" applyFont="1"/>
    <xf numFmtId="4" fontId="36" fillId="0" borderId="0" xfId="0" applyFont="1"/>
    <xf numFmtId="167" fontId="9" fillId="0" borderId="9" xfId="0" applyNumberFormat="1" applyFont="1" applyBorder="1"/>
    <xf numFmtId="167" fontId="9" fillId="0" borderId="16" xfId="0" applyNumberFormat="1" applyFont="1" applyBorder="1"/>
    <xf numFmtId="168" fontId="22" fillId="0" borderId="12" xfId="1" applyNumberFormat="1" applyFont="1" applyFill="1" applyBorder="1" applyAlignment="1">
      <alignment horizontal="left" wrapText="1"/>
    </xf>
    <xf numFmtId="167" fontId="22" fillId="0" borderId="12" xfId="1" applyNumberFormat="1" applyFont="1" applyFill="1" applyBorder="1" applyAlignment="1">
      <alignment horizontal="left" wrapText="1"/>
    </xf>
    <xf numFmtId="3" fontId="2" fillId="0" borderId="0" xfId="0" applyNumberFormat="1" applyFont="1" applyAlignment="1">
      <alignment horizontal="center" vertical="center"/>
    </xf>
    <xf numFmtId="3" fontId="0" fillId="0" borderId="0" xfId="0" applyNumberFormat="1" applyAlignment="1">
      <alignment horizontal="center" vertical="center"/>
    </xf>
    <xf numFmtId="3" fontId="0" fillId="0" borderId="0" xfId="0" applyNumberFormat="1" applyAlignment="1">
      <alignment horizontal="center" vertical="center" wrapText="1"/>
    </xf>
    <xf numFmtId="3" fontId="0" fillId="0" borderId="0" xfId="1" applyNumberFormat="1" applyFont="1" applyAlignment="1">
      <alignment horizontal="center" vertical="center"/>
    </xf>
    <xf numFmtId="3" fontId="0" fillId="0" borderId="0" xfId="0" pivotButton="1" applyNumberFormat="1" applyAlignment="1">
      <alignment horizontal="center" vertical="center"/>
    </xf>
    <xf numFmtId="168" fontId="34" fillId="0" borderId="0" xfId="1" applyNumberFormat="1" applyFont="1" applyAlignment="1">
      <alignment vertical="top"/>
    </xf>
    <xf numFmtId="168" fontId="4" fillId="0" borderId="0" xfId="1" applyNumberFormat="1" applyFont="1" applyAlignment="1">
      <alignment vertical="top"/>
    </xf>
    <xf numFmtId="168" fontId="34" fillId="6" borderId="5" xfId="1" applyNumberFormat="1" applyFont="1" applyFill="1" applyBorder="1" applyAlignment="1">
      <alignment vertical="top"/>
    </xf>
    <xf numFmtId="168" fontId="34" fillId="6" borderId="5" xfId="1" applyNumberFormat="1" applyFont="1" applyFill="1" applyBorder="1" applyAlignment="1">
      <alignment vertical="top" wrapText="1"/>
    </xf>
    <xf numFmtId="168" fontId="4" fillId="6" borderId="5" xfId="1" applyNumberFormat="1" applyFont="1" applyFill="1" applyBorder="1" applyAlignment="1">
      <alignment vertical="top"/>
    </xf>
    <xf numFmtId="168" fontId="1" fillId="8" borderId="0" xfId="1" applyNumberFormat="1" applyFill="1"/>
    <xf numFmtId="168" fontId="1" fillId="8" borderId="0" xfId="1" applyNumberFormat="1" applyFill="1" applyAlignment="1">
      <alignment vertical="top"/>
    </xf>
    <xf numFmtId="0" fontId="37" fillId="0" borderId="0" xfId="35" applyFont="1" applyAlignment="1">
      <alignment vertical="top"/>
    </xf>
    <xf numFmtId="168" fontId="37" fillId="0" borderId="0" xfId="1" applyNumberFormat="1" applyFont="1" applyAlignment="1">
      <alignment vertical="top"/>
    </xf>
    <xf numFmtId="4" fontId="20" fillId="0" borderId="12" xfId="0" applyFont="1" applyBorder="1" applyAlignment="1">
      <alignment horizontal="left" vertical="top"/>
    </xf>
    <xf numFmtId="168" fontId="22" fillId="0" borderId="9" xfId="1" applyNumberFormat="1" applyFont="1" applyBorder="1" applyAlignment="1">
      <alignment horizontal="left" wrapText="1"/>
    </xf>
    <xf numFmtId="168" fontId="0" fillId="0" borderId="0" xfId="1" applyNumberFormat="1" applyFont="1" applyFill="1" applyAlignment="1">
      <alignment vertical="top"/>
    </xf>
    <xf numFmtId="165" fontId="0" fillId="0" borderId="0" xfId="36" applyFont="1" applyFill="1" applyAlignment="1">
      <alignment vertical="top"/>
    </xf>
    <xf numFmtId="168" fontId="0" fillId="0" borderId="0" xfId="13" applyNumberFormat="1" applyFont="1" applyFill="1" applyBorder="1" applyAlignment="1">
      <alignment horizontal="right" vertical="top"/>
    </xf>
    <xf numFmtId="168" fontId="0" fillId="0" borderId="0" xfId="1" applyNumberFormat="1" applyFont="1" applyFill="1"/>
    <xf numFmtId="168" fontId="1" fillId="0" borderId="0" xfId="1" applyNumberFormat="1" applyFont="1" applyFill="1"/>
    <xf numFmtId="168" fontId="1" fillId="0" borderId="0" xfId="1" applyNumberFormat="1" applyFont="1" applyFill="1" applyAlignment="1">
      <alignment vertical="top"/>
    </xf>
    <xf numFmtId="165" fontId="1" fillId="0" borderId="0" xfId="36" applyFont="1" applyFill="1" applyAlignment="1">
      <alignment vertical="top"/>
    </xf>
    <xf numFmtId="4" fontId="0" fillId="0" borderId="5" xfId="0" applyBorder="1"/>
    <xf numFmtId="1" fontId="0" fillId="0" borderId="5" xfId="0" applyNumberFormat="1" applyBorder="1" applyAlignment="1">
      <alignment horizontal="left"/>
    </xf>
    <xf numFmtId="168" fontId="39" fillId="9" borderId="5" xfId="1" applyNumberFormat="1" applyFont="1" applyFill="1" applyBorder="1"/>
    <xf numFmtId="168" fontId="0" fillId="0" borderId="5" xfId="1" applyNumberFormat="1" applyFont="1" applyBorder="1"/>
    <xf numFmtId="168" fontId="0" fillId="0" borderId="5" xfId="1" applyNumberFormat="1" applyFont="1" applyBorder="1" applyAlignment="1">
      <alignment wrapText="1"/>
    </xf>
    <xf numFmtId="168" fontId="0" fillId="0" borderId="0" xfId="1" applyNumberFormat="1" applyFont="1" applyAlignment="1">
      <alignment wrapText="1"/>
    </xf>
    <xf numFmtId="4" fontId="39" fillId="9" borderId="5" xfId="0" applyFont="1" applyFill="1" applyBorder="1" applyAlignment="1">
      <alignment vertical="top"/>
    </xf>
    <xf numFmtId="168" fontId="39" fillId="9" borderId="5" xfId="1" applyNumberFormat="1" applyFont="1" applyFill="1" applyBorder="1" applyAlignment="1">
      <alignment vertical="top" wrapText="1"/>
    </xf>
    <xf numFmtId="0" fontId="39" fillId="9" borderId="5" xfId="15" applyFont="1" applyFill="1" applyBorder="1"/>
    <xf numFmtId="0" fontId="1" fillId="0" borderId="5" xfId="15" applyBorder="1"/>
    <xf numFmtId="0" fontId="0" fillId="0" borderId="5" xfId="15" applyFont="1" applyBorder="1"/>
    <xf numFmtId="0" fontId="40" fillId="0" borderId="0" xfId="31" applyFont="1"/>
    <xf numFmtId="0" fontId="1" fillId="0" borderId="0" xfId="31"/>
    <xf numFmtId="0" fontId="2" fillId="0" borderId="5" xfId="31" applyFont="1" applyBorder="1" applyAlignment="1">
      <alignment horizontal="center" vertical="center" wrapText="1"/>
    </xf>
    <xf numFmtId="0" fontId="1" fillId="0" borderId="5" xfId="31" applyBorder="1"/>
    <xf numFmtId="167" fontId="0" fillId="0" borderId="5" xfId="9" applyNumberFormat="1" applyFont="1" applyBorder="1"/>
    <xf numFmtId="0" fontId="2" fillId="0" borderId="5" xfId="31" applyFont="1" applyBorder="1"/>
    <xf numFmtId="167" fontId="2" fillId="0" borderId="5" xfId="9" applyNumberFormat="1" applyFont="1" applyBorder="1"/>
    <xf numFmtId="0" fontId="2" fillId="7" borderId="5" xfId="31" applyFont="1" applyFill="1" applyBorder="1"/>
    <xf numFmtId="167" fontId="2" fillId="7" borderId="5" xfId="9" applyNumberFormat="1" applyFont="1" applyFill="1" applyBorder="1"/>
    <xf numFmtId="167" fontId="2" fillId="0" borderId="5" xfId="9" applyNumberFormat="1" applyFont="1" applyFill="1" applyBorder="1"/>
    <xf numFmtId="0" fontId="0" fillId="0" borderId="5" xfId="31" applyFont="1" applyBorder="1"/>
    <xf numFmtId="167" fontId="1" fillId="0" borderId="5" xfId="31" applyNumberFormat="1" applyBorder="1"/>
    <xf numFmtId="167" fontId="2" fillId="0" borderId="5" xfId="31" applyNumberFormat="1" applyFont="1" applyBorder="1"/>
    <xf numFmtId="0" fontId="38" fillId="9" borderId="5" xfId="31" applyFont="1" applyFill="1" applyBorder="1" applyAlignment="1">
      <alignment horizontal="center" vertical="center" wrapText="1"/>
    </xf>
    <xf numFmtId="17" fontId="38" fillId="9" borderId="5" xfId="31" applyNumberFormat="1" applyFont="1" applyFill="1" applyBorder="1" applyAlignment="1">
      <alignment horizontal="center" vertical="center" wrapText="1"/>
    </xf>
    <xf numFmtId="4" fontId="9" fillId="0" borderId="0" xfId="2" applyFont="1"/>
    <xf numFmtId="4" fontId="6" fillId="0" borderId="0" xfId="2" applyFont="1"/>
    <xf numFmtId="167" fontId="22" fillId="0" borderId="14" xfId="1" applyNumberFormat="1" applyFont="1" applyFill="1" applyBorder="1" applyAlignment="1">
      <alignment horizontal="right" wrapText="1"/>
    </xf>
    <xf numFmtId="167" fontId="22" fillId="0" borderId="10" xfId="1" applyNumberFormat="1" applyFont="1" applyBorder="1" applyAlignment="1">
      <alignment horizontal="right" wrapText="1"/>
    </xf>
    <xf numFmtId="0" fontId="1" fillId="0" borderId="5" xfId="31" applyBorder="1" applyAlignment="1">
      <alignment horizontal="left" vertical="center" wrapText="1"/>
    </xf>
    <xf numFmtId="0" fontId="0" fillId="0" borderId="5" xfId="31" applyFont="1" applyBorder="1" applyAlignment="1">
      <alignment horizontal="left" vertical="center" wrapText="1"/>
    </xf>
    <xf numFmtId="0" fontId="41" fillId="0" borderId="5" xfId="31" applyFont="1" applyBorder="1" applyAlignment="1">
      <alignment horizontal="left" vertical="center" wrapText="1"/>
    </xf>
    <xf numFmtId="4" fontId="42" fillId="0" borderId="0" xfId="0" applyFont="1" applyAlignment="1">
      <alignment vertical="center"/>
    </xf>
    <xf numFmtId="4" fontId="43" fillId="0" borderId="0" xfId="0" applyFont="1" applyAlignment="1">
      <alignment vertical="center"/>
    </xf>
    <xf numFmtId="4" fontId="42" fillId="0" borderId="5" xfId="0" applyFont="1" applyBorder="1" applyAlignment="1">
      <alignment vertical="center"/>
    </xf>
    <xf numFmtId="168" fontId="42" fillId="0" borderId="5" xfId="1" applyNumberFormat="1" applyFont="1" applyBorder="1" applyAlignment="1">
      <alignment vertical="center"/>
    </xf>
    <xf numFmtId="168" fontId="42" fillId="0" borderId="5" xfId="1" applyNumberFormat="1" applyFont="1" applyBorder="1"/>
    <xf numFmtId="4" fontId="42" fillId="0" borderId="5" xfId="0" applyFont="1" applyBorder="1"/>
    <xf numFmtId="168" fontId="42" fillId="10" borderId="5" xfId="1" applyNumberFormat="1" applyFont="1" applyFill="1" applyBorder="1"/>
    <xf numFmtId="168" fontId="44" fillId="0" borderId="0" xfId="1" applyNumberFormat="1" applyFont="1" applyBorder="1" applyAlignment="1">
      <alignment vertical="center"/>
    </xf>
    <xf numFmtId="168" fontId="46" fillId="0" borderId="5" xfId="1" applyNumberFormat="1" applyFont="1" applyBorder="1" applyAlignment="1">
      <alignment vertical="center"/>
    </xf>
    <xf numFmtId="0" fontId="45" fillId="0" borderId="5" xfId="31" applyFont="1" applyBorder="1"/>
    <xf numFmtId="1" fontId="0" fillId="0" borderId="0" xfId="0" applyNumberFormat="1"/>
    <xf numFmtId="4" fontId="41" fillId="0" borderId="0" xfId="0" applyFont="1"/>
    <xf numFmtId="167" fontId="0" fillId="0" borderId="0" xfId="0" applyNumberFormat="1"/>
    <xf numFmtId="167" fontId="41" fillId="0" borderId="0" xfId="0" applyNumberFormat="1" applyFont="1"/>
    <xf numFmtId="171" fontId="22" fillId="0" borderId="12" xfId="1" applyNumberFormat="1" applyFont="1" applyBorder="1" applyAlignment="1">
      <alignment horizontal="left" wrapText="1"/>
    </xf>
    <xf numFmtId="172" fontId="22" fillId="0" borderId="12" xfId="0" applyNumberFormat="1" applyFont="1" applyBorder="1" applyAlignment="1">
      <alignment horizontal="left" wrapText="1"/>
    </xf>
    <xf numFmtId="171" fontId="20" fillId="0" borderId="12" xfId="1" applyNumberFormat="1" applyFont="1" applyBorder="1" applyAlignment="1">
      <alignment horizontal="left" wrapText="1"/>
    </xf>
    <xf numFmtId="0" fontId="34" fillId="0" borderId="5" xfId="35" applyBorder="1" applyAlignment="1">
      <alignment vertical="top"/>
    </xf>
    <xf numFmtId="168" fontId="34" fillId="0" borderId="5" xfId="1" applyNumberFormat="1" applyFont="1" applyFill="1" applyBorder="1" applyAlignment="1">
      <alignment horizontal="right" vertical="top"/>
    </xf>
    <xf numFmtId="168" fontId="4" fillId="0" borderId="5" xfId="1" applyNumberFormat="1" applyFont="1" applyFill="1" applyBorder="1" applyAlignment="1">
      <alignment horizontal="right" vertical="top"/>
    </xf>
    <xf numFmtId="0" fontId="4" fillId="0" borderId="5" xfId="35" applyFont="1" applyBorder="1" applyAlignment="1">
      <alignment vertical="top"/>
    </xf>
    <xf numFmtId="168" fontId="0" fillId="0" borderId="5" xfId="1" applyNumberFormat="1" applyFont="1" applyFill="1" applyBorder="1"/>
    <xf numFmtId="0" fontId="34" fillId="0" borderId="5" xfId="35" applyBorder="1" applyAlignment="1">
      <alignment horizontal="left" vertical="top"/>
    </xf>
    <xf numFmtId="0" fontId="0" fillId="0" borderId="5" xfId="0" applyNumberFormat="1" applyBorder="1" applyAlignment="1">
      <alignment horizontal="left" vertical="top"/>
    </xf>
    <xf numFmtId="4" fontId="44" fillId="0" borderId="0" xfId="0" applyFont="1" applyAlignment="1">
      <alignment vertical="center"/>
    </xf>
    <xf numFmtId="174" fontId="49" fillId="9" borderId="5" xfId="1" applyNumberFormat="1" applyFont="1" applyFill="1" applyBorder="1" applyAlignment="1">
      <alignment horizontal="center" vertical="center" wrapText="1"/>
    </xf>
    <xf numFmtId="168" fontId="49" fillId="9" borderId="5" xfId="1" applyNumberFormat="1" applyFont="1" applyFill="1" applyBorder="1" applyAlignment="1">
      <alignment horizontal="center" vertical="center" wrapText="1"/>
    </xf>
    <xf numFmtId="168" fontId="2" fillId="0" borderId="5" xfId="1" applyNumberFormat="1" applyFont="1" applyBorder="1" applyAlignment="1">
      <alignment horizontal="center" vertical="center" wrapText="1"/>
    </xf>
    <xf numFmtId="168" fontId="1" fillId="0" borderId="5" xfId="1" applyNumberFormat="1" applyFont="1" applyBorder="1" applyAlignment="1">
      <alignment horizontal="center" vertical="center" wrapText="1"/>
    </xf>
    <xf numFmtId="0" fontId="2" fillId="0" borderId="5" xfId="31" applyFont="1" applyBorder="1" applyAlignment="1">
      <alignment horizontal="left" vertical="center" wrapText="1"/>
    </xf>
    <xf numFmtId="167" fontId="1" fillId="0" borderId="5" xfId="9" applyNumberFormat="1" applyFont="1" applyFill="1" applyBorder="1"/>
    <xf numFmtId="173" fontId="46" fillId="0" borderId="5" xfId="0" applyNumberFormat="1" applyFont="1" applyBorder="1" applyAlignment="1">
      <alignment horizontal="right" vertical="center"/>
    </xf>
    <xf numFmtId="14" fontId="0" fillId="0" borderId="5" xfId="0" applyNumberFormat="1" applyBorder="1"/>
    <xf numFmtId="168" fontId="0" fillId="0" borderId="5" xfId="0" applyNumberFormat="1" applyBorder="1"/>
    <xf numFmtId="43" fontId="46" fillId="0" borderId="5" xfId="1" applyFont="1" applyBorder="1" applyAlignment="1">
      <alignment vertical="center"/>
    </xf>
    <xf numFmtId="43" fontId="49" fillId="9" borderId="5" xfId="1" applyFont="1" applyFill="1" applyBorder="1" applyAlignment="1">
      <alignment horizontal="center" vertical="center" wrapText="1"/>
    </xf>
    <xf numFmtId="0" fontId="50" fillId="0" borderId="0" xfId="31" applyFont="1"/>
    <xf numFmtId="10" fontId="42" fillId="0" borderId="0" xfId="0" applyNumberFormat="1" applyFont="1" applyAlignment="1">
      <alignment vertical="center"/>
    </xf>
    <xf numFmtId="0" fontId="39" fillId="9" borderId="5" xfId="15" applyFont="1" applyFill="1" applyBorder="1" applyAlignment="1">
      <alignment horizontal="center" vertical="center"/>
    </xf>
    <xf numFmtId="168" fontId="39" fillId="9" borderId="5" xfId="1" applyNumberFormat="1" applyFont="1" applyFill="1" applyBorder="1" applyAlignment="1">
      <alignment horizontal="center" vertical="center"/>
    </xf>
    <xf numFmtId="168" fontId="39" fillId="9" borderId="5" xfId="1" applyNumberFormat="1" applyFont="1" applyFill="1" applyBorder="1" applyAlignment="1">
      <alignment horizontal="center" vertical="center" wrapText="1"/>
    </xf>
    <xf numFmtId="10" fontId="0" fillId="0" borderId="0" xfId="1" applyNumberFormat="1" applyFont="1" applyAlignment="1">
      <alignment wrapText="1"/>
    </xf>
    <xf numFmtId="4" fontId="29" fillId="2" borderId="5" xfId="0" applyFont="1" applyFill="1" applyBorder="1" applyAlignment="1">
      <alignment horizontal="center" vertical="center" wrapText="1"/>
    </xf>
    <xf numFmtId="168" fontId="24" fillId="11" borderId="5" xfId="0" applyNumberFormat="1" applyFont="1" applyFill="1" applyBorder="1" applyAlignment="1">
      <alignment horizontal="center" wrapText="1"/>
    </xf>
    <xf numFmtId="168" fontId="32" fillId="0" borderId="0" xfId="0" applyNumberFormat="1" applyFont="1" applyAlignment="1">
      <alignment horizontal="left"/>
    </xf>
    <xf numFmtId="4" fontId="31" fillId="0" borderId="27" xfId="0" applyFont="1" applyBorder="1" applyAlignment="1">
      <alignment horizontal="left" vertical="top"/>
    </xf>
    <xf numFmtId="168" fontId="33" fillId="0" borderId="21" xfId="0" applyNumberFormat="1" applyFont="1" applyBorder="1" applyAlignment="1">
      <alignment horizontal="center"/>
    </xf>
    <xf numFmtId="168" fontId="33" fillId="0" borderId="26" xfId="0" applyNumberFormat="1" applyFont="1" applyBorder="1" applyAlignment="1">
      <alignment horizontal="center"/>
    </xf>
    <xf numFmtId="4" fontId="31" fillId="0" borderId="9" xfId="0" applyFont="1" applyBorder="1" applyAlignment="1">
      <alignment horizontal="left" vertical="top"/>
    </xf>
    <xf numFmtId="168" fontId="31" fillId="0" borderId="0" xfId="0" applyNumberFormat="1" applyFont="1" applyAlignment="1">
      <alignment horizontal="left"/>
    </xf>
    <xf numFmtId="168" fontId="32" fillId="0" borderId="0" xfId="0" applyNumberFormat="1" applyFont="1"/>
    <xf numFmtId="168" fontId="32" fillId="0" borderId="14" xfId="0" applyNumberFormat="1" applyFont="1" applyBorder="1"/>
    <xf numFmtId="4" fontId="32" fillId="0" borderId="9" xfId="0" applyFont="1" applyBorder="1" applyAlignment="1">
      <alignment horizontal="left" vertical="top"/>
    </xf>
    <xf numFmtId="168" fontId="33" fillId="0" borderId="0" xfId="0" applyNumberFormat="1" applyFont="1"/>
    <xf numFmtId="168" fontId="33" fillId="0" borderId="14" xfId="0" applyNumberFormat="1" applyFont="1" applyBorder="1"/>
    <xf numFmtId="4" fontId="30" fillId="11" borderId="5" xfId="0" applyFont="1" applyFill="1" applyBorder="1" applyAlignment="1">
      <alignment horizontal="center" vertical="top" wrapText="1"/>
    </xf>
    <xf numFmtId="4" fontId="33" fillId="0" borderId="10" xfId="0" applyFont="1" applyBorder="1"/>
    <xf numFmtId="168" fontId="33" fillId="0" borderId="10" xfId="0" applyNumberFormat="1" applyFont="1" applyBorder="1"/>
    <xf numFmtId="4" fontId="39" fillId="12" borderId="5" xfId="0" applyFont="1" applyFill="1" applyBorder="1" applyAlignment="1">
      <alignment vertical="top" wrapText="1"/>
    </xf>
    <xf numFmtId="168" fontId="39" fillId="12" borderId="5" xfId="0" applyNumberFormat="1" applyFont="1" applyFill="1" applyBorder="1" applyAlignment="1">
      <alignment wrapText="1"/>
    </xf>
    <xf numFmtId="4" fontId="33" fillId="0" borderId="12" xfId="0" applyFont="1" applyBorder="1"/>
    <xf numFmtId="4" fontId="33" fillId="0" borderId="17" xfId="0" applyFont="1" applyBorder="1"/>
    <xf numFmtId="168" fontId="33" fillId="0" borderId="17" xfId="0" applyNumberFormat="1" applyFont="1" applyBorder="1"/>
    <xf numFmtId="4" fontId="24" fillId="11" borderId="5" xfId="0" applyFont="1" applyFill="1" applyBorder="1" applyAlignment="1">
      <alignment horizontal="center" vertical="top" wrapText="1"/>
    </xf>
    <xf numFmtId="4" fontId="33" fillId="0" borderId="9" xfId="0" applyFont="1" applyBorder="1"/>
    <xf numFmtId="4" fontId="31" fillId="0" borderId="0" xfId="0" applyFont="1" applyAlignment="1">
      <alignment horizontal="center" vertical="top"/>
    </xf>
    <xf numFmtId="168" fontId="31" fillId="0" borderId="0" xfId="0" applyNumberFormat="1" applyFont="1"/>
    <xf numFmtId="4" fontId="31" fillId="0" borderId="0" xfId="0" applyFont="1" applyAlignment="1">
      <alignment horizontal="left" vertical="top"/>
    </xf>
    <xf numFmtId="171" fontId="22" fillId="0" borderId="12" xfId="0" applyNumberFormat="1" applyFont="1" applyBorder="1" applyAlignment="1">
      <alignment horizontal="left" wrapText="1"/>
    </xf>
    <xf numFmtId="168" fontId="6" fillId="0" borderId="5" xfId="1" applyNumberFormat="1" applyFont="1" applyBorder="1" applyAlignment="1"/>
    <xf numFmtId="4" fontId="7" fillId="0" borderId="0" xfId="0" applyFont="1"/>
    <xf numFmtId="167" fontId="20" fillId="5" borderId="5" xfId="0" applyNumberFormat="1" applyFont="1" applyFill="1" applyBorder="1" applyAlignment="1">
      <alignment horizontal="center" wrapText="1"/>
    </xf>
    <xf numFmtId="168" fontId="6" fillId="3" borderId="5" xfId="2" applyNumberFormat="1" applyFont="1" applyFill="1" applyBorder="1" applyAlignment="1">
      <alignment horizontal="center" vertical="center" wrapText="1"/>
    </xf>
    <xf numFmtId="168" fontId="20" fillId="0" borderId="12" xfId="0" applyNumberFormat="1" applyFont="1" applyBorder="1" applyAlignment="1">
      <alignment horizontal="center" wrapText="1"/>
    </xf>
    <xf numFmtId="168" fontId="20" fillId="0" borderId="12" xfId="0" applyNumberFormat="1" applyFont="1" applyBorder="1" applyAlignment="1">
      <alignment wrapText="1"/>
    </xf>
    <xf numFmtId="168" fontId="22" fillId="0" borderId="12" xfId="1" applyNumberFormat="1" applyFont="1" applyBorder="1" applyAlignment="1">
      <alignment horizontal="right" wrapText="1"/>
    </xf>
    <xf numFmtId="168" fontId="22" fillId="0" borderId="12" xfId="1" applyNumberFormat="1" applyFont="1" applyFill="1" applyBorder="1" applyAlignment="1">
      <alignment horizontal="right" wrapText="1"/>
    </xf>
    <xf numFmtId="168" fontId="22" fillId="0" borderId="12" xfId="0" applyNumberFormat="1" applyFont="1" applyBorder="1" applyAlignment="1">
      <alignment horizontal="left" vertical="top"/>
    </xf>
    <xf numFmtId="168" fontId="20" fillId="5" borderId="5" xfId="1" applyNumberFormat="1" applyFont="1" applyFill="1" applyBorder="1" applyAlignment="1">
      <alignment horizontal="right" wrapText="1"/>
    </xf>
    <xf numFmtId="168" fontId="22" fillId="0" borderId="12" xfId="0" applyNumberFormat="1" applyFont="1" applyBorder="1" applyAlignment="1">
      <alignment horizontal="center" wrapText="1"/>
    </xf>
    <xf numFmtId="168" fontId="23" fillId="0" borderId="12" xfId="0" applyNumberFormat="1" applyFont="1" applyBorder="1" applyAlignment="1">
      <alignment horizontal="left" wrapText="1"/>
    </xf>
    <xf numFmtId="168" fontId="22" fillId="0" borderId="12" xfId="0" applyNumberFormat="1" applyFont="1" applyBorder="1" applyAlignment="1">
      <alignment horizontal="left" wrapText="1"/>
    </xf>
    <xf numFmtId="168" fontId="20" fillId="0" borderId="12" xfId="0" applyNumberFormat="1" applyFont="1" applyBorder="1" applyAlignment="1">
      <alignment vertical="top" wrapText="1"/>
    </xf>
    <xf numFmtId="168" fontId="20" fillId="0" borderId="12" xfId="0" applyNumberFormat="1" applyFont="1" applyBorder="1" applyAlignment="1">
      <alignment horizontal="left" vertical="top"/>
    </xf>
    <xf numFmtId="168" fontId="20" fillId="0" borderId="12" xfId="0" applyNumberFormat="1" applyFont="1" applyBorder="1" applyAlignment="1">
      <alignment horizontal="left" wrapText="1"/>
    </xf>
    <xf numFmtId="168" fontId="6" fillId="0" borderId="12" xfId="2" applyNumberFormat="1" applyFont="1" applyBorder="1" applyAlignment="1">
      <alignment horizontal="center" vertical="center" wrapText="1"/>
    </xf>
    <xf numFmtId="168" fontId="9" fillId="0" borderId="0" xfId="0" applyNumberFormat="1" applyFont="1"/>
    <xf numFmtId="168" fontId="22" fillId="0" borderId="10" xfId="0" applyNumberFormat="1" applyFont="1" applyBorder="1" applyAlignment="1">
      <alignment horizontal="left" wrapText="1"/>
    </xf>
    <xf numFmtId="168" fontId="22" fillId="0" borderId="12" xfId="1" applyNumberFormat="1" applyFont="1" applyBorder="1" applyAlignment="1">
      <alignment wrapText="1"/>
    </xf>
    <xf numFmtId="168" fontId="22" fillId="0" borderId="9" xfId="0" applyNumberFormat="1" applyFont="1" applyBorder="1" applyAlignment="1">
      <alignment wrapText="1"/>
    </xf>
    <xf numFmtId="168" fontId="22" fillId="0" borderId="17" xfId="0" applyNumberFormat="1" applyFont="1" applyBorder="1" applyAlignment="1">
      <alignment horizontal="left" wrapText="1"/>
    </xf>
    <xf numFmtId="168" fontId="22" fillId="0" borderId="0" xfId="0" applyNumberFormat="1" applyFont="1" applyAlignment="1">
      <alignment horizontal="left" vertical="top"/>
    </xf>
    <xf numFmtId="168" fontId="22" fillId="0" borderId="9" xfId="5" applyNumberFormat="1" applyFont="1" applyFill="1" applyBorder="1" applyAlignment="1">
      <alignment horizontal="left" wrapText="1"/>
    </xf>
    <xf numFmtId="168" fontId="20" fillId="0" borderId="5" xfId="5" applyNumberFormat="1" applyFont="1" applyFill="1" applyBorder="1" applyAlignment="1">
      <alignment horizontal="center" wrapText="1"/>
    </xf>
    <xf numFmtId="168" fontId="20" fillId="0" borderId="10" xfId="5" applyNumberFormat="1" applyFont="1" applyBorder="1" applyAlignment="1">
      <alignment horizontal="left" wrapText="1"/>
    </xf>
    <xf numFmtId="168" fontId="22" fillId="0" borderId="17" xfId="5" applyNumberFormat="1" applyFont="1" applyBorder="1" applyAlignment="1">
      <alignment horizontal="left" wrapText="1"/>
    </xf>
    <xf numFmtId="168" fontId="22" fillId="0" borderId="12" xfId="0" applyNumberFormat="1" applyFont="1" applyBorder="1" applyAlignment="1">
      <alignment wrapText="1"/>
    </xf>
    <xf numFmtId="168" fontId="47" fillId="0" borderId="0" xfId="0" applyNumberFormat="1" applyFont="1"/>
    <xf numFmtId="4" fontId="42" fillId="7" borderId="5" xfId="0" applyFont="1" applyFill="1" applyBorder="1" applyAlignment="1">
      <alignment vertical="center"/>
    </xf>
    <xf numFmtId="175" fontId="51" fillId="10" borderId="5" xfId="0" applyNumberFormat="1" applyFont="1" applyFill="1" applyBorder="1" applyAlignment="1">
      <alignment horizontal="center" vertical="center" readingOrder="1"/>
    </xf>
    <xf numFmtId="4" fontId="51" fillId="0" borderId="5" xfId="0" applyFont="1" applyBorder="1" applyAlignment="1">
      <alignment horizontal="center" vertical="center" readingOrder="1"/>
    </xf>
    <xf numFmtId="4" fontId="51" fillId="0" borderId="5" xfId="0" applyFont="1" applyBorder="1" applyAlignment="1">
      <alignment horizontal="center" vertical="center" wrapText="1" readingOrder="1"/>
    </xf>
    <xf numFmtId="168" fontId="51" fillId="0" borderId="5" xfId="1" applyNumberFormat="1" applyFont="1" applyBorder="1" applyAlignment="1">
      <alignment horizontal="center" vertical="center" readingOrder="1"/>
    </xf>
    <xf numFmtId="168" fontId="51" fillId="13" borderId="5" xfId="1" applyNumberFormat="1" applyFont="1" applyFill="1" applyBorder="1" applyAlignment="1">
      <alignment horizontal="center" vertical="center" readingOrder="1"/>
    </xf>
    <xf numFmtId="4" fontId="52" fillId="0" borderId="5" xfId="0" applyFont="1" applyBorder="1"/>
    <xf numFmtId="4" fontId="52" fillId="0" borderId="0" xfId="0" applyFont="1"/>
    <xf numFmtId="175" fontId="53" fillId="10" borderId="5" xfId="0" applyNumberFormat="1" applyFont="1" applyFill="1" applyBorder="1" applyAlignment="1">
      <alignment horizontal="center" vertical="center" readingOrder="1"/>
    </xf>
    <xf numFmtId="4" fontId="53" fillId="0" borderId="5" xfId="0" applyFont="1" applyBorder="1" applyAlignment="1">
      <alignment vertical="center" readingOrder="1"/>
    </xf>
    <xf numFmtId="4" fontId="53" fillId="0" borderId="5" xfId="0" applyFont="1" applyBorder="1" applyAlignment="1">
      <alignment horizontal="center" vertical="center" readingOrder="1"/>
    </xf>
    <xf numFmtId="4" fontId="53" fillId="0" borderId="5" xfId="0" applyFont="1" applyBorder="1" applyAlignment="1">
      <alignment horizontal="left" vertical="center" readingOrder="1"/>
    </xf>
    <xf numFmtId="168" fontId="53" fillId="0" borderId="5" xfId="1" applyNumberFormat="1" applyFont="1" applyBorder="1" applyAlignment="1">
      <alignment vertical="center" readingOrder="1"/>
    </xf>
    <xf numFmtId="168" fontId="53" fillId="13" borderId="5" xfId="1" applyNumberFormat="1" applyFont="1" applyFill="1" applyBorder="1" applyAlignment="1">
      <alignment vertical="center" readingOrder="1"/>
    </xf>
    <xf numFmtId="168" fontId="53" fillId="0" borderId="5" xfId="1" applyNumberFormat="1" applyFont="1" applyBorder="1" applyAlignment="1">
      <alignment horizontal="right" vertical="center" readingOrder="1"/>
    </xf>
    <xf numFmtId="168" fontId="51" fillId="0" borderId="5" xfId="1" applyNumberFormat="1" applyFont="1" applyBorder="1" applyAlignment="1">
      <alignment horizontal="right" vertical="center" readingOrder="1"/>
    </xf>
    <xf numFmtId="167" fontId="22" fillId="0" borderId="9" xfId="1" applyNumberFormat="1" applyFont="1" applyBorder="1" applyAlignment="1">
      <alignment horizontal="right" vertical="top" wrapText="1"/>
    </xf>
    <xf numFmtId="4" fontId="20" fillId="0" borderId="9" xfId="0" applyFont="1" applyBorder="1" applyAlignment="1">
      <alignment horizontal="center" wrapText="1"/>
    </xf>
    <xf numFmtId="168" fontId="22" fillId="0" borderId="9" xfId="0" applyNumberFormat="1" applyFont="1" applyBorder="1" applyAlignment="1">
      <alignment horizontal="center" wrapText="1"/>
    </xf>
    <xf numFmtId="167" fontId="22" fillId="0" borderId="9" xfId="0" applyNumberFormat="1" applyFont="1" applyBorder="1" applyAlignment="1">
      <alignment horizontal="center" wrapText="1"/>
    </xf>
    <xf numFmtId="4" fontId="23" fillId="0" borderId="9" xfId="0" applyFont="1" applyBorder="1" applyAlignment="1">
      <alignment horizontal="left" wrapText="1"/>
    </xf>
    <xf numFmtId="4" fontId="0" fillId="0" borderId="0" xfId="0" pivotButton="1"/>
    <xf numFmtId="1" fontId="0" fillId="14" borderId="5" xfId="0" applyNumberFormat="1" applyFill="1" applyBorder="1" applyAlignment="1">
      <alignment horizontal="left"/>
    </xf>
    <xf numFmtId="168" fontId="0" fillId="14" borderId="5" xfId="1" applyNumberFormat="1" applyFont="1" applyFill="1" applyBorder="1" applyAlignment="1">
      <alignment wrapText="1"/>
    </xf>
    <xf numFmtId="4" fontId="0" fillId="14" borderId="0" xfId="0" applyFill="1"/>
    <xf numFmtId="168" fontId="3" fillId="0" borderId="0" xfId="1" applyNumberFormat="1" applyFont="1" applyFill="1"/>
    <xf numFmtId="168" fontId="22" fillId="0" borderId="12" xfId="0" applyNumberFormat="1" applyFont="1" applyBorder="1" applyAlignment="1">
      <alignment horizontal="right" wrapText="1"/>
    </xf>
    <xf numFmtId="3" fontId="22" fillId="0" borderId="12" xfId="0" applyNumberFormat="1" applyFont="1" applyBorder="1" applyAlignment="1">
      <alignment horizontal="right" wrapText="1"/>
    </xf>
    <xf numFmtId="4" fontId="20" fillId="0" borderId="0" xfId="0" applyFont="1" applyAlignment="1">
      <alignment horizontal="center" wrapText="1"/>
    </xf>
    <xf numFmtId="171" fontId="22" fillId="0" borderId="12" xfId="1" applyNumberFormat="1" applyFont="1" applyBorder="1" applyAlignment="1">
      <alignment horizontal="center" wrapText="1"/>
    </xf>
    <xf numFmtId="167" fontId="20" fillId="0" borderId="0" xfId="1" applyNumberFormat="1" applyFont="1" applyFill="1" applyBorder="1" applyAlignment="1">
      <alignment horizontal="right" wrapText="1"/>
    </xf>
    <xf numFmtId="171" fontId="22" fillId="0" borderId="9" xfId="1" applyNumberFormat="1" applyFont="1" applyBorder="1" applyAlignment="1">
      <alignment horizontal="left" wrapText="1"/>
    </xf>
    <xf numFmtId="43" fontId="22" fillId="0" borderId="12" xfId="1" applyFont="1" applyBorder="1" applyAlignment="1">
      <alignment horizontal="left" wrapText="1"/>
    </xf>
    <xf numFmtId="43" fontId="22" fillId="0" borderId="12" xfId="1" applyFont="1" applyBorder="1" applyAlignment="1">
      <alignment horizontal="left" vertical="top"/>
    </xf>
    <xf numFmtId="4" fontId="18" fillId="0" borderId="12" xfId="0" applyFont="1" applyBorder="1" applyAlignment="1">
      <alignment horizontal="center" vertical="center" wrapText="1"/>
    </xf>
    <xf numFmtId="167" fontId="9" fillId="0" borderId="12" xfId="1" applyNumberFormat="1" applyFont="1" applyFill="1" applyBorder="1" applyAlignment="1">
      <alignment horizontal="center" vertical="center"/>
    </xf>
    <xf numFmtId="4" fontId="3" fillId="0" borderId="0" xfId="0" applyFont="1" applyAlignment="1">
      <alignment horizontal="center" vertical="center"/>
    </xf>
    <xf numFmtId="167" fontId="9" fillId="0" borderId="12" xfId="1" applyNumberFormat="1" applyFont="1" applyFill="1" applyBorder="1" applyAlignment="1">
      <alignment vertical="top"/>
    </xf>
    <xf numFmtId="4" fontId="3" fillId="0" borderId="0" xfId="0" applyFont="1" applyAlignment="1">
      <alignment vertical="top"/>
    </xf>
    <xf numFmtId="0" fontId="4" fillId="0" borderId="0" xfId="35" applyFont="1" applyAlignment="1">
      <alignment vertical="top"/>
    </xf>
    <xf numFmtId="168" fontId="34" fillId="0" borderId="0" xfId="35" applyNumberFormat="1" applyAlignment="1">
      <alignment vertical="top"/>
    </xf>
    <xf numFmtId="168" fontId="2" fillId="0" borderId="5" xfId="1" applyNumberFormat="1" applyFont="1" applyBorder="1" applyAlignment="1">
      <alignment wrapText="1"/>
    </xf>
    <xf numFmtId="168" fontId="38" fillId="9" borderId="5" xfId="1" applyNumberFormat="1" applyFont="1" applyFill="1" applyBorder="1" applyAlignment="1">
      <alignment horizontal="center" vertical="center" wrapText="1"/>
    </xf>
    <xf numFmtId="168" fontId="2" fillId="0" borderId="5" xfId="1" applyNumberFormat="1" applyFont="1" applyBorder="1"/>
    <xf numFmtId="168" fontId="39" fillId="9" borderId="5" xfId="1" applyNumberFormat="1" applyFont="1" applyFill="1" applyBorder="1" applyAlignment="1">
      <alignment vertical="top"/>
    </xf>
    <xf numFmtId="168" fontId="0" fillId="0" borderId="12" xfId="1" applyNumberFormat="1" applyFont="1" applyBorder="1"/>
    <xf numFmtId="168" fontId="0" fillId="14" borderId="5" xfId="1" applyNumberFormat="1" applyFont="1" applyFill="1" applyBorder="1"/>
    <xf numFmtId="168" fontId="53" fillId="0" borderId="5" xfId="1" applyNumberFormat="1" applyFont="1" applyBorder="1" applyAlignment="1">
      <alignment horizontal="center" vertical="center" readingOrder="1"/>
    </xf>
    <xf numFmtId="0" fontId="41" fillId="0" borderId="0" xfId="31" applyFont="1"/>
    <xf numFmtId="168" fontId="3" fillId="0" borderId="0" xfId="1" applyNumberFormat="1" applyFont="1"/>
    <xf numFmtId="167" fontId="6" fillId="0" borderId="0" xfId="1" applyNumberFormat="1" applyFont="1" applyBorder="1" applyAlignment="1">
      <alignment horizontal="right" wrapText="1"/>
    </xf>
    <xf numFmtId="4" fontId="6" fillId="0" borderId="0" xfId="2" applyFont="1" applyAlignment="1">
      <alignment horizontal="left" vertical="top"/>
    </xf>
    <xf numFmtId="168" fontId="6" fillId="0" borderId="0" xfId="1" applyNumberFormat="1" applyFont="1" applyBorder="1" applyAlignment="1">
      <alignment horizontal="right" wrapText="1"/>
    </xf>
    <xf numFmtId="164" fontId="6" fillId="0" borderId="0" xfId="2" applyNumberFormat="1" applyFont="1" applyAlignment="1">
      <alignment wrapText="1"/>
    </xf>
    <xf numFmtId="10" fontId="6" fillId="0" borderId="0" xfId="2" applyNumberFormat="1" applyFont="1" applyAlignment="1">
      <alignment horizontal="center"/>
    </xf>
    <xf numFmtId="10" fontId="6" fillId="0" borderId="0" xfId="2" applyNumberFormat="1" applyFont="1"/>
    <xf numFmtId="4" fontId="15" fillId="0" borderId="0" xfId="0" applyFont="1" applyAlignment="1">
      <alignment horizontal="left"/>
    </xf>
    <xf numFmtId="4" fontId="6" fillId="0" borderId="0" xfId="2" applyFont="1" applyAlignment="1">
      <alignment horizontal="center"/>
    </xf>
    <xf numFmtId="4" fontId="6" fillId="0" borderId="0" xfId="2" applyFont="1" applyAlignment="1">
      <alignment horizontal="left" vertical="top" wrapText="1"/>
    </xf>
    <xf numFmtId="4" fontId="15" fillId="0" borderId="0" xfId="0" applyFont="1" applyAlignment="1">
      <alignment horizontal="left" vertical="top"/>
    </xf>
    <xf numFmtId="4" fontId="6" fillId="0" borderId="0" xfId="2" applyFont="1" applyAlignment="1">
      <alignment horizontal="left"/>
    </xf>
    <xf numFmtId="164" fontId="6" fillId="0" borderId="0" xfId="2" applyNumberFormat="1" applyFont="1" applyAlignment="1">
      <alignment horizontal="left" vertical="top"/>
    </xf>
    <xf numFmtId="4" fontId="6" fillId="0" borderId="28" xfId="2" applyFont="1" applyBorder="1" applyAlignment="1">
      <alignment horizontal="left"/>
    </xf>
    <xf numFmtId="167" fontId="6" fillId="0" borderId="30" xfId="1" applyNumberFormat="1" applyFont="1" applyFill="1" applyBorder="1" applyAlignment="1">
      <alignment wrapText="1"/>
    </xf>
    <xf numFmtId="167" fontId="6" fillId="0" borderId="30" xfId="1" applyNumberFormat="1" applyFont="1" applyFill="1" applyBorder="1" applyAlignment="1">
      <alignment horizontal="left" wrapText="1"/>
    </xf>
    <xf numFmtId="164" fontId="6" fillId="0" borderId="0" xfId="2" applyNumberFormat="1" applyFont="1" applyAlignment="1">
      <alignment horizontal="center" wrapText="1"/>
    </xf>
    <xf numFmtId="10" fontId="19" fillId="0" borderId="2" xfId="2" applyNumberFormat="1" applyFont="1" applyBorder="1"/>
    <xf numFmtId="164" fontId="6" fillId="0" borderId="0" xfId="2" applyNumberFormat="1" applyFont="1"/>
    <xf numFmtId="10" fontId="19" fillId="0" borderId="0" xfId="2" applyNumberFormat="1" applyFont="1" applyAlignment="1">
      <alignment horizontal="center"/>
    </xf>
    <xf numFmtId="164" fontId="15" fillId="0" borderId="0" xfId="0" applyNumberFormat="1" applyFont="1" applyAlignment="1">
      <alignment horizontal="left" vertical="top"/>
    </xf>
    <xf numFmtId="4" fontId="15" fillId="0" borderId="1" xfId="0" applyFont="1" applyBorder="1" applyAlignment="1">
      <alignment wrapText="1"/>
    </xf>
    <xf numFmtId="4" fontId="15" fillId="0" borderId="0" xfId="0" applyFont="1" applyAlignment="1">
      <alignment wrapText="1"/>
    </xf>
    <xf numFmtId="164" fontId="6" fillId="0" borderId="0" xfId="3" applyNumberFormat="1" applyFont="1" applyFill="1" applyBorder="1" applyAlignment="1"/>
    <xf numFmtId="164" fontId="6" fillId="0" borderId="0" xfId="3" applyNumberFormat="1" applyFont="1" applyFill="1" applyBorder="1" applyAlignment="1">
      <alignment wrapText="1"/>
    </xf>
    <xf numFmtId="4" fontId="13" fillId="0" borderId="34" xfId="4" applyFont="1" applyFill="1" applyBorder="1" applyAlignment="1" applyProtection="1">
      <alignment horizontal="center" vertical="center"/>
    </xf>
    <xf numFmtId="4" fontId="13" fillId="0" borderId="32" xfId="4" applyFont="1" applyFill="1" applyBorder="1" applyAlignment="1" applyProtection="1">
      <alignment horizontal="center" vertical="center"/>
    </xf>
    <xf numFmtId="164" fontId="6" fillId="0" borderId="34" xfId="3" applyNumberFormat="1" applyFont="1" applyFill="1" applyBorder="1" applyAlignment="1">
      <alignment wrapText="1"/>
    </xf>
    <xf numFmtId="4" fontId="56" fillId="0" borderId="12" xfId="0" applyFont="1" applyBorder="1"/>
    <xf numFmtId="4" fontId="57" fillId="0" borderId="12" xfId="0" applyFont="1" applyBorder="1"/>
    <xf numFmtId="4" fontId="57" fillId="0" borderId="12" xfId="0" applyFont="1" applyBorder="1" applyAlignment="1">
      <alignment horizontal="left" indent="1"/>
    </xf>
    <xf numFmtId="4" fontId="5" fillId="0" borderId="5" xfId="0" applyFont="1" applyBorder="1"/>
    <xf numFmtId="4" fontId="5" fillId="0" borderId="12" xfId="0" applyFont="1" applyBorder="1"/>
    <xf numFmtId="4" fontId="5" fillId="0" borderId="9" xfId="0" applyFont="1" applyBorder="1"/>
    <xf numFmtId="4" fontId="56" fillId="0" borderId="9" xfId="0" applyFont="1" applyBorder="1"/>
    <xf numFmtId="4" fontId="57" fillId="0" borderId="9" xfId="0" applyFont="1" applyBorder="1"/>
    <xf numFmtId="168" fontId="57" fillId="0" borderId="12" xfId="1" applyNumberFormat="1" applyFont="1" applyBorder="1"/>
    <xf numFmtId="10" fontId="9" fillId="0" borderId="12" xfId="2" applyNumberFormat="1" applyFont="1" applyBorder="1" applyAlignment="1">
      <alignment horizontal="center"/>
    </xf>
    <xf numFmtId="10" fontId="9" fillId="0" borderId="5" xfId="2" applyNumberFormat="1" applyFont="1" applyBorder="1" applyAlignment="1">
      <alignment horizontal="center"/>
    </xf>
    <xf numFmtId="4" fontId="0" fillId="0" borderId="0" xfId="0" applyAlignment="1">
      <alignment horizontal="center"/>
    </xf>
    <xf numFmtId="43" fontId="0" fillId="0" borderId="0" xfId="1" applyFont="1"/>
    <xf numFmtId="14" fontId="0" fillId="0" borderId="0" xfId="0" applyNumberFormat="1"/>
    <xf numFmtId="168" fontId="47" fillId="0" borderId="0" xfId="1" applyNumberFormat="1" applyFont="1"/>
    <xf numFmtId="168" fontId="58" fillId="9" borderId="5" xfId="13" applyNumberFormat="1" applyFont="1" applyFill="1" applyBorder="1" applyAlignment="1">
      <alignment horizontal="center" vertical="center" wrapText="1"/>
    </xf>
    <xf numFmtId="43" fontId="58" fillId="9" borderId="5" xfId="1" applyFont="1" applyFill="1" applyBorder="1" applyAlignment="1">
      <alignment horizontal="center" vertical="center" wrapText="1"/>
    </xf>
    <xf numFmtId="14" fontId="58" fillId="9" borderId="5" xfId="13" applyNumberFormat="1" applyFont="1" applyFill="1" applyBorder="1" applyAlignment="1">
      <alignment horizontal="center" vertical="center" wrapText="1"/>
    </xf>
    <xf numFmtId="168" fontId="58" fillId="9" borderId="5" xfId="1" applyNumberFormat="1" applyFont="1" applyFill="1" applyBorder="1" applyAlignment="1">
      <alignment horizontal="center" vertical="center" wrapText="1"/>
    </xf>
    <xf numFmtId="168" fontId="58" fillId="15" borderId="5" xfId="1" applyNumberFormat="1" applyFont="1" applyFill="1" applyBorder="1" applyAlignment="1">
      <alignment horizontal="center" vertical="center" wrapText="1"/>
    </xf>
    <xf numFmtId="168" fontId="58" fillId="15" borderId="5" xfId="13" applyNumberFormat="1" applyFont="1" applyFill="1" applyBorder="1" applyAlignment="1">
      <alignment horizontal="center" vertical="center" wrapText="1"/>
    </xf>
    <xf numFmtId="4" fontId="0" fillId="0" borderId="0" xfId="0" applyAlignment="1">
      <alignment horizontal="center" vertical="center"/>
    </xf>
    <xf numFmtId="168" fontId="0" fillId="0" borderId="0" xfId="1" applyNumberFormat="1" applyFont="1" applyAlignment="1">
      <alignment horizontal="center" vertical="center"/>
    </xf>
    <xf numFmtId="4" fontId="0" fillId="0" borderId="5" xfId="0" applyBorder="1" applyAlignment="1">
      <alignment horizontal="center"/>
    </xf>
    <xf numFmtId="43" fontId="0" fillId="0" borderId="5" xfId="1" applyFont="1" applyBorder="1"/>
    <xf numFmtId="9" fontId="0" fillId="0" borderId="0" xfId="38" applyFont="1"/>
    <xf numFmtId="4" fontId="0" fillId="16" borderId="5" xfId="0" applyFill="1" applyBorder="1"/>
    <xf numFmtId="168" fontId="0" fillId="16" borderId="5" xfId="1" applyNumberFormat="1" applyFont="1" applyFill="1" applyBorder="1"/>
    <xf numFmtId="4" fontId="0" fillId="0" borderId="5" xfId="0" applyBorder="1" applyAlignment="1">
      <alignment horizontal="right" vertical="top"/>
    </xf>
    <xf numFmtId="14" fontId="0" fillId="0" borderId="5" xfId="0" applyNumberFormat="1" applyBorder="1" applyAlignment="1">
      <alignment horizontal="right" vertical="top"/>
    </xf>
    <xf numFmtId="0" fontId="4" fillId="0" borderId="5" xfId="18" applyBorder="1" applyAlignment="1">
      <alignment horizontal="left" vertical="top"/>
    </xf>
    <xf numFmtId="4" fontId="0" fillId="16" borderId="5" xfId="0" applyFill="1" applyBorder="1" applyAlignment="1">
      <alignment vertical="top"/>
    </xf>
    <xf numFmtId="4" fontId="2" fillId="17" borderId="5" xfId="0" applyFont="1" applyFill="1" applyBorder="1" applyAlignment="1">
      <alignment horizontal="center"/>
    </xf>
    <xf numFmtId="4" fontId="2" fillId="17" borderId="5" xfId="0" applyFont="1" applyFill="1" applyBorder="1"/>
    <xf numFmtId="43" fontId="2" fillId="17" borderId="5" xfId="1" applyFont="1" applyFill="1" applyBorder="1"/>
    <xf numFmtId="14" fontId="2" fillId="17" borderId="5" xfId="0" applyNumberFormat="1" applyFont="1" applyFill="1" applyBorder="1"/>
    <xf numFmtId="168" fontId="2" fillId="17" borderId="5" xfId="1" applyNumberFormat="1" applyFont="1" applyFill="1" applyBorder="1"/>
    <xf numFmtId="4" fontId="2" fillId="17" borderId="0" xfId="0" applyFont="1" applyFill="1"/>
    <xf numFmtId="168" fontId="2" fillId="17" borderId="0" xfId="1" applyNumberFormat="1" applyFont="1" applyFill="1"/>
    <xf numFmtId="0" fontId="37" fillId="6" borderId="5" xfId="18" applyFont="1" applyFill="1" applyBorder="1" applyAlignment="1">
      <alignment horizontal="center" vertical="center" wrapText="1"/>
    </xf>
    <xf numFmtId="168" fontId="37" fillId="6" borderId="5" xfId="9" applyNumberFormat="1" applyFont="1" applyFill="1" applyBorder="1" applyAlignment="1">
      <alignment horizontal="center" vertical="center" wrapText="1"/>
    </xf>
    <xf numFmtId="168" fontId="4" fillId="0" borderId="5" xfId="1" applyNumberFormat="1" applyFont="1" applyFill="1" applyBorder="1" applyAlignment="1">
      <alignment vertical="top"/>
    </xf>
    <xf numFmtId="168" fontId="4" fillId="0" borderId="5" xfId="1" applyNumberFormat="1" applyFont="1" applyBorder="1" applyAlignment="1">
      <alignment horizontal="right" vertical="top"/>
    </xf>
    <xf numFmtId="168" fontId="0" fillId="0" borderId="5" xfId="1" applyNumberFormat="1" applyFont="1" applyBorder="1" applyAlignment="1">
      <alignment vertical="top"/>
    </xf>
    <xf numFmtId="0" fontId="0" fillId="0" borderId="0" xfId="1" applyNumberFormat="1" applyFont="1"/>
    <xf numFmtId="168" fontId="4" fillId="0" borderId="5" xfId="1" applyNumberFormat="1" applyFont="1" applyBorder="1" applyAlignment="1">
      <alignment vertical="top"/>
    </xf>
    <xf numFmtId="168" fontId="4" fillId="7" borderId="5" xfId="1" applyNumberFormat="1" applyFont="1" applyFill="1" applyBorder="1" applyAlignment="1">
      <alignment vertical="top"/>
    </xf>
    <xf numFmtId="168" fontId="0" fillId="7" borderId="5" xfId="1" applyNumberFormat="1" applyFont="1" applyFill="1" applyBorder="1" applyAlignment="1">
      <alignment vertical="top"/>
    </xf>
    <xf numFmtId="4" fontId="41" fillId="0" borderId="0" xfId="0" applyFont="1" applyAlignment="1">
      <alignment horizontal="left"/>
    </xf>
    <xf numFmtId="168" fontId="0" fillId="0" borderId="5" xfId="1" applyNumberFormat="1" applyFont="1" applyBorder="1" applyAlignment="1">
      <alignment horizontal="center"/>
    </xf>
    <xf numFmtId="168" fontId="5" fillId="0" borderId="12" xfId="1" applyNumberFormat="1" applyFont="1" applyBorder="1"/>
    <xf numFmtId="168" fontId="56" fillId="0" borderId="12" xfId="1" applyNumberFormat="1" applyFont="1" applyBorder="1"/>
    <xf numFmtId="168" fontId="55" fillId="0" borderId="12" xfId="1" applyNumberFormat="1" applyFont="1" applyFill="1" applyBorder="1"/>
    <xf numFmtId="168" fontId="54" fillId="0" borderId="5" xfId="1" applyNumberFormat="1" applyFont="1" applyFill="1" applyBorder="1"/>
    <xf numFmtId="168" fontId="5" fillId="0" borderId="10" xfId="1" applyNumberFormat="1" applyFont="1" applyBorder="1"/>
    <xf numFmtId="168" fontId="57" fillId="0" borderId="17" xfId="1" applyNumberFormat="1" applyFont="1" applyBorder="1"/>
    <xf numFmtId="176" fontId="55" fillId="0" borderId="12" xfId="1" applyNumberFormat="1" applyFont="1" applyFill="1" applyBorder="1"/>
    <xf numFmtId="176" fontId="54" fillId="0" borderId="5" xfId="1" applyNumberFormat="1" applyFont="1" applyFill="1" applyBorder="1"/>
    <xf numFmtId="168" fontId="0" fillId="0" borderId="0" xfId="1" applyNumberFormat="1" applyFont="1" applyBorder="1"/>
    <xf numFmtId="168" fontId="5" fillId="0" borderId="0" xfId="1" applyNumberFormat="1" applyFont="1" applyBorder="1" applyAlignment="1">
      <alignment horizontal="left"/>
    </xf>
    <xf numFmtId="168" fontId="54" fillId="0" borderId="0" xfId="1" applyNumberFormat="1" applyFont="1" applyBorder="1" applyAlignment="1">
      <alignment horizontal="left"/>
    </xf>
    <xf numFmtId="168" fontId="5" fillId="0" borderId="2" xfId="1" applyNumberFormat="1" applyFont="1" applyBorder="1" applyAlignment="1">
      <alignment horizontal="center"/>
    </xf>
    <xf numFmtId="168" fontId="0" fillId="0" borderId="2" xfId="1" applyNumberFormat="1" applyFont="1" applyBorder="1"/>
    <xf numFmtId="4" fontId="5" fillId="0" borderId="1" xfId="2" applyFont="1" applyBorder="1" applyAlignment="1">
      <alignment horizontal="left"/>
    </xf>
    <xf numFmtId="168" fontId="5" fillId="0" borderId="2" xfId="1" applyNumberFormat="1" applyFont="1" applyBorder="1"/>
    <xf numFmtId="4" fontId="54" fillId="0" borderId="1" xfId="0" applyFont="1" applyBorder="1" applyAlignment="1">
      <alignment horizontal="left"/>
    </xf>
    <xf numFmtId="4" fontId="55" fillId="0" borderId="22" xfId="0" applyFont="1" applyBorder="1"/>
    <xf numFmtId="4" fontId="55" fillId="0" borderId="23" xfId="0" applyFont="1" applyBorder="1"/>
    <xf numFmtId="168" fontId="55" fillId="0" borderId="23" xfId="1" applyNumberFormat="1" applyFont="1" applyBorder="1"/>
    <xf numFmtId="168" fontId="5" fillId="0" borderId="24" xfId="1" applyNumberFormat="1" applyFont="1" applyBorder="1"/>
    <xf numFmtId="4" fontId="5" fillId="0" borderId="38" xfId="0" applyFont="1" applyBorder="1" applyAlignment="1">
      <alignment horizontal="center"/>
    </xf>
    <xf numFmtId="168" fontId="55" fillId="0" borderId="13" xfId="1" applyNumberFormat="1" applyFont="1" applyBorder="1"/>
    <xf numFmtId="176" fontId="55" fillId="0" borderId="13" xfId="1" applyNumberFormat="1" applyFont="1" applyFill="1" applyBorder="1"/>
    <xf numFmtId="168" fontId="55" fillId="0" borderId="13" xfId="1" applyNumberFormat="1" applyFont="1" applyFill="1" applyBorder="1"/>
    <xf numFmtId="168" fontId="54" fillId="0" borderId="8" xfId="1" applyNumberFormat="1" applyFont="1" applyFill="1" applyBorder="1"/>
    <xf numFmtId="176" fontId="54" fillId="0" borderId="8" xfId="1" applyNumberFormat="1" applyFont="1" applyFill="1" applyBorder="1"/>
    <xf numFmtId="168" fontId="54" fillId="0" borderId="13" xfId="1" applyNumberFormat="1" applyFont="1" applyFill="1" applyBorder="1"/>
    <xf numFmtId="4" fontId="5" fillId="3" borderId="5" xfId="2" applyFont="1" applyFill="1" applyBorder="1" applyAlignment="1">
      <alignment horizontal="center" vertical="center"/>
    </xf>
    <xf numFmtId="168" fontId="5" fillId="3" borderId="5" xfId="1" applyNumberFormat="1" applyFont="1" applyFill="1" applyBorder="1" applyAlignment="1">
      <alignment horizontal="center" vertical="center" wrapText="1"/>
    </xf>
    <xf numFmtId="4" fontId="5" fillId="0" borderId="5" xfId="0" applyFont="1" applyBorder="1" applyAlignment="1">
      <alignment wrapText="1"/>
    </xf>
    <xf numFmtId="176" fontId="55" fillId="0" borderId="17" xfId="1" applyNumberFormat="1" applyFont="1" applyFill="1" applyBorder="1"/>
    <xf numFmtId="168" fontId="57" fillId="0" borderId="10" xfId="1" applyNumberFormat="1" applyFont="1" applyBorder="1"/>
    <xf numFmtId="171" fontId="22" fillId="0" borderId="9" xfId="1" applyNumberFormat="1" applyFont="1" applyBorder="1" applyAlignment="1">
      <alignment horizontal="center" wrapText="1"/>
    </xf>
    <xf numFmtId="168" fontId="21" fillId="0" borderId="0" xfId="1" applyNumberFormat="1" applyFont="1"/>
    <xf numFmtId="4" fontId="15" fillId="0" borderId="0" xfId="0" applyFont="1"/>
    <xf numFmtId="171" fontId="22" fillId="0" borderId="12" xfId="1" applyNumberFormat="1" applyFont="1" applyFill="1" applyBorder="1" applyAlignment="1">
      <alignment horizontal="left" wrapText="1"/>
    </xf>
    <xf numFmtId="171" fontId="22" fillId="0" borderId="12" xfId="1" applyNumberFormat="1" applyFont="1" applyFill="1" applyBorder="1" applyAlignment="1">
      <alignment horizontal="left" vertical="top"/>
    </xf>
    <xf numFmtId="167" fontId="20" fillId="0" borderId="12" xfId="1" applyNumberFormat="1" applyFont="1" applyFill="1" applyBorder="1" applyAlignment="1">
      <alignment horizontal="left" wrapText="1"/>
    </xf>
    <xf numFmtId="167" fontId="22" fillId="0" borderId="14" xfId="1" applyNumberFormat="1" applyFont="1" applyFill="1" applyBorder="1" applyAlignment="1">
      <alignment horizontal="left" wrapText="1"/>
    </xf>
    <xf numFmtId="4" fontId="9" fillId="0" borderId="12" xfId="0" applyFont="1" applyBorder="1"/>
    <xf numFmtId="171" fontId="9" fillId="0" borderId="14" xfId="1" applyNumberFormat="1" applyFont="1" applyFill="1" applyBorder="1"/>
    <xf numFmtId="167" fontId="9" fillId="0" borderId="14" xfId="0" applyNumberFormat="1" applyFont="1" applyBorder="1"/>
    <xf numFmtId="168" fontId="9" fillId="0" borderId="14" xfId="0" applyNumberFormat="1" applyFont="1" applyBorder="1"/>
    <xf numFmtId="167" fontId="9" fillId="0" borderId="14" xfId="1" applyNumberFormat="1" applyFont="1" applyFill="1" applyBorder="1"/>
    <xf numFmtId="0" fontId="0" fillId="0" borderId="5" xfId="6" applyFont="1" applyBorder="1"/>
    <xf numFmtId="167" fontId="9" fillId="0" borderId="5" xfId="3" applyNumberFormat="1" applyFont="1" applyFill="1" applyBorder="1" applyAlignment="1">
      <alignment horizontal="center"/>
    </xf>
    <xf numFmtId="168" fontId="1" fillId="0" borderId="5" xfId="6" applyNumberFormat="1" applyBorder="1" applyAlignment="1">
      <alignment horizontal="center"/>
    </xf>
    <xf numFmtId="4" fontId="6" fillId="0" borderId="12" xfId="2" applyFont="1" applyBorder="1" applyAlignment="1">
      <alignment vertical="center"/>
    </xf>
    <xf numFmtId="4" fontId="16" fillId="0" borderId="0" xfId="2" applyFont="1" applyAlignment="1">
      <alignment horizontal="center"/>
    </xf>
    <xf numFmtId="4" fontId="6" fillId="0" borderId="23" xfId="2" applyFont="1" applyBorder="1" applyAlignment="1">
      <alignment horizontal="center"/>
    </xf>
    <xf numFmtId="4" fontId="9" fillId="0" borderId="12" xfId="2" applyFont="1" applyBorder="1" applyAlignment="1">
      <alignment vertical="top"/>
    </xf>
    <xf numFmtId="4" fontId="13" fillId="0" borderId="17" xfId="4" applyFont="1" applyFill="1" applyBorder="1" applyAlignment="1" applyProtection="1">
      <alignment vertical="center"/>
    </xf>
    <xf numFmtId="4" fontId="9" fillId="0" borderId="5" xfId="2" applyFont="1" applyBorder="1"/>
    <xf numFmtId="4" fontId="9" fillId="0" borderId="10" xfId="2" applyFont="1" applyBorder="1"/>
    <xf numFmtId="10" fontId="14" fillId="0" borderId="12" xfId="2" applyNumberFormat="1" applyFont="1" applyBorder="1"/>
    <xf numFmtId="4" fontId="9" fillId="0" borderId="29" xfId="2" applyFont="1" applyBorder="1"/>
    <xf numFmtId="4" fontId="13" fillId="0" borderId="0" xfId="4" applyFont="1" applyFill="1" applyBorder="1" applyAlignment="1" applyProtection="1">
      <alignment vertical="center"/>
    </xf>
    <xf numFmtId="168" fontId="0" fillId="0" borderId="5" xfId="1" applyNumberFormat="1" applyFont="1" applyFill="1" applyBorder="1" applyAlignment="1">
      <alignment wrapText="1"/>
    </xf>
    <xf numFmtId="167" fontId="22" fillId="0" borderId="9" xfId="1" applyNumberFormat="1" applyFont="1" applyBorder="1" applyAlignment="1">
      <alignment horizontal="left" vertical="top"/>
    </xf>
    <xf numFmtId="4" fontId="0" fillId="7" borderId="0" xfId="0" applyFill="1"/>
    <xf numFmtId="168" fontId="4" fillId="6" borderId="0" xfId="1" applyNumberFormat="1" applyFont="1" applyFill="1" applyBorder="1" applyAlignment="1">
      <alignment vertical="top"/>
    </xf>
    <xf numFmtId="168" fontId="4" fillId="0" borderId="0" xfId="1" applyNumberFormat="1" applyFont="1" applyFill="1" applyBorder="1" applyAlignment="1">
      <alignment horizontal="right" vertical="top"/>
    </xf>
    <xf numFmtId="4" fontId="0" fillId="7" borderId="5" xfId="0" applyFill="1" applyBorder="1"/>
    <xf numFmtId="1" fontId="0" fillId="0" borderId="5" xfId="0" applyNumberFormat="1" applyBorder="1"/>
    <xf numFmtId="168" fontId="4" fillId="7" borderId="0" xfId="1" applyNumberFormat="1" applyFont="1" applyFill="1" applyBorder="1" applyAlignment="1">
      <alignment horizontal="right" vertical="top"/>
    </xf>
    <xf numFmtId="0" fontId="0" fillId="7" borderId="5" xfId="0" applyNumberFormat="1" applyFill="1" applyBorder="1" applyAlignment="1">
      <alignment horizontal="left" vertical="top"/>
    </xf>
    <xf numFmtId="0" fontId="34" fillId="7" borderId="5" xfId="35" applyFill="1" applyBorder="1" applyAlignment="1">
      <alignment horizontal="left" vertical="top"/>
    </xf>
    <xf numFmtId="0" fontId="4" fillId="7" borderId="5" xfId="35" applyFont="1" applyFill="1" applyBorder="1" applyAlignment="1">
      <alignment vertical="top"/>
    </xf>
    <xf numFmtId="168" fontId="34" fillId="7" borderId="5" xfId="1" applyNumberFormat="1" applyFont="1" applyFill="1" applyBorder="1" applyAlignment="1">
      <alignment horizontal="right" vertical="top"/>
    </xf>
    <xf numFmtId="168" fontId="0" fillId="7" borderId="5" xfId="1" applyNumberFormat="1" applyFont="1" applyFill="1" applyBorder="1"/>
    <xf numFmtId="4" fontId="0" fillId="7" borderId="5" xfId="0" applyFill="1" applyBorder="1" applyAlignment="1">
      <alignment vertical="top"/>
    </xf>
    <xf numFmtId="0" fontId="34" fillId="7" borderId="5" xfId="35" applyFill="1" applyBorder="1" applyAlignment="1">
      <alignment vertical="top"/>
    </xf>
    <xf numFmtId="168" fontId="4" fillId="7" borderId="5" xfId="1" applyNumberFormat="1" applyFont="1" applyFill="1" applyBorder="1" applyAlignment="1">
      <alignment horizontal="right" vertical="top"/>
    </xf>
    <xf numFmtId="3" fontId="3" fillId="0" borderId="0" xfId="0" applyNumberFormat="1" applyFont="1"/>
    <xf numFmtId="4" fontId="20" fillId="0" borderId="10" xfId="0" applyFont="1" applyBorder="1" applyAlignment="1">
      <alignment horizontal="center" wrapText="1"/>
    </xf>
    <xf numFmtId="168" fontId="20" fillId="0" borderId="10" xfId="0" applyNumberFormat="1" applyFont="1" applyBorder="1" applyAlignment="1">
      <alignment horizontal="center" wrapText="1"/>
    </xf>
    <xf numFmtId="4" fontId="20" fillId="0" borderId="17" xfId="0" applyFont="1" applyBorder="1" applyAlignment="1">
      <alignment horizontal="center" wrapText="1"/>
    </xf>
    <xf numFmtId="168" fontId="20" fillId="0" borderId="17" xfId="0" applyNumberFormat="1" applyFont="1" applyBorder="1" applyAlignment="1">
      <alignment horizontal="center" wrapText="1"/>
    </xf>
    <xf numFmtId="167" fontId="20" fillId="0" borderId="17" xfId="0" applyNumberFormat="1" applyFont="1" applyBorder="1" applyAlignment="1">
      <alignment horizontal="center" wrapText="1"/>
    </xf>
    <xf numFmtId="168" fontId="22" fillId="0" borderId="12" xfId="1" applyNumberFormat="1" applyFont="1" applyBorder="1" applyAlignment="1">
      <alignment horizontal="center" wrapText="1"/>
    </xf>
    <xf numFmtId="168" fontId="22" fillId="0" borderId="0" xfId="1" applyNumberFormat="1" applyFont="1" applyBorder="1" applyAlignment="1">
      <alignment horizontal="center" wrapText="1"/>
    </xf>
    <xf numFmtId="168" fontId="22" fillId="7" borderId="12" xfId="0" applyNumberFormat="1" applyFont="1" applyFill="1" applyBorder="1" applyAlignment="1">
      <alignment horizontal="left" wrapText="1"/>
    </xf>
    <xf numFmtId="168" fontId="22" fillId="7" borderId="12" xfId="0" applyNumberFormat="1" applyFont="1" applyFill="1" applyBorder="1" applyAlignment="1">
      <alignment wrapText="1"/>
    </xf>
    <xf numFmtId="168" fontId="22" fillId="7" borderId="12" xfId="1" applyNumberFormat="1" applyFont="1" applyFill="1" applyBorder="1" applyAlignment="1">
      <alignment horizontal="left" wrapText="1"/>
    </xf>
    <xf numFmtId="168" fontId="47" fillId="0" borderId="5" xfId="1" applyNumberFormat="1" applyFont="1" applyBorder="1" applyAlignment="1">
      <alignment wrapText="1"/>
    </xf>
    <xf numFmtId="168" fontId="47" fillId="0" borderId="5" xfId="1" applyNumberFormat="1" applyFont="1" applyBorder="1"/>
    <xf numFmtId="168" fontId="39" fillId="9" borderId="5" xfId="1" applyNumberFormat="1" applyFont="1" applyFill="1" applyBorder="1" applyAlignment="1">
      <alignment wrapText="1"/>
    </xf>
    <xf numFmtId="4" fontId="39" fillId="9" borderId="5" xfId="0" applyFont="1" applyFill="1" applyBorder="1"/>
    <xf numFmtId="168" fontId="2" fillId="0" borderId="0" xfId="1" applyNumberFormat="1" applyFont="1" applyBorder="1" applyAlignment="1"/>
    <xf numFmtId="168" fontId="9" fillId="0" borderId="0" xfId="1" applyNumberFormat="1" applyFont="1"/>
    <xf numFmtId="3" fontId="21" fillId="0" borderId="0" xfId="0" applyNumberFormat="1" applyFont="1"/>
    <xf numFmtId="3" fontId="3" fillId="0" borderId="0" xfId="0" applyNumberFormat="1" applyFont="1" applyAlignment="1">
      <alignment horizontal="center" vertical="center"/>
    </xf>
    <xf numFmtId="3" fontId="59" fillId="0" borderId="0" xfId="0" applyNumberFormat="1" applyFont="1"/>
    <xf numFmtId="168" fontId="21" fillId="0" borderId="0" xfId="1" applyNumberFormat="1" applyFont="1" applyAlignment="1">
      <alignment horizontal="left"/>
    </xf>
    <xf numFmtId="168" fontId="9" fillId="0" borderId="0" xfId="1" applyNumberFormat="1" applyFont="1" applyFill="1" applyBorder="1" applyAlignment="1">
      <alignment horizontal="left"/>
    </xf>
    <xf numFmtId="3" fontId="16" fillId="0" borderId="0" xfId="2" applyNumberFormat="1" applyFont="1"/>
    <xf numFmtId="167" fontId="9" fillId="0" borderId="12" xfId="1" applyNumberFormat="1" applyFont="1" applyFill="1" applyBorder="1" applyAlignment="1">
      <alignment horizontal="left" vertical="top"/>
    </xf>
    <xf numFmtId="4" fontId="3" fillId="0" borderId="10" xfId="0" applyFont="1" applyBorder="1" applyAlignment="1">
      <alignment horizontal="left"/>
    </xf>
    <xf numFmtId="166" fontId="9" fillId="0" borderId="9" xfId="2" applyNumberFormat="1" applyFont="1" applyBorder="1"/>
    <xf numFmtId="4" fontId="9" fillId="0" borderId="9" xfId="2" applyFont="1" applyBorder="1" applyAlignment="1">
      <alignment horizontal="left" indent="2"/>
    </xf>
    <xf numFmtId="167" fontId="9" fillId="0" borderId="17" xfId="1" applyNumberFormat="1" applyFont="1" applyFill="1" applyBorder="1" applyAlignment="1">
      <alignment horizontal="left"/>
    </xf>
    <xf numFmtId="4" fontId="9" fillId="0" borderId="6" xfId="2" applyFont="1" applyBorder="1"/>
    <xf numFmtId="167" fontId="6" fillId="0" borderId="5" xfId="1" applyNumberFormat="1" applyFont="1" applyFill="1" applyBorder="1" applyAlignment="1">
      <alignment horizontal="left" wrapText="1"/>
    </xf>
    <xf numFmtId="4" fontId="6" fillId="0" borderId="0" xfId="2" applyFont="1" applyAlignment="1">
      <alignment horizontal="right"/>
    </xf>
    <xf numFmtId="167" fontId="6" fillId="0" borderId="12" xfId="3" applyNumberFormat="1" applyFont="1" applyFill="1" applyBorder="1" applyAlignment="1">
      <alignment horizontal="left" wrapText="1"/>
    </xf>
    <xf numFmtId="4" fontId="9" fillId="0" borderId="9" xfId="2" applyFont="1" applyBorder="1" applyAlignment="1">
      <alignment horizontal="left" indent="4"/>
    </xf>
    <xf numFmtId="167" fontId="11" fillId="0" borderId="12" xfId="3" applyNumberFormat="1" applyFont="1" applyFill="1" applyBorder="1" applyAlignment="1">
      <alignment horizontal="left" wrapText="1"/>
    </xf>
    <xf numFmtId="4" fontId="6" fillId="0" borderId="9" xfId="2" applyFont="1" applyBorder="1" applyAlignment="1">
      <alignment horizontal="left" vertical="top"/>
    </xf>
    <xf numFmtId="167" fontId="6" fillId="0" borderId="14" xfId="1" applyNumberFormat="1" applyFont="1" applyBorder="1" applyAlignment="1">
      <alignment horizontal="right" wrapText="1"/>
    </xf>
    <xf numFmtId="164" fontId="9" fillId="0" borderId="0" xfId="2" applyNumberFormat="1" applyFont="1" applyAlignment="1">
      <alignment horizontal="left" vertical="top"/>
    </xf>
    <xf numFmtId="4" fontId="3" fillId="0" borderId="14" xfId="0" applyFont="1" applyBorder="1"/>
    <xf numFmtId="4" fontId="15" fillId="0" borderId="9" xfId="0" applyFont="1" applyBorder="1"/>
    <xf numFmtId="4" fontId="6" fillId="0" borderId="0" xfId="2" applyFont="1" applyAlignment="1">
      <alignment vertical="top"/>
    </xf>
    <xf numFmtId="10" fontId="6" fillId="0" borderId="0" xfId="2" applyNumberFormat="1" applyFont="1" applyAlignment="1">
      <alignment horizontal="left"/>
    </xf>
    <xf numFmtId="167" fontId="6" fillId="0" borderId="0" xfId="2" applyNumberFormat="1" applyFont="1" applyAlignment="1">
      <alignment horizontal="center"/>
    </xf>
    <xf numFmtId="10" fontId="6" fillId="0" borderId="14" xfId="2" applyNumberFormat="1" applyFont="1" applyBorder="1" applyAlignment="1">
      <alignment horizontal="left"/>
    </xf>
    <xf numFmtId="4" fontId="15" fillId="0" borderId="9" xfId="0" applyFont="1" applyBorder="1" applyAlignment="1">
      <alignment horizontal="left"/>
    </xf>
    <xf numFmtId="4" fontId="9" fillId="0" borderId="0" xfId="2" applyFont="1" applyAlignment="1">
      <alignment horizontal="left" vertical="top"/>
    </xf>
    <xf numFmtId="4" fontId="6" fillId="0" borderId="14" xfId="2" applyFont="1" applyBorder="1" applyAlignment="1">
      <alignment horizontal="left" vertical="top"/>
    </xf>
    <xf numFmtId="4" fontId="15" fillId="0" borderId="9" xfId="0" applyFont="1" applyBorder="1" applyAlignment="1">
      <alignment vertical="top"/>
    </xf>
    <xf numFmtId="4" fontId="15" fillId="0" borderId="16" xfId="0" applyFont="1" applyBorder="1" applyAlignment="1">
      <alignment horizontal="left"/>
    </xf>
    <xf numFmtId="4" fontId="15" fillId="0" borderId="3" xfId="0" applyFont="1" applyBorder="1" applyAlignment="1">
      <alignment horizontal="left" vertical="top"/>
    </xf>
    <xf numFmtId="4" fontId="6" fillId="0" borderId="3" xfId="2" applyFont="1" applyBorder="1"/>
    <xf numFmtId="4" fontId="6" fillId="0" borderId="3" xfId="2" applyFont="1" applyBorder="1" applyAlignment="1">
      <alignment horizontal="left"/>
    </xf>
    <xf numFmtId="164" fontId="6" fillId="0" borderId="3" xfId="2" applyNumberFormat="1" applyFont="1" applyBorder="1" applyAlignment="1">
      <alignment horizontal="left" vertical="top"/>
    </xf>
    <xf numFmtId="4" fontId="3" fillId="0" borderId="15" xfId="0" applyFont="1" applyBorder="1"/>
    <xf numFmtId="4" fontId="55" fillId="0" borderId="1" xfId="0" applyFont="1" applyBorder="1"/>
    <xf numFmtId="4" fontId="55" fillId="0" borderId="0" xfId="0" applyFont="1"/>
    <xf numFmtId="168" fontId="55" fillId="0" borderId="0" xfId="1" applyNumberFormat="1" applyFont="1" applyBorder="1"/>
    <xf numFmtId="168" fontId="55" fillId="0" borderId="2" xfId="1" applyNumberFormat="1" applyFont="1" applyBorder="1"/>
    <xf numFmtId="4" fontId="57" fillId="0" borderId="0" xfId="2" applyFont="1"/>
    <xf numFmtId="4" fontId="57" fillId="0" borderId="17" xfId="0" applyFont="1" applyBorder="1"/>
    <xf numFmtId="4" fontId="5" fillId="3" borderId="4" xfId="2" applyFont="1" applyFill="1" applyBorder="1" applyAlignment="1">
      <alignment horizontal="center" vertical="top" wrapText="1"/>
    </xf>
    <xf numFmtId="168" fontId="5" fillId="3" borderId="8" xfId="1" applyNumberFormat="1" applyFont="1" applyFill="1" applyBorder="1" applyAlignment="1">
      <alignment horizontal="center" vertical="center" wrapText="1"/>
    </xf>
    <xf numFmtId="168" fontId="55" fillId="0" borderId="11" xfId="1" applyNumberFormat="1" applyFont="1" applyFill="1" applyBorder="1"/>
    <xf numFmtId="176" fontId="55" fillId="0" borderId="25" xfId="1" applyNumberFormat="1" applyFont="1" applyFill="1" applyBorder="1"/>
    <xf numFmtId="168" fontId="55" fillId="0" borderId="25" xfId="1" applyNumberFormat="1" applyFont="1" applyFill="1" applyBorder="1"/>
    <xf numFmtId="4" fontId="5" fillId="0" borderId="39" xfId="0" applyFont="1" applyBorder="1" applyAlignment="1">
      <alignment horizontal="center"/>
    </xf>
    <xf numFmtId="4" fontId="5" fillId="0" borderId="0" xfId="2" applyFont="1" applyAlignment="1">
      <alignment horizontal="left"/>
    </xf>
    <xf numFmtId="4" fontId="54" fillId="0" borderId="0" xfId="0" applyFont="1" applyAlignment="1">
      <alignment horizontal="left"/>
    </xf>
    <xf numFmtId="167" fontId="20" fillId="0" borderId="0" xfId="0" applyNumberFormat="1" applyFont="1" applyAlignment="1">
      <alignment horizontal="center" wrapText="1"/>
    </xf>
    <xf numFmtId="167" fontId="22" fillId="0" borderId="0" xfId="0" applyNumberFormat="1" applyFont="1" applyAlignment="1">
      <alignment horizontal="center" wrapText="1"/>
    </xf>
    <xf numFmtId="43" fontId="1" fillId="0" borderId="5" xfId="1" applyBorder="1"/>
    <xf numFmtId="168" fontId="5" fillId="0" borderId="0" xfId="1" applyNumberFormat="1" applyFont="1" applyBorder="1" applyAlignment="1"/>
    <xf numFmtId="168" fontId="5" fillId="0" borderId="2" xfId="1" applyNumberFormat="1" applyFont="1" applyBorder="1" applyAlignment="1"/>
    <xf numFmtId="164" fontId="6" fillId="3" borderId="8" xfId="2" applyNumberFormat="1" applyFont="1" applyFill="1" applyBorder="1" applyAlignment="1">
      <alignment horizontal="center" vertical="center" wrapText="1"/>
    </xf>
    <xf numFmtId="4" fontId="16" fillId="0" borderId="11" xfId="2" applyFont="1" applyBorder="1"/>
    <xf numFmtId="167" fontId="17" fillId="0" borderId="13" xfId="1" applyNumberFormat="1" applyFont="1" applyBorder="1" applyAlignment="1">
      <alignment horizontal="right" wrapText="1"/>
    </xf>
    <xf numFmtId="168" fontId="16" fillId="0" borderId="25" xfId="1" applyNumberFormat="1" applyFont="1" applyBorder="1"/>
    <xf numFmtId="168" fontId="6" fillId="0" borderId="8" xfId="1" applyNumberFormat="1" applyFont="1" applyFill="1" applyBorder="1" applyAlignment="1"/>
    <xf numFmtId="168" fontId="16" fillId="0" borderId="11" xfId="1" applyNumberFormat="1" applyFont="1" applyBorder="1"/>
    <xf numFmtId="168" fontId="16" fillId="0" borderId="13" xfId="1" applyNumberFormat="1" applyFont="1" applyBorder="1"/>
    <xf numFmtId="4" fontId="9" fillId="0" borderId="0" xfId="2" applyFont="1" applyAlignment="1">
      <alignment horizontal="left" indent="2"/>
    </xf>
    <xf numFmtId="168" fontId="18" fillId="0" borderId="8" xfId="1" applyNumberFormat="1" applyFont="1" applyBorder="1" applyAlignment="1">
      <alignment horizontal="right" wrapText="1"/>
    </xf>
    <xf numFmtId="168" fontId="16" fillId="0" borderId="11" xfId="1" applyNumberFormat="1" applyFont="1" applyFill="1" applyBorder="1"/>
    <xf numFmtId="168" fontId="21" fillId="0" borderId="0" xfId="1" applyNumberFormat="1" applyFont="1" applyBorder="1"/>
    <xf numFmtId="167" fontId="9" fillId="0" borderId="8" xfId="1" applyNumberFormat="1" applyFont="1" applyFill="1" applyBorder="1" applyAlignment="1"/>
    <xf numFmtId="4" fontId="19" fillId="0" borderId="46" xfId="2" applyFont="1" applyBorder="1"/>
    <xf numFmtId="168" fontId="5" fillId="0" borderId="0" xfId="1" applyNumberFormat="1" applyFont="1" applyBorder="1" applyAlignment="1">
      <alignment horizontal="left" vertical="top"/>
    </xf>
    <xf numFmtId="168" fontId="4" fillId="0" borderId="5" xfId="1" applyNumberFormat="1" applyFont="1" applyBorder="1"/>
    <xf numFmtId="4" fontId="0" fillId="0" borderId="0" xfId="0" applyAlignment="1">
      <alignment horizontal="left"/>
    </xf>
    <xf numFmtId="4" fontId="9" fillId="0" borderId="9" xfId="2" applyFont="1" applyBorder="1" applyAlignment="1">
      <alignment horizontal="left" vertical="top" wrapText="1" indent="4"/>
    </xf>
    <xf numFmtId="4" fontId="9" fillId="0" borderId="0" xfId="2" applyFont="1" applyAlignment="1">
      <alignment horizontal="left" vertical="top" wrapText="1" indent="4"/>
    </xf>
    <xf numFmtId="4" fontId="9" fillId="0" borderId="9" xfId="2" applyFont="1" applyBorder="1" applyAlignment="1">
      <alignment horizontal="left" vertical="top" wrapText="1"/>
    </xf>
    <xf numFmtId="4" fontId="9" fillId="0" borderId="0" xfId="2" applyFont="1" applyAlignment="1">
      <alignment horizontal="left" vertical="top" wrapText="1"/>
    </xf>
    <xf numFmtId="4" fontId="6" fillId="0" borderId="9" xfId="2" applyFont="1" applyBorder="1" applyAlignment="1">
      <alignment horizontal="left" vertical="top"/>
    </xf>
    <xf numFmtId="4" fontId="6" fillId="0" borderId="0" xfId="2" applyFont="1" applyAlignment="1">
      <alignment horizontal="left" vertical="top"/>
    </xf>
    <xf numFmtId="4" fontId="5" fillId="2" borderId="5" xfId="2" applyFont="1" applyFill="1" applyBorder="1" applyAlignment="1">
      <alignment horizontal="center"/>
    </xf>
    <xf numFmtId="4" fontId="6" fillId="0" borderId="27" xfId="2" applyFont="1" applyBorder="1" applyAlignment="1">
      <alignment horizontal="center"/>
    </xf>
    <xf numFmtId="4" fontId="6" fillId="0" borderId="21" xfId="2" applyFont="1" applyBorder="1" applyAlignment="1">
      <alignment horizontal="center"/>
    </xf>
    <xf numFmtId="4" fontId="6" fillId="0" borderId="26" xfId="2" applyFont="1" applyBorder="1" applyAlignment="1">
      <alignment horizontal="center"/>
    </xf>
    <xf numFmtId="4" fontId="6" fillId="0" borderId="9" xfId="2" applyFont="1" applyBorder="1" applyAlignment="1">
      <alignment horizontal="center"/>
    </xf>
    <xf numFmtId="4" fontId="6" fillId="0" borderId="0" xfId="2" applyFont="1" applyAlignment="1">
      <alignment horizontal="center"/>
    </xf>
    <xf numFmtId="4" fontId="6" fillId="0" borderId="14" xfId="2" applyFont="1" applyBorder="1" applyAlignment="1">
      <alignment horizontal="center"/>
    </xf>
    <xf numFmtId="4" fontId="6" fillId="0" borderId="16" xfId="2" applyFont="1" applyBorder="1" applyAlignment="1">
      <alignment horizontal="center"/>
    </xf>
    <xf numFmtId="4" fontId="6" fillId="0" borderId="3" xfId="2" applyFont="1" applyBorder="1" applyAlignment="1">
      <alignment horizontal="center"/>
    </xf>
    <xf numFmtId="4" fontId="6" fillId="0" borderId="15" xfId="2" applyFont="1" applyBorder="1" applyAlignment="1">
      <alignment horizontal="center"/>
    </xf>
    <xf numFmtId="4" fontId="8" fillId="3" borderId="5" xfId="2" applyFont="1" applyFill="1" applyBorder="1" applyAlignment="1">
      <alignment horizontal="center" vertical="center"/>
    </xf>
    <xf numFmtId="4" fontId="8" fillId="3" borderId="5" xfId="2" applyFont="1" applyFill="1" applyBorder="1" applyAlignment="1">
      <alignment vertical="center"/>
    </xf>
    <xf numFmtId="4" fontId="8" fillId="3" borderId="6" xfId="2" applyFont="1" applyFill="1" applyBorder="1" applyAlignment="1">
      <alignment horizontal="center" vertical="center"/>
    </xf>
    <xf numFmtId="4" fontId="8" fillId="3" borderId="19" xfId="2" applyFont="1" applyFill="1" applyBorder="1" applyAlignment="1">
      <alignment horizontal="center" vertical="center"/>
    </xf>
    <xf numFmtId="4" fontId="9" fillId="0" borderId="1" xfId="2" applyFont="1" applyBorder="1" applyAlignment="1">
      <alignment horizontal="left" vertical="top" wrapText="1" indent="2"/>
    </xf>
    <xf numFmtId="4" fontId="9" fillId="0" borderId="0" xfId="2" applyFont="1" applyAlignment="1">
      <alignment horizontal="left" vertical="top" wrapText="1" indent="2"/>
    </xf>
    <xf numFmtId="4" fontId="9" fillId="0" borderId="14" xfId="2" applyFont="1" applyBorder="1" applyAlignment="1">
      <alignment horizontal="left" vertical="top" wrapText="1" indent="2"/>
    </xf>
    <xf numFmtId="4" fontId="6" fillId="0" borderId="20" xfId="2" applyFont="1" applyBorder="1" applyAlignment="1">
      <alignment horizontal="left" wrapText="1"/>
    </xf>
    <xf numFmtId="4" fontId="6" fillId="0" borderId="21" xfId="2" applyFont="1" applyBorder="1" applyAlignment="1">
      <alignment horizontal="left" wrapText="1"/>
    </xf>
    <xf numFmtId="4" fontId="6" fillId="0" borderId="26" xfId="2" applyFont="1" applyBorder="1" applyAlignment="1">
      <alignment horizontal="left" wrapText="1"/>
    </xf>
    <xf numFmtId="4" fontId="6" fillId="0" borderId="1" xfId="2" applyFont="1" applyBorder="1" applyAlignment="1">
      <alignment horizontal="left" wrapText="1"/>
    </xf>
    <xf numFmtId="4" fontId="6" fillId="0" borderId="0" xfId="2" applyFont="1" applyAlignment="1">
      <alignment horizontal="left" wrapText="1"/>
    </xf>
    <xf numFmtId="4" fontId="6" fillId="0" borderId="14" xfId="2" applyFont="1" applyBorder="1" applyAlignment="1">
      <alignment horizontal="left" wrapText="1"/>
    </xf>
    <xf numFmtId="4" fontId="6" fillId="0" borderId="31" xfId="2" applyFont="1" applyBorder="1" applyAlignment="1">
      <alignment horizontal="left" vertical="top" wrapText="1"/>
    </xf>
    <xf numFmtId="4" fontId="6" fillId="0" borderId="32" xfId="2" applyFont="1" applyBorder="1" applyAlignment="1">
      <alignment horizontal="left" vertical="top" wrapText="1"/>
    </xf>
    <xf numFmtId="4" fontId="6" fillId="0" borderId="33" xfId="2" applyFont="1" applyBorder="1" applyAlignment="1">
      <alignment horizontal="left" vertical="top" wrapText="1"/>
    </xf>
    <xf numFmtId="4" fontId="8" fillId="3" borderId="8" xfId="2" applyFont="1" applyFill="1" applyBorder="1" applyAlignment="1">
      <alignment horizontal="center" vertical="center"/>
    </xf>
    <xf numFmtId="4" fontId="5" fillId="2" borderId="40" xfId="2" applyFont="1" applyFill="1" applyBorder="1" applyAlignment="1">
      <alignment horizontal="center"/>
    </xf>
    <xf numFmtId="4" fontId="5" fillId="2" borderId="41" xfId="2" applyFont="1" applyFill="1" applyBorder="1" applyAlignment="1">
      <alignment horizontal="center"/>
    </xf>
    <xf numFmtId="4" fontId="5" fillId="2" borderId="42" xfId="2" applyFont="1" applyFill="1" applyBorder="1" applyAlignment="1">
      <alignment horizontal="center"/>
    </xf>
    <xf numFmtId="4" fontId="8" fillId="0" borderId="20" xfId="2" applyFont="1" applyBorder="1" applyAlignment="1">
      <alignment horizontal="center"/>
    </xf>
    <xf numFmtId="4" fontId="8" fillId="0" borderId="21" xfId="2" applyFont="1" applyBorder="1" applyAlignment="1">
      <alignment horizontal="center"/>
    </xf>
    <xf numFmtId="4" fontId="8" fillId="0" borderId="43" xfId="2" applyFont="1" applyBorder="1" applyAlignment="1">
      <alignment horizontal="center"/>
    </xf>
    <xf numFmtId="4" fontId="8" fillId="0" borderId="1" xfId="2" applyFont="1" applyBorder="1" applyAlignment="1">
      <alignment horizontal="center"/>
    </xf>
    <xf numFmtId="4" fontId="8" fillId="0" borderId="0" xfId="2" applyFont="1" applyAlignment="1">
      <alignment horizontal="center"/>
    </xf>
    <xf numFmtId="4" fontId="8" fillId="0" borderId="2" xfId="2" applyFont="1" applyBorder="1" applyAlignment="1">
      <alignment horizontal="center"/>
    </xf>
    <xf numFmtId="4" fontId="8" fillId="0" borderId="44" xfId="2" applyFont="1" applyBorder="1" applyAlignment="1">
      <alignment horizontal="center"/>
    </xf>
    <xf numFmtId="4" fontId="8" fillId="0" borderId="3" xfId="2" applyFont="1" applyBorder="1" applyAlignment="1">
      <alignment horizontal="center"/>
    </xf>
    <xf numFmtId="4" fontId="8" fillId="0" borderId="45" xfId="2" applyFont="1" applyBorder="1" applyAlignment="1">
      <alignment horizontal="center"/>
    </xf>
    <xf numFmtId="4" fontId="6" fillId="3" borderId="4" xfId="2" applyFont="1" applyFill="1" applyBorder="1" applyAlignment="1">
      <alignment horizontal="center" vertical="center"/>
    </xf>
    <xf numFmtId="4" fontId="6" fillId="3" borderId="5" xfId="2" applyFont="1" applyFill="1" applyBorder="1" applyAlignment="1">
      <alignment horizontal="center" vertical="center"/>
    </xf>
    <xf numFmtId="4" fontId="5" fillId="2" borderId="35" xfId="2" applyFont="1" applyFill="1" applyBorder="1" applyAlignment="1">
      <alignment horizontal="center"/>
    </xf>
    <xf numFmtId="4" fontId="5" fillId="2" borderId="36" xfId="2" applyFont="1" applyFill="1" applyBorder="1" applyAlignment="1">
      <alignment horizontal="center"/>
    </xf>
    <xf numFmtId="4" fontId="5" fillId="2" borderId="37" xfId="2" applyFont="1" applyFill="1" applyBorder="1" applyAlignment="1">
      <alignment horizontal="center"/>
    </xf>
    <xf numFmtId="4" fontId="54" fillId="0" borderId="1" xfId="0" applyFont="1" applyBorder="1" applyAlignment="1">
      <alignment horizontal="center"/>
    </xf>
    <xf numFmtId="4" fontId="55" fillId="0" borderId="0" xfId="0" applyFont="1" applyAlignment="1">
      <alignment horizontal="center"/>
    </xf>
    <xf numFmtId="4" fontId="55" fillId="0" borderId="2" xfId="0" applyFont="1" applyBorder="1" applyAlignment="1">
      <alignment horizontal="center"/>
    </xf>
    <xf numFmtId="4" fontId="5" fillId="0" borderId="1" xfId="2" applyFont="1" applyBorder="1" applyAlignment="1">
      <alignment horizontal="left"/>
    </xf>
    <xf numFmtId="4" fontId="5" fillId="0" borderId="0" xfId="2" applyFont="1" applyAlignment="1">
      <alignment horizontal="left"/>
    </xf>
    <xf numFmtId="4" fontId="54" fillId="0" borderId="1" xfId="0" applyFont="1" applyBorder="1" applyAlignment="1">
      <alignment horizontal="left"/>
    </xf>
    <xf numFmtId="4" fontId="54" fillId="0" borderId="0" xfId="0" applyFont="1" applyAlignment="1">
      <alignment horizontal="left"/>
    </xf>
    <xf numFmtId="4" fontId="20" fillId="0" borderId="0" xfId="0" applyFont="1" applyAlignment="1">
      <alignment horizontal="left" vertical="top"/>
    </xf>
    <xf numFmtId="4" fontId="20" fillId="4" borderId="5" xfId="0" applyFont="1" applyFill="1" applyBorder="1" applyAlignment="1">
      <alignment horizontal="center" wrapText="1"/>
    </xf>
    <xf numFmtId="4" fontId="20" fillId="5" borderId="10" xfId="0" applyFont="1" applyFill="1" applyBorder="1" applyAlignment="1">
      <alignment horizontal="center" vertical="center" wrapText="1"/>
    </xf>
    <xf numFmtId="4" fontId="20" fillId="5" borderId="17" xfId="0" applyFont="1" applyFill="1" applyBorder="1" applyAlignment="1">
      <alignment horizontal="center" vertical="center" wrapText="1"/>
    </xf>
    <xf numFmtId="167" fontId="8" fillId="3" borderId="5" xfId="2" applyNumberFormat="1" applyFont="1" applyFill="1" applyBorder="1" applyAlignment="1">
      <alignment horizontal="center" vertical="center"/>
    </xf>
    <xf numFmtId="167" fontId="8" fillId="3" borderId="6" xfId="2" applyNumberFormat="1" applyFont="1" applyFill="1" applyBorder="1" applyAlignment="1">
      <alignment horizontal="center" vertical="center"/>
    </xf>
    <xf numFmtId="167" fontId="8" fillId="3" borderId="19" xfId="2" applyNumberFormat="1" applyFont="1" applyFill="1" applyBorder="1" applyAlignment="1">
      <alignment horizontal="center" vertical="center"/>
    </xf>
    <xf numFmtId="167" fontId="20" fillId="5" borderId="6" xfId="0" applyNumberFormat="1" applyFont="1" applyFill="1" applyBorder="1" applyAlignment="1">
      <alignment horizontal="center" wrapText="1"/>
    </xf>
    <xf numFmtId="167" fontId="20" fillId="5" borderId="7" xfId="0" applyNumberFormat="1" applyFont="1" applyFill="1" applyBorder="1" applyAlignment="1">
      <alignment horizontal="center" wrapText="1"/>
    </xf>
    <xf numFmtId="168" fontId="20" fillId="4" borderId="5" xfId="5" applyNumberFormat="1" applyFont="1" applyFill="1" applyBorder="1" applyAlignment="1">
      <alignment horizontal="center" wrapText="1"/>
    </xf>
    <xf numFmtId="167" fontId="20" fillId="5" borderId="19" xfId="0" applyNumberFormat="1" applyFont="1" applyFill="1" applyBorder="1" applyAlignment="1">
      <alignment horizontal="center" wrapText="1"/>
    </xf>
    <xf numFmtId="4" fontId="20" fillId="5" borderId="5" xfId="0" applyFont="1" applyFill="1" applyBorder="1" applyAlignment="1">
      <alignment horizontal="center" vertical="center" wrapText="1"/>
    </xf>
    <xf numFmtId="167" fontId="20" fillId="5" borderId="5" xfId="0" applyNumberFormat="1" applyFont="1" applyFill="1" applyBorder="1" applyAlignment="1">
      <alignment horizontal="center" wrapText="1"/>
    </xf>
    <xf numFmtId="4" fontId="19" fillId="2" borderId="6" xfId="2" applyFont="1" applyFill="1" applyBorder="1" applyAlignment="1">
      <alignment horizontal="center" wrapText="1"/>
    </xf>
    <xf numFmtId="4" fontId="19" fillId="2" borderId="19" xfId="2" applyFont="1" applyFill="1" applyBorder="1" applyAlignment="1">
      <alignment horizontal="center" wrapText="1"/>
    </xf>
    <xf numFmtId="4" fontId="19" fillId="2" borderId="7" xfId="2" applyFont="1" applyFill="1" applyBorder="1" applyAlignment="1">
      <alignment horizontal="center" wrapText="1"/>
    </xf>
    <xf numFmtId="0" fontId="28" fillId="0" borderId="9" xfId="34" applyFont="1" applyBorder="1" applyAlignment="1">
      <alignment horizontal="left"/>
    </xf>
    <xf numFmtId="0" fontId="28" fillId="0" borderId="0" xfId="34" applyFont="1" applyAlignment="1">
      <alignment horizontal="left"/>
    </xf>
    <xf numFmtId="4" fontId="31" fillId="0" borderId="9" xfId="0" applyFont="1" applyBorder="1" applyAlignment="1">
      <alignment horizontal="left" wrapText="1"/>
    </xf>
    <xf numFmtId="4" fontId="31" fillId="0" borderId="0" xfId="0" applyFont="1" applyAlignment="1">
      <alignment horizontal="left" wrapText="1"/>
    </xf>
    <xf numFmtId="4" fontId="31" fillId="0" borderId="14" xfId="0" applyFont="1" applyBorder="1" applyAlignment="1">
      <alignment horizontal="left" wrapText="1"/>
    </xf>
    <xf numFmtId="4" fontId="19" fillId="2" borderId="10" xfId="2" applyFont="1" applyFill="1" applyBorder="1" applyAlignment="1">
      <alignment horizontal="center" vertical="center"/>
    </xf>
    <xf numFmtId="4" fontId="19" fillId="2" borderId="17" xfId="2" applyFont="1" applyFill="1" applyBorder="1" applyAlignment="1">
      <alignment horizontal="center" vertical="center"/>
    </xf>
    <xf numFmtId="4" fontId="29" fillId="2" borderId="5" xfId="2" applyFont="1" applyFill="1" applyBorder="1" applyAlignment="1">
      <alignment horizontal="center" wrapText="1"/>
    </xf>
    <xf numFmtId="4" fontId="31" fillId="0" borderId="9" xfId="0" applyFont="1" applyBorder="1" applyAlignment="1">
      <alignment horizontal="left"/>
    </xf>
    <xf numFmtId="4" fontId="31" fillId="0" borderId="0" xfId="0" applyFont="1" applyAlignment="1">
      <alignment horizontal="left"/>
    </xf>
    <xf numFmtId="4" fontId="31" fillId="0" borderId="14" xfId="0" applyFont="1" applyBorder="1" applyAlignment="1">
      <alignment horizontal="left"/>
    </xf>
    <xf numFmtId="4" fontId="5" fillId="2" borderId="27" xfId="2" applyFont="1" applyFill="1" applyBorder="1" applyAlignment="1">
      <alignment horizontal="center"/>
    </xf>
    <xf numFmtId="4" fontId="5" fillId="2" borderId="21" xfId="2" applyFont="1" applyFill="1" applyBorder="1" applyAlignment="1">
      <alignment horizontal="center"/>
    </xf>
    <xf numFmtId="4" fontId="5" fillId="2" borderId="26" xfId="2" applyFont="1" applyFill="1" applyBorder="1" applyAlignment="1">
      <alignment horizontal="center"/>
    </xf>
    <xf numFmtId="4" fontId="19" fillId="2" borderId="16" xfId="2" applyFont="1" applyFill="1" applyBorder="1" applyAlignment="1">
      <alignment horizontal="center"/>
    </xf>
    <xf numFmtId="4" fontId="19" fillId="2" borderId="3" xfId="2" applyFont="1" applyFill="1" applyBorder="1" applyAlignment="1">
      <alignment horizontal="center"/>
    </xf>
    <xf numFmtId="4" fontId="19" fillId="2" borderId="15" xfId="2" applyFont="1" applyFill="1" applyBorder="1" applyAlignment="1">
      <alignment horizontal="center"/>
    </xf>
    <xf numFmtId="4" fontId="6" fillId="0" borderId="27" xfId="2" applyFont="1" applyBorder="1" applyAlignment="1">
      <alignment horizontal="center" vertical="center"/>
    </xf>
    <xf numFmtId="4" fontId="6" fillId="0" borderId="21" xfId="2" applyFont="1" applyBorder="1" applyAlignment="1">
      <alignment horizontal="center" vertical="center"/>
    </xf>
    <xf numFmtId="4" fontId="6" fillId="0" borderId="26" xfId="2" applyFont="1" applyBorder="1" applyAlignment="1">
      <alignment horizontal="center" vertical="center"/>
    </xf>
    <xf numFmtId="4" fontId="28" fillId="0" borderId="9" xfId="0" applyFont="1" applyBorder="1" applyAlignment="1">
      <alignment horizontal="center"/>
    </xf>
    <xf numFmtId="4" fontId="28" fillId="0" borderId="0" xfId="0" applyFont="1" applyAlignment="1">
      <alignment horizontal="center"/>
    </xf>
    <xf numFmtId="4" fontId="28" fillId="0" borderId="14" xfId="0" applyFont="1" applyBorder="1" applyAlignment="1">
      <alignment horizontal="center"/>
    </xf>
    <xf numFmtId="4" fontId="27" fillId="0" borderId="0" xfId="0" applyFont="1" applyAlignment="1">
      <alignment horizontal="right" vertical="top"/>
    </xf>
    <xf numFmtId="4" fontId="27" fillId="0" borderId="14" xfId="0" applyFont="1" applyBorder="1" applyAlignment="1">
      <alignment horizontal="right" vertical="top"/>
    </xf>
    <xf numFmtId="4" fontId="29" fillId="2" borderId="6" xfId="0" applyFont="1" applyFill="1" applyBorder="1" applyAlignment="1">
      <alignment horizontal="center" vertical="top" wrapText="1"/>
    </xf>
    <xf numFmtId="4" fontId="29" fillId="2" borderId="19" xfId="0" applyFont="1" applyFill="1" applyBorder="1" applyAlignment="1">
      <alignment horizontal="center" vertical="top" wrapText="1"/>
    </xf>
    <xf numFmtId="4" fontId="29" fillId="2" borderId="7" xfId="0" applyFont="1" applyFill="1" applyBorder="1" applyAlignment="1">
      <alignment horizontal="center" vertical="top" wrapText="1"/>
    </xf>
    <xf numFmtId="4" fontId="18" fillId="4" borderId="5" xfId="0" applyFont="1" applyFill="1" applyBorder="1" applyAlignment="1">
      <alignment horizontal="center" vertical="center" wrapText="1"/>
    </xf>
    <xf numFmtId="0" fontId="2" fillId="0" borderId="0" xfId="6" applyFont="1" applyAlignment="1">
      <alignment horizontal="left"/>
    </xf>
    <xf numFmtId="4" fontId="18" fillId="4" borderId="6" xfId="0" applyFont="1" applyFill="1" applyBorder="1" applyAlignment="1">
      <alignment horizontal="center" vertical="center" wrapText="1"/>
    </xf>
    <xf numFmtId="4" fontId="18" fillId="4" borderId="7" xfId="0" applyFont="1" applyFill="1" applyBorder="1" applyAlignment="1">
      <alignment horizontal="center" vertical="center" wrapText="1"/>
    </xf>
  </cellXfs>
  <cellStyles count="39">
    <cellStyle name="Comma" xfId="1" builtinId="3"/>
    <cellStyle name="Comma 2" xfId="8"/>
    <cellStyle name="Comma 2 2" xfId="9"/>
    <cellStyle name="Comma 3" xfId="3"/>
    <cellStyle name="Comma 31" xfId="10"/>
    <cellStyle name="Comma 33" xfId="11"/>
    <cellStyle name="Comma 34" xfId="5"/>
    <cellStyle name="Comma 4" xfId="12"/>
    <cellStyle name="Comma 5" xfId="13"/>
    <cellStyle name="Comma 7" xfId="36"/>
    <cellStyle name="Comma_BALANCE SHEET FHI 03-04 DEC" xfId="14"/>
    <cellStyle name="Hyperlink" xfId="4" builtinId="8"/>
    <cellStyle name="Normal" xfId="0" builtinId="0"/>
    <cellStyle name="Normal 10" xfId="6"/>
    <cellStyle name="Normal 11" xfId="15"/>
    <cellStyle name="Normal 12" xfId="16"/>
    <cellStyle name="Normal 13" xfId="17"/>
    <cellStyle name="Normal 14" xfId="18"/>
    <cellStyle name="Normal 15" xfId="35"/>
    <cellStyle name="Normal 16" xfId="37"/>
    <cellStyle name="Normal 2" xfId="2"/>
    <cellStyle name="Normal 2 2" xfId="19"/>
    <cellStyle name="Normal 2 2 2" xfId="20"/>
    <cellStyle name="Normal 2 3" xfId="21"/>
    <cellStyle name="Normal 3" xfId="22"/>
    <cellStyle name="Normal 38" xfId="23"/>
    <cellStyle name="Normal 4" xfId="24"/>
    <cellStyle name="Normal 5" xfId="25"/>
    <cellStyle name="Normal 6" xfId="26"/>
    <cellStyle name="Normal 6 2" xfId="27"/>
    <cellStyle name="Normal 7" xfId="28"/>
    <cellStyle name="Normal 8" xfId="29"/>
    <cellStyle name="Normal 8 2" xfId="30"/>
    <cellStyle name="Normal 9" xfId="31"/>
    <cellStyle name="Normal_15old 2" xfId="32"/>
    <cellStyle name="Normal_8" xfId="33"/>
    <cellStyle name="Normal_RUC05" xfId="34"/>
    <cellStyle name="Percent" xfId="38" builtinId="5"/>
    <cellStyle name="Percent 5" xfId="7"/>
  </cellStyles>
  <dxfs count="29">
    <dxf>
      <alignment horizontal="center"/>
    </dxf>
    <dxf>
      <alignment horizontal="center"/>
    </dxf>
    <dxf>
      <alignment horizontal="center"/>
    </dxf>
    <dxf>
      <alignment horizontal="center"/>
    </dxf>
    <dxf>
      <alignment horizontal="center"/>
    </dxf>
    <dxf>
      <alignment horizontal="center"/>
    </dxf>
    <dxf>
      <numFmt numFmtId="3" formatCode="#,##0"/>
    </dxf>
    <dxf>
      <numFmt numFmtId="3" formatCode="#,##0"/>
    </dxf>
    <dxf>
      <numFmt numFmtId="3" formatCode="#,##0"/>
    </dxf>
    <dxf>
      <numFmt numFmtId="3" formatCode="#,##0"/>
    </dxf>
    <dxf>
      <numFmt numFmtId="3" formatCode="#,##0"/>
    </dxf>
    <dxf>
      <numFmt numFmtId="3" formatCode="#,##0"/>
    </dxf>
    <dxf>
      <alignment vertical="center"/>
    </dxf>
    <dxf>
      <alignment vertical="center"/>
    </dxf>
    <dxf>
      <alignment vertical="center"/>
    </dxf>
    <dxf>
      <alignment vertical="center"/>
    </dxf>
    <dxf>
      <alignment vertical="center"/>
    </dxf>
    <dxf>
      <alignment vertical="cent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8" formatCode="_ * #,##0_ ;_ * \-#,##0_ ;_ * &quot;-&quot;??_ ;_ @_ "/>
    </dxf>
    <dxf>
      <numFmt numFmtId="168"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ohinoor%20Group/Moonstone%20Realinfra%20Pvt%20Ltd/Financials/FY%202024-25/1.Moonstone%20File/2.Final%20Balancesheet/Balancesheet%20&amp;%20P&amp;L/Final_Moonstone%20Real%20Infra%20Pvt.%20Ltd.%20Final%20Balance%20Shee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ksha/Downloads/EXPORT_2026052210264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MRL"/>
      <sheetName val="Balancesheet"/>
      <sheetName val="Cash Flow"/>
      <sheetName val="ESC"/>
      <sheetName val="PL"/>
      <sheetName val="Notes"/>
      <sheetName val="STP-Working"/>
      <sheetName val="TB-25-08-25 10.00 pm"/>
      <sheetName val="TB_25-08-2025"/>
      <sheetName val="IT Provision"/>
      <sheetName val="WIP Final"/>
      <sheetName val="TB"/>
      <sheetName val="Drs.&amp;Crs."/>
      <sheetName val="Detailed vendor list"/>
      <sheetName val="Dep &amp; DTA DTL"/>
      <sheetName val="Advance Received from customers"/>
      <sheetName val="Advance Received f"/>
      <sheetName val="Final WIp"/>
      <sheetName val="Significant Notes"/>
      <sheetName val="Auditors Report"/>
      <sheetName val="Directors Report"/>
      <sheetName val="Trade Payable"/>
      <sheetName val="HO_TB_2025"/>
      <sheetName val="Trial Balance"/>
      <sheetName val="HO_TB_2024"/>
      <sheetName val="Disallowance"/>
      <sheetName val="IncomeTax"/>
      <sheetName val="DeferredTax"/>
      <sheetName val="Company Law Depreciation"/>
      <sheetName val="IT Depreciation"/>
      <sheetName val="Master Sheet"/>
      <sheetName val="234A"/>
      <sheetName val="234B"/>
      <sheetName val="234C"/>
      <sheetName val="Sheet1"/>
    </sheetNames>
    <sheetDataSet>
      <sheetData sheetId="0"/>
      <sheetData sheetId="1"/>
      <sheetData sheetId="2">
        <row r="3">
          <cell r="A3" t="str">
            <v>CIN :- U45201PN2022PTC207521</v>
          </cell>
        </row>
        <row r="11">
          <cell r="F11">
            <v>0</v>
          </cell>
          <cell r="G11">
            <v>0</v>
          </cell>
          <cell r="H11">
            <v>0</v>
          </cell>
        </row>
        <row r="12">
          <cell r="I12">
            <v>100000</v>
          </cell>
          <cell r="J12">
            <v>100000</v>
          </cell>
        </row>
        <row r="21">
          <cell r="I21">
            <v>0</v>
          </cell>
          <cell r="J21">
            <v>0</v>
          </cell>
        </row>
        <row r="59">
          <cell r="A59" t="str">
            <v>As per our report of even date</v>
          </cell>
        </row>
      </sheetData>
      <sheetData sheetId="3"/>
      <sheetData sheetId="4"/>
      <sheetData sheetId="5">
        <row r="35">
          <cell r="I35">
            <v>0</v>
          </cell>
        </row>
        <row r="46">
          <cell r="I46">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1">
          <cell r="B1" t="str">
            <v>G/L Account</v>
          </cell>
          <cell r="C1" t="str">
            <v>G/L Acct Long Text</v>
          </cell>
          <cell r="D1" t="str">
            <v>Currency</v>
          </cell>
          <cell r="E1" t="str">
            <v>Business Area</v>
          </cell>
          <cell r="F1" t="str">
            <v>Balance Carryforward</v>
          </cell>
          <cell r="G1" t="str">
            <v>Balance of Prior Periods</v>
          </cell>
          <cell r="H1" t="str">
            <v>Debit Blnce of Reportng Period</v>
          </cell>
          <cell r="I1" t="str">
            <v>Credit Balance Reporting Per.</v>
          </cell>
          <cell r="J1" t="str">
            <v>Accumulated Balance</v>
          </cell>
        </row>
        <row r="2">
          <cell r="B2">
            <v>10000070</v>
          </cell>
          <cell r="C2" t="str">
            <v>Office Equipments</v>
          </cell>
          <cell r="D2" t="str">
            <v>INR</v>
          </cell>
          <cell r="E2" t="str">
            <v/>
          </cell>
          <cell r="F2">
            <v>54811</v>
          </cell>
          <cell r="G2">
            <v>0</v>
          </cell>
          <cell r="H2">
            <v>0</v>
          </cell>
          <cell r="I2">
            <v>0</v>
          </cell>
          <cell r="J2">
            <v>54811</v>
          </cell>
        </row>
        <row r="3">
          <cell r="B3">
            <v>10001070</v>
          </cell>
          <cell r="C3" t="str">
            <v>Accumulated Dep - Office Equipments</v>
          </cell>
          <cell r="D3" t="str">
            <v>INR</v>
          </cell>
          <cell r="E3" t="str">
            <v/>
          </cell>
          <cell r="F3">
            <v>-22469.87</v>
          </cell>
          <cell r="G3">
            <v>0</v>
          </cell>
          <cell r="H3">
            <v>0</v>
          </cell>
          <cell r="I3">
            <v>14576.15</v>
          </cell>
          <cell r="J3">
            <v>-37046.019999999997</v>
          </cell>
        </row>
        <row r="4">
          <cell r="B4">
            <v>10320101</v>
          </cell>
          <cell r="C4" t="str">
            <v>FD - Investment in Fixed Deposit</v>
          </cell>
          <cell r="D4" t="str">
            <v>INR</v>
          </cell>
          <cell r="E4" t="str">
            <v/>
          </cell>
          <cell r="F4">
            <v>1000000</v>
          </cell>
          <cell r="G4">
            <v>0</v>
          </cell>
          <cell r="H4">
            <v>200403478.87</v>
          </cell>
          <cell r="I4">
            <v>166403478.87</v>
          </cell>
          <cell r="J4">
            <v>35000000</v>
          </cell>
        </row>
        <row r="5">
          <cell r="B5">
            <v>10320102</v>
          </cell>
          <cell r="C5" t="str">
            <v>FD - Investment in Fixed Deposit Receivable</v>
          </cell>
          <cell r="D5" t="str">
            <v>INR</v>
          </cell>
          <cell r="E5" t="str">
            <v/>
          </cell>
          <cell r="F5">
            <v>0</v>
          </cell>
          <cell r="G5">
            <v>0</v>
          </cell>
          <cell r="H5">
            <v>166227835.63999999</v>
          </cell>
          <cell r="I5">
            <v>166227835.63999999</v>
          </cell>
          <cell r="J5">
            <v>0</v>
          </cell>
        </row>
        <row r="6">
          <cell r="B6">
            <v>10400101</v>
          </cell>
          <cell r="C6" t="str">
            <v>Capital WIP</v>
          </cell>
          <cell r="D6" t="str">
            <v>INR</v>
          </cell>
          <cell r="E6" t="str">
            <v/>
          </cell>
          <cell r="F6">
            <v>2812765648.8299999</v>
          </cell>
          <cell r="G6">
            <v>0</v>
          </cell>
          <cell r="H6">
            <v>0</v>
          </cell>
          <cell r="I6">
            <v>0</v>
          </cell>
          <cell r="J6">
            <v>2812765648.8299999</v>
          </cell>
        </row>
        <row r="7">
          <cell r="B7">
            <v>10500001</v>
          </cell>
          <cell r="C7" t="str">
            <v>Domestic Customers - Basic &amp; Infra</v>
          </cell>
          <cell r="D7" t="str">
            <v>INR</v>
          </cell>
          <cell r="E7" t="str">
            <v/>
          </cell>
          <cell r="F7">
            <v>835132253.33000004</v>
          </cell>
          <cell r="G7">
            <v>0</v>
          </cell>
          <cell r="H7">
            <v>82317594.280000001</v>
          </cell>
          <cell r="I7">
            <v>57585970.899999999</v>
          </cell>
          <cell r="J7">
            <v>859863876.71000004</v>
          </cell>
        </row>
        <row r="8">
          <cell r="B8">
            <v>10500002</v>
          </cell>
          <cell r="C8" t="str">
            <v>Domestic Customers - GST</v>
          </cell>
          <cell r="D8" t="str">
            <v>INR</v>
          </cell>
          <cell r="E8" t="str">
            <v/>
          </cell>
          <cell r="F8">
            <v>45177026.520000003</v>
          </cell>
          <cell r="G8">
            <v>0</v>
          </cell>
          <cell r="H8">
            <v>3583960.76</v>
          </cell>
          <cell r="I8">
            <v>2037822.51</v>
          </cell>
          <cell r="J8">
            <v>46723164.770000003</v>
          </cell>
        </row>
        <row r="9">
          <cell r="B9">
            <v>10500003</v>
          </cell>
          <cell r="C9" t="str">
            <v>Domestic Customers - SDR</v>
          </cell>
          <cell r="D9" t="str">
            <v>INR</v>
          </cell>
          <cell r="E9" t="str">
            <v/>
          </cell>
          <cell r="F9">
            <v>-22777476</v>
          </cell>
          <cell r="G9">
            <v>0</v>
          </cell>
          <cell r="H9">
            <v>22831301</v>
          </cell>
          <cell r="I9">
            <v>24576201</v>
          </cell>
          <cell r="J9">
            <v>-24522376</v>
          </cell>
        </row>
        <row r="10">
          <cell r="B10">
            <v>10500009</v>
          </cell>
          <cell r="C10" t="str">
            <v>Domestic Customers</v>
          </cell>
          <cell r="D10" t="str">
            <v>INR</v>
          </cell>
          <cell r="E10" t="str">
            <v/>
          </cell>
          <cell r="F10">
            <v>261151400.69999999</v>
          </cell>
          <cell r="G10">
            <v>0</v>
          </cell>
          <cell r="H10">
            <v>240500368.86000001</v>
          </cell>
          <cell r="I10">
            <v>330888724.76999998</v>
          </cell>
          <cell r="J10">
            <v>170763044.78999999</v>
          </cell>
        </row>
        <row r="11">
          <cell r="B11">
            <v>10500100</v>
          </cell>
          <cell r="C11" t="str">
            <v>Customer-Others</v>
          </cell>
          <cell r="D11" t="str">
            <v>INR</v>
          </cell>
          <cell r="E11" t="str">
            <v/>
          </cell>
          <cell r="F11">
            <v>0</v>
          </cell>
          <cell r="G11">
            <v>0</v>
          </cell>
          <cell r="H11">
            <v>2319592.64</v>
          </cell>
          <cell r="I11">
            <v>2319592.64</v>
          </cell>
          <cell r="J11">
            <v>0</v>
          </cell>
        </row>
        <row r="12">
          <cell r="B12">
            <v>10900002</v>
          </cell>
          <cell r="C12" t="str">
            <v>TDS on Sale of Residential Property 1 % Receivable</v>
          </cell>
          <cell r="D12" t="str">
            <v>INR</v>
          </cell>
          <cell r="E12" t="str">
            <v/>
          </cell>
          <cell r="F12">
            <v>29382876.859999999</v>
          </cell>
          <cell r="G12">
            <v>0</v>
          </cell>
          <cell r="H12">
            <v>5080952.8600000003</v>
          </cell>
          <cell r="I12">
            <v>171474.45</v>
          </cell>
          <cell r="J12">
            <v>34292355.270000003</v>
          </cell>
        </row>
        <row r="13">
          <cell r="B13">
            <v>10900102</v>
          </cell>
          <cell r="C13" t="str">
            <v>TDS on Sale of Commercial Property 1 % Rece- 194IA</v>
          </cell>
          <cell r="D13" t="str">
            <v>INR</v>
          </cell>
          <cell r="E13" t="str">
            <v/>
          </cell>
          <cell r="F13">
            <v>0</v>
          </cell>
          <cell r="G13">
            <v>0</v>
          </cell>
          <cell r="H13">
            <v>87116.7</v>
          </cell>
          <cell r="I13">
            <v>87116.7</v>
          </cell>
          <cell r="J13">
            <v>0</v>
          </cell>
        </row>
        <row r="14">
          <cell r="B14">
            <v>10910011</v>
          </cell>
          <cell r="C14" t="str">
            <v>TDS Receivable - Aditya Birla Capital limited</v>
          </cell>
          <cell r="D14" t="str">
            <v>INR</v>
          </cell>
          <cell r="E14" t="str">
            <v/>
          </cell>
          <cell r="F14">
            <v>0</v>
          </cell>
          <cell r="G14">
            <v>0</v>
          </cell>
          <cell r="H14">
            <v>5563060.9000000004</v>
          </cell>
          <cell r="I14">
            <v>713183.9</v>
          </cell>
          <cell r="J14">
            <v>4849877</v>
          </cell>
        </row>
        <row r="15">
          <cell r="B15">
            <v>10910012</v>
          </cell>
          <cell r="C15" t="str">
            <v>TDS Payable (Excess Paid)</v>
          </cell>
          <cell r="D15" t="str">
            <v>INR</v>
          </cell>
          <cell r="E15" t="str">
            <v/>
          </cell>
          <cell r="F15">
            <v>0</v>
          </cell>
          <cell r="G15">
            <v>0</v>
          </cell>
          <cell r="H15">
            <v>465249.11</v>
          </cell>
          <cell r="I15">
            <v>442019.11</v>
          </cell>
          <cell r="J15">
            <v>23230</v>
          </cell>
        </row>
        <row r="16">
          <cell r="B16">
            <v>10910101</v>
          </cell>
          <cell r="C16" t="str">
            <v>FD - TDS on FD Interest</v>
          </cell>
          <cell r="D16" t="str">
            <v>INR</v>
          </cell>
          <cell r="E16" t="str">
            <v/>
          </cell>
          <cell r="F16">
            <v>6220</v>
          </cell>
          <cell r="G16">
            <v>0</v>
          </cell>
          <cell r="H16">
            <v>286789.98</v>
          </cell>
          <cell r="I16">
            <v>0</v>
          </cell>
          <cell r="J16">
            <v>293009.98</v>
          </cell>
        </row>
        <row r="17">
          <cell r="B17">
            <v>10930001</v>
          </cell>
          <cell r="C17" t="str">
            <v>Advance to Vendor</v>
          </cell>
          <cell r="D17" t="str">
            <v>INR</v>
          </cell>
          <cell r="E17" t="str">
            <v/>
          </cell>
          <cell r="F17">
            <v>0</v>
          </cell>
          <cell r="G17">
            <v>0</v>
          </cell>
          <cell r="H17">
            <v>120000</v>
          </cell>
          <cell r="I17">
            <v>100000</v>
          </cell>
          <cell r="J17">
            <v>20000</v>
          </cell>
        </row>
        <row r="18">
          <cell r="B18">
            <v>10930002</v>
          </cell>
          <cell r="C18" t="str">
            <v>Advances to Employee</v>
          </cell>
          <cell r="D18" t="str">
            <v>INR</v>
          </cell>
          <cell r="E18" t="str">
            <v/>
          </cell>
          <cell r="F18">
            <v>41467</v>
          </cell>
          <cell r="G18">
            <v>0</v>
          </cell>
          <cell r="H18">
            <v>1008248</v>
          </cell>
          <cell r="I18">
            <v>851633</v>
          </cell>
          <cell r="J18">
            <v>198082</v>
          </cell>
        </row>
        <row r="19">
          <cell r="B19">
            <v>10940001</v>
          </cell>
          <cell r="C19" t="str">
            <v>Cash</v>
          </cell>
          <cell r="D19" t="str">
            <v>INR</v>
          </cell>
          <cell r="E19" t="str">
            <v/>
          </cell>
          <cell r="F19">
            <v>8605</v>
          </cell>
          <cell r="G19">
            <v>0</v>
          </cell>
          <cell r="H19">
            <v>0</v>
          </cell>
          <cell r="I19">
            <v>500</v>
          </cell>
          <cell r="J19">
            <v>8105</v>
          </cell>
        </row>
        <row r="20">
          <cell r="B20">
            <v>10951220</v>
          </cell>
          <cell r="C20" t="str">
            <v>IDBI- 0600102000012582- Collection A/c- Main</v>
          </cell>
          <cell r="D20" t="str">
            <v>INR</v>
          </cell>
          <cell r="E20" t="str">
            <v/>
          </cell>
          <cell r="F20">
            <v>10000</v>
          </cell>
          <cell r="G20">
            <v>0</v>
          </cell>
          <cell r="H20">
            <v>51819394.219999999</v>
          </cell>
          <cell r="I20">
            <v>51829394.229999997</v>
          </cell>
          <cell r="J20">
            <v>-0.01</v>
          </cell>
        </row>
        <row r="21">
          <cell r="B21">
            <v>10951221</v>
          </cell>
          <cell r="C21" t="str">
            <v>IDBI- 0600102000012582- Collection A/c- Incoming</v>
          </cell>
          <cell r="D21" t="str">
            <v>INR</v>
          </cell>
          <cell r="E21" t="str">
            <v/>
          </cell>
          <cell r="F21">
            <v>0</v>
          </cell>
          <cell r="G21">
            <v>0</v>
          </cell>
          <cell r="H21">
            <v>59674301.770000003</v>
          </cell>
          <cell r="I21">
            <v>59674301.770000003</v>
          </cell>
          <cell r="J21">
            <v>0</v>
          </cell>
        </row>
        <row r="22">
          <cell r="B22">
            <v>10951222</v>
          </cell>
          <cell r="C22" t="str">
            <v>IDBI- 0600102000012582- Collection A/c- Outgoing</v>
          </cell>
          <cell r="D22" t="str">
            <v>INR</v>
          </cell>
          <cell r="E22" t="str">
            <v/>
          </cell>
          <cell r="F22">
            <v>0</v>
          </cell>
          <cell r="G22">
            <v>0</v>
          </cell>
          <cell r="H22">
            <v>50299508.850000001</v>
          </cell>
          <cell r="I22">
            <v>50299508.850000001</v>
          </cell>
          <cell r="J22">
            <v>0</v>
          </cell>
        </row>
        <row r="23">
          <cell r="B23">
            <v>10951230</v>
          </cell>
          <cell r="C23" t="str">
            <v>IDBI- 0600102000012591- RERA A/c- Main</v>
          </cell>
          <cell r="D23" t="str">
            <v>INR</v>
          </cell>
          <cell r="E23" t="str">
            <v/>
          </cell>
          <cell r="F23">
            <v>1017434.18</v>
          </cell>
          <cell r="G23">
            <v>0</v>
          </cell>
          <cell r="H23">
            <v>39480082.25</v>
          </cell>
          <cell r="I23">
            <v>40497516.43</v>
          </cell>
          <cell r="J23">
            <v>0</v>
          </cell>
        </row>
        <row r="24">
          <cell r="B24">
            <v>10951231</v>
          </cell>
          <cell r="C24" t="str">
            <v>IDBI- 0600102000012591- RERA A/c- Incoming</v>
          </cell>
          <cell r="D24" t="str">
            <v>INR</v>
          </cell>
          <cell r="E24" t="str">
            <v/>
          </cell>
          <cell r="F24">
            <v>0</v>
          </cell>
          <cell r="G24">
            <v>0</v>
          </cell>
          <cell r="H24">
            <v>34862416.950000003</v>
          </cell>
          <cell r="I24">
            <v>34862416.950000003</v>
          </cell>
          <cell r="J24">
            <v>0</v>
          </cell>
        </row>
        <row r="25">
          <cell r="B25">
            <v>10951232</v>
          </cell>
          <cell r="C25" t="str">
            <v>IDBI- 0600102000012591- RERA A/c- Outgoing</v>
          </cell>
          <cell r="D25" t="str">
            <v>INR</v>
          </cell>
          <cell r="E25" t="str">
            <v/>
          </cell>
          <cell r="F25">
            <v>0</v>
          </cell>
          <cell r="G25">
            <v>0</v>
          </cell>
          <cell r="H25">
            <v>46540188.689999998</v>
          </cell>
          <cell r="I25">
            <v>46540188.689999998</v>
          </cell>
          <cell r="J25">
            <v>0</v>
          </cell>
        </row>
        <row r="26">
          <cell r="B26">
            <v>10951240</v>
          </cell>
          <cell r="C26" t="str">
            <v>IDBI- 0600102000012607- Expenses A/c- Main</v>
          </cell>
          <cell r="D26" t="str">
            <v>INR</v>
          </cell>
          <cell r="E26" t="str">
            <v/>
          </cell>
          <cell r="F26">
            <v>6119366.8700000001</v>
          </cell>
          <cell r="G26">
            <v>0</v>
          </cell>
          <cell r="H26">
            <v>965605413.16999996</v>
          </cell>
          <cell r="I26">
            <v>970155341.99000001</v>
          </cell>
          <cell r="J26">
            <v>1569438.05</v>
          </cell>
        </row>
        <row r="27">
          <cell r="B27">
            <v>10951241</v>
          </cell>
          <cell r="C27" t="str">
            <v>IDBI- 0600102000012607- Expenses A/c- Incoming</v>
          </cell>
          <cell r="D27" t="str">
            <v>INR</v>
          </cell>
          <cell r="E27" t="str">
            <v/>
          </cell>
          <cell r="F27">
            <v>0</v>
          </cell>
          <cell r="G27">
            <v>0</v>
          </cell>
          <cell r="H27">
            <v>1164853824.5699999</v>
          </cell>
          <cell r="I27">
            <v>1163059303.5699999</v>
          </cell>
          <cell r="J27">
            <v>1794521</v>
          </cell>
        </row>
        <row r="28">
          <cell r="B28">
            <v>10951242</v>
          </cell>
          <cell r="C28" t="str">
            <v>IDBI- 0600102000012607- Expenses A/c- Outgoing</v>
          </cell>
          <cell r="D28" t="str">
            <v>INR</v>
          </cell>
          <cell r="E28" t="str">
            <v/>
          </cell>
          <cell r="F28">
            <v>-5789326.8099999996</v>
          </cell>
          <cell r="G28">
            <v>0</v>
          </cell>
          <cell r="H28">
            <v>1223011332.24</v>
          </cell>
          <cell r="I28">
            <v>1217327726.4300001</v>
          </cell>
          <cell r="J28">
            <v>-105721</v>
          </cell>
        </row>
        <row r="29">
          <cell r="B29">
            <v>10951250</v>
          </cell>
          <cell r="C29" t="str">
            <v>IDBI- 0600102000012616- E-Tax A/c- Main</v>
          </cell>
          <cell r="D29" t="str">
            <v>INR</v>
          </cell>
          <cell r="E29" t="str">
            <v/>
          </cell>
          <cell r="F29">
            <v>614400</v>
          </cell>
          <cell r="G29">
            <v>0</v>
          </cell>
          <cell r="H29">
            <v>21508837.98</v>
          </cell>
          <cell r="I29">
            <v>22048852.760000002</v>
          </cell>
          <cell r="J29">
            <v>74385.22</v>
          </cell>
        </row>
        <row r="30">
          <cell r="B30">
            <v>10951251</v>
          </cell>
          <cell r="C30" t="str">
            <v>IDBI- 0600102000012616- E-Tax A/c- Incoming</v>
          </cell>
          <cell r="D30" t="str">
            <v>INR</v>
          </cell>
          <cell r="E30" t="str">
            <v/>
          </cell>
          <cell r="F30">
            <v>0</v>
          </cell>
          <cell r="G30">
            <v>0</v>
          </cell>
          <cell r="H30">
            <v>27981803</v>
          </cell>
          <cell r="I30">
            <v>27981803</v>
          </cell>
          <cell r="J30">
            <v>0</v>
          </cell>
        </row>
        <row r="31">
          <cell r="B31">
            <v>10951252</v>
          </cell>
          <cell r="C31" t="str">
            <v>IDBI- 0600102000012616- E-Tax A/c- Outgoing</v>
          </cell>
          <cell r="D31" t="str">
            <v>INR</v>
          </cell>
          <cell r="E31" t="str">
            <v/>
          </cell>
          <cell r="F31">
            <v>0</v>
          </cell>
          <cell r="G31">
            <v>0</v>
          </cell>
          <cell r="H31">
            <v>22238988.739999998</v>
          </cell>
          <cell r="I31">
            <v>22238988.739999998</v>
          </cell>
          <cell r="J31">
            <v>0</v>
          </cell>
        </row>
        <row r="32">
          <cell r="B32">
            <v>10951260</v>
          </cell>
          <cell r="C32" t="str">
            <v>IDBI- 0600102000012625- Maintenance A/c- Main</v>
          </cell>
          <cell r="D32" t="str">
            <v>INR</v>
          </cell>
          <cell r="E32" t="str">
            <v/>
          </cell>
          <cell r="F32">
            <v>19702.66</v>
          </cell>
          <cell r="G32">
            <v>0</v>
          </cell>
          <cell r="H32">
            <v>5297.58</v>
          </cell>
          <cell r="I32">
            <v>1.47</v>
          </cell>
          <cell r="J32">
            <v>24998.77</v>
          </cell>
        </row>
        <row r="33">
          <cell r="B33">
            <v>10951261</v>
          </cell>
          <cell r="C33" t="str">
            <v>IDBI- 0600102000012625- Maintenance A/c- Incoming</v>
          </cell>
          <cell r="D33" t="str">
            <v>INR</v>
          </cell>
          <cell r="E33" t="str">
            <v/>
          </cell>
          <cell r="F33">
            <v>0</v>
          </cell>
          <cell r="G33">
            <v>0</v>
          </cell>
          <cell r="H33">
            <v>5297</v>
          </cell>
          <cell r="I33">
            <v>5297</v>
          </cell>
          <cell r="J33">
            <v>0</v>
          </cell>
        </row>
        <row r="34">
          <cell r="B34">
            <v>10951262</v>
          </cell>
          <cell r="C34" t="str">
            <v>IDBI- 0600102000012625- Maintenance A/c- Outgoing</v>
          </cell>
          <cell r="D34" t="str">
            <v>INR</v>
          </cell>
          <cell r="E34" t="str">
            <v/>
          </cell>
          <cell r="F34">
            <v>0</v>
          </cell>
          <cell r="G34">
            <v>0</v>
          </cell>
          <cell r="H34">
            <v>1.47</v>
          </cell>
          <cell r="I34">
            <v>1.47</v>
          </cell>
          <cell r="J34">
            <v>0</v>
          </cell>
        </row>
        <row r="35">
          <cell r="B35">
            <v>10952210</v>
          </cell>
          <cell r="C35" t="str">
            <v>HDFC-99919907012022-OD A/c-Main</v>
          </cell>
          <cell r="D35" t="str">
            <v>INR</v>
          </cell>
          <cell r="E35" t="str">
            <v/>
          </cell>
          <cell r="F35">
            <v>0</v>
          </cell>
          <cell r="G35">
            <v>0</v>
          </cell>
          <cell r="H35">
            <v>1476565765.3</v>
          </cell>
          <cell r="I35">
            <v>1504528114.5799999</v>
          </cell>
          <cell r="J35">
            <v>-27962349.280000001</v>
          </cell>
        </row>
        <row r="36">
          <cell r="B36">
            <v>10952211</v>
          </cell>
          <cell r="C36" t="str">
            <v>HDFC-99919907012022-OD A/c-Incoming</v>
          </cell>
          <cell r="D36" t="str">
            <v>INR</v>
          </cell>
          <cell r="E36" t="str">
            <v/>
          </cell>
          <cell r="F36">
            <v>0</v>
          </cell>
          <cell r="G36">
            <v>0</v>
          </cell>
          <cell r="H36">
            <v>1510047710.46</v>
          </cell>
          <cell r="I36">
            <v>1510047710.46</v>
          </cell>
          <cell r="J36">
            <v>0</v>
          </cell>
        </row>
        <row r="37">
          <cell r="B37">
            <v>10952212</v>
          </cell>
          <cell r="C37" t="str">
            <v>HDFC-99919907012022-OD A/c-Outgoing</v>
          </cell>
          <cell r="D37" t="str">
            <v>INR</v>
          </cell>
          <cell r="E37" t="str">
            <v/>
          </cell>
          <cell r="F37">
            <v>0</v>
          </cell>
          <cell r="G37">
            <v>0</v>
          </cell>
          <cell r="H37">
            <v>1887464345.4200001</v>
          </cell>
          <cell r="I37">
            <v>1887464345.4200001</v>
          </cell>
          <cell r="J37">
            <v>0</v>
          </cell>
        </row>
        <row r="38">
          <cell r="B38">
            <v>10952660</v>
          </cell>
          <cell r="C38" t="str">
            <v>IDBI- 0600102000013916- Collection A/c- Main</v>
          </cell>
          <cell r="D38" t="str">
            <v>INR</v>
          </cell>
          <cell r="E38" t="str">
            <v/>
          </cell>
          <cell r="F38">
            <v>25000</v>
          </cell>
          <cell r="G38">
            <v>0</v>
          </cell>
          <cell r="H38">
            <v>0</v>
          </cell>
          <cell r="I38">
            <v>25000</v>
          </cell>
          <cell r="J38">
            <v>0</v>
          </cell>
        </row>
        <row r="39">
          <cell r="B39">
            <v>10952662</v>
          </cell>
          <cell r="C39" t="str">
            <v>IDBI- 0600102000013916- Rera A/c- Outgoing</v>
          </cell>
          <cell r="D39" t="str">
            <v>INR</v>
          </cell>
          <cell r="E39" t="str">
            <v/>
          </cell>
          <cell r="F39">
            <v>0</v>
          </cell>
          <cell r="G39">
            <v>0</v>
          </cell>
          <cell r="H39">
            <v>25000</v>
          </cell>
          <cell r="I39">
            <v>25000</v>
          </cell>
          <cell r="J39">
            <v>0</v>
          </cell>
        </row>
        <row r="40">
          <cell r="B40">
            <v>10952670</v>
          </cell>
          <cell r="C40" t="str">
            <v>IDBI- 0600102000013891- Expenses A/c- Main</v>
          </cell>
          <cell r="D40" t="str">
            <v>INR</v>
          </cell>
          <cell r="E40" t="str">
            <v/>
          </cell>
          <cell r="F40">
            <v>25000</v>
          </cell>
          <cell r="G40">
            <v>0</v>
          </cell>
          <cell r="H40">
            <v>1500</v>
          </cell>
          <cell r="I40">
            <v>26500</v>
          </cell>
          <cell r="J40">
            <v>0</v>
          </cell>
        </row>
        <row r="41">
          <cell r="B41">
            <v>10952671</v>
          </cell>
          <cell r="C41" t="str">
            <v>IDBI- 0600102000013891- Expenses A/c- Incoming</v>
          </cell>
          <cell r="D41" t="str">
            <v>INR</v>
          </cell>
          <cell r="E41" t="str">
            <v/>
          </cell>
          <cell r="F41">
            <v>0</v>
          </cell>
          <cell r="G41">
            <v>0</v>
          </cell>
          <cell r="H41">
            <v>1500</v>
          </cell>
          <cell r="I41">
            <v>1500</v>
          </cell>
          <cell r="J41">
            <v>0</v>
          </cell>
        </row>
        <row r="42">
          <cell r="B42">
            <v>10952672</v>
          </cell>
          <cell r="C42" t="str">
            <v>IDBI - 0600102000013891-Expenses A/c- Outgoing</v>
          </cell>
          <cell r="D42" t="str">
            <v>INR</v>
          </cell>
          <cell r="E42" t="str">
            <v/>
          </cell>
          <cell r="F42">
            <v>0</v>
          </cell>
          <cell r="G42">
            <v>0</v>
          </cell>
          <cell r="H42">
            <v>26761</v>
          </cell>
          <cell r="I42">
            <v>26761</v>
          </cell>
          <cell r="J42">
            <v>0</v>
          </cell>
        </row>
        <row r="43">
          <cell r="B43">
            <v>10952680</v>
          </cell>
          <cell r="C43" t="str">
            <v>IDBI- 0600102000013907- Rera A/c- Main</v>
          </cell>
          <cell r="D43" t="str">
            <v>INR</v>
          </cell>
          <cell r="E43" t="str">
            <v/>
          </cell>
          <cell r="F43">
            <v>25000</v>
          </cell>
          <cell r="G43">
            <v>0</v>
          </cell>
          <cell r="H43">
            <v>2090</v>
          </cell>
          <cell r="I43">
            <v>27090</v>
          </cell>
          <cell r="J43">
            <v>0</v>
          </cell>
        </row>
        <row r="44">
          <cell r="B44">
            <v>10952681</v>
          </cell>
          <cell r="C44" t="str">
            <v>IDBI- 0600102000013907- Rera A/c- Incoming</v>
          </cell>
          <cell r="D44" t="str">
            <v>INR</v>
          </cell>
          <cell r="E44" t="str">
            <v/>
          </cell>
          <cell r="F44">
            <v>0</v>
          </cell>
          <cell r="G44">
            <v>0</v>
          </cell>
          <cell r="H44">
            <v>1500</v>
          </cell>
          <cell r="I44">
            <v>1500</v>
          </cell>
          <cell r="J44">
            <v>0</v>
          </cell>
        </row>
        <row r="45">
          <cell r="B45">
            <v>10952682</v>
          </cell>
          <cell r="C45" t="str">
            <v>IDBI- 0600102000013907- Rera A/c- Outgoing</v>
          </cell>
          <cell r="D45" t="str">
            <v>INR</v>
          </cell>
          <cell r="E45" t="str">
            <v/>
          </cell>
          <cell r="F45">
            <v>0</v>
          </cell>
          <cell r="G45">
            <v>0</v>
          </cell>
          <cell r="H45">
            <v>27941</v>
          </cell>
          <cell r="I45">
            <v>27941</v>
          </cell>
          <cell r="J45">
            <v>0</v>
          </cell>
        </row>
        <row r="46">
          <cell r="B46">
            <v>10952740</v>
          </cell>
          <cell r="C46" t="str">
            <v>HDFC- 57500001831971- Collection A/c- Main</v>
          </cell>
          <cell r="D46" t="str">
            <v>INR</v>
          </cell>
          <cell r="E46" t="str">
            <v/>
          </cell>
          <cell r="F46">
            <v>0</v>
          </cell>
          <cell r="G46">
            <v>0</v>
          </cell>
          <cell r="H46">
            <v>8713418.8000000007</v>
          </cell>
          <cell r="I46">
            <v>8713418.8000000007</v>
          </cell>
          <cell r="J46">
            <v>0</v>
          </cell>
        </row>
        <row r="47">
          <cell r="B47">
            <v>10952741</v>
          </cell>
          <cell r="C47" t="str">
            <v>HDFC- 57500001831971- Collection A/c- Incoming</v>
          </cell>
          <cell r="D47" t="str">
            <v>INR</v>
          </cell>
          <cell r="E47" t="str">
            <v/>
          </cell>
          <cell r="F47">
            <v>0</v>
          </cell>
          <cell r="G47">
            <v>0</v>
          </cell>
          <cell r="H47">
            <v>12912312.699999999</v>
          </cell>
          <cell r="I47">
            <v>12912312.699999999</v>
          </cell>
          <cell r="J47">
            <v>0</v>
          </cell>
        </row>
        <row r="48">
          <cell r="B48">
            <v>10952742</v>
          </cell>
          <cell r="C48" t="str">
            <v>HDFC- 57500001831971- Collection A/c- Outgoing</v>
          </cell>
          <cell r="D48" t="str">
            <v>INR</v>
          </cell>
          <cell r="E48" t="str">
            <v/>
          </cell>
          <cell r="F48">
            <v>0</v>
          </cell>
          <cell r="G48">
            <v>0</v>
          </cell>
          <cell r="H48">
            <v>4514534.9000000004</v>
          </cell>
          <cell r="I48">
            <v>4514534.9000000004</v>
          </cell>
          <cell r="J48">
            <v>0</v>
          </cell>
        </row>
        <row r="49">
          <cell r="B49">
            <v>10952750</v>
          </cell>
          <cell r="C49" t="str">
            <v>HDFC- 57500001831820- Expenses A/c- Main</v>
          </cell>
          <cell r="D49" t="str">
            <v>INR</v>
          </cell>
          <cell r="E49" t="str">
            <v/>
          </cell>
          <cell r="F49">
            <v>0</v>
          </cell>
          <cell r="G49">
            <v>0</v>
          </cell>
          <cell r="H49">
            <v>1354362.03</v>
          </cell>
          <cell r="I49">
            <v>1354361.97</v>
          </cell>
          <cell r="J49">
            <v>0.06</v>
          </cell>
        </row>
        <row r="50">
          <cell r="B50">
            <v>10952751</v>
          </cell>
          <cell r="C50" t="str">
            <v>HDFC- 57500001831820- Expenses A/c- Incoming</v>
          </cell>
          <cell r="D50" t="str">
            <v>INR</v>
          </cell>
          <cell r="E50" t="str">
            <v/>
          </cell>
          <cell r="F50">
            <v>0</v>
          </cell>
          <cell r="G50">
            <v>0</v>
          </cell>
          <cell r="H50">
            <v>1354361.97</v>
          </cell>
          <cell r="I50">
            <v>1354361.97</v>
          </cell>
          <cell r="J50">
            <v>0</v>
          </cell>
        </row>
        <row r="51">
          <cell r="B51">
            <v>10952752</v>
          </cell>
          <cell r="C51" t="str">
            <v>HDFC- 57500001831820- Expenses A/c- Outgoing</v>
          </cell>
          <cell r="D51" t="str">
            <v>INR</v>
          </cell>
          <cell r="E51" t="str">
            <v/>
          </cell>
          <cell r="F51">
            <v>0</v>
          </cell>
          <cell r="G51">
            <v>0</v>
          </cell>
          <cell r="H51">
            <v>1354362.03</v>
          </cell>
          <cell r="I51">
            <v>1354362.03</v>
          </cell>
          <cell r="J51">
            <v>0</v>
          </cell>
        </row>
        <row r="52">
          <cell r="B52">
            <v>10952760</v>
          </cell>
          <cell r="C52" t="str">
            <v>HDFC- 57500001831984- Rera A/c- Main</v>
          </cell>
          <cell r="D52" t="str">
            <v>INR</v>
          </cell>
          <cell r="E52" t="str">
            <v/>
          </cell>
          <cell r="F52">
            <v>0</v>
          </cell>
          <cell r="G52">
            <v>0</v>
          </cell>
          <cell r="H52">
            <v>3160163.93</v>
          </cell>
          <cell r="I52">
            <v>0</v>
          </cell>
          <cell r="J52">
            <v>3160163.93</v>
          </cell>
        </row>
        <row r="53">
          <cell r="B53">
            <v>10952761</v>
          </cell>
          <cell r="C53" t="str">
            <v>HDFC- 57500001831984- Rera A/c- Incoming</v>
          </cell>
          <cell r="D53" t="str">
            <v>INR</v>
          </cell>
          <cell r="E53" t="str">
            <v/>
          </cell>
          <cell r="F53">
            <v>0</v>
          </cell>
          <cell r="G53">
            <v>0</v>
          </cell>
          <cell r="H53">
            <v>3160170.93</v>
          </cell>
          <cell r="I53">
            <v>3160170.93</v>
          </cell>
          <cell r="J53">
            <v>0</v>
          </cell>
        </row>
        <row r="54">
          <cell r="B54">
            <v>11110003</v>
          </cell>
          <cell r="C54" t="str">
            <v>FD-Interest on Fixed Deposit Accrued but Not Due</v>
          </cell>
          <cell r="D54" t="str">
            <v>INR</v>
          </cell>
          <cell r="E54" t="str">
            <v/>
          </cell>
          <cell r="F54">
            <v>55980</v>
          </cell>
          <cell r="G54">
            <v>0</v>
          </cell>
          <cell r="H54">
            <v>2901127.06</v>
          </cell>
          <cell r="I54">
            <v>619060.85</v>
          </cell>
          <cell r="J54">
            <v>2338046.21</v>
          </cell>
        </row>
        <row r="55">
          <cell r="B55">
            <v>11110011</v>
          </cell>
          <cell r="C55" t="str">
            <v>PF Excess Paid</v>
          </cell>
          <cell r="D55" t="str">
            <v>INR</v>
          </cell>
          <cell r="E55" t="str">
            <v/>
          </cell>
          <cell r="F55">
            <v>0</v>
          </cell>
          <cell r="G55">
            <v>0</v>
          </cell>
          <cell r="H55">
            <v>147</v>
          </cell>
          <cell r="I55">
            <v>0</v>
          </cell>
          <cell r="J55">
            <v>147</v>
          </cell>
        </row>
        <row r="56">
          <cell r="B56">
            <v>11130003</v>
          </cell>
          <cell r="C56" t="str">
            <v>Input CGST 2.5%  Receivable</v>
          </cell>
          <cell r="D56" t="str">
            <v>INR</v>
          </cell>
          <cell r="E56" t="str">
            <v/>
          </cell>
          <cell r="F56">
            <v>0</v>
          </cell>
          <cell r="G56">
            <v>0</v>
          </cell>
          <cell r="H56">
            <v>43.32</v>
          </cell>
          <cell r="I56">
            <v>43.32</v>
          </cell>
          <cell r="J56">
            <v>0</v>
          </cell>
        </row>
        <row r="57">
          <cell r="B57">
            <v>11130004</v>
          </cell>
          <cell r="C57" t="str">
            <v>Input SGST 2.5%  Receivable</v>
          </cell>
          <cell r="D57" t="str">
            <v>INR</v>
          </cell>
          <cell r="E57" t="str">
            <v/>
          </cell>
          <cell r="F57">
            <v>0</v>
          </cell>
          <cell r="G57">
            <v>0</v>
          </cell>
          <cell r="H57">
            <v>43.32</v>
          </cell>
          <cell r="I57">
            <v>43.32</v>
          </cell>
          <cell r="J57">
            <v>0</v>
          </cell>
        </row>
        <row r="58">
          <cell r="B58">
            <v>11130005</v>
          </cell>
          <cell r="C58" t="str">
            <v>Input CGST 6%  Receivable</v>
          </cell>
          <cell r="D58" t="str">
            <v>INR</v>
          </cell>
          <cell r="E58" t="str">
            <v/>
          </cell>
          <cell r="F58">
            <v>0</v>
          </cell>
          <cell r="G58">
            <v>0</v>
          </cell>
          <cell r="H58">
            <v>132</v>
          </cell>
          <cell r="I58">
            <v>132</v>
          </cell>
          <cell r="J58">
            <v>0</v>
          </cell>
        </row>
        <row r="59">
          <cell r="B59">
            <v>11130006</v>
          </cell>
          <cell r="C59" t="str">
            <v>Input SGST 6%  Receivable</v>
          </cell>
          <cell r="D59" t="str">
            <v>INR</v>
          </cell>
          <cell r="E59" t="str">
            <v/>
          </cell>
          <cell r="F59">
            <v>0</v>
          </cell>
          <cell r="G59">
            <v>0</v>
          </cell>
          <cell r="H59">
            <v>132</v>
          </cell>
          <cell r="I59">
            <v>132</v>
          </cell>
          <cell r="J59">
            <v>0</v>
          </cell>
        </row>
        <row r="60">
          <cell r="B60">
            <v>11130007</v>
          </cell>
          <cell r="C60" t="str">
            <v>Input CGST 9%  Receivable</v>
          </cell>
          <cell r="D60" t="str">
            <v>INR</v>
          </cell>
          <cell r="E60" t="str">
            <v/>
          </cell>
          <cell r="F60">
            <v>0</v>
          </cell>
          <cell r="G60">
            <v>0</v>
          </cell>
          <cell r="H60">
            <v>16219898.779999999</v>
          </cell>
          <cell r="I60">
            <v>16219898.779999999</v>
          </cell>
          <cell r="J60">
            <v>0</v>
          </cell>
        </row>
        <row r="61">
          <cell r="B61">
            <v>11130008</v>
          </cell>
          <cell r="C61" t="str">
            <v>Input SGST  9%  Receivable</v>
          </cell>
          <cell r="D61" t="str">
            <v>INR</v>
          </cell>
          <cell r="E61" t="str">
            <v/>
          </cell>
          <cell r="F61">
            <v>0</v>
          </cell>
          <cell r="G61">
            <v>0</v>
          </cell>
          <cell r="H61">
            <v>16219898.779999999</v>
          </cell>
          <cell r="I61">
            <v>16219898.779999999</v>
          </cell>
          <cell r="J61">
            <v>0</v>
          </cell>
        </row>
        <row r="62">
          <cell r="B62">
            <v>11130009</v>
          </cell>
          <cell r="C62" t="str">
            <v>Input CGST 14%  Receivable</v>
          </cell>
          <cell r="D62" t="str">
            <v>INR</v>
          </cell>
          <cell r="E62" t="str">
            <v/>
          </cell>
          <cell r="F62">
            <v>0</v>
          </cell>
          <cell r="G62">
            <v>0</v>
          </cell>
          <cell r="H62">
            <v>75.09</v>
          </cell>
          <cell r="I62">
            <v>75.09</v>
          </cell>
          <cell r="J62">
            <v>0</v>
          </cell>
        </row>
        <row r="63">
          <cell r="B63">
            <v>11130010</v>
          </cell>
          <cell r="C63" t="str">
            <v>Input SGST 14%  Receivable</v>
          </cell>
          <cell r="D63" t="str">
            <v>INR</v>
          </cell>
          <cell r="E63" t="str">
            <v/>
          </cell>
          <cell r="F63">
            <v>0</v>
          </cell>
          <cell r="G63">
            <v>0</v>
          </cell>
          <cell r="H63">
            <v>75.09</v>
          </cell>
          <cell r="I63">
            <v>75.09</v>
          </cell>
          <cell r="J63">
            <v>0</v>
          </cell>
        </row>
        <row r="64">
          <cell r="B64">
            <v>11130014</v>
          </cell>
          <cell r="C64" t="str">
            <v>Input IGST 18%  Receivable</v>
          </cell>
          <cell r="D64" t="str">
            <v>INR</v>
          </cell>
          <cell r="E64" t="str">
            <v/>
          </cell>
          <cell r="F64">
            <v>0</v>
          </cell>
          <cell r="G64">
            <v>0</v>
          </cell>
          <cell r="H64">
            <v>64028.52</v>
          </cell>
          <cell r="I64">
            <v>64028.52</v>
          </cell>
          <cell r="J64">
            <v>0</v>
          </cell>
        </row>
        <row r="65">
          <cell r="B65">
            <v>11130201</v>
          </cell>
          <cell r="C65" t="str">
            <v>CGST RCM Receivable A/c</v>
          </cell>
          <cell r="D65" t="str">
            <v>INR</v>
          </cell>
          <cell r="E65" t="str">
            <v/>
          </cell>
          <cell r="F65">
            <v>0</v>
          </cell>
          <cell r="G65">
            <v>0</v>
          </cell>
          <cell r="H65">
            <v>78308.460000000006</v>
          </cell>
          <cell r="I65">
            <v>78308.460000000006</v>
          </cell>
          <cell r="J65">
            <v>0</v>
          </cell>
        </row>
        <row r="66">
          <cell r="B66">
            <v>11130202</v>
          </cell>
          <cell r="C66" t="str">
            <v>SGST RCM Receivable A/c</v>
          </cell>
          <cell r="D66" t="str">
            <v>INR</v>
          </cell>
          <cell r="E66" t="str">
            <v/>
          </cell>
          <cell r="F66">
            <v>0</v>
          </cell>
          <cell r="G66">
            <v>0</v>
          </cell>
          <cell r="H66">
            <v>78308.460000000006</v>
          </cell>
          <cell r="I66">
            <v>78308.460000000006</v>
          </cell>
          <cell r="J66">
            <v>0</v>
          </cell>
        </row>
        <row r="67">
          <cell r="B67">
            <v>11140001</v>
          </cell>
          <cell r="C67" t="str">
            <v>Prepaid Insurance</v>
          </cell>
          <cell r="D67" t="str">
            <v>INR</v>
          </cell>
          <cell r="E67" t="str">
            <v/>
          </cell>
          <cell r="F67">
            <v>0</v>
          </cell>
          <cell r="G67">
            <v>0</v>
          </cell>
          <cell r="H67">
            <v>391553</v>
          </cell>
          <cell r="I67">
            <v>0</v>
          </cell>
          <cell r="J67">
            <v>391553</v>
          </cell>
        </row>
        <row r="68">
          <cell r="B68">
            <v>11140150</v>
          </cell>
          <cell r="C68" t="str">
            <v>InterBranch Transaction</v>
          </cell>
          <cell r="D68" t="str">
            <v>INR</v>
          </cell>
          <cell r="E68" t="str">
            <v/>
          </cell>
          <cell r="F68">
            <v>-911972112.13</v>
          </cell>
          <cell r="G68">
            <v>0</v>
          </cell>
          <cell r="H68">
            <v>562956890</v>
          </cell>
          <cell r="I68">
            <v>24172096.66</v>
          </cell>
          <cell r="J68">
            <v>-373187318.79000002</v>
          </cell>
        </row>
        <row r="69">
          <cell r="B69">
            <v>11140151</v>
          </cell>
          <cell r="C69" t="str">
            <v>Branch-Ho-Assets</v>
          </cell>
          <cell r="D69" t="str">
            <v>INR</v>
          </cell>
          <cell r="E69" t="str">
            <v/>
          </cell>
          <cell r="F69">
            <v>7256064</v>
          </cell>
          <cell r="G69">
            <v>0</v>
          </cell>
          <cell r="H69">
            <v>0</v>
          </cell>
          <cell r="I69">
            <v>0</v>
          </cell>
          <cell r="J69">
            <v>7256064</v>
          </cell>
        </row>
        <row r="70">
          <cell r="B70">
            <v>11140201</v>
          </cell>
          <cell r="C70" t="str">
            <v>IC RECEIVALE CLEARING</v>
          </cell>
          <cell r="D70" t="str">
            <v>INR</v>
          </cell>
          <cell r="E70" t="str">
            <v/>
          </cell>
          <cell r="F70">
            <v>0</v>
          </cell>
          <cell r="G70">
            <v>0</v>
          </cell>
          <cell r="H70">
            <v>2472949.7999999998</v>
          </cell>
          <cell r="I70">
            <v>2472949.52</v>
          </cell>
          <cell r="J70">
            <v>0.28000000000000003</v>
          </cell>
        </row>
        <row r="71">
          <cell r="B71">
            <v>11150001</v>
          </cell>
          <cell r="C71" t="str">
            <v>Income Tax Refund</v>
          </cell>
          <cell r="D71" t="str">
            <v>INR</v>
          </cell>
          <cell r="E71" t="str">
            <v/>
          </cell>
          <cell r="F71">
            <v>0</v>
          </cell>
          <cell r="G71">
            <v>0</v>
          </cell>
          <cell r="H71">
            <v>0</v>
          </cell>
          <cell r="I71">
            <v>6530</v>
          </cell>
          <cell r="J71">
            <v>-6530</v>
          </cell>
        </row>
        <row r="72">
          <cell r="B72">
            <v>11150011</v>
          </cell>
          <cell r="C72" t="str">
            <v>Deferred Tax Assets</v>
          </cell>
          <cell r="D72" t="str">
            <v>INR</v>
          </cell>
          <cell r="E72" t="str">
            <v/>
          </cell>
          <cell r="F72">
            <v>3585.99</v>
          </cell>
          <cell r="G72">
            <v>0</v>
          </cell>
          <cell r="H72">
            <v>1910</v>
          </cell>
          <cell r="I72">
            <v>0</v>
          </cell>
          <cell r="J72">
            <v>5495.99</v>
          </cell>
        </row>
        <row r="73">
          <cell r="B73">
            <v>20000202</v>
          </cell>
          <cell r="C73" t="str">
            <v>Current Capital - Rajesh Goyal</v>
          </cell>
          <cell r="D73" t="str">
            <v>INR</v>
          </cell>
          <cell r="E73" t="str">
            <v/>
          </cell>
          <cell r="F73">
            <v>0</v>
          </cell>
          <cell r="G73">
            <v>0</v>
          </cell>
          <cell r="H73">
            <v>30000000</v>
          </cell>
          <cell r="I73">
            <v>30000000</v>
          </cell>
          <cell r="J73">
            <v>0</v>
          </cell>
        </row>
        <row r="74">
          <cell r="B74">
            <v>20000203</v>
          </cell>
          <cell r="C74" t="str">
            <v>Current Capital - Vineet Goyal</v>
          </cell>
          <cell r="D74" t="str">
            <v>INR</v>
          </cell>
          <cell r="E74" t="str">
            <v/>
          </cell>
          <cell r="F74">
            <v>0</v>
          </cell>
          <cell r="G74">
            <v>0</v>
          </cell>
          <cell r="H74">
            <v>8000000</v>
          </cell>
          <cell r="I74">
            <v>8000000</v>
          </cell>
          <cell r="J74">
            <v>0</v>
          </cell>
        </row>
        <row r="75">
          <cell r="B75">
            <v>20000308</v>
          </cell>
          <cell r="C75" t="str">
            <v>Branch Ho-Liablities</v>
          </cell>
          <cell r="D75" t="str">
            <v>INR</v>
          </cell>
          <cell r="E75" t="str">
            <v/>
          </cell>
          <cell r="F75">
            <v>-13852958</v>
          </cell>
          <cell r="G75">
            <v>0</v>
          </cell>
          <cell r="H75">
            <v>0</v>
          </cell>
          <cell r="I75">
            <v>0</v>
          </cell>
          <cell r="J75">
            <v>-13852958</v>
          </cell>
        </row>
        <row r="76">
          <cell r="B76">
            <v>20000350</v>
          </cell>
          <cell r="C76" t="str">
            <v>Share Capital</v>
          </cell>
          <cell r="D76" t="str">
            <v>INR</v>
          </cell>
          <cell r="E76" t="str">
            <v/>
          </cell>
          <cell r="F76">
            <v>-100000</v>
          </cell>
          <cell r="G76">
            <v>0</v>
          </cell>
          <cell r="H76">
            <v>0</v>
          </cell>
          <cell r="I76">
            <v>0</v>
          </cell>
          <cell r="J76">
            <v>-100000</v>
          </cell>
        </row>
        <row r="77">
          <cell r="B77">
            <v>20100001</v>
          </cell>
          <cell r="C77" t="str">
            <v>Retained Earning A/c</v>
          </cell>
          <cell r="D77" t="str">
            <v>INR</v>
          </cell>
          <cell r="E77" t="str">
            <v/>
          </cell>
          <cell r="F77">
            <v>111152.72</v>
          </cell>
          <cell r="G77">
            <v>0</v>
          </cell>
          <cell r="H77">
            <v>0</v>
          </cell>
          <cell r="I77">
            <v>0</v>
          </cell>
          <cell r="J77">
            <v>111152.72</v>
          </cell>
        </row>
        <row r="78">
          <cell r="B78">
            <v>20100003</v>
          </cell>
          <cell r="C78" t="str">
            <v>Reserves &amp; Surplus</v>
          </cell>
          <cell r="D78" t="str">
            <v>INR</v>
          </cell>
          <cell r="E78" t="str">
            <v/>
          </cell>
          <cell r="F78">
            <v>2890.55</v>
          </cell>
          <cell r="G78">
            <v>0</v>
          </cell>
          <cell r="H78">
            <v>0</v>
          </cell>
          <cell r="I78">
            <v>0</v>
          </cell>
          <cell r="J78">
            <v>2890.55</v>
          </cell>
        </row>
        <row r="79">
          <cell r="B79">
            <v>20100101</v>
          </cell>
          <cell r="C79" t="str">
            <v>Zero Balance Clearing for PCA</v>
          </cell>
          <cell r="D79" t="str">
            <v>INR</v>
          </cell>
          <cell r="E79" t="str">
            <v/>
          </cell>
          <cell r="F79">
            <v>0</v>
          </cell>
          <cell r="G79">
            <v>0</v>
          </cell>
          <cell r="H79">
            <v>1199828707.6199999</v>
          </cell>
          <cell r="I79">
            <v>1199828707.6199999</v>
          </cell>
          <cell r="J79">
            <v>0</v>
          </cell>
        </row>
        <row r="80">
          <cell r="B80">
            <v>20200001</v>
          </cell>
          <cell r="C80" t="str">
            <v>Loan from Relative -Krishna kumar Goyal</v>
          </cell>
          <cell r="D80" t="str">
            <v>INR</v>
          </cell>
          <cell r="E80" t="str">
            <v/>
          </cell>
          <cell r="F80">
            <v>-29758000</v>
          </cell>
          <cell r="G80">
            <v>0</v>
          </cell>
          <cell r="H80">
            <v>40000000</v>
          </cell>
          <cell r="I80">
            <v>131600000</v>
          </cell>
          <cell r="J80">
            <v>-121358000</v>
          </cell>
        </row>
        <row r="81">
          <cell r="B81">
            <v>20200002</v>
          </cell>
          <cell r="C81" t="str">
            <v>Loan from Directors - Rajesh Goyal</v>
          </cell>
          <cell r="D81" t="str">
            <v>INR</v>
          </cell>
          <cell r="E81" t="str">
            <v/>
          </cell>
          <cell r="F81">
            <v>-172634520</v>
          </cell>
          <cell r="G81">
            <v>0</v>
          </cell>
          <cell r="H81">
            <v>307500000</v>
          </cell>
          <cell r="I81">
            <v>340500000</v>
          </cell>
          <cell r="J81">
            <v>-205634520</v>
          </cell>
        </row>
        <row r="82">
          <cell r="B82">
            <v>20200003</v>
          </cell>
          <cell r="C82" t="str">
            <v>Loan from Directors - Vineet Goyal</v>
          </cell>
          <cell r="D82" t="str">
            <v>INR</v>
          </cell>
          <cell r="E82" t="str">
            <v/>
          </cell>
          <cell r="F82">
            <v>218300000</v>
          </cell>
          <cell r="G82">
            <v>0</v>
          </cell>
          <cell r="H82">
            <v>126600000</v>
          </cell>
          <cell r="I82">
            <v>394281956</v>
          </cell>
          <cell r="J82">
            <v>-49381956</v>
          </cell>
        </row>
        <row r="83">
          <cell r="B83">
            <v>20201009</v>
          </cell>
          <cell r="C83" t="str">
            <v>Aditya Birla Capital Loan- 935318</v>
          </cell>
          <cell r="D83" t="str">
            <v>INR</v>
          </cell>
          <cell r="E83" t="str">
            <v/>
          </cell>
          <cell r="F83">
            <v>0</v>
          </cell>
          <cell r="G83">
            <v>0</v>
          </cell>
          <cell r="H83">
            <v>410148174.37</v>
          </cell>
          <cell r="I83">
            <v>797031674.89999998</v>
          </cell>
          <cell r="J83">
            <v>-386883500.52999997</v>
          </cell>
        </row>
        <row r="84">
          <cell r="B84">
            <v>20201010</v>
          </cell>
          <cell r="C84" t="str">
            <v>Aditya Birla Capital Loan- 962471</v>
          </cell>
          <cell r="D84" t="str">
            <v>INR</v>
          </cell>
          <cell r="E84" t="str">
            <v/>
          </cell>
          <cell r="F84">
            <v>0</v>
          </cell>
          <cell r="G84">
            <v>0</v>
          </cell>
          <cell r="H84">
            <v>2511131</v>
          </cell>
          <cell r="I84">
            <v>2511131</v>
          </cell>
          <cell r="J84">
            <v>0</v>
          </cell>
        </row>
        <row r="85">
          <cell r="B85">
            <v>20411001</v>
          </cell>
          <cell r="C85" t="str">
            <v>CGST Customer Payable</v>
          </cell>
          <cell r="D85" t="str">
            <v>INR</v>
          </cell>
          <cell r="E85" t="str">
            <v/>
          </cell>
          <cell r="F85">
            <v>-1214</v>
          </cell>
          <cell r="G85">
            <v>0</v>
          </cell>
          <cell r="H85">
            <v>1214</v>
          </cell>
          <cell r="I85">
            <v>0</v>
          </cell>
          <cell r="J85">
            <v>0</v>
          </cell>
        </row>
        <row r="86">
          <cell r="B86">
            <v>20411002</v>
          </cell>
          <cell r="C86" t="str">
            <v>SGST Customer Payable</v>
          </cell>
          <cell r="D86" t="str">
            <v>INR</v>
          </cell>
          <cell r="E86" t="str">
            <v/>
          </cell>
          <cell r="F86">
            <v>-1214</v>
          </cell>
          <cell r="G86">
            <v>0</v>
          </cell>
          <cell r="H86">
            <v>1214</v>
          </cell>
          <cell r="I86">
            <v>0</v>
          </cell>
          <cell r="J86">
            <v>0</v>
          </cell>
        </row>
        <row r="87">
          <cell r="B87">
            <v>20412001</v>
          </cell>
          <cell r="C87" t="str">
            <v>Output CGST 0.5%  Payable</v>
          </cell>
          <cell r="D87" t="str">
            <v>INR</v>
          </cell>
          <cell r="E87" t="str">
            <v/>
          </cell>
          <cell r="F87">
            <v>0</v>
          </cell>
          <cell r="G87">
            <v>0</v>
          </cell>
          <cell r="H87">
            <v>266647</v>
          </cell>
          <cell r="I87">
            <v>266647</v>
          </cell>
          <cell r="J87">
            <v>0</v>
          </cell>
        </row>
        <row r="88">
          <cell r="B88">
            <v>20412002</v>
          </cell>
          <cell r="C88" t="str">
            <v>Output SGST 0.5%  Payable</v>
          </cell>
          <cell r="D88" t="str">
            <v>INR</v>
          </cell>
          <cell r="E88" t="str">
            <v/>
          </cell>
          <cell r="F88">
            <v>0</v>
          </cell>
          <cell r="G88">
            <v>0</v>
          </cell>
          <cell r="H88">
            <v>180481</v>
          </cell>
          <cell r="I88">
            <v>180481</v>
          </cell>
          <cell r="J88">
            <v>0</v>
          </cell>
        </row>
        <row r="89">
          <cell r="B89">
            <v>20412003</v>
          </cell>
          <cell r="C89" t="str">
            <v>Output CGST 2.5%  Payable</v>
          </cell>
          <cell r="D89" t="str">
            <v>INR</v>
          </cell>
          <cell r="E89" t="str">
            <v/>
          </cell>
          <cell r="F89">
            <v>-262826.34999999998</v>
          </cell>
          <cell r="G89">
            <v>0</v>
          </cell>
          <cell r="H89">
            <v>10808052.99</v>
          </cell>
          <cell r="I89">
            <v>10447660.189999999</v>
          </cell>
          <cell r="J89">
            <v>97566.45</v>
          </cell>
        </row>
        <row r="90">
          <cell r="B90">
            <v>20412004</v>
          </cell>
          <cell r="C90" t="str">
            <v>Output SGST 2.5%  Payable</v>
          </cell>
          <cell r="D90" t="str">
            <v>INR</v>
          </cell>
          <cell r="E90" t="str">
            <v/>
          </cell>
          <cell r="F90">
            <v>-234180.38</v>
          </cell>
          <cell r="G90">
            <v>0</v>
          </cell>
          <cell r="H90">
            <v>10779407.02</v>
          </cell>
          <cell r="I90">
            <v>10447660.189999999</v>
          </cell>
          <cell r="J90">
            <v>97566.45</v>
          </cell>
        </row>
        <row r="91">
          <cell r="B91">
            <v>20412007</v>
          </cell>
          <cell r="C91" t="str">
            <v>Output CGST 9%  Payable</v>
          </cell>
          <cell r="D91" t="str">
            <v>INR</v>
          </cell>
          <cell r="E91" t="str">
            <v/>
          </cell>
          <cell r="F91">
            <v>-48112.32</v>
          </cell>
          <cell r="G91">
            <v>0</v>
          </cell>
          <cell r="H91">
            <v>93653.41</v>
          </cell>
          <cell r="I91">
            <v>45541.55</v>
          </cell>
          <cell r="J91">
            <v>-0.46</v>
          </cell>
        </row>
        <row r="92">
          <cell r="B92">
            <v>20412008</v>
          </cell>
          <cell r="C92" t="str">
            <v>Output SGST  9%  Payable</v>
          </cell>
          <cell r="D92" t="str">
            <v>INR</v>
          </cell>
          <cell r="E92" t="str">
            <v/>
          </cell>
          <cell r="F92">
            <v>-48112.32</v>
          </cell>
          <cell r="G92">
            <v>0</v>
          </cell>
          <cell r="H92">
            <v>93653.41</v>
          </cell>
          <cell r="I92">
            <v>45541.55</v>
          </cell>
          <cell r="J92">
            <v>-0.46</v>
          </cell>
        </row>
        <row r="93">
          <cell r="B93">
            <v>20412101</v>
          </cell>
          <cell r="C93" t="str">
            <v>CGST RCM Payable</v>
          </cell>
          <cell r="D93" t="str">
            <v>INR</v>
          </cell>
          <cell r="E93" t="str">
            <v/>
          </cell>
          <cell r="F93">
            <v>-43663.32</v>
          </cell>
          <cell r="G93">
            <v>0</v>
          </cell>
          <cell r="H93">
            <v>147837</v>
          </cell>
          <cell r="I93">
            <v>113166.46</v>
          </cell>
          <cell r="J93">
            <v>-8992.7800000000007</v>
          </cell>
        </row>
        <row r="94">
          <cell r="B94">
            <v>20412102</v>
          </cell>
          <cell r="C94" t="str">
            <v>SGST RCM Payable</v>
          </cell>
          <cell r="D94" t="str">
            <v>INR</v>
          </cell>
          <cell r="E94" t="str">
            <v/>
          </cell>
          <cell r="F94">
            <v>-43663.32</v>
          </cell>
          <cell r="G94">
            <v>0</v>
          </cell>
          <cell r="H94">
            <v>147837</v>
          </cell>
          <cell r="I94">
            <v>113166.46</v>
          </cell>
          <cell r="J94">
            <v>-8992.7800000000007</v>
          </cell>
        </row>
        <row r="95">
          <cell r="B95">
            <v>20415001</v>
          </cell>
          <cell r="C95" t="str">
            <v>TDS Payable on Purchase (194Q)</v>
          </cell>
          <cell r="D95" t="str">
            <v>INR</v>
          </cell>
          <cell r="E95" t="str">
            <v/>
          </cell>
          <cell r="F95">
            <v>-60276.89</v>
          </cell>
          <cell r="G95">
            <v>0</v>
          </cell>
          <cell r="H95">
            <v>60278</v>
          </cell>
          <cell r="I95">
            <v>1.1100000000000001</v>
          </cell>
          <cell r="J95">
            <v>0</v>
          </cell>
        </row>
        <row r="96">
          <cell r="B96">
            <v>20415002</v>
          </cell>
          <cell r="C96" t="str">
            <v>TDS Payable on Brokerage (194H)</v>
          </cell>
          <cell r="D96" t="str">
            <v>INR</v>
          </cell>
          <cell r="E96" t="str">
            <v/>
          </cell>
          <cell r="F96">
            <v>20886</v>
          </cell>
          <cell r="G96">
            <v>0</v>
          </cell>
          <cell r="H96">
            <v>303038</v>
          </cell>
          <cell r="I96">
            <v>349171</v>
          </cell>
          <cell r="J96">
            <v>-25247</v>
          </cell>
        </row>
        <row r="97">
          <cell r="B97">
            <v>20415003</v>
          </cell>
          <cell r="C97" t="str">
            <v>TDS Payable on Interest (194A)</v>
          </cell>
          <cell r="D97" t="str">
            <v>INR</v>
          </cell>
          <cell r="E97" t="str">
            <v/>
          </cell>
          <cell r="F97">
            <v>0</v>
          </cell>
          <cell r="G97">
            <v>0</v>
          </cell>
          <cell r="H97">
            <v>1616152.01</v>
          </cell>
          <cell r="I97">
            <v>6024009.9000000004</v>
          </cell>
          <cell r="J97">
            <v>-4407857.8899999997</v>
          </cell>
        </row>
        <row r="98">
          <cell r="B98">
            <v>20415004</v>
          </cell>
          <cell r="C98" t="str">
            <v>TDS Payable on Rent (194I)</v>
          </cell>
          <cell r="D98" t="str">
            <v>INR</v>
          </cell>
          <cell r="E98" t="str">
            <v/>
          </cell>
          <cell r="F98">
            <v>0</v>
          </cell>
          <cell r="G98">
            <v>0</v>
          </cell>
          <cell r="H98">
            <v>3975</v>
          </cell>
          <cell r="I98">
            <v>3975</v>
          </cell>
          <cell r="J98">
            <v>0</v>
          </cell>
        </row>
        <row r="99">
          <cell r="B99">
            <v>20415006</v>
          </cell>
          <cell r="C99" t="str">
            <v>TDS Payable on Professional Fees (194J)</v>
          </cell>
          <cell r="D99" t="str">
            <v>INR</v>
          </cell>
          <cell r="E99" t="str">
            <v/>
          </cell>
          <cell r="F99">
            <v>-106899</v>
          </cell>
          <cell r="G99">
            <v>0</v>
          </cell>
          <cell r="H99">
            <v>1263772</v>
          </cell>
          <cell r="I99">
            <v>1213050</v>
          </cell>
          <cell r="J99">
            <v>-56177</v>
          </cell>
        </row>
        <row r="100">
          <cell r="B100">
            <v>20415007</v>
          </cell>
          <cell r="C100" t="str">
            <v>TDS Payable on Contractor (194C)</v>
          </cell>
          <cell r="D100" t="str">
            <v>INR</v>
          </cell>
          <cell r="E100" t="str">
            <v/>
          </cell>
          <cell r="F100">
            <v>-844881</v>
          </cell>
          <cell r="G100">
            <v>0</v>
          </cell>
          <cell r="H100">
            <v>3404785</v>
          </cell>
          <cell r="I100">
            <v>2569384</v>
          </cell>
          <cell r="J100">
            <v>-9480</v>
          </cell>
        </row>
        <row r="101">
          <cell r="B101">
            <v>20415021</v>
          </cell>
          <cell r="C101" t="str">
            <v>TDS on Salary</v>
          </cell>
          <cell r="D101" t="str">
            <v>INR</v>
          </cell>
          <cell r="E101" t="str">
            <v/>
          </cell>
          <cell r="F101">
            <v>0</v>
          </cell>
          <cell r="G101">
            <v>0</v>
          </cell>
          <cell r="H101">
            <v>3156953</v>
          </cell>
          <cell r="I101">
            <v>3509877</v>
          </cell>
          <cell r="J101">
            <v>-352924</v>
          </cell>
        </row>
        <row r="102">
          <cell r="B102">
            <v>20416001</v>
          </cell>
          <cell r="C102" t="str">
            <v>EDLI Contribution Payable</v>
          </cell>
          <cell r="D102" t="str">
            <v>INR</v>
          </cell>
          <cell r="E102" t="str">
            <v/>
          </cell>
          <cell r="F102">
            <v>0</v>
          </cell>
          <cell r="G102">
            <v>0</v>
          </cell>
          <cell r="H102">
            <v>54109</v>
          </cell>
          <cell r="I102">
            <v>60446</v>
          </cell>
          <cell r="J102">
            <v>-6337</v>
          </cell>
        </row>
        <row r="103">
          <cell r="B103">
            <v>20416002</v>
          </cell>
          <cell r="C103" t="str">
            <v>Employer Contribution at ESI Payable</v>
          </cell>
          <cell r="D103" t="str">
            <v>INR</v>
          </cell>
          <cell r="E103" t="str">
            <v/>
          </cell>
          <cell r="F103">
            <v>0</v>
          </cell>
          <cell r="G103">
            <v>0</v>
          </cell>
          <cell r="H103">
            <v>13502</v>
          </cell>
          <cell r="I103">
            <v>13502</v>
          </cell>
          <cell r="J103">
            <v>0</v>
          </cell>
        </row>
        <row r="104">
          <cell r="B104">
            <v>20416003</v>
          </cell>
          <cell r="C104" t="str">
            <v>PF Admin Charges  Payable</v>
          </cell>
          <cell r="D104" t="str">
            <v>INR</v>
          </cell>
          <cell r="E104" t="str">
            <v/>
          </cell>
          <cell r="F104">
            <v>0</v>
          </cell>
          <cell r="G104">
            <v>0</v>
          </cell>
          <cell r="H104">
            <v>54103</v>
          </cell>
          <cell r="I104">
            <v>60440</v>
          </cell>
          <cell r="J104">
            <v>-6337</v>
          </cell>
        </row>
        <row r="105">
          <cell r="B105">
            <v>20416004</v>
          </cell>
          <cell r="C105" t="str">
            <v>PF Employer Contribution Payable</v>
          </cell>
          <cell r="D105" t="str">
            <v>INR</v>
          </cell>
          <cell r="E105" t="str">
            <v/>
          </cell>
          <cell r="F105">
            <v>0</v>
          </cell>
          <cell r="G105">
            <v>0</v>
          </cell>
          <cell r="H105">
            <v>1298488</v>
          </cell>
          <cell r="I105">
            <v>1450574</v>
          </cell>
          <cell r="J105">
            <v>-152086</v>
          </cell>
        </row>
        <row r="106">
          <cell r="B106">
            <v>20420001</v>
          </cell>
          <cell r="C106" t="str">
            <v>Salary Payable</v>
          </cell>
          <cell r="D106" t="str">
            <v>INR</v>
          </cell>
          <cell r="E106" t="str">
            <v/>
          </cell>
          <cell r="F106">
            <v>0</v>
          </cell>
          <cell r="G106">
            <v>0</v>
          </cell>
          <cell r="H106">
            <v>98361817</v>
          </cell>
          <cell r="I106">
            <v>104036790</v>
          </cell>
          <cell r="J106">
            <v>-5674973</v>
          </cell>
        </row>
        <row r="107">
          <cell r="B107">
            <v>20420003</v>
          </cell>
          <cell r="C107" t="str">
            <v>P.F. Employee Contribution Payable</v>
          </cell>
          <cell r="D107" t="str">
            <v>INR</v>
          </cell>
          <cell r="E107" t="str">
            <v/>
          </cell>
          <cell r="F107">
            <v>0</v>
          </cell>
          <cell r="G107">
            <v>0</v>
          </cell>
          <cell r="H107">
            <v>1298488</v>
          </cell>
          <cell r="I107">
            <v>1450574</v>
          </cell>
          <cell r="J107">
            <v>-152086</v>
          </cell>
        </row>
        <row r="108">
          <cell r="B108">
            <v>20420004</v>
          </cell>
          <cell r="C108" t="str">
            <v>Profession Tax Payable</v>
          </cell>
          <cell r="D108" t="str">
            <v>INR</v>
          </cell>
          <cell r="E108" t="str">
            <v/>
          </cell>
          <cell r="F108">
            <v>0</v>
          </cell>
          <cell r="G108">
            <v>0</v>
          </cell>
          <cell r="H108">
            <v>171925</v>
          </cell>
          <cell r="I108">
            <v>176175</v>
          </cell>
          <cell r="J108">
            <v>-4250</v>
          </cell>
        </row>
        <row r="109">
          <cell r="B109">
            <v>20420005</v>
          </cell>
          <cell r="C109" t="str">
            <v>Employee Bonus Payable</v>
          </cell>
          <cell r="D109" t="str">
            <v>INR</v>
          </cell>
          <cell r="E109" t="str">
            <v/>
          </cell>
          <cell r="F109">
            <v>0</v>
          </cell>
          <cell r="G109">
            <v>0</v>
          </cell>
          <cell r="H109">
            <v>808654</v>
          </cell>
          <cell r="I109">
            <v>808654</v>
          </cell>
          <cell r="J109">
            <v>0</v>
          </cell>
        </row>
        <row r="110">
          <cell r="B110">
            <v>20420006</v>
          </cell>
          <cell r="C110" t="str">
            <v>Maharashtra Labour Welfare Fund Payable</v>
          </cell>
          <cell r="D110" t="str">
            <v>INR</v>
          </cell>
          <cell r="E110" t="str">
            <v/>
          </cell>
          <cell r="F110">
            <v>0</v>
          </cell>
          <cell r="G110">
            <v>0</v>
          </cell>
          <cell r="H110">
            <v>26300</v>
          </cell>
          <cell r="I110">
            <v>26300</v>
          </cell>
          <cell r="J110">
            <v>0</v>
          </cell>
        </row>
        <row r="111">
          <cell r="B111">
            <v>20420009</v>
          </cell>
          <cell r="C111" t="str">
            <v>PTEC Payable</v>
          </cell>
          <cell r="D111" t="str">
            <v>INR</v>
          </cell>
          <cell r="E111" t="str">
            <v/>
          </cell>
          <cell r="F111">
            <v>0</v>
          </cell>
          <cell r="G111">
            <v>0</v>
          </cell>
          <cell r="H111">
            <v>2500</v>
          </cell>
          <cell r="I111">
            <v>5000</v>
          </cell>
          <cell r="J111">
            <v>-2500</v>
          </cell>
        </row>
        <row r="112">
          <cell r="B112">
            <v>20420032</v>
          </cell>
          <cell r="C112" t="str">
            <v>Audit Fees Payable</v>
          </cell>
          <cell r="D112" t="str">
            <v>INR</v>
          </cell>
          <cell r="E112" t="str">
            <v/>
          </cell>
          <cell r="F112">
            <v>-180000</v>
          </cell>
          <cell r="G112">
            <v>0</v>
          </cell>
          <cell r="H112">
            <v>400000</v>
          </cell>
          <cell r="I112">
            <v>400000</v>
          </cell>
          <cell r="J112">
            <v>-180000</v>
          </cell>
        </row>
        <row r="113">
          <cell r="B113">
            <v>20420033</v>
          </cell>
          <cell r="C113" t="str">
            <v>Professional Fees Payable</v>
          </cell>
          <cell r="D113" t="str">
            <v>INR</v>
          </cell>
          <cell r="E113" t="str">
            <v/>
          </cell>
          <cell r="F113">
            <v>0</v>
          </cell>
          <cell r="G113">
            <v>0</v>
          </cell>
          <cell r="H113">
            <v>0</v>
          </cell>
          <cell r="I113">
            <v>7500</v>
          </cell>
          <cell r="J113">
            <v>-7500</v>
          </cell>
        </row>
        <row r="114">
          <cell r="B114">
            <v>20420202</v>
          </cell>
          <cell r="C114" t="str">
            <v>Reimbursement Exp Payable to Rajesh Goyal</v>
          </cell>
          <cell r="D114" t="str">
            <v>INR</v>
          </cell>
          <cell r="E114" t="str">
            <v/>
          </cell>
          <cell r="F114">
            <v>0</v>
          </cell>
          <cell r="G114">
            <v>0</v>
          </cell>
          <cell r="H114">
            <v>15476.04</v>
          </cell>
          <cell r="I114">
            <v>15476.04</v>
          </cell>
          <cell r="J114">
            <v>0</v>
          </cell>
        </row>
        <row r="115">
          <cell r="B115">
            <v>20420203</v>
          </cell>
          <cell r="C115" t="str">
            <v>Reimbursement Exp Payable to Vineet Goyal</v>
          </cell>
          <cell r="D115" t="str">
            <v>INR</v>
          </cell>
          <cell r="E115" t="str">
            <v/>
          </cell>
          <cell r="F115">
            <v>0</v>
          </cell>
          <cell r="G115">
            <v>0</v>
          </cell>
          <cell r="H115">
            <v>40443.879999999997</v>
          </cell>
          <cell r="I115">
            <v>40443.879999999997</v>
          </cell>
          <cell r="J115">
            <v>0</v>
          </cell>
        </row>
        <row r="116">
          <cell r="B116">
            <v>20440001</v>
          </cell>
          <cell r="C116" t="str">
            <v>Vendor - Domestic Supplier Control A/c</v>
          </cell>
          <cell r="D116" t="str">
            <v>INR</v>
          </cell>
          <cell r="E116" t="str">
            <v/>
          </cell>
          <cell r="F116">
            <v>-868866.94</v>
          </cell>
          <cell r="G116">
            <v>0</v>
          </cell>
          <cell r="H116">
            <v>21495491.23</v>
          </cell>
          <cell r="I116">
            <v>22888533.629999999</v>
          </cell>
          <cell r="J116">
            <v>-2261909.34</v>
          </cell>
        </row>
        <row r="117">
          <cell r="B117">
            <v>20440002</v>
          </cell>
          <cell r="C117" t="str">
            <v>Vendor - Contractors Control A/c</v>
          </cell>
          <cell r="D117" t="str">
            <v>INR</v>
          </cell>
          <cell r="E117" t="str">
            <v/>
          </cell>
          <cell r="F117">
            <v>-569244334.20000005</v>
          </cell>
          <cell r="G117">
            <v>0</v>
          </cell>
          <cell r="H117">
            <v>935630945.76999998</v>
          </cell>
          <cell r="I117">
            <v>701261335.45000005</v>
          </cell>
          <cell r="J117">
            <v>-334874723.88</v>
          </cell>
        </row>
        <row r="118">
          <cell r="B118">
            <v>20440003</v>
          </cell>
          <cell r="C118" t="str">
            <v>Vendor - Consultant Control A/c</v>
          </cell>
          <cell r="D118" t="str">
            <v>INR</v>
          </cell>
          <cell r="E118" t="str">
            <v/>
          </cell>
          <cell r="F118">
            <v>0</v>
          </cell>
          <cell r="G118">
            <v>0</v>
          </cell>
          <cell r="H118">
            <v>151562</v>
          </cell>
          <cell r="I118">
            <v>151562</v>
          </cell>
          <cell r="J118">
            <v>0</v>
          </cell>
        </row>
        <row r="119">
          <cell r="B119">
            <v>20440004</v>
          </cell>
          <cell r="C119" t="str">
            <v>Vendor - Broker Control A/c</v>
          </cell>
          <cell r="D119" t="str">
            <v>INR</v>
          </cell>
          <cell r="E119" t="str">
            <v/>
          </cell>
          <cell r="F119">
            <v>-1424305.94</v>
          </cell>
          <cell r="G119">
            <v>0</v>
          </cell>
          <cell r="H119">
            <v>28318181.25</v>
          </cell>
          <cell r="I119">
            <v>28390384.59</v>
          </cell>
          <cell r="J119">
            <v>-1496509.28</v>
          </cell>
        </row>
        <row r="120">
          <cell r="B120">
            <v>20440007</v>
          </cell>
          <cell r="C120" t="str">
            <v>Vendor - Employee Control A/c</v>
          </cell>
          <cell r="D120" t="str">
            <v>INR</v>
          </cell>
          <cell r="E120" t="str">
            <v/>
          </cell>
          <cell r="F120">
            <v>-82169</v>
          </cell>
          <cell r="G120">
            <v>0</v>
          </cell>
          <cell r="H120">
            <v>829402</v>
          </cell>
          <cell r="I120">
            <v>798291</v>
          </cell>
          <cell r="J120">
            <v>-51058</v>
          </cell>
        </row>
        <row r="121">
          <cell r="B121">
            <v>20440051</v>
          </cell>
          <cell r="C121" t="str">
            <v>Vendor - Intercompany Vendor Control A/c</v>
          </cell>
          <cell r="D121" t="str">
            <v>INR</v>
          </cell>
          <cell r="E121" t="str">
            <v/>
          </cell>
          <cell r="F121">
            <v>0</v>
          </cell>
          <cell r="G121">
            <v>0</v>
          </cell>
          <cell r="H121">
            <v>300000000</v>
          </cell>
          <cell r="I121">
            <v>300000000</v>
          </cell>
          <cell r="J121">
            <v>0</v>
          </cell>
        </row>
        <row r="122">
          <cell r="B122">
            <v>20450001</v>
          </cell>
          <cell r="C122" t="str">
            <v>GR/IR - Purchases</v>
          </cell>
          <cell r="D122" t="str">
            <v>INR</v>
          </cell>
          <cell r="E122" t="str">
            <v/>
          </cell>
          <cell r="F122">
            <v>0</v>
          </cell>
          <cell r="G122">
            <v>0</v>
          </cell>
          <cell r="H122">
            <v>4379503.2699999996</v>
          </cell>
          <cell r="I122">
            <v>4379503.2699999996</v>
          </cell>
          <cell r="J122">
            <v>0</v>
          </cell>
        </row>
        <row r="123">
          <cell r="B123">
            <v>20450002</v>
          </cell>
          <cell r="C123" t="str">
            <v>GR/IR - Services</v>
          </cell>
          <cell r="D123" t="str">
            <v>INR</v>
          </cell>
          <cell r="E123" t="str">
            <v/>
          </cell>
          <cell r="F123">
            <v>0</v>
          </cell>
          <cell r="G123">
            <v>0</v>
          </cell>
          <cell r="H123">
            <v>590542550.89999998</v>
          </cell>
          <cell r="I123">
            <v>590542550.89999998</v>
          </cell>
          <cell r="J123">
            <v>0</v>
          </cell>
        </row>
        <row r="124">
          <cell r="B124">
            <v>20450005</v>
          </cell>
          <cell r="C124" t="str">
            <v>IC Payables CLEARING</v>
          </cell>
          <cell r="D124" t="str">
            <v>INR</v>
          </cell>
          <cell r="E124" t="str">
            <v/>
          </cell>
          <cell r="F124">
            <v>0</v>
          </cell>
          <cell r="G124">
            <v>0</v>
          </cell>
          <cell r="H124">
            <v>6210436.6299999999</v>
          </cell>
          <cell r="I124">
            <v>6210436.6299999999</v>
          </cell>
          <cell r="J124">
            <v>0</v>
          </cell>
        </row>
        <row r="125">
          <cell r="B125">
            <v>20490001</v>
          </cell>
          <cell r="C125" t="str">
            <v>Customer Suspense</v>
          </cell>
          <cell r="D125" t="str">
            <v>INR</v>
          </cell>
          <cell r="E125" t="str">
            <v/>
          </cell>
          <cell r="F125">
            <v>-3862156.67</v>
          </cell>
          <cell r="G125">
            <v>0</v>
          </cell>
          <cell r="H125">
            <v>12417809.939999999</v>
          </cell>
          <cell r="I125">
            <v>10070751.939999999</v>
          </cell>
          <cell r="J125">
            <v>-1515098.67</v>
          </cell>
        </row>
        <row r="126">
          <cell r="B126">
            <v>20610011</v>
          </cell>
          <cell r="C126" t="str">
            <v>TRM - Investment Payable</v>
          </cell>
          <cell r="D126" t="str">
            <v>INR</v>
          </cell>
          <cell r="E126" t="str">
            <v/>
          </cell>
          <cell r="F126">
            <v>0</v>
          </cell>
          <cell r="G126">
            <v>0</v>
          </cell>
          <cell r="H126">
            <v>762526876.20000005</v>
          </cell>
          <cell r="I126">
            <v>762526876.20000005</v>
          </cell>
          <cell r="J126">
            <v>0</v>
          </cell>
        </row>
        <row r="127">
          <cell r="B127">
            <v>20610050</v>
          </cell>
          <cell r="C127" t="str">
            <v>Interest Payable on OD A/c</v>
          </cell>
          <cell r="D127" t="str">
            <v>INR</v>
          </cell>
          <cell r="E127" t="str">
            <v/>
          </cell>
          <cell r="F127">
            <v>0</v>
          </cell>
          <cell r="G127">
            <v>0</v>
          </cell>
          <cell r="H127">
            <v>2549638</v>
          </cell>
          <cell r="I127">
            <v>2549638</v>
          </cell>
          <cell r="J127">
            <v>0</v>
          </cell>
        </row>
        <row r="128">
          <cell r="B128">
            <v>20710001</v>
          </cell>
          <cell r="C128" t="str">
            <v>Customer - Advance Taken</v>
          </cell>
          <cell r="D128" t="str">
            <v>INR</v>
          </cell>
          <cell r="E128" t="str">
            <v/>
          </cell>
          <cell r="F128">
            <v>-1149942404.79</v>
          </cell>
          <cell r="G128">
            <v>0</v>
          </cell>
          <cell r="H128">
            <v>118840963.64</v>
          </cell>
          <cell r="I128">
            <v>48909538.689999998</v>
          </cell>
          <cell r="J128">
            <v>-1080010979.8399999</v>
          </cell>
        </row>
        <row r="129">
          <cell r="B129">
            <v>20710003</v>
          </cell>
          <cell r="C129" t="str">
            <v>Customer - Tax on Advance</v>
          </cell>
          <cell r="D129" t="str">
            <v>INR</v>
          </cell>
          <cell r="E129" t="str">
            <v/>
          </cell>
          <cell r="F129">
            <v>-56136699.979999997</v>
          </cell>
          <cell r="G129">
            <v>0</v>
          </cell>
          <cell r="H129">
            <v>8725600.3900000006</v>
          </cell>
          <cell r="I129">
            <v>3068424.92</v>
          </cell>
          <cell r="J129">
            <v>-50479524.509999998</v>
          </cell>
        </row>
        <row r="130">
          <cell r="B130">
            <v>20710011</v>
          </cell>
          <cell r="C130" t="str">
            <v>Customer - EOI / Token</v>
          </cell>
          <cell r="D130" t="str">
            <v>INR</v>
          </cell>
          <cell r="E130" t="str">
            <v/>
          </cell>
          <cell r="F130">
            <v>-8849234.7599999998</v>
          </cell>
          <cell r="G130">
            <v>0</v>
          </cell>
          <cell r="H130">
            <v>57432075.799999997</v>
          </cell>
          <cell r="I130">
            <v>57104447.700000003</v>
          </cell>
          <cell r="J130">
            <v>-8521606.6600000001</v>
          </cell>
        </row>
        <row r="131">
          <cell r="B131">
            <v>20710013</v>
          </cell>
          <cell r="C131" t="str">
            <v>Customer - Tax on EOI</v>
          </cell>
          <cell r="D131" t="str">
            <v>INR</v>
          </cell>
          <cell r="E131" t="str">
            <v/>
          </cell>
          <cell r="F131">
            <v>2358044.7599999998</v>
          </cell>
          <cell r="G131">
            <v>0</v>
          </cell>
          <cell r="H131">
            <v>1238084.8</v>
          </cell>
          <cell r="I131">
            <v>2411164.9</v>
          </cell>
          <cell r="J131">
            <v>1184964.6599999999</v>
          </cell>
        </row>
        <row r="132">
          <cell r="B132">
            <v>20710015</v>
          </cell>
          <cell r="C132" t="str">
            <v>Customer - SDR Advance</v>
          </cell>
          <cell r="D132" t="str">
            <v>INR</v>
          </cell>
          <cell r="E132" t="str">
            <v/>
          </cell>
          <cell r="F132">
            <v>13298862</v>
          </cell>
          <cell r="G132">
            <v>0</v>
          </cell>
          <cell r="H132">
            <v>58336400.439999998</v>
          </cell>
          <cell r="I132">
            <v>50087718.420000002</v>
          </cell>
          <cell r="J132">
            <v>21547544.02</v>
          </cell>
        </row>
        <row r="133">
          <cell r="B133">
            <v>20710016</v>
          </cell>
          <cell r="C133" t="str">
            <v>Customer - Maintenance Advance</v>
          </cell>
          <cell r="D133" t="str">
            <v>INR</v>
          </cell>
          <cell r="E133" t="str">
            <v/>
          </cell>
          <cell r="F133">
            <v>-600</v>
          </cell>
          <cell r="G133">
            <v>0</v>
          </cell>
          <cell r="H133">
            <v>0</v>
          </cell>
          <cell r="I133">
            <v>0</v>
          </cell>
          <cell r="J133">
            <v>-600</v>
          </cell>
        </row>
        <row r="134">
          <cell r="B134">
            <v>20710019</v>
          </cell>
          <cell r="C134" t="str">
            <v>Customer - Refund EOI &amp; Advance</v>
          </cell>
          <cell r="D134" t="str">
            <v>INR</v>
          </cell>
          <cell r="E134" t="str">
            <v/>
          </cell>
          <cell r="F134">
            <v>79000</v>
          </cell>
          <cell r="G134">
            <v>0</v>
          </cell>
          <cell r="H134">
            <v>109774747.11</v>
          </cell>
          <cell r="I134">
            <v>121271582.11</v>
          </cell>
          <cell r="J134">
            <v>-11417835</v>
          </cell>
        </row>
        <row r="135">
          <cell r="B135">
            <v>20710022</v>
          </cell>
          <cell r="C135" t="str">
            <v>Customer SDR Due (Stamp Duty &amp; Registration Chg</v>
          </cell>
          <cell r="D135" t="str">
            <v>INR</v>
          </cell>
          <cell r="E135" t="str">
            <v/>
          </cell>
          <cell r="F135">
            <v>624500</v>
          </cell>
          <cell r="G135">
            <v>0</v>
          </cell>
          <cell r="H135">
            <v>14890800</v>
          </cell>
          <cell r="I135">
            <v>15515300</v>
          </cell>
          <cell r="J135">
            <v>0</v>
          </cell>
        </row>
        <row r="136">
          <cell r="B136">
            <v>20710101</v>
          </cell>
          <cell r="C136" t="str">
            <v>Customer - Due</v>
          </cell>
          <cell r="D136" t="str">
            <v>INR</v>
          </cell>
          <cell r="E136" t="str">
            <v/>
          </cell>
          <cell r="F136">
            <v>-1285494500.98</v>
          </cell>
          <cell r="G136">
            <v>0</v>
          </cell>
          <cell r="H136">
            <v>117669280.26000001</v>
          </cell>
          <cell r="I136">
            <v>119411144.56</v>
          </cell>
          <cell r="J136">
            <v>-1287236365.28</v>
          </cell>
        </row>
        <row r="137">
          <cell r="B137">
            <v>30000072</v>
          </cell>
          <cell r="C137" t="str">
            <v>Sale of - Land</v>
          </cell>
          <cell r="D137" t="str">
            <v>INR</v>
          </cell>
          <cell r="E137" t="str">
            <v/>
          </cell>
          <cell r="F137">
            <v>0</v>
          </cell>
          <cell r="G137">
            <v>0</v>
          </cell>
          <cell r="H137">
            <v>0</v>
          </cell>
          <cell r="I137">
            <v>362900000</v>
          </cell>
          <cell r="J137">
            <v>-362900000</v>
          </cell>
        </row>
        <row r="138">
          <cell r="B138">
            <v>30100003</v>
          </cell>
          <cell r="C138" t="str">
            <v>Booking Cancellation Charges</v>
          </cell>
          <cell r="D138" t="str">
            <v>INR</v>
          </cell>
          <cell r="E138" t="str">
            <v/>
          </cell>
          <cell r="F138">
            <v>0</v>
          </cell>
          <cell r="G138">
            <v>0</v>
          </cell>
          <cell r="H138">
            <v>35593.18</v>
          </cell>
          <cell r="I138">
            <v>432816.92</v>
          </cell>
          <cell r="J138">
            <v>-397223.74</v>
          </cell>
        </row>
        <row r="139">
          <cell r="B139">
            <v>30100011</v>
          </cell>
          <cell r="C139" t="str">
            <v>Write Back Income</v>
          </cell>
          <cell r="D139" t="str">
            <v>INR</v>
          </cell>
          <cell r="E139" t="str">
            <v/>
          </cell>
          <cell r="F139">
            <v>0</v>
          </cell>
          <cell r="G139">
            <v>0</v>
          </cell>
          <cell r="H139">
            <v>415885.62</v>
          </cell>
          <cell r="I139">
            <v>415885.62</v>
          </cell>
          <cell r="J139">
            <v>0</v>
          </cell>
        </row>
        <row r="140">
          <cell r="B140">
            <v>30100201</v>
          </cell>
          <cell r="C140" t="str">
            <v>Other Deduction From Salary Payable</v>
          </cell>
          <cell r="D140" t="str">
            <v>INR</v>
          </cell>
          <cell r="E140" t="str">
            <v/>
          </cell>
          <cell r="F140">
            <v>0</v>
          </cell>
          <cell r="G140">
            <v>0</v>
          </cell>
          <cell r="H140">
            <v>21120</v>
          </cell>
          <cell r="I140">
            <v>21120</v>
          </cell>
          <cell r="J140">
            <v>0</v>
          </cell>
        </row>
        <row r="141">
          <cell r="B141">
            <v>30101002</v>
          </cell>
          <cell r="C141" t="str">
            <v>FD - Interest Income on Fixed Deposit</v>
          </cell>
          <cell r="D141" t="str">
            <v>INR</v>
          </cell>
          <cell r="E141" t="str">
            <v/>
          </cell>
          <cell r="F141">
            <v>0</v>
          </cell>
          <cell r="G141">
            <v>0</v>
          </cell>
          <cell r="H141">
            <v>0</v>
          </cell>
          <cell r="I141">
            <v>2867899.82</v>
          </cell>
          <cell r="J141">
            <v>-2867899.82</v>
          </cell>
        </row>
        <row r="142">
          <cell r="B142">
            <v>40100003</v>
          </cell>
          <cell r="C142" t="str">
            <v>Site Water Supply Charges</v>
          </cell>
          <cell r="D142" t="str">
            <v>INR</v>
          </cell>
          <cell r="E142" t="str">
            <v/>
          </cell>
          <cell r="F142">
            <v>0</v>
          </cell>
          <cell r="G142">
            <v>0</v>
          </cell>
          <cell r="H142">
            <v>134580</v>
          </cell>
          <cell r="I142">
            <v>0</v>
          </cell>
          <cell r="J142">
            <v>134580</v>
          </cell>
        </row>
        <row r="143">
          <cell r="B143">
            <v>40100004</v>
          </cell>
          <cell r="C143" t="str">
            <v>Site Security Charges</v>
          </cell>
          <cell r="D143" t="str">
            <v>INR</v>
          </cell>
          <cell r="E143" t="str">
            <v/>
          </cell>
          <cell r="F143">
            <v>0</v>
          </cell>
          <cell r="G143">
            <v>0</v>
          </cell>
          <cell r="H143">
            <v>1530094</v>
          </cell>
          <cell r="I143">
            <v>0</v>
          </cell>
          <cell r="J143">
            <v>1530094</v>
          </cell>
        </row>
        <row r="144">
          <cell r="B144">
            <v>40100005</v>
          </cell>
          <cell r="C144" t="str">
            <v>Site Engineering Expenses</v>
          </cell>
          <cell r="D144" t="str">
            <v>INR</v>
          </cell>
          <cell r="E144" t="str">
            <v/>
          </cell>
          <cell r="F144">
            <v>0</v>
          </cell>
          <cell r="G144">
            <v>0</v>
          </cell>
          <cell r="H144">
            <v>147188</v>
          </cell>
          <cell r="I144">
            <v>0</v>
          </cell>
          <cell r="J144">
            <v>147188</v>
          </cell>
        </row>
        <row r="145">
          <cell r="B145">
            <v>40100007</v>
          </cell>
          <cell r="C145" t="str">
            <v>Site Fuel Expenses</v>
          </cell>
          <cell r="D145" t="str">
            <v>INR</v>
          </cell>
          <cell r="E145" t="str">
            <v/>
          </cell>
          <cell r="F145">
            <v>0</v>
          </cell>
          <cell r="G145">
            <v>0</v>
          </cell>
          <cell r="H145">
            <v>1599995.4</v>
          </cell>
          <cell r="I145">
            <v>200000</v>
          </cell>
          <cell r="J145">
            <v>1399995.4</v>
          </cell>
        </row>
        <row r="146">
          <cell r="B146">
            <v>40100008</v>
          </cell>
          <cell r="C146" t="str">
            <v>Site Housekeeping Expenses</v>
          </cell>
          <cell r="D146" t="str">
            <v>INR</v>
          </cell>
          <cell r="E146" t="str">
            <v/>
          </cell>
          <cell r="F146">
            <v>0</v>
          </cell>
          <cell r="G146">
            <v>0</v>
          </cell>
          <cell r="H146">
            <v>1196639</v>
          </cell>
          <cell r="I146">
            <v>3000</v>
          </cell>
          <cell r="J146">
            <v>1193639</v>
          </cell>
        </row>
        <row r="147">
          <cell r="B147">
            <v>40200002</v>
          </cell>
          <cell r="C147" t="str">
            <v>Development Expenses</v>
          </cell>
          <cell r="D147" t="str">
            <v>INR</v>
          </cell>
          <cell r="E147" t="str">
            <v/>
          </cell>
          <cell r="F147">
            <v>0</v>
          </cell>
          <cell r="G147">
            <v>0</v>
          </cell>
          <cell r="H147">
            <v>6640637</v>
          </cell>
          <cell r="I147">
            <v>50360</v>
          </cell>
          <cell r="J147">
            <v>6590277</v>
          </cell>
        </row>
        <row r="148">
          <cell r="B148">
            <v>40200004</v>
          </cell>
          <cell r="C148" t="str">
            <v>PCMC Scrutiny Fees</v>
          </cell>
          <cell r="D148" t="str">
            <v>INR</v>
          </cell>
          <cell r="E148" t="str">
            <v/>
          </cell>
          <cell r="F148">
            <v>0</v>
          </cell>
          <cell r="G148">
            <v>0</v>
          </cell>
          <cell r="H148">
            <v>671500</v>
          </cell>
          <cell r="I148">
            <v>0</v>
          </cell>
          <cell r="J148">
            <v>671500</v>
          </cell>
        </row>
        <row r="149">
          <cell r="B149">
            <v>40200005</v>
          </cell>
          <cell r="C149" t="str">
            <v>Property Tax</v>
          </cell>
          <cell r="D149" t="str">
            <v>INR</v>
          </cell>
          <cell r="E149" t="str">
            <v/>
          </cell>
          <cell r="F149">
            <v>0</v>
          </cell>
          <cell r="G149">
            <v>0</v>
          </cell>
          <cell r="H149">
            <v>764422</v>
          </cell>
          <cell r="I149">
            <v>0</v>
          </cell>
          <cell r="J149">
            <v>764422</v>
          </cell>
        </row>
        <row r="150">
          <cell r="B150">
            <v>40200032</v>
          </cell>
          <cell r="C150" t="str">
            <v>ROC Fees Paid</v>
          </cell>
          <cell r="D150" t="str">
            <v>INR</v>
          </cell>
          <cell r="E150" t="str">
            <v/>
          </cell>
          <cell r="F150">
            <v>0</v>
          </cell>
          <cell r="G150">
            <v>0</v>
          </cell>
          <cell r="H150">
            <v>20106.04</v>
          </cell>
          <cell r="I150">
            <v>0</v>
          </cell>
          <cell r="J150">
            <v>20106.04</v>
          </cell>
        </row>
        <row r="151">
          <cell r="B151">
            <v>40300003</v>
          </cell>
          <cell r="C151" t="str">
            <v>Consumption - Civil Material</v>
          </cell>
          <cell r="D151" t="str">
            <v>INR</v>
          </cell>
          <cell r="E151" t="str">
            <v/>
          </cell>
          <cell r="F151">
            <v>0</v>
          </cell>
          <cell r="G151">
            <v>0</v>
          </cell>
          <cell r="H151">
            <v>3267147.7</v>
          </cell>
          <cell r="I151">
            <v>164262.75</v>
          </cell>
          <cell r="J151">
            <v>3102884.95</v>
          </cell>
        </row>
        <row r="152">
          <cell r="B152">
            <v>40300006</v>
          </cell>
          <cell r="C152" t="str">
            <v>Consumption - Boughout items (Hardware)</v>
          </cell>
          <cell r="D152" t="str">
            <v>INR</v>
          </cell>
          <cell r="E152" t="str">
            <v/>
          </cell>
          <cell r="F152">
            <v>0</v>
          </cell>
          <cell r="G152">
            <v>0</v>
          </cell>
          <cell r="H152">
            <v>29135</v>
          </cell>
          <cell r="I152">
            <v>29135</v>
          </cell>
          <cell r="J152">
            <v>0</v>
          </cell>
        </row>
        <row r="153">
          <cell r="B153">
            <v>40300008</v>
          </cell>
          <cell r="C153" t="str">
            <v>Consumption - Plumbing &amp; Sanitary</v>
          </cell>
          <cell r="D153" t="str">
            <v>INR</v>
          </cell>
          <cell r="E153" t="str">
            <v/>
          </cell>
          <cell r="F153">
            <v>0</v>
          </cell>
          <cell r="G153">
            <v>0</v>
          </cell>
          <cell r="H153">
            <v>801105.77</v>
          </cell>
          <cell r="I153">
            <v>0</v>
          </cell>
          <cell r="J153">
            <v>801105.77</v>
          </cell>
        </row>
        <row r="154">
          <cell r="B154">
            <v>40300009</v>
          </cell>
          <cell r="C154" t="str">
            <v>Consumption - Electricals</v>
          </cell>
          <cell r="D154" t="str">
            <v>INR</v>
          </cell>
          <cell r="E154" t="str">
            <v/>
          </cell>
          <cell r="F154">
            <v>0</v>
          </cell>
          <cell r="G154">
            <v>0</v>
          </cell>
          <cell r="H154">
            <v>1809</v>
          </cell>
          <cell r="I154">
            <v>1809</v>
          </cell>
          <cell r="J154">
            <v>0</v>
          </cell>
        </row>
        <row r="155">
          <cell r="B155">
            <v>40300010</v>
          </cell>
          <cell r="C155" t="str">
            <v>Consumption - Furniture</v>
          </cell>
          <cell r="D155" t="str">
            <v>INR</v>
          </cell>
          <cell r="E155" t="str">
            <v/>
          </cell>
          <cell r="F155">
            <v>0</v>
          </cell>
          <cell r="G155">
            <v>0</v>
          </cell>
          <cell r="H155">
            <v>270626.59000000003</v>
          </cell>
          <cell r="I155">
            <v>270626.59000000003</v>
          </cell>
          <cell r="J155">
            <v>0</v>
          </cell>
        </row>
        <row r="156">
          <cell r="B156">
            <v>40400002</v>
          </cell>
          <cell r="C156" t="str">
            <v>Subcontracting Cost - Engineering &amp; Civil Work</v>
          </cell>
          <cell r="D156" t="str">
            <v>INR</v>
          </cell>
          <cell r="E156" t="str">
            <v/>
          </cell>
          <cell r="F156">
            <v>0</v>
          </cell>
          <cell r="G156">
            <v>0</v>
          </cell>
          <cell r="H156">
            <v>331055703.76999998</v>
          </cell>
          <cell r="I156">
            <v>189899193.96000001</v>
          </cell>
          <cell r="J156">
            <v>141156509.81</v>
          </cell>
        </row>
        <row r="157">
          <cell r="B157">
            <v>40400003</v>
          </cell>
          <cell r="C157" t="str">
            <v>Subcontracting Cost - Electrical Work</v>
          </cell>
          <cell r="D157" t="str">
            <v>INR</v>
          </cell>
          <cell r="E157" t="str">
            <v/>
          </cell>
          <cell r="F157">
            <v>0</v>
          </cell>
          <cell r="G157">
            <v>0</v>
          </cell>
          <cell r="H157">
            <v>781859</v>
          </cell>
          <cell r="I157">
            <v>0</v>
          </cell>
          <cell r="J157">
            <v>781859</v>
          </cell>
        </row>
        <row r="158">
          <cell r="B158">
            <v>40400004</v>
          </cell>
          <cell r="C158" t="str">
            <v>Subcontracting Cost - Plumbing Work</v>
          </cell>
          <cell r="D158" t="str">
            <v>INR</v>
          </cell>
          <cell r="E158" t="str">
            <v/>
          </cell>
          <cell r="F158">
            <v>0</v>
          </cell>
          <cell r="G158">
            <v>0</v>
          </cell>
          <cell r="H158">
            <v>4261.12</v>
          </cell>
          <cell r="I158">
            <v>0</v>
          </cell>
          <cell r="J158">
            <v>4261.12</v>
          </cell>
        </row>
        <row r="159">
          <cell r="B159">
            <v>40500001</v>
          </cell>
          <cell r="C159" t="str">
            <v>Consultancy &amp; Architect Expenses</v>
          </cell>
          <cell r="D159" t="str">
            <v>INR</v>
          </cell>
          <cell r="E159" t="str">
            <v/>
          </cell>
          <cell r="F159">
            <v>0</v>
          </cell>
          <cell r="G159">
            <v>0</v>
          </cell>
          <cell r="H159">
            <v>11628000</v>
          </cell>
          <cell r="I159">
            <v>0</v>
          </cell>
          <cell r="J159">
            <v>11628000</v>
          </cell>
        </row>
        <row r="160">
          <cell r="B160">
            <v>40700001</v>
          </cell>
          <cell r="C160" t="str">
            <v>CGST Direct Expenses</v>
          </cell>
          <cell r="D160" t="str">
            <v>INR</v>
          </cell>
          <cell r="E160" t="str">
            <v/>
          </cell>
          <cell r="F160">
            <v>0</v>
          </cell>
          <cell r="G160">
            <v>0</v>
          </cell>
          <cell r="H160">
            <v>14214357.970000001</v>
          </cell>
          <cell r="I160">
            <v>0</v>
          </cell>
          <cell r="J160">
            <v>14214357.970000001</v>
          </cell>
        </row>
        <row r="161">
          <cell r="B161">
            <v>40700002</v>
          </cell>
          <cell r="C161" t="str">
            <v>SGST Direct Expenses</v>
          </cell>
          <cell r="D161" t="str">
            <v>INR</v>
          </cell>
          <cell r="E161" t="str">
            <v/>
          </cell>
          <cell r="F161">
            <v>0</v>
          </cell>
          <cell r="G161">
            <v>0</v>
          </cell>
          <cell r="H161">
            <v>14214357.970000001</v>
          </cell>
          <cell r="I161">
            <v>0</v>
          </cell>
          <cell r="J161">
            <v>14214357.970000001</v>
          </cell>
        </row>
        <row r="162">
          <cell r="B162">
            <v>40800052</v>
          </cell>
          <cell r="C162" t="str">
            <v>Labour Charges -Security Guard</v>
          </cell>
          <cell r="D162" t="str">
            <v>INR</v>
          </cell>
          <cell r="E162" t="str">
            <v/>
          </cell>
          <cell r="F162">
            <v>0</v>
          </cell>
          <cell r="G162">
            <v>0</v>
          </cell>
          <cell r="H162">
            <v>904090.32</v>
          </cell>
          <cell r="I162">
            <v>156780</v>
          </cell>
          <cell r="J162">
            <v>747310.32</v>
          </cell>
        </row>
        <row r="163">
          <cell r="B163">
            <v>40900201</v>
          </cell>
          <cell r="C163" t="str">
            <v>Stamp Duty &amp; Registration Expenses - on Land Purch</v>
          </cell>
          <cell r="D163" t="str">
            <v>INR</v>
          </cell>
          <cell r="E163" t="str">
            <v/>
          </cell>
          <cell r="F163">
            <v>0</v>
          </cell>
          <cell r="G163">
            <v>0</v>
          </cell>
          <cell r="H163">
            <v>300000</v>
          </cell>
          <cell r="I163">
            <v>0</v>
          </cell>
          <cell r="J163">
            <v>300000</v>
          </cell>
        </row>
        <row r="164">
          <cell r="B164">
            <v>45100001</v>
          </cell>
          <cell r="C164" t="str">
            <v>Salary A/c</v>
          </cell>
          <cell r="D164" t="str">
            <v>INR</v>
          </cell>
          <cell r="E164" t="str">
            <v/>
          </cell>
          <cell r="F164">
            <v>0</v>
          </cell>
          <cell r="G164">
            <v>0</v>
          </cell>
          <cell r="H164">
            <v>58040948</v>
          </cell>
          <cell r="I164">
            <v>34210</v>
          </cell>
          <cell r="J164">
            <v>58006738</v>
          </cell>
        </row>
        <row r="165">
          <cell r="B165">
            <v>45100005</v>
          </cell>
          <cell r="C165" t="str">
            <v>Employee Bonus</v>
          </cell>
          <cell r="D165" t="str">
            <v>INR</v>
          </cell>
          <cell r="E165" t="str">
            <v/>
          </cell>
          <cell r="F165">
            <v>0</v>
          </cell>
          <cell r="G165">
            <v>0</v>
          </cell>
          <cell r="H165">
            <v>402674</v>
          </cell>
          <cell r="I165">
            <v>19836</v>
          </cell>
          <cell r="J165">
            <v>382838</v>
          </cell>
        </row>
        <row r="166">
          <cell r="B166">
            <v>45100021</v>
          </cell>
          <cell r="C166" t="str">
            <v>Conveyance Expenses</v>
          </cell>
          <cell r="D166" t="str">
            <v>INR</v>
          </cell>
          <cell r="E166" t="str">
            <v/>
          </cell>
          <cell r="F166">
            <v>0</v>
          </cell>
          <cell r="G166">
            <v>0</v>
          </cell>
          <cell r="H166">
            <v>1510470</v>
          </cell>
          <cell r="I166">
            <v>0</v>
          </cell>
          <cell r="J166">
            <v>1510470</v>
          </cell>
        </row>
        <row r="167">
          <cell r="B167">
            <v>45100052</v>
          </cell>
          <cell r="C167" t="str">
            <v>PF Employer Contribution</v>
          </cell>
          <cell r="D167" t="str">
            <v>INR</v>
          </cell>
          <cell r="E167" t="str">
            <v/>
          </cell>
          <cell r="F167">
            <v>0</v>
          </cell>
          <cell r="G167">
            <v>0</v>
          </cell>
          <cell r="H167">
            <v>1450574</v>
          </cell>
          <cell r="I167">
            <v>0</v>
          </cell>
          <cell r="J167">
            <v>1450574</v>
          </cell>
        </row>
        <row r="168">
          <cell r="B168">
            <v>45100053</v>
          </cell>
          <cell r="C168" t="str">
            <v>EDLI Contribution</v>
          </cell>
          <cell r="D168" t="str">
            <v>INR</v>
          </cell>
          <cell r="E168" t="str">
            <v/>
          </cell>
          <cell r="F168">
            <v>0</v>
          </cell>
          <cell r="G168">
            <v>0</v>
          </cell>
          <cell r="H168">
            <v>60446</v>
          </cell>
          <cell r="I168">
            <v>0</v>
          </cell>
          <cell r="J168">
            <v>60446</v>
          </cell>
        </row>
        <row r="169">
          <cell r="B169">
            <v>45100054</v>
          </cell>
          <cell r="C169" t="str">
            <v>PF Admin Charges</v>
          </cell>
          <cell r="D169" t="str">
            <v>INR</v>
          </cell>
          <cell r="E169" t="str">
            <v/>
          </cell>
          <cell r="F169">
            <v>0</v>
          </cell>
          <cell r="G169">
            <v>0</v>
          </cell>
          <cell r="H169">
            <v>60440</v>
          </cell>
          <cell r="I169">
            <v>0</v>
          </cell>
          <cell r="J169">
            <v>60440</v>
          </cell>
        </row>
        <row r="170">
          <cell r="B170">
            <v>45100055</v>
          </cell>
          <cell r="C170" t="str">
            <v>Other Deduction related to Personnel Cost</v>
          </cell>
          <cell r="D170" t="str">
            <v>INR</v>
          </cell>
          <cell r="E170" t="str">
            <v/>
          </cell>
          <cell r="F170">
            <v>0</v>
          </cell>
          <cell r="G170">
            <v>0</v>
          </cell>
          <cell r="H170">
            <v>23678</v>
          </cell>
          <cell r="I170">
            <v>23678</v>
          </cell>
          <cell r="J170">
            <v>0</v>
          </cell>
        </row>
        <row r="171">
          <cell r="B171">
            <v>45100056</v>
          </cell>
          <cell r="C171" t="str">
            <v>Employer Contribution at ESIC</v>
          </cell>
          <cell r="D171" t="str">
            <v>INR</v>
          </cell>
          <cell r="E171" t="str">
            <v/>
          </cell>
          <cell r="F171">
            <v>0</v>
          </cell>
          <cell r="G171">
            <v>0</v>
          </cell>
          <cell r="H171">
            <v>13502</v>
          </cell>
          <cell r="I171">
            <v>13502</v>
          </cell>
          <cell r="J171">
            <v>0</v>
          </cell>
        </row>
        <row r="172">
          <cell r="B172">
            <v>45100057</v>
          </cell>
          <cell r="C172" t="str">
            <v>Profession Tax (PTEC)</v>
          </cell>
          <cell r="D172" t="str">
            <v>INR</v>
          </cell>
          <cell r="E172" t="str">
            <v/>
          </cell>
          <cell r="F172">
            <v>0</v>
          </cell>
          <cell r="G172">
            <v>0</v>
          </cell>
          <cell r="H172">
            <v>5000</v>
          </cell>
          <cell r="I172">
            <v>2500</v>
          </cell>
          <cell r="J172">
            <v>2500</v>
          </cell>
        </row>
        <row r="173">
          <cell r="B173">
            <v>45100059</v>
          </cell>
          <cell r="C173" t="str">
            <v>MLWF Employer Contribution</v>
          </cell>
          <cell r="D173" t="str">
            <v>INR</v>
          </cell>
          <cell r="E173" t="str">
            <v/>
          </cell>
          <cell r="F173">
            <v>0</v>
          </cell>
          <cell r="G173">
            <v>0</v>
          </cell>
          <cell r="H173">
            <v>12525</v>
          </cell>
          <cell r="I173">
            <v>0</v>
          </cell>
          <cell r="J173">
            <v>12525</v>
          </cell>
        </row>
        <row r="174">
          <cell r="B174">
            <v>45200001</v>
          </cell>
          <cell r="C174" t="str">
            <v>Insurance Charges</v>
          </cell>
          <cell r="D174" t="str">
            <v>INR</v>
          </cell>
          <cell r="E174" t="str">
            <v/>
          </cell>
          <cell r="F174">
            <v>0</v>
          </cell>
          <cell r="G174">
            <v>0</v>
          </cell>
          <cell r="H174">
            <v>816666.94</v>
          </cell>
          <cell r="I174">
            <v>391553</v>
          </cell>
          <cell r="J174">
            <v>425113.94</v>
          </cell>
        </row>
        <row r="175">
          <cell r="B175">
            <v>45200003</v>
          </cell>
          <cell r="C175" t="str">
            <v>Printing &amp; Stationery</v>
          </cell>
          <cell r="D175" t="str">
            <v>INR</v>
          </cell>
          <cell r="E175" t="str">
            <v/>
          </cell>
          <cell r="F175">
            <v>0</v>
          </cell>
          <cell r="G175">
            <v>0</v>
          </cell>
          <cell r="H175">
            <v>64593.2</v>
          </cell>
          <cell r="I175">
            <v>14451</v>
          </cell>
          <cell r="J175">
            <v>50142.2</v>
          </cell>
        </row>
        <row r="176">
          <cell r="B176">
            <v>45200004</v>
          </cell>
          <cell r="C176" t="str">
            <v>Professional Fees</v>
          </cell>
          <cell r="D176" t="str">
            <v>INR</v>
          </cell>
          <cell r="E176" t="str">
            <v/>
          </cell>
          <cell r="F176">
            <v>0</v>
          </cell>
          <cell r="G176">
            <v>0</v>
          </cell>
          <cell r="H176">
            <v>765000</v>
          </cell>
          <cell r="I176">
            <v>380000</v>
          </cell>
          <cell r="J176">
            <v>385000</v>
          </cell>
        </row>
        <row r="177">
          <cell r="B177">
            <v>45200005</v>
          </cell>
          <cell r="C177" t="str">
            <v>Repair &amp; Maintenance</v>
          </cell>
          <cell r="D177" t="str">
            <v>INR</v>
          </cell>
          <cell r="E177" t="str">
            <v/>
          </cell>
          <cell r="F177">
            <v>0</v>
          </cell>
          <cell r="G177">
            <v>0</v>
          </cell>
          <cell r="H177">
            <v>451548.28</v>
          </cell>
          <cell r="I177">
            <v>50974.99</v>
          </cell>
          <cell r="J177">
            <v>400573.29</v>
          </cell>
        </row>
        <row r="178">
          <cell r="B178">
            <v>45200006</v>
          </cell>
          <cell r="C178" t="str">
            <v>Round Off Expense</v>
          </cell>
          <cell r="D178" t="str">
            <v>INR</v>
          </cell>
          <cell r="E178" t="str">
            <v/>
          </cell>
          <cell r="F178">
            <v>0</v>
          </cell>
          <cell r="G178">
            <v>0</v>
          </cell>
          <cell r="H178">
            <v>34.36</v>
          </cell>
          <cell r="I178">
            <v>13.04</v>
          </cell>
          <cell r="J178">
            <v>21.32</v>
          </cell>
        </row>
        <row r="179">
          <cell r="B179">
            <v>45200007</v>
          </cell>
          <cell r="C179" t="str">
            <v>Site Expenses</v>
          </cell>
          <cell r="D179" t="str">
            <v>INR</v>
          </cell>
          <cell r="E179" t="str">
            <v/>
          </cell>
          <cell r="F179">
            <v>0</v>
          </cell>
          <cell r="G179">
            <v>0</v>
          </cell>
          <cell r="H179">
            <v>372851.06</v>
          </cell>
          <cell r="I179">
            <v>16271.18</v>
          </cell>
          <cell r="J179">
            <v>356579.88</v>
          </cell>
        </row>
        <row r="180">
          <cell r="B180">
            <v>45200023</v>
          </cell>
          <cell r="C180" t="str">
            <v>Out of Pocket Expences</v>
          </cell>
          <cell r="D180" t="str">
            <v>INR</v>
          </cell>
          <cell r="E180" t="str">
            <v/>
          </cell>
          <cell r="F180">
            <v>0</v>
          </cell>
          <cell r="G180">
            <v>0</v>
          </cell>
          <cell r="H180">
            <v>6562</v>
          </cell>
          <cell r="I180">
            <v>0</v>
          </cell>
          <cell r="J180">
            <v>6562</v>
          </cell>
        </row>
        <row r="181">
          <cell r="B181">
            <v>45200029</v>
          </cell>
          <cell r="C181" t="str">
            <v>Audit Fees</v>
          </cell>
          <cell r="D181" t="str">
            <v>INR</v>
          </cell>
          <cell r="E181" t="str">
            <v/>
          </cell>
          <cell r="F181">
            <v>0</v>
          </cell>
          <cell r="G181">
            <v>0</v>
          </cell>
          <cell r="H181">
            <v>580000</v>
          </cell>
          <cell r="I181">
            <v>380000</v>
          </cell>
          <cell r="J181">
            <v>200000</v>
          </cell>
        </row>
        <row r="182">
          <cell r="B182">
            <v>45300001</v>
          </cell>
          <cell r="C182" t="str">
            <v>CGST Indirect Expenses</v>
          </cell>
          <cell r="D182" t="str">
            <v>INR</v>
          </cell>
          <cell r="E182" t="str">
            <v/>
          </cell>
          <cell r="F182">
            <v>0</v>
          </cell>
          <cell r="G182">
            <v>0</v>
          </cell>
          <cell r="H182">
            <v>2134629.0299999998</v>
          </cell>
          <cell r="I182">
            <v>239957.07</v>
          </cell>
          <cell r="J182">
            <v>1894671.96</v>
          </cell>
        </row>
        <row r="183">
          <cell r="B183">
            <v>45300002</v>
          </cell>
          <cell r="C183" t="str">
            <v>SGST Indirect Expenses</v>
          </cell>
          <cell r="D183" t="str">
            <v>INR</v>
          </cell>
          <cell r="E183" t="str">
            <v/>
          </cell>
          <cell r="F183">
            <v>0</v>
          </cell>
          <cell r="G183">
            <v>0</v>
          </cell>
          <cell r="H183">
            <v>2134629.0299999998</v>
          </cell>
          <cell r="I183">
            <v>239957.07</v>
          </cell>
          <cell r="J183">
            <v>1894671.96</v>
          </cell>
        </row>
        <row r="184">
          <cell r="B184">
            <v>45300003</v>
          </cell>
          <cell r="C184" t="str">
            <v>IGST Indirect Expenses</v>
          </cell>
          <cell r="D184" t="str">
            <v>INR</v>
          </cell>
          <cell r="E184" t="str">
            <v/>
          </cell>
          <cell r="F184">
            <v>0</v>
          </cell>
          <cell r="G184">
            <v>0</v>
          </cell>
          <cell r="H184">
            <v>64028.52</v>
          </cell>
          <cell r="I184">
            <v>64028.52</v>
          </cell>
          <cell r="J184">
            <v>0</v>
          </cell>
        </row>
        <row r="185">
          <cell r="B185">
            <v>45300021</v>
          </cell>
          <cell r="C185" t="str">
            <v>Interest on Late Payment of GST</v>
          </cell>
          <cell r="D185" t="str">
            <v>INR</v>
          </cell>
          <cell r="E185" t="str">
            <v/>
          </cell>
          <cell r="F185">
            <v>0</v>
          </cell>
          <cell r="G185">
            <v>0</v>
          </cell>
          <cell r="H185">
            <v>305998</v>
          </cell>
          <cell r="I185">
            <v>0</v>
          </cell>
          <cell r="J185">
            <v>305998</v>
          </cell>
        </row>
        <row r="186">
          <cell r="B186">
            <v>45400001</v>
          </cell>
          <cell r="C186" t="str">
            <v>Brokerage &amp; Commission</v>
          </cell>
          <cell r="D186" t="str">
            <v>INR</v>
          </cell>
          <cell r="E186" t="str">
            <v/>
          </cell>
          <cell r="F186">
            <v>0</v>
          </cell>
          <cell r="G186">
            <v>0</v>
          </cell>
          <cell r="H186">
            <v>16427281.98</v>
          </cell>
          <cell r="I186">
            <v>721799</v>
          </cell>
          <cell r="J186">
            <v>15705482.98</v>
          </cell>
        </row>
        <row r="187">
          <cell r="B187">
            <v>45400002</v>
          </cell>
          <cell r="C187" t="str">
            <v>Scheme Rebate</v>
          </cell>
          <cell r="D187" t="str">
            <v>INR</v>
          </cell>
          <cell r="E187" t="str">
            <v/>
          </cell>
          <cell r="F187">
            <v>0</v>
          </cell>
          <cell r="G187">
            <v>0</v>
          </cell>
          <cell r="H187">
            <v>1344000</v>
          </cell>
          <cell r="I187">
            <v>0</v>
          </cell>
          <cell r="J187">
            <v>1344000</v>
          </cell>
        </row>
        <row r="188">
          <cell r="B188">
            <v>45400011</v>
          </cell>
          <cell r="C188" t="str">
            <v>Digital Marketing</v>
          </cell>
          <cell r="D188" t="str">
            <v>INR</v>
          </cell>
          <cell r="E188" t="str">
            <v/>
          </cell>
          <cell r="F188">
            <v>0</v>
          </cell>
          <cell r="G188">
            <v>0</v>
          </cell>
          <cell r="H188">
            <v>1886929.64</v>
          </cell>
          <cell r="I188">
            <v>0</v>
          </cell>
          <cell r="J188">
            <v>1886929.64</v>
          </cell>
        </row>
        <row r="189">
          <cell r="B189">
            <v>45400014</v>
          </cell>
          <cell r="C189" t="str">
            <v>Outdoor Marketing Cost</v>
          </cell>
          <cell r="D189" t="str">
            <v>INR</v>
          </cell>
          <cell r="E189" t="str">
            <v/>
          </cell>
          <cell r="F189">
            <v>0</v>
          </cell>
          <cell r="G189">
            <v>0</v>
          </cell>
          <cell r="H189">
            <v>2490972.88</v>
          </cell>
          <cell r="I189">
            <v>0</v>
          </cell>
          <cell r="J189">
            <v>2490972.88</v>
          </cell>
        </row>
        <row r="190">
          <cell r="B190">
            <v>45400016</v>
          </cell>
          <cell r="C190" t="str">
            <v>Other Marketing Expenses</v>
          </cell>
          <cell r="D190" t="str">
            <v>INR</v>
          </cell>
          <cell r="E190" t="str">
            <v/>
          </cell>
          <cell r="F190">
            <v>0</v>
          </cell>
          <cell r="G190">
            <v>0</v>
          </cell>
          <cell r="H190">
            <v>1080115.26</v>
          </cell>
          <cell r="I190">
            <v>0</v>
          </cell>
          <cell r="J190">
            <v>1080115.26</v>
          </cell>
        </row>
        <row r="191">
          <cell r="B191">
            <v>45400018</v>
          </cell>
          <cell r="C191" t="str">
            <v>Advertising Expenses</v>
          </cell>
          <cell r="D191" t="str">
            <v>INR</v>
          </cell>
          <cell r="E191" t="str">
            <v/>
          </cell>
          <cell r="F191">
            <v>0</v>
          </cell>
          <cell r="G191">
            <v>0</v>
          </cell>
          <cell r="H191">
            <v>15360</v>
          </cell>
          <cell r="I191">
            <v>0</v>
          </cell>
          <cell r="J191">
            <v>15360</v>
          </cell>
        </row>
        <row r="192">
          <cell r="B192">
            <v>45400020</v>
          </cell>
          <cell r="C192" t="str">
            <v>Other Sales Cost</v>
          </cell>
          <cell r="D192" t="str">
            <v>INR</v>
          </cell>
          <cell r="E192" t="str">
            <v/>
          </cell>
          <cell r="F192">
            <v>0</v>
          </cell>
          <cell r="G192">
            <v>0</v>
          </cell>
          <cell r="H192">
            <v>300000</v>
          </cell>
          <cell r="I192">
            <v>50000</v>
          </cell>
          <cell r="J192">
            <v>250000</v>
          </cell>
        </row>
        <row r="193">
          <cell r="B193">
            <v>45510008</v>
          </cell>
          <cell r="C193" t="str">
            <v>OD - Interest on OD</v>
          </cell>
          <cell r="D193" t="str">
            <v>INR</v>
          </cell>
          <cell r="E193" t="str">
            <v/>
          </cell>
          <cell r="F193">
            <v>0</v>
          </cell>
          <cell r="G193">
            <v>0</v>
          </cell>
          <cell r="H193">
            <v>1993971</v>
          </cell>
          <cell r="I193">
            <v>0</v>
          </cell>
          <cell r="J193">
            <v>1993971</v>
          </cell>
        </row>
        <row r="194">
          <cell r="B194">
            <v>45510051</v>
          </cell>
          <cell r="C194" t="str">
            <v>Bank Charges</v>
          </cell>
          <cell r="D194" t="str">
            <v>INR</v>
          </cell>
          <cell r="E194" t="str">
            <v/>
          </cell>
          <cell r="F194">
            <v>0</v>
          </cell>
          <cell r="G194">
            <v>0</v>
          </cell>
          <cell r="H194">
            <v>1040410.66</v>
          </cell>
          <cell r="I194">
            <v>1005926.56</v>
          </cell>
          <cell r="J194">
            <v>34484.1</v>
          </cell>
        </row>
        <row r="195">
          <cell r="B195">
            <v>45510053</v>
          </cell>
          <cell r="C195" t="str">
            <v>Penalty/Fine/Damages</v>
          </cell>
          <cell r="D195" t="str">
            <v>INR</v>
          </cell>
          <cell r="E195" t="str">
            <v/>
          </cell>
          <cell r="F195">
            <v>0</v>
          </cell>
          <cell r="G195">
            <v>0</v>
          </cell>
          <cell r="H195">
            <v>1000000</v>
          </cell>
          <cell r="I195">
            <v>0</v>
          </cell>
          <cell r="J195">
            <v>1000000</v>
          </cell>
        </row>
        <row r="196">
          <cell r="B196">
            <v>45520001</v>
          </cell>
          <cell r="C196" t="str">
            <v>Interest Paid on Loan</v>
          </cell>
          <cell r="D196" t="str">
            <v>INR</v>
          </cell>
          <cell r="E196" t="str">
            <v/>
          </cell>
          <cell r="F196">
            <v>0</v>
          </cell>
          <cell r="G196">
            <v>0</v>
          </cell>
          <cell r="H196">
            <v>67296060.400000006</v>
          </cell>
          <cell r="I196">
            <v>6415229</v>
          </cell>
          <cell r="J196">
            <v>60880831.399999999</v>
          </cell>
        </row>
        <row r="197">
          <cell r="B197">
            <v>45520021</v>
          </cell>
          <cell r="C197" t="str">
            <v>Interest On Late Payment of TDS</v>
          </cell>
          <cell r="D197" t="str">
            <v>INR</v>
          </cell>
          <cell r="E197" t="str">
            <v/>
          </cell>
          <cell r="F197">
            <v>0</v>
          </cell>
          <cell r="G197">
            <v>0</v>
          </cell>
          <cell r="H197">
            <v>86645</v>
          </cell>
          <cell r="I197">
            <v>0</v>
          </cell>
          <cell r="J197">
            <v>86645</v>
          </cell>
        </row>
        <row r="198">
          <cell r="B198">
            <v>45520023</v>
          </cell>
          <cell r="C198" t="str">
            <v>Registration and Filing Fees</v>
          </cell>
          <cell r="D198" t="str">
            <v>INR</v>
          </cell>
          <cell r="E198" t="str">
            <v/>
          </cell>
          <cell r="F198">
            <v>0</v>
          </cell>
          <cell r="G198">
            <v>0</v>
          </cell>
          <cell r="H198">
            <v>17875</v>
          </cell>
          <cell r="I198">
            <v>0</v>
          </cell>
          <cell r="J198">
            <v>17875</v>
          </cell>
        </row>
        <row r="199">
          <cell r="B199">
            <v>45520026</v>
          </cell>
          <cell r="C199" t="str">
            <v>Deffered Tax - P&amp;L</v>
          </cell>
          <cell r="D199" t="str">
            <v>INR</v>
          </cell>
          <cell r="E199" t="str">
            <v/>
          </cell>
          <cell r="F199">
            <v>0</v>
          </cell>
          <cell r="G199">
            <v>0</v>
          </cell>
          <cell r="H199">
            <v>0</v>
          </cell>
          <cell r="I199">
            <v>1910</v>
          </cell>
          <cell r="J199">
            <v>-1910</v>
          </cell>
        </row>
        <row r="200">
          <cell r="B200">
            <v>45600006</v>
          </cell>
          <cell r="C200" t="str">
            <v>Depreciation - Office Equipments</v>
          </cell>
          <cell r="D200" t="str">
            <v>INR</v>
          </cell>
          <cell r="E200" t="str">
            <v/>
          </cell>
          <cell r="F200">
            <v>0</v>
          </cell>
          <cell r="G200">
            <v>0</v>
          </cell>
          <cell r="H200">
            <v>14576.15</v>
          </cell>
          <cell r="I200">
            <v>0</v>
          </cell>
          <cell r="J200">
            <v>14576.15</v>
          </cell>
        </row>
        <row r="201">
          <cell r="B201">
            <v>90000001</v>
          </cell>
          <cell r="C201" t="str">
            <v>Migration Account - Assets</v>
          </cell>
          <cell r="D201" t="str">
            <v>INR</v>
          </cell>
          <cell r="E201" t="str">
            <v/>
          </cell>
          <cell r="F201">
            <v>-8605</v>
          </cell>
          <cell r="G201">
            <v>0</v>
          </cell>
          <cell r="H201">
            <v>0</v>
          </cell>
          <cell r="I201">
            <v>0</v>
          </cell>
          <cell r="J201">
            <v>-8605</v>
          </cell>
        </row>
        <row r="202">
          <cell r="B202">
            <v>90000002</v>
          </cell>
          <cell r="C202" t="str">
            <v>Migration Account - Inventory</v>
          </cell>
          <cell r="D202" t="str">
            <v>INR</v>
          </cell>
          <cell r="E202" t="str">
            <v/>
          </cell>
          <cell r="F202">
            <v>-1888422011.98</v>
          </cell>
          <cell r="G202">
            <v>0</v>
          </cell>
          <cell r="H202">
            <v>0</v>
          </cell>
          <cell r="I202">
            <v>0</v>
          </cell>
          <cell r="J202">
            <v>-1888422011.98</v>
          </cell>
        </row>
        <row r="203">
          <cell r="B203">
            <v>90000003</v>
          </cell>
          <cell r="C203" t="str">
            <v>Migration Account - Customers</v>
          </cell>
          <cell r="D203" t="str">
            <v>INR</v>
          </cell>
          <cell r="E203" t="str">
            <v/>
          </cell>
          <cell r="F203">
            <v>132954844.3</v>
          </cell>
          <cell r="G203">
            <v>0</v>
          </cell>
          <cell r="H203">
            <v>21662823.300000001</v>
          </cell>
          <cell r="I203">
            <v>21662823.300000001</v>
          </cell>
          <cell r="J203">
            <v>132954844.3</v>
          </cell>
        </row>
        <row r="204">
          <cell r="B204">
            <v>90000004</v>
          </cell>
          <cell r="C204" t="str">
            <v>Migration Account - Vendor</v>
          </cell>
          <cell r="D204" t="str">
            <v>INR</v>
          </cell>
          <cell r="E204" t="str">
            <v/>
          </cell>
          <cell r="F204">
            <v>538919625</v>
          </cell>
          <cell r="G204">
            <v>0</v>
          </cell>
          <cell r="H204">
            <v>0</v>
          </cell>
          <cell r="I204">
            <v>0</v>
          </cell>
          <cell r="J204">
            <v>538919625</v>
          </cell>
        </row>
        <row r="205">
          <cell r="B205">
            <v>90000005</v>
          </cell>
          <cell r="C205" t="str">
            <v>Migration Account - GL</v>
          </cell>
          <cell r="D205" t="str">
            <v>INR</v>
          </cell>
          <cell r="E205" t="str">
            <v/>
          </cell>
          <cell r="F205">
            <v>1216556147.6800001</v>
          </cell>
          <cell r="G205">
            <v>0</v>
          </cell>
          <cell r="H205">
            <v>0</v>
          </cell>
          <cell r="I205">
            <v>0</v>
          </cell>
          <cell r="J205">
            <v>1216556147.6800001</v>
          </cell>
        </row>
        <row r="206">
          <cell r="B206" t="str">
            <v/>
          </cell>
          <cell r="C206" t="str">
            <v/>
          </cell>
          <cell r="D206" t="str">
            <v>INR</v>
          </cell>
          <cell r="E206" t="str">
            <v/>
          </cell>
          <cell r="F206">
            <v>0</v>
          </cell>
          <cell r="G206">
            <v>0</v>
          </cell>
          <cell r="H206">
            <v>15938762710.75</v>
          </cell>
          <cell r="I206">
            <v>15938762710.75</v>
          </cell>
          <cell r="J206">
            <v>0</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M" refreshedDate="46141.070273379628" createdVersion="8" refreshedVersion="8" minRefreshableVersion="3" recordCount="194">
  <cacheSource type="worksheet">
    <worksheetSource ref="A4:H198" sheet="TB_31.03.2026 (Links)"/>
  </cacheSource>
  <cacheFields count="8">
    <cacheField name="Company Code" numFmtId="0">
      <sharedItems/>
    </cacheField>
    <cacheField name="G/L Account" numFmtId="0">
      <sharedItems containsSemiMixedTypes="0" containsString="0" containsNumber="1" containsInteger="1" minValue="10000070" maxValue="90000005"/>
    </cacheField>
    <cacheField name="BS type" numFmtId="0">
      <sharedItems containsBlank="1" count="5">
        <s v="Assets"/>
        <s v="Liabilities"/>
        <s v="Income"/>
        <s v="Expenses"/>
        <m/>
      </sharedItems>
    </cacheField>
    <cacheField name="G/L Acct Long Text" numFmtId="0">
      <sharedItems/>
    </cacheField>
    <cacheField name="Balance Carryforward" numFmtId="4">
      <sharedItems containsSemiMixedTypes="0" containsString="0" containsNumber="1" minValue="-1888422011.98" maxValue="2806199371.8299999"/>
    </cacheField>
    <cacheField name="Debit Blnce of Reportng Period" numFmtId="4">
      <sharedItems containsSemiMixedTypes="0" containsString="0" containsNumber="1" minValue="0" maxValue="1887464345.4200001"/>
    </cacheField>
    <cacheField name="Credit Balance Reporting Per." numFmtId="4">
      <sharedItems containsSemiMixedTypes="0" containsString="0" containsNumber="1" minValue="0" maxValue="1887464345.4200001"/>
    </cacheField>
    <cacheField name="Accumulated Balance" numFmtId="4">
      <sharedItems containsSemiMixedTypes="0" containsString="0" containsNumber="1" minValue="-1888422011.98" maxValue="2806199371.8299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158.851566203703" createdVersion="6" refreshedVersion="6" minRefreshableVersion="3" recordCount="872">
  <cacheSource type="worksheet">
    <worksheetSource ref="A299:BJ1171" sheet="WIP Final"/>
  </cacheSource>
  <cacheFields count="62">
    <cacheField name="Month" numFmtId="175">
      <sharedItems containsSemiMixedTypes="0" containsNonDate="0" containsDate="1" containsString="0" minDate="2025-06-01T00:00:00" maxDate="2026-03-02T00:00:00"/>
    </cacheField>
    <cacheField name="Type" numFmtId="175">
      <sharedItems/>
    </cacheField>
    <cacheField name="Profit Center" numFmtId="175">
      <sharedItems containsBlank="1"/>
    </cacheField>
    <cacheField name="Company" numFmtId="4">
      <sharedItems/>
    </cacheField>
    <cacheField name="Employee Code" numFmtId="4">
      <sharedItems containsSemiMixedTypes="0" containsString="0" containsNumber="1" containsInteger="1" minValue="48" maxValue="2307"/>
    </cacheField>
    <cacheField name="Employee Name" numFmtId="4">
      <sharedItems/>
    </cacheField>
    <cacheField name="Gender" numFmtId="4">
      <sharedItems containsBlank="1"/>
    </cacheField>
    <cacheField name="Company Branch" numFmtId="4">
      <sharedItems containsBlank="1"/>
    </cacheField>
    <cacheField name="DOJ" numFmtId="4">
      <sharedItems containsBlank="1"/>
    </cacheField>
    <cacheField name="PAN" numFmtId="4">
      <sharedItems containsBlank="1"/>
    </cacheField>
    <cacheField name="UAN" numFmtId="4">
      <sharedItems containsBlank="1"/>
    </cacheField>
    <cacheField name="Designation" numFmtId="4">
      <sharedItems containsBlank="1" count="67">
        <s v="FIELD ENGINEER"/>
        <s v="ASSISTANT PROJECT MANAGER"/>
        <s v="DEPUTY MANAGER"/>
        <s v="SENIOR MANAGER - MEP"/>
        <s v="SITE SUPERVISOR"/>
        <s v="MANAGER - SALES"/>
        <s v="MANAGEMENT TRAINEE"/>
        <s v="EXECUTIVE - POSSESSION"/>
        <s v="MANAGER - A &amp; O"/>
        <s v="SENIOR ENGINEER"/>
        <s v="EXECUTIVE - PRE SALES"/>
        <s v="DEPUTY MANAGER - HR"/>
        <s v="EXECUTIVE - MIS"/>
        <s v="EXECUTIVE"/>
        <s v="LISIONING-OFFICER"/>
        <s v="SENIOR MANAGER - SALES"/>
        <s v="SAFETY OFFICER"/>
        <s v="RECEPTIONIST"/>
        <s v="SENIOR VICE PRESIDENT"/>
        <s v="SENIOR EXECUTIVE - POSSESSION"/>
        <s v="ASSISTANT GENERAL MANAGER"/>
        <s v="EXECUTIVE - ADMIN"/>
        <s v="SUPERVISOR"/>
        <s v="ASSISTANT MANAGER - SALES"/>
        <s v="DEPUTY MANAGER - SALES"/>
        <s v="PAINTER"/>
        <s v="ENGINEERING - COORDINATOR"/>
        <s v="EXECUTIVE - POSSESSION SUPPORT"/>
        <s v="ASSISTANT MANAGER -  ACCOUNTS"/>
        <s v="SITE ENGINEER"/>
        <s v="SENIOR EXECUTIVE - ACCOUNTS"/>
        <s v="PROJECT MANAGER"/>
        <s v="SR.ENGG - BILLING"/>
        <s v="JUNIOR ENGINEER"/>
        <s v="SENIOR EXECUTIVE - SALES"/>
        <s v="OFFICE ASISTANT"/>
        <s v="GENERAL MANAGER"/>
        <s v="Executive - Business Excellence"/>
        <s v="GENERAL MANAGER - ENGINEERING"/>
        <s v="SENIOR EXECUTIVE - MIS"/>
        <s v="MANAGER - HR"/>
        <s v="MANAGER - LIASIONING"/>
        <s v="SENIOR MANAGER - RESI. SALES"/>
        <s v="MANAGER"/>
        <s v="POSSESSION EXECUTIVE"/>
        <s v="ASSISTANT MANAGER"/>
        <s v="ENGINEER"/>
        <s v="GUEST RELATION EXECUTIVE"/>
        <s v="MANAGER - BUDGETING"/>
        <s v="OFFICE ASSISTANT"/>
        <s v="SR. EXECUTIVE"/>
        <s v="EXECUTIVE - CRM"/>
        <s v="DEPUTY MANAGER - RESI. SALES"/>
        <s v="SENIOR MANAGER"/>
        <s v="ASSISTANT MANAGER - RESI. SALES"/>
        <s v="MANAGER - RESI. SALES"/>
        <s v="SENIOR EXECUTIVE HR"/>
        <s v="EXECUTIVE ASSISTANT"/>
        <s v="ASSISTANT MANAGER - PLANNING"/>
        <s v="LIAISON-OFFICER"/>
        <s v="SENIOR MANAGER - CONTRACTS"/>
        <s v="SENIOR EXECUTIVE - RESI. SALES"/>
        <s v="ACCOUNTANT"/>
        <m/>
        <s v="ASSISTANT MANAGER - MARKETING"/>
        <s v="GENERAL MANAGER - HR"/>
        <s v="HEAD - LIASIONING"/>
      </sharedItems>
    </cacheField>
    <cacheField name="CorporateTitle" numFmtId="4">
      <sharedItems containsBlank="1"/>
    </cacheField>
    <cacheField name="Department" numFmtId="4">
      <sharedItems count="9">
        <s v="Technical"/>
        <s v="SALES &amp; MARKETING"/>
        <s v="HR &amp; ADMIN"/>
        <s v="LEGAL"/>
        <s v="SSR"/>
        <s v="FINANCE &amp; ACCOUNTS"/>
        <s v="RESIDENTIAL SALES"/>
        <s v="Liaison"/>
        <s v="POST SALES"/>
      </sharedItems>
    </cacheField>
    <cacheField name="Grade" numFmtId="4">
      <sharedItems containsBlank="1"/>
    </cacheField>
    <cacheField name="PF Status" numFmtId="4">
      <sharedItems containsBlank="1"/>
    </cacheField>
    <cacheField name="ESI Status" numFmtId="4">
      <sharedItems containsBlank="1"/>
    </cacheField>
    <cacheField name="PF Number" numFmtId="4">
      <sharedItems containsBlank="1"/>
    </cacheField>
    <cacheField name="ESI Number" numFmtId="4">
      <sharedItems containsBlank="1"/>
    </cacheField>
    <cacheField name="Aadhaar/SS Number" numFmtId="4">
      <sharedItems containsBlank="1"/>
    </cacheField>
    <cacheField name="Account No" numFmtId="4">
      <sharedItems containsBlank="1" containsMixedTypes="1" containsNumber="1" containsInteger="1" minValue="0" maxValue="0"/>
    </cacheField>
    <cacheField name="Bank Name" numFmtId="4">
      <sharedItems containsBlank="1" containsMixedTypes="1" containsNumber="1" containsInteger="1" minValue="0" maxValue="0"/>
    </cacheField>
    <cacheField name="IFS Code" numFmtId="4">
      <sharedItems containsBlank="1" containsMixedTypes="1" containsNumber="1" containsInteger="1" minValue="0" maxValue="0"/>
    </cacheField>
    <cacheField name="No Of Days In Month" numFmtId="4">
      <sharedItems containsString="0" containsBlank="1" containsNumber="1" containsInteger="1" minValue="28" maxValue="31"/>
    </cacheField>
    <cacheField name="OTDays" numFmtId="4">
      <sharedItems containsString="0" containsBlank="1" containsNumber="1" containsInteger="1" minValue="0" maxValue="0"/>
    </cacheField>
    <cacheField name="LOPDays" numFmtId="4">
      <sharedItems containsString="0" containsBlank="1" containsNumber="1" minValue="0" maxValue="31"/>
    </cacheField>
    <cacheField name="Working Days" numFmtId="4">
      <sharedItems containsString="0" containsBlank="1" containsNumber="1" minValue="0" maxValue="31"/>
    </cacheField>
    <cacheField name="Working Days + OT Days " numFmtId="4">
      <sharedItems containsString="0" containsBlank="1" containsNumber="1" minValue="0" maxValue="31"/>
    </cacheField>
    <cacheField name="Monthly CTC" numFmtId="168">
      <sharedItems containsString="0" containsBlank="1" containsNumber="1" containsInteger="1" minValue="22933" maxValue="434795"/>
    </cacheField>
    <cacheField name="Monthly Gross Amount " numFmtId="168">
      <sharedItems containsString="0" containsBlank="1" containsNumber="1" containsInteger="1" minValue="22933" maxValue="434795"/>
    </cacheField>
    <cacheField name="BASIC" numFmtId="168">
      <sharedItems containsString="0" containsBlank="1" containsNumber="1" containsInteger="1" minValue="0" maxValue="195658"/>
    </cacheField>
    <cacheField name="HRA" numFmtId="168">
      <sharedItems containsString="0" containsBlank="1" containsNumber="1" containsInteger="1" minValue="0" maxValue="78263"/>
    </cacheField>
    <cacheField name="Conveyance" numFmtId="168">
      <sharedItems containsString="0" containsBlank="1" containsNumber="1" containsInteger="1" minValue="0" maxValue="1600"/>
    </cacheField>
    <cacheField name="Children Education Allowance" numFmtId="168">
      <sharedItems containsString="0" containsBlank="1" containsNumber="1" containsInteger="1" minValue="0" maxValue="200"/>
    </cacheField>
    <cacheField name="Medical" numFmtId="168">
      <sharedItems containsString="0" containsBlank="1" containsNumber="1" containsInteger="1" minValue="0" maxValue="1250"/>
    </cacheField>
    <cacheField name="Leave Travel Assistance" numFmtId="168">
      <sharedItems containsString="0" containsBlank="1" containsNumber="1" containsInteger="1" minValue="0" maxValue="16298"/>
    </cacheField>
    <cacheField name="Helper Allowance" numFmtId="168">
      <sharedItems containsString="0" containsBlank="1" containsNumber="1" containsInteger="1" minValue="0" maxValue="39132"/>
    </cacheField>
    <cacheField name="Vehicle Insurance &amp; Maintenance" numFmtId="168">
      <sharedItems containsString="0" containsBlank="1" containsNumber="1" containsInteger="1" minValue="0" maxValue="29349"/>
    </cacheField>
    <cacheField name="Newspaper Journal Allowance" numFmtId="168">
      <sharedItems containsString="0" containsBlank="1" containsNumber="1" containsInteger="1" minValue="0" maxValue="1957"/>
    </cacheField>
    <cacheField name="Mobile/Internet Reimbursment" numFmtId="168">
      <sharedItems containsString="0" containsBlank="1" containsNumber="1" containsInteger="1" minValue="0" maxValue="6848"/>
    </cacheField>
    <cacheField name="Uniform" numFmtId="168">
      <sharedItems containsString="0" containsBlank="1" containsNumber="1" containsInteger="1" minValue="0" maxValue="3913"/>
    </cacheField>
    <cacheField name="Supplementary / MISC Allowance" numFmtId="168">
      <sharedItems containsString="0" containsBlank="1" containsNumber="1" containsInteger="1" minValue="0" maxValue="978"/>
    </cacheField>
    <cacheField name="Employeer PF" numFmtId="168">
      <sharedItems containsString="0" containsBlank="1" containsNumber="1" containsInteger="1" minValue="0" maxValue="1800"/>
    </cacheField>
    <cacheField name="Transport Allowance" numFmtId="168">
      <sharedItems containsString="0" containsBlank="1" containsNumber="1" containsInteger="1" minValue="-194" maxValue="57549"/>
    </cacheField>
    <cacheField name="EXTRA WORKING DAYS" numFmtId="168">
      <sharedItems containsString="0" containsBlank="1" containsNumber="1" containsInteger="1" minValue="0" maxValue="0"/>
    </cacheField>
    <cacheField name="OTHER INCOME" numFmtId="168">
      <sharedItems containsString="0" containsBlank="1" containsNumber="1" containsInteger="1" minValue="0" maxValue="26466"/>
    </cacheField>
    <cacheField name="NT Reimbursement" numFmtId="168">
      <sharedItems containsString="0" containsBlank="1" containsNumber="1" minValue="0" maxValue="75000"/>
    </cacheField>
    <cacheField name="Gross Salary Payable" numFmtId="168">
      <sharedItems containsString="0" containsBlank="1" containsNumber="1" minValue="0" maxValue="440016"/>
    </cacheField>
    <cacheField name="Taxable Income" numFmtId="168">
      <sharedItems containsSemiMixedTypes="0" containsString="0" containsNumber="1" containsInteger="1" minValue="0" maxValue="434795"/>
    </cacheField>
    <cacheField name="Mediclaim Deduction" numFmtId="168">
      <sharedItems containsString="0" containsBlank="1" containsNumber="1" containsInteger="1" minValue="0" maxValue="0"/>
    </cacheField>
    <cacheField name="OTHER DEDUCTION" numFmtId="168">
      <sharedItems containsString="0" containsBlank="1" containsNumber="1" containsInteger="1" minValue="0" maxValue="15360"/>
    </cacheField>
    <cacheField name="IT" numFmtId="168">
      <sharedItems containsString="0" containsBlank="1" containsNumber="1" containsInteger="1" minValue="0" maxValue="236998"/>
    </cacheField>
    <cacheField name="PT" numFmtId="168">
      <sharedItems containsString="0" containsBlank="1" containsNumber="1" containsInteger="1" minValue="0" maxValue="300"/>
    </cacheField>
    <cacheField name="PF" numFmtId="168">
      <sharedItems containsString="0" containsBlank="1" containsNumber="1" containsInteger="1" minValue="0" maxValue="1800"/>
    </cacheField>
    <cacheField name="ESI" numFmtId="168">
      <sharedItems containsString="0" containsBlank="1" containsNumber="1" containsInteger="1" minValue="0" maxValue="0"/>
    </cacheField>
    <cacheField name="VPF" numFmtId="168">
      <sharedItems containsString="0" containsBlank="1" containsNumber="1" containsInteger="1" minValue="0" maxValue="0"/>
    </cacheField>
    <cacheField name="LWF" numFmtId="168">
      <sharedItems containsString="0" containsBlank="1" containsNumber="1" containsInteger="1" minValue="0" maxValue="25"/>
    </cacheField>
    <cacheField name="Advance" numFmtId="168">
      <sharedItems containsString="0" containsBlank="1" containsNumber="1" containsInteger="1" minValue="0" maxValue="31667"/>
    </cacheField>
    <cacheField name="Total Ded" numFmtId="168">
      <sharedItems containsString="0" containsBlank="1" containsNumber="1" containsInteger="1" minValue="0" maxValue="238998"/>
    </cacheField>
    <cacheField name="Net Pay" numFmtId="168">
      <sharedItems containsSemiMixedTypes="0" containsString="0" containsNumber="1" containsInteger="1" minValue="-3725" maxValue="338696"/>
    </cacheField>
    <cacheField name="Head" numFmtId="4">
      <sharedItems containsBlank="1"/>
    </cacheField>
    <cacheField name="Remark" numFmtId="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94">
  <r>
    <s v="1900"/>
    <n v="10000070"/>
    <x v="0"/>
    <s v="Office Equipments"/>
    <n v="54811"/>
    <n v="0"/>
    <n v="0"/>
    <n v="54811"/>
  </r>
  <r>
    <s v="1900"/>
    <n v="10001070"/>
    <x v="0"/>
    <s v="Accumulated Dep - Office Equipments"/>
    <n v="-22469.87"/>
    <n v="0"/>
    <n v="14576.15"/>
    <n v="-37046.019999999997"/>
  </r>
  <r>
    <s v="1900"/>
    <n v="10320101"/>
    <x v="0"/>
    <s v="FD - Investment in Fixed Deposit"/>
    <n v="1000000"/>
    <n v="200403478.87"/>
    <n v="166403478.87"/>
    <n v="35000000"/>
  </r>
  <r>
    <s v="1900"/>
    <n v="10320102"/>
    <x v="0"/>
    <s v="FD - Investment in Fixed Deposit Receivable"/>
    <n v="0"/>
    <n v="166227835.63999999"/>
    <n v="166227835.63999999"/>
    <n v="0"/>
  </r>
  <r>
    <s v="1900"/>
    <n v="10400101"/>
    <x v="0"/>
    <s v="Capital WIP"/>
    <n v="2806199371.8299999"/>
    <n v="0"/>
    <n v="0"/>
    <n v="2806199371.8299999"/>
  </r>
  <r>
    <s v="1900"/>
    <n v="10500001"/>
    <x v="0"/>
    <s v="Domestic Customers - Basic &amp; Infra"/>
    <n v="835132253.33000004"/>
    <n v="82317594.280000001"/>
    <n v="53683312.899999999"/>
    <n v="863766534.71000004"/>
  </r>
  <r>
    <s v="1900"/>
    <n v="10500002"/>
    <x v="0"/>
    <s v="Domestic Customers - GST"/>
    <n v="45177026.520000003"/>
    <n v="3583960.76"/>
    <n v="1842689.61"/>
    <n v="46918297.670000002"/>
  </r>
  <r>
    <s v="1900"/>
    <n v="10500003"/>
    <x v="0"/>
    <s v="Domestic Customers - SDR"/>
    <n v="-22777476"/>
    <n v="22831301"/>
    <n v="24576201"/>
    <n v="-24522376"/>
  </r>
  <r>
    <s v="1900"/>
    <n v="10500009"/>
    <x v="0"/>
    <s v="Domestic Customers"/>
    <n v="261151400.69999999"/>
    <n v="240500368.86000001"/>
    <n v="330886296.76999998"/>
    <n v="170765472.78999999"/>
  </r>
  <r>
    <s v="1900"/>
    <n v="10500100"/>
    <x v="0"/>
    <s v="Customer-Others"/>
    <n v="0"/>
    <n v="2319592.64"/>
    <n v="2319592.64"/>
    <n v="0"/>
  </r>
  <r>
    <s v="1900"/>
    <n v="10900002"/>
    <x v="0"/>
    <s v="TDS on Sale of Residential Property 1 % Receivable"/>
    <n v="29382876.859999999"/>
    <n v="1451952.86"/>
    <n v="171474.45"/>
    <n v="30663355.27"/>
  </r>
  <r>
    <s v="1900"/>
    <n v="10910101"/>
    <x v="0"/>
    <s v="FD - TDS on FD Interest"/>
    <n v="6220"/>
    <n v="286789.98"/>
    <n v="0"/>
    <n v="293009.98"/>
  </r>
  <r>
    <s v="1900"/>
    <n v="10930002"/>
    <x v="0"/>
    <s v="Advances to Employee"/>
    <n v="41467"/>
    <n v="958248"/>
    <n v="851633"/>
    <n v="148082"/>
  </r>
  <r>
    <s v="1900"/>
    <n v="10940001"/>
    <x v="0"/>
    <s v="Cash"/>
    <n v="8605"/>
    <n v="0"/>
    <n v="500"/>
    <n v="8105"/>
  </r>
  <r>
    <s v="1900"/>
    <n v="10951220"/>
    <x v="0"/>
    <s v="IDBI- 0600102000012582- Collection A/c- Main"/>
    <n v="10000"/>
    <n v="51819394.219999999"/>
    <n v="51829394.229999997"/>
    <n v="-0.01"/>
  </r>
  <r>
    <s v="1900"/>
    <n v="10951221"/>
    <x v="0"/>
    <s v="IDBI- 0600102000012582- Collection A/c- Incoming"/>
    <n v="0"/>
    <n v="59674301.770000003"/>
    <n v="59674301.770000003"/>
    <n v="0"/>
  </r>
  <r>
    <s v="1900"/>
    <n v="10951222"/>
    <x v="0"/>
    <s v="IDBI- 0600102000012582- Collection A/c- Outgoing"/>
    <n v="0"/>
    <n v="50299508.850000001"/>
    <n v="50299508.850000001"/>
    <n v="0"/>
  </r>
  <r>
    <s v="1900"/>
    <n v="10951230"/>
    <x v="0"/>
    <s v="IDBI- 0600102000012591- RERA A/c- Main"/>
    <n v="1017434.18"/>
    <n v="39480082.25"/>
    <n v="40497516.43"/>
    <n v="0"/>
  </r>
  <r>
    <s v="1900"/>
    <n v="10951231"/>
    <x v="0"/>
    <s v="IDBI- 0600102000012591- RERA A/c- Incoming"/>
    <n v="0"/>
    <n v="34862416.950000003"/>
    <n v="34862416.950000003"/>
    <n v="0"/>
  </r>
  <r>
    <s v="1900"/>
    <n v="10951232"/>
    <x v="0"/>
    <s v="IDBI- 0600102000012591- RERA A/c- Outgoing"/>
    <n v="0"/>
    <n v="46540188.689999998"/>
    <n v="46540188.689999998"/>
    <n v="0"/>
  </r>
  <r>
    <s v="1900"/>
    <n v="10951240"/>
    <x v="0"/>
    <s v="IDBI- 0600102000012607- Expenses A/c- Main"/>
    <n v="6119366.8700000001"/>
    <n v="964310892.16999996"/>
    <n v="968860820.99000001"/>
    <n v="1569438.05"/>
  </r>
  <r>
    <s v="1900"/>
    <n v="10951241"/>
    <x v="0"/>
    <s v="IDBI- 0600102000012607- Expenses A/c- Incoming"/>
    <n v="0"/>
    <n v="1163559303.5699999"/>
    <n v="1163059303.5699999"/>
    <n v="500000"/>
  </r>
  <r>
    <s v="1900"/>
    <n v="10951242"/>
    <x v="0"/>
    <s v="IDBI- 0600102000012607- Expenses A/c- Outgoing"/>
    <n v="-5789326.8099999996"/>
    <n v="1220422290.24"/>
    <n v="1214738684.4300001"/>
    <n v="-105721"/>
  </r>
  <r>
    <s v="1900"/>
    <n v="10951250"/>
    <x v="0"/>
    <s v="IDBI- 0600102000012616- E-Tax A/c- Main"/>
    <n v="614400"/>
    <n v="21508837.98"/>
    <n v="22048852.760000002"/>
    <n v="74385.22"/>
  </r>
  <r>
    <s v="1900"/>
    <n v="10951251"/>
    <x v="0"/>
    <s v="IDBI- 0600102000012616- E-Tax A/c- Incoming"/>
    <n v="0"/>
    <n v="27981803"/>
    <n v="27981803"/>
    <n v="0"/>
  </r>
  <r>
    <s v="1900"/>
    <n v="10951252"/>
    <x v="0"/>
    <s v="IDBI- 0600102000012616- E-Tax A/c- Outgoing"/>
    <n v="0"/>
    <n v="22238988.739999998"/>
    <n v="22238988.739999998"/>
    <n v="0"/>
  </r>
  <r>
    <s v="1900"/>
    <n v="10951260"/>
    <x v="0"/>
    <s v="IDBI- 0600102000012625- Maintenance A/c- Main"/>
    <n v="19702.66"/>
    <n v="5297.58"/>
    <n v="1.47"/>
    <n v="24998.77"/>
  </r>
  <r>
    <s v="1900"/>
    <n v="10951261"/>
    <x v="0"/>
    <s v="IDBI- 0600102000012625- Maintenance A/c- Incoming"/>
    <n v="0"/>
    <n v="5297"/>
    <n v="5297"/>
    <n v="0"/>
  </r>
  <r>
    <s v="1900"/>
    <n v="10952210"/>
    <x v="0"/>
    <s v="HDFC-99919907012022-OD A/c-Main"/>
    <n v="0"/>
    <n v="1476565765.3"/>
    <n v="1504528114.5799999"/>
    <n v="-27962349.280000001"/>
  </r>
  <r>
    <s v="1900"/>
    <n v="10952211"/>
    <x v="0"/>
    <s v="HDFC-99919907012022-OD A/c-Incoming"/>
    <n v="0"/>
    <n v="1510047710.46"/>
    <n v="1510047710.46"/>
    <n v="0"/>
  </r>
  <r>
    <s v="1900"/>
    <n v="10952212"/>
    <x v="0"/>
    <s v="HDFC-99919907012022-OD A/c-Outgoing"/>
    <n v="0"/>
    <n v="1887464345.4200001"/>
    <n v="1887464345.4200001"/>
    <n v="0"/>
  </r>
  <r>
    <s v="1900"/>
    <n v="10952660"/>
    <x v="0"/>
    <s v="IDBI- 0600102000013916- Collection A/c- Main"/>
    <n v="25000"/>
    <n v="0"/>
    <n v="25000"/>
    <n v="0"/>
  </r>
  <r>
    <s v="1900"/>
    <n v="10952670"/>
    <x v="0"/>
    <s v="IDBI- 0600102000013891- Expenses A/c- Main"/>
    <n v="25000"/>
    <n v="1500"/>
    <n v="26500"/>
    <n v="0"/>
  </r>
  <r>
    <s v="1900"/>
    <n v="10952680"/>
    <x v="0"/>
    <s v="IDBI- 0600102000013907- Rera A/c- Main"/>
    <n v="25000"/>
    <n v="1590"/>
    <n v="26500"/>
    <n v="90"/>
  </r>
  <r>
    <s v="1900"/>
    <n v="10952740"/>
    <x v="0"/>
    <s v="HDFC- 57500001831971- Collection A/c- Main"/>
    <n v="0"/>
    <n v="8713418.8000000007"/>
    <n v="8713418.8000000007"/>
    <n v="0"/>
  </r>
  <r>
    <s v="1900"/>
    <n v="10952741"/>
    <x v="0"/>
    <s v="HDFC- 57500001831971- Collection A/c- Incoming"/>
    <n v="0"/>
    <n v="12912312.699999999"/>
    <n v="12912312.699999999"/>
    <n v="0"/>
  </r>
  <r>
    <s v="1900"/>
    <n v="10952742"/>
    <x v="0"/>
    <s v="HDFC- 57500001831971- Collection A/c- Outgoing"/>
    <n v="0"/>
    <n v="4514534.9000000004"/>
    <n v="4514534.9000000004"/>
    <n v="0"/>
  </r>
  <r>
    <s v="1900"/>
    <n v="10952750"/>
    <x v="0"/>
    <s v="HDFC- 57500001831820- Expenses A/c- Main"/>
    <n v="0"/>
    <n v="1354362.03"/>
    <n v="1354361.97"/>
    <n v="0.06"/>
  </r>
  <r>
    <s v="1900"/>
    <n v="10952751"/>
    <x v="0"/>
    <s v="HDFC- 57500001831820- Expenses A/c- Incoming"/>
    <n v="0"/>
    <n v="1354361.97"/>
    <n v="1354361.97"/>
    <n v="0"/>
  </r>
  <r>
    <s v="1900"/>
    <n v="10952752"/>
    <x v="0"/>
    <s v="HDFC- 57500001831820- Expenses A/c- Outgoing"/>
    <n v="0"/>
    <n v="1354362.03"/>
    <n v="1354362.03"/>
    <n v="0"/>
  </r>
  <r>
    <s v="1900"/>
    <n v="10952760"/>
    <x v="0"/>
    <s v="HDFC- 57500001831984- Rera A/c- Main"/>
    <n v="0"/>
    <n v="3160163.93"/>
    <n v="0"/>
    <n v="3160163.93"/>
  </r>
  <r>
    <s v="1900"/>
    <n v="10952761"/>
    <x v="0"/>
    <s v="HDFC- 57500001831984- Rera A/c- Incoming"/>
    <n v="0"/>
    <n v="3160170.93"/>
    <n v="3160170.93"/>
    <n v="0"/>
  </r>
  <r>
    <s v="1900"/>
    <n v="11110003"/>
    <x v="0"/>
    <s v="FD-Interest on Fixed Deposit Accrued but Not Due"/>
    <n v="55980"/>
    <n v="2901127.06"/>
    <n v="619060.85"/>
    <n v="2338046.21"/>
  </r>
  <r>
    <s v="1900"/>
    <n v="11130003"/>
    <x v="0"/>
    <s v="Input CGST 2.5%  Receivable"/>
    <n v="0"/>
    <n v="43.32"/>
    <n v="43.32"/>
    <n v="0"/>
  </r>
  <r>
    <s v="1900"/>
    <n v="11130004"/>
    <x v="0"/>
    <s v="Input SGST 2.5%  Receivable"/>
    <n v="0"/>
    <n v="43.32"/>
    <n v="43.32"/>
    <n v="0"/>
  </r>
  <r>
    <s v="1900"/>
    <n v="11130005"/>
    <x v="0"/>
    <s v="Input CGST 6%  Receivable"/>
    <n v="0"/>
    <n v="132"/>
    <n v="132"/>
    <n v="0"/>
  </r>
  <r>
    <s v="1900"/>
    <n v="11130006"/>
    <x v="0"/>
    <s v="Input SGST 6%  Receivable"/>
    <n v="0"/>
    <n v="132"/>
    <n v="132"/>
    <n v="0"/>
  </r>
  <r>
    <s v="1900"/>
    <n v="11130007"/>
    <x v="0"/>
    <s v="Input CGST 9%  Receivable"/>
    <n v="0"/>
    <n v="16219898.779999999"/>
    <n v="16219898.779999999"/>
    <n v="0"/>
  </r>
  <r>
    <s v="1900"/>
    <n v="11130008"/>
    <x v="0"/>
    <s v="Input SGST  9%  Receivable"/>
    <n v="0"/>
    <n v="16219898.779999999"/>
    <n v="16219898.779999999"/>
    <n v="0"/>
  </r>
  <r>
    <s v="1900"/>
    <n v="11130009"/>
    <x v="0"/>
    <s v="Input CGST 14%  Receivable"/>
    <n v="0"/>
    <n v="75.09"/>
    <n v="75.09"/>
    <n v="0"/>
  </r>
  <r>
    <s v="1900"/>
    <n v="11130010"/>
    <x v="0"/>
    <s v="Input SGST 14%  Receivable"/>
    <n v="0"/>
    <n v="75.09"/>
    <n v="75.09"/>
    <n v="0"/>
  </r>
  <r>
    <s v="1900"/>
    <n v="11130014"/>
    <x v="0"/>
    <s v="Input IGST 18%  Receivable"/>
    <n v="0"/>
    <n v="64028.52"/>
    <n v="64028.52"/>
    <n v="0"/>
  </r>
  <r>
    <s v="1900"/>
    <n v="11130201"/>
    <x v="0"/>
    <s v="CGST RCM Receivable A/c"/>
    <n v="0"/>
    <n v="78308.460000000006"/>
    <n v="69312.600000000006"/>
    <n v="8995.86"/>
  </r>
  <r>
    <s v="1900"/>
    <n v="11130202"/>
    <x v="0"/>
    <s v="SGST RCM Receivable A/c"/>
    <n v="0"/>
    <n v="78308.460000000006"/>
    <n v="69312.600000000006"/>
    <n v="8995.86"/>
  </r>
  <r>
    <s v="1900"/>
    <n v="11140150"/>
    <x v="0"/>
    <s v="InterBranch Transaction"/>
    <n v="-911972112.13"/>
    <n v="200000000"/>
    <n v="50360"/>
    <n v="-712022472.13"/>
  </r>
  <r>
    <s v="1900"/>
    <n v="11140151"/>
    <x v="0"/>
    <s v="Branch-Ho-Assets"/>
    <n v="7256064"/>
    <n v="0"/>
    <n v="0"/>
    <n v="7256064"/>
  </r>
  <r>
    <s v="1900"/>
    <n v="11140201"/>
    <x v="0"/>
    <s v="IC RECEIVALE CLEARING"/>
    <n v="0"/>
    <n v="1178428.8"/>
    <n v="1178428.52"/>
    <n v="0.28000000000000003"/>
  </r>
  <r>
    <s v="1900"/>
    <n v="11150011"/>
    <x v="0"/>
    <s v="Deferred Tax Assets"/>
    <n v="3585.99"/>
    <n v="0"/>
    <n v="0"/>
    <n v="3585.99"/>
  </r>
  <r>
    <s v="1900"/>
    <n v="20000202"/>
    <x v="1"/>
    <s v="Current Capital - Rajesh Goyal"/>
    <n v="0"/>
    <n v="30000000"/>
    <n v="30000000"/>
    <n v="0"/>
  </r>
  <r>
    <s v="1900"/>
    <n v="20000308"/>
    <x v="1"/>
    <s v="Branch Ho-Liablities"/>
    <n v="-7286681"/>
    <n v="0"/>
    <n v="0"/>
    <n v="-7286681"/>
  </r>
  <r>
    <s v="1900"/>
    <n v="20000350"/>
    <x v="1"/>
    <s v="Share Capital"/>
    <n v="-100000"/>
    <n v="0"/>
    <n v="0"/>
    <n v="-100000"/>
  </r>
  <r>
    <s v="1900"/>
    <n v="20100001"/>
    <x v="1"/>
    <s v="Retained Earning A/c"/>
    <n v="111152.72"/>
    <n v="0"/>
    <n v="0"/>
    <n v="111152.72"/>
  </r>
  <r>
    <s v="1900"/>
    <n v="20100003"/>
    <x v="1"/>
    <s v="Reserves &amp; Surplus"/>
    <n v="2890.55"/>
    <n v="0"/>
    <n v="0"/>
    <n v="2890.55"/>
  </r>
  <r>
    <s v="1900"/>
    <n v="20100101"/>
    <x v="1"/>
    <s v="Zero Balance Clearing for PCA"/>
    <n v="0"/>
    <n v="1198477335.76"/>
    <n v="1198477335.76"/>
    <n v="0"/>
  </r>
  <r>
    <s v="1900"/>
    <n v="20200001"/>
    <x v="1"/>
    <s v="Loan from Relative -Krishna kumar Goyal"/>
    <n v="-29758000"/>
    <n v="40000000"/>
    <n v="131600000"/>
    <n v="-121358000"/>
  </r>
  <r>
    <s v="1900"/>
    <n v="20200002"/>
    <x v="1"/>
    <s v="Loan from Directors - Rajesh Goyal"/>
    <n v="-172634520"/>
    <n v="307500000"/>
    <n v="340500000"/>
    <n v="-205634520"/>
  </r>
  <r>
    <s v="1900"/>
    <n v="20200003"/>
    <x v="1"/>
    <s v="Loan from Directors - Vineet Goyal"/>
    <n v="218300000"/>
    <n v="126600000"/>
    <n v="394281956"/>
    <n v="-49381956"/>
  </r>
  <r>
    <s v="1900"/>
    <n v="20201009"/>
    <x v="1"/>
    <s v="Aditya Birla Capital Loan- 935318"/>
    <n v="0"/>
    <n v="407298864.87"/>
    <n v="745683594"/>
    <n v="-338384729.13"/>
  </r>
  <r>
    <s v="1900"/>
    <n v="20201010"/>
    <x v="1"/>
    <s v="Aditya Birla Capital Loan- 962471"/>
    <n v="0"/>
    <n v="1794521"/>
    <n v="500000"/>
    <n v="1294521"/>
  </r>
  <r>
    <s v="1900"/>
    <n v="20411001"/>
    <x v="1"/>
    <s v="CGST Customer Payable"/>
    <n v="-1214"/>
    <n v="0"/>
    <n v="0"/>
    <n v="-1214"/>
  </r>
  <r>
    <s v="1900"/>
    <n v="20411002"/>
    <x v="1"/>
    <s v="SGST Customer Payable"/>
    <n v="-1214"/>
    <n v="0"/>
    <n v="0"/>
    <n v="-1214"/>
  </r>
  <r>
    <s v="1900"/>
    <n v="20412001"/>
    <x v="1"/>
    <s v="Output CGST 0.5%  Payable"/>
    <n v="0"/>
    <n v="266647"/>
    <n v="266647"/>
    <n v="0"/>
  </r>
  <r>
    <s v="1900"/>
    <n v="20412003"/>
    <x v="1"/>
    <s v="Output CGST 2.5%  Payable"/>
    <n v="-262826.34999999998"/>
    <n v="10188926.59"/>
    <n v="7722069"/>
    <n v="2204031.2400000002"/>
  </r>
  <r>
    <s v="1900"/>
    <n v="20412004"/>
    <x v="1"/>
    <s v="Output SGST 2.5%  Payable"/>
    <n v="-234180.38"/>
    <n v="10160280.619999999"/>
    <n v="7722069"/>
    <n v="2204031.2400000002"/>
  </r>
  <r>
    <s v="1900"/>
    <n v="20412007"/>
    <x v="1"/>
    <s v="Output CGST 9%  Payable"/>
    <n v="-48112.32"/>
    <n v="73653.41"/>
    <n v="45541.55"/>
    <n v="-20000.46"/>
  </r>
  <r>
    <s v="1900"/>
    <n v="20412008"/>
    <x v="1"/>
    <s v="Output SGST  9%  Payable"/>
    <n v="-48112.32"/>
    <n v="73653.41"/>
    <n v="45541.55"/>
    <n v="-20000.46"/>
  </r>
  <r>
    <s v="1900"/>
    <n v="20412101"/>
    <x v="1"/>
    <s v="CGST RCM Payable"/>
    <n v="-43663.32"/>
    <n v="147837"/>
    <n v="113166.46"/>
    <n v="-8992.7800000000007"/>
  </r>
  <r>
    <s v="1900"/>
    <n v="20412102"/>
    <x v="1"/>
    <s v="SGST RCM Payable"/>
    <n v="-43663.32"/>
    <n v="147837"/>
    <n v="113166.46"/>
    <n v="-8992.7800000000007"/>
  </r>
  <r>
    <s v="1900"/>
    <n v="20415001"/>
    <x v="1"/>
    <s v="TDS Payable on Purchase (194Q)"/>
    <n v="-60276.89"/>
    <n v="60278"/>
    <n v="0"/>
    <n v="1.1100000000000001"/>
  </r>
  <r>
    <s v="1900"/>
    <n v="20415002"/>
    <x v="1"/>
    <s v="TDS Payable on Brokerage (194H)"/>
    <n v="20886"/>
    <n v="303038"/>
    <n v="349171"/>
    <n v="-25247"/>
  </r>
  <r>
    <s v="1900"/>
    <n v="20415004"/>
    <x v="1"/>
    <s v="TDS Payable on Rent (194I)"/>
    <n v="0"/>
    <n v="3975"/>
    <n v="3975"/>
    <n v="0"/>
  </r>
  <r>
    <s v="1900"/>
    <n v="20415006"/>
    <x v="1"/>
    <s v="TDS Payable on Professional Fees (194J)"/>
    <n v="-106899"/>
    <n v="1263022"/>
    <n v="1212300"/>
    <n v="-56177"/>
  </r>
  <r>
    <s v="1900"/>
    <n v="20415007"/>
    <x v="1"/>
    <s v="TDS Payable on Contractor (194C)"/>
    <n v="-844881"/>
    <n v="3404785"/>
    <n v="2567565"/>
    <n v="-7661"/>
  </r>
  <r>
    <s v="1900"/>
    <n v="20415021"/>
    <x v="1"/>
    <s v="TDS on Salary"/>
    <n v="0"/>
    <n v="3133723"/>
    <n v="3486647"/>
    <n v="-352924"/>
  </r>
  <r>
    <s v="1900"/>
    <n v="20416001"/>
    <x v="1"/>
    <s v="EDLI Contribution Payable"/>
    <n v="0"/>
    <n v="54109"/>
    <n v="60446"/>
    <n v="-6337"/>
  </r>
  <r>
    <s v="1900"/>
    <n v="20416002"/>
    <x v="1"/>
    <s v="Employer Contribution at ESI Payable"/>
    <n v="0"/>
    <n v="13502"/>
    <n v="13502"/>
    <n v="0"/>
  </r>
  <r>
    <s v="1900"/>
    <n v="20416003"/>
    <x v="1"/>
    <s v="PF Admin Charges  Payable"/>
    <n v="0"/>
    <n v="54103"/>
    <n v="60440"/>
    <n v="-6337"/>
  </r>
  <r>
    <s v="1900"/>
    <n v="20416004"/>
    <x v="1"/>
    <s v="PF Employer Contribution Payable"/>
    <n v="0"/>
    <n v="1298488"/>
    <n v="1450574"/>
    <n v="-152086"/>
  </r>
  <r>
    <s v="1900"/>
    <n v="20420001"/>
    <x v="1"/>
    <s v="Salary Payable"/>
    <n v="0"/>
    <n v="98361817"/>
    <n v="104025060"/>
    <n v="-5663243"/>
  </r>
  <r>
    <s v="1900"/>
    <n v="20420003"/>
    <x v="1"/>
    <s v="P.F. Employee Contribution Payable"/>
    <n v="0"/>
    <n v="1298488"/>
    <n v="1449717"/>
    <n v="-151229"/>
  </r>
  <r>
    <s v="1900"/>
    <n v="20420004"/>
    <x v="1"/>
    <s v="Profession Tax Payable"/>
    <n v="0"/>
    <n v="171925"/>
    <n v="176175"/>
    <n v="-4250"/>
  </r>
  <r>
    <s v="1900"/>
    <n v="20420005"/>
    <x v="1"/>
    <s v="Employee Bonus Payable"/>
    <n v="0"/>
    <n v="402674"/>
    <n v="422510"/>
    <n v="-19836"/>
  </r>
  <r>
    <s v="1900"/>
    <n v="20420006"/>
    <x v="1"/>
    <s v="Maharashtra Labour Welfare Fund Payable"/>
    <n v="0"/>
    <n v="26300"/>
    <n v="26300"/>
    <n v="0"/>
  </r>
  <r>
    <s v="1900"/>
    <n v="20420032"/>
    <x v="1"/>
    <s v="Audit Fees Payable"/>
    <n v="-180000"/>
    <n v="360000"/>
    <n v="380000"/>
    <n v="-200000"/>
  </r>
  <r>
    <s v="1900"/>
    <n v="20420033"/>
    <x v="1"/>
    <s v="Professional Fees Payable"/>
    <n v="0"/>
    <n v="0"/>
    <n v="0"/>
    <n v="0"/>
  </r>
  <r>
    <s v="1900"/>
    <n v="20420202"/>
    <x v="1"/>
    <s v="Reimbursement Exp Payable to Rajesh Goyal"/>
    <n v="0"/>
    <n v="15476.04"/>
    <n v="15476.04"/>
    <n v="0"/>
  </r>
  <r>
    <s v="1900"/>
    <n v="20420203"/>
    <x v="1"/>
    <s v="Reimbursement Exp Payable to Vineet Goyal"/>
    <n v="0"/>
    <n v="40443.879999999997"/>
    <n v="40443.879999999997"/>
    <n v="0"/>
  </r>
  <r>
    <s v="1900"/>
    <n v="20440001"/>
    <x v="1"/>
    <s v="Vendor - Domestic Supplier Control A/c"/>
    <n v="-868866.94"/>
    <n v="21494741.23"/>
    <n v="22868533.629999999"/>
    <n v="-2242659.34"/>
  </r>
  <r>
    <s v="1900"/>
    <n v="20440002"/>
    <x v="1"/>
    <s v="Vendor - Contractors Control A/c"/>
    <n v="-569244334.20000005"/>
    <n v="935599101.76999998"/>
    <n v="701245413.45000005"/>
    <n v="-334890645.88"/>
  </r>
  <r>
    <s v="1900"/>
    <n v="20440003"/>
    <x v="1"/>
    <s v="Vendor - Consultant Control A/c"/>
    <n v="0"/>
    <n v="151562"/>
    <n v="151562"/>
    <n v="0"/>
  </r>
  <r>
    <s v="1900"/>
    <n v="20440004"/>
    <x v="1"/>
    <s v="Vendor - Broker Control A/c"/>
    <n v="-1424305.94"/>
    <n v="27518254.010000002"/>
    <n v="27990420.969999999"/>
    <n v="-1896472.9"/>
  </r>
  <r>
    <s v="1900"/>
    <n v="20440007"/>
    <x v="1"/>
    <s v="Vendor - Employee Control A/c"/>
    <n v="-82169"/>
    <n v="779402"/>
    <n v="675061"/>
    <n v="22172"/>
  </r>
  <r>
    <s v="1900"/>
    <n v="20440051"/>
    <x v="1"/>
    <s v="Vendor - Intercompany Vendor Control A/c"/>
    <n v="0"/>
    <n v="300000000"/>
    <n v="300000000"/>
    <n v="0"/>
  </r>
  <r>
    <s v="1900"/>
    <n v="20450001"/>
    <x v="1"/>
    <s v="GR/IR - Purchases"/>
    <n v="0"/>
    <n v="4379503.2699999996"/>
    <n v="4379503.2699999996"/>
    <n v="0"/>
  </r>
  <r>
    <s v="1900"/>
    <n v="20450002"/>
    <x v="1"/>
    <s v="GR/IR - Services"/>
    <n v="0"/>
    <n v="590542550.89999998"/>
    <n v="590542550.89999998"/>
    <n v="0"/>
  </r>
  <r>
    <s v="1900"/>
    <n v="20450005"/>
    <x v="1"/>
    <s v="IC Payables CLEARING"/>
    <n v="0"/>
    <n v="6210436.6299999999"/>
    <n v="6210436.6299999999"/>
    <n v="0"/>
  </r>
  <r>
    <s v="1900"/>
    <n v="20490001"/>
    <x v="1"/>
    <s v="Customer Suspense"/>
    <n v="-3862156.67"/>
    <n v="12417809.939999999"/>
    <n v="10070751.939999999"/>
    <n v="-1515098.67"/>
  </r>
  <r>
    <s v="1900"/>
    <n v="20610011"/>
    <x v="1"/>
    <s v="TRM - Investment Payable"/>
    <n v="0"/>
    <n v="762526876.20000005"/>
    <n v="762526876.20000005"/>
    <n v="0"/>
  </r>
  <r>
    <s v="1900"/>
    <n v="20610050"/>
    <x v="1"/>
    <s v="Interest Payable on OD A/c"/>
    <n v="0"/>
    <n v="2549638"/>
    <n v="2194868"/>
    <n v="354770"/>
  </r>
  <r>
    <s v="1900"/>
    <n v="20710001"/>
    <x v="1"/>
    <s v="Customer - Advance Taken"/>
    <n v="-1149942404.79"/>
    <n v="118840963.64"/>
    <n v="48909538.689999998"/>
    <n v="-1080010979.8399999"/>
  </r>
  <r>
    <s v="1900"/>
    <n v="20710003"/>
    <x v="1"/>
    <s v="Customer - Tax on Advance"/>
    <n v="-56136699.979999997"/>
    <n v="6084334.9100000001"/>
    <n v="3025080.92"/>
    <n v="-53077445.990000002"/>
  </r>
  <r>
    <s v="1900"/>
    <n v="20710011"/>
    <x v="1"/>
    <s v="Customer - EOI / Token"/>
    <n v="-8849234.7599999998"/>
    <n v="57432075.799999997"/>
    <n v="57104447.700000003"/>
    <n v="-8521606.6600000001"/>
  </r>
  <r>
    <s v="1900"/>
    <n v="20710013"/>
    <x v="1"/>
    <s v="Customer - Tax on EOI"/>
    <n v="2358044.7599999998"/>
    <n v="1238084.8"/>
    <n v="1099101.8999999999"/>
    <n v="2497027.66"/>
  </r>
  <r>
    <s v="1900"/>
    <n v="20710015"/>
    <x v="1"/>
    <s v="Customer - SDR Advance"/>
    <n v="13298862"/>
    <n v="58336400.439999998"/>
    <n v="50087718.420000002"/>
    <n v="21547544.02"/>
  </r>
  <r>
    <s v="1900"/>
    <n v="20710016"/>
    <x v="1"/>
    <s v="Customer - Maintenance Advance"/>
    <n v="-600"/>
    <n v="0"/>
    <n v="0"/>
    <n v="-600"/>
  </r>
  <r>
    <s v="1900"/>
    <n v="20710019"/>
    <x v="1"/>
    <s v="Customer - Refund EOI &amp; Advance"/>
    <n v="79000"/>
    <n v="109774747.11"/>
    <n v="121271582.11"/>
    <n v="-11417835"/>
  </r>
  <r>
    <s v="1900"/>
    <n v="20710022"/>
    <x v="1"/>
    <s v="Customer SDR Due (Stamp Duty &amp; Registration Chg"/>
    <n v="624500"/>
    <n v="14890800"/>
    <n v="15515300"/>
    <n v="0"/>
  </r>
  <r>
    <s v="1900"/>
    <n v="20710101"/>
    <x v="1"/>
    <s v="Customer - Due"/>
    <n v="-1285494500.98"/>
    <n v="109637954.36"/>
    <n v="118364680.66"/>
    <n v="-1294221227.28"/>
  </r>
  <r>
    <s v="1900"/>
    <n v="30100003"/>
    <x v="2"/>
    <s v="Booking Cancellation Charges"/>
    <n v="0"/>
    <n v="35593.18"/>
    <n v="432816.92"/>
    <n v="-397223.74"/>
  </r>
  <r>
    <s v="1900"/>
    <n v="30100201"/>
    <x v="2"/>
    <s v="Other Deduction From Salary Payable"/>
    <n v="0"/>
    <n v="21120"/>
    <n v="21120"/>
    <n v="0"/>
  </r>
  <r>
    <s v="1900"/>
    <n v="30101002"/>
    <x v="2"/>
    <s v="FD - Interest Income on Fixed Deposit"/>
    <n v="0"/>
    <n v="0"/>
    <n v="2867899.82"/>
    <n v="-2867899.82"/>
  </r>
  <r>
    <s v="1900"/>
    <n v="40100003"/>
    <x v="3"/>
    <s v="Site Water Supply Charges"/>
    <n v="0"/>
    <n v="134580"/>
    <n v="0"/>
    <n v="134580"/>
  </r>
  <r>
    <s v="1900"/>
    <n v="40100004"/>
    <x v="3"/>
    <s v="Site Security Charges"/>
    <n v="0"/>
    <n v="870094"/>
    <n v="0"/>
    <n v="870094"/>
  </r>
  <r>
    <s v="1900"/>
    <n v="40100007"/>
    <x v="3"/>
    <s v="Site Fuel Expenses"/>
    <n v="0"/>
    <n v="1599995.4"/>
    <n v="200000"/>
    <n v="1399995.4"/>
  </r>
  <r>
    <s v="1900"/>
    <n v="40100008"/>
    <x v="3"/>
    <s v="Site Housekeeping Expenses"/>
    <n v="0"/>
    <n v="1196639"/>
    <n v="3000"/>
    <n v="1193639"/>
  </r>
  <r>
    <s v="1900"/>
    <n v="40200004"/>
    <x v="3"/>
    <s v="PCMC Scrutiny Fees"/>
    <n v="0"/>
    <n v="671500"/>
    <n v="0"/>
    <n v="671500"/>
  </r>
  <r>
    <s v="1900"/>
    <n v="40200005"/>
    <x v="3"/>
    <s v="Property Tax"/>
    <n v="0"/>
    <n v="764422"/>
    <n v="0"/>
    <n v="764422"/>
  </r>
  <r>
    <s v="1900"/>
    <n v="40200032"/>
    <x v="3"/>
    <s v="ROC Fees Paid"/>
    <n v="0"/>
    <n v="15476.04"/>
    <n v="0"/>
    <n v="15476.04"/>
  </r>
  <r>
    <s v="1900"/>
    <n v="40300006"/>
    <x v="3"/>
    <s v="Consumption - Boughout items (Hardware)"/>
    <n v="0"/>
    <n v="29135"/>
    <n v="29135"/>
    <n v="0"/>
  </r>
  <r>
    <s v="1900"/>
    <n v="40300010"/>
    <x v="3"/>
    <s v="Consumption - Furniture"/>
    <n v="0"/>
    <n v="270626.59000000003"/>
    <n v="270626.59000000003"/>
    <n v="0"/>
  </r>
  <r>
    <s v="1900"/>
    <n v="40400002"/>
    <x v="3"/>
    <s v="Subcontracting Cost - Engineering &amp; Civil Work"/>
    <n v="0"/>
    <n v="331055703.76999998"/>
    <n v="189899193.96000001"/>
    <n v="141156509.81"/>
  </r>
  <r>
    <s v="1900"/>
    <n v="40400003"/>
    <x v="3"/>
    <s v="Subcontracting Cost - Electrical Work"/>
    <n v="0"/>
    <n v="781859"/>
    <n v="0"/>
    <n v="781859"/>
  </r>
  <r>
    <s v="1900"/>
    <n v="40500001"/>
    <x v="3"/>
    <s v="Consultancy &amp; Architect Expenses"/>
    <n v="0"/>
    <n v="11628000"/>
    <n v="0"/>
    <n v="11628000"/>
  </r>
  <r>
    <s v="1900"/>
    <n v="40800052"/>
    <x v="3"/>
    <s v="Labour Charges -Security Guard"/>
    <n v="0"/>
    <n v="904090.32"/>
    <n v="156780"/>
    <n v="747310.32"/>
  </r>
  <r>
    <s v="1900"/>
    <n v="45100001"/>
    <x v="3"/>
    <s v="Salary A/c"/>
    <n v="0"/>
    <n v="58028508"/>
    <n v="34210"/>
    <n v="57994298"/>
  </r>
  <r>
    <s v="1900"/>
    <n v="45100005"/>
    <x v="3"/>
    <s v="Employee Bonus"/>
    <n v="0"/>
    <n v="402674"/>
    <n v="0"/>
    <n v="402674"/>
  </r>
  <r>
    <s v="1900"/>
    <n v="45100021"/>
    <x v="3"/>
    <s v="Conveyance Expenses"/>
    <n v="0"/>
    <n v="1510470"/>
    <n v="0"/>
    <n v="1510470"/>
  </r>
  <r>
    <s v="1900"/>
    <n v="45100052"/>
    <x v="3"/>
    <s v="PF Employer Contribution"/>
    <n v="0"/>
    <n v="1450574"/>
    <n v="0"/>
    <n v="1450574"/>
  </r>
  <r>
    <s v="1900"/>
    <n v="45100053"/>
    <x v="3"/>
    <s v="EDLI Contribution"/>
    <n v="0"/>
    <n v="60446"/>
    <n v="0"/>
    <n v="60446"/>
  </r>
  <r>
    <s v="1900"/>
    <n v="45100054"/>
    <x v="3"/>
    <s v="PF Admin Charges"/>
    <n v="0"/>
    <n v="60440"/>
    <n v="0"/>
    <n v="60440"/>
  </r>
  <r>
    <s v="1900"/>
    <n v="45100055"/>
    <x v="3"/>
    <s v="Other Deduction related to Personnel Cost"/>
    <n v="0"/>
    <n v="23678"/>
    <n v="23678"/>
    <n v="0"/>
  </r>
  <r>
    <s v="1900"/>
    <n v="45100056"/>
    <x v="3"/>
    <s v="Employer Contribution at ESIC"/>
    <n v="0"/>
    <n v="13502"/>
    <n v="13502"/>
    <n v="0"/>
  </r>
  <r>
    <s v="1900"/>
    <n v="45100059"/>
    <x v="3"/>
    <s v="MLWF Employer Contribution"/>
    <n v="0"/>
    <n v="12525"/>
    <n v="0"/>
    <n v="12525"/>
  </r>
  <r>
    <s v="1900"/>
    <n v="45200003"/>
    <x v="3"/>
    <s v="Printing &amp; Stationery"/>
    <n v="0"/>
    <n v="64593.2"/>
    <n v="14451"/>
    <n v="50142.2"/>
  </r>
  <r>
    <s v="1900"/>
    <n v="45200004"/>
    <x v="3"/>
    <s v="Professional Fees"/>
    <n v="0"/>
    <n v="475000"/>
    <n v="360000"/>
    <n v="115000"/>
  </r>
  <r>
    <s v="1900"/>
    <n v="45200005"/>
    <x v="3"/>
    <s v="Repair &amp; Maintenance"/>
    <n v="0"/>
    <n v="451548.28"/>
    <n v="50974.99"/>
    <n v="400573.29"/>
  </r>
  <r>
    <s v="1900"/>
    <n v="45200006"/>
    <x v="3"/>
    <s v="Round Off Expense"/>
    <n v="0"/>
    <n v="34.36"/>
    <n v="13.04"/>
    <n v="21.32"/>
  </r>
  <r>
    <s v="1900"/>
    <n v="45200007"/>
    <x v="3"/>
    <s v="Site Expenses - Admin"/>
    <n v="0"/>
    <n v="348851.06"/>
    <n v="16271.18"/>
    <n v="332579.88"/>
  </r>
  <r>
    <s v="1900"/>
    <n v="45200023"/>
    <x v="3"/>
    <s v="Out of Pocket Expences"/>
    <n v="0"/>
    <n v="6562"/>
    <n v="0"/>
    <n v="6562"/>
  </r>
  <r>
    <s v="1900"/>
    <n v="45300021"/>
    <x v="3"/>
    <s v="Interest on Late Payment of GST"/>
    <n v="0"/>
    <n v="305998"/>
    <n v="0"/>
    <n v="305998"/>
  </r>
  <r>
    <s v="1900"/>
    <n v="45400001"/>
    <x v="3"/>
    <s v="Brokerage &amp; Commission"/>
    <n v="0"/>
    <n v="16427281.98"/>
    <n v="721799"/>
    <n v="15705482.98"/>
  </r>
  <r>
    <s v="1900"/>
    <n v="45400002"/>
    <x v="3"/>
    <s v="Scheme Rebate"/>
    <n v="0"/>
    <n v="1344000"/>
    <n v="0"/>
    <n v="1344000"/>
  </r>
  <r>
    <s v="1900"/>
    <n v="45400011"/>
    <x v="3"/>
    <s v="Digital Marketing"/>
    <n v="0"/>
    <n v="1886929.64"/>
    <n v="0"/>
    <n v="1886929.64"/>
  </r>
  <r>
    <s v="1900"/>
    <n v="45400014"/>
    <x v="3"/>
    <s v="Outdoor Marketing Cost"/>
    <n v="0"/>
    <n v="2490972.88"/>
    <n v="0"/>
    <n v="2490972.88"/>
  </r>
  <r>
    <s v="1900"/>
    <n v="45400016"/>
    <x v="3"/>
    <s v="Other Marketing Expenses"/>
    <n v="0"/>
    <n v="1080115.26"/>
    <n v="0"/>
    <n v="1080115.26"/>
  </r>
  <r>
    <s v="1900"/>
    <n v="45400020"/>
    <x v="3"/>
    <s v="Other Sales Cost"/>
    <n v="0"/>
    <n v="300000"/>
    <n v="50000"/>
    <n v="250000"/>
  </r>
  <r>
    <s v="1900"/>
    <n v="45510008"/>
    <x v="3"/>
    <s v="OD - Interest on OD"/>
    <n v="0"/>
    <n v="1639201"/>
    <n v="0"/>
    <n v="1639201"/>
  </r>
  <r>
    <s v="1900"/>
    <n v="45510051"/>
    <x v="3"/>
    <s v="Bank Charges"/>
    <n v="0"/>
    <n v="1039800"/>
    <n v="5426.56"/>
    <n v="1034373.44"/>
  </r>
  <r>
    <s v="1900"/>
    <n v="45520023"/>
    <x v="3"/>
    <s v="Registration and Filing Fees"/>
    <n v="0"/>
    <n v="14125"/>
    <n v="0"/>
    <n v="14125"/>
  </r>
  <r>
    <s v="1900"/>
    <n v="45600006"/>
    <x v="3"/>
    <s v="Depreciation - Office Equipments"/>
    <n v="0"/>
    <n v="14576.15"/>
    <n v="0"/>
    <n v="14576.15"/>
  </r>
  <r>
    <s v="1900"/>
    <n v="10900102"/>
    <x v="0"/>
    <s v="TDS on Sale of Commercial Property 1 % Rece- 194IA"/>
    <n v="0"/>
    <n v="87116.7"/>
    <n v="87116.7"/>
    <n v="0"/>
  </r>
  <r>
    <s v="1900"/>
    <n v="10910011"/>
    <x v="0"/>
    <s v="TDS Receivable - Aditya Birla Capital limited"/>
    <n v="0"/>
    <n v="284930.95"/>
    <n v="284930.95"/>
    <n v="0"/>
  </r>
  <r>
    <s v="1900"/>
    <n v="10930001"/>
    <x v="0"/>
    <s v="Advance to Vendor"/>
    <n v="0"/>
    <n v="100000"/>
    <n v="100000"/>
    <n v="0"/>
  </r>
  <r>
    <s v="1900"/>
    <n v="10951262"/>
    <x v="0"/>
    <s v="IDBI- 0600102000012625- Maintenance A/c- Outgoing"/>
    <n v="0"/>
    <n v="1.47"/>
    <n v="1.47"/>
    <n v="0"/>
  </r>
  <r>
    <s v="1900"/>
    <n v="10952662"/>
    <x v="0"/>
    <s v="IDBI- 0600102000013916- Rera A/c- Outgoing"/>
    <n v="0"/>
    <n v="25000"/>
    <n v="25000"/>
    <n v="0"/>
  </r>
  <r>
    <s v="1900"/>
    <n v="10952671"/>
    <x v="0"/>
    <s v="IDBI- 0600102000013891- Expenses A/c- Incoming"/>
    <n v="0"/>
    <n v="1500"/>
    <n v="1500"/>
    <n v="0"/>
  </r>
  <r>
    <s v="1900"/>
    <n v="10952672"/>
    <x v="0"/>
    <s v="IDBI - 0600102000013891-Expenses A/c- Outgoing"/>
    <n v="0"/>
    <n v="26761"/>
    <n v="26761"/>
    <n v="0"/>
  </r>
  <r>
    <s v="1900"/>
    <n v="10952681"/>
    <x v="0"/>
    <s v="IDBI- 0600102000013907- Rera A/c- Incoming"/>
    <n v="0"/>
    <n v="1000"/>
    <n v="1000"/>
    <n v="0"/>
  </r>
  <r>
    <s v="1900"/>
    <n v="10952682"/>
    <x v="0"/>
    <s v="IDBI- 0600102000013907- Rera A/c- Outgoing"/>
    <n v="0"/>
    <n v="27351"/>
    <n v="27351"/>
    <n v="0"/>
  </r>
  <r>
    <s v="1900"/>
    <n v="11140001"/>
    <x v="0"/>
    <s v="Prepaid Insurance"/>
    <n v="0"/>
    <n v="391553"/>
    <n v="0"/>
    <n v="391553"/>
  </r>
  <r>
    <s v="1900"/>
    <n v="20000203"/>
    <x v="1"/>
    <s v="Current Capital - Vineet Goyal"/>
    <n v="0"/>
    <n v="8000000"/>
    <n v="8000000"/>
    <n v="0"/>
  </r>
  <r>
    <s v="1900"/>
    <n v="20412002"/>
    <x v="1"/>
    <s v="Output SGST 0.5%  Payable"/>
    <n v="0"/>
    <n v="180481"/>
    <n v="180481"/>
    <n v="0"/>
  </r>
  <r>
    <s v="1900"/>
    <n v="20415003"/>
    <x v="1"/>
    <s v="TDS Payable on Interest (194A)"/>
    <n v="0"/>
    <n v="745879.95"/>
    <n v="304930.95"/>
    <n v="440949"/>
  </r>
  <r>
    <s v="1900"/>
    <n v="20420009"/>
    <x v="1"/>
    <s v="PTEC Payable"/>
    <n v="0"/>
    <n v="2500"/>
    <n v="5000"/>
    <n v="-2500"/>
  </r>
  <r>
    <s v="1900"/>
    <n v="40100005"/>
    <x v="3"/>
    <s v="Site Engineering Expenses"/>
    <n v="0"/>
    <n v="147188"/>
    <n v="0"/>
    <n v="147188"/>
  </r>
  <r>
    <s v="1900"/>
    <n v="40200002"/>
    <x v="3"/>
    <s v="Development Expenses"/>
    <n v="0"/>
    <n v="74360"/>
    <n v="0"/>
    <n v="74360"/>
  </r>
  <r>
    <s v="1900"/>
    <n v="40300003"/>
    <x v="3"/>
    <s v="Consumption - Civil Material"/>
    <n v="0"/>
    <n v="3267147.7"/>
    <n v="164262.75"/>
    <n v="3102884.95"/>
  </r>
  <r>
    <s v="1900"/>
    <n v="40300008"/>
    <x v="3"/>
    <s v="Consumption - Plumbing &amp; Sanitary"/>
    <n v="0"/>
    <n v="801105.77"/>
    <n v="0"/>
    <n v="801105.77"/>
  </r>
  <r>
    <s v="1900"/>
    <n v="40300009"/>
    <x v="3"/>
    <s v="Consumption - Electricals"/>
    <n v="0"/>
    <n v="1809"/>
    <n v="1809"/>
    <n v="0"/>
  </r>
  <r>
    <s v="1900"/>
    <n v="40400004"/>
    <x v="3"/>
    <s v="Subcontracting Cost - Plumbing Work"/>
    <n v="0"/>
    <n v="4261.12"/>
    <n v="0"/>
    <n v="4261.12"/>
  </r>
  <r>
    <s v="1900"/>
    <n v="40700001"/>
    <x v="3"/>
    <s v="CGST Direct Expenses"/>
    <n v="0"/>
    <n v="14214357.970000001"/>
    <n v="0"/>
    <n v="14214357.970000001"/>
  </r>
  <r>
    <s v="1900"/>
    <n v="40700002"/>
    <x v="3"/>
    <s v="SGST Direct Expenses"/>
    <n v="0"/>
    <n v="14214357.970000001"/>
    <n v="0"/>
    <n v="14214357.970000001"/>
  </r>
  <r>
    <s v="1900"/>
    <n v="45100057"/>
    <x v="3"/>
    <s v="Profession Tax (PTEC)"/>
    <n v="0"/>
    <n v="5000"/>
    <n v="2500"/>
    <n v="2500"/>
  </r>
  <r>
    <s v="1900"/>
    <n v="45200001"/>
    <x v="3"/>
    <s v="Insurance Charges"/>
    <n v="0"/>
    <n v="816666.94"/>
    <n v="391553"/>
    <n v="425113.94"/>
  </r>
  <r>
    <s v="1900"/>
    <n v="45200029"/>
    <x v="3"/>
    <s v="Audit Fees"/>
    <n v="0"/>
    <n v="580000"/>
    <n v="380000"/>
    <n v="200000"/>
  </r>
  <r>
    <s v="1900"/>
    <n v="45300001"/>
    <x v="3"/>
    <s v="CGST Indirect Expenses"/>
    <n v="0"/>
    <n v="2041886.17"/>
    <n v="32014.26"/>
    <n v="2009871.91"/>
  </r>
  <r>
    <s v="1900"/>
    <n v="45300002"/>
    <x v="3"/>
    <s v="SGST Indirect Expenses"/>
    <n v="0"/>
    <n v="2041886.17"/>
    <n v="32014.26"/>
    <n v="2009871.91"/>
  </r>
  <r>
    <s v="1900"/>
    <n v="45300003"/>
    <x v="3"/>
    <s v="IGST Indirect Expenses"/>
    <n v="0"/>
    <n v="64028.52"/>
    <n v="64028.52"/>
    <n v="0"/>
  </r>
  <r>
    <s v="1900"/>
    <n v="45520001"/>
    <x v="3"/>
    <s v="Interest Paid on Loan"/>
    <n v="0"/>
    <n v="2849309.5"/>
    <n v="2849309.5"/>
    <n v="0"/>
  </r>
  <r>
    <s v="1900"/>
    <n v="90000001"/>
    <x v="4"/>
    <s v="Migration Account - Assets"/>
    <n v="-8605"/>
    <n v="0"/>
    <n v="0"/>
    <n v="-8605"/>
  </r>
  <r>
    <s v="1900"/>
    <n v="90000002"/>
    <x v="4"/>
    <s v="Migration Account - Inventory"/>
    <n v="-1888422011.98"/>
    <n v="0"/>
    <n v="0"/>
    <n v="-1888422011.98"/>
  </r>
  <r>
    <s v="1900"/>
    <n v="90000003"/>
    <x v="4"/>
    <s v="Migration Account - Customers"/>
    <n v="132954844.3"/>
    <n v="21662823.300000001"/>
    <n v="21662823.300000001"/>
    <n v="132954844.3"/>
  </r>
  <r>
    <s v="1900"/>
    <n v="90000004"/>
    <x v="4"/>
    <s v="Migration Account - Vendor"/>
    <n v="538919625"/>
    <n v="0"/>
    <n v="0"/>
    <n v="538919625"/>
  </r>
  <r>
    <s v="1900"/>
    <n v="90000005"/>
    <x v="4"/>
    <s v="Migration Account - GL"/>
    <n v="1216556147.6800001"/>
    <n v="0"/>
    <n v="0"/>
    <n v="1216556147.6800001"/>
  </r>
</pivotCacheRecords>
</file>

<file path=xl/pivotCache/pivotCacheRecords2.xml><?xml version="1.0" encoding="utf-8"?>
<pivotCacheRecords xmlns="http://schemas.openxmlformats.org/spreadsheetml/2006/main" xmlns:r="http://schemas.openxmlformats.org/officeDocument/2006/relationships" count="872">
  <r>
    <d v="2025-06-01T00:00:00"/>
    <s v="Salary"/>
    <s v="S19014J001"/>
    <s v="MOONSTONE REALINFRA PRIVATE LIMITED"/>
    <n v="1488"/>
    <s v="AAKASH ARVIND SHELAR"/>
    <s v="Male"/>
    <s v=""/>
    <s v="Jul 28, 2023"/>
    <s v="CKIPS7322F"/>
    <s v="101208002832"/>
    <x v="0"/>
    <s v="FIELD ENGINEER"/>
    <x v="0"/>
    <s v="TM"/>
    <s v="PF"/>
    <s v="NA"/>
    <s v=""/>
    <s v=""/>
    <s v="201223935020"/>
    <s v="50100317873546"/>
    <s v="HDFC BANK"/>
    <s v="HDFC0000007"/>
    <n v="30"/>
    <n v="0"/>
    <n v="3"/>
    <n v="27"/>
    <n v="27"/>
    <n v="41000"/>
    <n v="41000"/>
    <n v="16605"/>
    <n v="6642"/>
    <n v="1440"/>
    <n v="180"/>
    <n v="1125"/>
    <n v="0"/>
    <n v="0"/>
    <n v="0"/>
    <n v="0"/>
    <n v="0"/>
    <n v="0"/>
    <n v="0"/>
    <n v="1800"/>
    <n v="9108"/>
    <n v="0"/>
    <n v="3000"/>
    <n v="0"/>
    <n v="39900"/>
    <n v="39900"/>
    <n v="0"/>
    <n v="0"/>
    <n v="0"/>
    <n v="200"/>
    <n v="1800"/>
    <n v="0"/>
    <n v="0"/>
    <n v="25"/>
    <n v="0"/>
    <n v="2025"/>
    <n v="37875"/>
    <m/>
    <m/>
  </r>
  <r>
    <d v="2025-06-01T00:00:00"/>
    <s v="Salary"/>
    <s v="S19014J001"/>
    <s v="MOONSTONE REALINFRA PRIVATE LIMITED"/>
    <n v="241"/>
    <s v="ABHIJIT SHEWALE"/>
    <s v="Male"/>
    <s v=""/>
    <s v="May 17, 2016"/>
    <s v="BDYPS3411D"/>
    <s v="101411999470"/>
    <x v="1"/>
    <s v="assistant project manager"/>
    <x v="0"/>
    <s v="TM"/>
    <s v="PF"/>
    <s v="NA"/>
    <s v=""/>
    <s v=""/>
    <s v="229249842338"/>
    <s v="50100745804232"/>
    <s v="HDFC BANK"/>
    <s v="HDFC0001791"/>
    <n v="30"/>
    <n v="0"/>
    <n v="0"/>
    <n v="30"/>
    <n v="30"/>
    <n v="66833"/>
    <n v="66833"/>
    <n v="30075"/>
    <n v="12030"/>
    <n v="1600"/>
    <n v="200"/>
    <n v="1250"/>
    <n v="2505"/>
    <n v="6015"/>
    <n v="4511"/>
    <n v="301"/>
    <n v="1053"/>
    <n v="602"/>
    <n v="150"/>
    <n v="1800"/>
    <n v="4741"/>
    <n v="0"/>
    <n v="1200"/>
    <n v="0"/>
    <n v="68033"/>
    <n v="68033"/>
    <n v="0"/>
    <n v="0"/>
    <n v="0"/>
    <n v="200"/>
    <n v="1800"/>
    <n v="0"/>
    <n v="0"/>
    <n v="25"/>
    <n v="0"/>
    <n v="2025"/>
    <n v="66008"/>
    <m/>
    <m/>
  </r>
  <r>
    <d v="2025-06-01T00:00:00"/>
    <s v="Salary"/>
    <s v="S19014J001"/>
    <s v="MOONSTONE REALINFRA PRIVATE LIMITED"/>
    <n v="2020"/>
    <s v="AJAY KUMAR GUPTA"/>
    <s v="Male"/>
    <s v=""/>
    <s v="Feb 24, 2025"/>
    <s v="ASQPG3376F"/>
    <s v="102171897914"/>
    <x v="2"/>
    <s v="DEPUTY MANAGER"/>
    <x v="1"/>
    <s v="TM"/>
    <s v="PF"/>
    <s v="NA"/>
    <s v=""/>
    <s v=""/>
    <s v="877766770711"/>
    <s v="50100732468640"/>
    <s v="HDFC BANK"/>
    <s v="HDFC0000007"/>
    <n v="30"/>
    <n v="0"/>
    <n v="0"/>
    <n v="30"/>
    <n v="30"/>
    <n v="68450"/>
    <n v="68450"/>
    <n v="30803"/>
    <n v="12321"/>
    <n v="1600"/>
    <n v="200"/>
    <n v="1250"/>
    <n v="2566"/>
    <n v="6161"/>
    <n v="4620"/>
    <n v="308"/>
    <n v="1078"/>
    <n v="616"/>
    <n v="154"/>
    <n v="1800"/>
    <n v="4973"/>
    <n v="0"/>
    <n v="4416"/>
    <n v="4097"/>
    <n v="76963"/>
    <n v="72866"/>
    <n v="0"/>
    <n v="0"/>
    <n v="0"/>
    <n v="200"/>
    <n v="1800"/>
    <n v="0"/>
    <n v="0"/>
    <n v="25"/>
    <n v="0"/>
    <n v="2025"/>
    <n v="74938"/>
    <m/>
    <m/>
  </r>
  <r>
    <d v="2025-06-01T00:00:00"/>
    <s v="Salary"/>
    <s v="S19014J001"/>
    <s v="MOONSTONE REALINFRA PRIVATE LIMITED"/>
    <n v="1770"/>
    <s v="AJIT KUMAR"/>
    <s v="Male"/>
    <s v=""/>
    <s v="Jun 03, 2024"/>
    <s v="BJLPK0917M"/>
    <s v="101437448909"/>
    <x v="2"/>
    <s v="DEPUTY MANAGER"/>
    <x v="1"/>
    <s v="TM"/>
    <s v="PF"/>
    <s v="NA"/>
    <s v=""/>
    <s v=""/>
    <s v="447833121308"/>
    <s v="50100390591634"/>
    <s v="HDFC BANK"/>
    <s v="HDFC0001794"/>
    <n v="30"/>
    <n v="0"/>
    <n v="0"/>
    <n v="30"/>
    <n v="30"/>
    <n v="109350"/>
    <n v="109350"/>
    <n v="49208"/>
    <n v="19683"/>
    <n v="1600"/>
    <n v="200"/>
    <n v="1250"/>
    <n v="4099"/>
    <n v="9842"/>
    <n v="7381"/>
    <n v="492"/>
    <n v="1722"/>
    <n v="984"/>
    <n v="246"/>
    <n v="1800"/>
    <n v="10843"/>
    <n v="0"/>
    <n v="2500"/>
    <n v="0"/>
    <n v="111850"/>
    <n v="111850"/>
    <n v="0"/>
    <n v="0"/>
    <n v="7548"/>
    <n v="200"/>
    <n v="1800"/>
    <n v="0"/>
    <n v="0"/>
    <n v="25"/>
    <n v="0"/>
    <n v="9573"/>
    <n v="102277"/>
    <m/>
    <m/>
  </r>
  <r>
    <d v="2025-06-01T00:00:00"/>
    <s v="Salary"/>
    <s v="S19014J001"/>
    <s v="MOONSTONE REALINFRA PRIVATE LIMITED"/>
    <n v="2072"/>
    <s v="AMIT VILASRAO MALWADE"/>
    <s v="Male"/>
    <s v=""/>
    <s v="Apr 01, 2025"/>
    <s v="BYWPM1111R"/>
    <s v="100098825740"/>
    <x v="3"/>
    <s v="SENIOR MANAGER - MEP"/>
    <x v="0"/>
    <s v="TL"/>
    <s v="PF"/>
    <s v="NA"/>
    <s v=""/>
    <s v=""/>
    <s v="572207945645"/>
    <s v="50100288775748"/>
    <s v="HDFC BANK"/>
    <s v="HDFC0001578"/>
    <n v="30"/>
    <n v="0"/>
    <n v="2"/>
    <n v="28"/>
    <n v="28"/>
    <n v="123200"/>
    <n v="123200"/>
    <n v="51744"/>
    <n v="20698"/>
    <n v="1493"/>
    <n v="187"/>
    <n v="1167"/>
    <n v="4310"/>
    <n v="10349"/>
    <n v="7762"/>
    <n v="517"/>
    <n v="1811"/>
    <n v="1035"/>
    <n v="259"/>
    <n v="1800"/>
    <n v="11855"/>
    <n v="0"/>
    <n v="0"/>
    <n v="598"/>
    <n v="115585"/>
    <n v="114987"/>
    <n v="0"/>
    <n v="0"/>
    <n v="7356"/>
    <n v="200"/>
    <n v="1800"/>
    <n v="0"/>
    <n v="0"/>
    <n v="25"/>
    <n v="0"/>
    <n v="9381"/>
    <n v="106204"/>
    <m/>
    <m/>
  </r>
  <r>
    <d v="2025-06-01T00:00:00"/>
    <s v="Salary"/>
    <s v="S19014J001"/>
    <s v="MOONSTONE REALINFRA PRIVATE LIMITED"/>
    <n v="1440"/>
    <s v="AMOL BHANUDAS LOKHANDE"/>
    <s v="Male"/>
    <s v=""/>
    <s v="Jun 07, 2023"/>
    <s v="AFPPL3898F"/>
    <s v="101428013109"/>
    <x v="4"/>
    <s v="Site Supervisor"/>
    <x v="0"/>
    <s v="TM"/>
    <s v="PF"/>
    <s v="NA"/>
    <s v=""/>
    <s v=""/>
    <s v="311191516453"/>
    <s v="50100317873701"/>
    <s v="HDFC BANK"/>
    <s v="HDFC0000007"/>
    <n v="30"/>
    <n v="0"/>
    <n v="0.5"/>
    <n v="29.5"/>
    <n v="29.5"/>
    <n v="38617"/>
    <n v="38617"/>
    <n v="17088"/>
    <n v="6835"/>
    <n v="1573"/>
    <n v="197"/>
    <n v="1229"/>
    <n v="0"/>
    <n v="0"/>
    <n v="0"/>
    <n v="0"/>
    <n v="0"/>
    <n v="0"/>
    <n v="0"/>
    <n v="1800"/>
    <n v="9251"/>
    <n v="0"/>
    <n v="0"/>
    <n v="0"/>
    <n v="37973"/>
    <n v="37973"/>
    <n v="0"/>
    <n v="0"/>
    <n v="0"/>
    <n v="200"/>
    <n v="1800"/>
    <n v="0"/>
    <n v="0"/>
    <n v="25"/>
    <n v="0"/>
    <n v="2025"/>
    <n v="35948"/>
    <m/>
    <m/>
  </r>
  <r>
    <d v="2025-06-01T00:00:00"/>
    <s v="Salary"/>
    <s v="S19014J001"/>
    <s v="MOONSTONE REALINFRA PRIVATE LIMITED"/>
    <n v="1803"/>
    <s v="AMRISH SATLING BHAIKATTI"/>
    <s v="Male"/>
    <s v=""/>
    <s v="Jun 26, 2024"/>
    <s v="BJPPB0731A"/>
    <s v="100871268608"/>
    <x v="4"/>
    <s v="Site Supervisor"/>
    <x v="0"/>
    <s v="TM"/>
    <s v="PF"/>
    <s v="NA"/>
    <s v=""/>
    <s v=""/>
    <s v="599090920656"/>
    <s v="50100396121468"/>
    <s v="HDFC BANK"/>
    <s v="HDFC0000148"/>
    <n v="30"/>
    <n v="0"/>
    <n v="0"/>
    <n v="30"/>
    <n v="30"/>
    <n v="40000"/>
    <n v="40000"/>
    <n v="18000"/>
    <n v="7200"/>
    <n v="1600"/>
    <n v="200"/>
    <n v="1250"/>
    <n v="0"/>
    <n v="0"/>
    <n v="0"/>
    <n v="0"/>
    <n v="0"/>
    <n v="0"/>
    <n v="0"/>
    <n v="1800"/>
    <n v="9950"/>
    <n v="0"/>
    <n v="0"/>
    <n v="0"/>
    <n v="40000"/>
    <n v="40000"/>
    <n v="0"/>
    <n v="0"/>
    <n v="0"/>
    <n v="200"/>
    <n v="1800"/>
    <n v="0"/>
    <n v="0"/>
    <n v="25"/>
    <n v="0"/>
    <n v="2025"/>
    <n v="37975"/>
    <m/>
    <m/>
  </r>
  <r>
    <d v="2025-06-01T00:00:00"/>
    <s v="Salary"/>
    <s v="S19014J001"/>
    <s v="MOONSTONE REALINFRA PRIVATE LIMITED"/>
    <n v="1484"/>
    <s v="ANNU PRIYA SINGH"/>
    <s v="Female"/>
    <s v=""/>
    <s v="Jul 21, 2023"/>
    <s v="BMKPP0899K"/>
    <s v="101703468619"/>
    <x v="5"/>
    <s v="MANAGER-SALES"/>
    <x v="1"/>
    <s v="TL"/>
    <s v="PF"/>
    <s v="NA"/>
    <s v=""/>
    <s v=""/>
    <s v="492782446574"/>
    <s v="99996206293744"/>
    <s v="HDFC BANK"/>
    <s v="HDFC0000007"/>
    <n v="30"/>
    <n v="0"/>
    <n v="0"/>
    <n v="30"/>
    <n v="30"/>
    <n v="111343"/>
    <n v="111343"/>
    <n v="50104"/>
    <n v="20042"/>
    <n v="1600"/>
    <n v="200"/>
    <n v="1250"/>
    <n v="4174"/>
    <n v="10021"/>
    <n v="7516"/>
    <n v="501"/>
    <n v="1754"/>
    <n v="1002"/>
    <n v="251"/>
    <n v="1800"/>
    <n v="11128"/>
    <n v="0"/>
    <n v="0"/>
    <n v="2507"/>
    <n v="113850"/>
    <n v="111343"/>
    <n v="0"/>
    <n v="0"/>
    <n v="8741"/>
    <n v="200"/>
    <n v="1800"/>
    <n v="0"/>
    <n v="0"/>
    <n v="25"/>
    <n v="0"/>
    <n v="10766"/>
    <n v="103084"/>
    <m/>
    <m/>
  </r>
  <r>
    <d v="2025-06-01T00:00:00"/>
    <s v="Salary"/>
    <s v="S19014J001"/>
    <s v="MOONSTONE REALINFRA PRIVATE LIMITED"/>
    <n v="1599"/>
    <s v="BHAVESH SHANKAR WANI"/>
    <s v="Male"/>
    <s v=""/>
    <s v="Jan 09, 2024"/>
    <s v="AGNPW7537K"/>
    <s v="102034237231"/>
    <x v="6"/>
    <s v="MANAGEMENT TRAINEE"/>
    <x v="1"/>
    <s v="TM"/>
    <s v="PF"/>
    <s v="NA"/>
    <s v=""/>
    <s v=""/>
    <s v="467176812861"/>
    <s v="50100394142702"/>
    <s v="HDFC BANK"/>
    <s v="HDFC0001785"/>
    <n v="30"/>
    <n v="0"/>
    <n v="0"/>
    <n v="30"/>
    <n v="30"/>
    <n v="51640"/>
    <n v="51640"/>
    <n v="23238"/>
    <n v="9295"/>
    <n v="1600"/>
    <n v="200"/>
    <n v="1250"/>
    <n v="1936"/>
    <n v="4648"/>
    <n v="3486"/>
    <n v="232"/>
    <n v="813"/>
    <n v="465"/>
    <n v="116"/>
    <n v="1800"/>
    <n v="2561"/>
    <n v="0"/>
    <n v="0"/>
    <n v="4568"/>
    <n v="56208"/>
    <n v="51640"/>
    <n v="0"/>
    <n v="0"/>
    <n v="0"/>
    <n v="200"/>
    <n v="1800"/>
    <n v="0"/>
    <n v="0"/>
    <n v="25"/>
    <n v="0"/>
    <n v="2025"/>
    <n v="54183"/>
    <m/>
    <m/>
  </r>
  <r>
    <d v="2025-06-01T00:00:00"/>
    <s v="Salary"/>
    <s v="S19014J001"/>
    <s v="MOONSTONE REALINFRA PRIVATE LIMITED"/>
    <n v="1180"/>
    <s v="BHUJBAL SAGAR DNYANESHWAR"/>
    <s v="Male"/>
    <s v=""/>
    <s v="Sep 12, 2022"/>
    <s v="DQJPB2913K"/>
    <s v="101457017133"/>
    <x v="7"/>
    <s v="EXECUTIVE - POSSESSION"/>
    <x v="2"/>
    <s v="TM"/>
    <s v="PF"/>
    <s v="NA"/>
    <s v=""/>
    <s v=""/>
    <s v="241411121642"/>
    <s v="0600104000093754"/>
    <s v="IDBI BANK"/>
    <s v="IBKL0000600"/>
    <n v="30"/>
    <n v="0"/>
    <n v="15"/>
    <n v="15"/>
    <n v="15"/>
    <n v="28042"/>
    <n v="28042"/>
    <n v="6309"/>
    <n v="2524"/>
    <n v="800"/>
    <n v="100"/>
    <n v="625"/>
    <n v="0"/>
    <n v="0"/>
    <n v="0"/>
    <n v="0"/>
    <n v="0"/>
    <n v="0"/>
    <n v="0"/>
    <n v="757"/>
    <n v="2906"/>
    <n v="0"/>
    <n v="0"/>
    <n v="0"/>
    <n v="14021"/>
    <n v="14021"/>
    <n v="0"/>
    <n v="0"/>
    <n v="0"/>
    <n v="200"/>
    <n v="757"/>
    <n v="0"/>
    <n v="0"/>
    <n v="25"/>
    <n v="0"/>
    <n v="982"/>
    <n v="13039"/>
    <m/>
    <m/>
  </r>
  <r>
    <d v="2025-06-01T00:00:00"/>
    <s v="Salary"/>
    <s v="S19014J001"/>
    <s v="MOONSTONE REALINFRA PRIVATE LIMITED"/>
    <n v="48"/>
    <s v="BHUSHAN MADANLAL LUNKAD"/>
    <s v="Male"/>
    <s v=""/>
    <s v="Sep 05, 2015"/>
    <s v="ADTPL6823A"/>
    <s v="101487437414"/>
    <x v="8"/>
    <s v="MANAGER - A &amp; O"/>
    <x v="1"/>
    <s v="TL"/>
    <s v="PF"/>
    <s v="NA"/>
    <s v=""/>
    <s v=""/>
    <s v="991187937886"/>
    <s v="00521050124966"/>
    <s v="HDFC BANK"/>
    <s v="HDFC0000052"/>
    <n v="30"/>
    <n v="0"/>
    <n v="0"/>
    <n v="30"/>
    <n v="30"/>
    <n v="107967"/>
    <n v="107967"/>
    <n v="48585"/>
    <n v="19434"/>
    <n v="1600"/>
    <n v="200"/>
    <n v="1250"/>
    <n v="4047"/>
    <n v="9717"/>
    <n v="7288"/>
    <n v="486"/>
    <n v="1700"/>
    <n v="972"/>
    <n v="243"/>
    <n v="1800"/>
    <n v="10645"/>
    <n v="0"/>
    <n v="0"/>
    <n v="0"/>
    <n v="107967"/>
    <n v="107967"/>
    <n v="0"/>
    <n v="0"/>
    <n v="5897"/>
    <n v="200"/>
    <n v="1800"/>
    <n v="0"/>
    <n v="0"/>
    <n v="25"/>
    <n v="15000"/>
    <n v="22922"/>
    <n v="85045"/>
    <m/>
    <m/>
  </r>
  <r>
    <d v="2025-06-01T00:00:00"/>
    <s v="Salary"/>
    <s v="S19014J001"/>
    <s v="MOONSTONE REALINFRA PRIVATE LIMITED"/>
    <n v="2017"/>
    <s v="DHAIRYA PRASAD"/>
    <s v="Male"/>
    <s v=""/>
    <s v="Feb 17, 2025"/>
    <s v="EPBPP8390Q"/>
    <s v="102171851924"/>
    <x v="6"/>
    <s v="MANAGEMENT TRAINEE"/>
    <x v="1"/>
    <s v="TM"/>
    <s v="PF"/>
    <s v="NA"/>
    <s v=""/>
    <s v=""/>
    <s v="851362488850"/>
    <s v="50100731565504"/>
    <s v="HDFC BANK"/>
    <s v="HDFC0000007"/>
    <n v="30"/>
    <n v="0"/>
    <n v="0"/>
    <n v="30"/>
    <n v="30"/>
    <n v="56533"/>
    <n v="56533"/>
    <n v="25440"/>
    <n v="10176"/>
    <n v="1600"/>
    <n v="200"/>
    <n v="1250"/>
    <n v="2119"/>
    <n v="5088"/>
    <n v="3816"/>
    <n v="254"/>
    <n v="890"/>
    <n v="509"/>
    <n v="127"/>
    <n v="1800"/>
    <n v="3264"/>
    <n v="0"/>
    <n v="0"/>
    <n v="0"/>
    <n v="56533"/>
    <n v="56533"/>
    <n v="0"/>
    <n v="0"/>
    <n v="0"/>
    <n v="200"/>
    <n v="1800"/>
    <n v="0"/>
    <n v="0"/>
    <n v="25"/>
    <n v="0"/>
    <n v="2025"/>
    <n v="54508"/>
    <m/>
    <m/>
  </r>
  <r>
    <d v="2025-06-01T00:00:00"/>
    <s v="Salary"/>
    <s v="S19014J001"/>
    <s v="MOONSTONE REALINFRA PRIVATE LIMITED"/>
    <n v="1914"/>
    <s v="DHANAJI ARJUN MALI"/>
    <s v="Male"/>
    <s v=""/>
    <s v="Nov 11, 2024"/>
    <s v="DBNPM8263C"/>
    <s v="101816559661"/>
    <x v="9"/>
    <s v="SENIOR ENGINEER"/>
    <x v="0"/>
    <s v="TM"/>
    <s v="PF"/>
    <s v="NA"/>
    <s v=""/>
    <s v=""/>
    <s v="450862785164"/>
    <s v="50100769916547"/>
    <s v="HDFC BANK"/>
    <s v="HDFC0001210"/>
    <n v="30"/>
    <n v="0"/>
    <n v="0"/>
    <n v="30"/>
    <n v="30"/>
    <n v="74033"/>
    <n v="74033"/>
    <n v="33315"/>
    <n v="13326"/>
    <n v="1600"/>
    <n v="200"/>
    <n v="1250"/>
    <n v="2775"/>
    <n v="6663"/>
    <n v="4997"/>
    <n v="333"/>
    <n v="1166"/>
    <n v="666"/>
    <n v="167"/>
    <n v="1800"/>
    <n v="5775"/>
    <n v="0"/>
    <n v="0"/>
    <n v="715"/>
    <n v="74748"/>
    <n v="74033"/>
    <n v="0"/>
    <n v="0"/>
    <n v="0"/>
    <n v="200"/>
    <n v="1800"/>
    <n v="0"/>
    <n v="0"/>
    <n v="25"/>
    <n v="0"/>
    <n v="2025"/>
    <n v="72723"/>
    <m/>
    <m/>
  </r>
  <r>
    <d v="2025-06-01T00:00:00"/>
    <s v="Salary"/>
    <s v="S19014J001"/>
    <s v="MOONSTONE REALINFRA PRIVATE LIMITED"/>
    <n v="1312"/>
    <s v="DIVYA RAGHWENDRA PANDEY"/>
    <s v="Female"/>
    <s v=""/>
    <s v="Feb 14, 2023"/>
    <s v="BBYPP6423N"/>
    <s v="101696630616"/>
    <x v="10"/>
    <s v="EXECUTIVE - PRE SALES"/>
    <x v="1"/>
    <s v="TM"/>
    <s v="PF"/>
    <s v="NA"/>
    <s v="PUPUN28328860000010030"/>
    <s v=""/>
    <s v="247383564927"/>
    <s v="0600104000095105"/>
    <s v="IDBI BANK"/>
    <s v="IBKL0000600"/>
    <n v="30"/>
    <n v="0"/>
    <n v="0"/>
    <n v="5"/>
    <n v="5"/>
    <n v="30143"/>
    <n v="30143"/>
    <n v="2261"/>
    <n v="904"/>
    <n v="267"/>
    <n v="200"/>
    <n v="208"/>
    <n v="0"/>
    <n v="0"/>
    <n v="0"/>
    <n v="0"/>
    <n v="0"/>
    <n v="0"/>
    <n v="0"/>
    <n v="271"/>
    <n v="913"/>
    <n v="0"/>
    <n v="0"/>
    <n v="2055"/>
    <n v="7079"/>
    <n v="5024"/>
    <n v="0"/>
    <n v="0"/>
    <n v="0"/>
    <n v="0"/>
    <n v="271"/>
    <n v="0"/>
    <n v="0"/>
    <n v="25"/>
    <n v="0"/>
    <n v="296"/>
    <n v="6783"/>
    <m/>
    <m/>
  </r>
  <r>
    <d v="2025-06-01T00:00:00"/>
    <s v="Salary"/>
    <s v="S19014J001"/>
    <s v="MOONSTONE REALINFRA PRIVATE LIMITED"/>
    <n v="1209"/>
    <s v="DUNDAPPA MALLAPPA SANKPAL"/>
    <s v="Male"/>
    <s v=""/>
    <s v="Sep 03, 2022"/>
    <s v="CVOPS6863E"/>
    <s v="100379494874"/>
    <x v="11"/>
    <s v="MANAGER - HR"/>
    <x v="2"/>
    <s v="TM"/>
    <s v="PF"/>
    <s v="NA"/>
    <s v=""/>
    <s v=""/>
    <s v="818967487034"/>
    <s v="50100188631775"/>
    <s v="HDFC BANK"/>
    <s v="HDFC0000039"/>
    <n v="30"/>
    <n v="0"/>
    <n v="0"/>
    <n v="30"/>
    <n v="30"/>
    <n v="79575"/>
    <n v="79575"/>
    <n v="35809"/>
    <n v="14324"/>
    <n v="1600"/>
    <n v="200"/>
    <n v="1250"/>
    <n v="2983"/>
    <n v="7162"/>
    <n v="5371"/>
    <n v="358"/>
    <n v="1253"/>
    <n v="716"/>
    <n v="179"/>
    <n v="1800"/>
    <n v="6570"/>
    <n v="0"/>
    <n v="0"/>
    <n v="467"/>
    <n v="80042"/>
    <n v="79575"/>
    <n v="0"/>
    <n v="0"/>
    <n v="0"/>
    <n v="200"/>
    <n v="1800"/>
    <n v="0"/>
    <n v="0"/>
    <n v="25"/>
    <n v="0"/>
    <n v="2025"/>
    <n v="78017"/>
    <m/>
    <m/>
  </r>
  <r>
    <d v="2025-06-01T00:00:00"/>
    <s v="Salary"/>
    <s v="S19014J001"/>
    <s v="MOONSTONE REALINFRA PRIVATE LIMITED"/>
    <n v="1517"/>
    <s v="GANESH SURESH PAWAR"/>
    <s v="Male"/>
    <s v=""/>
    <s v="Sep 01, 2023"/>
    <s v="CANPP1627F"/>
    <s v="101292152161"/>
    <x v="12"/>
    <s v="EXECUTIVE - MIS"/>
    <x v="2"/>
    <s v="TM"/>
    <s v="PF"/>
    <s v="NA"/>
    <s v=""/>
    <s v=""/>
    <s v="427581798506"/>
    <s v="50100729824722"/>
    <s v="HDFC BANK"/>
    <s v="HDFC0001210"/>
    <n v="30"/>
    <n v="0"/>
    <n v="0"/>
    <n v="30"/>
    <n v="30"/>
    <n v="47190"/>
    <n v="47190"/>
    <n v="21236"/>
    <n v="8494"/>
    <n v="1600"/>
    <n v="200"/>
    <n v="1250"/>
    <n v="1769"/>
    <n v="4247"/>
    <n v="3185"/>
    <n v="212"/>
    <n v="743"/>
    <n v="425"/>
    <n v="106"/>
    <n v="1800"/>
    <n v="1923"/>
    <n v="0"/>
    <n v="0"/>
    <n v="760"/>
    <n v="47950"/>
    <n v="47190"/>
    <n v="0"/>
    <n v="0"/>
    <n v="0"/>
    <n v="200"/>
    <n v="1800"/>
    <n v="0"/>
    <n v="0"/>
    <n v="25"/>
    <n v="0"/>
    <n v="2025"/>
    <n v="45925"/>
    <m/>
    <m/>
  </r>
  <r>
    <d v="2025-06-01T00:00:00"/>
    <s v="Salary"/>
    <s v="S19014J001"/>
    <s v="MOONSTONE REALINFRA PRIVATE LIMITED"/>
    <n v="1202"/>
    <s v="GAURAV KASHINATH KURANE"/>
    <s v="Male"/>
    <s v=""/>
    <s v="Sep 28, 2022"/>
    <s v="ARVPK8048G"/>
    <s v="100151644732"/>
    <x v="5"/>
    <s v="MANAGER - SALES"/>
    <x v="1"/>
    <s v="TM"/>
    <s v="PF"/>
    <s v="NA"/>
    <s v=""/>
    <s v=""/>
    <s v="597630357761"/>
    <s v="50100318162255"/>
    <s v="HDFC BANK"/>
    <s v="HDFC0000007"/>
    <n v="30"/>
    <n v="0"/>
    <n v="0"/>
    <n v="30"/>
    <n v="30"/>
    <n v="98333"/>
    <n v="98333"/>
    <n v="44250"/>
    <n v="17700"/>
    <n v="1600"/>
    <n v="200"/>
    <n v="1250"/>
    <n v="3686"/>
    <n v="8850"/>
    <n v="6638"/>
    <n v="443"/>
    <n v="1549"/>
    <n v="885"/>
    <n v="221"/>
    <n v="1800"/>
    <n v="9261"/>
    <n v="0"/>
    <n v="0"/>
    <n v="1931"/>
    <n v="100264"/>
    <n v="98333"/>
    <n v="0"/>
    <n v="0"/>
    <n v="0"/>
    <n v="200"/>
    <n v="1800"/>
    <n v="0"/>
    <n v="0"/>
    <n v="25"/>
    <n v="0"/>
    <n v="2025"/>
    <n v="98239"/>
    <m/>
    <m/>
  </r>
  <r>
    <d v="2025-06-01T00:00:00"/>
    <s v="Salary"/>
    <s v="S19014J001"/>
    <s v="MOONSTONE REALINFRA PRIVATE LIMITED"/>
    <n v="1205"/>
    <s v="GAURAV RAGHUNATH GUND"/>
    <s v="Male"/>
    <s v=""/>
    <s v="Oct 01, 2022"/>
    <s v="DBBPG3735B"/>
    <s v="101882634974"/>
    <x v="13"/>
    <s v="EXECUTIVE - MARKETING"/>
    <x v="1"/>
    <s v="TM"/>
    <s v="PF"/>
    <s v="NA"/>
    <s v=""/>
    <s v=""/>
    <s v="566657564956"/>
    <s v="50100632579034"/>
    <s v="HDFC BANK"/>
    <s v="HDFC0008300"/>
    <n v="30"/>
    <n v="0"/>
    <n v="0.5"/>
    <n v="29.5"/>
    <n v="29.5"/>
    <n v="32307"/>
    <n v="32307"/>
    <n v="14296"/>
    <n v="5718"/>
    <n v="1573"/>
    <n v="197"/>
    <n v="1229"/>
    <n v="0"/>
    <n v="0"/>
    <n v="0"/>
    <n v="0"/>
    <n v="0"/>
    <n v="0"/>
    <n v="0"/>
    <n v="1716"/>
    <n v="7040"/>
    <n v="0"/>
    <n v="0"/>
    <n v="2029"/>
    <n v="33798"/>
    <n v="31769"/>
    <n v="0"/>
    <n v="0"/>
    <n v="0"/>
    <n v="200"/>
    <n v="1716"/>
    <n v="0"/>
    <n v="0"/>
    <n v="25"/>
    <n v="0"/>
    <n v="1941"/>
    <n v="31857"/>
    <m/>
    <m/>
  </r>
  <r>
    <d v="2025-06-01T00:00:00"/>
    <s v="Salary"/>
    <s v="S19014J001"/>
    <s v="MOONSTONE REALINFRA PRIVATE LIMITED"/>
    <n v="748"/>
    <s v="KALPESH KADAM"/>
    <s v="Male"/>
    <s v=""/>
    <s v="Feb 22, 2021"/>
    <s v="DPAPK0829F"/>
    <s v="101173740664"/>
    <x v="14"/>
    <s v="LISIONING-OFFICER"/>
    <x v="3"/>
    <s v="TM"/>
    <s v="PF"/>
    <s v="NA"/>
    <s v=""/>
    <s v=""/>
    <s v="656902116787"/>
    <s v="50100045505567"/>
    <s v="HDFC BANK"/>
    <s v="HDFC0000794"/>
    <n v="30"/>
    <n v="0"/>
    <n v="1"/>
    <n v="29"/>
    <n v="29"/>
    <n v="62333"/>
    <n v="62333"/>
    <n v="27115"/>
    <n v="10846"/>
    <n v="1547"/>
    <n v="193"/>
    <n v="1208"/>
    <n v="2259"/>
    <n v="5423"/>
    <n v="4067"/>
    <n v="271"/>
    <n v="949"/>
    <n v="542"/>
    <n v="136"/>
    <n v="1800"/>
    <n v="3899"/>
    <n v="0"/>
    <n v="2500"/>
    <n v="1766"/>
    <n v="64521"/>
    <n v="62755"/>
    <n v="0"/>
    <n v="0"/>
    <n v="0"/>
    <n v="200"/>
    <n v="1800"/>
    <n v="0"/>
    <n v="0"/>
    <n v="25"/>
    <n v="15000"/>
    <n v="17025"/>
    <n v="47496"/>
    <m/>
    <m/>
  </r>
  <r>
    <d v="2025-06-01T00:00:00"/>
    <s v="Salary"/>
    <s v="S19014J001"/>
    <s v="MOONSTONE REALINFRA PRIVATE LIMITED"/>
    <n v="1875"/>
    <s v="KRISHNA KUMAR TIWARI"/>
    <s v="Male"/>
    <s v=""/>
    <s v="Sep 09, 2024"/>
    <s v="AGXPT8418N"/>
    <s v="101910507765"/>
    <x v="2"/>
    <s v="DEPUTY MANAGER"/>
    <x v="1"/>
    <s v="TM"/>
    <s v="PF"/>
    <s v="NA"/>
    <s v=""/>
    <s v=""/>
    <s v="375923391923"/>
    <s v="50100755728692"/>
    <s v="HDFC BANK"/>
    <s v="HDFC0001210"/>
    <n v="30"/>
    <n v="0"/>
    <n v="0"/>
    <n v="30"/>
    <n v="30"/>
    <n v="65840"/>
    <n v="65840"/>
    <n v="29628"/>
    <n v="11851"/>
    <n v="1600"/>
    <n v="200"/>
    <n v="1250"/>
    <n v="2468"/>
    <n v="5926"/>
    <n v="4444"/>
    <n v="296"/>
    <n v="1037"/>
    <n v="593"/>
    <n v="148"/>
    <n v="1800"/>
    <n v="4599"/>
    <n v="0"/>
    <n v="26466"/>
    <n v="2393"/>
    <n v="94699"/>
    <n v="92306"/>
    <n v="0"/>
    <n v="0"/>
    <n v="0"/>
    <n v="200"/>
    <n v="1800"/>
    <n v="0"/>
    <n v="0"/>
    <n v="25"/>
    <n v="0"/>
    <n v="2025"/>
    <n v="92674"/>
    <m/>
    <m/>
  </r>
  <r>
    <d v="2025-06-01T00:00:00"/>
    <s v="Salary"/>
    <s v="S19014J001"/>
    <s v="MOONSTONE REALINFRA PRIVATE LIMITED"/>
    <n v="1135"/>
    <s v="LAKSHADIP PUNDALIK THAKUR"/>
    <s v="Male"/>
    <s v=""/>
    <s v="Jul 01, 2022"/>
    <s v="AIKPT5980A"/>
    <s v="100202447925"/>
    <x v="15"/>
    <s v="MANAGER - SALES"/>
    <x v="1"/>
    <s v="TM"/>
    <s v="PF"/>
    <s v="NA"/>
    <s v=""/>
    <s v=""/>
    <s v="332553462353"/>
    <s v="50100224949010"/>
    <s v="HDFC BANK"/>
    <s v="HDFC0003982"/>
    <n v="30"/>
    <n v="0"/>
    <n v="0"/>
    <n v="30"/>
    <n v="30"/>
    <n v="146667"/>
    <n v="146667"/>
    <n v="66000"/>
    <n v="26400"/>
    <n v="1600"/>
    <n v="200"/>
    <n v="1250"/>
    <n v="5498"/>
    <n v="13200"/>
    <n v="9900"/>
    <n v="660"/>
    <n v="2310"/>
    <n v="1320"/>
    <n v="330"/>
    <n v="1800"/>
    <n v="16199"/>
    <n v="0"/>
    <n v="0"/>
    <n v="6865"/>
    <n v="153532"/>
    <n v="146667"/>
    <n v="0"/>
    <n v="0"/>
    <n v="16685"/>
    <n v="200"/>
    <n v="1800"/>
    <n v="0"/>
    <n v="0"/>
    <n v="25"/>
    <n v="0"/>
    <n v="18710"/>
    <n v="134822"/>
    <m/>
    <m/>
  </r>
  <r>
    <d v="2025-06-01T00:00:00"/>
    <s v="Salary"/>
    <s v="S19014J001"/>
    <s v="MOONSTONE REALINFRA PRIVATE LIMITED"/>
    <n v="1997"/>
    <s v="MAHESH MADHUKAR KATE"/>
    <s v="Male"/>
    <s v=""/>
    <s v="Feb 15, 2025"/>
    <s v="JJFPK7967B"/>
    <s v="101675376988"/>
    <x v="16"/>
    <s v="SAFETY OFICER"/>
    <x v="0"/>
    <s v="TM"/>
    <s v="PF"/>
    <s v="NA"/>
    <s v=""/>
    <s v=""/>
    <s v="696647163423"/>
    <s v="50100731567384"/>
    <s v="HDFC BANK"/>
    <s v="HDFC0000007"/>
    <n v="30"/>
    <n v="0"/>
    <n v="2.5"/>
    <n v="27.5"/>
    <n v="27.5"/>
    <n v="36067"/>
    <n v="36067"/>
    <n v="14877"/>
    <n v="5951"/>
    <n v="1467"/>
    <n v="183"/>
    <n v="1146"/>
    <n v="0"/>
    <n v="0"/>
    <n v="0"/>
    <n v="0"/>
    <n v="0"/>
    <n v="0"/>
    <n v="0"/>
    <n v="1785"/>
    <n v="7652"/>
    <n v="0"/>
    <n v="0"/>
    <n v="0"/>
    <n v="33061"/>
    <n v="33061"/>
    <n v="0"/>
    <n v="0"/>
    <n v="0"/>
    <n v="200"/>
    <n v="1785"/>
    <n v="0"/>
    <n v="0"/>
    <n v="25"/>
    <n v="0"/>
    <n v="2010"/>
    <n v="31051"/>
    <m/>
    <m/>
  </r>
  <r>
    <d v="2025-06-01T00:00:00"/>
    <s v="Salary"/>
    <s v="S19014J001"/>
    <s v="MOONSTONE REALINFRA PRIVATE LIMITED"/>
    <n v="726"/>
    <s v="MAHVEEN SAYYED"/>
    <s v="Female"/>
    <s v=""/>
    <s v="Dec 01, 2020"/>
    <s v="NUMPS3199R"/>
    <s v="101726376057"/>
    <x v="17"/>
    <s v="RECEPTIONIST"/>
    <x v="2"/>
    <s v="TM"/>
    <s v="PF"/>
    <s v="NA"/>
    <s v=""/>
    <s v=""/>
    <s v="677097563942"/>
    <s v="50100317492831"/>
    <s v="HDFC BANK"/>
    <s v="HDFC0000007"/>
    <n v="30"/>
    <n v="0"/>
    <n v="1"/>
    <n v="29"/>
    <n v="29"/>
    <n v="27904"/>
    <n v="27904"/>
    <n v="12138"/>
    <n v="4855"/>
    <n v="1547"/>
    <n v="193"/>
    <n v="1208"/>
    <n v="0"/>
    <n v="0"/>
    <n v="0"/>
    <n v="0"/>
    <n v="0"/>
    <n v="0"/>
    <n v="0"/>
    <n v="1457"/>
    <n v="5576"/>
    <n v="0"/>
    <n v="0"/>
    <n v="0"/>
    <n v="26974"/>
    <n v="26974"/>
    <n v="0"/>
    <n v="0"/>
    <n v="0"/>
    <n v="200"/>
    <n v="1457"/>
    <n v="0"/>
    <n v="0"/>
    <n v="25"/>
    <n v="0"/>
    <n v="1682"/>
    <n v="25292"/>
    <m/>
    <m/>
  </r>
  <r>
    <d v="2025-06-01T00:00:00"/>
    <s v="Salary"/>
    <s v="S19014J001"/>
    <s v="MOONSTONE REALINFRA PRIVATE LIMITED"/>
    <n v="1722"/>
    <s v="MANOJ KUMAR VARMA"/>
    <s v="Male"/>
    <s v=""/>
    <s v="May 02, 2024"/>
    <s v="AAEPV3962E"/>
    <s v="101345330257"/>
    <x v="18"/>
    <s v="GENERAL MANAGER"/>
    <x v="0"/>
    <s v="TH"/>
    <s v="PF"/>
    <s v="NA"/>
    <s v=""/>
    <s v=""/>
    <s v="768669459723"/>
    <s v="01531050005109"/>
    <s v="HDFC BANK"/>
    <s v="HDFC0000153"/>
    <n v="30"/>
    <n v="0"/>
    <n v="0"/>
    <n v="30"/>
    <n v="30"/>
    <n v="434795"/>
    <n v="434795"/>
    <n v="195658"/>
    <n v="78263"/>
    <n v="1600"/>
    <n v="200"/>
    <n v="1250"/>
    <n v="16298"/>
    <n v="39132"/>
    <n v="29349"/>
    <n v="1957"/>
    <n v="6848"/>
    <n v="3913"/>
    <n v="978"/>
    <n v="1800"/>
    <n v="57549"/>
    <n v="0"/>
    <n v="0"/>
    <n v="5221"/>
    <n v="440016"/>
    <n v="434795"/>
    <n v="0"/>
    <n v="0"/>
    <n v="144776"/>
    <n v="200"/>
    <n v="1800"/>
    <n v="0"/>
    <n v="0"/>
    <n v="25"/>
    <n v="0"/>
    <n v="146801"/>
    <n v="293215"/>
    <m/>
    <m/>
  </r>
  <r>
    <d v="2025-06-01T00:00:00"/>
    <s v="Salary"/>
    <s v="S19014J001"/>
    <s v="MOONSTONE REALINFRA PRIVATE LIMITED"/>
    <n v="1937"/>
    <s v="MAYANK ACHARYA"/>
    <s v="Male"/>
    <s v=""/>
    <s v="Nov 25, 2024"/>
    <s v="DZPPA7006D"/>
    <s v="102142125408"/>
    <x v="6"/>
    <s v="MANAGEMENT TRAINEE"/>
    <x v="1"/>
    <s v="TM"/>
    <s v="PF"/>
    <s v="NA"/>
    <s v=""/>
    <s v=""/>
    <s v="596849238511"/>
    <s v="50100773207188"/>
    <s v="HDFC BANK"/>
    <s v="HDFC0001210"/>
    <n v="30"/>
    <n v="0"/>
    <n v="0"/>
    <n v="30"/>
    <n v="30"/>
    <n v="31533"/>
    <n v="31533"/>
    <n v="14190"/>
    <n v="5676"/>
    <n v="1600"/>
    <n v="200"/>
    <n v="1250"/>
    <n v="0"/>
    <n v="0"/>
    <n v="0"/>
    <n v="0"/>
    <n v="0"/>
    <n v="0"/>
    <n v="0"/>
    <n v="1703"/>
    <n v="6914"/>
    <n v="0"/>
    <n v="0"/>
    <n v="2307"/>
    <n v="33840"/>
    <n v="31533"/>
    <n v="0"/>
    <n v="0"/>
    <n v="0"/>
    <n v="200"/>
    <n v="1703"/>
    <n v="0"/>
    <n v="0"/>
    <n v="25"/>
    <n v="0"/>
    <n v="1928"/>
    <n v="31912"/>
    <m/>
    <m/>
  </r>
  <r>
    <d v="2025-06-01T00:00:00"/>
    <s v="Salary"/>
    <s v="S19014J001"/>
    <s v="MOONSTONE REALINFRA PRIVATE LIMITED"/>
    <n v="382"/>
    <s v="MAYUR RAJAN SALUNKE"/>
    <s v="Male"/>
    <s v=""/>
    <s v="Dec 11, 2018"/>
    <s v="EIWPS6074N"/>
    <s v="101412010976"/>
    <x v="19"/>
    <s v="SENIOR EXECUTIVE - POSSESSION"/>
    <x v="2"/>
    <s v="TM"/>
    <s v="PF"/>
    <s v="NA"/>
    <s v=""/>
    <s v=""/>
    <s v="202787997088"/>
    <s v="50100624532338"/>
    <s v="HDFC BANK"/>
    <s v="HDFC0000633"/>
    <n v="30"/>
    <n v="0"/>
    <n v="0"/>
    <n v="30"/>
    <n v="30"/>
    <n v="36950"/>
    <n v="36950"/>
    <n v="16628"/>
    <n v="6651"/>
    <n v="1600"/>
    <n v="200"/>
    <n v="1250"/>
    <n v="0"/>
    <n v="0"/>
    <n v="0"/>
    <n v="0"/>
    <n v="0"/>
    <n v="0"/>
    <n v="0"/>
    <n v="1800"/>
    <n v="8821"/>
    <n v="0"/>
    <n v="0"/>
    <n v="4682"/>
    <n v="41632"/>
    <n v="36950"/>
    <n v="0"/>
    <n v="0"/>
    <n v="0"/>
    <n v="200"/>
    <n v="1800"/>
    <n v="0"/>
    <n v="0"/>
    <n v="25"/>
    <n v="0"/>
    <n v="2025"/>
    <n v="39607"/>
    <m/>
    <m/>
  </r>
  <r>
    <d v="2025-06-01T00:00:00"/>
    <s v="Salary"/>
    <s v="S19014J001"/>
    <s v="MOONSTONE REALINFRA PRIVATE LIMITED"/>
    <n v="511"/>
    <s v="MAYURESH LANGOTE"/>
    <s v="Male"/>
    <s v=""/>
    <s v="Aug 01, 2019"/>
    <s v="AEWPL1281L"/>
    <s v="100053793326"/>
    <x v="19"/>
    <s v="SENIOR EXECUTIVE - POSSESSION"/>
    <x v="2"/>
    <s v="TM"/>
    <s v="PF"/>
    <s v="NA"/>
    <s v=""/>
    <s v=""/>
    <s v="250203086491"/>
    <s v="50100231649761"/>
    <s v="HDFC BANK"/>
    <s v="HDFC0000052"/>
    <n v="30"/>
    <n v="0"/>
    <n v="0"/>
    <n v="30"/>
    <n v="30"/>
    <n v="43308"/>
    <n v="43308"/>
    <n v="19489"/>
    <n v="7796"/>
    <n v="1600"/>
    <n v="200"/>
    <n v="1250"/>
    <n v="1623"/>
    <n v="3898"/>
    <n v="2923"/>
    <n v="195"/>
    <n v="682"/>
    <n v="390"/>
    <n v="97"/>
    <n v="1800"/>
    <n v="1365"/>
    <n v="0"/>
    <n v="0"/>
    <n v="4808"/>
    <n v="48116"/>
    <n v="43308"/>
    <n v="0"/>
    <n v="0"/>
    <n v="0"/>
    <n v="200"/>
    <n v="1800"/>
    <n v="0"/>
    <n v="0"/>
    <n v="25"/>
    <n v="5000"/>
    <n v="7025"/>
    <n v="41091"/>
    <m/>
    <m/>
  </r>
  <r>
    <d v="2025-06-01T00:00:00"/>
    <s v="Salary"/>
    <s v="S19014J001"/>
    <s v="MOONSTONE REALINFRA PRIVATE LIMITED"/>
    <n v="2062"/>
    <s v="MOHAN SHRIKRISHNA UDGIRI"/>
    <s v="Male"/>
    <s v=""/>
    <s v="Mar 24, 2025"/>
    <s v="AAZPU1282B"/>
    <s v="100242792314"/>
    <x v="20"/>
    <s v="ASSISTANT GENERAL MANAGER"/>
    <x v="0"/>
    <s v="TL"/>
    <s v="PF"/>
    <s v="NA"/>
    <s v=""/>
    <s v=""/>
    <s v="524156423700"/>
    <s v="5421140100824"/>
    <s v="HDFC BANK"/>
    <s v="HDFC0000542"/>
    <n v="30"/>
    <n v="0"/>
    <n v="0"/>
    <n v="30"/>
    <n v="30"/>
    <n v="181533"/>
    <n v="181533"/>
    <n v="81690"/>
    <n v="32676"/>
    <n v="1600"/>
    <n v="200"/>
    <n v="1250"/>
    <n v="6805"/>
    <n v="16338"/>
    <n v="12254"/>
    <n v="817"/>
    <n v="2859"/>
    <n v="1634"/>
    <n v="408"/>
    <n v="1800"/>
    <n v="21202"/>
    <n v="0"/>
    <n v="0"/>
    <n v="2070"/>
    <n v="183603"/>
    <n v="181533"/>
    <n v="0"/>
    <n v="0"/>
    <n v="18411"/>
    <n v="200"/>
    <n v="1800"/>
    <n v="0"/>
    <n v="0"/>
    <n v="25"/>
    <n v="0"/>
    <n v="20436"/>
    <n v="163167"/>
    <m/>
    <m/>
  </r>
  <r>
    <d v="2025-06-01T00:00:00"/>
    <s v="Salary"/>
    <s v="S19014J001"/>
    <s v="MOONSTONE REALINFRA PRIVATE LIMITED"/>
    <n v="1092"/>
    <s v="NARENDRA ROHTAS MAHUR"/>
    <s v="Male"/>
    <s v=""/>
    <s v="May 16, 2022"/>
    <s v="EJTPM6853H"/>
    <s v="101646143832"/>
    <x v="21"/>
    <s v="SENIOR EXECUTIVE - MIS"/>
    <x v="2"/>
    <s v="TM"/>
    <s v="PF"/>
    <s v="NA"/>
    <s v=""/>
    <s v=""/>
    <s v="325860489575"/>
    <s v="50100654540599"/>
    <s v="HDFC BANK"/>
    <s v="HDFC0000007"/>
    <n v="30"/>
    <n v="0"/>
    <n v="0"/>
    <n v="30"/>
    <n v="30"/>
    <n v="71927"/>
    <n v="71927"/>
    <n v="32367"/>
    <n v="12947"/>
    <n v="1600"/>
    <n v="200"/>
    <n v="1250"/>
    <n v="2696"/>
    <n v="6473"/>
    <n v="4855"/>
    <n v="324"/>
    <n v="1133"/>
    <n v="647"/>
    <n v="162"/>
    <n v="1800"/>
    <n v="5473"/>
    <n v="0"/>
    <n v="2500"/>
    <n v="1012"/>
    <n v="75439"/>
    <n v="74427"/>
    <n v="0"/>
    <n v="0"/>
    <n v="0"/>
    <n v="200"/>
    <n v="1800"/>
    <n v="0"/>
    <n v="0"/>
    <n v="25"/>
    <n v="0"/>
    <n v="2025"/>
    <n v="73414"/>
    <m/>
    <m/>
  </r>
  <r>
    <d v="2025-06-01T00:00:00"/>
    <s v="Salary"/>
    <s v="S19014J001"/>
    <s v="MOONSTONE REALINFRA PRIVATE LIMITED"/>
    <n v="1506"/>
    <s v="NILESH SUDAM DODAKE"/>
    <s v="Male"/>
    <s v=""/>
    <s v="Aug 16, 2023"/>
    <s v="ATZPD2744A"/>
    <s v="101985884549"/>
    <x v="22"/>
    <s v="SUPERVISOR"/>
    <x v="0"/>
    <s v="TM"/>
    <s v="PF"/>
    <s v="NA"/>
    <s v=""/>
    <s v=""/>
    <s v="800783241563"/>
    <s v="50100624533443"/>
    <s v="HDFC BANK"/>
    <s v="HDFC0000007"/>
    <n v="30"/>
    <n v="0"/>
    <n v="3"/>
    <n v="27"/>
    <n v="27"/>
    <n v="49575"/>
    <n v="49575"/>
    <n v="20078"/>
    <n v="8031"/>
    <n v="1440"/>
    <n v="180"/>
    <n v="1125"/>
    <n v="1673"/>
    <n v="4016"/>
    <n v="3012"/>
    <n v="201"/>
    <n v="703"/>
    <n v="402"/>
    <n v="100"/>
    <n v="1800"/>
    <n v="1857"/>
    <n v="0"/>
    <n v="0"/>
    <n v="0"/>
    <n v="44618"/>
    <n v="44618"/>
    <n v="0"/>
    <n v="0"/>
    <n v="0"/>
    <n v="200"/>
    <n v="1800"/>
    <n v="0"/>
    <n v="0"/>
    <n v="25"/>
    <n v="0"/>
    <n v="2025"/>
    <n v="42593"/>
    <m/>
    <m/>
  </r>
  <r>
    <d v="2025-06-01T00:00:00"/>
    <s v="Salary"/>
    <s v="S19014J001"/>
    <s v="MOONSTONE REALINFRA PRIVATE LIMITED"/>
    <n v="1700"/>
    <s v="NITEESH SHARMA"/>
    <s v="Male"/>
    <s v=""/>
    <s v="Apr 11, 2024"/>
    <s v="BYHPS8894Q"/>
    <s v="101416879888"/>
    <x v="23"/>
    <s v="ASSISTANT MANAGER - SALES"/>
    <x v="1"/>
    <s v="TM"/>
    <s v="PF"/>
    <s v="NA"/>
    <s v=""/>
    <s v=""/>
    <s v="461172332390"/>
    <s v="99991911230890"/>
    <s v="HDFC BANK"/>
    <s v="HDFC0001210"/>
    <n v="30"/>
    <n v="0"/>
    <n v="0"/>
    <n v="30"/>
    <n v="30"/>
    <n v="79907"/>
    <n v="79907"/>
    <n v="35958"/>
    <n v="14383"/>
    <n v="1600"/>
    <n v="200"/>
    <n v="1250"/>
    <n v="2995"/>
    <n v="7192"/>
    <n v="5394"/>
    <n v="360"/>
    <n v="1259"/>
    <n v="719"/>
    <n v="180"/>
    <n v="1800"/>
    <n v="6617"/>
    <n v="0"/>
    <n v="0"/>
    <n v="2473"/>
    <n v="82380"/>
    <n v="79907"/>
    <n v="0"/>
    <n v="0"/>
    <n v="0"/>
    <n v="200"/>
    <n v="1800"/>
    <n v="0"/>
    <n v="0"/>
    <n v="25"/>
    <n v="0"/>
    <n v="2025"/>
    <n v="80355"/>
    <m/>
    <m/>
  </r>
  <r>
    <d v="2025-06-01T00:00:00"/>
    <s v="Salary"/>
    <s v="S19014J001"/>
    <s v="MOONSTONE REALINFRA PRIVATE LIMITED"/>
    <n v="435"/>
    <s v="NITESH SUKHDEORAO RAUT"/>
    <s v="Male"/>
    <s v=""/>
    <s v="Feb 28, 2019"/>
    <s v="ECHPR5827R"/>
    <s v="101438956994"/>
    <x v="7"/>
    <s v="EXECUTIVE - POSSESSION"/>
    <x v="2"/>
    <s v="TM"/>
    <s v="PF"/>
    <s v="NA"/>
    <s v=""/>
    <s v=""/>
    <s v="549202367903"/>
    <s v="50100317492446"/>
    <s v="HDFC BANK"/>
    <s v="HDFC0000007"/>
    <n v="30"/>
    <n v="0"/>
    <n v="0"/>
    <n v="30"/>
    <n v="30"/>
    <n v="33167"/>
    <n v="33167"/>
    <n v="14925"/>
    <n v="5970"/>
    <n v="1600"/>
    <n v="200"/>
    <n v="1250"/>
    <n v="0"/>
    <n v="0"/>
    <n v="0"/>
    <n v="0"/>
    <n v="0"/>
    <n v="0"/>
    <n v="0"/>
    <n v="1791"/>
    <n v="7431"/>
    <n v="0"/>
    <n v="0"/>
    <n v="9661"/>
    <n v="42828"/>
    <n v="33167"/>
    <n v="0"/>
    <n v="0"/>
    <n v="0"/>
    <n v="200"/>
    <n v="1791"/>
    <n v="0"/>
    <n v="0"/>
    <n v="25"/>
    <n v="0"/>
    <n v="2016"/>
    <n v="40812"/>
    <m/>
    <m/>
  </r>
  <r>
    <d v="2025-06-01T00:00:00"/>
    <s v="Salary"/>
    <s v="S19014J001"/>
    <s v="MOONSTONE REALINFRA PRIVATE LIMITED"/>
    <n v="1033"/>
    <s v="OMKAR MADHAV SAMBHUS"/>
    <s v="Male"/>
    <s v=""/>
    <s v="Mar 21, 2022"/>
    <s v="BKVPS7936K"/>
    <s v="101090148328"/>
    <x v="15"/>
    <s v="Senior Manager"/>
    <x v="1"/>
    <s v="TM"/>
    <s v="PF"/>
    <s v="NA"/>
    <s v=""/>
    <s v=""/>
    <s v="580372226603"/>
    <s v="50100056805482"/>
    <s v="HDFC BANK"/>
    <s v="HDFC0000146"/>
    <n v="30"/>
    <n v="0"/>
    <n v="0"/>
    <n v="30"/>
    <n v="30"/>
    <n v="118333"/>
    <n v="118333"/>
    <n v="53250"/>
    <n v="21300"/>
    <n v="1600"/>
    <n v="200"/>
    <n v="1250"/>
    <n v="4436"/>
    <n v="10650"/>
    <n v="7988"/>
    <n v="533"/>
    <n v="1864"/>
    <n v="1065"/>
    <n v="266"/>
    <n v="1800"/>
    <n v="12131"/>
    <n v="0"/>
    <n v="0"/>
    <n v="1629"/>
    <n v="119962"/>
    <n v="118333"/>
    <n v="0"/>
    <n v="0"/>
    <n v="9383"/>
    <n v="200"/>
    <n v="1800"/>
    <n v="0"/>
    <n v="0"/>
    <n v="25"/>
    <n v="12500"/>
    <n v="23908"/>
    <n v="96054"/>
    <m/>
    <m/>
  </r>
  <r>
    <d v="2025-06-01T00:00:00"/>
    <s v="Salary"/>
    <s v="S19014J001"/>
    <s v="MOONSTONE REALINFRA PRIVATE LIMITED"/>
    <n v="927"/>
    <s v="PARESH GUND"/>
    <s v="Male"/>
    <s v=""/>
    <s v="Dec 10, 2021"/>
    <s v="BLJPG3170L"/>
    <s v="101257803535"/>
    <x v="5"/>
    <s v="MANAGER - SALES"/>
    <x v="1"/>
    <s v="TM"/>
    <s v="PF"/>
    <s v="NA"/>
    <s v=""/>
    <s v=""/>
    <s v="267117144733"/>
    <s v="0600104000083526"/>
    <s v="IDBI BANK"/>
    <s v="IBKL0000600"/>
    <n v="30"/>
    <n v="0"/>
    <n v="0"/>
    <n v="12"/>
    <n v="12"/>
    <n v="72867"/>
    <n v="72867"/>
    <n v="13116"/>
    <n v="5246"/>
    <n v="640"/>
    <n v="200"/>
    <n v="500"/>
    <n v="1093"/>
    <n v="2623"/>
    <n v="1967"/>
    <n v="131"/>
    <n v="459"/>
    <n v="262"/>
    <n v="66"/>
    <n v="1574"/>
    <n v="1270"/>
    <n v="0"/>
    <n v="0"/>
    <n v="2321"/>
    <n v="31468"/>
    <n v="29147"/>
    <n v="0"/>
    <n v="0"/>
    <n v="0"/>
    <n v="200"/>
    <n v="1574"/>
    <n v="0"/>
    <n v="0"/>
    <n v="25"/>
    <n v="0"/>
    <n v="1799"/>
    <n v="29669"/>
    <m/>
    <m/>
  </r>
  <r>
    <d v="2025-06-01T00:00:00"/>
    <s v="Salary"/>
    <s v="S19014J001"/>
    <s v="MOONSTONE REALINFRA PRIVATE LIMITED"/>
    <n v="1086"/>
    <s v="POORNIMA SATYANARAYAN MASKE"/>
    <s v="Female"/>
    <s v=""/>
    <s v="May 09, 2022"/>
    <s v="FPPPM6332Q"/>
    <s v="101489017926"/>
    <x v="24"/>
    <s v="DEPUTY MANAGER - SALES"/>
    <x v="1"/>
    <s v="TL"/>
    <s v="PF"/>
    <s v="NA"/>
    <s v=""/>
    <s v=""/>
    <s v="535343696935"/>
    <s v="50100288878569"/>
    <s v="HDFC BANK"/>
    <s v="HDFC0001791"/>
    <n v="30"/>
    <n v="0"/>
    <n v="2"/>
    <n v="28"/>
    <n v="28"/>
    <n v="60208"/>
    <n v="60208"/>
    <n v="25287"/>
    <n v="10115"/>
    <n v="1493"/>
    <n v="187"/>
    <n v="1167"/>
    <n v="2106"/>
    <n v="5057"/>
    <n v="3793"/>
    <n v="253"/>
    <n v="885"/>
    <n v="506"/>
    <n v="126"/>
    <n v="1800"/>
    <n v="3419"/>
    <n v="0"/>
    <n v="0"/>
    <n v="1149"/>
    <n v="57343"/>
    <n v="56194"/>
    <n v="0"/>
    <n v="0"/>
    <n v="0"/>
    <n v="200"/>
    <n v="1800"/>
    <n v="0"/>
    <n v="0"/>
    <n v="25"/>
    <n v="0"/>
    <n v="2025"/>
    <n v="55318"/>
    <m/>
    <m/>
  </r>
  <r>
    <d v="2025-06-01T00:00:00"/>
    <s v="Salary"/>
    <s v="S19014J001"/>
    <s v="MOONSTONE REALINFRA PRIVATE LIMITED"/>
    <n v="737"/>
    <s v="PRADIP PHOFALE"/>
    <s v="Male"/>
    <s v=""/>
    <s v="Jan 05, 2021"/>
    <s v="FJPPP4191E"/>
    <s v="101287262182"/>
    <x v="21"/>
    <s v="ADMIN - EXECUTIVE"/>
    <x v="2"/>
    <s v="TM"/>
    <s v="PF"/>
    <s v="ESI"/>
    <s v=""/>
    <s v="3314734184"/>
    <s v="348597161366"/>
    <s v="50100624534038"/>
    <s v="HDFC BANK"/>
    <s v="HDFC0000007"/>
    <n v="30"/>
    <n v="0"/>
    <n v="0"/>
    <n v="30"/>
    <n v="30"/>
    <n v="22933"/>
    <n v="22933"/>
    <n v="10320"/>
    <n v="4128"/>
    <n v="1600"/>
    <n v="200"/>
    <n v="1250"/>
    <n v="0"/>
    <n v="0"/>
    <n v="0"/>
    <n v="0"/>
    <n v="0"/>
    <n v="0"/>
    <n v="0"/>
    <n v="1238"/>
    <n v="4197"/>
    <n v="0"/>
    <n v="0"/>
    <n v="1861"/>
    <n v="24794"/>
    <n v="22933"/>
    <n v="0"/>
    <n v="0"/>
    <n v="0"/>
    <n v="200"/>
    <n v="1238"/>
    <n v="0"/>
    <n v="0"/>
    <n v="25"/>
    <n v="0"/>
    <n v="1463"/>
    <n v="23331"/>
    <m/>
    <m/>
  </r>
  <r>
    <d v="2025-06-01T00:00:00"/>
    <s v="Salary"/>
    <s v="S19014J001"/>
    <s v="MOONSTONE REALINFRA PRIVATE LIMITED"/>
    <n v="649"/>
    <s v="PRAJAKTA KULKARNI"/>
    <s v="Female"/>
    <s v=""/>
    <s v="Feb 01, 2020"/>
    <s v="BJHPK2873G"/>
    <s v="101902983475"/>
    <x v="20"/>
    <s v="Asst. General Manager - HR"/>
    <x v="2"/>
    <s v="TL"/>
    <s v="PF"/>
    <s v="NA"/>
    <s v=""/>
    <s v=""/>
    <s v="287366904609"/>
    <s v="50100317874269"/>
    <s v="HDFC BANK"/>
    <s v="HDFC0000007"/>
    <n v="30"/>
    <n v="0"/>
    <n v="0.5"/>
    <n v="29.5"/>
    <n v="29.5"/>
    <n v="158333"/>
    <n v="158333"/>
    <n v="70062"/>
    <n v="28025"/>
    <n v="1573"/>
    <n v="197"/>
    <n v="1229"/>
    <n v="5836"/>
    <n v="14012"/>
    <n v="10509"/>
    <n v="701"/>
    <n v="2452"/>
    <n v="1401"/>
    <n v="350"/>
    <n v="1800"/>
    <n v="17547"/>
    <n v="0"/>
    <n v="0"/>
    <n v="0"/>
    <n v="155694"/>
    <n v="155694"/>
    <n v="0"/>
    <n v="0"/>
    <n v="0"/>
    <n v="200"/>
    <n v="1800"/>
    <n v="0"/>
    <n v="0"/>
    <n v="25"/>
    <n v="0"/>
    <n v="2025"/>
    <n v="153669"/>
    <m/>
    <m/>
  </r>
  <r>
    <d v="2025-06-01T00:00:00"/>
    <s v="Salary"/>
    <s v="S19014J001"/>
    <s v="MOONSTONE REALINFRA PRIVATE LIMITED"/>
    <n v="1746"/>
    <s v="PRAMOD HANMANT PAWAR"/>
    <s v="Male"/>
    <s v=""/>
    <s v="May 20, 2024"/>
    <s v="DFHPP2315Q"/>
    <s v="102021330261"/>
    <x v="25"/>
    <s v="PAINTER"/>
    <x v="2"/>
    <s v="SS"/>
    <s v="PF"/>
    <s v="NA"/>
    <s v=""/>
    <s v=""/>
    <s v="464124497454"/>
    <s v="50100317492692"/>
    <s v="HDFC BANK"/>
    <s v="HDFC0000007"/>
    <n v="30"/>
    <n v="0"/>
    <n v="0"/>
    <n v="30"/>
    <n v="30"/>
    <n v="28500"/>
    <n v="28500"/>
    <n v="12825"/>
    <n v="5130"/>
    <n v="1600"/>
    <n v="200"/>
    <n v="1250"/>
    <n v="0"/>
    <n v="0"/>
    <n v="0"/>
    <n v="0"/>
    <n v="0"/>
    <n v="0"/>
    <n v="0"/>
    <n v="1539"/>
    <n v="5956"/>
    <n v="0"/>
    <n v="0"/>
    <n v="7679"/>
    <n v="36179"/>
    <n v="28500"/>
    <n v="0"/>
    <n v="0"/>
    <n v="0"/>
    <n v="200"/>
    <n v="1539"/>
    <n v="0"/>
    <n v="0"/>
    <n v="25"/>
    <n v="0"/>
    <n v="1764"/>
    <n v="34415"/>
    <m/>
    <m/>
  </r>
  <r>
    <d v="2025-06-01T00:00:00"/>
    <s v="Salary"/>
    <s v="S19014J001"/>
    <s v="MOONSTONE REALINFRA PRIVATE LIMITED"/>
    <n v="1771"/>
    <s v="PRASENJEET TATYARAM RANPISE"/>
    <s v="Male"/>
    <s v=""/>
    <s v="Jun 03, 2024"/>
    <s v="BEAPR4151J"/>
    <s v="101090722152"/>
    <x v="2"/>
    <s v="DEPUTY MANAGER"/>
    <x v="1"/>
    <s v="TM"/>
    <s v="PF"/>
    <s v="NA"/>
    <s v=""/>
    <s v=""/>
    <s v="327697944280"/>
    <s v="50100198966720"/>
    <s v="HDFC BANK"/>
    <s v="HDFC0001578"/>
    <n v="30"/>
    <n v="0"/>
    <n v="0"/>
    <n v="30"/>
    <n v="30"/>
    <n v="92504"/>
    <n v="92504"/>
    <n v="41627"/>
    <n v="16651"/>
    <n v="1600"/>
    <n v="200"/>
    <n v="1250"/>
    <n v="3468"/>
    <n v="8325"/>
    <n v="6244"/>
    <n v="416"/>
    <n v="1457"/>
    <n v="833"/>
    <n v="208"/>
    <n v="1800"/>
    <n v="8425"/>
    <n v="0"/>
    <n v="0"/>
    <n v="4455"/>
    <n v="96959"/>
    <n v="92504"/>
    <n v="0"/>
    <n v="0"/>
    <n v="0"/>
    <n v="200"/>
    <n v="1800"/>
    <n v="0"/>
    <n v="0"/>
    <n v="25"/>
    <n v="0"/>
    <n v="2025"/>
    <n v="94934"/>
    <m/>
    <m/>
  </r>
  <r>
    <d v="2025-06-01T00:00:00"/>
    <s v="Salary"/>
    <s v="S19014J001"/>
    <s v="MOONSTONE REALINFRA PRIVATE LIMITED"/>
    <n v="901"/>
    <s v="PRASHANT PANDITRAO AVHAD"/>
    <s v="Male"/>
    <s v=""/>
    <s v="Nov 11, 2021"/>
    <s v="AQYPA5398K"/>
    <s v="100285599207"/>
    <x v="23"/>
    <s v="ASSISTANT MANAGER - SALES"/>
    <x v="1"/>
    <s v="TM"/>
    <s v="PF"/>
    <s v="NA"/>
    <s v=""/>
    <s v=""/>
    <s v="533750994596"/>
    <s v="50100021738166"/>
    <s v="HDFC BANK"/>
    <s v="HDFC0000148"/>
    <n v="30"/>
    <n v="0"/>
    <n v="0"/>
    <n v="30"/>
    <n v="30"/>
    <n v="74042"/>
    <n v="74042"/>
    <n v="33319"/>
    <n v="13328"/>
    <n v="1600"/>
    <n v="200"/>
    <n v="1250"/>
    <n v="2775"/>
    <n v="6664"/>
    <n v="4998"/>
    <n v="333"/>
    <n v="1166"/>
    <n v="666"/>
    <n v="167"/>
    <n v="1800"/>
    <n v="5776"/>
    <n v="0"/>
    <n v="0"/>
    <n v="0"/>
    <n v="74042"/>
    <n v="74042"/>
    <n v="0"/>
    <n v="0"/>
    <n v="0"/>
    <n v="200"/>
    <n v="1800"/>
    <n v="0"/>
    <n v="0"/>
    <n v="25"/>
    <n v="0"/>
    <n v="2025"/>
    <n v="72017"/>
    <m/>
    <m/>
  </r>
  <r>
    <d v="2025-06-01T00:00:00"/>
    <s v="Salary"/>
    <s v="S19014J001"/>
    <s v="MOONSTONE REALINFRA PRIVATE LIMITED"/>
    <n v="1445"/>
    <s v="PRASHANT SUDAM GADRE"/>
    <s v="Male"/>
    <s v=""/>
    <s v="Jun 01, 2023"/>
    <s v="AUVPG5057A"/>
    <s v="101403170926"/>
    <x v="4"/>
    <s v="Site Supervisor"/>
    <x v="0"/>
    <s v="TM"/>
    <s v="PF"/>
    <s v="NA"/>
    <s v=""/>
    <s v=""/>
    <s v="879059513265"/>
    <s v="50100268119865"/>
    <s v="HDFC BANK"/>
    <s v="HDFC0002493"/>
    <n v="30"/>
    <n v="0"/>
    <n v="1"/>
    <n v="29"/>
    <n v="29"/>
    <n v="50225"/>
    <n v="40317"/>
    <n v="17538"/>
    <n v="7015"/>
    <n v="1547"/>
    <n v="193"/>
    <n v="1208"/>
    <n v="0"/>
    <n v="0"/>
    <n v="0"/>
    <n v="0"/>
    <n v="0"/>
    <n v="0"/>
    <n v="0"/>
    <n v="1800"/>
    <n v="9672"/>
    <n v="0"/>
    <n v="1000"/>
    <n v="0"/>
    <n v="39973"/>
    <n v="39973"/>
    <n v="0"/>
    <n v="0"/>
    <n v="0"/>
    <n v="200"/>
    <n v="1800"/>
    <n v="0"/>
    <n v="0"/>
    <n v="25"/>
    <n v="0"/>
    <n v="2025"/>
    <n v="37948"/>
    <m/>
    <m/>
  </r>
  <r>
    <d v="2025-06-01T00:00:00"/>
    <s v="Salary"/>
    <s v="S19014J001"/>
    <s v="MOONSTONE REALINFRA PRIVATE LIMITED"/>
    <n v="1932"/>
    <s v="PRATHMESH MAKARAND PATWARDHAN"/>
    <s v="Male"/>
    <s v=""/>
    <s v="Nov 21, 2024"/>
    <s v="DIPPP8235N"/>
    <s v="101650676266"/>
    <x v="26"/>
    <s v="ENGINEERING - COORDINATOR"/>
    <x v="0"/>
    <s v="TM"/>
    <s v="PF"/>
    <s v="NA"/>
    <s v=""/>
    <s v=""/>
    <s v="989836806639"/>
    <s v="50100773207162"/>
    <s v="HDFC BANK"/>
    <s v="HDFC0001210"/>
    <n v="30"/>
    <n v="0"/>
    <n v="8"/>
    <n v="22"/>
    <n v="22"/>
    <n v="30700"/>
    <n v="30700"/>
    <n v="10131"/>
    <n v="4052"/>
    <n v="1173"/>
    <n v="147"/>
    <n v="917"/>
    <n v="0"/>
    <n v="0"/>
    <n v="0"/>
    <n v="0"/>
    <n v="0"/>
    <n v="0"/>
    <n v="0"/>
    <n v="1216"/>
    <n v="4877"/>
    <n v="0"/>
    <n v="0"/>
    <n v="979"/>
    <n v="23492"/>
    <n v="22513"/>
    <n v="0"/>
    <n v="0"/>
    <n v="0"/>
    <n v="200"/>
    <n v="1216"/>
    <n v="0"/>
    <n v="0"/>
    <n v="25"/>
    <n v="0"/>
    <n v="1441"/>
    <n v="22051"/>
    <m/>
    <m/>
  </r>
  <r>
    <d v="2025-06-01T00:00:00"/>
    <s v="Salary"/>
    <s v="S19014J001"/>
    <s v="MOONSTONE REALINFRA PRIVATE LIMITED"/>
    <n v="2014"/>
    <s v="RAHUL SANJAY SONAWANE"/>
    <s v="Male"/>
    <s v=""/>
    <s v="Feb 17, 2025"/>
    <s v="COZPS7657L"/>
    <s v="102171897905"/>
    <x v="27"/>
    <s v="EXECUTIVE - POSSESSION"/>
    <x v="4"/>
    <s v="TM"/>
    <s v="PF"/>
    <s v="NA"/>
    <s v=""/>
    <s v=""/>
    <s v="969590676456"/>
    <s v="50100731567322"/>
    <s v="HDFC BANK"/>
    <s v="HDFC0000007"/>
    <n v="30"/>
    <n v="0"/>
    <n v="0"/>
    <n v="30"/>
    <n v="30"/>
    <n v="32033"/>
    <n v="32033"/>
    <n v="14415"/>
    <n v="5766"/>
    <n v="1600"/>
    <n v="200"/>
    <n v="1250"/>
    <n v="0"/>
    <n v="0"/>
    <n v="0"/>
    <n v="0"/>
    <n v="0"/>
    <n v="0"/>
    <n v="0"/>
    <n v="1730"/>
    <n v="7072"/>
    <n v="0"/>
    <n v="0"/>
    <n v="4365"/>
    <n v="36398"/>
    <n v="32033"/>
    <n v="0"/>
    <n v="0"/>
    <n v="0"/>
    <n v="200"/>
    <n v="1730"/>
    <n v="0"/>
    <n v="0"/>
    <n v="25"/>
    <n v="0"/>
    <n v="1955"/>
    <n v="34443"/>
    <m/>
    <m/>
  </r>
  <r>
    <d v="2025-06-01T00:00:00"/>
    <s v="Salary"/>
    <s v="S19014J001"/>
    <s v="MOONSTONE REALINFRA PRIVATE LIMITED"/>
    <n v="1480"/>
    <s v="RAKESH DNYANOBA SONAWANE"/>
    <s v="Male"/>
    <s v=""/>
    <s v="Jul 19, 2023"/>
    <s v="DJBPS0548N"/>
    <s v="100318745002"/>
    <x v="9"/>
    <s v="SENIOR ENGINEER"/>
    <x v="0"/>
    <s v="TM"/>
    <s v="PF"/>
    <s v="NA"/>
    <s v=""/>
    <s v=""/>
    <s v="815335472494"/>
    <s v="50100098216176"/>
    <s v="HDFC BANK"/>
    <s v="HDFC0000359"/>
    <n v="30"/>
    <n v="0"/>
    <n v="0"/>
    <n v="30"/>
    <n v="30"/>
    <n v="72817"/>
    <n v="72817"/>
    <n v="32768"/>
    <n v="13107"/>
    <n v="1600"/>
    <n v="200"/>
    <n v="1250"/>
    <n v="2730"/>
    <n v="6554"/>
    <n v="4915"/>
    <n v="328"/>
    <n v="1147"/>
    <n v="655"/>
    <n v="164"/>
    <n v="1800"/>
    <n v="5599"/>
    <n v="0"/>
    <n v="1400"/>
    <n v="0"/>
    <n v="74217"/>
    <n v="74217"/>
    <n v="0"/>
    <n v="0"/>
    <n v="0"/>
    <n v="200"/>
    <n v="1800"/>
    <n v="0"/>
    <n v="0"/>
    <n v="25"/>
    <n v="0"/>
    <n v="2025"/>
    <n v="72192"/>
    <m/>
    <m/>
  </r>
  <r>
    <d v="2025-06-01T00:00:00"/>
    <s v="Salary"/>
    <s v="S19014J001"/>
    <s v="MOONSTONE REALINFRA PRIVATE LIMITED"/>
    <n v="405"/>
    <s v="RATIKANT RAMA CHANDRA ROUT"/>
    <s v="Male"/>
    <s v=""/>
    <s v="Dec 11, 2018"/>
    <s v="BKMPR1999E"/>
    <s v="101411918080"/>
    <x v="7"/>
    <s v="EXECUTIVE - POSSESSION"/>
    <x v="2"/>
    <s v="TM"/>
    <s v="PF"/>
    <s v="NA"/>
    <s v=""/>
    <s v=""/>
    <s v="516990099788"/>
    <s v="50100317879206"/>
    <s v="HDFC BANK"/>
    <s v="HDFC0000007"/>
    <n v="30"/>
    <n v="0"/>
    <n v="0"/>
    <n v="30"/>
    <n v="30"/>
    <n v="33167"/>
    <n v="33167"/>
    <n v="14925"/>
    <n v="5970"/>
    <n v="1600"/>
    <n v="200"/>
    <n v="1250"/>
    <n v="0"/>
    <n v="0"/>
    <n v="0"/>
    <n v="0"/>
    <n v="0"/>
    <n v="0"/>
    <n v="0"/>
    <n v="1791"/>
    <n v="7431"/>
    <n v="0"/>
    <n v="0"/>
    <n v="3241"/>
    <n v="36408"/>
    <n v="33167"/>
    <n v="0"/>
    <n v="0"/>
    <n v="0"/>
    <n v="200"/>
    <n v="1791"/>
    <n v="0"/>
    <n v="0"/>
    <n v="25"/>
    <n v="0"/>
    <n v="2016"/>
    <n v="34392"/>
    <m/>
    <m/>
  </r>
  <r>
    <d v="2025-06-01T00:00:00"/>
    <s v="Salary"/>
    <s v="S19014J001"/>
    <s v="MOONSTONE REALINFRA PRIVATE LIMITED"/>
    <n v="1916"/>
    <s v="RAVI BHARTI"/>
    <s v="Male"/>
    <s v=""/>
    <s v="Nov 11, 2024"/>
    <s v="BKLPB8249J"/>
    <s v="101569634502"/>
    <x v="2"/>
    <s v="DEPUTY MANAGER"/>
    <x v="1"/>
    <s v="TM"/>
    <s v="PF"/>
    <s v="NA"/>
    <s v=""/>
    <s v=""/>
    <s v="844495303708"/>
    <s v="50100585317756"/>
    <s v="HDFC BANK"/>
    <s v="HDFC0000627"/>
    <n v="30"/>
    <n v="0"/>
    <n v="0"/>
    <n v="30"/>
    <n v="30"/>
    <n v="94033"/>
    <n v="94033"/>
    <n v="42315"/>
    <n v="16926"/>
    <n v="1600"/>
    <n v="200"/>
    <n v="1250"/>
    <n v="3525"/>
    <n v="8463"/>
    <n v="6347"/>
    <n v="423"/>
    <n v="1481"/>
    <n v="846"/>
    <n v="212"/>
    <n v="1800"/>
    <n v="8645"/>
    <n v="0"/>
    <n v="0"/>
    <n v="0"/>
    <n v="94033"/>
    <n v="94033"/>
    <n v="0"/>
    <n v="0"/>
    <n v="0"/>
    <n v="200"/>
    <n v="1800"/>
    <n v="0"/>
    <n v="0"/>
    <n v="25"/>
    <n v="0"/>
    <n v="2025"/>
    <n v="92008"/>
    <m/>
    <m/>
  </r>
  <r>
    <d v="2025-06-01T00:00:00"/>
    <s v="Salary"/>
    <s v="S19014J001"/>
    <s v="MOONSTONE REALINFRA PRIVATE LIMITED"/>
    <n v="1093"/>
    <s v="RISHABH CHANDEL"/>
    <s v="Male"/>
    <s v=""/>
    <s v="May 16, 2022"/>
    <s v="BAOPC6525R"/>
    <s v="101633454393"/>
    <x v="24"/>
    <s v="DEPUTY MANAGER - SALES"/>
    <x v="1"/>
    <s v="TL"/>
    <s v="PF"/>
    <s v="NA"/>
    <s v=""/>
    <s v=""/>
    <s v="821066376289"/>
    <s v="50100312589050"/>
    <s v="HDFC BANK"/>
    <s v="HDFC0009453"/>
    <n v="30"/>
    <n v="0"/>
    <n v="0"/>
    <n v="30"/>
    <n v="30"/>
    <n v="96667"/>
    <n v="96667"/>
    <n v="43500"/>
    <n v="17400"/>
    <n v="1600"/>
    <n v="200"/>
    <n v="1250"/>
    <n v="3624"/>
    <n v="8700"/>
    <n v="6525"/>
    <n v="435"/>
    <n v="1523"/>
    <n v="870"/>
    <n v="218"/>
    <n v="1800"/>
    <n v="9022"/>
    <n v="0"/>
    <n v="0"/>
    <n v="10640"/>
    <n v="107307"/>
    <n v="96667"/>
    <n v="0"/>
    <n v="0"/>
    <n v="0"/>
    <n v="200"/>
    <n v="1800"/>
    <n v="0"/>
    <n v="0"/>
    <n v="25"/>
    <n v="0"/>
    <n v="2025"/>
    <n v="105282"/>
    <m/>
    <m/>
  </r>
  <r>
    <d v="2025-06-01T00:00:00"/>
    <s v="Salary"/>
    <s v="S19014J001"/>
    <s v="MOONSTONE REALINFRA PRIVATE LIMITED"/>
    <n v="2043"/>
    <s v="ROHIT KANHAIYALAL GYANCHANDANI"/>
    <s v="Male"/>
    <s v=""/>
    <s v="Mar 03, 2025"/>
    <s v="BFFPG1593D"/>
    <s v="101468514180"/>
    <x v="28"/>
    <s v="ASSISTANT MANAGER - ACCOUNTS"/>
    <x v="5"/>
    <s v="TM"/>
    <s v="PF"/>
    <s v="NA"/>
    <s v=""/>
    <s v=""/>
    <s v="710877491907"/>
    <s v="50100257695801"/>
    <s v="HDFC BANK"/>
    <s v="HDFC0001445"/>
    <n v="30"/>
    <n v="0"/>
    <n v="0"/>
    <n v="30"/>
    <n v="30"/>
    <n v="75000"/>
    <n v="75000"/>
    <n v="33750"/>
    <n v="13500"/>
    <n v="1600"/>
    <n v="200"/>
    <n v="1250"/>
    <n v="2811"/>
    <n v="6750"/>
    <n v="5063"/>
    <n v="338"/>
    <n v="1181"/>
    <n v="675"/>
    <n v="169"/>
    <n v="1800"/>
    <n v="5913"/>
    <n v="0"/>
    <n v="0"/>
    <n v="0"/>
    <n v="75000"/>
    <n v="75000"/>
    <n v="0"/>
    <n v="0"/>
    <n v="0"/>
    <n v="200"/>
    <n v="1800"/>
    <n v="0"/>
    <n v="0"/>
    <n v="25"/>
    <n v="0"/>
    <n v="2025"/>
    <n v="72975"/>
    <m/>
    <m/>
  </r>
  <r>
    <d v="2025-06-01T00:00:00"/>
    <s v="Salary"/>
    <s v="S19014J001"/>
    <s v="MOONSTONE REALINFRA PRIVATE LIMITED"/>
    <n v="413"/>
    <s v="SANDIP GHANSHAM FAND"/>
    <s v="Male"/>
    <s v=""/>
    <s v="Feb 05, 2019"/>
    <s v="ACBPF9894L"/>
    <s v="101432955213"/>
    <x v="29"/>
    <s v="SITE ENGINEER"/>
    <x v="0"/>
    <s v="TM"/>
    <s v="PF"/>
    <s v="NA"/>
    <s v=""/>
    <s v=""/>
    <s v="918983892865"/>
    <s v="50100317492765"/>
    <s v="HDFC BANK"/>
    <s v="HDFC0000007"/>
    <n v="30"/>
    <n v="0"/>
    <n v="0"/>
    <n v="30"/>
    <n v="30"/>
    <n v="52975"/>
    <n v="52975"/>
    <n v="23839"/>
    <n v="9536"/>
    <n v="1600"/>
    <n v="200"/>
    <n v="1250"/>
    <n v="1986"/>
    <n v="4768"/>
    <n v="3576"/>
    <n v="238"/>
    <n v="834"/>
    <n v="477"/>
    <n v="119"/>
    <n v="1800"/>
    <n v="2752"/>
    <n v="0"/>
    <n v="1000"/>
    <n v="0"/>
    <n v="53975"/>
    <n v="53975"/>
    <n v="0"/>
    <n v="0"/>
    <n v="0"/>
    <n v="200"/>
    <n v="1800"/>
    <n v="0"/>
    <n v="0"/>
    <n v="25"/>
    <n v="0"/>
    <n v="2025"/>
    <n v="51950"/>
    <m/>
    <m/>
  </r>
  <r>
    <d v="2025-06-01T00:00:00"/>
    <s v="Salary"/>
    <s v="S19014J001"/>
    <s v="MOONSTONE REALINFRA PRIVATE LIMITED"/>
    <n v="1389"/>
    <s v="SANDIP RAMESHRAO JAKKALWAD"/>
    <s v="Male"/>
    <s v=""/>
    <s v="Apr 24, 2023"/>
    <s v="AWLPJ2490A"/>
    <s v="101938922335"/>
    <x v="30"/>
    <s v="SENIOR  EXECUTIVE - ACCOUNTS"/>
    <x v="5"/>
    <s v="TM"/>
    <s v="PF"/>
    <s v="NA"/>
    <s v=""/>
    <s v=""/>
    <s v="790987241865"/>
    <s v="50100318162101"/>
    <s v="HDFC BANK"/>
    <s v="HDFC0000007"/>
    <n v="30"/>
    <n v="0"/>
    <n v="0"/>
    <n v="30"/>
    <n v="30"/>
    <n v="57473"/>
    <n v="57473"/>
    <n v="25863"/>
    <n v="10345"/>
    <n v="1600"/>
    <n v="200"/>
    <n v="1250"/>
    <n v="2154"/>
    <n v="5173"/>
    <n v="3879"/>
    <n v="259"/>
    <n v="905"/>
    <n v="517"/>
    <n v="129"/>
    <n v="1800"/>
    <n v="3399"/>
    <n v="0"/>
    <n v="1767"/>
    <n v="0"/>
    <n v="59240"/>
    <n v="59240"/>
    <n v="0"/>
    <n v="0"/>
    <n v="0"/>
    <n v="200"/>
    <n v="1800"/>
    <n v="0"/>
    <n v="0"/>
    <n v="25"/>
    <n v="0"/>
    <n v="2025"/>
    <n v="57215"/>
    <m/>
    <m/>
  </r>
  <r>
    <d v="2025-06-01T00:00:00"/>
    <s v="Salary"/>
    <s v="S19014J001"/>
    <s v="MOONSTONE REALINFRA PRIVATE LIMITED"/>
    <n v="1535"/>
    <s v="SANTOSH DAMU MANKAR"/>
    <s v="Male"/>
    <s v=""/>
    <s v="Sep 14, 2023"/>
    <s v="ARVPM8431B"/>
    <s v="101916942878"/>
    <x v="31"/>
    <s v="PROJECT MANAGER"/>
    <x v="0"/>
    <s v="TL"/>
    <s v="PF"/>
    <s v="NA"/>
    <s v=""/>
    <s v=""/>
    <s v="863607704890"/>
    <s v="04861720000752"/>
    <s v="HDFC BANK"/>
    <s v="HDFC0002454"/>
    <n v="30"/>
    <n v="0"/>
    <n v="1.5"/>
    <n v="28.5"/>
    <n v="28.5"/>
    <n v="95900"/>
    <n v="95900"/>
    <n v="40997"/>
    <n v="16399"/>
    <n v="1520"/>
    <n v="190"/>
    <n v="1188"/>
    <n v="3415"/>
    <n v="8199"/>
    <n v="6150"/>
    <n v="410"/>
    <n v="1435"/>
    <n v="820"/>
    <n v="205"/>
    <n v="1800"/>
    <n v="8377"/>
    <n v="0"/>
    <n v="200"/>
    <n v="0"/>
    <n v="91305"/>
    <n v="91305"/>
    <n v="0"/>
    <n v="0"/>
    <n v="0"/>
    <n v="200"/>
    <n v="1800"/>
    <n v="0"/>
    <n v="0"/>
    <n v="25"/>
    <n v="0"/>
    <n v="2025"/>
    <n v="89280"/>
    <m/>
    <m/>
  </r>
  <r>
    <d v="2025-06-01T00:00:00"/>
    <s v="Salary"/>
    <s v="S19014J001"/>
    <s v="MOONSTONE REALINFRA PRIVATE LIMITED"/>
    <n v="1409"/>
    <s v="SANTOSH KADAM"/>
    <s v="Male"/>
    <s v=""/>
    <s v="May 10, 2023"/>
    <s v="AZUPK6484F"/>
    <s v="100924255914"/>
    <x v="9"/>
    <s v="SENIOR ENGINEER"/>
    <x v="0"/>
    <s v="TM"/>
    <s v="PF"/>
    <s v="NA"/>
    <s v=""/>
    <s v=""/>
    <s v="333622114009"/>
    <s v="50100502294986"/>
    <s v="HDFC BANK"/>
    <s v="HDFC0001445"/>
    <n v="30"/>
    <n v="0"/>
    <n v="2"/>
    <n v="28"/>
    <n v="28"/>
    <n v="71417"/>
    <n v="71417"/>
    <n v="29995"/>
    <n v="11998"/>
    <n v="1493"/>
    <n v="187"/>
    <n v="1167"/>
    <n v="2499"/>
    <n v="5999"/>
    <n v="4499"/>
    <n v="300"/>
    <n v="1050"/>
    <n v="600"/>
    <n v="150"/>
    <n v="1800"/>
    <n v="4919"/>
    <n v="0"/>
    <n v="200"/>
    <n v="0"/>
    <n v="66856"/>
    <n v="66856"/>
    <n v="0"/>
    <n v="0"/>
    <n v="0"/>
    <n v="200"/>
    <n v="1800"/>
    <n v="0"/>
    <n v="0"/>
    <n v="25"/>
    <n v="0"/>
    <n v="2025"/>
    <n v="64831"/>
    <m/>
    <m/>
  </r>
  <r>
    <d v="2025-06-01T00:00:00"/>
    <s v="Salary"/>
    <s v="S19014J001"/>
    <s v="MOONSTONE REALINFRA PRIVATE LIMITED"/>
    <n v="1263"/>
    <s v="SHANKAR BASAPPA GAVI"/>
    <s v="Male"/>
    <s v=""/>
    <s v="Nov 25, 2022"/>
    <s v="BNUPG2416C"/>
    <s v="101450766269"/>
    <x v="32"/>
    <s v="SENIOR ENGINEER - BILLING"/>
    <x v="0"/>
    <s v="TM"/>
    <s v="PF"/>
    <s v="NA"/>
    <s v=""/>
    <s v=""/>
    <s v="325630092478"/>
    <s v="50100734599528"/>
    <s v="HDFC BANK"/>
    <s v="HDFC0001210"/>
    <n v="30"/>
    <n v="0"/>
    <n v="0"/>
    <n v="30"/>
    <n v="30"/>
    <n v="55900"/>
    <n v="55900"/>
    <n v="25155"/>
    <n v="10062"/>
    <n v="1600"/>
    <n v="200"/>
    <n v="1250"/>
    <n v="2095"/>
    <n v="5031"/>
    <n v="3773"/>
    <n v="252"/>
    <n v="880"/>
    <n v="503"/>
    <n v="126"/>
    <n v="1800"/>
    <n v="3173"/>
    <n v="0"/>
    <n v="0"/>
    <n v="171"/>
    <n v="56071"/>
    <n v="55900"/>
    <n v="0"/>
    <n v="0"/>
    <n v="0"/>
    <n v="200"/>
    <n v="1800"/>
    <n v="0"/>
    <n v="0"/>
    <n v="25"/>
    <n v="0"/>
    <n v="2025"/>
    <n v="54046"/>
    <m/>
    <m/>
  </r>
  <r>
    <d v="2025-06-01T00:00:00"/>
    <s v="Salary"/>
    <s v="S19014J001"/>
    <s v="MOONSTONE REALINFRA PRIVATE LIMITED"/>
    <n v="1758"/>
    <s v="SHASHIKANT RAJKUMAR BHASKAR"/>
    <s v="Male"/>
    <s v=""/>
    <s v="May 25, 2024"/>
    <s v="DUVPB0713F"/>
    <s v="101916942813"/>
    <x v="9"/>
    <s v="SENIOR ENGINEER"/>
    <x v="0"/>
    <s v="TM"/>
    <s v="PF"/>
    <s v="NA"/>
    <s v=""/>
    <s v=""/>
    <s v="630621029579"/>
    <s v="50100563889297"/>
    <s v="HDFC BANK"/>
    <s v="HDFC0009526"/>
    <n v="30"/>
    <n v="0"/>
    <n v="0"/>
    <n v="30"/>
    <n v="30"/>
    <n v="68220"/>
    <n v="68220"/>
    <n v="30699"/>
    <n v="12280"/>
    <n v="1600"/>
    <n v="200"/>
    <n v="1250"/>
    <n v="2557"/>
    <n v="6140"/>
    <n v="4605"/>
    <n v="307"/>
    <n v="1074"/>
    <n v="614"/>
    <n v="154"/>
    <n v="1800"/>
    <n v="4940"/>
    <n v="0"/>
    <n v="0"/>
    <n v="836"/>
    <n v="69056"/>
    <n v="68220"/>
    <n v="0"/>
    <n v="0"/>
    <n v="0"/>
    <n v="200"/>
    <n v="1800"/>
    <n v="0"/>
    <n v="0"/>
    <n v="25"/>
    <n v="0"/>
    <n v="2025"/>
    <n v="67031"/>
    <m/>
    <m/>
  </r>
  <r>
    <d v="2025-06-01T00:00:00"/>
    <s v="Salary"/>
    <s v="S19014J001"/>
    <s v="MOONSTONE REALINFRA PRIVATE LIMITED"/>
    <n v="1624"/>
    <s v="SHRINATH SITARAM KHANDALE"/>
    <s v="Male"/>
    <s v=""/>
    <s v="Jan 23, 2024"/>
    <s v="BIZPK8142F"/>
    <s v="101215605497"/>
    <x v="22"/>
    <s v="SUPERVISOR"/>
    <x v="0"/>
    <s v="TM"/>
    <s v="PF"/>
    <s v="NA"/>
    <s v=""/>
    <s v=""/>
    <s v="740935311886"/>
    <s v="50100647442391"/>
    <s v="HDFC BANK"/>
    <s v="HDFC0008300"/>
    <n v="30"/>
    <n v="0"/>
    <n v="0"/>
    <n v="30"/>
    <n v="30"/>
    <n v="42042"/>
    <n v="42042"/>
    <n v="18919"/>
    <n v="7568"/>
    <n v="1600"/>
    <n v="200"/>
    <n v="1250"/>
    <n v="1576"/>
    <n v="3784"/>
    <n v="2838"/>
    <n v="189"/>
    <n v="662"/>
    <n v="378"/>
    <n v="95"/>
    <n v="1800"/>
    <n v="1183"/>
    <n v="0"/>
    <n v="1600"/>
    <n v="0"/>
    <n v="43642"/>
    <n v="43642"/>
    <n v="0"/>
    <n v="0"/>
    <n v="0"/>
    <n v="200"/>
    <n v="1800"/>
    <n v="0"/>
    <n v="0"/>
    <n v="25"/>
    <n v="0"/>
    <n v="2025"/>
    <n v="41617"/>
    <m/>
    <m/>
  </r>
  <r>
    <d v="2025-06-01T00:00:00"/>
    <s v="Salary"/>
    <s v="S19014J001"/>
    <s v="MOONSTONE REALINFRA PRIVATE LIMITED"/>
    <n v="1738"/>
    <s v="SHRIVATSA SHRIRANG DESHPANDE"/>
    <s v="Male"/>
    <s v=""/>
    <s v="May 02, 2024"/>
    <s v="CQKPD1013N"/>
    <s v="102074135450"/>
    <x v="33"/>
    <s v="JUNIOR ENGINEER"/>
    <x v="0"/>
    <s v="TM"/>
    <s v="PF"/>
    <s v="NA"/>
    <s v=""/>
    <s v=""/>
    <s v="775752480136"/>
    <s v="50100318176957"/>
    <s v="HDFC BANK"/>
    <s v="HDFC0000007"/>
    <n v="30"/>
    <n v="0"/>
    <n v="0"/>
    <n v="30"/>
    <n v="30"/>
    <n v="35983"/>
    <n v="35983"/>
    <n v="16192"/>
    <n v="6477"/>
    <n v="1600"/>
    <n v="200"/>
    <n v="1250"/>
    <n v="0"/>
    <n v="0"/>
    <n v="0"/>
    <n v="0"/>
    <n v="0"/>
    <n v="0"/>
    <n v="0"/>
    <n v="1800"/>
    <n v="8464"/>
    <n v="0"/>
    <n v="1200"/>
    <n v="0"/>
    <n v="37183"/>
    <n v="37183"/>
    <n v="0"/>
    <n v="0"/>
    <n v="0"/>
    <n v="200"/>
    <n v="1800"/>
    <n v="0"/>
    <n v="0"/>
    <n v="25"/>
    <n v="0"/>
    <n v="2025"/>
    <n v="35158"/>
    <m/>
    <m/>
  </r>
  <r>
    <d v="2025-06-01T00:00:00"/>
    <s v="Salary"/>
    <s v="S19014J001"/>
    <s v="MOONSTONE REALINFRA PRIVATE LIMITED"/>
    <n v="1510"/>
    <s v="SIDDHARTH VIJAY PANDIT"/>
    <s v="Male"/>
    <s v=""/>
    <s v="Aug 24, 2023"/>
    <s v="EQTPP2620G"/>
    <s v="101281441913"/>
    <x v="34"/>
    <s v="SENIOR EXECUTIVE - SALES"/>
    <x v="1"/>
    <s v="TM"/>
    <s v="PF"/>
    <s v="NA"/>
    <s v=""/>
    <s v=""/>
    <s v="417386289363"/>
    <s v="50100317491982"/>
    <s v="HDFC BANK"/>
    <s v="HDFC0000007"/>
    <n v="30"/>
    <n v="0"/>
    <n v="0"/>
    <n v="30"/>
    <n v="30"/>
    <n v="49307"/>
    <n v="49307"/>
    <n v="22188"/>
    <n v="8875"/>
    <n v="1600"/>
    <n v="200"/>
    <n v="1250"/>
    <n v="1848"/>
    <n v="4438"/>
    <n v="3328"/>
    <n v="222"/>
    <n v="777"/>
    <n v="444"/>
    <n v="111"/>
    <n v="1800"/>
    <n v="2226"/>
    <n v="0"/>
    <n v="0"/>
    <n v="979"/>
    <n v="50286"/>
    <n v="49307"/>
    <n v="0"/>
    <n v="0"/>
    <n v="0"/>
    <n v="200"/>
    <n v="1800"/>
    <n v="0"/>
    <n v="0"/>
    <n v="25"/>
    <n v="0"/>
    <n v="2025"/>
    <n v="48261"/>
    <m/>
    <m/>
  </r>
  <r>
    <d v="2025-06-01T00:00:00"/>
    <s v="Salary"/>
    <s v="S19014J001"/>
    <s v="MOONSTONE REALINFRA PRIVATE LIMITED"/>
    <n v="1589"/>
    <s v="TAUKEEL RASHID JAMADAR"/>
    <s v="Male"/>
    <s v=""/>
    <s v="Jan 02, 2024"/>
    <s v="CGPPJ6786D"/>
    <s v="102034245800"/>
    <x v="33"/>
    <s v="JUNIOR ENGINEER"/>
    <x v="0"/>
    <s v="TM"/>
    <s v="PF"/>
    <s v="NA"/>
    <s v=""/>
    <s v=""/>
    <s v="477762356796"/>
    <s v="50100624533482"/>
    <s v="HDFC BANK"/>
    <s v="HDFC0000007"/>
    <n v="30"/>
    <n v="0"/>
    <n v="0.5"/>
    <n v="29.5"/>
    <n v="29.5"/>
    <n v="34250"/>
    <n v="34250"/>
    <n v="15156"/>
    <n v="6062"/>
    <n v="1573"/>
    <n v="197"/>
    <n v="1229"/>
    <n v="0"/>
    <n v="0"/>
    <n v="0"/>
    <n v="0"/>
    <n v="0"/>
    <n v="0"/>
    <n v="0"/>
    <n v="1800"/>
    <n v="7662"/>
    <n v="0"/>
    <n v="1400"/>
    <n v="0"/>
    <n v="35079"/>
    <n v="35079"/>
    <n v="0"/>
    <n v="0"/>
    <n v="0"/>
    <n v="200"/>
    <n v="1800"/>
    <n v="0"/>
    <n v="0"/>
    <n v="25"/>
    <n v="0"/>
    <n v="2025"/>
    <n v="33054"/>
    <m/>
    <m/>
  </r>
  <r>
    <d v="2025-06-01T00:00:00"/>
    <s v="Salary"/>
    <s v="S19014J001"/>
    <s v="MOONSTONE REALINFRA PRIVATE LIMITED"/>
    <n v="2069"/>
    <s v="TIPPUSULATAN ABDUL NADAF"/>
    <s v="Male"/>
    <s v=""/>
    <s v="Mar 25, 2025"/>
    <s v="ATNPN5727D"/>
    <s v="102119999896"/>
    <x v="1"/>
    <s v="ASSISTANT PROJECT MANAGER"/>
    <x v="0"/>
    <s v="TM"/>
    <s v="PF"/>
    <s v="NA"/>
    <s v=""/>
    <s v=""/>
    <s v="308508124099"/>
    <s v="50100090742768"/>
    <s v="HDFC BANK"/>
    <s v="HDFC0005554"/>
    <n v="30"/>
    <n v="0"/>
    <n v="2"/>
    <n v="28"/>
    <n v="28"/>
    <n v="70000"/>
    <n v="70000"/>
    <n v="29400"/>
    <n v="11760"/>
    <n v="1493"/>
    <n v="187"/>
    <n v="1167"/>
    <n v="2449"/>
    <n v="5880"/>
    <n v="4410"/>
    <n v="294"/>
    <n v="1029"/>
    <n v="588"/>
    <n v="147"/>
    <n v="1800"/>
    <n v="4729"/>
    <n v="0"/>
    <n v="1000"/>
    <n v="0"/>
    <n v="66333"/>
    <n v="66333"/>
    <n v="0"/>
    <n v="0"/>
    <n v="0"/>
    <n v="200"/>
    <n v="1800"/>
    <n v="0"/>
    <n v="0"/>
    <n v="25"/>
    <n v="0"/>
    <n v="2025"/>
    <n v="64308"/>
    <m/>
    <m/>
  </r>
  <r>
    <d v="2025-06-01T00:00:00"/>
    <s v="Salary"/>
    <s v="S19014J001"/>
    <s v="MOONSTONE REALINFRA PRIVATE LIMITED"/>
    <n v="454"/>
    <s v="Tulsidas Rajeram Jadhav"/>
    <s v="Male"/>
    <s v=""/>
    <s v="Apr 17, 2019"/>
    <s v="AYBPJ9623R"/>
    <s v="101242964024"/>
    <x v="35"/>
    <s v="JUNIOR ENGINEER"/>
    <x v="0"/>
    <s v="TM"/>
    <s v="PF"/>
    <s v="NA"/>
    <s v=""/>
    <s v=""/>
    <s v="229139310763"/>
    <s v="50100459101052"/>
    <s v="HDFC BANK"/>
    <s v="HDFC0002844"/>
    <n v="30"/>
    <n v="0"/>
    <n v="0"/>
    <n v="30"/>
    <n v="30"/>
    <n v="27925"/>
    <n v="27925"/>
    <n v="12566"/>
    <n v="5026"/>
    <n v="1600"/>
    <n v="200"/>
    <n v="1250"/>
    <n v="0"/>
    <n v="0"/>
    <n v="0"/>
    <n v="0"/>
    <n v="0"/>
    <n v="0"/>
    <n v="0"/>
    <n v="1508"/>
    <n v="5775"/>
    <n v="0"/>
    <n v="0"/>
    <n v="5994"/>
    <n v="33919"/>
    <n v="27925"/>
    <n v="0"/>
    <n v="0"/>
    <n v="0"/>
    <n v="200"/>
    <n v="1508"/>
    <n v="0"/>
    <n v="0"/>
    <n v="25"/>
    <n v="0"/>
    <n v="1733"/>
    <n v="32186"/>
    <m/>
    <m/>
  </r>
  <r>
    <d v="2025-06-01T00:00:00"/>
    <s v="Salary"/>
    <s v="S19014J001"/>
    <s v="MOONSTONE REALINFRA PRIVATE LIMITED"/>
    <n v="1515"/>
    <s v="UJJWAL PANCHANAN SARKAR"/>
    <s v="Male"/>
    <s v=""/>
    <s v="Sep 01, 2023"/>
    <s v="BNXPS5649Q"/>
    <s v="100536583293"/>
    <x v="36"/>
    <s v="GENERAL MANAGER"/>
    <x v="1"/>
    <s v="TL"/>
    <s v="PF"/>
    <s v="NA"/>
    <s v=""/>
    <s v=""/>
    <s v="893388738382"/>
    <s v="99991683288448"/>
    <s v="HDFC BANK"/>
    <s v="HDFC0000223"/>
    <n v="30"/>
    <n v="0"/>
    <n v="0.5"/>
    <n v="29.5"/>
    <n v="29.5"/>
    <n v="184245"/>
    <n v="184245"/>
    <n v="81528"/>
    <n v="32611"/>
    <n v="1573"/>
    <n v="197"/>
    <n v="1229"/>
    <n v="6791"/>
    <n v="16306"/>
    <n v="12229"/>
    <n v="815"/>
    <n v="2853"/>
    <n v="1631"/>
    <n v="408"/>
    <n v="1800"/>
    <n v="21203"/>
    <n v="0"/>
    <n v="0"/>
    <n v="0"/>
    <n v="181174"/>
    <n v="181174"/>
    <n v="0"/>
    <n v="0"/>
    <n v="26190"/>
    <n v="200"/>
    <n v="1800"/>
    <n v="0"/>
    <n v="0"/>
    <n v="25"/>
    <n v="0"/>
    <n v="28215"/>
    <n v="152959"/>
    <m/>
    <m/>
  </r>
  <r>
    <d v="2025-06-01T00:00:00"/>
    <s v="Salary"/>
    <s v="S19014J001"/>
    <s v="MOONSTONE REALINFRA PRIVATE LIMITED"/>
    <n v="2015"/>
    <s v="VAIJNATH KIRAN DHURVE"/>
    <s v="Male"/>
    <s v=""/>
    <s v="Feb 17, 2025"/>
    <s v="FFEPD0662H"/>
    <s v="102171851953"/>
    <x v="6"/>
    <s v="MANAGEMENT TRAINEE"/>
    <x v="1"/>
    <s v="TM"/>
    <s v="PF"/>
    <s v="NA"/>
    <s v=""/>
    <s v=""/>
    <s v="264600892806"/>
    <s v="50100731565520"/>
    <s v="HDFC BANK"/>
    <s v="HDFC0000007"/>
    <n v="30"/>
    <n v="0"/>
    <n v="3"/>
    <n v="27"/>
    <n v="27"/>
    <n v="56533"/>
    <n v="56533"/>
    <n v="22896"/>
    <n v="9158"/>
    <n v="1440"/>
    <n v="180"/>
    <n v="1125"/>
    <n v="1907"/>
    <n v="4579"/>
    <n v="3434"/>
    <n v="229"/>
    <n v="801"/>
    <n v="458"/>
    <n v="114"/>
    <n v="1800"/>
    <n v="2759"/>
    <n v="0"/>
    <n v="0"/>
    <n v="2533"/>
    <n v="53413"/>
    <n v="50880"/>
    <n v="0"/>
    <n v="0"/>
    <n v="0"/>
    <n v="200"/>
    <n v="1800"/>
    <n v="0"/>
    <n v="0"/>
    <n v="25"/>
    <n v="0"/>
    <n v="2025"/>
    <n v="51388"/>
    <m/>
    <m/>
  </r>
  <r>
    <d v="2025-06-01T00:00:00"/>
    <s v="Salary"/>
    <s v="S19014J001"/>
    <s v="MOONSTONE REALINFRA PRIVATE LIMITED"/>
    <n v="1166"/>
    <s v="VENKATESH AGASAR"/>
    <s v="Male"/>
    <s v=""/>
    <s v="Aug 01, 2022"/>
    <s v="BVSPA7273D"/>
    <s v="101852002045"/>
    <x v="37"/>
    <s v="BILLING - EXECUTIVE"/>
    <x v="0"/>
    <s v="TM"/>
    <s v="PF"/>
    <s v="NA"/>
    <s v=""/>
    <s v=""/>
    <s v="225161825284"/>
    <s v="50100744366803"/>
    <s v="HDFC BANK"/>
    <s v="HDFC0001210"/>
    <n v="30"/>
    <n v="0"/>
    <n v="1.5"/>
    <n v="28.5"/>
    <n v="28.5"/>
    <n v="59983"/>
    <n v="59983"/>
    <n v="25643"/>
    <n v="10257"/>
    <n v="1520"/>
    <n v="190"/>
    <n v="1188"/>
    <n v="2136"/>
    <n v="5129"/>
    <n v="3846"/>
    <n v="256"/>
    <n v="898"/>
    <n v="513"/>
    <n v="128"/>
    <n v="1800"/>
    <n v="3480"/>
    <n v="0"/>
    <n v="400"/>
    <n v="1211"/>
    <n v="58595"/>
    <n v="57384"/>
    <n v="0"/>
    <n v="2327"/>
    <n v="0"/>
    <n v="200"/>
    <n v="1800"/>
    <n v="0"/>
    <n v="0"/>
    <n v="25"/>
    <n v="0"/>
    <n v="4352"/>
    <n v="54243"/>
    <m/>
    <m/>
  </r>
  <r>
    <d v="2025-06-01T00:00:00"/>
    <s v="Salary"/>
    <s v="S19014J001"/>
    <s v="MOONSTONE REALINFRA PRIVATE LIMITED"/>
    <n v="247"/>
    <s v="VICKY SONAWANE"/>
    <s v="Male"/>
    <s v=""/>
    <s v="Nov 02, 2017"/>
    <s v="DUIPS5584N"/>
    <s v="101343066494"/>
    <x v="13"/>
    <s v="ADMIN - EXECUTIVE"/>
    <x v="0"/>
    <s v="TM"/>
    <s v="PF"/>
    <s v="NA"/>
    <s v=""/>
    <s v=""/>
    <s v="556127037647"/>
    <s v="50100225745629"/>
    <s v="HDFC BANK"/>
    <s v="HDFC0000633"/>
    <n v="30"/>
    <n v="0"/>
    <n v="0"/>
    <n v="30"/>
    <n v="30"/>
    <n v="34308"/>
    <n v="34308"/>
    <n v="15439"/>
    <n v="6176"/>
    <n v="1600"/>
    <n v="200"/>
    <n v="1250"/>
    <n v="0"/>
    <n v="0"/>
    <n v="0"/>
    <n v="0"/>
    <n v="0"/>
    <n v="0"/>
    <n v="0"/>
    <n v="1800"/>
    <n v="7843"/>
    <n v="0"/>
    <n v="200"/>
    <n v="4698"/>
    <n v="39206"/>
    <n v="34508"/>
    <n v="0"/>
    <n v="0"/>
    <n v="0"/>
    <n v="200"/>
    <n v="1800"/>
    <n v="0"/>
    <n v="0"/>
    <n v="25"/>
    <n v="0"/>
    <n v="2025"/>
    <n v="37181"/>
    <m/>
    <m/>
  </r>
  <r>
    <d v="2025-06-01T00:00:00"/>
    <s v="Salary"/>
    <s v="S19014J001"/>
    <s v="MOONSTONE REALINFRA PRIVATE LIMITED"/>
    <n v="1237"/>
    <s v="VISHAL BHAGWAN BHALERAO"/>
    <s v="Male"/>
    <s v=""/>
    <s v="Nov 04, 2022"/>
    <s v="ASCPB5291L"/>
    <s v="101511554357"/>
    <x v="4"/>
    <s v="Site Supervisor"/>
    <x v="0"/>
    <s v="TM"/>
    <s v="PF"/>
    <s v="NA"/>
    <s v=""/>
    <s v=""/>
    <s v="959686301184"/>
    <s v="50100317490351"/>
    <s v="HDFC BANK"/>
    <s v="HDFC0000007"/>
    <n v="30"/>
    <n v="0"/>
    <n v="3"/>
    <n v="27"/>
    <n v="27"/>
    <n v="30000"/>
    <n v="30000"/>
    <n v="12150"/>
    <n v="4860"/>
    <n v="1440"/>
    <n v="180"/>
    <n v="1125"/>
    <n v="0"/>
    <n v="0"/>
    <n v="0"/>
    <n v="0"/>
    <n v="0"/>
    <n v="0"/>
    <n v="0"/>
    <n v="1458"/>
    <n v="5787"/>
    <n v="0"/>
    <n v="200"/>
    <n v="0"/>
    <n v="27200"/>
    <n v="27200"/>
    <n v="0"/>
    <n v="0"/>
    <n v="0"/>
    <n v="200"/>
    <n v="1458"/>
    <n v="0"/>
    <n v="0"/>
    <n v="25"/>
    <n v="0"/>
    <n v="1683"/>
    <n v="25517"/>
    <m/>
    <m/>
  </r>
  <r>
    <d v="2025-06-01T00:00:00"/>
    <s v="Salary"/>
    <s v="S19014J001"/>
    <s v="MOONSTONE REALINFRA PRIVATE LIMITED"/>
    <n v="1941"/>
    <s v="VISHAL BHAUSAHEB KHAMGAL"/>
    <s v="Male"/>
    <s v=""/>
    <s v="Dec 02, 2024"/>
    <s v="JMIPK9231A"/>
    <s v="101949409807"/>
    <x v="33"/>
    <s v="JUNIOR ENGINEER"/>
    <x v="0"/>
    <s v="TM"/>
    <s v="PF"/>
    <s v="NA"/>
    <s v=""/>
    <s v=""/>
    <s v="664943149815"/>
    <s v="50100390573599"/>
    <s v="HDFC BANK"/>
    <s v="HDFC0000794"/>
    <n v="30"/>
    <n v="0"/>
    <n v="0"/>
    <n v="30"/>
    <n v="30"/>
    <n v="34033"/>
    <n v="34033"/>
    <n v="15315"/>
    <n v="6126"/>
    <n v="1600"/>
    <n v="200"/>
    <n v="1250"/>
    <n v="0"/>
    <n v="0"/>
    <n v="0"/>
    <n v="0"/>
    <n v="0"/>
    <n v="0"/>
    <n v="0"/>
    <n v="1800"/>
    <n v="7742"/>
    <n v="0"/>
    <n v="0"/>
    <n v="440"/>
    <n v="34473"/>
    <n v="34033"/>
    <n v="0"/>
    <n v="0"/>
    <n v="0"/>
    <n v="200"/>
    <n v="1800"/>
    <n v="0"/>
    <n v="0"/>
    <n v="25"/>
    <n v="0"/>
    <n v="2025"/>
    <n v="32448"/>
    <m/>
    <m/>
  </r>
  <r>
    <d v="2025-06-01T00:00:00"/>
    <s v="Salary"/>
    <s v="S19014J001"/>
    <s v="MOONSTONE REALINFRA PRIVATE LIMITED"/>
    <n v="1950"/>
    <s v="VISHAL DILIP GAIKWAD"/>
    <s v="Male"/>
    <s v=""/>
    <s v="Dec 12, 2024"/>
    <s v="AQIPG9250G"/>
    <s v="101589191488"/>
    <x v="4"/>
    <s v="SITE SUPERVISOR"/>
    <x v="0"/>
    <s v="SS"/>
    <s v="PF"/>
    <s v="NA"/>
    <s v=""/>
    <s v=""/>
    <s v="501229058284"/>
    <s v="0607104000125031"/>
    <s v="IDBI BANK"/>
    <s v="IBKL0000607"/>
    <n v="30"/>
    <n v="0"/>
    <n v="0"/>
    <n v="30"/>
    <n v="30"/>
    <n v="35283"/>
    <n v="35283"/>
    <n v="15877"/>
    <n v="6351"/>
    <n v="1600"/>
    <n v="200"/>
    <n v="1250"/>
    <n v="0"/>
    <n v="0"/>
    <n v="0"/>
    <n v="0"/>
    <n v="0"/>
    <n v="0"/>
    <n v="0"/>
    <n v="1800"/>
    <n v="8205"/>
    <n v="0"/>
    <n v="0"/>
    <n v="0"/>
    <n v="35283"/>
    <n v="35283"/>
    <n v="0"/>
    <n v="0"/>
    <n v="0"/>
    <n v="200"/>
    <n v="1800"/>
    <n v="0"/>
    <n v="0"/>
    <n v="25"/>
    <n v="0"/>
    <n v="2025"/>
    <n v="33258"/>
    <m/>
    <m/>
  </r>
  <r>
    <d v="2025-06-01T00:00:00"/>
    <s v="Salary"/>
    <s v="S19014J001"/>
    <s v="MOONSTONE REALINFRA PRIVATE LIMITED"/>
    <n v="1370"/>
    <s v="VISHAL SHANTARAM KORADE"/>
    <s v="Male"/>
    <s v=""/>
    <s v="Apr 10, 2023"/>
    <s v="BLYPK5831K"/>
    <s v="101150007330"/>
    <x v="21"/>
    <s v="ADMIN-ASSISSTANT"/>
    <x v="2"/>
    <s v="TM"/>
    <s v="PF"/>
    <s v="NA"/>
    <s v=""/>
    <s v=""/>
    <s v="491390366032"/>
    <s v="50100624533367"/>
    <s v="HDFC BANK"/>
    <s v="HDFC0000007"/>
    <n v="30"/>
    <n v="0"/>
    <n v="0"/>
    <n v="30"/>
    <n v="30"/>
    <n v="33000"/>
    <n v="33000"/>
    <n v="14850"/>
    <n v="5940"/>
    <n v="1600"/>
    <n v="200"/>
    <n v="1250"/>
    <n v="0"/>
    <n v="0"/>
    <n v="0"/>
    <n v="0"/>
    <n v="0"/>
    <n v="0"/>
    <n v="0"/>
    <n v="1782"/>
    <n v="7378"/>
    <n v="0"/>
    <n v="0"/>
    <n v="0"/>
    <n v="33000"/>
    <n v="33000"/>
    <n v="0"/>
    <n v="0"/>
    <n v="0"/>
    <n v="200"/>
    <n v="1782"/>
    <n v="0"/>
    <n v="0"/>
    <n v="25"/>
    <n v="0"/>
    <n v="2007"/>
    <n v="30993"/>
    <m/>
    <m/>
  </r>
  <r>
    <d v="2025-06-01T00:00:00"/>
    <s v="Salary"/>
    <s v="S19014J001"/>
    <s v="MOONSTONE REALINFRA PRIVATE LIMITED"/>
    <n v="2049"/>
    <s v="VIVEK VILAS BHOSALE"/>
    <s v="Male"/>
    <s v=""/>
    <s v="Mar 13, 2025"/>
    <s v="EXDPB6825C"/>
    <s v="102055428527"/>
    <x v="6"/>
    <s v="MANAGEMENT TRAINEE"/>
    <x v="0"/>
    <s v="TM"/>
    <s v="PF"/>
    <s v="NA"/>
    <s v=""/>
    <s v=""/>
    <s v="826110651139"/>
    <s v="50100808789342"/>
    <s v="HDFC BANK"/>
    <s v="HDFC0001210"/>
    <n v="30"/>
    <n v="0"/>
    <n v="0"/>
    <n v="30"/>
    <n v="30"/>
    <n v="27367"/>
    <n v="27367"/>
    <n v="12315"/>
    <n v="4926"/>
    <n v="1600"/>
    <n v="200"/>
    <n v="1250"/>
    <n v="0"/>
    <n v="0"/>
    <n v="0"/>
    <n v="0"/>
    <n v="0"/>
    <n v="0"/>
    <n v="0"/>
    <n v="1478"/>
    <n v="5598"/>
    <n v="0"/>
    <n v="0"/>
    <n v="1331"/>
    <n v="28698"/>
    <n v="27367"/>
    <n v="0"/>
    <n v="0"/>
    <n v="0"/>
    <n v="200"/>
    <n v="1478"/>
    <n v="0"/>
    <n v="0"/>
    <n v="25"/>
    <n v="0"/>
    <n v="1703"/>
    <n v="26995"/>
    <m/>
    <m/>
  </r>
  <r>
    <d v="2025-06-01T00:00:00"/>
    <s v="Salary"/>
    <s v="S19014J001"/>
    <s v="MOONSTONE REALINFRA PRIVATE LIMITED"/>
    <n v="1121"/>
    <s v="YASH HARESH DAGHA"/>
    <s v="Male"/>
    <s v=""/>
    <s v="Jun 15, 2022"/>
    <s v="ASJPD7716K"/>
    <s v="101459690850"/>
    <x v="15"/>
    <s v="Senior Manager"/>
    <x v="1"/>
    <s v="TM"/>
    <s v="PF"/>
    <s v="NA"/>
    <s v=""/>
    <s v=""/>
    <s v="975613704897"/>
    <s v="50100489634680"/>
    <s v="HDFC BANK"/>
    <s v="HDFC0000163"/>
    <n v="30"/>
    <n v="0"/>
    <n v="0"/>
    <n v="30"/>
    <n v="30"/>
    <n v="206500"/>
    <n v="206500"/>
    <n v="92925"/>
    <n v="37170"/>
    <n v="1600"/>
    <n v="200"/>
    <n v="1250"/>
    <n v="7741"/>
    <n v="18585"/>
    <n v="13939"/>
    <n v="929"/>
    <n v="3252"/>
    <n v="1859"/>
    <n v="465"/>
    <n v="1800"/>
    <n v="24785"/>
    <n v="0"/>
    <n v="0"/>
    <n v="17450"/>
    <n v="223950"/>
    <n v="206500"/>
    <n v="0"/>
    <n v="0"/>
    <n v="36961"/>
    <n v="200"/>
    <n v="1800"/>
    <n v="0"/>
    <n v="0"/>
    <n v="25"/>
    <n v="0"/>
    <n v="38986"/>
    <n v="184964"/>
    <m/>
    <m/>
  </r>
  <r>
    <d v="2025-06-01T00:00:00"/>
    <s v="Salary"/>
    <s v="S19014J001"/>
    <s v="MOONSTONE REALINFRA PRIVATE LIMITED"/>
    <n v="1496"/>
    <s v="YOGESH KALIDAS PAWAR"/>
    <s v="Male"/>
    <s v=""/>
    <s v="Aug 01, 2023"/>
    <s v="ASXPP0952H"/>
    <s v="101235805115"/>
    <x v="9"/>
    <s v="SENIOR ENGINEER"/>
    <x v="0"/>
    <s v="TM"/>
    <s v="PF"/>
    <s v="NA"/>
    <s v=""/>
    <s v=""/>
    <s v="487287182825"/>
    <s v="50100505734101"/>
    <s v="HDFC BANK"/>
    <s v="HDFC0000039"/>
    <n v="30"/>
    <n v="0"/>
    <n v="0"/>
    <n v="30"/>
    <n v="30"/>
    <n v="55383"/>
    <n v="55383"/>
    <n v="24922"/>
    <n v="9969"/>
    <n v="1600"/>
    <n v="200"/>
    <n v="1250"/>
    <n v="2076"/>
    <n v="4984"/>
    <n v="3738"/>
    <n v="249"/>
    <n v="872"/>
    <n v="498"/>
    <n v="125"/>
    <n v="1800"/>
    <n v="3100"/>
    <n v="0"/>
    <n v="1000"/>
    <n v="0"/>
    <n v="56383"/>
    <n v="56383"/>
    <n v="0"/>
    <n v="0"/>
    <n v="0"/>
    <n v="200"/>
    <n v="1800"/>
    <n v="0"/>
    <n v="0"/>
    <n v="25"/>
    <n v="0"/>
    <n v="2025"/>
    <n v="54358"/>
    <m/>
    <m/>
  </r>
  <r>
    <d v="2025-08-01T00:00:00"/>
    <s v="Salary"/>
    <s v="S19014J001"/>
    <s v="MOONSTONE REALINFRA PRIVATE LIMITED"/>
    <n v="1488"/>
    <s v="AAKASH ARVIND SHELAR"/>
    <s v="Male"/>
    <s v=""/>
    <s v="Jul 28, 2023"/>
    <s v="CKIPS7322F"/>
    <s v="101208002832"/>
    <x v="0"/>
    <s v="FIELD ENGINEER"/>
    <x v="0"/>
    <s v="TM"/>
    <s v="PF"/>
    <s v="NA"/>
    <s v=""/>
    <s v=""/>
    <s v="201223935020"/>
    <s v="50100317873546"/>
    <s v="HDFC BANK"/>
    <s v="HDFC0000007"/>
    <n v="31"/>
    <n v="0"/>
    <n v="0"/>
    <n v="31"/>
    <n v="31"/>
    <n v="42989"/>
    <n v="42989"/>
    <n v="19345"/>
    <n v="7738"/>
    <n v="1600"/>
    <n v="200"/>
    <n v="1250"/>
    <n v="1611"/>
    <n v="3869"/>
    <n v="2902"/>
    <n v="193"/>
    <n v="677"/>
    <n v="387"/>
    <n v="97"/>
    <n v="1800"/>
    <n v="1320"/>
    <n v="0"/>
    <n v="200"/>
    <n v="0"/>
    <n v="43189"/>
    <n v="43189"/>
    <n v="0"/>
    <n v="0"/>
    <n v="0"/>
    <n v="200"/>
    <n v="1800"/>
    <n v="0"/>
    <n v="0"/>
    <n v="0"/>
    <n v="0"/>
    <n v="2000"/>
    <n v="41189"/>
    <m/>
    <m/>
  </r>
  <r>
    <d v="2025-08-01T00:00:00"/>
    <s v="Salary"/>
    <s v="S19014J001"/>
    <s v="MOONSTONE REALINFRA PRIVATE LIMITED"/>
    <n v="241"/>
    <s v="ABHIJIT SHEWALE"/>
    <s v="Male"/>
    <s v=""/>
    <s v="May 17, 2016"/>
    <s v="BDYPS3411D"/>
    <s v="101411999470"/>
    <x v="1"/>
    <s v="ASSITANT PROJECT MANAGER"/>
    <x v="0"/>
    <s v="TL"/>
    <s v="PF"/>
    <s v="NA"/>
    <s v=""/>
    <s v=""/>
    <s v="229249842338"/>
    <s v="50100745804232"/>
    <s v="HDFC BANK"/>
    <s v="HDFC0001791"/>
    <n v="31"/>
    <n v="0"/>
    <n v="0"/>
    <n v="31"/>
    <n v="31"/>
    <n v="66833"/>
    <n v="66833"/>
    <n v="30075"/>
    <n v="12030"/>
    <n v="1600"/>
    <n v="200"/>
    <n v="1250"/>
    <n v="2505"/>
    <n v="6015"/>
    <n v="4511"/>
    <n v="301"/>
    <n v="1053"/>
    <n v="602"/>
    <n v="150"/>
    <n v="1800"/>
    <n v="4741"/>
    <n v="0"/>
    <n v="0"/>
    <n v="0"/>
    <n v="66833"/>
    <n v="66833"/>
    <n v="0"/>
    <n v="0"/>
    <n v="0"/>
    <n v="200"/>
    <n v="1800"/>
    <n v="0"/>
    <n v="0"/>
    <n v="0"/>
    <n v="0"/>
    <n v="2000"/>
    <n v="64833"/>
    <m/>
    <m/>
  </r>
  <r>
    <d v="2025-08-01T00:00:00"/>
    <s v="Salary"/>
    <s v="S19014J001"/>
    <s v="MOONSTONE REALINFRA PRIVATE LIMITED"/>
    <n v="2163"/>
    <s v="AJAY ANIRUDDHA VAIDYA"/>
    <s v="Male"/>
    <s v=""/>
    <s v="Jul 08, 2025"/>
    <s v="AFVPV5692P"/>
    <s v="102185382695"/>
    <x v="38"/>
    <s v="GENERAL MANAGER"/>
    <x v="0"/>
    <s v="GL"/>
    <s v="PF"/>
    <s v="NA"/>
    <s v=""/>
    <s v=""/>
    <s v="806537391280"/>
    <s v="50100582779333"/>
    <s v="HDFC BANK"/>
    <s v="HDFC0001445"/>
    <n v="31"/>
    <n v="0"/>
    <n v="2"/>
    <n v="29"/>
    <n v="29"/>
    <n v="235700"/>
    <n v="235700"/>
    <n v="99222"/>
    <n v="39689"/>
    <n v="1497"/>
    <n v="187"/>
    <n v="1169"/>
    <n v="8265"/>
    <n v="19844"/>
    <n v="14883"/>
    <n v="992"/>
    <n v="3473"/>
    <n v="1984"/>
    <n v="496"/>
    <n v="1800"/>
    <n v="26993"/>
    <n v="0"/>
    <n v="0"/>
    <n v="990"/>
    <n v="221484"/>
    <n v="220494"/>
    <n v="0"/>
    <n v="0"/>
    <n v="22790"/>
    <n v="200"/>
    <n v="1800"/>
    <n v="0"/>
    <n v="0"/>
    <n v="0"/>
    <n v="0"/>
    <n v="24790"/>
    <n v="196694"/>
    <m/>
    <m/>
  </r>
  <r>
    <d v="2025-08-01T00:00:00"/>
    <s v="Salary"/>
    <s v="S19014J001"/>
    <s v="MOONSTONE REALINFRA PRIVATE LIMITED"/>
    <n v="2020"/>
    <s v="AJAY KUMAR GUPTA"/>
    <s v="Male"/>
    <s v=""/>
    <s v="Feb 24, 2025"/>
    <s v="ASQPG3376F"/>
    <s v="102171897914"/>
    <x v="2"/>
    <s v="DEPUTY MANAGER"/>
    <x v="1"/>
    <s v="TM"/>
    <s v="PF"/>
    <s v="NA"/>
    <s v=""/>
    <s v=""/>
    <s v="877766770711"/>
    <s v="50100732468640"/>
    <s v="HDFC BANK"/>
    <s v="HDFC0000007"/>
    <n v="31"/>
    <n v="0"/>
    <n v="5"/>
    <n v="26"/>
    <n v="26"/>
    <n v="68450"/>
    <n v="68450"/>
    <n v="25835"/>
    <n v="10334"/>
    <n v="1342"/>
    <n v="168"/>
    <n v="1048"/>
    <n v="2152"/>
    <n v="5167"/>
    <n v="3875"/>
    <n v="258"/>
    <n v="904"/>
    <n v="517"/>
    <n v="129"/>
    <n v="1800"/>
    <n v="3881"/>
    <n v="0"/>
    <n v="0"/>
    <n v="3630"/>
    <n v="61040"/>
    <n v="57410"/>
    <n v="0"/>
    <n v="0"/>
    <n v="0"/>
    <n v="200"/>
    <n v="1800"/>
    <n v="0"/>
    <n v="0"/>
    <n v="0"/>
    <n v="0"/>
    <n v="2000"/>
    <n v="59040"/>
    <m/>
    <m/>
  </r>
  <r>
    <d v="2025-08-01T00:00:00"/>
    <s v="Salary"/>
    <s v="S19014J001"/>
    <s v="MOONSTONE REALINFRA PRIVATE LIMITED"/>
    <n v="1770"/>
    <s v="AJIT KUMAR"/>
    <s v="Male"/>
    <s v=""/>
    <s v="Jun 03, 2024"/>
    <s v="BJLPK0917M"/>
    <s v="101437448909"/>
    <x v="2"/>
    <s v="DEPUTY MANAGER"/>
    <x v="1"/>
    <s v="TM"/>
    <s v="PF"/>
    <s v="NA"/>
    <s v=""/>
    <s v=""/>
    <s v="447833121308"/>
    <s v="50100390591634"/>
    <s v="HDFC BANK"/>
    <s v="HDFC0001794"/>
    <n v="31"/>
    <n v="0"/>
    <n v="0"/>
    <n v="31"/>
    <n v="31"/>
    <n v="109350"/>
    <n v="109350"/>
    <n v="49208"/>
    <n v="19683"/>
    <n v="1600"/>
    <n v="200"/>
    <n v="1250"/>
    <n v="4099"/>
    <n v="9842"/>
    <n v="7381"/>
    <n v="492"/>
    <n v="1722"/>
    <n v="984"/>
    <n v="246"/>
    <n v="1800"/>
    <n v="10843"/>
    <n v="0"/>
    <n v="0"/>
    <n v="0"/>
    <n v="109350"/>
    <n v="109350"/>
    <n v="0"/>
    <n v="0"/>
    <n v="7548"/>
    <n v="200"/>
    <n v="1800"/>
    <n v="0"/>
    <n v="0"/>
    <n v="0"/>
    <n v="0"/>
    <n v="9548"/>
    <n v="99802"/>
    <m/>
    <m/>
  </r>
  <r>
    <d v="2025-08-01T00:00:00"/>
    <s v="Salary"/>
    <s v="S19014J001"/>
    <s v="MOONSTONE REALINFRA PRIVATE LIMITED"/>
    <n v="2072"/>
    <s v="AMIT VILASRAO MALWADE"/>
    <s v="Male"/>
    <s v=""/>
    <s v="Apr 01, 2025"/>
    <s v="BYWPM1111R"/>
    <s v="100098825740"/>
    <x v="3"/>
    <s v="SENIOR MANAGER - MEP"/>
    <x v="0"/>
    <s v="TL"/>
    <s v="PF"/>
    <s v="NA"/>
    <s v=""/>
    <s v=""/>
    <s v="572207945645"/>
    <s v="50100288775748"/>
    <s v="HDFC BANK"/>
    <s v="HDFC0001578"/>
    <n v="31"/>
    <n v="0"/>
    <n v="2"/>
    <n v="29"/>
    <n v="29"/>
    <n v="123200"/>
    <n v="123200"/>
    <n v="51863"/>
    <n v="20745"/>
    <n v="1497"/>
    <n v="187"/>
    <n v="1169"/>
    <n v="4320"/>
    <n v="10373"/>
    <n v="7779"/>
    <n v="519"/>
    <n v="1815"/>
    <n v="1037"/>
    <n v="259"/>
    <n v="1800"/>
    <n v="11889"/>
    <n v="0"/>
    <n v="0"/>
    <n v="0"/>
    <n v="115252"/>
    <n v="115252"/>
    <n v="0"/>
    <n v="0"/>
    <n v="7088"/>
    <n v="200"/>
    <n v="1800"/>
    <n v="0"/>
    <n v="0"/>
    <n v="0"/>
    <n v="0"/>
    <n v="9088"/>
    <n v="106164"/>
    <m/>
    <m/>
  </r>
  <r>
    <d v="2025-08-01T00:00:00"/>
    <s v="Salary"/>
    <s v="S19014J001"/>
    <s v="MOONSTONE REALINFRA PRIVATE LIMITED"/>
    <n v="1440"/>
    <s v="AMOL BHANUDAS LOKHANDE"/>
    <s v="Male"/>
    <s v=""/>
    <s v="Jun 07, 2023"/>
    <s v="AFPPL3898F"/>
    <s v="101428013109"/>
    <x v="4"/>
    <s v="Site Supervisor"/>
    <x v="0"/>
    <s v="TM"/>
    <s v="PF"/>
    <s v="NA"/>
    <s v=""/>
    <s v=""/>
    <s v="311191516453"/>
    <s v="50100317873701"/>
    <s v="HDFC BANK"/>
    <s v="HDFC0000007"/>
    <n v="31"/>
    <n v="0"/>
    <n v="2.5"/>
    <n v="28.5"/>
    <n v="28.5"/>
    <n v="38617"/>
    <n v="38617"/>
    <n v="15976"/>
    <n v="6390"/>
    <n v="1471"/>
    <n v="184"/>
    <n v="1149"/>
    <n v="0"/>
    <n v="0"/>
    <n v="0"/>
    <n v="0"/>
    <n v="0"/>
    <n v="0"/>
    <n v="0"/>
    <n v="1800"/>
    <n v="8533"/>
    <n v="0"/>
    <n v="0"/>
    <n v="0"/>
    <n v="35503"/>
    <n v="35503"/>
    <n v="0"/>
    <n v="0"/>
    <n v="0"/>
    <n v="200"/>
    <n v="1800"/>
    <n v="0"/>
    <n v="0"/>
    <n v="0"/>
    <n v="0"/>
    <n v="2000"/>
    <n v="33503"/>
    <m/>
    <m/>
  </r>
  <r>
    <d v="2025-08-01T00:00:00"/>
    <s v="Salary"/>
    <s v="S19014J001"/>
    <s v="MOONSTONE REALINFRA PRIVATE LIMITED"/>
    <n v="1803"/>
    <s v="AMRISH SATLING BHAIKATTI"/>
    <s v="Male"/>
    <s v=""/>
    <s v="Jun 26, 2024"/>
    <s v="BJPPB0731A"/>
    <s v="100871268608"/>
    <x v="4"/>
    <s v="SITE SUPERVISOR"/>
    <x v="0"/>
    <s v="SS"/>
    <s v="PF"/>
    <s v="NA"/>
    <s v=""/>
    <s v=""/>
    <s v="599090920656"/>
    <s v="50100396121468"/>
    <s v="HDFC BANK"/>
    <s v="HDFC0000148"/>
    <n v="31"/>
    <n v="0"/>
    <n v="0"/>
    <n v="30"/>
    <n v="30"/>
    <n v="40000"/>
    <n v="40000"/>
    <n v="17420"/>
    <n v="6968"/>
    <n v="1548"/>
    <n v="200"/>
    <n v="1210"/>
    <n v="0"/>
    <n v="0"/>
    <n v="0"/>
    <n v="0"/>
    <n v="0"/>
    <n v="0"/>
    <n v="0"/>
    <n v="1800"/>
    <n v="9564"/>
    <n v="0"/>
    <n v="0"/>
    <n v="0"/>
    <n v="38710"/>
    <n v="38710"/>
    <n v="0"/>
    <n v="0"/>
    <n v="0"/>
    <n v="200"/>
    <n v="1800"/>
    <n v="0"/>
    <n v="0"/>
    <n v="0"/>
    <n v="0"/>
    <n v="2000"/>
    <n v="36710"/>
    <m/>
    <m/>
  </r>
  <r>
    <d v="2025-08-01T00:00:00"/>
    <s v="Salary"/>
    <s v="S19014J001"/>
    <s v="MOONSTONE REALINFRA PRIVATE LIMITED"/>
    <n v="1484"/>
    <s v="ANNU PRIYA SINGH"/>
    <s v="Female"/>
    <s v=""/>
    <s v="Jul 21, 2023"/>
    <s v="BMKPP0899K"/>
    <s v="101703468619"/>
    <x v="15"/>
    <s v="SENIOR MANAGER - SALES"/>
    <x v="1"/>
    <s v="TL"/>
    <s v="PF"/>
    <s v="NA"/>
    <s v=""/>
    <s v=""/>
    <s v="492782446574"/>
    <s v="99996206293744"/>
    <s v="HDFC BANK"/>
    <s v="HDFC0000007"/>
    <n v="31"/>
    <n v="0"/>
    <n v="0"/>
    <n v="31"/>
    <n v="31"/>
    <n v="111343"/>
    <n v="111343"/>
    <n v="50104"/>
    <n v="20042"/>
    <n v="1600"/>
    <n v="200"/>
    <n v="1250"/>
    <n v="4174"/>
    <n v="10021"/>
    <n v="7516"/>
    <n v="501"/>
    <n v="1754"/>
    <n v="1002"/>
    <n v="251"/>
    <n v="1800"/>
    <n v="11128"/>
    <n v="0"/>
    <n v="0"/>
    <n v="0"/>
    <n v="111343"/>
    <n v="111343"/>
    <n v="0"/>
    <n v="0"/>
    <n v="8833"/>
    <n v="200"/>
    <n v="1800"/>
    <n v="0"/>
    <n v="0"/>
    <n v="0"/>
    <n v="0"/>
    <n v="10833"/>
    <n v="100510"/>
    <m/>
    <m/>
  </r>
  <r>
    <d v="2025-08-01T00:00:00"/>
    <s v="Salary"/>
    <s v="S19014J001"/>
    <s v="MOONSTONE REALINFRA PRIVATE LIMITED"/>
    <n v="1599"/>
    <s v="BHAVESH SHANKAR WANI"/>
    <s v="Male"/>
    <s v=""/>
    <s v="Jan 09, 2024"/>
    <s v="AGNPW7537K"/>
    <s v="102034237231"/>
    <x v="6"/>
    <s v="MANAGEMENT TRAINEE"/>
    <x v="1"/>
    <s v="TM"/>
    <s v="PF"/>
    <s v="NA"/>
    <s v=""/>
    <s v=""/>
    <s v="467176812861"/>
    <s v="50100394142702"/>
    <s v="HDFC BANK"/>
    <s v="HDFC0001785"/>
    <n v="31"/>
    <n v="0"/>
    <n v="1"/>
    <n v="30"/>
    <n v="30"/>
    <n v="51640"/>
    <n v="51640"/>
    <n v="22488"/>
    <n v="8995"/>
    <n v="1548"/>
    <n v="194"/>
    <n v="1210"/>
    <n v="1873"/>
    <n v="4498"/>
    <n v="3373"/>
    <n v="225"/>
    <n v="787"/>
    <n v="450"/>
    <n v="112"/>
    <n v="1800"/>
    <n v="2421"/>
    <n v="0"/>
    <n v="0"/>
    <n v="3803"/>
    <n v="53777"/>
    <n v="49974"/>
    <n v="0"/>
    <n v="0"/>
    <n v="0"/>
    <n v="200"/>
    <n v="1800"/>
    <n v="0"/>
    <n v="0"/>
    <n v="0"/>
    <n v="0"/>
    <n v="2000"/>
    <n v="51777"/>
    <m/>
    <m/>
  </r>
  <r>
    <d v="2025-08-01T00:00:00"/>
    <s v="Salary"/>
    <s v="S19014J001"/>
    <s v="MOONSTONE REALINFRA PRIVATE LIMITED"/>
    <n v="1180"/>
    <s v="BHUJBAL SAGAR DNYANESHWAR"/>
    <s v="Male"/>
    <s v=""/>
    <s v="Sep 12, 2022"/>
    <s v="DQJPB2913K"/>
    <s v="101457017133"/>
    <x v="7"/>
    <s v="EXECUTIVE - POSSESSION"/>
    <x v="2"/>
    <s v="TM"/>
    <s v="PF"/>
    <s v="NA"/>
    <s v=""/>
    <s v=""/>
    <s v="241411121642"/>
    <s v="0600104000093754"/>
    <s v="IDBI BANK"/>
    <s v="IBKL0000600"/>
    <n v="31"/>
    <n v="0"/>
    <n v="0"/>
    <n v="31"/>
    <n v="31"/>
    <n v="28042"/>
    <n v="28042"/>
    <n v="12619"/>
    <n v="5048"/>
    <n v="1600"/>
    <n v="200"/>
    <n v="1250"/>
    <n v="0"/>
    <n v="0"/>
    <n v="0"/>
    <n v="0"/>
    <n v="0"/>
    <n v="0"/>
    <n v="0"/>
    <n v="1514"/>
    <n v="5811"/>
    <n v="0"/>
    <n v="0"/>
    <n v="2554"/>
    <n v="30596"/>
    <n v="28042"/>
    <n v="0"/>
    <n v="0"/>
    <n v="0"/>
    <n v="200"/>
    <n v="1514"/>
    <n v="0"/>
    <n v="0"/>
    <n v="0"/>
    <n v="0"/>
    <n v="1714"/>
    <n v="28882"/>
    <m/>
    <m/>
  </r>
  <r>
    <d v="2025-08-01T00:00:00"/>
    <s v="Salary"/>
    <s v="S19014J001"/>
    <s v="MOONSTONE REALINFRA PRIVATE LIMITED"/>
    <n v="48"/>
    <s v="BHUSHAN MADANLAL LUNKAD"/>
    <s v="Male"/>
    <s v=""/>
    <s v="Sep 05, 2015"/>
    <s v="ADTPL6823A"/>
    <s v="101487437414"/>
    <x v="8"/>
    <s v="MANAGER - A &amp; O"/>
    <x v="1"/>
    <s v="TL"/>
    <s v="PF"/>
    <s v="NA"/>
    <s v=""/>
    <s v=""/>
    <s v="991187937886"/>
    <s v="00521050124966"/>
    <s v="HDFC BANK"/>
    <s v="HDFC0000052"/>
    <n v="31"/>
    <n v="0"/>
    <n v="0"/>
    <n v="31"/>
    <n v="31"/>
    <n v="107967"/>
    <n v="107967"/>
    <n v="48585"/>
    <n v="19434"/>
    <n v="1600"/>
    <n v="200"/>
    <n v="1250"/>
    <n v="4047"/>
    <n v="9717"/>
    <n v="7288"/>
    <n v="486"/>
    <n v="1700"/>
    <n v="972"/>
    <n v="243"/>
    <n v="1800"/>
    <n v="10645"/>
    <n v="0"/>
    <n v="3483"/>
    <n v="0"/>
    <n v="111450"/>
    <n v="111450"/>
    <n v="0"/>
    <n v="0"/>
    <n v="5903"/>
    <n v="200"/>
    <n v="1800"/>
    <n v="0"/>
    <n v="0"/>
    <n v="0"/>
    <n v="15000"/>
    <n v="22903"/>
    <n v="88547"/>
    <m/>
    <m/>
  </r>
  <r>
    <d v="2025-08-01T00:00:00"/>
    <s v="Salary"/>
    <s v="S19014J001"/>
    <s v="MOONSTONE REALINFRA PRIVATE LIMITED"/>
    <n v="2017"/>
    <s v="DHAIRYA PRASAD"/>
    <s v="Male"/>
    <s v=""/>
    <s v="Feb 17, 2025"/>
    <s v="EPBPP8390Q"/>
    <s v="102171851924"/>
    <x v="6"/>
    <s v="MANAGEMENT TRAINEE"/>
    <x v="6"/>
    <s v="MT"/>
    <s v="PF"/>
    <s v="NA"/>
    <s v=""/>
    <s v=""/>
    <s v="851362488850"/>
    <s v="50100731565504"/>
    <s v="HDFC BANK"/>
    <s v="HDFC0000007"/>
    <n v="31"/>
    <n v="0"/>
    <n v="0"/>
    <n v="31"/>
    <n v="31"/>
    <n v="56533"/>
    <n v="56533"/>
    <n v="25440"/>
    <n v="10176"/>
    <n v="1600"/>
    <n v="200"/>
    <n v="1250"/>
    <n v="2119"/>
    <n v="5088"/>
    <n v="3816"/>
    <n v="254"/>
    <n v="890"/>
    <n v="509"/>
    <n v="127"/>
    <n v="1800"/>
    <n v="3264"/>
    <n v="0"/>
    <n v="0"/>
    <n v="2306"/>
    <n v="58839"/>
    <n v="56533"/>
    <n v="0"/>
    <n v="0"/>
    <n v="0"/>
    <n v="200"/>
    <n v="1800"/>
    <n v="0"/>
    <n v="0"/>
    <n v="0"/>
    <n v="0"/>
    <n v="2000"/>
    <n v="56839"/>
    <m/>
    <m/>
  </r>
  <r>
    <d v="2025-08-01T00:00:00"/>
    <s v="Salary"/>
    <s v="S19014J001"/>
    <s v="MOONSTONE REALINFRA PRIVATE LIMITED"/>
    <n v="1914"/>
    <s v="DHANAJI ARJUN MALI"/>
    <s v="Male"/>
    <s v=""/>
    <s v="Nov 11, 2024"/>
    <s v="DBNPM8263C"/>
    <s v="101816559661"/>
    <x v="9"/>
    <s v="SENIOR ENGINEER"/>
    <x v="0"/>
    <s v="TM"/>
    <s v="PF"/>
    <s v="NA"/>
    <s v=""/>
    <s v=""/>
    <s v="450862785164"/>
    <s v="50100769916547"/>
    <s v="HDFC BANK"/>
    <s v="HDFC0001210"/>
    <n v="31"/>
    <n v="0"/>
    <n v="0"/>
    <n v="31"/>
    <n v="31"/>
    <n v="74033"/>
    <n v="74033"/>
    <n v="33315"/>
    <n v="13326"/>
    <n v="1600"/>
    <n v="200"/>
    <n v="1250"/>
    <n v="2775"/>
    <n v="6663"/>
    <n v="4997"/>
    <n v="333"/>
    <n v="1166"/>
    <n v="666"/>
    <n v="167"/>
    <n v="1800"/>
    <n v="5775"/>
    <n v="0"/>
    <n v="0"/>
    <n v="1364"/>
    <n v="75397"/>
    <n v="74033"/>
    <n v="0"/>
    <n v="0"/>
    <n v="0"/>
    <n v="200"/>
    <n v="1800"/>
    <n v="0"/>
    <n v="0"/>
    <n v="0"/>
    <n v="0"/>
    <n v="2000"/>
    <n v="73397"/>
    <m/>
    <m/>
  </r>
  <r>
    <d v="2025-08-01T00:00:00"/>
    <s v="Salary"/>
    <s v="S19014J001"/>
    <s v="MOONSTONE REALINFRA PRIVATE LIMITED"/>
    <n v="2186"/>
    <s v="DIPAK MAGAN KHAJURE"/>
    <s v="Male"/>
    <s v=""/>
    <s v="Aug 11, 2025"/>
    <s v="HZWPK8086G"/>
    <s v="101305133627"/>
    <x v="39"/>
    <s v="SENIOR EXECUTIVE - MIS"/>
    <x v="6"/>
    <s v="TM"/>
    <s v="PF"/>
    <s v="NA"/>
    <s v=""/>
    <s v=""/>
    <s v="620286516208"/>
    <s v="50100820320194"/>
    <s v="HDFC BANK"/>
    <s v="HDFC0000007"/>
    <n v="31"/>
    <n v="0"/>
    <n v="0"/>
    <n v="21"/>
    <n v="21"/>
    <n v="63200"/>
    <n v="63200"/>
    <n v="19266"/>
    <n v="7706"/>
    <n v="1084"/>
    <n v="200"/>
    <n v="847"/>
    <n v="1605"/>
    <n v="3853"/>
    <n v="2890"/>
    <n v="193"/>
    <n v="674"/>
    <n v="385"/>
    <n v="96"/>
    <n v="1800"/>
    <n v="2214"/>
    <n v="0"/>
    <n v="0"/>
    <n v="0"/>
    <n v="42813"/>
    <n v="42813"/>
    <n v="0"/>
    <n v="0"/>
    <n v="0"/>
    <n v="200"/>
    <n v="1800"/>
    <n v="0"/>
    <n v="0"/>
    <n v="0"/>
    <n v="0"/>
    <n v="2000"/>
    <n v="40813"/>
    <m/>
    <m/>
  </r>
  <r>
    <d v="2025-08-01T00:00:00"/>
    <s v="Salary"/>
    <s v="S19014J001"/>
    <s v="MOONSTONE REALINFRA PRIVATE LIMITED"/>
    <n v="1209"/>
    <s v="DUNDAPPA MALLAPPA SANKPAL"/>
    <s v="Male"/>
    <s v=""/>
    <s v="Sep 03, 2022"/>
    <s v="CVOPS6863E"/>
    <s v="100379494874"/>
    <x v="40"/>
    <s v="MANAGER - HR"/>
    <x v="2"/>
    <s v="TM"/>
    <s v="PF"/>
    <s v="NA"/>
    <s v=""/>
    <s v=""/>
    <s v="818967487034"/>
    <s v="50100188631775"/>
    <s v="HDFC BANK"/>
    <s v="HDFC0000039"/>
    <n v="31"/>
    <n v="0"/>
    <n v="0"/>
    <n v="31"/>
    <n v="31"/>
    <n v="79575"/>
    <n v="79575"/>
    <n v="35809"/>
    <n v="14324"/>
    <n v="1600"/>
    <n v="200"/>
    <n v="1250"/>
    <n v="2983"/>
    <n v="7162"/>
    <n v="5371"/>
    <n v="358"/>
    <n v="1253"/>
    <n v="716"/>
    <n v="179"/>
    <n v="1800"/>
    <n v="6570"/>
    <n v="0"/>
    <n v="0"/>
    <n v="473"/>
    <n v="80048"/>
    <n v="79575"/>
    <n v="0"/>
    <n v="0"/>
    <n v="0"/>
    <n v="200"/>
    <n v="1800"/>
    <n v="0"/>
    <n v="0"/>
    <n v="0"/>
    <n v="0"/>
    <n v="2000"/>
    <n v="78048"/>
    <m/>
    <m/>
  </r>
  <r>
    <d v="2025-08-01T00:00:00"/>
    <s v="Salary"/>
    <s v="S19014J001"/>
    <s v="MOONSTONE REALINFRA PRIVATE LIMITED"/>
    <n v="1517"/>
    <s v="GANESH SURESH PAWAR"/>
    <s v="Male"/>
    <s v=""/>
    <s v="Sep 01, 2023"/>
    <s v="CANPP1627F"/>
    <s v="101292152161"/>
    <x v="12"/>
    <s v="EXECUTIVE - MIS"/>
    <x v="2"/>
    <s v="TM"/>
    <s v="PF"/>
    <s v="NA"/>
    <s v=""/>
    <s v=""/>
    <s v="427581798506"/>
    <s v="50100729824722"/>
    <s v="HDFC BANK"/>
    <s v="HDFC0001210"/>
    <n v="31"/>
    <n v="0"/>
    <n v="0"/>
    <n v="31"/>
    <n v="31"/>
    <n v="47190"/>
    <n v="47190"/>
    <n v="21236"/>
    <n v="8494"/>
    <n v="1600"/>
    <n v="200"/>
    <n v="1250"/>
    <n v="1769"/>
    <n v="4247"/>
    <n v="3185"/>
    <n v="212"/>
    <n v="743"/>
    <n v="425"/>
    <n v="106"/>
    <n v="1800"/>
    <n v="1923"/>
    <n v="0"/>
    <n v="0"/>
    <n v="2000"/>
    <n v="49190"/>
    <n v="47190"/>
    <n v="0"/>
    <n v="0"/>
    <n v="0"/>
    <n v="200"/>
    <n v="1800"/>
    <n v="0"/>
    <n v="0"/>
    <n v="0"/>
    <n v="0"/>
    <n v="2000"/>
    <n v="47190"/>
    <m/>
    <m/>
  </r>
  <r>
    <d v="2025-08-01T00:00:00"/>
    <s v="Salary"/>
    <s v="S19014J001"/>
    <s v="MOONSTONE REALINFRA PRIVATE LIMITED"/>
    <n v="1202"/>
    <s v="GAURAV KASHINATH KURANE"/>
    <s v="Male"/>
    <s v=""/>
    <s v="Sep 28, 2022"/>
    <s v="ARVPK8048G"/>
    <s v="100151644732"/>
    <x v="5"/>
    <s v="MANAGER - SALES"/>
    <x v="1"/>
    <s v="TM"/>
    <s v="PF"/>
    <s v="NA"/>
    <s v=""/>
    <s v=""/>
    <s v="597630357761"/>
    <s v="50100318162255"/>
    <s v="HDFC BANK"/>
    <s v="HDFC0000007"/>
    <n v="31"/>
    <n v="0"/>
    <n v="0"/>
    <n v="31"/>
    <n v="31"/>
    <n v="98333"/>
    <n v="98333"/>
    <n v="44250"/>
    <n v="17700"/>
    <n v="1600"/>
    <n v="200"/>
    <n v="1250"/>
    <n v="3686"/>
    <n v="8850"/>
    <n v="6638"/>
    <n v="443"/>
    <n v="1549"/>
    <n v="885"/>
    <n v="221"/>
    <n v="1800"/>
    <n v="9261"/>
    <n v="0"/>
    <n v="0"/>
    <n v="2517"/>
    <n v="100850"/>
    <n v="98333"/>
    <n v="0"/>
    <n v="0"/>
    <n v="0"/>
    <n v="200"/>
    <n v="1800"/>
    <n v="0"/>
    <n v="0"/>
    <n v="0"/>
    <n v="0"/>
    <n v="2000"/>
    <n v="98850"/>
    <m/>
    <m/>
  </r>
  <r>
    <d v="2025-08-01T00:00:00"/>
    <s v="Salary"/>
    <s v="S19014J001"/>
    <s v="MOONSTONE REALINFRA PRIVATE LIMITED"/>
    <n v="1205"/>
    <s v="GAURAV RAGHUNATH GUND"/>
    <s v="Male"/>
    <s v=""/>
    <s v="Oct 01, 2022"/>
    <s v="DBBPG3735B"/>
    <s v="101882634974"/>
    <x v="13"/>
    <s v="EXECUTIVE - MARKETING"/>
    <x v="1"/>
    <s v="TM"/>
    <s v="PF"/>
    <s v="NA"/>
    <s v=""/>
    <s v=""/>
    <s v="566657564956"/>
    <s v="50100632579034"/>
    <s v="HDFC BANK"/>
    <s v="HDFC0008300"/>
    <n v="31"/>
    <n v="0"/>
    <n v="2"/>
    <n v="29"/>
    <n v="29"/>
    <n v="32307"/>
    <n v="32307"/>
    <n v="13600"/>
    <n v="5440"/>
    <n v="1497"/>
    <n v="187"/>
    <n v="1169"/>
    <n v="0"/>
    <n v="0"/>
    <n v="0"/>
    <n v="0"/>
    <n v="0"/>
    <n v="0"/>
    <n v="0"/>
    <n v="1632"/>
    <n v="6698"/>
    <n v="0"/>
    <n v="0"/>
    <n v="2651"/>
    <n v="32874"/>
    <n v="30223"/>
    <n v="0"/>
    <n v="0"/>
    <n v="0"/>
    <n v="200"/>
    <n v="1632"/>
    <n v="0"/>
    <n v="0"/>
    <n v="0"/>
    <n v="0"/>
    <n v="1832"/>
    <n v="31042"/>
    <m/>
    <m/>
  </r>
  <r>
    <d v="2025-08-01T00:00:00"/>
    <s v="Salary"/>
    <s v="S19014J001"/>
    <s v="MOONSTONE REALINFRA PRIVATE LIMITED"/>
    <n v="748"/>
    <s v="KALPESH KADAM"/>
    <s v="Male"/>
    <s v=""/>
    <s v="Feb 22, 2021"/>
    <s v="DPAPK0829F"/>
    <s v="101173740664"/>
    <x v="41"/>
    <s v="MANAGER - LIAISONING"/>
    <x v="3"/>
    <s v="TM"/>
    <s v="PF"/>
    <s v="NA"/>
    <s v=""/>
    <s v=""/>
    <s v="656902116787"/>
    <s v="50100045505567"/>
    <s v="HDFC BANK"/>
    <s v="HDFC0000794"/>
    <n v="31"/>
    <n v="0"/>
    <n v="0"/>
    <n v="31"/>
    <n v="31"/>
    <n v="62333"/>
    <n v="62333"/>
    <n v="28050"/>
    <n v="11220"/>
    <n v="1600"/>
    <n v="200"/>
    <n v="1250"/>
    <n v="2337"/>
    <n v="5610"/>
    <n v="4208"/>
    <n v="281"/>
    <n v="982"/>
    <n v="561"/>
    <n v="140"/>
    <n v="1800"/>
    <n v="4094"/>
    <n v="0"/>
    <n v="0"/>
    <n v="3657"/>
    <n v="65990"/>
    <n v="62333"/>
    <n v="0"/>
    <n v="0"/>
    <n v="0"/>
    <n v="200"/>
    <n v="1800"/>
    <n v="0"/>
    <n v="0"/>
    <n v="0"/>
    <n v="15000"/>
    <n v="17000"/>
    <n v="48990"/>
    <m/>
    <m/>
  </r>
  <r>
    <d v="2025-08-01T00:00:00"/>
    <s v="Salary"/>
    <s v="S19014J001"/>
    <s v="MOONSTONE REALINFRA PRIVATE LIMITED"/>
    <n v="2152"/>
    <s v="KEWALRAJ POUDEL"/>
    <s v="Male"/>
    <s v=""/>
    <s v="Jul 01, 2025"/>
    <s v="ETGPP5536R"/>
    <s v="102121019968"/>
    <x v="33"/>
    <s v="JUNIOR ENGINEER"/>
    <x v="0"/>
    <s v="TM"/>
    <s v="PF"/>
    <s v="NA"/>
    <s v=""/>
    <s v=""/>
    <s v="462816190119"/>
    <s v="50100815728426"/>
    <s v="HDFC BANK"/>
    <s v="HDFC0008300"/>
    <n v="31"/>
    <n v="0"/>
    <n v="0"/>
    <n v="31"/>
    <n v="31"/>
    <n v="32760"/>
    <n v="32760"/>
    <n v="14742"/>
    <n v="5897"/>
    <n v="1600"/>
    <n v="200"/>
    <n v="1250"/>
    <n v="0"/>
    <n v="0"/>
    <n v="0"/>
    <n v="0"/>
    <n v="0"/>
    <n v="0"/>
    <n v="0"/>
    <n v="1769"/>
    <n v="7302"/>
    <n v="0"/>
    <n v="0"/>
    <n v="171"/>
    <n v="32931"/>
    <n v="32760"/>
    <n v="0"/>
    <n v="0"/>
    <n v="0"/>
    <n v="200"/>
    <n v="1769"/>
    <n v="0"/>
    <n v="0"/>
    <n v="0"/>
    <n v="0"/>
    <n v="1969"/>
    <n v="30962"/>
    <m/>
    <m/>
  </r>
  <r>
    <d v="2025-08-01T00:00:00"/>
    <s v="Salary"/>
    <s v="S19014J001"/>
    <s v="MOONSTONE REALINFRA PRIVATE LIMITED"/>
    <n v="1875"/>
    <s v="KRISHNA KUMAR TIWARI"/>
    <s v="Male"/>
    <s v=""/>
    <s v="Sep 09, 2024"/>
    <s v="AGXPT8418N"/>
    <s v="101910507765"/>
    <x v="2"/>
    <s v="DEPUTY MANAGER"/>
    <x v="1"/>
    <s v="TM"/>
    <s v="PF"/>
    <s v="NA"/>
    <s v=""/>
    <s v=""/>
    <s v="375923391923"/>
    <s v="50100755728692"/>
    <s v="HDFC BANK"/>
    <s v="HDFC0001210"/>
    <n v="31"/>
    <n v="0"/>
    <n v="0"/>
    <n v="31"/>
    <n v="31"/>
    <n v="65840"/>
    <n v="65840"/>
    <n v="29628"/>
    <n v="11851"/>
    <n v="1600"/>
    <n v="200"/>
    <n v="1250"/>
    <n v="2468"/>
    <n v="5926"/>
    <n v="4444"/>
    <n v="296"/>
    <n v="1037"/>
    <n v="593"/>
    <n v="148"/>
    <n v="1800"/>
    <n v="4599"/>
    <n v="0"/>
    <n v="0"/>
    <n v="4274"/>
    <n v="70114"/>
    <n v="65840"/>
    <n v="0"/>
    <n v="0"/>
    <n v="0"/>
    <n v="200"/>
    <n v="1800"/>
    <n v="0"/>
    <n v="0"/>
    <n v="0"/>
    <n v="0"/>
    <n v="2000"/>
    <n v="68114"/>
    <m/>
    <m/>
  </r>
  <r>
    <d v="2025-08-01T00:00:00"/>
    <s v="Salary"/>
    <s v="S19014J001"/>
    <s v="MOONSTONE REALINFRA PRIVATE LIMITED"/>
    <n v="1135"/>
    <s v="LAKSHADIP PUNDALIK THAKUR"/>
    <s v="Male"/>
    <s v=""/>
    <s v="Jul 01, 2022"/>
    <s v="AIKPT5980A"/>
    <s v="100202447925"/>
    <x v="42"/>
    <s v="SENIOR MANAGER"/>
    <x v="6"/>
    <s v="TL"/>
    <s v="PF"/>
    <s v="NA"/>
    <s v=""/>
    <s v=""/>
    <s v="332553462353"/>
    <s v="50100224949010"/>
    <s v="HDFC BANK"/>
    <s v="HDFC0003982"/>
    <n v="31"/>
    <n v="0"/>
    <n v="1"/>
    <n v="30"/>
    <n v="30"/>
    <n v="146667"/>
    <n v="146667"/>
    <n v="63871"/>
    <n v="25548"/>
    <n v="1548"/>
    <n v="194"/>
    <n v="1210"/>
    <n v="5320"/>
    <n v="12774"/>
    <n v="9581"/>
    <n v="639"/>
    <n v="2235"/>
    <n v="1277"/>
    <n v="319"/>
    <n v="1800"/>
    <n v="15620"/>
    <n v="0"/>
    <n v="0"/>
    <n v="8516"/>
    <n v="150452"/>
    <n v="141936"/>
    <n v="0"/>
    <n v="0"/>
    <n v="17665"/>
    <n v="200"/>
    <n v="1800"/>
    <n v="0"/>
    <n v="0"/>
    <n v="0"/>
    <n v="0"/>
    <n v="19665"/>
    <n v="130787"/>
    <m/>
    <m/>
  </r>
  <r>
    <d v="2025-08-01T00:00:00"/>
    <s v="Salary"/>
    <s v="S19014J001"/>
    <s v="MOONSTONE REALINFRA PRIVATE LIMITED"/>
    <n v="1997"/>
    <s v="MAHESH MADHUKAR KATE"/>
    <s v="Male"/>
    <s v=""/>
    <s v="Feb 15, 2025"/>
    <s v="JJFPK7967B"/>
    <s v="101675376988"/>
    <x v="16"/>
    <s v="SAFETY OFICER"/>
    <x v="0"/>
    <s v="TM"/>
    <s v="PF"/>
    <s v="NA"/>
    <s v=""/>
    <s v=""/>
    <s v="696647163423"/>
    <s v="50100731567384"/>
    <s v="HDFC BANK"/>
    <s v="HDFC0000007"/>
    <n v="31"/>
    <n v="0"/>
    <n v="1.5"/>
    <n v="29.5"/>
    <n v="29.5"/>
    <n v="36067"/>
    <n v="36067"/>
    <n v="15445"/>
    <n v="6178"/>
    <n v="1523"/>
    <n v="190"/>
    <n v="1190"/>
    <n v="0"/>
    <n v="0"/>
    <n v="0"/>
    <n v="0"/>
    <n v="0"/>
    <n v="0"/>
    <n v="0"/>
    <n v="1800"/>
    <n v="7996"/>
    <n v="0"/>
    <n v="0"/>
    <n v="0"/>
    <n v="34322"/>
    <n v="34322"/>
    <n v="0"/>
    <n v="0"/>
    <n v="0"/>
    <n v="200"/>
    <n v="1800"/>
    <n v="0"/>
    <n v="0"/>
    <n v="0"/>
    <n v="0"/>
    <n v="2000"/>
    <n v="32322"/>
    <m/>
    <m/>
  </r>
  <r>
    <d v="2025-08-01T00:00:00"/>
    <s v="Salary"/>
    <s v="S19014J001"/>
    <s v="MOONSTONE REALINFRA PRIVATE LIMITED"/>
    <n v="726"/>
    <s v="MAHVEEN SAYYED"/>
    <s v="Female"/>
    <s v=""/>
    <s v="Dec 01, 2020"/>
    <s v="NUMPS3199R"/>
    <s v="101726376057"/>
    <x v="17"/>
    <s v="RECEPTIONIST"/>
    <x v="4"/>
    <s v="TM"/>
    <s v="PF"/>
    <s v="NA"/>
    <s v=""/>
    <s v=""/>
    <s v="677097563942"/>
    <s v="50100317492831"/>
    <s v="HDFC BANK"/>
    <s v="HDFC0000007"/>
    <n v="31"/>
    <n v="0"/>
    <n v="0"/>
    <n v="31"/>
    <n v="31"/>
    <n v="27904"/>
    <n v="27904"/>
    <n v="12557"/>
    <n v="5023"/>
    <n v="1600"/>
    <n v="200"/>
    <n v="1250"/>
    <n v="0"/>
    <n v="0"/>
    <n v="0"/>
    <n v="0"/>
    <n v="0"/>
    <n v="0"/>
    <n v="0"/>
    <n v="1507"/>
    <n v="5767"/>
    <n v="0"/>
    <n v="0"/>
    <n v="0"/>
    <n v="27904"/>
    <n v="27904"/>
    <n v="0"/>
    <n v="0"/>
    <n v="0"/>
    <n v="200"/>
    <n v="1507"/>
    <n v="0"/>
    <n v="0"/>
    <n v="0"/>
    <n v="0"/>
    <n v="1707"/>
    <n v="26197"/>
    <m/>
    <m/>
  </r>
  <r>
    <d v="2025-08-01T00:00:00"/>
    <s v="Salary"/>
    <s v="S19014J001"/>
    <s v="MOONSTONE REALINFRA PRIVATE LIMITED"/>
    <n v="1722"/>
    <s v="MANOJ KUMAR VARMA"/>
    <s v="Male"/>
    <s v=""/>
    <s v="May 02, 2024"/>
    <s v="AAEPV3962E"/>
    <s v="101345330257"/>
    <x v="18"/>
    <s v="SENIOR VICE PRESIDENT"/>
    <x v="0"/>
    <s v="TH"/>
    <s v="PF"/>
    <s v="NA"/>
    <s v=""/>
    <s v=""/>
    <s v="768669459723"/>
    <s v="01531050005109"/>
    <s v="HDFC BANK"/>
    <s v="HDFC0000153"/>
    <n v="31"/>
    <n v="0"/>
    <n v="1"/>
    <n v="30"/>
    <n v="30"/>
    <n v="434795"/>
    <n v="434795"/>
    <n v="189346"/>
    <n v="75738"/>
    <n v="1548"/>
    <n v="194"/>
    <n v="1210"/>
    <n v="15773"/>
    <n v="37869"/>
    <n v="28402"/>
    <n v="1893"/>
    <n v="6627"/>
    <n v="3787"/>
    <n v="947"/>
    <n v="1800"/>
    <n v="55635"/>
    <n v="0"/>
    <n v="0"/>
    <n v="0"/>
    <n v="420769"/>
    <n v="420769"/>
    <n v="0"/>
    <n v="0"/>
    <n v="145490"/>
    <n v="200"/>
    <n v="1800"/>
    <n v="0"/>
    <n v="0"/>
    <n v="0"/>
    <n v="0"/>
    <n v="147490"/>
    <n v="273279"/>
    <m/>
    <m/>
  </r>
  <r>
    <d v="2025-08-01T00:00:00"/>
    <s v="Salary"/>
    <s v="S19014J001"/>
    <s v="MOONSTONE REALINFRA PRIVATE LIMITED"/>
    <n v="1937"/>
    <s v="MAYANK ACHARYA"/>
    <s v="Male"/>
    <s v=""/>
    <s v="Nov 25, 2024"/>
    <s v="DZPPA7006D"/>
    <s v="102142125408"/>
    <x v="6"/>
    <s v="MANAGEMENT TRAINEE"/>
    <x v="1"/>
    <s v="TM"/>
    <s v="PF"/>
    <s v="NA"/>
    <s v=""/>
    <s v=""/>
    <s v="596849238511"/>
    <s v="50100773207188"/>
    <s v="HDFC BANK"/>
    <s v="HDFC0001210"/>
    <n v="31"/>
    <n v="0"/>
    <n v="0"/>
    <n v="31"/>
    <n v="31"/>
    <n v="31533"/>
    <n v="31533"/>
    <n v="14190"/>
    <n v="5676"/>
    <n v="1600"/>
    <n v="200"/>
    <n v="1250"/>
    <n v="0"/>
    <n v="0"/>
    <n v="0"/>
    <n v="0"/>
    <n v="0"/>
    <n v="0"/>
    <n v="0"/>
    <n v="1703"/>
    <n v="6914"/>
    <n v="0"/>
    <n v="0"/>
    <n v="3454"/>
    <n v="34987"/>
    <n v="31533"/>
    <n v="0"/>
    <n v="0"/>
    <n v="0"/>
    <n v="200"/>
    <n v="1703"/>
    <n v="0"/>
    <n v="0"/>
    <n v="0"/>
    <n v="0"/>
    <n v="1903"/>
    <n v="33084"/>
    <m/>
    <m/>
  </r>
  <r>
    <d v="2025-08-01T00:00:00"/>
    <s v="Salary"/>
    <s v="S19014J001"/>
    <s v="MOONSTONE REALINFRA PRIVATE LIMITED"/>
    <n v="382"/>
    <s v="MAYUR RAJAN SALUNKE"/>
    <s v="Male"/>
    <s v=""/>
    <s v="Dec 11, 2018"/>
    <s v="EIWPS6074N"/>
    <s v="101412010976"/>
    <x v="19"/>
    <s v="SENIOR EXECUTIVE - POSSESSION"/>
    <x v="2"/>
    <s v="TM"/>
    <s v="PF"/>
    <s v="NA"/>
    <s v=""/>
    <s v=""/>
    <s v="202787997088"/>
    <s v="50100624532338"/>
    <s v="HDFC BANK"/>
    <s v="HDFC0000633"/>
    <n v="31"/>
    <n v="0"/>
    <n v="0"/>
    <n v="31"/>
    <n v="31"/>
    <n v="36950"/>
    <n v="36950"/>
    <n v="16628"/>
    <n v="6651"/>
    <n v="1600"/>
    <n v="200"/>
    <n v="1250"/>
    <n v="0"/>
    <n v="0"/>
    <n v="0"/>
    <n v="0"/>
    <n v="0"/>
    <n v="0"/>
    <n v="0"/>
    <n v="1800"/>
    <n v="8821"/>
    <n v="0"/>
    <n v="0"/>
    <n v="6566"/>
    <n v="43516"/>
    <n v="36950"/>
    <n v="0"/>
    <n v="0"/>
    <n v="0"/>
    <n v="200"/>
    <n v="1800"/>
    <n v="0"/>
    <n v="0"/>
    <n v="0"/>
    <n v="0"/>
    <n v="2000"/>
    <n v="41516"/>
    <m/>
    <m/>
  </r>
  <r>
    <d v="2025-08-01T00:00:00"/>
    <s v="Salary"/>
    <s v="S19014J001"/>
    <s v="MOONSTONE REALINFRA PRIVATE LIMITED"/>
    <n v="511"/>
    <s v="MAYURESH LANGOTE"/>
    <s v="Male"/>
    <s v=""/>
    <s v="Aug 01, 2019"/>
    <s v="AEWPL1281L"/>
    <s v="100053793326"/>
    <x v="2"/>
    <s v="DEPUTY MANAGER"/>
    <x v="4"/>
    <s v="TM"/>
    <s v="PF"/>
    <s v="NA"/>
    <s v=""/>
    <s v=""/>
    <s v="250203086491"/>
    <s v="50100231649761"/>
    <s v="HDFC BANK"/>
    <s v="HDFC0000052"/>
    <n v="31"/>
    <n v="0"/>
    <n v="0"/>
    <n v="31"/>
    <n v="31"/>
    <n v="43308"/>
    <n v="43308"/>
    <n v="19489"/>
    <n v="7796"/>
    <n v="1600"/>
    <n v="200"/>
    <n v="1250"/>
    <n v="1623"/>
    <n v="3898"/>
    <n v="2923"/>
    <n v="195"/>
    <n v="682"/>
    <n v="390"/>
    <n v="97"/>
    <n v="1800"/>
    <n v="1365"/>
    <n v="0"/>
    <n v="0"/>
    <n v="5076"/>
    <n v="48384"/>
    <n v="43308"/>
    <n v="0"/>
    <n v="0"/>
    <n v="0"/>
    <n v="200"/>
    <n v="1800"/>
    <n v="0"/>
    <n v="0"/>
    <n v="0"/>
    <n v="5000"/>
    <n v="7000"/>
    <n v="41384"/>
    <m/>
    <m/>
  </r>
  <r>
    <d v="2025-08-01T00:00:00"/>
    <s v="Salary"/>
    <s v="S19014J001"/>
    <s v="MOONSTONE REALINFRA PRIVATE LIMITED"/>
    <n v="2062"/>
    <s v="MOHAN SHRIKRISHNA UDGIRI"/>
    <s v="Male"/>
    <s v=""/>
    <s v="Mar 24, 2025"/>
    <s v="AAZPU1282B"/>
    <s v="100242792314"/>
    <x v="20"/>
    <s v="ASSISTANT GENERAL MANAGER"/>
    <x v="0"/>
    <s v="TL"/>
    <s v="PF"/>
    <s v="NA"/>
    <s v=""/>
    <s v=""/>
    <s v="524156423700"/>
    <s v="5421140100824"/>
    <s v="HDFC BANK"/>
    <s v="HDFC0000542"/>
    <n v="31"/>
    <n v="0"/>
    <n v="2"/>
    <n v="29"/>
    <n v="29"/>
    <n v="181533"/>
    <n v="181533"/>
    <n v="76419"/>
    <n v="30568"/>
    <n v="1497"/>
    <n v="187"/>
    <n v="1169"/>
    <n v="6366"/>
    <n v="15284"/>
    <n v="11463"/>
    <n v="764"/>
    <n v="2675"/>
    <n v="1528"/>
    <n v="382"/>
    <n v="1800"/>
    <n v="19719"/>
    <n v="0"/>
    <n v="0"/>
    <n v="0"/>
    <n v="169821"/>
    <n v="169821"/>
    <n v="0"/>
    <n v="0"/>
    <n v="18336"/>
    <n v="200"/>
    <n v="1800"/>
    <n v="0"/>
    <n v="0"/>
    <n v="0"/>
    <n v="0"/>
    <n v="20336"/>
    <n v="149485"/>
    <m/>
    <m/>
  </r>
  <r>
    <d v="2025-08-01T00:00:00"/>
    <s v="Salary"/>
    <s v="S19014J001"/>
    <s v="MOONSTONE REALINFRA PRIVATE LIMITED"/>
    <n v="1092"/>
    <s v="NARENDRA ROHTAS MAHUR"/>
    <s v="Male"/>
    <s v=""/>
    <s v="May 16, 2022"/>
    <s v="EJTPM6853H"/>
    <s v="101646143832"/>
    <x v="21"/>
    <s v="SENIOR EXECUTIVE - MIS"/>
    <x v="2"/>
    <s v="TM"/>
    <s v="PF"/>
    <s v="NA"/>
    <s v=""/>
    <s v=""/>
    <s v="325860489575"/>
    <s v="50100654540599"/>
    <s v="HDFC BANK"/>
    <s v="HDFC0000007"/>
    <n v="31"/>
    <n v="0"/>
    <n v="0"/>
    <n v="31"/>
    <n v="31"/>
    <n v="71927"/>
    <n v="71927"/>
    <n v="32367"/>
    <n v="12947"/>
    <n v="1600"/>
    <n v="200"/>
    <n v="1250"/>
    <n v="2696"/>
    <n v="6473"/>
    <n v="4855"/>
    <n v="324"/>
    <n v="1133"/>
    <n v="647"/>
    <n v="162"/>
    <n v="1800"/>
    <n v="5473"/>
    <n v="0"/>
    <n v="10000"/>
    <n v="2202"/>
    <n v="84129"/>
    <n v="81927"/>
    <n v="0"/>
    <n v="0"/>
    <n v="0"/>
    <n v="200"/>
    <n v="1800"/>
    <n v="0"/>
    <n v="0"/>
    <n v="0"/>
    <n v="0"/>
    <n v="2000"/>
    <n v="82129"/>
    <m/>
    <m/>
  </r>
  <r>
    <d v="2025-08-01T00:00:00"/>
    <s v="Salary"/>
    <s v="S19014J001"/>
    <s v="MOONSTONE REALINFRA PRIVATE LIMITED"/>
    <n v="1506"/>
    <s v="NILESH SUDAM DODAKE"/>
    <s v="Male"/>
    <s v=""/>
    <s v="Aug 16, 2023"/>
    <s v="ATZPD2744A"/>
    <s v="101985884549"/>
    <x v="22"/>
    <s v="SUPERVISOR"/>
    <x v="0"/>
    <s v="TM"/>
    <s v="PF"/>
    <s v="NA"/>
    <s v=""/>
    <s v=""/>
    <s v="800783241563"/>
    <s v="50100624533443"/>
    <s v="HDFC BANK"/>
    <s v="HDFC0000007"/>
    <n v="31"/>
    <n v="0"/>
    <n v="0"/>
    <n v="31"/>
    <n v="31"/>
    <n v="49575"/>
    <n v="49575"/>
    <n v="22309"/>
    <n v="8924"/>
    <n v="1600"/>
    <n v="200"/>
    <n v="1250"/>
    <n v="1858"/>
    <n v="4462"/>
    <n v="3346"/>
    <n v="223"/>
    <n v="781"/>
    <n v="446"/>
    <n v="112"/>
    <n v="1800"/>
    <n v="2264"/>
    <n v="0"/>
    <n v="0"/>
    <n v="0"/>
    <n v="49575"/>
    <n v="49575"/>
    <n v="0"/>
    <n v="0"/>
    <n v="0"/>
    <n v="200"/>
    <n v="1800"/>
    <n v="0"/>
    <n v="0"/>
    <n v="0"/>
    <n v="0"/>
    <n v="2000"/>
    <n v="47575"/>
    <m/>
    <m/>
  </r>
  <r>
    <d v="2025-08-01T00:00:00"/>
    <s v="Salary"/>
    <s v="S19014J001"/>
    <s v="MOONSTONE REALINFRA PRIVATE LIMITED"/>
    <n v="1700"/>
    <s v="NITEESH SHARMA"/>
    <s v="Male"/>
    <s v=""/>
    <s v="Apr 11, 2024"/>
    <s v="BYHPS8894Q"/>
    <s v="101416879888"/>
    <x v="23"/>
    <s v="ASSISTANT MANAGER - SALES"/>
    <x v="1"/>
    <s v="TM"/>
    <s v="PF"/>
    <s v="NA"/>
    <s v=""/>
    <s v=""/>
    <s v="461172332390"/>
    <s v="99991911230890"/>
    <s v="HDFC BANK"/>
    <s v="HDFC0001210"/>
    <n v="31"/>
    <n v="0"/>
    <n v="0"/>
    <n v="31"/>
    <n v="31"/>
    <n v="79907"/>
    <n v="79907"/>
    <n v="35958"/>
    <n v="14383"/>
    <n v="1600"/>
    <n v="200"/>
    <n v="1250"/>
    <n v="2995"/>
    <n v="7192"/>
    <n v="5394"/>
    <n v="360"/>
    <n v="1259"/>
    <n v="719"/>
    <n v="180"/>
    <n v="1800"/>
    <n v="6617"/>
    <n v="0"/>
    <n v="0"/>
    <n v="1369"/>
    <n v="81276"/>
    <n v="79907"/>
    <n v="0"/>
    <n v="0"/>
    <n v="0"/>
    <n v="200"/>
    <n v="1800"/>
    <n v="0"/>
    <n v="0"/>
    <n v="0"/>
    <n v="0"/>
    <n v="2000"/>
    <n v="79276"/>
    <m/>
    <m/>
  </r>
  <r>
    <d v="2025-08-01T00:00:00"/>
    <s v="Salary"/>
    <s v="S19014J001"/>
    <s v="MOONSTONE REALINFRA PRIVATE LIMITED"/>
    <n v="435"/>
    <s v="NITESH SUKHDEORAO RAUT"/>
    <s v="Male"/>
    <s v=""/>
    <s v="Feb 28, 2019"/>
    <s v="ECHPR5827R"/>
    <s v="101438956994"/>
    <x v="7"/>
    <s v="EXECUTIVE - POSSESSION"/>
    <x v="2"/>
    <s v="TM"/>
    <s v="PF"/>
    <s v="NA"/>
    <s v=""/>
    <s v=""/>
    <s v="549202367903"/>
    <s v="50100317492446"/>
    <s v="HDFC BANK"/>
    <s v="HDFC0000007"/>
    <n v="31"/>
    <n v="0"/>
    <n v="0"/>
    <n v="31"/>
    <n v="31"/>
    <n v="33167"/>
    <n v="33167"/>
    <n v="14925"/>
    <n v="5970"/>
    <n v="1600"/>
    <n v="200"/>
    <n v="1250"/>
    <n v="0"/>
    <n v="0"/>
    <n v="0"/>
    <n v="0"/>
    <n v="0"/>
    <n v="0"/>
    <n v="0"/>
    <n v="1791"/>
    <n v="7431"/>
    <n v="0"/>
    <n v="0"/>
    <n v="7148"/>
    <n v="40315"/>
    <n v="33167"/>
    <n v="0"/>
    <n v="0"/>
    <n v="0"/>
    <n v="200"/>
    <n v="1791"/>
    <n v="0"/>
    <n v="0"/>
    <n v="0"/>
    <n v="0"/>
    <n v="1991"/>
    <n v="38324"/>
    <m/>
    <m/>
  </r>
  <r>
    <d v="2025-08-01T00:00:00"/>
    <s v="Salary"/>
    <s v="S19014J001"/>
    <s v="MOONSTONE REALINFRA PRIVATE LIMITED"/>
    <n v="1033"/>
    <s v="OMKAR MADHAV SAMBHUS"/>
    <s v="Male"/>
    <s v=""/>
    <s v="Mar 21, 2022"/>
    <s v="BKVPS7936K"/>
    <s v="101090148328"/>
    <x v="15"/>
    <s v="Senior Manager"/>
    <x v="1"/>
    <s v="TM"/>
    <s v="PF"/>
    <s v="NA"/>
    <s v=""/>
    <s v=""/>
    <s v="580372226603"/>
    <s v="50100056805482"/>
    <s v="HDFC BANK"/>
    <s v="HDFC0000146"/>
    <n v="31"/>
    <n v="0"/>
    <n v="0"/>
    <n v="31"/>
    <n v="31"/>
    <n v="118333"/>
    <n v="118333"/>
    <n v="53250"/>
    <n v="21300"/>
    <n v="1600"/>
    <n v="200"/>
    <n v="1250"/>
    <n v="4436"/>
    <n v="10650"/>
    <n v="7988"/>
    <n v="533"/>
    <n v="1864"/>
    <n v="1065"/>
    <n v="266"/>
    <n v="1800"/>
    <n v="12131"/>
    <n v="0"/>
    <n v="0"/>
    <n v="2401"/>
    <n v="120734"/>
    <n v="118333"/>
    <n v="0"/>
    <n v="0"/>
    <n v="9564"/>
    <n v="200"/>
    <n v="1800"/>
    <n v="0"/>
    <n v="0"/>
    <n v="0"/>
    <n v="12500"/>
    <n v="24064"/>
    <n v="96670"/>
    <m/>
    <m/>
  </r>
  <r>
    <d v="2025-08-01T00:00:00"/>
    <s v="Salary"/>
    <s v="S19014J001"/>
    <s v="MOONSTONE REALINFRA PRIVATE LIMITED"/>
    <n v="1086"/>
    <s v="POORNIMA SATYANARAYAN MASKE"/>
    <s v="Female"/>
    <s v=""/>
    <s v="May 09, 2022"/>
    <s v="FPPPM6332Q"/>
    <s v="101489017926"/>
    <x v="43"/>
    <s v="MANAGER"/>
    <x v="6"/>
    <s v="TM"/>
    <s v="PF"/>
    <s v="NA"/>
    <s v=""/>
    <s v=""/>
    <s v="535343696935"/>
    <s v="50100288878569"/>
    <s v="HDFC BANK"/>
    <s v="HDFC0001791"/>
    <n v="31"/>
    <n v="0"/>
    <n v="0"/>
    <n v="31"/>
    <n v="31"/>
    <n v="60208"/>
    <n v="60208"/>
    <n v="27094"/>
    <n v="10838"/>
    <n v="1600"/>
    <n v="200"/>
    <n v="1250"/>
    <n v="2257"/>
    <n v="5419"/>
    <n v="4064"/>
    <n v="271"/>
    <n v="948"/>
    <n v="542"/>
    <n v="135"/>
    <n v="1800"/>
    <n v="3790"/>
    <n v="0"/>
    <n v="0"/>
    <n v="0"/>
    <n v="60208"/>
    <n v="60208"/>
    <n v="0"/>
    <n v="0"/>
    <n v="0"/>
    <n v="200"/>
    <n v="1800"/>
    <n v="0"/>
    <n v="0"/>
    <n v="0"/>
    <n v="0"/>
    <n v="2000"/>
    <n v="58208"/>
    <m/>
    <m/>
  </r>
  <r>
    <d v="2025-08-01T00:00:00"/>
    <s v="Salary"/>
    <s v="S19014J001"/>
    <s v="MOONSTONE REALINFRA PRIVATE LIMITED"/>
    <n v="737"/>
    <s v="PRADIP PHOFALE"/>
    <s v="Male"/>
    <s v=""/>
    <s v="Jan 05, 2021"/>
    <s v="FJPPP4191E"/>
    <s v="101287262182"/>
    <x v="21"/>
    <s v="ADMIN - EXECUTIVE"/>
    <x v="2"/>
    <s v="TM"/>
    <s v="PF"/>
    <s v="NA"/>
    <s v=""/>
    <s v=""/>
    <s v="348597161366"/>
    <s v="50100624534038"/>
    <s v="HDFC BANK"/>
    <s v="HDFC0000007"/>
    <n v="31"/>
    <n v="0"/>
    <n v="0"/>
    <n v="31"/>
    <n v="31"/>
    <n v="22933"/>
    <n v="22933"/>
    <n v="10320"/>
    <n v="4128"/>
    <n v="1600"/>
    <n v="200"/>
    <n v="1250"/>
    <n v="0"/>
    <n v="0"/>
    <n v="0"/>
    <n v="0"/>
    <n v="0"/>
    <n v="0"/>
    <n v="0"/>
    <n v="1238"/>
    <n v="4197"/>
    <n v="0"/>
    <n v="0"/>
    <n v="5022"/>
    <n v="27955"/>
    <n v="22933"/>
    <n v="0"/>
    <n v="0"/>
    <n v="0"/>
    <n v="200"/>
    <n v="1238"/>
    <n v="0"/>
    <n v="0"/>
    <n v="0"/>
    <n v="0"/>
    <n v="1438"/>
    <n v="26517"/>
    <m/>
    <m/>
  </r>
  <r>
    <d v="2025-08-01T00:00:00"/>
    <s v="Salary"/>
    <s v="S19014J001"/>
    <s v="MOONSTONE REALINFRA PRIVATE LIMITED"/>
    <n v="649"/>
    <s v="PRAJAKTA KULKARNI"/>
    <s v="Female"/>
    <s v=""/>
    <s v="Feb 01, 2020"/>
    <s v="BJHPK2873G"/>
    <s v="101902983475"/>
    <x v="20"/>
    <s v="Asst. General Manager - HR"/>
    <x v="2"/>
    <s v="TL"/>
    <s v="PF"/>
    <s v="NA"/>
    <s v=""/>
    <s v=""/>
    <s v="287366904609"/>
    <s v="50100317874269"/>
    <s v="HDFC BANK"/>
    <s v="HDFC0000007"/>
    <n v="31"/>
    <n v="0"/>
    <n v="1"/>
    <n v="30"/>
    <n v="30"/>
    <n v="158333"/>
    <n v="158333"/>
    <n v="68951"/>
    <n v="27580"/>
    <n v="1548"/>
    <n v="194"/>
    <n v="1210"/>
    <n v="5744"/>
    <n v="13790"/>
    <n v="10343"/>
    <n v="690"/>
    <n v="2413"/>
    <n v="1379"/>
    <n v="345"/>
    <n v="1800"/>
    <n v="17238"/>
    <n v="0"/>
    <n v="0"/>
    <n v="0"/>
    <n v="153225"/>
    <n v="153225"/>
    <n v="0"/>
    <n v="0"/>
    <n v="27036"/>
    <n v="200"/>
    <n v="1800"/>
    <n v="0"/>
    <n v="0"/>
    <n v="0"/>
    <n v="0"/>
    <n v="29036"/>
    <n v="124189"/>
    <m/>
    <m/>
  </r>
  <r>
    <d v="2025-08-01T00:00:00"/>
    <s v="Salary"/>
    <s v="S19014J001"/>
    <s v="MOONSTONE REALINFRA PRIVATE LIMITED"/>
    <n v="1746"/>
    <s v="PRAMOD HANMANT PAWAR"/>
    <s v="Male"/>
    <s v=""/>
    <s v="May 20, 2024"/>
    <s v="DFHPP2315Q"/>
    <s v="102021330261"/>
    <x v="25"/>
    <s v="PAINTER"/>
    <x v="2"/>
    <s v="SS"/>
    <s v="PF"/>
    <s v="NA"/>
    <s v=""/>
    <s v=""/>
    <s v="464124497454"/>
    <s v="50100317492692"/>
    <s v="HDFC BANK"/>
    <s v="HDFC0000007"/>
    <n v="31"/>
    <n v="0"/>
    <n v="0"/>
    <n v="31"/>
    <n v="31"/>
    <n v="28500"/>
    <n v="28500"/>
    <n v="12825"/>
    <n v="5130"/>
    <n v="1600"/>
    <n v="200"/>
    <n v="1250"/>
    <n v="0"/>
    <n v="0"/>
    <n v="0"/>
    <n v="0"/>
    <n v="0"/>
    <n v="0"/>
    <n v="0"/>
    <n v="1539"/>
    <n v="5956"/>
    <n v="0"/>
    <n v="0"/>
    <n v="8030"/>
    <n v="36530"/>
    <n v="28500"/>
    <n v="0"/>
    <n v="0"/>
    <n v="0"/>
    <n v="200"/>
    <n v="1539"/>
    <n v="0"/>
    <n v="0"/>
    <n v="0"/>
    <n v="0"/>
    <n v="1739"/>
    <n v="34791"/>
    <m/>
    <m/>
  </r>
  <r>
    <d v="2025-08-01T00:00:00"/>
    <s v="Salary"/>
    <s v="S19014J001"/>
    <s v="MOONSTONE REALINFRA PRIVATE LIMITED"/>
    <n v="1771"/>
    <s v="PRASENJEET TATYARAM RANPISE"/>
    <s v="Male"/>
    <s v=""/>
    <s v="Jun 03, 2024"/>
    <s v="BEAPR4151J"/>
    <s v="101090722152"/>
    <x v="2"/>
    <s v="DEPUTY MANAGER"/>
    <x v="1"/>
    <s v="TM"/>
    <s v="PF"/>
    <s v="NA"/>
    <s v=""/>
    <s v=""/>
    <s v="327697944280"/>
    <s v="50100198966720"/>
    <s v="HDFC BANK"/>
    <s v="HDFC0001578"/>
    <n v="31"/>
    <n v="0"/>
    <n v="0"/>
    <n v="31"/>
    <n v="31"/>
    <n v="92504"/>
    <n v="92504"/>
    <n v="41627"/>
    <n v="16651"/>
    <n v="1600"/>
    <n v="200"/>
    <n v="1250"/>
    <n v="3468"/>
    <n v="8325"/>
    <n v="6244"/>
    <n v="416"/>
    <n v="1457"/>
    <n v="833"/>
    <n v="208"/>
    <n v="1800"/>
    <n v="8425"/>
    <n v="0"/>
    <n v="0"/>
    <n v="0"/>
    <n v="92504"/>
    <n v="92504"/>
    <n v="0"/>
    <n v="0"/>
    <n v="0"/>
    <n v="200"/>
    <n v="1800"/>
    <n v="0"/>
    <n v="0"/>
    <n v="0"/>
    <n v="0"/>
    <n v="2000"/>
    <n v="90504"/>
    <m/>
    <m/>
  </r>
  <r>
    <d v="2025-08-01T00:00:00"/>
    <s v="Salary"/>
    <s v="S19014J001"/>
    <s v="MOONSTONE REALINFRA PRIVATE LIMITED"/>
    <n v="1445"/>
    <s v="PRASHANT SUDAM GADRE"/>
    <s v="Male"/>
    <s v=""/>
    <s v="Jun 01, 2023"/>
    <s v="AUVPG5057A"/>
    <s v="101403170926"/>
    <x v="4"/>
    <s v="Site Supervisor"/>
    <x v="0"/>
    <s v="TM"/>
    <s v="PF"/>
    <s v="NA"/>
    <s v=""/>
    <s v=""/>
    <s v="879059513265"/>
    <s v="50100268119865"/>
    <s v="HDFC BANK"/>
    <s v="HDFC0002493"/>
    <n v="31"/>
    <n v="0"/>
    <n v="2"/>
    <n v="29"/>
    <n v="29"/>
    <n v="50225"/>
    <n v="50225"/>
    <n v="21143"/>
    <n v="8457"/>
    <n v="1497"/>
    <n v="187"/>
    <n v="1169"/>
    <n v="1761"/>
    <n v="4229"/>
    <n v="3171"/>
    <n v="211"/>
    <n v="740"/>
    <n v="423"/>
    <n v="106"/>
    <n v="1800"/>
    <n v="2091"/>
    <n v="0"/>
    <n v="200"/>
    <n v="0"/>
    <n v="47185"/>
    <n v="47185"/>
    <n v="0"/>
    <n v="0"/>
    <n v="0"/>
    <n v="200"/>
    <n v="1800"/>
    <n v="0"/>
    <n v="0"/>
    <n v="0"/>
    <n v="0"/>
    <n v="2000"/>
    <n v="45185"/>
    <m/>
    <m/>
  </r>
  <r>
    <d v="2025-08-01T00:00:00"/>
    <s v="Salary"/>
    <s v="S19014J001"/>
    <s v="MOONSTONE REALINFRA PRIVATE LIMITED"/>
    <n v="1932"/>
    <s v="PRATHMESH MAKARAND PATWARDHAN"/>
    <s v="Male"/>
    <s v=""/>
    <s v="Nov 21, 2024"/>
    <s v="DIPPP8235N"/>
    <s v="101650676266"/>
    <x v="26"/>
    <s v="ENGINEERING - COORDINATOR"/>
    <x v="0"/>
    <s v="TM"/>
    <s v="PF"/>
    <s v="NA"/>
    <s v=""/>
    <s v=""/>
    <s v="989836806639"/>
    <s v="50100773207162"/>
    <s v="HDFC BANK"/>
    <s v="HDFC0001210"/>
    <n v="31"/>
    <n v="0"/>
    <n v="1"/>
    <n v="30"/>
    <n v="30"/>
    <n v="30700"/>
    <n v="30700"/>
    <n v="13370"/>
    <n v="5348"/>
    <n v="1548"/>
    <n v="194"/>
    <n v="1210"/>
    <n v="0"/>
    <n v="0"/>
    <n v="0"/>
    <n v="0"/>
    <n v="0"/>
    <n v="0"/>
    <n v="0"/>
    <n v="1604"/>
    <n v="6436"/>
    <n v="0"/>
    <n v="0"/>
    <n v="166"/>
    <n v="29876"/>
    <n v="29710"/>
    <n v="0"/>
    <n v="0"/>
    <n v="0"/>
    <n v="200"/>
    <n v="1604"/>
    <n v="0"/>
    <n v="0"/>
    <n v="0"/>
    <n v="0"/>
    <n v="1804"/>
    <n v="28072"/>
    <m/>
    <m/>
  </r>
  <r>
    <d v="2025-08-01T00:00:00"/>
    <s v="Salary"/>
    <s v="S19014J001"/>
    <s v="MOONSTONE REALINFRA PRIVATE LIMITED"/>
    <n v="2014"/>
    <s v="RAHUL SANJAY SONAWANE"/>
    <s v="Male"/>
    <s v=""/>
    <s v="Feb 17, 2025"/>
    <s v="COZPS7657L"/>
    <s v="102171897905"/>
    <x v="27"/>
    <s v="EXECUTIVE - POSSESSION"/>
    <x v="4"/>
    <s v="TM"/>
    <s v="PF"/>
    <s v="NA"/>
    <s v=""/>
    <s v=""/>
    <s v="969590676456"/>
    <s v="50100731567322"/>
    <s v="HDFC BANK"/>
    <s v="HDFC0000007"/>
    <n v="31"/>
    <n v="0"/>
    <n v="0"/>
    <n v="31"/>
    <n v="31"/>
    <n v="32033"/>
    <n v="32033"/>
    <n v="14415"/>
    <n v="5766"/>
    <n v="1600"/>
    <n v="200"/>
    <n v="1250"/>
    <n v="0"/>
    <n v="0"/>
    <n v="0"/>
    <n v="0"/>
    <n v="0"/>
    <n v="0"/>
    <n v="0"/>
    <n v="1730"/>
    <n v="7072"/>
    <n v="0"/>
    <n v="0"/>
    <n v="1286"/>
    <n v="33319"/>
    <n v="32033"/>
    <n v="0"/>
    <n v="0"/>
    <n v="0"/>
    <n v="200"/>
    <n v="1730"/>
    <n v="0"/>
    <n v="0"/>
    <n v="0"/>
    <n v="0"/>
    <n v="1930"/>
    <n v="31389"/>
    <m/>
    <m/>
  </r>
  <r>
    <d v="2025-08-01T00:00:00"/>
    <s v="Salary"/>
    <s v="S19014J001"/>
    <s v="MOONSTONE REALINFRA PRIVATE LIMITED"/>
    <n v="2190"/>
    <s v="RAHUL SAYAJI SHETE"/>
    <s v="Male"/>
    <s v=""/>
    <s v="Aug 18, 2025"/>
    <s v="LVGPS7330P"/>
    <s v="102106669268"/>
    <x v="44"/>
    <s v="POSSESSION EXECUTIVE"/>
    <x v="4"/>
    <s v="TM"/>
    <s v="PF"/>
    <s v="NA"/>
    <s v=""/>
    <s v=""/>
    <s v="330583203857"/>
    <s v="50100709895411"/>
    <s v="HDFC BANK"/>
    <s v="HDFC0009332"/>
    <n v="31"/>
    <n v="0"/>
    <n v="0"/>
    <n v="14"/>
    <n v="14"/>
    <n v="24438"/>
    <n v="24438"/>
    <n v="4967"/>
    <n v="1987"/>
    <n v="723"/>
    <n v="200"/>
    <n v="565"/>
    <n v="0"/>
    <n v="0"/>
    <n v="0"/>
    <n v="0"/>
    <n v="0"/>
    <n v="0"/>
    <n v="0"/>
    <n v="596"/>
    <n v="1999"/>
    <n v="0"/>
    <n v="0"/>
    <n v="0"/>
    <n v="11037"/>
    <n v="11037"/>
    <n v="0"/>
    <n v="0"/>
    <n v="0"/>
    <n v="200"/>
    <n v="596"/>
    <n v="0"/>
    <n v="0"/>
    <n v="0"/>
    <n v="0"/>
    <n v="796"/>
    <n v="10241"/>
    <m/>
    <m/>
  </r>
  <r>
    <d v="2025-08-01T00:00:00"/>
    <s v="Salary"/>
    <s v="S19014J001"/>
    <s v="MOONSTONE REALINFRA PRIVATE LIMITED"/>
    <n v="1480"/>
    <s v="RAKESH DNYANOBA SONAWANE"/>
    <s v="Male"/>
    <s v=""/>
    <s v="Jul 19, 2023"/>
    <s v="DJBPS0548N"/>
    <s v="100318745002"/>
    <x v="1"/>
    <s v="ASSISTANT PROJECT MANAGER"/>
    <x v="0"/>
    <s v="TM"/>
    <s v="PF"/>
    <s v="NA"/>
    <s v=""/>
    <s v=""/>
    <s v="815335472494"/>
    <s v="50100098216176"/>
    <s v="HDFC BANK"/>
    <s v="HDFC0000359"/>
    <n v="31"/>
    <n v="0"/>
    <n v="0"/>
    <n v="31"/>
    <n v="31"/>
    <n v="72817"/>
    <n v="72817"/>
    <n v="32768"/>
    <n v="13107"/>
    <n v="1600"/>
    <n v="200"/>
    <n v="1250"/>
    <n v="2730"/>
    <n v="6554"/>
    <n v="4915"/>
    <n v="328"/>
    <n v="1147"/>
    <n v="655"/>
    <n v="164"/>
    <n v="1800"/>
    <n v="5599"/>
    <n v="0"/>
    <n v="0"/>
    <n v="0"/>
    <n v="72817"/>
    <n v="72817"/>
    <n v="0"/>
    <n v="0"/>
    <n v="0"/>
    <n v="200"/>
    <n v="1800"/>
    <n v="0"/>
    <n v="0"/>
    <n v="0"/>
    <n v="0"/>
    <n v="2000"/>
    <n v="70817"/>
    <m/>
    <m/>
  </r>
  <r>
    <d v="2025-08-01T00:00:00"/>
    <s v="Salary"/>
    <s v="S19014J001"/>
    <s v="MOONSTONE REALINFRA PRIVATE LIMITED"/>
    <n v="405"/>
    <s v="RATIKANT RAMA CHANDRA ROUT"/>
    <s v="Male"/>
    <s v=""/>
    <s v="Dec 11, 2018"/>
    <s v="BKMPR1999E"/>
    <s v="101411918080"/>
    <x v="7"/>
    <s v="EXECUTIVE - POSSESSION"/>
    <x v="2"/>
    <s v="TM"/>
    <s v="PF"/>
    <s v="NA"/>
    <s v=""/>
    <s v=""/>
    <s v="516990099788"/>
    <s v="50100317879206"/>
    <s v="HDFC BANK"/>
    <s v="HDFC0000007"/>
    <n v="31"/>
    <n v="0"/>
    <n v="0"/>
    <n v="31"/>
    <n v="31"/>
    <n v="33167"/>
    <n v="33167"/>
    <n v="14925"/>
    <n v="5970"/>
    <n v="1600"/>
    <n v="200"/>
    <n v="1250"/>
    <n v="0"/>
    <n v="0"/>
    <n v="0"/>
    <n v="0"/>
    <n v="0"/>
    <n v="0"/>
    <n v="0"/>
    <n v="1791"/>
    <n v="7431"/>
    <n v="0"/>
    <n v="0"/>
    <n v="5515"/>
    <n v="38682"/>
    <n v="33167"/>
    <n v="0"/>
    <n v="0"/>
    <n v="0"/>
    <n v="200"/>
    <n v="1791"/>
    <n v="0"/>
    <n v="0"/>
    <n v="0"/>
    <n v="0"/>
    <n v="1991"/>
    <n v="36691"/>
    <m/>
    <m/>
  </r>
  <r>
    <d v="2025-08-01T00:00:00"/>
    <s v="Salary"/>
    <s v="S19014J001"/>
    <s v="MOONSTONE REALINFRA PRIVATE LIMITED"/>
    <n v="1916"/>
    <s v="RAVI BHARTI"/>
    <s v="Male"/>
    <s v=""/>
    <s v="Nov 11, 2024"/>
    <s v="BKLPB8249J"/>
    <s v="101569634502"/>
    <x v="2"/>
    <s v="DEPUTY MANAGER"/>
    <x v="1"/>
    <s v="TM"/>
    <s v="PF"/>
    <s v="NA"/>
    <s v=""/>
    <s v=""/>
    <s v="844495303708"/>
    <s v="50100585317756"/>
    <s v="HDFC BANK"/>
    <s v="HDFC0000627"/>
    <n v="31"/>
    <n v="0"/>
    <n v="0"/>
    <n v="31"/>
    <n v="31"/>
    <n v="94033"/>
    <n v="94033"/>
    <n v="42315"/>
    <n v="16926"/>
    <n v="1600"/>
    <n v="200"/>
    <n v="1250"/>
    <n v="3525"/>
    <n v="8463"/>
    <n v="6347"/>
    <n v="423"/>
    <n v="1481"/>
    <n v="846"/>
    <n v="212"/>
    <n v="1800"/>
    <n v="8645"/>
    <n v="0"/>
    <n v="0"/>
    <n v="182"/>
    <n v="94215"/>
    <n v="94033"/>
    <n v="0"/>
    <n v="0"/>
    <n v="0"/>
    <n v="200"/>
    <n v="1800"/>
    <n v="0"/>
    <n v="0"/>
    <n v="0"/>
    <n v="0"/>
    <n v="2000"/>
    <n v="92215"/>
    <m/>
    <m/>
  </r>
  <r>
    <d v="2025-08-01T00:00:00"/>
    <s v="Salary"/>
    <s v="S19014J001"/>
    <s v="MOONSTONE REALINFRA PRIVATE LIMITED"/>
    <n v="1093"/>
    <s v="RISHABH CHANDEL"/>
    <s v="Male"/>
    <s v=""/>
    <s v="May 16, 2022"/>
    <s v="BAOPC6525R"/>
    <s v="101633454393"/>
    <x v="5"/>
    <s v="MANAGER-SALES"/>
    <x v="1"/>
    <s v="TL"/>
    <s v="PF"/>
    <s v="NA"/>
    <s v=""/>
    <s v=""/>
    <s v="821066376289"/>
    <s v="50100312589050"/>
    <s v="HDFC BANK"/>
    <s v="HDFC0009453"/>
    <n v="31"/>
    <n v="0"/>
    <n v="0"/>
    <n v="31"/>
    <n v="31"/>
    <n v="96667"/>
    <n v="96667"/>
    <n v="43500"/>
    <n v="17400"/>
    <n v="1600"/>
    <n v="200"/>
    <n v="1250"/>
    <n v="3624"/>
    <n v="8700"/>
    <n v="6525"/>
    <n v="435"/>
    <n v="1523"/>
    <n v="870"/>
    <n v="218"/>
    <n v="1800"/>
    <n v="9022"/>
    <n v="0"/>
    <n v="0"/>
    <n v="7449"/>
    <n v="104116"/>
    <n v="96667"/>
    <n v="0"/>
    <n v="0"/>
    <n v="0"/>
    <n v="200"/>
    <n v="1800"/>
    <n v="0"/>
    <n v="0"/>
    <n v="0"/>
    <n v="0"/>
    <n v="2000"/>
    <n v="102116"/>
    <m/>
    <m/>
  </r>
  <r>
    <d v="2025-08-01T00:00:00"/>
    <s v="Salary"/>
    <s v="S19014J001"/>
    <s v="MOONSTONE REALINFRA PRIVATE LIMITED"/>
    <n v="2043"/>
    <s v="ROHIT KANHAIYALAL GYANCHANDANI"/>
    <s v="Male"/>
    <s v=""/>
    <s v="Mar 03, 2025"/>
    <s v="BFFPG1593D"/>
    <s v="101468514180"/>
    <x v="28"/>
    <s v="ASSISTANT MANAGER - ACCOUNTS"/>
    <x v="5"/>
    <s v="TM"/>
    <s v="PF"/>
    <s v="NA"/>
    <s v=""/>
    <s v=""/>
    <s v="710877491907"/>
    <s v="50100257695801"/>
    <s v="HDFC BANK"/>
    <s v="HDFC0001445"/>
    <n v="31"/>
    <n v="0"/>
    <n v="0"/>
    <n v="31"/>
    <n v="31"/>
    <n v="75000"/>
    <n v="75000"/>
    <n v="33750"/>
    <n v="13500"/>
    <n v="1600"/>
    <n v="200"/>
    <n v="1250"/>
    <n v="2811"/>
    <n v="6750"/>
    <n v="5063"/>
    <n v="338"/>
    <n v="1181"/>
    <n v="675"/>
    <n v="169"/>
    <n v="1800"/>
    <n v="5913"/>
    <n v="0"/>
    <n v="0"/>
    <n v="0"/>
    <n v="75000"/>
    <n v="75000"/>
    <n v="0"/>
    <n v="0"/>
    <n v="0"/>
    <n v="200"/>
    <n v="1800"/>
    <n v="0"/>
    <n v="0"/>
    <n v="0"/>
    <n v="0"/>
    <n v="2000"/>
    <n v="73000"/>
    <m/>
    <m/>
  </r>
  <r>
    <d v="2025-08-01T00:00:00"/>
    <s v="Salary"/>
    <s v="S19014J001"/>
    <s v="MOONSTONE REALINFRA PRIVATE LIMITED"/>
    <n v="2156"/>
    <s v="SANDEEP MARUTI SAWANT"/>
    <s v="Male"/>
    <s v=""/>
    <s v="Jul 01, 2025"/>
    <s v="CJDPS9049F"/>
    <s v="101160800602"/>
    <x v="45"/>
    <s v="ASSISTANT MANAGER"/>
    <x v="0"/>
    <s v="TL"/>
    <s v="PF"/>
    <s v="NA"/>
    <s v=""/>
    <s v=""/>
    <s v="396088354849"/>
    <s v="50100815728515"/>
    <s v="HDFC BANK"/>
    <s v="HDFC0008300"/>
    <n v="31"/>
    <n v="0"/>
    <n v="2"/>
    <n v="29"/>
    <n v="29"/>
    <n v="67200"/>
    <n v="67200"/>
    <n v="28289"/>
    <n v="11316"/>
    <n v="1497"/>
    <n v="187"/>
    <n v="1169"/>
    <n v="2356"/>
    <n v="5658"/>
    <n v="4243"/>
    <n v="283"/>
    <n v="990"/>
    <n v="566"/>
    <n v="141"/>
    <n v="1800"/>
    <n v="4370"/>
    <n v="0"/>
    <n v="0"/>
    <n v="0"/>
    <n v="62865"/>
    <n v="62865"/>
    <n v="0"/>
    <n v="0"/>
    <n v="0"/>
    <n v="200"/>
    <n v="1800"/>
    <n v="0"/>
    <n v="0"/>
    <n v="0"/>
    <n v="0"/>
    <n v="2000"/>
    <n v="60865"/>
    <m/>
    <m/>
  </r>
  <r>
    <d v="2025-08-01T00:00:00"/>
    <s v="Salary"/>
    <s v="S19014J001"/>
    <s v="MOONSTONE REALINFRA PRIVATE LIMITED"/>
    <n v="413"/>
    <s v="SANDIP GHANSHAM FAND"/>
    <s v="Male"/>
    <s v=""/>
    <s v="Feb 05, 2019"/>
    <s v="ACBPF9894L"/>
    <s v="101432955213"/>
    <x v="9"/>
    <s v="SENIOR ENGINEER"/>
    <x v="0"/>
    <s v="TM"/>
    <s v="PF"/>
    <s v="NA"/>
    <s v=""/>
    <s v=""/>
    <s v="918983892865"/>
    <s v="50100317492765"/>
    <s v="HDFC BANK"/>
    <s v="HDFC0000007"/>
    <n v="31"/>
    <n v="0"/>
    <n v="0"/>
    <n v="31"/>
    <n v="31"/>
    <n v="52975"/>
    <n v="52975"/>
    <n v="23839"/>
    <n v="9536"/>
    <n v="1600"/>
    <n v="200"/>
    <n v="1250"/>
    <n v="1986"/>
    <n v="4768"/>
    <n v="3576"/>
    <n v="238"/>
    <n v="834"/>
    <n v="477"/>
    <n v="119"/>
    <n v="1800"/>
    <n v="2752"/>
    <n v="0"/>
    <n v="1400"/>
    <n v="0"/>
    <n v="54375"/>
    <n v="54375"/>
    <n v="0"/>
    <n v="0"/>
    <n v="0"/>
    <n v="200"/>
    <n v="1800"/>
    <n v="0"/>
    <n v="0"/>
    <n v="0"/>
    <n v="0"/>
    <n v="2000"/>
    <n v="52375"/>
    <m/>
    <m/>
  </r>
  <r>
    <d v="2025-08-01T00:00:00"/>
    <s v="Salary"/>
    <s v="S19014J001"/>
    <s v="MOONSTONE REALINFRA PRIVATE LIMITED"/>
    <n v="1389"/>
    <s v="SANDIP RAMESHRAO JAKKALWAD"/>
    <s v="Male"/>
    <s v=""/>
    <s v="Apr 24, 2023"/>
    <s v="AWLPJ2490A"/>
    <s v="101938922335"/>
    <x v="30"/>
    <s v="SENIOR  EXECUTIVE - ACCOUNTS"/>
    <x v="5"/>
    <s v="TM"/>
    <s v="PF"/>
    <s v="NA"/>
    <s v=""/>
    <s v=""/>
    <s v="790987241865"/>
    <s v="50100318162101"/>
    <s v="HDFC BANK"/>
    <s v="HDFC0000007"/>
    <n v="31"/>
    <n v="0"/>
    <n v="0"/>
    <n v="31"/>
    <n v="31"/>
    <n v="57473"/>
    <n v="57473"/>
    <n v="25863"/>
    <n v="10345"/>
    <n v="1600"/>
    <n v="200"/>
    <n v="1250"/>
    <n v="2154"/>
    <n v="5173"/>
    <n v="3879"/>
    <n v="259"/>
    <n v="905"/>
    <n v="517"/>
    <n v="129"/>
    <n v="1800"/>
    <n v="3399"/>
    <n v="0"/>
    <n v="0"/>
    <n v="0"/>
    <n v="57473"/>
    <n v="57473"/>
    <n v="0"/>
    <n v="0"/>
    <n v="0"/>
    <n v="200"/>
    <n v="1800"/>
    <n v="0"/>
    <n v="0"/>
    <n v="0"/>
    <n v="0"/>
    <n v="2000"/>
    <n v="55473"/>
    <m/>
    <m/>
  </r>
  <r>
    <d v="2025-08-01T00:00:00"/>
    <s v="Salary"/>
    <s v="S19014J001"/>
    <s v="MOONSTONE REALINFRA PRIVATE LIMITED"/>
    <n v="1535"/>
    <s v="SANTOSH DAMU MANKAR"/>
    <s v="Male"/>
    <s v=""/>
    <s v="Sep 14, 2023"/>
    <s v="ARVPM8431B"/>
    <s v="101916942878"/>
    <x v="31"/>
    <s v="PROJECT MANAGER"/>
    <x v="0"/>
    <s v="TL"/>
    <s v="PF"/>
    <s v="NA"/>
    <s v=""/>
    <s v=""/>
    <s v="863607704890"/>
    <s v="04861720000752"/>
    <s v="HDFC BANK"/>
    <s v="HDFC0002454"/>
    <n v="31"/>
    <n v="0"/>
    <n v="2.5"/>
    <n v="28.5"/>
    <n v="28.5"/>
    <n v="95900"/>
    <n v="95900"/>
    <n v="39675"/>
    <n v="15870"/>
    <n v="1471"/>
    <n v="184"/>
    <n v="1149"/>
    <n v="3305"/>
    <n v="7935"/>
    <n v="5951"/>
    <n v="397"/>
    <n v="1389"/>
    <n v="794"/>
    <n v="198"/>
    <n v="1800"/>
    <n v="8048"/>
    <n v="0"/>
    <n v="0"/>
    <n v="0"/>
    <n v="88166"/>
    <n v="88166"/>
    <n v="0"/>
    <n v="0"/>
    <n v="0"/>
    <n v="200"/>
    <n v="1800"/>
    <n v="0"/>
    <n v="0"/>
    <n v="0"/>
    <n v="0"/>
    <n v="2000"/>
    <n v="86166"/>
    <m/>
    <m/>
  </r>
  <r>
    <d v="2025-08-01T00:00:00"/>
    <s v="Salary"/>
    <s v="S19014J001"/>
    <s v="MOONSTONE REALINFRA PRIVATE LIMITED"/>
    <n v="1409"/>
    <s v="SANTOSH KADAM"/>
    <s v="Male"/>
    <s v=""/>
    <s v="May 10, 2023"/>
    <s v="AZUPK6484F"/>
    <s v="100924255914"/>
    <x v="9"/>
    <s v="SENIOR ENGINEER"/>
    <x v="0"/>
    <s v="TM"/>
    <s v="PF"/>
    <s v="NA"/>
    <s v=""/>
    <s v=""/>
    <s v="333622114009"/>
    <s v="50100502294986"/>
    <s v="HDFC BANK"/>
    <s v="HDFC0001445"/>
    <n v="31"/>
    <n v="0"/>
    <n v="2.5"/>
    <n v="28.5"/>
    <n v="28.5"/>
    <n v="71417"/>
    <n v="71417"/>
    <n v="29546"/>
    <n v="11818"/>
    <n v="1471"/>
    <n v="184"/>
    <n v="1149"/>
    <n v="2461"/>
    <n v="5909"/>
    <n v="4432"/>
    <n v="295"/>
    <n v="1034"/>
    <n v="591"/>
    <n v="148"/>
    <n v="1800"/>
    <n v="4820"/>
    <n v="0"/>
    <n v="0"/>
    <n v="0"/>
    <n v="65658"/>
    <n v="65658"/>
    <n v="0"/>
    <n v="0"/>
    <n v="0"/>
    <n v="200"/>
    <n v="1800"/>
    <n v="0"/>
    <n v="0"/>
    <n v="0"/>
    <n v="0"/>
    <n v="2000"/>
    <n v="63658"/>
    <m/>
    <m/>
  </r>
  <r>
    <d v="2025-08-01T00:00:00"/>
    <s v="Salary"/>
    <s v="S19014J001"/>
    <s v="MOONSTONE REALINFRA PRIVATE LIMITED"/>
    <n v="2155"/>
    <s v="SAURABH MININATH NANNAVARE"/>
    <s v="Male"/>
    <s v=""/>
    <s v="Jul 01, 2025"/>
    <s v="BIJPN9700N"/>
    <s v="101177464600"/>
    <x v="46"/>
    <s v="ENGINEER"/>
    <x v="0"/>
    <s v="TM"/>
    <s v="PF"/>
    <s v="NA"/>
    <s v=""/>
    <s v=""/>
    <s v="706192695680"/>
    <s v="50100815728452"/>
    <s v="HDFC BANK"/>
    <s v="HDFC0008300"/>
    <n v="31"/>
    <n v="0"/>
    <n v="0"/>
    <n v="31"/>
    <n v="31"/>
    <n v="53200"/>
    <n v="53200"/>
    <n v="23940"/>
    <n v="9576"/>
    <n v="1600"/>
    <n v="200"/>
    <n v="1250"/>
    <n v="1994"/>
    <n v="4788"/>
    <n v="3591"/>
    <n v="239"/>
    <n v="838"/>
    <n v="479"/>
    <n v="120"/>
    <n v="1800"/>
    <n v="2785"/>
    <n v="0"/>
    <n v="0"/>
    <n v="0"/>
    <n v="53200"/>
    <n v="53200"/>
    <n v="0"/>
    <n v="2487"/>
    <n v="0"/>
    <n v="200"/>
    <n v="1800"/>
    <n v="0"/>
    <n v="0"/>
    <n v="0"/>
    <n v="0"/>
    <n v="4487"/>
    <n v="48713"/>
    <m/>
    <m/>
  </r>
  <r>
    <d v="2025-08-01T00:00:00"/>
    <s v="Salary"/>
    <s v="S19014J001"/>
    <s v="MOONSTONE REALINFRA PRIVATE LIMITED"/>
    <n v="2147"/>
    <s v="SAYALI LAXMAN DHAIGUDE"/>
    <s v="Female"/>
    <s v=""/>
    <s v="Jul 01, 2025"/>
    <s v="IODPD3701L"/>
    <s v="102070661731"/>
    <x v="47"/>
    <s v="GUEST RELATION EXECUTIVE"/>
    <x v="2"/>
    <s v="TM"/>
    <s v="PF"/>
    <s v="NA"/>
    <s v=""/>
    <s v=""/>
    <s v="616621359625"/>
    <s v="50100815728531"/>
    <s v="HDFC BANK"/>
    <s v="HDFC0008300"/>
    <n v="31"/>
    <n v="0"/>
    <n v="1.5"/>
    <n v="29.5"/>
    <n v="29.5"/>
    <n v="28380"/>
    <n v="28380"/>
    <n v="12153"/>
    <n v="4861"/>
    <n v="1523"/>
    <n v="190"/>
    <n v="1190"/>
    <n v="0"/>
    <n v="0"/>
    <n v="0"/>
    <n v="0"/>
    <n v="0"/>
    <n v="0"/>
    <n v="0"/>
    <n v="1458"/>
    <n v="5632"/>
    <n v="0"/>
    <n v="0"/>
    <n v="0"/>
    <n v="27007"/>
    <n v="27007"/>
    <n v="0"/>
    <n v="0"/>
    <n v="0"/>
    <n v="200"/>
    <n v="1458"/>
    <n v="0"/>
    <n v="0"/>
    <n v="0"/>
    <n v="0"/>
    <n v="1658"/>
    <n v="25349"/>
    <m/>
    <m/>
  </r>
  <r>
    <d v="2025-08-01T00:00:00"/>
    <s v="Salary"/>
    <s v="S19014J001"/>
    <s v="MOONSTONE REALINFRA PRIVATE LIMITED"/>
    <n v="1263"/>
    <s v="SHANKAR BASAPPA GAVI"/>
    <s v="Male"/>
    <s v=""/>
    <s v="Nov 25, 2022"/>
    <s v="BNUPG2416C"/>
    <s v="101450766269"/>
    <x v="45"/>
    <s v="ASSISTANT MANAGER"/>
    <x v="0"/>
    <s v="TM"/>
    <s v="PF"/>
    <s v="NA"/>
    <s v=""/>
    <s v=""/>
    <s v="325630092478"/>
    <s v="50100734599528"/>
    <s v="HDFC BANK"/>
    <s v="HDFC0001210"/>
    <n v="31"/>
    <n v="0"/>
    <n v="1"/>
    <n v="30"/>
    <n v="30"/>
    <n v="55900"/>
    <n v="55900"/>
    <n v="24344"/>
    <n v="9738"/>
    <n v="1548"/>
    <n v="194"/>
    <n v="1210"/>
    <n v="2028"/>
    <n v="4869"/>
    <n v="3652"/>
    <n v="243"/>
    <n v="852"/>
    <n v="487"/>
    <n v="122"/>
    <n v="1800"/>
    <n v="3010"/>
    <n v="0"/>
    <n v="0"/>
    <n v="0"/>
    <n v="54097"/>
    <n v="54097"/>
    <n v="0"/>
    <n v="0"/>
    <n v="0"/>
    <n v="200"/>
    <n v="1800"/>
    <n v="0"/>
    <n v="0"/>
    <n v="0"/>
    <n v="0"/>
    <n v="2000"/>
    <n v="52097"/>
    <m/>
    <m/>
  </r>
  <r>
    <d v="2025-08-01T00:00:00"/>
    <s v="Salary"/>
    <s v="S19014J001"/>
    <s v="MOONSTONE REALINFRA PRIVATE LIMITED"/>
    <n v="1758"/>
    <s v="SHASHIKANT RAJKUMAR BHASKAR"/>
    <s v="Male"/>
    <s v=""/>
    <s v="May 25, 2024"/>
    <s v="DUVPB0713F"/>
    <s v="101916942813"/>
    <x v="9"/>
    <s v="SENIOR ENGINEER"/>
    <x v="0"/>
    <s v="TM"/>
    <s v="PF"/>
    <s v="NA"/>
    <s v=""/>
    <s v=""/>
    <s v="630621029579"/>
    <s v="50100563889297"/>
    <s v="HDFC BANK"/>
    <s v="HDFC0009526"/>
    <n v="31"/>
    <n v="0"/>
    <n v="1"/>
    <n v="30"/>
    <n v="30"/>
    <n v="68220"/>
    <n v="68220"/>
    <n v="29709"/>
    <n v="11884"/>
    <n v="1548"/>
    <n v="194"/>
    <n v="1210"/>
    <n v="2475"/>
    <n v="5942"/>
    <n v="4456"/>
    <n v="297"/>
    <n v="1040"/>
    <n v="594"/>
    <n v="149"/>
    <n v="1800"/>
    <n v="4721"/>
    <n v="0"/>
    <n v="0"/>
    <n v="1892"/>
    <n v="67911"/>
    <n v="66019"/>
    <n v="0"/>
    <n v="0"/>
    <n v="0"/>
    <n v="200"/>
    <n v="1800"/>
    <n v="0"/>
    <n v="0"/>
    <n v="0"/>
    <n v="0"/>
    <n v="2000"/>
    <n v="65911"/>
    <m/>
    <m/>
  </r>
  <r>
    <d v="2025-08-01T00:00:00"/>
    <s v="Salary"/>
    <s v="S19014J001"/>
    <s v="MOONSTONE REALINFRA PRIVATE LIMITED"/>
    <n v="1624"/>
    <s v="SHRINATH SITARAM KHANDALE"/>
    <s v="Male"/>
    <s v=""/>
    <s v="Jan 23, 2024"/>
    <s v="BIZPK8142F"/>
    <s v="101215605497"/>
    <x v="22"/>
    <s v="SUPERVISOR"/>
    <x v="0"/>
    <s v="TM"/>
    <s v="PF"/>
    <s v="NA"/>
    <s v=""/>
    <s v=""/>
    <s v="740935311886"/>
    <s v="50100647442391"/>
    <s v="HDFC BANK"/>
    <s v="HDFC0008300"/>
    <n v="31"/>
    <n v="0"/>
    <n v="0"/>
    <n v="31"/>
    <n v="31"/>
    <n v="42042"/>
    <n v="42042"/>
    <n v="18919"/>
    <n v="7568"/>
    <n v="1600"/>
    <n v="200"/>
    <n v="1250"/>
    <n v="1576"/>
    <n v="3784"/>
    <n v="2838"/>
    <n v="189"/>
    <n v="662"/>
    <n v="378"/>
    <n v="95"/>
    <n v="1800"/>
    <n v="1183"/>
    <n v="0"/>
    <n v="2600"/>
    <n v="0"/>
    <n v="44642"/>
    <n v="44642"/>
    <n v="0"/>
    <n v="0"/>
    <n v="0"/>
    <n v="200"/>
    <n v="1800"/>
    <n v="0"/>
    <n v="0"/>
    <n v="0"/>
    <n v="0"/>
    <n v="2000"/>
    <n v="42642"/>
    <m/>
    <m/>
  </r>
  <r>
    <d v="2025-08-01T00:00:00"/>
    <s v="Salary"/>
    <s v="S19014J001"/>
    <s v="MOONSTONE REALINFRA PRIVATE LIMITED"/>
    <n v="1738"/>
    <s v="SHRIVATSA SHRIRANG DESHPANDE"/>
    <s v="Male"/>
    <s v=""/>
    <s v="May 02, 2024"/>
    <s v="CQKPD1013N"/>
    <s v="102074135450"/>
    <x v="33"/>
    <s v="JUNIOR ENGINEER"/>
    <x v="0"/>
    <s v="TM"/>
    <s v="PF"/>
    <s v="NA"/>
    <s v=""/>
    <s v=""/>
    <s v="775752480136"/>
    <s v="50100318176957"/>
    <s v="HDFC BANK"/>
    <s v="HDFC0000007"/>
    <n v="31"/>
    <n v="0"/>
    <n v="0"/>
    <n v="31"/>
    <n v="31"/>
    <n v="35983"/>
    <n v="35983"/>
    <n v="16192"/>
    <n v="6477"/>
    <n v="1600"/>
    <n v="200"/>
    <n v="1250"/>
    <n v="0"/>
    <n v="0"/>
    <n v="0"/>
    <n v="0"/>
    <n v="0"/>
    <n v="0"/>
    <n v="0"/>
    <n v="1800"/>
    <n v="8464"/>
    <n v="0"/>
    <n v="1000"/>
    <n v="0"/>
    <n v="36983"/>
    <n v="36983"/>
    <n v="0"/>
    <n v="0"/>
    <n v="0"/>
    <n v="200"/>
    <n v="1800"/>
    <n v="0"/>
    <n v="0"/>
    <n v="0"/>
    <n v="0"/>
    <n v="2000"/>
    <n v="34983"/>
    <m/>
    <m/>
  </r>
  <r>
    <d v="2025-08-01T00:00:00"/>
    <s v="Salary"/>
    <s v="S19014J001"/>
    <s v="MOONSTONE REALINFRA PRIVATE LIMITED"/>
    <n v="1510"/>
    <s v="SIDDHARTH VIJAY PANDIT"/>
    <s v="Male"/>
    <s v=""/>
    <s v="Aug 24, 2023"/>
    <s v="EQTPP2620G"/>
    <s v="101281441913"/>
    <x v="23"/>
    <s v="ASSISTANT MANAGER"/>
    <x v="1"/>
    <s v="TM"/>
    <s v="PF"/>
    <s v="NA"/>
    <s v=""/>
    <s v=""/>
    <s v="417386289363"/>
    <s v="50100317491982"/>
    <s v="HDFC BANK"/>
    <s v="HDFC0000007"/>
    <n v="31"/>
    <n v="0"/>
    <n v="0"/>
    <n v="31"/>
    <n v="31"/>
    <n v="49307"/>
    <n v="49307"/>
    <n v="22188"/>
    <n v="8875"/>
    <n v="1600"/>
    <n v="200"/>
    <n v="1250"/>
    <n v="1848"/>
    <n v="4438"/>
    <n v="3328"/>
    <n v="222"/>
    <n v="777"/>
    <n v="444"/>
    <n v="111"/>
    <n v="1800"/>
    <n v="2226"/>
    <n v="0"/>
    <n v="0"/>
    <n v="0"/>
    <n v="49307"/>
    <n v="49307"/>
    <n v="0"/>
    <n v="0"/>
    <n v="0"/>
    <n v="200"/>
    <n v="1800"/>
    <n v="0"/>
    <n v="0"/>
    <n v="0"/>
    <n v="0"/>
    <n v="2000"/>
    <n v="47307"/>
    <m/>
    <m/>
  </r>
  <r>
    <d v="2025-08-01T00:00:00"/>
    <s v="Salary"/>
    <s v="S19014J001"/>
    <s v="MOONSTONE REALINFRA PRIVATE LIMITED"/>
    <n v="2175"/>
    <s v="SNEHAL PRASHANT WALE"/>
    <s v="Female"/>
    <s v=""/>
    <s v="Jul 15, 2025"/>
    <s v="CHLPK4878N"/>
    <s v="102226028536"/>
    <x v="48"/>
    <s v="MANAGER"/>
    <x v="0"/>
    <s v="TL"/>
    <s v="PF"/>
    <s v="NA"/>
    <s v=""/>
    <s v=""/>
    <s v="499534600849"/>
    <s v="99997798677300"/>
    <s v="HDFC BANK"/>
    <s v="HDFC0001795"/>
    <n v="31"/>
    <n v="0"/>
    <n v="0"/>
    <n v="31"/>
    <n v="31"/>
    <n v="137785"/>
    <n v="137785"/>
    <n v="62003"/>
    <n v="24801"/>
    <n v="1600"/>
    <n v="200"/>
    <n v="1250"/>
    <n v="5165"/>
    <n v="12401"/>
    <n v="9300"/>
    <n v="620"/>
    <n v="2170"/>
    <n v="1240"/>
    <n v="310"/>
    <n v="1800"/>
    <n v="14925"/>
    <n v="0"/>
    <n v="0"/>
    <n v="0"/>
    <n v="137785"/>
    <n v="137785"/>
    <n v="0"/>
    <n v="0"/>
    <n v="0"/>
    <n v="200"/>
    <n v="1800"/>
    <n v="0"/>
    <n v="0"/>
    <n v="0"/>
    <n v="0"/>
    <n v="2000"/>
    <n v="135785"/>
    <m/>
    <m/>
  </r>
  <r>
    <d v="2025-08-01T00:00:00"/>
    <s v="Salary"/>
    <s v="S19014J001"/>
    <s v="MOONSTONE REALINFRA PRIVATE LIMITED"/>
    <n v="1589"/>
    <s v="TAUKEEL RASHID JAMADAR"/>
    <s v="Male"/>
    <s v=""/>
    <s v="Jan 02, 2024"/>
    <s v="CGPPJ6786D"/>
    <s v="102034245800"/>
    <x v="0"/>
    <s v="FIELD ENGINEER"/>
    <x v="0"/>
    <s v="TM"/>
    <s v="PF"/>
    <s v="NA"/>
    <s v=""/>
    <s v=""/>
    <s v="477762356796"/>
    <s v="50100624533482"/>
    <s v="HDFC BANK"/>
    <s v="HDFC0000007"/>
    <n v="31"/>
    <n v="0"/>
    <n v="0"/>
    <n v="31"/>
    <n v="31"/>
    <n v="34250"/>
    <n v="34250"/>
    <n v="15413"/>
    <n v="6165"/>
    <n v="1600"/>
    <n v="200"/>
    <n v="1250"/>
    <n v="0"/>
    <n v="0"/>
    <n v="0"/>
    <n v="0"/>
    <n v="0"/>
    <n v="0"/>
    <n v="0"/>
    <n v="1800"/>
    <n v="7822"/>
    <n v="0"/>
    <n v="0"/>
    <n v="0"/>
    <n v="34250"/>
    <n v="34250"/>
    <n v="0"/>
    <n v="0"/>
    <n v="0"/>
    <n v="200"/>
    <n v="1800"/>
    <n v="0"/>
    <n v="0"/>
    <n v="0"/>
    <n v="0"/>
    <n v="2000"/>
    <n v="32250"/>
    <m/>
    <m/>
  </r>
  <r>
    <d v="2025-08-01T00:00:00"/>
    <s v="Salary"/>
    <s v="S19014J001"/>
    <s v="MOONSTONE REALINFRA PRIVATE LIMITED"/>
    <n v="2069"/>
    <s v="TIPPUSULATAN ABDUL NADAF"/>
    <s v="Male"/>
    <s v=""/>
    <s v="Mar 25, 2025"/>
    <s v="ATNPN5727D"/>
    <s v="102119999896"/>
    <x v="1"/>
    <s v="ASSISTANT PROJECT MANAGER"/>
    <x v="0"/>
    <s v="TL"/>
    <s v="PF"/>
    <s v="NA"/>
    <s v=""/>
    <s v=""/>
    <s v="308508124099"/>
    <s v="50100090742768"/>
    <s v="HDFC BANK"/>
    <s v="HDFC0005554"/>
    <n v="31"/>
    <n v="0"/>
    <n v="0"/>
    <n v="31"/>
    <n v="31"/>
    <n v="70000"/>
    <n v="70000"/>
    <n v="31500"/>
    <n v="12600"/>
    <n v="1600"/>
    <n v="200"/>
    <n v="1250"/>
    <n v="2624"/>
    <n v="6300"/>
    <n v="4725"/>
    <n v="315"/>
    <n v="1103"/>
    <n v="630"/>
    <n v="158"/>
    <n v="1800"/>
    <n v="5195"/>
    <n v="0"/>
    <n v="1200"/>
    <n v="0"/>
    <n v="71200"/>
    <n v="71200"/>
    <n v="0"/>
    <n v="0"/>
    <n v="0"/>
    <n v="200"/>
    <n v="1800"/>
    <n v="0"/>
    <n v="0"/>
    <n v="0"/>
    <n v="0"/>
    <n v="2000"/>
    <n v="69200"/>
    <m/>
    <m/>
  </r>
  <r>
    <d v="2025-08-01T00:00:00"/>
    <s v="Salary"/>
    <s v="S19014J001"/>
    <s v="MOONSTONE REALINFRA PRIVATE LIMITED"/>
    <n v="454"/>
    <s v="Tulsidas Rajeram Jadhav"/>
    <s v="Male"/>
    <s v=""/>
    <s v="Apr 17, 2019"/>
    <s v="AYBPJ9623R"/>
    <s v="101242964024"/>
    <x v="49"/>
    <s v="OFFICE ASSISTANT"/>
    <x v="0"/>
    <s v="TM"/>
    <s v="PF"/>
    <s v="NA"/>
    <s v=""/>
    <s v=""/>
    <s v="229139310763"/>
    <s v="50100459101052"/>
    <s v="HDFC BANK"/>
    <s v="HDFC0002844"/>
    <n v="31"/>
    <n v="0"/>
    <n v="0"/>
    <n v="31"/>
    <n v="31"/>
    <n v="27925"/>
    <n v="27925"/>
    <n v="12566"/>
    <n v="5026"/>
    <n v="1600"/>
    <n v="200"/>
    <n v="1250"/>
    <n v="0"/>
    <n v="0"/>
    <n v="0"/>
    <n v="0"/>
    <n v="0"/>
    <n v="0"/>
    <n v="0"/>
    <n v="1508"/>
    <n v="5775"/>
    <n v="0"/>
    <n v="0"/>
    <n v="5688"/>
    <n v="33613"/>
    <n v="27925"/>
    <n v="0"/>
    <n v="0"/>
    <n v="0"/>
    <n v="200"/>
    <n v="1508"/>
    <n v="0"/>
    <n v="0"/>
    <n v="0"/>
    <n v="0"/>
    <n v="1708"/>
    <n v="31905"/>
    <m/>
    <m/>
  </r>
  <r>
    <d v="2025-08-01T00:00:00"/>
    <s v="Salary"/>
    <s v="S19014J001"/>
    <s v="MOONSTONE REALINFRA PRIVATE LIMITED"/>
    <n v="1515"/>
    <s v="UJJWAL PANCHANAN SARKAR"/>
    <s v="Male"/>
    <s v=""/>
    <s v="Sep 01, 2023"/>
    <s v="BNXPS5649Q"/>
    <s v="100536583293"/>
    <x v="36"/>
    <s v="GENERAL MANAGER"/>
    <x v="6"/>
    <s v="GL"/>
    <s v="PF"/>
    <s v="NA"/>
    <s v=""/>
    <s v=""/>
    <s v="893388738382"/>
    <s v="99991683288448"/>
    <s v="HDFC BANK"/>
    <s v="HDFC0000223"/>
    <n v="31"/>
    <n v="0"/>
    <n v="0"/>
    <n v="31"/>
    <n v="31"/>
    <n v="184245"/>
    <n v="184245"/>
    <n v="82910"/>
    <n v="33164"/>
    <n v="1600"/>
    <n v="200"/>
    <n v="1250"/>
    <n v="6906"/>
    <n v="16582"/>
    <n v="12437"/>
    <n v="829"/>
    <n v="2902"/>
    <n v="1658"/>
    <n v="415"/>
    <n v="1800"/>
    <n v="21592"/>
    <n v="0"/>
    <n v="0"/>
    <n v="0"/>
    <n v="184245"/>
    <n v="184245"/>
    <n v="0"/>
    <n v="0"/>
    <n v="26142"/>
    <n v="200"/>
    <n v="1800"/>
    <n v="0"/>
    <n v="0"/>
    <n v="0"/>
    <n v="0"/>
    <n v="28142"/>
    <n v="156103"/>
    <m/>
    <m/>
  </r>
  <r>
    <d v="2025-08-01T00:00:00"/>
    <s v="Salary"/>
    <s v="S19014J001"/>
    <s v="MOONSTONE REALINFRA PRIVATE LIMITED"/>
    <n v="2015"/>
    <s v="VAIJNATH KIRAN DHURVE"/>
    <s v="Male"/>
    <s v=""/>
    <s v="Feb 17, 2025"/>
    <s v="FFEPD0662H"/>
    <s v="102171851953"/>
    <x v="6"/>
    <s v="MANAGEMENT TRAINEE"/>
    <x v="6"/>
    <s v="MT"/>
    <s v="PF"/>
    <s v="NA"/>
    <s v=""/>
    <s v=""/>
    <s v="264600892806"/>
    <s v="50100731565520"/>
    <s v="HDFC BANK"/>
    <s v="HDFC0000007"/>
    <n v="31"/>
    <n v="0"/>
    <n v="1"/>
    <n v="30"/>
    <n v="30"/>
    <n v="56533"/>
    <n v="56533"/>
    <n v="24619"/>
    <n v="9848"/>
    <n v="1548"/>
    <n v="194"/>
    <n v="1210"/>
    <n v="2051"/>
    <n v="4924"/>
    <n v="3693"/>
    <n v="246"/>
    <n v="862"/>
    <n v="492"/>
    <n v="123"/>
    <n v="1800"/>
    <n v="3099"/>
    <n v="0"/>
    <n v="0"/>
    <n v="2450"/>
    <n v="57159"/>
    <n v="54709"/>
    <n v="0"/>
    <n v="0"/>
    <n v="0"/>
    <n v="200"/>
    <n v="1800"/>
    <n v="0"/>
    <n v="0"/>
    <n v="0"/>
    <n v="0"/>
    <n v="2000"/>
    <n v="55159"/>
    <m/>
    <m/>
  </r>
  <r>
    <d v="2025-08-01T00:00:00"/>
    <s v="Salary"/>
    <s v="S19014J001"/>
    <s v="MOONSTONE REALINFRA PRIVATE LIMITED"/>
    <n v="1166"/>
    <s v="VENKATESH AGASAR"/>
    <s v="Male"/>
    <s v=""/>
    <s v="Aug 01, 2022"/>
    <s v="BVSPA7273D"/>
    <s v="101852002045"/>
    <x v="50"/>
    <s v="SENIOR EXECUTIVE"/>
    <x v="0"/>
    <s v="TM"/>
    <s v="PF"/>
    <s v="NA"/>
    <s v=""/>
    <s v=""/>
    <s v="225161825284"/>
    <s v="50100744366803"/>
    <s v="HDFC BANK"/>
    <s v="HDFC0001210"/>
    <n v="31"/>
    <n v="0"/>
    <n v="0"/>
    <n v="31"/>
    <n v="31"/>
    <n v="59983"/>
    <n v="59983"/>
    <n v="26992"/>
    <n v="10797"/>
    <n v="1600"/>
    <n v="200"/>
    <n v="1250"/>
    <n v="2248"/>
    <n v="5398"/>
    <n v="4049"/>
    <n v="270"/>
    <n v="945"/>
    <n v="540"/>
    <n v="135"/>
    <n v="1800"/>
    <n v="3759"/>
    <n v="0"/>
    <n v="200"/>
    <n v="0"/>
    <n v="60183"/>
    <n v="60183"/>
    <n v="0"/>
    <n v="0"/>
    <n v="0"/>
    <n v="200"/>
    <n v="1800"/>
    <n v="0"/>
    <n v="0"/>
    <n v="0"/>
    <n v="0"/>
    <n v="2000"/>
    <n v="58183"/>
    <m/>
    <m/>
  </r>
  <r>
    <d v="2025-08-01T00:00:00"/>
    <s v="Salary"/>
    <s v="S19014J001"/>
    <s v="MOONSTONE REALINFRA PRIVATE LIMITED"/>
    <n v="247"/>
    <s v="VICKY SONAWANE"/>
    <s v="Male"/>
    <s v=""/>
    <s v="Nov 02, 2017"/>
    <s v="DUIPS5584N"/>
    <s v="101343066494"/>
    <x v="13"/>
    <s v="ADMIN - EXECUTIVE"/>
    <x v="0"/>
    <s v="TM"/>
    <s v="PF"/>
    <s v="NA"/>
    <s v=""/>
    <s v=""/>
    <s v="556127037647"/>
    <s v="50100225745629"/>
    <s v="HDFC BANK"/>
    <s v="HDFC0000633"/>
    <n v="31"/>
    <n v="0"/>
    <n v="0"/>
    <n v="31"/>
    <n v="31"/>
    <n v="34308"/>
    <n v="34308"/>
    <n v="15439"/>
    <n v="6176"/>
    <n v="1600"/>
    <n v="200"/>
    <n v="1250"/>
    <n v="0"/>
    <n v="0"/>
    <n v="0"/>
    <n v="0"/>
    <n v="0"/>
    <n v="0"/>
    <n v="0"/>
    <n v="1800"/>
    <n v="7843"/>
    <n v="0"/>
    <n v="400"/>
    <n v="5418"/>
    <n v="40126"/>
    <n v="34708"/>
    <n v="0"/>
    <n v="0"/>
    <n v="0"/>
    <n v="200"/>
    <n v="1800"/>
    <n v="0"/>
    <n v="0"/>
    <n v="0"/>
    <n v="0"/>
    <n v="2000"/>
    <n v="38126"/>
    <m/>
    <m/>
  </r>
  <r>
    <d v="2025-08-01T00:00:00"/>
    <s v="Salary"/>
    <s v="S19014J001"/>
    <s v="MOONSTONE REALINFRA PRIVATE LIMITED"/>
    <n v="1237"/>
    <s v="VISHAL BHAGWAN BHALERAO"/>
    <s v="Male"/>
    <s v=""/>
    <s v="Nov 04, 2022"/>
    <s v="ASCPB5291L"/>
    <s v="101511554357"/>
    <x v="4"/>
    <s v="Site Supervisor"/>
    <x v="0"/>
    <s v="TM"/>
    <s v="PF"/>
    <s v="NA"/>
    <s v=""/>
    <s v=""/>
    <s v="959686301184"/>
    <s v="50100317490351"/>
    <s v="HDFC BANK"/>
    <s v="HDFC0000007"/>
    <n v="31"/>
    <n v="0"/>
    <n v="4"/>
    <n v="27"/>
    <n v="27"/>
    <n v="31644"/>
    <n v="31644"/>
    <n v="12402"/>
    <n v="4961"/>
    <n v="1394"/>
    <n v="174"/>
    <n v="1089"/>
    <n v="0"/>
    <n v="0"/>
    <n v="0"/>
    <n v="0"/>
    <n v="0"/>
    <n v="0"/>
    <n v="0"/>
    <n v="1488"/>
    <n v="6053"/>
    <n v="0"/>
    <n v="200"/>
    <n v="0"/>
    <n v="27761"/>
    <n v="27761"/>
    <n v="0"/>
    <n v="0"/>
    <n v="0"/>
    <n v="200"/>
    <n v="1488"/>
    <n v="0"/>
    <n v="0"/>
    <n v="0"/>
    <n v="0"/>
    <n v="1688"/>
    <n v="26073"/>
    <m/>
    <m/>
  </r>
  <r>
    <d v="2025-08-01T00:00:00"/>
    <s v="Salary"/>
    <s v="S19014J001"/>
    <s v="MOONSTONE REALINFRA PRIVATE LIMITED"/>
    <n v="1941"/>
    <s v="VISHAL BHAUSAHEB KHAMGAL"/>
    <s v="Male"/>
    <s v=""/>
    <s v="Dec 02, 2024"/>
    <s v="JMIPK9231A"/>
    <s v="101949409807"/>
    <x v="33"/>
    <s v="JUNIOR ENGINEER"/>
    <x v="0"/>
    <s v="TM"/>
    <s v="PF"/>
    <s v="NA"/>
    <s v=""/>
    <s v=""/>
    <s v="664943149815"/>
    <s v="50100390573599"/>
    <s v="HDFC BANK"/>
    <s v="HDFC0000794"/>
    <n v="31"/>
    <n v="0"/>
    <n v="2"/>
    <n v="29"/>
    <n v="29"/>
    <n v="43800"/>
    <n v="43800"/>
    <n v="18438"/>
    <n v="7375"/>
    <n v="1497"/>
    <n v="187"/>
    <n v="1169"/>
    <n v="1536"/>
    <n v="3688"/>
    <n v="2766"/>
    <n v="184"/>
    <n v="645"/>
    <n v="369"/>
    <n v="92"/>
    <n v="1800"/>
    <n v="1228"/>
    <n v="0"/>
    <n v="19534"/>
    <n v="880"/>
    <n v="61388"/>
    <n v="60508"/>
    <n v="0"/>
    <n v="0"/>
    <n v="0"/>
    <n v="200"/>
    <n v="1800"/>
    <n v="0"/>
    <n v="0"/>
    <n v="0"/>
    <n v="0"/>
    <n v="2000"/>
    <n v="59388"/>
    <m/>
    <m/>
  </r>
  <r>
    <d v="2025-08-01T00:00:00"/>
    <s v="Salary"/>
    <s v="S19014J001"/>
    <s v="MOONSTONE REALINFRA PRIVATE LIMITED"/>
    <n v="1950"/>
    <s v="VISHAL DILIP GAIKWAD"/>
    <s v="Male"/>
    <s v=""/>
    <s v="Dec 12, 2024"/>
    <s v="AQIPG9250G"/>
    <s v="101589191488"/>
    <x v="4"/>
    <s v="SITE SUPERVISOR"/>
    <x v="0"/>
    <s v="SS"/>
    <s v="PF"/>
    <s v="NA"/>
    <s v=""/>
    <s v=""/>
    <s v="501229058284"/>
    <s v="0607104000125031"/>
    <s v="IDBI BANK"/>
    <s v="IBKL0000607"/>
    <n v="31"/>
    <n v="0"/>
    <n v="0"/>
    <n v="31"/>
    <n v="31"/>
    <n v="35283"/>
    <n v="35283"/>
    <n v="15877"/>
    <n v="6351"/>
    <n v="1600"/>
    <n v="200"/>
    <n v="1250"/>
    <n v="0"/>
    <n v="0"/>
    <n v="0"/>
    <n v="0"/>
    <n v="0"/>
    <n v="0"/>
    <n v="0"/>
    <n v="1800"/>
    <n v="8205"/>
    <n v="0"/>
    <n v="0"/>
    <n v="0"/>
    <n v="35283"/>
    <n v="35283"/>
    <n v="0"/>
    <n v="0"/>
    <n v="0"/>
    <n v="200"/>
    <n v="1800"/>
    <n v="0"/>
    <n v="0"/>
    <n v="0"/>
    <n v="0"/>
    <n v="2000"/>
    <n v="33283"/>
    <m/>
    <m/>
  </r>
  <r>
    <d v="2025-08-01T00:00:00"/>
    <s v="Salary"/>
    <s v="S19014J001"/>
    <s v="MOONSTONE REALINFRA PRIVATE LIMITED"/>
    <n v="1370"/>
    <s v="VISHAL SHANTARAM KORADE"/>
    <s v="Male"/>
    <s v=""/>
    <s v="Apr 10, 2023"/>
    <s v="BLYPK5831K"/>
    <s v="101150007330"/>
    <x v="21"/>
    <s v="EXECUTIVE - ADMIN"/>
    <x v="2"/>
    <s v="TM"/>
    <s v="PF"/>
    <s v="NA"/>
    <s v=""/>
    <s v=""/>
    <s v="491390366032"/>
    <s v="50100624533367"/>
    <s v="HDFC BANK"/>
    <s v="HDFC0000007"/>
    <n v="31"/>
    <n v="0"/>
    <n v="0"/>
    <n v="31"/>
    <n v="31"/>
    <n v="33000"/>
    <n v="33000"/>
    <n v="14850"/>
    <n v="5940"/>
    <n v="1600"/>
    <n v="200"/>
    <n v="1250"/>
    <n v="0"/>
    <n v="0"/>
    <n v="0"/>
    <n v="0"/>
    <n v="0"/>
    <n v="0"/>
    <n v="0"/>
    <n v="1782"/>
    <n v="7378"/>
    <n v="0"/>
    <n v="0"/>
    <n v="0"/>
    <n v="33000"/>
    <n v="33000"/>
    <n v="0"/>
    <n v="0"/>
    <n v="0"/>
    <n v="200"/>
    <n v="1782"/>
    <n v="0"/>
    <n v="0"/>
    <n v="0"/>
    <n v="0"/>
    <n v="1982"/>
    <n v="31018"/>
    <m/>
    <m/>
  </r>
  <r>
    <d v="2025-08-01T00:00:00"/>
    <s v="Salary"/>
    <s v="S19014J001"/>
    <s v="MOONSTONE REALINFRA PRIVATE LIMITED"/>
    <n v="2049"/>
    <s v="VIVEK VILAS BHOSALE"/>
    <s v="Male"/>
    <s v=""/>
    <s v="Mar 13, 2025"/>
    <s v="EXDPB6825C"/>
    <s v="102055428527"/>
    <x v="6"/>
    <s v="MANAGEMENT TRAINEE"/>
    <x v="0"/>
    <s v="MT"/>
    <s v="PF"/>
    <s v="NA"/>
    <s v=""/>
    <s v=""/>
    <s v="826110651139"/>
    <s v="50100808789342"/>
    <s v="HDFC BANK"/>
    <s v="HDFC0001210"/>
    <n v="31"/>
    <n v="0"/>
    <n v="1"/>
    <n v="30"/>
    <n v="30"/>
    <n v="27713"/>
    <n v="27713"/>
    <n v="12069"/>
    <n v="4828"/>
    <n v="1548"/>
    <n v="194"/>
    <n v="1210"/>
    <n v="0"/>
    <n v="0"/>
    <n v="0"/>
    <n v="0"/>
    <n v="0"/>
    <n v="0"/>
    <n v="0"/>
    <n v="1448"/>
    <n v="5522"/>
    <n v="0"/>
    <n v="0"/>
    <n v="0"/>
    <n v="26819"/>
    <n v="26819"/>
    <n v="0"/>
    <n v="0"/>
    <n v="0"/>
    <n v="200"/>
    <n v="1448"/>
    <n v="0"/>
    <n v="0"/>
    <n v="0"/>
    <n v="0"/>
    <n v="1648"/>
    <n v="25171"/>
    <m/>
    <m/>
  </r>
  <r>
    <d v="2025-08-01T00:00:00"/>
    <s v="Salary"/>
    <s v="S19014J001"/>
    <s v="MOONSTONE REALINFRA PRIVATE LIMITED"/>
    <n v="1121"/>
    <s v="YASH HARESH DAGHA"/>
    <s v="Male"/>
    <s v=""/>
    <s v="Jun 15, 2022"/>
    <s v="ASJPD7716K"/>
    <s v="101459690850"/>
    <x v="42"/>
    <s v="SENIOR MANAGER"/>
    <x v="6"/>
    <s v="TL"/>
    <s v="PF"/>
    <s v="NA"/>
    <s v=""/>
    <s v=""/>
    <s v="975613704897"/>
    <s v="50100489634680"/>
    <s v="HDFC BANK"/>
    <s v="HDFC0000163"/>
    <n v="31"/>
    <n v="0"/>
    <n v="0"/>
    <n v="31"/>
    <n v="31"/>
    <n v="206500"/>
    <n v="206500"/>
    <n v="92925"/>
    <n v="37170"/>
    <n v="1600"/>
    <n v="200"/>
    <n v="1250"/>
    <n v="7741"/>
    <n v="18585"/>
    <n v="13939"/>
    <n v="929"/>
    <n v="3252"/>
    <n v="1859"/>
    <n v="465"/>
    <n v="1800"/>
    <n v="24785"/>
    <n v="0"/>
    <n v="0"/>
    <n v="15016"/>
    <n v="221516"/>
    <n v="206500"/>
    <n v="0"/>
    <n v="0"/>
    <n v="39812"/>
    <n v="200"/>
    <n v="1800"/>
    <n v="0"/>
    <n v="0"/>
    <n v="0"/>
    <n v="0"/>
    <n v="41812"/>
    <n v="179704"/>
    <m/>
    <m/>
  </r>
  <r>
    <d v="2025-08-01T00:00:00"/>
    <s v="Salary"/>
    <s v="S19014J001"/>
    <s v="MOONSTONE REALINFRA PRIVATE LIMITED"/>
    <n v="1496"/>
    <s v="YOGESH KALIDAS PAWAR"/>
    <s v="Male"/>
    <s v=""/>
    <s v="Aug 01, 2023"/>
    <s v="ASXPP0952H"/>
    <s v="101235805115"/>
    <x v="9"/>
    <s v="SENIOR ENGINEER"/>
    <x v="0"/>
    <s v="TM"/>
    <s v="PF"/>
    <s v="NA"/>
    <s v=""/>
    <s v=""/>
    <s v="487287182825"/>
    <s v="50100505734101"/>
    <s v="HDFC BANK"/>
    <s v="HDFC0000039"/>
    <n v="31"/>
    <n v="0"/>
    <n v="0.5"/>
    <n v="30.5"/>
    <n v="30.5"/>
    <n v="55383"/>
    <n v="55383"/>
    <n v="24521"/>
    <n v="9808"/>
    <n v="1574"/>
    <n v="197"/>
    <n v="1230"/>
    <n v="2043"/>
    <n v="4904"/>
    <n v="3678"/>
    <n v="245"/>
    <n v="858"/>
    <n v="490"/>
    <n v="123"/>
    <n v="1800"/>
    <n v="3019"/>
    <n v="0"/>
    <n v="0"/>
    <n v="0"/>
    <n v="54490"/>
    <n v="54490"/>
    <n v="0"/>
    <n v="0"/>
    <n v="0"/>
    <n v="200"/>
    <n v="1800"/>
    <n v="0"/>
    <n v="0"/>
    <n v="0"/>
    <n v="0"/>
    <n v="2000"/>
    <n v="52490"/>
    <m/>
    <m/>
  </r>
  <r>
    <d v="2025-07-01T00:00:00"/>
    <s v="Salary"/>
    <s v="S19014J001"/>
    <s v="MOONSTONE REALINFRA PRIVATE LIMITED"/>
    <n v="1488"/>
    <s v="AAKASH ARVIND SHELAR"/>
    <s v="Male"/>
    <s v=""/>
    <s v="Jul 28, 2023"/>
    <s v="CKIPS7322F"/>
    <s v="101208002832"/>
    <x v="0"/>
    <s v="FIELD ENGINEER"/>
    <x v="0"/>
    <s v="TM"/>
    <s v="PF"/>
    <s v="NA"/>
    <s v=""/>
    <s v=""/>
    <s v="201223935020"/>
    <s v="50100317873546"/>
    <s v="HDFC BANK"/>
    <s v="HDFC0000007"/>
    <n v="31"/>
    <n v="0"/>
    <n v="1.5"/>
    <n v="29.5"/>
    <n v="29.5"/>
    <n v="42989"/>
    <n v="42989"/>
    <n v="18409"/>
    <n v="7364"/>
    <n v="1523"/>
    <n v="190"/>
    <n v="1190"/>
    <n v="1533"/>
    <n v="3682"/>
    <n v="2761"/>
    <n v="184"/>
    <n v="644"/>
    <n v="368"/>
    <n v="92"/>
    <n v="1800"/>
    <n v="1169"/>
    <n v="0"/>
    <n v="1200"/>
    <n v="0"/>
    <n v="42109"/>
    <n v="42109"/>
    <n v="0"/>
    <n v="0"/>
    <n v="0"/>
    <n v="200"/>
    <n v="1800"/>
    <n v="0"/>
    <n v="0"/>
    <n v="0"/>
    <n v="0"/>
    <n v="2000"/>
    <n v="40109"/>
    <m/>
    <m/>
  </r>
  <r>
    <d v="2025-07-01T00:00:00"/>
    <s v="Salary"/>
    <s v="S19014J001"/>
    <s v="MOONSTONE REALINFRA PRIVATE LIMITED"/>
    <n v="241"/>
    <s v="ABHIJIT SHEWALE"/>
    <s v="Male"/>
    <s v=""/>
    <s v="May 17, 2016"/>
    <s v="BDYPS3411D"/>
    <s v="101411999470"/>
    <x v="1"/>
    <s v="assistant project manager"/>
    <x v="0"/>
    <s v="TM"/>
    <s v="PF"/>
    <s v="NA"/>
    <s v=""/>
    <s v=""/>
    <s v="229249842338"/>
    <s v="50100745804232"/>
    <s v="HDFC BANK"/>
    <s v="HDFC0001791"/>
    <n v="31"/>
    <n v="0"/>
    <n v="0"/>
    <n v="31"/>
    <n v="31"/>
    <n v="66833"/>
    <n v="66833"/>
    <n v="30075"/>
    <n v="12030"/>
    <n v="1600"/>
    <n v="200"/>
    <n v="1250"/>
    <n v="2505"/>
    <n v="6015"/>
    <n v="4511"/>
    <n v="301"/>
    <n v="1053"/>
    <n v="602"/>
    <n v="150"/>
    <n v="1800"/>
    <n v="4741"/>
    <n v="0"/>
    <n v="200"/>
    <n v="0"/>
    <n v="67033"/>
    <n v="67033"/>
    <n v="0"/>
    <n v="0"/>
    <n v="0"/>
    <n v="200"/>
    <n v="1800"/>
    <n v="0"/>
    <n v="0"/>
    <n v="0"/>
    <n v="0"/>
    <n v="2000"/>
    <n v="65033"/>
    <m/>
    <m/>
  </r>
  <r>
    <d v="2025-07-01T00:00:00"/>
    <s v="Salary"/>
    <s v="S19014J001"/>
    <s v="MOONSTONE REALINFRA PRIVATE LIMITED"/>
    <n v="2163"/>
    <s v="AJAY ANIRUDDHA VAIDYA"/>
    <s v="Male"/>
    <s v=""/>
    <s v="Jul 08, 2025"/>
    <s v="AFVPV5692P"/>
    <s v="102185382695"/>
    <x v="38"/>
    <s v="GENERAL MANAGER"/>
    <x v="0"/>
    <s v="GL"/>
    <s v="PF"/>
    <s v="NA"/>
    <s v=""/>
    <s v=""/>
    <s v="806537391280"/>
    <s v="50100582779333"/>
    <s v="HDFC BANK"/>
    <s v="HDFC0001445"/>
    <n v="31"/>
    <n v="0"/>
    <n v="0"/>
    <n v="24"/>
    <n v="24"/>
    <n v="235700"/>
    <n v="235700"/>
    <n v="82115"/>
    <n v="32846"/>
    <n v="1239"/>
    <n v="200"/>
    <n v="968"/>
    <n v="6840"/>
    <n v="16423"/>
    <n v="12317"/>
    <n v="821"/>
    <n v="2874"/>
    <n v="1642"/>
    <n v="411"/>
    <n v="1800"/>
    <n v="21981"/>
    <n v="0"/>
    <n v="0"/>
    <n v="0"/>
    <n v="182477"/>
    <n v="182477"/>
    <n v="0"/>
    <n v="0"/>
    <n v="24449"/>
    <n v="200"/>
    <n v="1800"/>
    <n v="0"/>
    <n v="0"/>
    <n v="0"/>
    <n v="0"/>
    <n v="26449"/>
    <n v="156028"/>
    <m/>
    <m/>
  </r>
  <r>
    <d v="2025-07-01T00:00:00"/>
    <s v="Salary"/>
    <s v="S19014J001"/>
    <s v="MOONSTONE REALINFRA PRIVATE LIMITED"/>
    <n v="2020"/>
    <s v="AJAY KUMAR GUPTA"/>
    <s v="Male"/>
    <s v=""/>
    <s v="Feb 24, 2025"/>
    <s v="ASQPG3376F"/>
    <s v="102171897914"/>
    <x v="2"/>
    <s v="DEPUTY MANAGER"/>
    <x v="1"/>
    <s v="TM"/>
    <s v="PF"/>
    <s v="NA"/>
    <s v=""/>
    <s v=""/>
    <s v="877766770711"/>
    <s v="50100732468640"/>
    <s v="HDFC BANK"/>
    <s v="HDFC0000007"/>
    <n v="31"/>
    <n v="0"/>
    <n v="0"/>
    <n v="31"/>
    <n v="31"/>
    <n v="68450"/>
    <n v="68450"/>
    <n v="30803"/>
    <n v="12321"/>
    <n v="1600"/>
    <n v="200"/>
    <n v="1250"/>
    <n v="2566"/>
    <n v="6161"/>
    <n v="4620"/>
    <n v="308"/>
    <n v="1078"/>
    <n v="616"/>
    <n v="154"/>
    <n v="1800"/>
    <n v="4973"/>
    <n v="0"/>
    <n v="0"/>
    <n v="4273"/>
    <n v="72723"/>
    <n v="68450"/>
    <n v="0"/>
    <n v="0"/>
    <n v="0"/>
    <n v="200"/>
    <n v="1800"/>
    <n v="0"/>
    <n v="0"/>
    <n v="0"/>
    <n v="0"/>
    <n v="2000"/>
    <n v="70723"/>
    <m/>
    <m/>
  </r>
  <r>
    <d v="2025-07-01T00:00:00"/>
    <s v="Salary"/>
    <s v="S19014J001"/>
    <s v="MOONSTONE REALINFRA PRIVATE LIMITED"/>
    <n v="1770"/>
    <s v="AJIT KUMAR"/>
    <s v="Male"/>
    <s v=""/>
    <s v="Jun 03, 2024"/>
    <s v="BJLPK0917M"/>
    <s v="101437448909"/>
    <x v="2"/>
    <s v="DEPUTY MANAGER"/>
    <x v="1"/>
    <s v="TM"/>
    <s v="PF"/>
    <s v="NA"/>
    <s v=""/>
    <s v=""/>
    <s v="447833121308"/>
    <s v="50100390591634"/>
    <s v="HDFC BANK"/>
    <s v="HDFC0001794"/>
    <n v="31"/>
    <n v="0"/>
    <n v="0"/>
    <n v="31"/>
    <n v="31"/>
    <n v="109350"/>
    <n v="109350"/>
    <n v="49208"/>
    <n v="19683"/>
    <n v="1600"/>
    <n v="200"/>
    <n v="1250"/>
    <n v="4099"/>
    <n v="9842"/>
    <n v="7381"/>
    <n v="492"/>
    <n v="1722"/>
    <n v="984"/>
    <n v="246"/>
    <n v="1800"/>
    <n v="10843"/>
    <n v="0"/>
    <n v="0"/>
    <n v="0"/>
    <n v="109350"/>
    <n v="109350"/>
    <n v="0"/>
    <n v="0"/>
    <n v="7548"/>
    <n v="200"/>
    <n v="1800"/>
    <n v="0"/>
    <n v="0"/>
    <n v="0"/>
    <n v="0"/>
    <n v="9548"/>
    <n v="99802"/>
    <m/>
    <m/>
  </r>
  <r>
    <d v="2025-07-01T00:00:00"/>
    <s v="Salary"/>
    <s v="S19014J001"/>
    <s v="MOONSTONE REALINFRA PRIVATE LIMITED"/>
    <n v="2072"/>
    <s v="AMIT VILASRAO MALWADE"/>
    <s v="Male"/>
    <s v=""/>
    <s v="Apr 01, 2025"/>
    <s v="BYWPM1111R"/>
    <s v="100098825740"/>
    <x v="3"/>
    <s v="SENIOR MANAGER - MEP"/>
    <x v="0"/>
    <s v="TL"/>
    <s v="PF"/>
    <s v="NA"/>
    <s v=""/>
    <s v=""/>
    <s v="572207945645"/>
    <s v="50100288775748"/>
    <s v="HDFC BANK"/>
    <s v="HDFC0001578"/>
    <n v="31"/>
    <n v="0"/>
    <n v="2"/>
    <n v="29"/>
    <n v="29"/>
    <n v="123200"/>
    <n v="123200"/>
    <n v="51863"/>
    <n v="20745"/>
    <n v="1497"/>
    <n v="187"/>
    <n v="1169"/>
    <n v="4320"/>
    <n v="10373"/>
    <n v="7779"/>
    <n v="519"/>
    <n v="1815"/>
    <n v="1037"/>
    <n v="259"/>
    <n v="1800"/>
    <n v="11889"/>
    <n v="0"/>
    <n v="0"/>
    <n v="0"/>
    <n v="115252"/>
    <n v="115252"/>
    <n v="0"/>
    <n v="0"/>
    <n v="7213"/>
    <n v="200"/>
    <n v="1800"/>
    <n v="0"/>
    <n v="0"/>
    <n v="0"/>
    <n v="0"/>
    <n v="9213"/>
    <n v="106039"/>
    <m/>
    <m/>
  </r>
  <r>
    <d v="2025-07-01T00:00:00"/>
    <s v="Salary"/>
    <s v="S19014J001"/>
    <s v="MOONSTONE REALINFRA PRIVATE LIMITED"/>
    <n v="1440"/>
    <s v="AMOL BHANUDAS LOKHANDE"/>
    <s v="Male"/>
    <s v=""/>
    <s v="Jun 07, 2023"/>
    <s v="AFPPL3898F"/>
    <s v="101428013109"/>
    <x v="4"/>
    <s v="Site Supervisor"/>
    <x v="0"/>
    <s v="TM"/>
    <s v="PF"/>
    <s v="NA"/>
    <s v=""/>
    <s v=""/>
    <s v="311191516453"/>
    <s v="50100317873701"/>
    <s v="HDFC BANK"/>
    <s v="HDFC0000007"/>
    <n v="31"/>
    <n v="0"/>
    <n v="0"/>
    <n v="31"/>
    <n v="31"/>
    <n v="38617"/>
    <n v="38617"/>
    <n v="17378"/>
    <n v="6951"/>
    <n v="1600"/>
    <n v="200"/>
    <n v="1250"/>
    <n v="0"/>
    <n v="0"/>
    <n v="0"/>
    <n v="0"/>
    <n v="0"/>
    <n v="0"/>
    <n v="0"/>
    <n v="1800"/>
    <n v="9438"/>
    <n v="0"/>
    <n v="0"/>
    <n v="0"/>
    <n v="38617"/>
    <n v="38617"/>
    <n v="0"/>
    <n v="0"/>
    <n v="0"/>
    <n v="200"/>
    <n v="1800"/>
    <n v="0"/>
    <n v="0"/>
    <n v="0"/>
    <n v="0"/>
    <n v="2000"/>
    <n v="36617"/>
    <m/>
    <m/>
  </r>
  <r>
    <d v="2025-07-01T00:00:00"/>
    <s v="Salary"/>
    <s v="S19014J001"/>
    <s v="MOONSTONE REALINFRA PRIVATE LIMITED"/>
    <n v="1803"/>
    <s v="AMRISH SATLING BHAIKATTI"/>
    <s v="Male"/>
    <s v=""/>
    <s v="Jun 26, 2024"/>
    <s v="BJPPB0731A"/>
    <s v="100871268608"/>
    <x v="4"/>
    <s v="Site Supervisor"/>
    <x v="0"/>
    <s v="TM"/>
    <s v="PF"/>
    <s v="NA"/>
    <s v=""/>
    <s v=""/>
    <s v="599090920656"/>
    <s v="50100396121468"/>
    <s v="HDFC BANK"/>
    <s v="HDFC0000148"/>
    <n v="31"/>
    <n v="0"/>
    <n v="0"/>
    <n v="31"/>
    <n v="31"/>
    <n v="40000"/>
    <n v="40000"/>
    <n v="18000"/>
    <n v="7200"/>
    <n v="1600"/>
    <n v="200"/>
    <n v="1250"/>
    <n v="0"/>
    <n v="0"/>
    <n v="0"/>
    <n v="0"/>
    <n v="0"/>
    <n v="0"/>
    <n v="0"/>
    <n v="1800"/>
    <n v="9950"/>
    <n v="0"/>
    <n v="0"/>
    <n v="0"/>
    <n v="40000"/>
    <n v="40000"/>
    <n v="0"/>
    <n v="0"/>
    <n v="0"/>
    <n v="200"/>
    <n v="1800"/>
    <n v="0"/>
    <n v="0"/>
    <n v="0"/>
    <n v="0"/>
    <n v="2000"/>
    <n v="38000"/>
    <m/>
    <m/>
  </r>
  <r>
    <d v="2025-07-01T00:00:00"/>
    <s v="Salary"/>
    <s v="S19014J001"/>
    <s v="MOONSTONE REALINFRA PRIVATE LIMITED"/>
    <n v="1484"/>
    <s v="ANNU PRIYA SINGH"/>
    <s v="Female"/>
    <s v=""/>
    <s v="Jul 21, 2023"/>
    <s v="BMKPP0899K"/>
    <s v="101703468619"/>
    <x v="15"/>
    <s v="SENIOR MANAGER - SALES"/>
    <x v="1"/>
    <s v="TL"/>
    <s v="PF"/>
    <s v="NA"/>
    <s v=""/>
    <s v=""/>
    <s v="492782446574"/>
    <s v="99996206293744"/>
    <s v="HDFC BANK"/>
    <s v="HDFC0000007"/>
    <n v="31"/>
    <n v="0"/>
    <n v="0"/>
    <n v="31"/>
    <n v="31"/>
    <n v="111343"/>
    <n v="111343"/>
    <n v="50104"/>
    <n v="20042"/>
    <n v="1600"/>
    <n v="200"/>
    <n v="1250"/>
    <n v="4174"/>
    <n v="10021"/>
    <n v="7516"/>
    <n v="501"/>
    <n v="1754"/>
    <n v="1002"/>
    <n v="251"/>
    <n v="1800"/>
    <n v="11128"/>
    <n v="0"/>
    <n v="0"/>
    <n v="0"/>
    <n v="111343"/>
    <n v="111343"/>
    <n v="0"/>
    <n v="0"/>
    <n v="8741"/>
    <n v="200"/>
    <n v="1800"/>
    <n v="0"/>
    <n v="0"/>
    <n v="0"/>
    <n v="0"/>
    <n v="10741"/>
    <n v="100602"/>
    <m/>
    <m/>
  </r>
  <r>
    <d v="2025-07-01T00:00:00"/>
    <s v="Salary"/>
    <s v="S19014J001"/>
    <s v="MOONSTONE REALINFRA PRIVATE LIMITED"/>
    <n v="1599"/>
    <s v="BHAVESH SHANKAR WANI"/>
    <s v="Male"/>
    <s v=""/>
    <s v="Jan 09, 2024"/>
    <s v="AGNPW7537K"/>
    <s v="102034237231"/>
    <x v="6"/>
    <s v="MANAGEMENT TRAINEE"/>
    <x v="1"/>
    <s v="TM"/>
    <s v="PF"/>
    <s v="NA"/>
    <s v=""/>
    <s v=""/>
    <s v="467176812861"/>
    <s v="50100394142702"/>
    <s v="HDFC BANK"/>
    <s v="HDFC0001785"/>
    <n v="31"/>
    <n v="0"/>
    <n v="0"/>
    <n v="31"/>
    <n v="31"/>
    <n v="51640"/>
    <n v="51640"/>
    <n v="23238"/>
    <n v="9295"/>
    <n v="1600"/>
    <n v="200"/>
    <n v="1250"/>
    <n v="1936"/>
    <n v="4648"/>
    <n v="3486"/>
    <n v="232"/>
    <n v="813"/>
    <n v="465"/>
    <n v="116"/>
    <n v="1800"/>
    <n v="2561"/>
    <n v="0"/>
    <n v="0"/>
    <n v="4211"/>
    <n v="55851"/>
    <n v="51640"/>
    <n v="0"/>
    <n v="0"/>
    <n v="0"/>
    <n v="200"/>
    <n v="1800"/>
    <n v="0"/>
    <n v="0"/>
    <n v="0"/>
    <n v="0"/>
    <n v="2000"/>
    <n v="53851"/>
    <m/>
    <m/>
  </r>
  <r>
    <d v="2025-07-01T00:00:00"/>
    <s v="Salary"/>
    <s v="S19014J001"/>
    <s v="MOONSTONE REALINFRA PRIVATE LIMITED"/>
    <n v="1180"/>
    <s v="BHUJBAL SAGAR DNYANESHWAR"/>
    <s v="Male"/>
    <s v=""/>
    <s v="Sep 12, 2022"/>
    <s v="DQJPB2913K"/>
    <s v="101457017133"/>
    <x v="7"/>
    <s v="EXECUTIVE - POSSESSION"/>
    <x v="2"/>
    <s v="TM"/>
    <s v="PF"/>
    <s v="NA"/>
    <s v=""/>
    <s v=""/>
    <s v="241411121642"/>
    <s v="0600104000093754"/>
    <s v="IDBI BANK"/>
    <s v="IBKL0000600"/>
    <n v="31"/>
    <n v="0"/>
    <n v="0"/>
    <n v="31"/>
    <n v="31"/>
    <n v="28042"/>
    <n v="28042"/>
    <n v="12619"/>
    <n v="5048"/>
    <n v="1600"/>
    <n v="200"/>
    <n v="1250"/>
    <n v="0"/>
    <n v="0"/>
    <n v="0"/>
    <n v="0"/>
    <n v="0"/>
    <n v="0"/>
    <n v="0"/>
    <n v="1514"/>
    <n v="5811"/>
    <n v="0"/>
    <n v="0"/>
    <n v="5047"/>
    <n v="33089"/>
    <n v="28042"/>
    <n v="0"/>
    <n v="0"/>
    <n v="0"/>
    <n v="200"/>
    <n v="1514"/>
    <n v="0"/>
    <n v="0"/>
    <n v="0"/>
    <n v="0"/>
    <n v="1714"/>
    <n v="31375"/>
    <m/>
    <m/>
  </r>
  <r>
    <d v="2025-07-01T00:00:00"/>
    <s v="Salary"/>
    <s v="S19014J001"/>
    <s v="MOONSTONE REALINFRA PRIVATE LIMITED"/>
    <n v="48"/>
    <s v="BHUSHAN MADANLAL LUNKAD"/>
    <s v="Male"/>
    <s v=""/>
    <s v="Sep 05, 2015"/>
    <s v="ADTPL6823A"/>
    <s v="101487437414"/>
    <x v="8"/>
    <s v="MANAGER - A &amp; O"/>
    <x v="1"/>
    <s v="TL"/>
    <s v="PF"/>
    <s v="NA"/>
    <s v=""/>
    <s v=""/>
    <s v="991187937886"/>
    <s v="00521050124966"/>
    <s v="HDFC BANK"/>
    <s v="HDFC0000052"/>
    <n v="31"/>
    <n v="0"/>
    <n v="1"/>
    <n v="30"/>
    <n v="30"/>
    <n v="107967"/>
    <n v="107967"/>
    <n v="47018"/>
    <n v="18807"/>
    <n v="1548"/>
    <n v="194"/>
    <n v="1210"/>
    <n v="3917"/>
    <n v="9404"/>
    <n v="7053"/>
    <n v="470"/>
    <n v="1646"/>
    <n v="940"/>
    <n v="235"/>
    <n v="1800"/>
    <n v="10242"/>
    <n v="0"/>
    <n v="0"/>
    <n v="0"/>
    <n v="104484"/>
    <n v="104484"/>
    <n v="0"/>
    <n v="0"/>
    <n v="5812"/>
    <n v="200"/>
    <n v="1800"/>
    <n v="0"/>
    <n v="0"/>
    <n v="0"/>
    <n v="15000"/>
    <n v="22812"/>
    <n v="81672"/>
    <m/>
    <m/>
  </r>
  <r>
    <d v="2025-07-01T00:00:00"/>
    <s v="Salary"/>
    <s v="S19014J001"/>
    <s v="MOONSTONE REALINFRA PRIVATE LIMITED"/>
    <n v="2017"/>
    <s v="DHAIRYA PRASAD"/>
    <s v="Male"/>
    <s v=""/>
    <s v="Feb 17, 2025"/>
    <s v="EPBPP8390Q"/>
    <s v="102171851924"/>
    <x v="6"/>
    <s v="MANAGEMENT TRAINEE"/>
    <x v="1"/>
    <s v="TM"/>
    <s v="PF"/>
    <s v="NA"/>
    <s v=""/>
    <s v=""/>
    <s v="851362488850"/>
    <s v="50100731565504"/>
    <s v="HDFC BANK"/>
    <s v="HDFC0000007"/>
    <n v="31"/>
    <n v="0"/>
    <n v="0"/>
    <n v="31"/>
    <n v="31"/>
    <n v="56533"/>
    <n v="56533"/>
    <n v="25440"/>
    <n v="10176"/>
    <n v="1600"/>
    <n v="200"/>
    <n v="1250"/>
    <n v="2119"/>
    <n v="5088"/>
    <n v="3816"/>
    <n v="254"/>
    <n v="890"/>
    <n v="509"/>
    <n v="127"/>
    <n v="1800"/>
    <n v="3264"/>
    <n v="0"/>
    <n v="0"/>
    <n v="5131"/>
    <n v="61664"/>
    <n v="56533"/>
    <n v="0"/>
    <n v="0"/>
    <n v="0"/>
    <n v="200"/>
    <n v="1800"/>
    <n v="0"/>
    <n v="0"/>
    <n v="0"/>
    <n v="0"/>
    <n v="2000"/>
    <n v="59664"/>
    <m/>
    <m/>
  </r>
  <r>
    <d v="2025-07-01T00:00:00"/>
    <s v="Salary"/>
    <s v="S19014J001"/>
    <s v="MOONSTONE REALINFRA PRIVATE LIMITED"/>
    <n v="1914"/>
    <s v="DHANAJI ARJUN MALI"/>
    <s v="Male"/>
    <s v=""/>
    <s v="Nov 11, 2024"/>
    <s v="DBNPM8263C"/>
    <s v="101816559661"/>
    <x v="9"/>
    <s v="SENIOR ENGINEER"/>
    <x v="0"/>
    <s v="TM"/>
    <s v="PF"/>
    <s v="NA"/>
    <s v=""/>
    <s v=""/>
    <s v="450862785164"/>
    <s v="50100769916547"/>
    <s v="HDFC BANK"/>
    <s v="HDFC0001210"/>
    <n v="31"/>
    <n v="0"/>
    <n v="0"/>
    <n v="31"/>
    <n v="31"/>
    <n v="74033"/>
    <n v="74033"/>
    <n v="33315"/>
    <n v="13326"/>
    <n v="1600"/>
    <n v="200"/>
    <n v="1250"/>
    <n v="2775"/>
    <n v="6663"/>
    <n v="4997"/>
    <n v="333"/>
    <n v="1166"/>
    <n v="666"/>
    <n v="167"/>
    <n v="1800"/>
    <n v="5775"/>
    <n v="0"/>
    <n v="0"/>
    <n v="880"/>
    <n v="74913"/>
    <n v="74033"/>
    <n v="0"/>
    <n v="0"/>
    <n v="0"/>
    <n v="200"/>
    <n v="1800"/>
    <n v="0"/>
    <n v="0"/>
    <n v="0"/>
    <n v="0"/>
    <n v="2000"/>
    <n v="72913"/>
    <m/>
    <m/>
  </r>
  <r>
    <d v="2025-07-01T00:00:00"/>
    <s v="Salary"/>
    <s v="S19014J001"/>
    <s v="MOONSTONE REALINFRA PRIVATE LIMITED"/>
    <n v="1209"/>
    <s v="DUNDAPPA MALLAPPA SANKPAL"/>
    <s v="Male"/>
    <s v=""/>
    <s v="Sep 03, 2022"/>
    <s v="CVOPS6863E"/>
    <s v="100379494874"/>
    <x v="40"/>
    <s v="MANAGER - HR"/>
    <x v="2"/>
    <s v="TM"/>
    <s v="PF"/>
    <s v="NA"/>
    <s v=""/>
    <s v=""/>
    <s v="818967487034"/>
    <s v="50100188631775"/>
    <s v="HDFC BANK"/>
    <s v="HDFC0000039"/>
    <n v="31"/>
    <n v="0"/>
    <n v="0"/>
    <n v="31"/>
    <n v="31"/>
    <n v="79575"/>
    <n v="79575"/>
    <n v="35809"/>
    <n v="14324"/>
    <n v="1600"/>
    <n v="200"/>
    <n v="1250"/>
    <n v="2983"/>
    <n v="7162"/>
    <n v="5371"/>
    <n v="358"/>
    <n v="1253"/>
    <n v="716"/>
    <n v="179"/>
    <n v="1800"/>
    <n v="6570"/>
    <n v="0"/>
    <n v="0"/>
    <n v="424"/>
    <n v="79999"/>
    <n v="79575"/>
    <n v="0"/>
    <n v="0"/>
    <n v="0"/>
    <n v="200"/>
    <n v="1800"/>
    <n v="0"/>
    <n v="0"/>
    <n v="0"/>
    <n v="0"/>
    <n v="2000"/>
    <n v="77999"/>
    <m/>
    <m/>
  </r>
  <r>
    <d v="2025-07-01T00:00:00"/>
    <s v="Salary"/>
    <s v="S19014J001"/>
    <s v="MOONSTONE REALINFRA PRIVATE LIMITED"/>
    <n v="1517"/>
    <s v="GANESH SURESH PAWAR"/>
    <s v="Male"/>
    <s v=""/>
    <s v="Sep 01, 2023"/>
    <s v="CANPP1627F"/>
    <s v="101292152161"/>
    <x v="12"/>
    <s v="EXECUTIVE - MIS"/>
    <x v="2"/>
    <s v="TM"/>
    <s v="PF"/>
    <s v="NA"/>
    <s v=""/>
    <s v=""/>
    <s v="427581798506"/>
    <s v="50100729824722"/>
    <s v="HDFC BANK"/>
    <s v="HDFC0001210"/>
    <n v="31"/>
    <n v="0"/>
    <n v="0.5"/>
    <n v="30.5"/>
    <n v="30.5"/>
    <n v="47190"/>
    <n v="47190"/>
    <n v="20893"/>
    <n v="8357"/>
    <n v="1574"/>
    <n v="197"/>
    <n v="1230"/>
    <n v="1740"/>
    <n v="4179"/>
    <n v="3134"/>
    <n v="209"/>
    <n v="731"/>
    <n v="418"/>
    <n v="104"/>
    <n v="1800"/>
    <n v="1863"/>
    <n v="0"/>
    <n v="0"/>
    <n v="0"/>
    <n v="46429"/>
    <n v="46429"/>
    <n v="0"/>
    <n v="0"/>
    <n v="0"/>
    <n v="200"/>
    <n v="1800"/>
    <n v="0"/>
    <n v="0"/>
    <n v="0"/>
    <n v="0"/>
    <n v="2000"/>
    <n v="44429"/>
    <m/>
    <m/>
  </r>
  <r>
    <d v="2025-07-01T00:00:00"/>
    <s v="Salary"/>
    <s v="S19014J001"/>
    <s v="MOONSTONE REALINFRA PRIVATE LIMITED"/>
    <n v="1202"/>
    <s v="GAURAV KASHINATH KURANE"/>
    <s v="Male"/>
    <s v=""/>
    <s v="Sep 28, 2022"/>
    <s v="ARVPK8048G"/>
    <s v="100151644732"/>
    <x v="5"/>
    <s v="MANAGER - SALES"/>
    <x v="1"/>
    <s v="TM"/>
    <s v="PF"/>
    <s v="NA"/>
    <s v=""/>
    <s v=""/>
    <s v="597630357761"/>
    <s v="50100318162255"/>
    <s v="HDFC BANK"/>
    <s v="HDFC0000007"/>
    <n v="31"/>
    <n v="0"/>
    <n v="1"/>
    <n v="30"/>
    <n v="30"/>
    <n v="98333"/>
    <n v="98333"/>
    <n v="42822"/>
    <n v="17129"/>
    <n v="1548"/>
    <n v="194"/>
    <n v="1210"/>
    <n v="3567"/>
    <n v="8564"/>
    <n v="6423"/>
    <n v="428"/>
    <n v="1499"/>
    <n v="856"/>
    <n v="214"/>
    <n v="1800"/>
    <n v="8907"/>
    <n v="0"/>
    <n v="0"/>
    <n v="2507"/>
    <n v="97668"/>
    <n v="95161"/>
    <n v="0"/>
    <n v="0"/>
    <n v="0"/>
    <n v="200"/>
    <n v="1800"/>
    <n v="0"/>
    <n v="0"/>
    <n v="0"/>
    <n v="0"/>
    <n v="2000"/>
    <n v="95668"/>
    <m/>
    <m/>
  </r>
  <r>
    <d v="2025-07-01T00:00:00"/>
    <s v="Salary"/>
    <s v="S19014J001"/>
    <s v="MOONSTONE REALINFRA PRIVATE LIMITED"/>
    <n v="1205"/>
    <s v="GAURAV RAGHUNATH GUND"/>
    <s v="Male"/>
    <s v=""/>
    <s v="Oct 01, 2022"/>
    <s v="DBBPG3735B"/>
    <s v="101882634974"/>
    <x v="13"/>
    <s v="EXECUTIVE - MARKETING"/>
    <x v="1"/>
    <s v="TM"/>
    <s v="PF"/>
    <s v="NA"/>
    <s v=""/>
    <s v=""/>
    <s v="566657564956"/>
    <s v="50100632579034"/>
    <s v="HDFC BANK"/>
    <s v="HDFC0008300"/>
    <n v="31"/>
    <n v="0"/>
    <n v="3"/>
    <n v="28"/>
    <n v="28"/>
    <n v="32307"/>
    <n v="32307"/>
    <n v="13131"/>
    <n v="5252"/>
    <n v="1445"/>
    <n v="181"/>
    <n v="1129"/>
    <n v="0"/>
    <n v="0"/>
    <n v="0"/>
    <n v="0"/>
    <n v="0"/>
    <n v="0"/>
    <n v="0"/>
    <n v="1576"/>
    <n v="6467"/>
    <n v="0"/>
    <n v="0"/>
    <n v="3469"/>
    <n v="32650"/>
    <n v="29181"/>
    <n v="0"/>
    <n v="0"/>
    <n v="0"/>
    <n v="200"/>
    <n v="1576"/>
    <n v="0"/>
    <n v="0"/>
    <n v="0"/>
    <n v="0"/>
    <n v="1776"/>
    <n v="30874"/>
    <m/>
    <m/>
  </r>
  <r>
    <d v="2025-07-01T00:00:00"/>
    <s v="Salary"/>
    <s v="S19014J001"/>
    <s v="MOONSTONE REALINFRA PRIVATE LIMITED"/>
    <n v="2159"/>
    <s v="HRITIK VILAS VIGHE"/>
    <s v="Male"/>
    <s v=""/>
    <s v="Jul 10, 2025"/>
    <s v="BSYPV6349C"/>
    <s v="101901925416"/>
    <x v="51"/>
    <s v="EXECUTIVE - CRM"/>
    <x v="1"/>
    <s v="TM"/>
    <s v="PF"/>
    <s v="NA"/>
    <s v=""/>
    <s v=""/>
    <s v="861411565711"/>
    <s v="50100825960037"/>
    <s v="HDFC BANK"/>
    <s v="HDFC0000039"/>
    <n v="31"/>
    <n v="0"/>
    <n v="0"/>
    <n v="22"/>
    <n v="22"/>
    <n v="37033"/>
    <n v="37033"/>
    <n v="11826"/>
    <n v="4730"/>
    <n v="1135"/>
    <n v="200"/>
    <n v="887"/>
    <n v="0"/>
    <n v="0"/>
    <n v="0"/>
    <n v="0"/>
    <n v="0"/>
    <n v="0"/>
    <n v="0"/>
    <n v="1419"/>
    <n v="6084"/>
    <n v="0"/>
    <n v="0"/>
    <n v="418"/>
    <n v="26699"/>
    <n v="26281"/>
    <n v="0"/>
    <n v="0"/>
    <n v="0"/>
    <n v="200"/>
    <n v="1419"/>
    <n v="0"/>
    <n v="0"/>
    <n v="0"/>
    <n v="0"/>
    <n v="1619"/>
    <n v="25080"/>
    <m/>
    <m/>
  </r>
  <r>
    <d v="2025-07-01T00:00:00"/>
    <s v="Salary"/>
    <s v="S19014J001"/>
    <s v="MOONSTONE REALINFRA PRIVATE LIMITED"/>
    <n v="748"/>
    <s v="KALPESH KADAM"/>
    <s v="Male"/>
    <s v=""/>
    <s v="Feb 22, 2021"/>
    <s v="DPAPK0829F"/>
    <s v="101173740664"/>
    <x v="41"/>
    <s v="MANAGER - LIAISONING"/>
    <x v="3"/>
    <s v="TM"/>
    <s v="PF"/>
    <s v="NA"/>
    <s v=""/>
    <s v=""/>
    <s v="656902116787"/>
    <s v="50100045505567"/>
    <s v="HDFC BANK"/>
    <s v="HDFC0000794"/>
    <n v="31"/>
    <n v="0"/>
    <n v="0"/>
    <n v="31"/>
    <n v="31"/>
    <n v="62333"/>
    <n v="62333"/>
    <n v="28050"/>
    <n v="11220"/>
    <n v="1600"/>
    <n v="200"/>
    <n v="1250"/>
    <n v="2337"/>
    <n v="5610"/>
    <n v="4208"/>
    <n v="281"/>
    <n v="982"/>
    <n v="561"/>
    <n v="140"/>
    <n v="1800"/>
    <n v="4094"/>
    <n v="0"/>
    <n v="0"/>
    <n v="2665"/>
    <n v="64998"/>
    <n v="62333"/>
    <n v="0"/>
    <n v="0"/>
    <n v="0"/>
    <n v="200"/>
    <n v="1800"/>
    <n v="0"/>
    <n v="0"/>
    <n v="0"/>
    <n v="15000"/>
    <n v="17000"/>
    <n v="47998"/>
    <m/>
    <m/>
  </r>
  <r>
    <d v="2025-07-01T00:00:00"/>
    <s v="Salary"/>
    <s v="S19014J001"/>
    <s v="MOONSTONE REALINFRA PRIVATE LIMITED"/>
    <n v="2152"/>
    <s v="KEWALRAJ POUDEL"/>
    <s v="Male"/>
    <s v=""/>
    <s v="Jul 01, 2025"/>
    <s v="ETGPP5536R"/>
    <s v="102121019968"/>
    <x v="33"/>
    <s v="JUNIOR ENGINEER"/>
    <x v="0"/>
    <s v="TM"/>
    <s v="PF"/>
    <s v="NA"/>
    <s v=""/>
    <s v=""/>
    <s v="462816190119"/>
    <s v="50100815728426"/>
    <s v="HDFC BANK"/>
    <s v="HDFC0008300"/>
    <n v="31"/>
    <n v="0"/>
    <n v="0"/>
    <n v="31"/>
    <n v="31"/>
    <n v="32760"/>
    <n v="32760"/>
    <n v="14742"/>
    <n v="5897"/>
    <n v="1600"/>
    <n v="200"/>
    <n v="1250"/>
    <n v="0"/>
    <n v="0"/>
    <n v="0"/>
    <n v="0"/>
    <n v="0"/>
    <n v="0"/>
    <n v="0"/>
    <n v="1769"/>
    <n v="7302"/>
    <n v="0"/>
    <n v="0"/>
    <n v="0"/>
    <n v="32760"/>
    <n v="32760"/>
    <n v="0"/>
    <n v="0"/>
    <n v="0"/>
    <n v="200"/>
    <n v="1769"/>
    <n v="0"/>
    <n v="0"/>
    <n v="0"/>
    <n v="0"/>
    <n v="1969"/>
    <n v="30791"/>
    <m/>
    <m/>
  </r>
  <r>
    <d v="2025-07-01T00:00:00"/>
    <s v="Salary"/>
    <s v="S19014J001"/>
    <s v="MOONSTONE REALINFRA PRIVATE LIMITED"/>
    <n v="1875"/>
    <s v="KRISHNA KUMAR TIWARI"/>
    <s v="Male"/>
    <s v=""/>
    <s v="Sep 09, 2024"/>
    <s v="AGXPT8418N"/>
    <s v="101910507765"/>
    <x v="2"/>
    <s v="DEPUTY MANAGER"/>
    <x v="1"/>
    <s v="TM"/>
    <s v="PF"/>
    <s v="NA"/>
    <s v=""/>
    <s v=""/>
    <s v="375923391923"/>
    <s v="50100755728692"/>
    <s v="HDFC BANK"/>
    <s v="HDFC0001210"/>
    <n v="31"/>
    <n v="0"/>
    <n v="0"/>
    <n v="31"/>
    <n v="31"/>
    <n v="65840"/>
    <n v="65840"/>
    <n v="29628"/>
    <n v="11851"/>
    <n v="1600"/>
    <n v="200"/>
    <n v="1250"/>
    <n v="2468"/>
    <n v="5926"/>
    <n v="4444"/>
    <n v="296"/>
    <n v="1037"/>
    <n v="593"/>
    <n v="148"/>
    <n v="1800"/>
    <n v="4599"/>
    <n v="0"/>
    <n v="0"/>
    <n v="3808"/>
    <n v="69648"/>
    <n v="65840"/>
    <n v="0"/>
    <n v="0"/>
    <n v="0"/>
    <n v="200"/>
    <n v="1800"/>
    <n v="0"/>
    <n v="0"/>
    <n v="0"/>
    <n v="0"/>
    <n v="2000"/>
    <n v="67648"/>
    <m/>
    <m/>
  </r>
  <r>
    <d v="2025-07-01T00:00:00"/>
    <s v="Salary"/>
    <s v="S19014J001"/>
    <s v="MOONSTONE REALINFRA PRIVATE LIMITED"/>
    <n v="1135"/>
    <s v="LAKSHADIP PUNDALIK THAKUR"/>
    <s v="Male"/>
    <s v=""/>
    <s v="Jul 01, 2022"/>
    <s v="AIKPT5980A"/>
    <s v="100202447925"/>
    <x v="15"/>
    <s v="MANAGER - SALES"/>
    <x v="1"/>
    <s v="TM"/>
    <s v="PF"/>
    <s v="NA"/>
    <s v=""/>
    <s v=""/>
    <s v="332553462353"/>
    <s v="50100224949010"/>
    <s v="HDFC BANK"/>
    <s v="HDFC0003982"/>
    <n v="31"/>
    <n v="0"/>
    <n v="0"/>
    <n v="31"/>
    <n v="31"/>
    <n v="146667"/>
    <n v="146667"/>
    <n v="66000"/>
    <n v="26400"/>
    <n v="1600"/>
    <n v="200"/>
    <n v="1250"/>
    <n v="5498"/>
    <n v="13200"/>
    <n v="9900"/>
    <n v="660"/>
    <n v="2310"/>
    <n v="1320"/>
    <n v="330"/>
    <n v="1800"/>
    <n v="16199"/>
    <n v="0"/>
    <n v="0"/>
    <n v="8275"/>
    <n v="154942"/>
    <n v="146667"/>
    <n v="0"/>
    <n v="0"/>
    <n v="16685"/>
    <n v="200"/>
    <n v="1800"/>
    <n v="0"/>
    <n v="0"/>
    <n v="0"/>
    <n v="0"/>
    <n v="18685"/>
    <n v="136257"/>
    <m/>
    <m/>
  </r>
  <r>
    <d v="2025-07-01T00:00:00"/>
    <s v="Salary"/>
    <s v="S19014J001"/>
    <s v="MOONSTONE REALINFRA PRIVATE LIMITED"/>
    <n v="1997"/>
    <s v="MAHESH MADHUKAR KATE"/>
    <s v="Male"/>
    <s v=""/>
    <s v="Feb 15, 2025"/>
    <s v="JJFPK7967B"/>
    <s v="101675376988"/>
    <x v="16"/>
    <s v="SAFETY OFICER"/>
    <x v="0"/>
    <s v="TM"/>
    <s v="PF"/>
    <s v="NA"/>
    <s v=""/>
    <s v=""/>
    <s v="696647163423"/>
    <s v="50100731567384"/>
    <s v="HDFC BANK"/>
    <s v="HDFC0000007"/>
    <n v="31"/>
    <n v="0"/>
    <n v="0.5"/>
    <n v="30.5"/>
    <n v="30.5"/>
    <n v="36067"/>
    <n v="36067"/>
    <n v="15968"/>
    <n v="6387"/>
    <n v="1574"/>
    <n v="197"/>
    <n v="1230"/>
    <n v="0"/>
    <n v="0"/>
    <n v="0"/>
    <n v="0"/>
    <n v="0"/>
    <n v="0"/>
    <n v="0"/>
    <n v="1800"/>
    <n v="8329"/>
    <n v="0"/>
    <n v="0"/>
    <n v="0"/>
    <n v="35485"/>
    <n v="35485"/>
    <n v="0"/>
    <n v="0"/>
    <n v="0"/>
    <n v="200"/>
    <n v="1800"/>
    <n v="0"/>
    <n v="0"/>
    <n v="0"/>
    <n v="0"/>
    <n v="2000"/>
    <n v="33485"/>
    <m/>
    <m/>
  </r>
  <r>
    <d v="2025-07-01T00:00:00"/>
    <s v="Salary"/>
    <s v="S19014J001"/>
    <s v="MOONSTONE REALINFRA PRIVATE LIMITED"/>
    <n v="726"/>
    <s v="MAHVEEN SAYYED"/>
    <s v="Female"/>
    <s v=""/>
    <s v="Dec 01, 2020"/>
    <s v="NUMPS3199R"/>
    <s v="101726376057"/>
    <x v="17"/>
    <s v="RECEPTIONIST"/>
    <x v="2"/>
    <s v="TM"/>
    <s v="PF"/>
    <s v="NA"/>
    <s v=""/>
    <s v=""/>
    <s v="677097563942"/>
    <s v="50100317492831"/>
    <s v="HDFC BANK"/>
    <s v="HDFC0000007"/>
    <n v="31"/>
    <n v="0"/>
    <n v="1"/>
    <n v="30"/>
    <n v="30"/>
    <n v="27904"/>
    <n v="27904"/>
    <n v="12152"/>
    <n v="4861"/>
    <n v="1548"/>
    <n v="194"/>
    <n v="1210"/>
    <n v="0"/>
    <n v="0"/>
    <n v="0"/>
    <n v="0"/>
    <n v="0"/>
    <n v="0"/>
    <n v="0"/>
    <n v="1458"/>
    <n v="5581"/>
    <n v="0"/>
    <n v="0"/>
    <n v="0"/>
    <n v="27004"/>
    <n v="27004"/>
    <n v="0"/>
    <n v="0"/>
    <n v="0"/>
    <n v="200"/>
    <n v="1458"/>
    <n v="0"/>
    <n v="0"/>
    <n v="0"/>
    <n v="0"/>
    <n v="1658"/>
    <n v="25346"/>
    <m/>
    <m/>
  </r>
  <r>
    <d v="2025-07-01T00:00:00"/>
    <s v="Salary"/>
    <s v="S19014J001"/>
    <s v="MOONSTONE REALINFRA PRIVATE LIMITED"/>
    <n v="1722"/>
    <s v="MANOJ KUMAR VARMA"/>
    <s v="Male"/>
    <s v=""/>
    <s v="May 02, 2024"/>
    <s v="AAEPV3962E"/>
    <s v="101345330257"/>
    <x v="18"/>
    <s v="GENERAL MANAGER"/>
    <x v="0"/>
    <s v="TH"/>
    <s v="PF"/>
    <s v="NA"/>
    <s v=""/>
    <s v=""/>
    <s v="768669459723"/>
    <s v="01531050005109"/>
    <s v="HDFC BANK"/>
    <s v="HDFC0000153"/>
    <n v="31"/>
    <n v="0"/>
    <n v="0"/>
    <n v="31"/>
    <n v="31"/>
    <n v="434795"/>
    <n v="434795"/>
    <n v="195658"/>
    <n v="78263"/>
    <n v="1600"/>
    <n v="200"/>
    <n v="1250"/>
    <n v="16298"/>
    <n v="39132"/>
    <n v="29349"/>
    <n v="1957"/>
    <n v="6848"/>
    <n v="3913"/>
    <n v="978"/>
    <n v="1800"/>
    <n v="57549"/>
    <n v="0"/>
    <n v="0"/>
    <n v="3082"/>
    <n v="437877"/>
    <n v="434795"/>
    <n v="0"/>
    <n v="0"/>
    <n v="144776"/>
    <n v="200"/>
    <n v="1800"/>
    <n v="0"/>
    <n v="0"/>
    <n v="0"/>
    <n v="0"/>
    <n v="146776"/>
    <n v="291101"/>
    <m/>
    <m/>
  </r>
  <r>
    <d v="2025-07-01T00:00:00"/>
    <s v="Salary"/>
    <s v="S19014J001"/>
    <s v="MOONSTONE REALINFRA PRIVATE LIMITED"/>
    <n v="1937"/>
    <s v="MAYANK ACHARYA"/>
    <s v="Male"/>
    <s v=""/>
    <s v="Nov 25, 2024"/>
    <s v="DZPPA7006D"/>
    <s v="102142125408"/>
    <x v="6"/>
    <s v="MANAGEMENT TRAINEE"/>
    <x v="1"/>
    <s v="TM"/>
    <s v="PF"/>
    <s v="NA"/>
    <s v=""/>
    <s v=""/>
    <s v="596849238511"/>
    <s v="50100773207188"/>
    <s v="HDFC BANK"/>
    <s v="HDFC0001210"/>
    <n v="31"/>
    <n v="0"/>
    <n v="0"/>
    <n v="31"/>
    <n v="31"/>
    <n v="31533"/>
    <n v="31533"/>
    <n v="14190"/>
    <n v="5676"/>
    <n v="1600"/>
    <n v="200"/>
    <n v="1250"/>
    <n v="0"/>
    <n v="0"/>
    <n v="0"/>
    <n v="0"/>
    <n v="0"/>
    <n v="0"/>
    <n v="0"/>
    <n v="1703"/>
    <n v="6914"/>
    <n v="0"/>
    <n v="0"/>
    <n v="2975"/>
    <n v="34508"/>
    <n v="31533"/>
    <n v="0"/>
    <n v="0"/>
    <n v="0"/>
    <n v="200"/>
    <n v="1703"/>
    <n v="0"/>
    <n v="0"/>
    <n v="0"/>
    <n v="0"/>
    <n v="1903"/>
    <n v="32605"/>
    <m/>
    <m/>
  </r>
  <r>
    <d v="2025-07-01T00:00:00"/>
    <s v="Salary"/>
    <s v="S19014J001"/>
    <s v="MOONSTONE REALINFRA PRIVATE LIMITED"/>
    <n v="382"/>
    <s v="MAYUR RAJAN SALUNKE"/>
    <s v="Male"/>
    <s v=""/>
    <s v="Dec 11, 2018"/>
    <s v="EIWPS6074N"/>
    <s v="101412010976"/>
    <x v="19"/>
    <s v="SENIOR EXECUTIVE - POSSESSION"/>
    <x v="2"/>
    <s v="TM"/>
    <s v="PF"/>
    <s v="NA"/>
    <s v=""/>
    <s v=""/>
    <s v="202787997088"/>
    <s v="50100624532338"/>
    <s v="HDFC BANK"/>
    <s v="HDFC0000633"/>
    <n v="31"/>
    <n v="0"/>
    <n v="0"/>
    <n v="31"/>
    <n v="31"/>
    <n v="36950"/>
    <n v="36950"/>
    <n v="16628"/>
    <n v="6651"/>
    <n v="1600"/>
    <n v="200"/>
    <n v="1250"/>
    <n v="0"/>
    <n v="0"/>
    <n v="0"/>
    <n v="0"/>
    <n v="0"/>
    <n v="0"/>
    <n v="0"/>
    <n v="1800"/>
    <n v="8821"/>
    <n v="0"/>
    <n v="0"/>
    <n v="9246"/>
    <n v="46196"/>
    <n v="36950"/>
    <n v="0"/>
    <n v="0"/>
    <n v="0"/>
    <n v="200"/>
    <n v="1800"/>
    <n v="0"/>
    <n v="0"/>
    <n v="0"/>
    <n v="0"/>
    <n v="2000"/>
    <n v="44196"/>
    <m/>
    <m/>
  </r>
  <r>
    <d v="2025-07-01T00:00:00"/>
    <s v="Salary"/>
    <s v="S19014J001"/>
    <s v="MOONSTONE REALINFRA PRIVATE LIMITED"/>
    <n v="511"/>
    <s v="MAYURESH LANGOTE"/>
    <s v="Male"/>
    <s v=""/>
    <s v="Aug 01, 2019"/>
    <s v="AEWPL1281L"/>
    <s v="100053793326"/>
    <x v="19"/>
    <s v="SENIOR EXECUTIVE - POSSESSION"/>
    <x v="2"/>
    <s v="TM"/>
    <s v="PF"/>
    <s v="NA"/>
    <s v=""/>
    <s v=""/>
    <s v="250203086491"/>
    <s v="50100231649761"/>
    <s v="HDFC BANK"/>
    <s v="HDFC0000052"/>
    <n v="31"/>
    <n v="0"/>
    <n v="3"/>
    <n v="28"/>
    <n v="28"/>
    <n v="43308"/>
    <n v="43308"/>
    <n v="17603"/>
    <n v="7041"/>
    <n v="1445"/>
    <n v="181"/>
    <n v="1129"/>
    <n v="1466"/>
    <n v="3521"/>
    <n v="2640"/>
    <n v="176"/>
    <n v="616"/>
    <n v="352"/>
    <n v="88"/>
    <n v="1800"/>
    <n v="1059"/>
    <n v="0"/>
    <n v="0"/>
    <n v="2918"/>
    <n v="42035"/>
    <n v="39117"/>
    <n v="0"/>
    <n v="0"/>
    <n v="0"/>
    <n v="200"/>
    <n v="1800"/>
    <n v="0"/>
    <n v="0"/>
    <n v="0"/>
    <n v="5000"/>
    <n v="7000"/>
    <n v="35035"/>
    <m/>
    <m/>
  </r>
  <r>
    <d v="2025-07-01T00:00:00"/>
    <s v="Salary"/>
    <s v="S19014J001"/>
    <s v="MOONSTONE REALINFRA PRIVATE LIMITED"/>
    <n v="2062"/>
    <s v="MOHAN SHRIKRISHNA UDGIRI"/>
    <s v="Male"/>
    <s v=""/>
    <s v="Mar 24, 2025"/>
    <s v="AAZPU1282B"/>
    <s v="100242792314"/>
    <x v="20"/>
    <s v="ASSISTANT GENERAL MANAGER"/>
    <x v="0"/>
    <s v="TL"/>
    <s v="PF"/>
    <s v="NA"/>
    <s v=""/>
    <s v=""/>
    <s v="524156423700"/>
    <s v="5421140100824"/>
    <s v="HDFC BANK"/>
    <s v="HDFC0000542"/>
    <n v="31"/>
    <n v="0"/>
    <n v="1"/>
    <n v="30"/>
    <n v="30"/>
    <n v="181533"/>
    <n v="181533"/>
    <n v="79055"/>
    <n v="31622"/>
    <n v="1548"/>
    <n v="194"/>
    <n v="1210"/>
    <n v="6585"/>
    <n v="15811"/>
    <n v="11858"/>
    <n v="791"/>
    <n v="2767"/>
    <n v="1581"/>
    <n v="395"/>
    <n v="1800"/>
    <n v="20460"/>
    <n v="0"/>
    <n v="0"/>
    <n v="0"/>
    <n v="175677"/>
    <n v="175677"/>
    <n v="0"/>
    <n v="0"/>
    <n v="18411"/>
    <n v="200"/>
    <n v="1800"/>
    <n v="0"/>
    <n v="0"/>
    <n v="0"/>
    <n v="0"/>
    <n v="20411"/>
    <n v="155266"/>
    <m/>
    <m/>
  </r>
  <r>
    <d v="2025-07-01T00:00:00"/>
    <s v="Salary"/>
    <s v="S19014J001"/>
    <s v="MOONSTONE REALINFRA PRIVATE LIMITED"/>
    <n v="1092"/>
    <s v="NARENDRA ROHTAS MAHUR"/>
    <s v="Male"/>
    <s v=""/>
    <s v="May 16, 2022"/>
    <s v="EJTPM6853H"/>
    <s v="101646143832"/>
    <x v="21"/>
    <s v="SENIOR EXECUTIVE - MIS"/>
    <x v="2"/>
    <s v="TM"/>
    <s v="PF"/>
    <s v="NA"/>
    <s v=""/>
    <s v=""/>
    <s v="325860489575"/>
    <s v="50100654540599"/>
    <s v="HDFC BANK"/>
    <s v="HDFC0000007"/>
    <n v="31"/>
    <n v="0"/>
    <n v="0"/>
    <n v="31"/>
    <n v="31"/>
    <n v="71927"/>
    <n v="71927"/>
    <n v="32367"/>
    <n v="12947"/>
    <n v="1600"/>
    <n v="200"/>
    <n v="1250"/>
    <n v="2696"/>
    <n v="6473"/>
    <n v="4855"/>
    <n v="324"/>
    <n v="1133"/>
    <n v="647"/>
    <n v="162"/>
    <n v="1800"/>
    <n v="5473"/>
    <n v="0"/>
    <n v="0"/>
    <n v="0"/>
    <n v="71927"/>
    <n v="71927"/>
    <n v="0"/>
    <n v="0"/>
    <n v="0"/>
    <n v="200"/>
    <n v="1800"/>
    <n v="0"/>
    <n v="0"/>
    <n v="0"/>
    <n v="0"/>
    <n v="2000"/>
    <n v="69927"/>
    <m/>
    <m/>
  </r>
  <r>
    <d v="2025-07-01T00:00:00"/>
    <s v="Salary"/>
    <s v="S19014J001"/>
    <s v="MOONSTONE REALINFRA PRIVATE LIMITED"/>
    <n v="1506"/>
    <s v="NILESH SUDAM DODAKE"/>
    <s v="Male"/>
    <s v=""/>
    <s v="Aug 16, 2023"/>
    <s v="ATZPD2744A"/>
    <s v="101985884549"/>
    <x v="22"/>
    <s v="SUPERVISOR"/>
    <x v="0"/>
    <s v="TM"/>
    <s v="PF"/>
    <s v="NA"/>
    <s v=""/>
    <s v=""/>
    <s v="800783241563"/>
    <s v="50100624533443"/>
    <s v="HDFC BANK"/>
    <s v="HDFC0000007"/>
    <n v="31"/>
    <n v="0"/>
    <n v="1"/>
    <n v="30"/>
    <n v="30"/>
    <n v="49575"/>
    <n v="49575"/>
    <n v="21589"/>
    <n v="8636"/>
    <n v="1548"/>
    <n v="194"/>
    <n v="1210"/>
    <n v="1798"/>
    <n v="4318"/>
    <n v="3238"/>
    <n v="216"/>
    <n v="756"/>
    <n v="432"/>
    <n v="108"/>
    <n v="1800"/>
    <n v="2133"/>
    <n v="0"/>
    <n v="0"/>
    <n v="0"/>
    <n v="47976"/>
    <n v="47976"/>
    <n v="0"/>
    <n v="0"/>
    <n v="0"/>
    <n v="200"/>
    <n v="1800"/>
    <n v="0"/>
    <n v="0"/>
    <n v="0"/>
    <n v="0"/>
    <n v="2000"/>
    <n v="45976"/>
    <m/>
    <m/>
  </r>
  <r>
    <d v="2025-07-01T00:00:00"/>
    <s v="Salary"/>
    <s v="S19014J001"/>
    <s v="MOONSTONE REALINFRA PRIVATE LIMITED"/>
    <n v="1700"/>
    <s v="NITEESH SHARMA"/>
    <s v="Male"/>
    <s v=""/>
    <s v="Apr 11, 2024"/>
    <s v="BYHPS8894Q"/>
    <s v="101416879888"/>
    <x v="23"/>
    <s v="ASSISTANT MANAGER - SALES"/>
    <x v="1"/>
    <s v="TM"/>
    <s v="PF"/>
    <s v="NA"/>
    <s v=""/>
    <s v=""/>
    <s v="461172332390"/>
    <s v="99991911230890"/>
    <s v="HDFC BANK"/>
    <s v="HDFC0001210"/>
    <n v="31"/>
    <n v="0"/>
    <n v="0"/>
    <n v="31"/>
    <n v="31"/>
    <n v="79907"/>
    <n v="79907"/>
    <n v="35958"/>
    <n v="14383"/>
    <n v="1600"/>
    <n v="200"/>
    <n v="1250"/>
    <n v="2995"/>
    <n v="7192"/>
    <n v="5394"/>
    <n v="360"/>
    <n v="1259"/>
    <n v="719"/>
    <n v="180"/>
    <n v="1800"/>
    <n v="6617"/>
    <n v="0"/>
    <n v="0"/>
    <n v="1683"/>
    <n v="81590"/>
    <n v="79907"/>
    <n v="0"/>
    <n v="0"/>
    <n v="0"/>
    <n v="200"/>
    <n v="1800"/>
    <n v="0"/>
    <n v="0"/>
    <n v="0"/>
    <n v="0"/>
    <n v="2000"/>
    <n v="79590"/>
    <m/>
    <m/>
  </r>
  <r>
    <d v="2025-07-01T00:00:00"/>
    <s v="Salary"/>
    <s v="S19014J001"/>
    <s v="MOONSTONE REALINFRA PRIVATE LIMITED"/>
    <n v="435"/>
    <s v="NITESH SUKHDEORAO RAUT"/>
    <s v="Male"/>
    <s v=""/>
    <s v="Feb 28, 2019"/>
    <s v="ECHPR5827R"/>
    <s v="101438956994"/>
    <x v="7"/>
    <s v="EXECUTIVE - POSSESSION"/>
    <x v="2"/>
    <s v="TM"/>
    <s v="PF"/>
    <s v="NA"/>
    <s v=""/>
    <s v=""/>
    <s v="549202367903"/>
    <s v="50100317492446"/>
    <s v="HDFC BANK"/>
    <s v="HDFC0000007"/>
    <n v="31"/>
    <n v="0"/>
    <n v="0"/>
    <n v="31"/>
    <n v="31"/>
    <n v="33167"/>
    <n v="33167"/>
    <n v="14925"/>
    <n v="5970"/>
    <n v="1600"/>
    <n v="200"/>
    <n v="1250"/>
    <n v="0"/>
    <n v="0"/>
    <n v="0"/>
    <n v="0"/>
    <n v="0"/>
    <n v="0"/>
    <n v="0"/>
    <n v="1791"/>
    <n v="7431"/>
    <n v="0"/>
    <n v="0"/>
    <n v="7433"/>
    <n v="40600"/>
    <n v="33167"/>
    <n v="0"/>
    <n v="0"/>
    <n v="0"/>
    <n v="200"/>
    <n v="1791"/>
    <n v="0"/>
    <n v="0"/>
    <n v="0"/>
    <n v="0"/>
    <n v="1991"/>
    <n v="38609"/>
    <m/>
    <m/>
  </r>
  <r>
    <d v="2025-07-01T00:00:00"/>
    <s v="Salary"/>
    <s v="S19014J001"/>
    <s v="MOONSTONE REALINFRA PRIVATE LIMITED"/>
    <n v="1033"/>
    <s v="OMKAR MADHAV SAMBHUS"/>
    <s v="Male"/>
    <s v=""/>
    <s v="Mar 21, 2022"/>
    <s v="BKVPS7936K"/>
    <s v="101090148328"/>
    <x v="15"/>
    <s v="Senior Manager"/>
    <x v="1"/>
    <s v="TM"/>
    <s v="PF"/>
    <s v="NA"/>
    <s v=""/>
    <s v=""/>
    <s v="580372226603"/>
    <s v="50100056805482"/>
    <s v="HDFC BANK"/>
    <s v="HDFC0000146"/>
    <n v="31"/>
    <n v="0"/>
    <n v="0"/>
    <n v="31"/>
    <n v="31"/>
    <n v="118333"/>
    <n v="118333"/>
    <n v="53250"/>
    <n v="21300"/>
    <n v="1600"/>
    <n v="200"/>
    <n v="1250"/>
    <n v="4436"/>
    <n v="10650"/>
    <n v="7988"/>
    <n v="533"/>
    <n v="1864"/>
    <n v="1065"/>
    <n v="266"/>
    <n v="1800"/>
    <n v="12131"/>
    <n v="0"/>
    <n v="0"/>
    <n v="2026"/>
    <n v="120359"/>
    <n v="118333"/>
    <n v="0"/>
    <n v="0"/>
    <n v="9383"/>
    <n v="200"/>
    <n v="1800"/>
    <n v="0"/>
    <n v="0"/>
    <n v="0"/>
    <n v="12500"/>
    <n v="23883"/>
    <n v="96476"/>
    <m/>
    <m/>
  </r>
  <r>
    <d v="2025-07-01T00:00:00"/>
    <s v="Salary"/>
    <s v="S19014J001"/>
    <s v="MOONSTONE REALINFRA PRIVATE LIMITED"/>
    <n v="927"/>
    <s v="PARESH GUND"/>
    <s v="Male"/>
    <s v=""/>
    <s v="Dec 10, 2021"/>
    <s v="BLJPG3170L"/>
    <s v="101257803535"/>
    <x v="5"/>
    <s v="MANAGER - SALES"/>
    <x v="1"/>
    <s v="TM"/>
    <s v="PF"/>
    <s v="NA"/>
    <s v=""/>
    <s v=""/>
    <s v="267117144733"/>
    <m/>
    <m/>
    <m/>
    <n v="31"/>
    <n v="0"/>
    <n v="1"/>
    <n v="0"/>
    <n v="0"/>
    <n v="72867"/>
    <n v="72867"/>
    <n v="0"/>
    <n v="0"/>
    <n v="0"/>
    <n v="0"/>
    <n v="0"/>
    <n v="0"/>
    <n v="0"/>
    <n v="0"/>
    <n v="0"/>
    <n v="0"/>
    <n v="0"/>
    <n v="0"/>
    <n v="0"/>
    <n v="0"/>
    <n v="0"/>
    <n v="0"/>
    <n v="0"/>
    <n v="0"/>
    <n v="0"/>
    <n v="0"/>
    <n v="0"/>
    <n v="0"/>
    <n v="0"/>
    <n v="0"/>
    <n v="0"/>
    <n v="0"/>
    <n v="0"/>
    <n v="0"/>
    <n v="0"/>
    <n v="0"/>
    <m/>
    <m/>
  </r>
  <r>
    <d v="2025-07-01T00:00:00"/>
    <s v="Salary"/>
    <s v="S19014J001"/>
    <s v="MOONSTONE REALINFRA PRIVATE LIMITED"/>
    <n v="1086"/>
    <s v="POORNIMA SATYANARAYAN MASKE"/>
    <s v="Female"/>
    <s v=""/>
    <s v="May 09, 2022"/>
    <s v="FPPPM6332Q"/>
    <s v="101489017926"/>
    <x v="5"/>
    <s v="MANAGER-SALES"/>
    <x v="1"/>
    <s v="TL"/>
    <s v="PF"/>
    <s v="NA"/>
    <s v=""/>
    <s v=""/>
    <s v="535343696935"/>
    <s v="50100288878569"/>
    <s v="HDFC BANK"/>
    <s v="HDFC0001791"/>
    <n v="31"/>
    <n v="0"/>
    <n v="0"/>
    <n v="31"/>
    <n v="31"/>
    <n v="60208"/>
    <n v="60208"/>
    <n v="27094"/>
    <n v="10838"/>
    <n v="1600"/>
    <n v="200"/>
    <n v="1250"/>
    <n v="2257"/>
    <n v="5419"/>
    <n v="4064"/>
    <n v="271"/>
    <n v="948"/>
    <n v="542"/>
    <n v="135"/>
    <n v="1800"/>
    <n v="3790"/>
    <n v="0"/>
    <n v="6514"/>
    <n v="3720"/>
    <n v="70442"/>
    <n v="66722"/>
    <n v="0"/>
    <n v="0"/>
    <n v="0"/>
    <n v="200"/>
    <n v="1800"/>
    <n v="0"/>
    <n v="0"/>
    <n v="0"/>
    <n v="0"/>
    <n v="2000"/>
    <n v="68442"/>
    <m/>
    <m/>
  </r>
  <r>
    <d v="2025-07-01T00:00:00"/>
    <s v="Salary"/>
    <s v="S19014J001"/>
    <s v="MOONSTONE REALINFRA PRIVATE LIMITED"/>
    <n v="737"/>
    <s v="PRADIP PHOFALE"/>
    <s v="Male"/>
    <s v=""/>
    <s v="Jan 05, 2021"/>
    <s v="FJPPP4191E"/>
    <s v="101287262182"/>
    <x v="21"/>
    <s v="ADMIN - EXECUTIVE"/>
    <x v="2"/>
    <s v="TM"/>
    <s v="PF"/>
    <s v="NA"/>
    <s v=""/>
    <s v=""/>
    <s v="348597161366"/>
    <s v="50100624534038"/>
    <s v="HDFC BANK"/>
    <s v="HDFC0000007"/>
    <n v="31"/>
    <n v="0"/>
    <n v="0"/>
    <n v="31"/>
    <n v="31"/>
    <n v="22933"/>
    <n v="22933"/>
    <n v="10320"/>
    <n v="4128"/>
    <n v="1600"/>
    <n v="200"/>
    <n v="1250"/>
    <n v="0"/>
    <n v="0"/>
    <n v="0"/>
    <n v="0"/>
    <n v="0"/>
    <n v="0"/>
    <n v="0"/>
    <n v="1238"/>
    <n v="4197"/>
    <n v="0"/>
    <n v="0"/>
    <n v="4419"/>
    <n v="27352"/>
    <n v="22933"/>
    <n v="0"/>
    <n v="0"/>
    <n v="0"/>
    <n v="200"/>
    <n v="1238"/>
    <n v="0"/>
    <n v="0"/>
    <n v="0"/>
    <n v="0"/>
    <n v="1438"/>
    <n v="25914"/>
    <m/>
    <m/>
  </r>
  <r>
    <d v="2025-07-01T00:00:00"/>
    <s v="Salary"/>
    <s v="S19014J001"/>
    <s v="MOONSTONE REALINFRA PRIVATE LIMITED"/>
    <n v="649"/>
    <s v="PRAJAKTA KULKARNI"/>
    <s v="Female"/>
    <s v=""/>
    <s v="Feb 01, 2020"/>
    <s v="BJHPK2873G"/>
    <s v="101902983475"/>
    <x v="20"/>
    <s v="Asst. General Manager - HR"/>
    <x v="2"/>
    <s v="TL"/>
    <s v="PF"/>
    <s v="NA"/>
    <s v=""/>
    <s v=""/>
    <s v="287366904609"/>
    <s v="50100317874269"/>
    <s v="HDFC BANK"/>
    <s v="HDFC0000007"/>
    <n v="31"/>
    <n v="0"/>
    <n v="0.5"/>
    <n v="30.5"/>
    <n v="30.5"/>
    <n v="158333"/>
    <n v="158333"/>
    <n v="70101"/>
    <n v="28040"/>
    <n v="1574"/>
    <n v="197"/>
    <n v="1230"/>
    <n v="5839"/>
    <n v="14020"/>
    <n v="10515"/>
    <n v="701"/>
    <n v="2454"/>
    <n v="1402"/>
    <n v="351"/>
    <n v="1800"/>
    <n v="17555"/>
    <n v="0"/>
    <n v="0"/>
    <n v="0"/>
    <n v="155779"/>
    <n v="155779"/>
    <n v="0"/>
    <n v="0"/>
    <n v="10000"/>
    <n v="200"/>
    <n v="1800"/>
    <n v="0"/>
    <n v="0"/>
    <n v="0"/>
    <n v="0"/>
    <n v="12000"/>
    <n v="143779"/>
    <m/>
    <m/>
  </r>
  <r>
    <d v="2025-07-01T00:00:00"/>
    <s v="Salary"/>
    <s v="S19014J001"/>
    <s v="MOONSTONE REALINFRA PRIVATE LIMITED"/>
    <n v="1746"/>
    <s v="PRAMOD HANMANT PAWAR"/>
    <s v="Male"/>
    <s v=""/>
    <s v="May 20, 2024"/>
    <s v="DFHPP2315Q"/>
    <s v="102021330261"/>
    <x v="25"/>
    <s v="PAINTER"/>
    <x v="2"/>
    <s v="SS"/>
    <s v="PF"/>
    <s v="NA"/>
    <s v=""/>
    <s v=""/>
    <s v="464124497454"/>
    <s v="50100317492692"/>
    <s v="HDFC BANK"/>
    <s v="HDFC0000007"/>
    <n v="31"/>
    <n v="0"/>
    <n v="0"/>
    <n v="31"/>
    <n v="31"/>
    <n v="28500"/>
    <n v="28500"/>
    <n v="12825"/>
    <n v="5130"/>
    <n v="1600"/>
    <n v="200"/>
    <n v="1250"/>
    <n v="0"/>
    <n v="0"/>
    <n v="0"/>
    <n v="0"/>
    <n v="0"/>
    <n v="0"/>
    <n v="0"/>
    <n v="1539"/>
    <n v="5956"/>
    <n v="0"/>
    <n v="0"/>
    <n v="7624"/>
    <n v="36124"/>
    <n v="28500"/>
    <n v="0"/>
    <n v="0"/>
    <n v="0"/>
    <n v="200"/>
    <n v="1539"/>
    <n v="0"/>
    <n v="0"/>
    <n v="0"/>
    <n v="0"/>
    <n v="1739"/>
    <n v="34385"/>
    <m/>
    <m/>
  </r>
  <r>
    <d v="2025-07-01T00:00:00"/>
    <s v="Salary"/>
    <s v="S19014J001"/>
    <s v="MOONSTONE REALINFRA PRIVATE LIMITED"/>
    <n v="1771"/>
    <s v="PRASENJEET TATYARAM RANPISE"/>
    <s v="Male"/>
    <s v=""/>
    <s v="Jun 03, 2024"/>
    <s v="BEAPR4151J"/>
    <s v="101090722152"/>
    <x v="2"/>
    <s v="DEPUTY MANAGER"/>
    <x v="1"/>
    <s v="TM"/>
    <s v="PF"/>
    <s v="NA"/>
    <s v=""/>
    <s v=""/>
    <s v="327697944280"/>
    <s v="50100198966720"/>
    <s v="HDFC BANK"/>
    <s v="HDFC0001578"/>
    <n v="31"/>
    <n v="0"/>
    <n v="0"/>
    <n v="31"/>
    <n v="31"/>
    <n v="92504"/>
    <n v="92504"/>
    <n v="41627"/>
    <n v="16651"/>
    <n v="1600"/>
    <n v="200"/>
    <n v="1250"/>
    <n v="3468"/>
    <n v="8325"/>
    <n v="6244"/>
    <n v="416"/>
    <n v="1457"/>
    <n v="833"/>
    <n v="208"/>
    <n v="1800"/>
    <n v="8425"/>
    <n v="0"/>
    <n v="0"/>
    <n v="4620"/>
    <n v="97124"/>
    <n v="92504"/>
    <n v="0"/>
    <n v="0"/>
    <n v="0"/>
    <n v="200"/>
    <n v="1800"/>
    <n v="0"/>
    <n v="0"/>
    <n v="0"/>
    <n v="0"/>
    <n v="2000"/>
    <n v="95124"/>
    <m/>
    <m/>
  </r>
  <r>
    <d v="2025-07-01T00:00:00"/>
    <s v="Salary"/>
    <s v="S19014J001"/>
    <s v="MOONSTONE REALINFRA PRIVATE LIMITED"/>
    <n v="901"/>
    <s v="PRASHANT PANDITRAO AVHAD"/>
    <s v="Male"/>
    <s v=""/>
    <s v="Nov 11, 2021"/>
    <s v="AQYPA5398K"/>
    <s v="100285599207"/>
    <x v="23"/>
    <s v="ASSISTANT MANAGER - SALES"/>
    <x v="1"/>
    <s v="TM"/>
    <s v="PF"/>
    <s v="NA"/>
    <s v=""/>
    <s v=""/>
    <s v="533750994596"/>
    <s v="50100021738166"/>
    <s v="HDFC BANK"/>
    <s v="HDFC0000148"/>
    <n v="31"/>
    <n v="0"/>
    <n v="0"/>
    <n v="31"/>
    <n v="31"/>
    <n v="74042"/>
    <n v="74042"/>
    <n v="33319"/>
    <n v="13328"/>
    <n v="1600"/>
    <n v="200"/>
    <n v="1250"/>
    <n v="2775"/>
    <n v="6664"/>
    <n v="4998"/>
    <n v="333"/>
    <n v="1166"/>
    <n v="666"/>
    <n v="167"/>
    <n v="1800"/>
    <n v="5776"/>
    <n v="0"/>
    <n v="0"/>
    <n v="34181"/>
    <n v="108223"/>
    <n v="74042"/>
    <n v="0"/>
    <n v="0"/>
    <n v="0"/>
    <n v="200"/>
    <n v="1800"/>
    <n v="0"/>
    <n v="0"/>
    <n v="0"/>
    <n v="0"/>
    <n v="2000"/>
    <n v="106223"/>
    <m/>
    <m/>
  </r>
  <r>
    <d v="2025-07-01T00:00:00"/>
    <s v="Salary"/>
    <s v="S19014J001"/>
    <s v="MOONSTONE REALINFRA PRIVATE LIMITED"/>
    <n v="1445"/>
    <s v="PRASHANT SUDAM GADRE"/>
    <s v="Male"/>
    <s v=""/>
    <s v="Jun 01, 2023"/>
    <s v="AUVPG5057A"/>
    <s v="101403170926"/>
    <x v="4"/>
    <s v="Site Supervisor"/>
    <x v="0"/>
    <s v="TM"/>
    <s v="PF"/>
    <s v="NA"/>
    <s v=""/>
    <s v=""/>
    <s v="879059513265"/>
    <s v="50100268119865"/>
    <s v="HDFC BANK"/>
    <s v="HDFC0002493"/>
    <n v="31"/>
    <n v="0"/>
    <n v="0"/>
    <n v="31"/>
    <n v="31"/>
    <n v="50225"/>
    <n v="50225"/>
    <n v="22601"/>
    <n v="9040"/>
    <n v="1600"/>
    <n v="200"/>
    <n v="1250"/>
    <n v="1883"/>
    <n v="4520"/>
    <n v="3390"/>
    <n v="226"/>
    <n v="791"/>
    <n v="452"/>
    <n v="113"/>
    <n v="1800"/>
    <n v="2359"/>
    <n v="0"/>
    <n v="400"/>
    <n v="0"/>
    <n v="50625"/>
    <n v="50625"/>
    <n v="0"/>
    <n v="0"/>
    <n v="0"/>
    <n v="200"/>
    <n v="1800"/>
    <n v="0"/>
    <n v="0"/>
    <n v="0"/>
    <n v="0"/>
    <n v="2000"/>
    <n v="48625"/>
    <m/>
    <m/>
  </r>
  <r>
    <d v="2025-07-01T00:00:00"/>
    <s v="Salary"/>
    <s v="S19014J001"/>
    <s v="MOONSTONE REALINFRA PRIVATE LIMITED"/>
    <n v="1932"/>
    <s v="PRATHMESH MAKARAND PATWARDHAN"/>
    <s v="Male"/>
    <s v=""/>
    <s v="Nov 21, 2024"/>
    <s v="DIPPP8235N"/>
    <s v="101650676266"/>
    <x v="26"/>
    <s v="ENGINEERING - COORDINATOR"/>
    <x v="0"/>
    <s v="TM"/>
    <s v="PF"/>
    <s v="NA"/>
    <s v=""/>
    <s v=""/>
    <s v="989836806639"/>
    <s v="50100773207162"/>
    <s v="HDFC BANK"/>
    <s v="HDFC0001210"/>
    <n v="31"/>
    <n v="0"/>
    <n v="2.5"/>
    <n v="28.5"/>
    <n v="28.5"/>
    <n v="30700"/>
    <n v="30700"/>
    <n v="12701"/>
    <n v="5080"/>
    <n v="1471"/>
    <n v="184"/>
    <n v="1149"/>
    <n v="0"/>
    <n v="0"/>
    <n v="0"/>
    <n v="0"/>
    <n v="0"/>
    <n v="0"/>
    <n v="0"/>
    <n v="1524"/>
    <n v="6115"/>
    <n v="0"/>
    <n v="0"/>
    <n v="1241"/>
    <n v="29465"/>
    <n v="28224"/>
    <n v="0"/>
    <n v="0"/>
    <n v="0"/>
    <n v="200"/>
    <n v="1524"/>
    <n v="0"/>
    <n v="0"/>
    <n v="0"/>
    <n v="0"/>
    <n v="1724"/>
    <n v="27741"/>
    <m/>
    <m/>
  </r>
  <r>
    <d v="2025-07-01T00:00:00"/>
    <s v="Salary"/>
    <s v="S19014J001"/>
    <s v="MOONSTONE REALINFRA PRIVATE LIMITED"/>
    <n v="2014"/>
    <s v="RAHUL SANJAY SONAWANE"/>
    <s v="Male"/>
    <s v=""/>
    <s v="Feb 17, 2025"/>
    <s v="COZPS7657L"/>
    <s v="102171897905"/>
    <x v="27"/>
    <s v="EXECUTIVE - POSSESSION"/>
    <x v="4"/>
    <s v="TM"/>
    <s v="PF"/>
    <s v="NA"/>
    <s v=""/>
    <s v=""/>
    <s v="969590676456"/>
    <s v="50100731567322"/>
    <s v="HDFC BANK"/>
    <s v="HDFC0000007"/>
    <n v="31"/>
    <n v="0"/>
    <n v="0"/>
    <n v="31"/>
    <n v="31"/>
    <n v="32033"/>
    <n v="32033"/>
    <n v="14415"/>
    <n v="5766"/>
    <n v="1600"/>
    <n v="200"/>
    <n v="1250"/>
    <n v="0"/>
    <n v="0"/>
    <n v="0"/>
    <n v="0"/>
    <n v="0"/>
    <n v="0"/>
    <n v="0"/>
    <n v="1730"/>
    <n v="7072"/>
    <n v="0"/>
    <n v="0"/>
    <n v="1326"/>
    <n v="33359"/>
    <n v="32033"/>
    <n v="0"/>
    <n v="0"/>
    <n v="0"/>
    <n v="200"/>
    <n v="1730"/>
    <n v="0"/>
    <n v="0"/>
    <n v="0"/>
    <n v="0"/>
    <n v="1930"/>
    <n v="31429"/>
    <m/>
    <m/>
  </r>
  <r>
    <d v="2025-07-01T00:00:00"/>
    <s v="Salary"/>
    <s v="S19014J001"/>
    <s v="MOONSTONE REALINFRA PRIVATE LIMITED"/>
    <n v="1480"/>
    <s v="RAKESH DNYANOBA SONAWANE"/>
    <s v="Male"/>
    <s v=""/>
    <s v="Jul 19, 2023"/>
    <s v="DJBPS0548N"/>
    <s v="100318745002"/>
    <x v="1"/>
    <s v="ASSISTANT PROJECT MANAGER"/>
    <x v="0"/>
    <s v="TM"/>
    <s v="PF"/>
    <s v="NA"/>
    <s v=""/>
    <s v=""/>
    <s v="815335472494"/>
    <s v="50100098216176"/>
    <s v="HDFC BANK"/>
    <s v="HDFC0000359"/>
    <n v="31"/>
    <n v="0"/>
    <n v="0"/>
    <n v="31"/>
    <n v="31"/>
    <n v="72817"/>
    <n v="72817"/>
    <n v="32768"/>
    <n v="13107"/>
    <n v="1600"/>
    <n v="200"/>
    <n v="1250"/>
    <n v="2730"/>
    <n v="6554"/>
    <n v="4915"/>
    <n v="328"/>
    <n v="1147"/>
    <n v="655"/>
    <n v="164"/>
    <n v="1800"/>
    <n v="5599"/>
    <n v="0"/>
    <n v="400"/>
    <n v="0"/>
    <n v="73217"/>
    <n v="73217"/>
    <n v="0"/>
    <n v="0"/>
    <n v="0"/>
    <n v="200"/>
    <n v="1800"/>
    <n v="0"/>
    <n v="0"/>
    <n v="0"/>
    <n v="0"/>
    <n v="2000"/>
    <n v="71217"/>
    <m/>
    <m/>
  </r>
  <r>
    <d v="2025-07-01T00:00:00"/>
    <s v="Salary"/>
    <s v="S19014J001"/>
    <s v="MOONSTONE REALINFRA PRIVATE LIMITED"/>
    <n v="405"/>
    <s v="RATIKANT RAMA CHANDRA ROUT"/>
    <s v="Male"/>
    <s v=""/>
    <s v="Dec 11, 2018"/>
    <s v="BKMPR1999E"/>
    <s v="101411918080"/>
    <x v="7"/>
    <s v="EXECUTIVE - POSSESSION"/>
    <x v="2"/>
    <s v="TM"/>
    <s v="PF"/>
    <s v="NA"/>
    <s v=""/>
    <s v=""/>
    <s v="516990099788"/>
    <s v="50100317879206"/>
    <s v="HDFC BANK"/>
    <s v="HDFC0000007"/>
    <n v="31"/>
    <n v="0"/>
    <n v="0"/>
    <n v="31"/>
    <n v="31"/>
    <n v="33167"/>
    <n v="33167"/>
    <n v="14925"/>
    <n v="5970"/>
    <n v="1600"/>
    <n v="200"/>
    <n v="1250"/>
    <n v="0"/>
    <n v="0"/>
    <n v="0"/>
    <n v="0"/>
    <n v="0"/>
    <n v="0"/>
    <n v="0"/>
    <n v="1791"/>
    <n v="7431"/>
    <n v="0"/>
    <n v="0"/>
    <n v="5578"/>
    <n v="38745"/>
    <n v="33167"/>
    <n v="0"/>
    <n v="0"/>
    <n v="0"/>
    <n v="200"/>
    <n v="1791"/>
    <n v="0"/>
    <n v="0"/>
    <n v="0"/>
    <n v="0"/>
    <n v="1991"/>
    <n v="36754"/>
    <m/>
    <m/>
  </r>
  <r>
    <d v="2025-07-01T00:00:00"/>
    <s v="Salary"/>
    <s v="S19014J001"/>
    <s v="MOONSTONE REALINFRA PRIVATE LIMITED"/>
    <n v="1916"/>
    <s v="RAVI BHARTI"/>
    <s v="Male"/>
    <s v=""/>
    <s v="Nov 11, 2024"/>
    <s v="BKLPB8249J"/>
    <s v="101569634502"/>
    <x v="2"/>
    <s v="DEPUTY MANAGER"/>
    <x v="1"/>
    <s v="TM"/>
    <s v="PF"/>
    <s v="NA"/>
    <s v=""/>
    <s v=""/>
    <s v="844495303708"/>
    <s v="50100585317756"/>
    <s v="HDFC BANK"/>
    <s v="HDFC0000627"/>
    <n v="31"/>
    <n v="0"/>
    <n v="0"/>
    <n v="31"/>
    <n v="31"/>
    <n v="94033"/>
    <n v="94033"/>
    <n v="42315"/>
    <n v="16926"/>
    <n v="1600"/>
    <n v="200"/>
    <n v="1250"/>
    <n v="3525"/>
    <n v="8463"/>
    <n v="6347"/>
    <n v="423"/>
    <n v="1481"/>
    <n v="846"/>
    <n v="212"/>
    <n v="1800"/>
    <n v="8645"/>
    <n v="0"/>
    <n v="0"/>
    <n v="0"/>
    <n v="94033"/>
    <n v="94033"/>
    <n v="0"/>
    <n v="0"/>
    <n v="0"/>
    <n v="200"/>
    <n v="1800"/>
    <n v="0"/>
    <n v="0"/>
    <n v="0"/>
    <n v="0"/>
    <n v="2000"/>
    <n v="92033"/>
    <m/>
    <m/>
  </r>
  <r>
    <d v="2025-07-01T00:00:00"/>
    <s v="Salary"/>
    <s v="S19014J001"/>
    <s v="MOONSTONE REALINFRA PRIVATE LIMITED"/>
    <n v="1093"/>
    <s v="RISHABH CHANDEL"/>
    <s v="Male"/>
    <s v=""/>
    <s v="May 16, 2022"/>
    <s v="BAOPC6525R"/>
    <s v="101633454393"/>
    <x v="5"/>
    <s v="MANAGER-SALES"/>
    <x v="1"/>
    <s v="TL"/>
    <s v="PF"/>
    <s v="NA"/>
    <s v=""/>
    <s v=""/>
    <s v="821066376289"/>
    <s v="50100312589050"/>
    <s v="HDFC BANK"/>
    <s v="HDFC0009453"/>
    <n v="31"/>
    <n v="0"/>
    <n v="0"/>
    <n v="31"/>
    <n v="31"/>
    <n v="96667"/>
    <n v="96667"/>
    <n v="43500"/>
    <n v="17400"/>
    <n v="1600"/>
    <n v="200"/>
    <n v="1250"/>
    <n v="3624"/>
    <n v="8700"/>
    <n v="6525"/>
    <n v="435"/>
    <n v="1523"/>
    <n v="870"/>
    <n v="218"/>
    <n v="1800"/>
    <n v="9022"/>
    <n v="0"/>
    <n v="0"/>
    <n v="8893"/>
    <n v="105560"/>
    <n v="96667"/>
    <n v="0"/>
    <n v="0"/>
    <n v="0"/>
    <n v="200"/>
    <n v="1800"/>
    <n v="0"/>
    <n v="0"/>
    <n v="0"/>
    <n v="0"/>
    <n v="2000"/>
    <n v="103560"/>
    <m/>
    <m/>
  </r>
  <r>
    <d v="2025-07-01T00:00:00"/>
    <s v="Salary"/>
    <s v="S19014J001"/>
    <s v="MOONSTONE REALINFRA PRIVATE LIMITED"/>
    <n v="2043"/>
    <s v="ROHIT KANHAIYALAL GYANCHANDANI"/>
    <s v="Male"/>
    <s v=""/>
    <s v="Mar 03, 2025"/>
    <s v="BFFPG1593D"/>
    <s v="101468514180"/>
    <x v="28"/>
    <s v="ASSISTANT MANAGER - ACCOUNTS"/>
    <x v="5"/>
    <s v="TM"/>
    <s v="PF"/>
    <s v="NA"/>
    <s v=""/>
    <s v=""/>
    <s v="710877491907"/>
    <s v="50100257695801"/>
    <s v="HDFC BANK"/>
    <s v="HDFC0001445"/>
    <n v="31"/>
    <n v="0"/>
    <n v="5.5"/>
    <n v="25.5"/>
    <n v="25.5"/>
    <n v="75000"/>
    <n v="75000"/>
    <n v="27762"/>
    <n v="11105"/>
    <n v="1316"/>
    <n v="165"/>
    <n v="1028"/>
    <n v="2313"/>
    <n v="5552"/>
    <n v="4164"/>
    <n v="278"/>
    <n v="972"/>
    <n v="555"/>
    <n v="139"/>
    <n v="1800"/>
    <n v="4545"/>
    <n v="0"/>
    <n v="0"/>
    <n v="0"/>
    <n v="61694"/>
    <n v="61694"/>
    <n v="0"/>
    <n v="0"/>
    <n v="0"/>
    <n v="200"/>
    <n v="1800"/>
    <n v="0"/>
    <n v="0"/>
    <n v="0"/>
    <n v="0"/>
    <n v="2000"/>
    <n v="59694"/>
    <m/>
    <m/>
  </r>
  <r>
    <d v="2025-07-01T00:00:00"/>
    <s v="Salary"/>
    <s v="S19014J001"/>
    <s v="MOONSTONE REALINFRA PRIVATE LIMITED"/>
    <n v="2156"/>
    <s v="SANDEEP MARUTI SAWANT"/>
    <s v="Male"/>
    <s v=""/>
    <s v="Jul 01, 2025"/>
    <s v="CJDPS9049F"/>
    <s v="101160800602"/>
    <x v="45"/>
    <s v="ASSISTANT MANAGER"/>
    <x v="0"/>
    <s v="TL"/>
    <s v="PF"/>
    <s v="NA"/>
    <s v=""/>
    <s v=""/>
    <s v="396088354849"/>
    <s v="50100815728515"/>
    <s v="HDFC BANK"/>
    <s v="HDFC0008300"/>
    <n v="31"/>
    <n v="0"/>
    <n v="1.5"/>
    <n v="29.5"/>
    <n v="29.5"/>
    <n v="67200"/>
    <n v="67200"/>
    <n v="28777"/>
    <n v="11511"/>
    <n v="1523"/>
    <n v="190"/>
    <n v="1190"/>
    <n v="2397"/>
    <n v="5755"/>
    <n v="4317"/>
    <n v="288"/>
    <n v="1007"/>
    <n v="576"/>
    <n v="144"/>
    <n v="1800"/>
    <n v="4473"/>
    <n v="0"/>
    <n v="0"/>
    <n v="0"/>
    <n v="63948"/>
    <n v="63948"/>
    <n v="0"/>
    <n v="0"/>
    <n v="0"/>
    <n v="200"/>
    <n v="1800"/>
    <n v="0"/>
    <n v="0"/>
    <n v="0"/>
    <n v="0"/>
    <n v="2000"/>
    <n v="61948"/>
    <m/>
    <m/>
  </r>
  <r>
    <d v="2025-07-01T00:00:00"/>
    <s v="Salary"/>
    <s v="S19014J001"/>
    <s v="MOONSTONE REALINFRA PRIVATE LIMITED"/>
    <n v="413"/>
    <s v="SANDIP GHANSHAM FAND"/>
    <s v="Male"/>
    <s v=""/>
    <s v="Feb 05, 2019"/>
    <s v="ACBPF9894L"/>
    <s v="101432955213"/>
    <x v="9"/>
    <s v="SENIOR ENGINEER"/>
    <x v="0"/>
    <s v="TM"/>
    <s v="PF"/>
    <s v="NA"/>
    <s v=""/>
    <s v=""/>
    <s v="918983892865"/>
    <s v="50100317492765"/>
    <s v="HDFC BANK"/>
    <s v="HDFC0000007"/>
    <n v="31"/>
    <n v="0"/>
    <n v="0"/>
    <n v="31"/>
    <n v="31"/>
    <n v="52975"/>
    <n v="52975"/>
    <n v="23839"/>
    <n v="9536"/>
    <n v="1600"/>
    <n v="200"/>
    <n v="1250"/>
    <n v="1986"/>
    <n v="4768"/>
    <n v="3576"/>
    <n v="238"/>
    <n v="834"/>
    <n v="477"/>
    <n v="119"/>
    <n v="1800"/>
    <n v="2752"/>
    <n v="0"/>
    <n v="1000"/>
    <n v="0"/>
    <n v="53975"/>
    <n v="53975"/>
    <n v="0"/>
    <n v="0"/>
    <n v="0"/>
    <n v="200"/>
    <n v="1800"/>
    <n v="0"/>
    <n v="0"/>
    <n v="0"/>
    <n v="0"/>
    <n v="2000"/>
    <n v="51975"/>
    <m/>
    <m/>
  </r>
  <r>
    <d v="2025-07-01T00:00:00"/>
    <s v="Salary"/>
    <s v="S19014J001"/>
    <s v="MOONSTONE REALINFRA PRIVATE LIMITED"/>
    <n v="1389"/>
    <s v="SANDIP RAMESHRAO JAKKALWAD"/>
    <s v="Male"/>
    <s v=""/>
    <s v="Apr 24, 2023"/>
    <s v="AWLPJ2490A"/>
    <s v="101938922335"/>
    <x v="30"/>
    <s v="SENIOR  EXECUTIVE - ACCOUNTS"/>
    <x v="5"/>
    <s v="TM"/>
    <s v="PF"/>
    <s v="NA"/>
    <s v=""/>
    <s v=""/>
    <s v="790987241865"/>
    <s v="50100318162101"/>
    <s v="HDFC BANK"/>
    <s v="HDFC0000007"/>
    <n v="31"/>
    <n v="0"/>
    <n v="0"/>
    <n v="31"/>
    <n v="31"/>
    <n v="57473"/>
    <n v="57473"/>
    <n v="25863"/>
    <n v="10345"/>
    <n v="1600"/>
    <n v="200"/>
    <n v="1250"/>
    <n v="2154"/>
    <n v="5173"/>
    <n v="3879"/>
    <n v="259"/>
    <n v="905"/>
    <n v="517"/>
    <n v="129"/>
    <n v="1800"/>
    <n v="3399"/>
    <n v="0"/>
    <n v="0"/>
    <n v="0"/>
    <n v="57473"/>
    <n v="57473"/>
    <n v="0"/>
    <n v="0"/>
    <n v="0"/>
    <n v="200"/>
    <n v="1800"/>
    <n v="0"/>
    <n v="0"/>
    <n v="0"/>
    <n v="0"/>
    <n v="2000"/>
    <n v="55473"/>
    <m/>
    <m/>
  </r>
  <r>
    <d v="2025-07-01T00:00:00"/>
    <s v="Salary"/>
    <s v="S19014J001"/>
    <s v="MOONSTONE REALINFRA PRIVATE LIMITED"/>
    <n v="1535"/>
    <s v="SANTOSH DAMU MANKAR"/>
    <s v="Male"/>
    <s v=""/>
    <s v="Sep 14, 2023"/>
    <s v="ARVPM8431B"/>
    <s v="101916942878"/>
    <x v="31"/>
    <s v="PROJECT MANAGER"/>
    <x v="0"/>
    <s v="TL"/>
    <s v="PF"/>
    <s v="NA"/>
    <s v=""/>
    <s v=""/>
    <s v="863607704890"/>
    <s v="04861720000752"/>
    <s v="HDFC BANK"/>
    <s v="HDFC0002454"/>
    <n v="31"/>
    <n v="0"/>
    <n v="3.5"/>
    <n v="27.5"/>
    <n v="27.5"/>
    <n v="95900"/>
    <n v="95900"/>
    <n v="38283"/>
    <n v="15313"/>
    <n v="1419"/>
    <n v="177"/>
    <n v="1109"/>
    <n v="3189"/>
    <n v="7657"/>
    <n v="5742"/>
    <n v="383"/>
    <n v="1340"/>
    <n v="766"/>
    <n v="191"/>
    <n v="1800"/>
    <n v="7704"/>
    <n v="0"/>
    <n v="0"/>
    <n v="0"/>
    <n v="85073"/>
    <n v="85073"/>
    <n v="0"/>
    <n v="0"/>
    <n v="0"/>
    <n v="200"/>
    <n v="1800"/>
    <n v="0"/>
    <n v="0"/>
    <n v="0"/>
    <n v="0"/>
    <n v="2000"/>
    <n v="83073"/>
    <m/>
    <m/>
  </r>
  <r>
    <d v="2025-07-01T00:00:00"/>
    <s v="Salary"/>
    <s v="S19014J001"/>
    <s v="MOONSTONE REALINFRA PRIVATE LIMITED"/>
    <n v="1409"/>
    <s v="SANTOSH KADAM"/>
    <s v="Male"/>
    <s v=""/>
    <s v="May 10, 2023"/>
    <s v="AZUPK6484F"/>
    <s v="100924255914"/>
    <x v="9"/>
    <s v="SENIOR ENGINEER"/>
    <x v="0"/>
    <s v="TM"/>
    <s v="PF"/>
    <s v="NA"/>
    <s v=""/>
    <s v=""/>
    <s v="333622114009"/>
    <s v="50100502294986"/>
    <s v="HDFC BANK"/>
    <s v="HDFC0001445"/>
    <n v="31"/>
    <n v="0"/>
    <n v="0"/>
    <n v="31"/>
    <n v="31"/>
    <n v="71417"/>
    <n v="71417"/>
    <n v="32138"/>
    <n v="12855"/>
    <n v="1600"/>
    <n v="200"/>
    <n v="1250"/>
    <n v="2677"/>
    <n v="6428"/>
    <n v="4821"/>
    <n v="321"/>
    <n v="1125"/>
    <n v="643"/>
    <n v="161"/>
    <n v="1800"/>
    <n v="5398"/>
    <n v="0"/>
    <n v="0"/>
    <n v="0"/>
    <n v="71417"/>
    <n v="71417"/>
    <n v="0"/>
    <n v="0"/>
    <n v="0"/>
    <n v="200"/>
    <n v="1800"/>
    <n v="0"/>
    <n v="0"/>
    <n v="0"/>
    <n v="0"/>
    <n v="2000"/>
    <n v="69417"/>
    <m/>
    <m/>
  </r>
  <r>
    <d v="2025-07-01T00:00:00"/>
    <s v="Salary"/>
    <s v="S19014J001"/>
    <s v="MOONSTONE REALINFRA PRIVATE LIMITED"/>
    <n v="2155"/>
    <s v="SAURABH MININATH NANNAVARE"/>
    <s v="Male"/>
    <s v=""/>
    <s v="Jul 01, 2025"/>
    <s v="BIJPN9700N"/>
    <s v="101177464600"/>
    <x v="46"/>
    <s v="ENGINEER"/>
    <x v="0"/>
    <s v="TM"/>
    <s v="PF"/>
    <s v="NA"/>
    <s v=""/>
    <s v=""/>
    <s v="706192695680"/>
    <s v="50100815728452"/>
    <s v="HDFC BANK"/>
    <s v="HDFC0008300"/>
    <n v="31"/>
    <n v="0"/>
    <n v="1"/>
    <n v="30"/>
    <n v="30"/>
    <n v="53200"/>
    <n v="53200"/>
    <n v="23168"/>
    <n v="9267"/>
    <n v="1548"/>
    <n v="194"/>
    <n v="1210"/>
    <n v="1930"/>
    <n v="4634"/>
    <n v="3475"/>
    <n v="232"/>
    <n v="811"/>
    <n v="463"/>
    <n v="116"/>
    <n v="1800"/>
    <n v="2636"/>
    <n v="0"/>
    <n v="0"/>
    <n v="0"/>
    <n v="51484"/>
    <n v="51484"/>
    <n v="0"/>
    <n v="0"/>
    <n v="0"/>
    <n v="200"/>
    <n v="1800"/>
    <n v="0"/>
    <n v="0"/>
    <n v="0"/>
    <n v="0"/>
    <n v="2000"/>
    <n v="49484"/>
    <m/>
    <m/>
  </r>
  <r>
    <d v="2025-07-01T00:00:00"/>
    <s v="Salary"/>
    <s v="S19014J001"/>
    <s v="MOONSTONE REALINFRA PRIVATE LIMITED"/>
    <n v="2147"/>
    <s v="SAYALI LAXMAN DHAIGUDE"/>
    <s v="Female"/>
    <s v=""/>
    <s v="Jul 01, 2025"/>
    <s v="IODPD3701L"/>
    <s v="102070661731"/>
    <x v="47"/>
    <s v="GUEST RELATION EXECUTIVE"/>
    <x v="2"/>
    <s v="TM"/>
    <s v="PF"/>
    <s v="NA"/>
    <s v=""/>
    <s v=""/>
    <s v="616621359625"/>
    <s v="50100815728531"/>
    <s v="HDFC BANK"/>
    <s v="HDFC0008300"/>
    <n v="31"/>
    <n v="0"/>
    <n v="0"/>
    <n v="31"/>
    <n v="31"/>
    <n v="28380"/>
    <n v="28380"/>
    <n v="12771"/>
    <n v="5108"/>
    <n v="1600"/>
    <n v="200"/>
    <n v="1250"/>
    <n v="0"/>
    <n v="0"/>
    <n v="0"/>
    <n v="0"/>
    <n v="0"/>
    <n v="0"/>
    <n v="0"/>
    <n v="1533"/>
    <n v="5918"/>
    <n v="0"/>
    <n v="0"/>
    <n v="0"/>
    <n v="28380"/>
    <n v="28380"/>
    <n v="0"/>
    <n v="0"/>
    <n v="0"/>
    <n v="200"/>
    <n v="1533"/>
    <n v="0"/>
    <n v="0"/>
    <n v="0"/>
    <n v="0"/>
    <n v="1733"/>
    <n v="26647"/>
    <m/>
    <m/>
  </r>
  <r>
    <d v="2025-07-01T00:00:00"/>
    <s v="Salary"/>
    <s v="S19014J001"/>
    <s v="MOONSTONE REALINFRA PRIVATE LIMITED"/>
    <n v="1263"/>
    <s v="SHANKAR BASAPPA GAVI"/>
    <s v="Male"/>
    <s v=""/>
    <s v="Nov 25, 2022"/>
    <s v="BNUPG2416C"/>
    <s v="101450766269"/>
    <x v="45"/>
    <s v="ASSISTANT MANAGER"/>
    <x v="0"/>
    <s v="TM"/>
    <s v="PF"/>
    <s v="NA"/>
    <s v=""/>
    <s v=""/>
    <s v="325630092478"/>
    <s v="50100734599528"/>
    <s v="HDFC BANK"/>
    <s v="HDFC0001210"/>
    <n v="31"/>
    <n v="0"/>
    <n v="0.5"/>
    <n v="30.5"/>
    <n v="30.5"/>
    <n v="55900"/>
    <n v="55900"/>
    <n v="24749"/>
    <n v="9900"/>
    <n v="1574"/>
    <n v="197"/>
    <n v="1230"/>
    <n v="2062"/>
    <n v="4950"/>
    <n v="3712"/>
    <n v="247"/>
    <n v="866"/>
    <n v="495"/>
    <n v="124"/>
    <n v="1800"/>
    <n v="3092"/>
    <n v="0"/>
    <n v="0"/>
    <n v="0"/>
    <n v="54998"/>
    <n v="54998"/>
    <n v="0"/>
    <n v="0"/>
    <n v="0"/>
    <n v="200"/>
    <n v="1800"/>
    <n v="0"/>
    <n v="0"/>
    <n v="0"/>
    <n v="0"/>
    <n v="2000"/>
    <n v="52998"/>
    <m/>
    <m/>
  </r>
  <r>
    <d v="2025-07-01T00:00:00"/>
    <s v="Salary"/>
    <s v="S19014J001"/>
    <s v="MOONSTONE REALINFRA PRIVATE LIMITED"/>
    <n v="1758"/>
    <s v="SHASHIKANT RAJKUMAR BHASKAR"/>
    <s v="Male"/>
    <s v=""/>
    <s v="May 25, 2024"/>
    <s v="DUVPB0713F"/>
    <s v="101916942813"/>
    <x v="9"/>
    <s v="SENIOR ENGINEER"/>
    <x v="0"/>
    <s v="TM"/>
    <s v="PF"/>
    <s v="NA"/>
    <s v=""/>
    <s v=""/>
    <s v="630621029579"/>
    <s v="50100563889297"/>
    <s v="HDFC BANK"/>
    <s v="HDFC0009526"/>
    <n v="31"/>
    <n v="0"/>
    <n v="0"/>
    <n v="31"/>
    <n v="31"/>
    <n v="68220"/>
    <n v="68220"/>
    <n v="30699"/>
    <n v="12280"/>
    <n v="1600"/>
    <n v="200"/>
    <n v="1250"/>
    <n v="2557"/>
    <n v="6140"/>
    <n v="4605"/>
    <n v="307"/>
    <n v="1074"/>
    <n v="614"/>
    <n v="154"/>
    <n v="1800"/>
    <n v="4940"/>
    <n v="0"/>
    <n v="0"/>
    <n v="1111"/>
    <n v="69331"/>
    <n v="68220"/>
    <n v="0"/>
    <n v="0"/>
    <n v="0"/>
    <n v="200"/>
    <n v="1800"/>
    <n v="0"/>
    <n v="0"/>
    <n v="0"/>
    <n v="0"/>
    <n v="2000"/>
    <n v="67331"/>
    <m/>
    <m/>
  </r>
  <r>
    <d v="2025-07-01T00:00:00"/>
    <s v="Salary"/>
    <s v="S19014J001"/>
    <s v="MOONSTONE REALINFRA PRIVATE LIMITED"/>
    <n v="1624"/>
    <s v="SHRINATH SITARAM KHANDALE"/>
    <s v="Male"/>
    <s v=""/>
    <s v="Jan 23, 2024"/>
    <s v="BIZPK8142F"/>
    <s v="101215605497"/>
    <x v="22"/>
    <s v="SUPERVISOR"/>
    <x v="0"/>
    <s v="TM"/>
    <s v="PF"/>
    <s v="NA"/>
    <s v=""/>
    <s v=""/>
    <s v="740935311886"/>
    <s v="50100647442391"/>
    <s v="HDFC BANK"/>
    <s v="HDFC0008300"/>
    <n v="31"/>
    <n v="0"/>
    <n v="0"/>
    <n v="31"/>
    <n v="31"/>
    <n v="42042"/>
    <n v="42042"/>
    <n v="18919"/>
    <n v="7568"/>
    <n v="1600"/>
    <n v="200"/>
    <n v="1250"/>
    <n v="1576"/>
    <n v="3784"/>
    <n v="2838"/>
    <n v="189"/>
    <n v="662"/>
    <n v="378"/>
    <n v="95"/>
    <n v="1800"/>
    <n v="1183"/>
    <n v="0"/>
    <n v="1600"/>
    <n v="0"/>
    <n v="43642"/>
    <n v="43642"/>
    <n v="0"/>
    <n v="0"/>
    <n v="0"/>
    <n v="200"/>
    <n v="1800"/>
    <n v="0"/>
    <n v="0"/>
    <n v="0"/>
    <n v="0"/>
    <n v="2000"/>
    <n v="41642"/>
    <m/>
    <m/>
  </r>
  <r>
    <d v="2025-07-01T00:00:00"/>
    <s v="Salary"/>
    <s v="S19014J001"/>
    <s v="MOONSTONE REALINFRA PRIVATE LIMITED"/>
    <n v="1738"/>
    <s v="SHRIVATSA SHRIRANG DESHPANDE"/>
    <s v="Male"/>
    <s v=""/>
    <s v="May 02, 2024"/>
    <s v="CQKPD1013N"/>
    <s v="102074135450"/>
    <x v="33"/>
    <s v="JUNIOR ENGINEER"/>
    <x v="0"/>
    <s v="TM"/>
    <s v="PF"/>
    <s v="NA"/>
    <s v=""/>
    <s v=""/>
    <s v="775752480136"/>
    <s v="50100318176957"/>
    <s v="HDFC BANK"/>
    <s v="HDFC0000007"/>
    <n v="31"/>
    <n v="0"/>
    <n v="0"/>
    <n v="31"/>
    <n v="31"/>
    <n v="35983"/>
    <n v="35983"/>
    <n v="16192"/>
    <n v="6477"/>
    <n v="1600"/>
    <n v="200"/>
    <n v="1250"/>
    <n v="0"/>
    <n v="0"/>
    <n v="0"/>
    <n v="0"/>
    <n v="0"/>
    <n v="0"/>
    <n v="0"/>
    <n v="1800"/>
    <n v="8464"/>
    <n v="0"/>
    <n v="600"/>
    <n v="0"/>
    <n v="36583"/>
    <n v="36583"/>
    <n v="0"/>
    <n v="0"/>
    <n v="0"/>
    <n v="200"/>
    <n v="1800"/>
    <n v="0"/>
    <n v="0"/>
    <n v="0"/>
    <n v="0"/>
    <n v="2000"/>
    <n v="34583"/>
    <m/>
    <m/>
  </r>
  <r>
    <d v="2025-07-01T00:00:00"/>
    <s v="Salary"/>
    <s v="S19014J001"/>
    <s v="MOONSTONE REALINFRA PRIVATE LIMITED"/>
    <n v="1510"/>
    <s v="SIDDHARTH VIJAY PANDIT"/>
    <s v="Male"/>
    <s v=""/>
    <s v="Aug 24, 2023"/>
    <s v="EQTPP2620G"/>
    <s v="101281441913"/>
    <x v="23"/>
    <s v="ASSISTANT MANAGER"/>
    <x v="1"/>
    <s v="TM"/>
    <s v="PF"/>
    <s v="NA"/>
    <s v=""/>
    <s v=""/>
    <s v="417386289363"/>
    <s v="50100317491982"/>
    <s v="HDFC BANK"/>
    <s v="HDFC0000007"/>
    <n v="31"/>
    <n v="0"/>
    <n v="0"/>
    <n v="31"/>
    <n v="31"/>
    <n v="49307"/>
    <n v="49307"/>
    <n v="22188"/>
    <n v="8875"/>
    <n v="1600"/>
    <n v="200"/>
    <n v="1250"/>
    <n v="1848"/>
    <n v="4438"/>
    <n v="3328"/>
    <n v="222"/>
    <n v="777"/>
    <n v="444"/>
    <n v="111"/>
    <n v="1800"/>
    <n v="2226"/>
    <n v="0"/>
    <n v="0"/>
    <n v="1381"/>
    <n v="50688"/>
    <n v="49307"/>
    <n v="0"/>
    <n v="0"/>
    <n v="0"/>
    <n v="200"/>
    <n v="1800"/>
    <n v="0"/>
    <n v="0"/>
    <n v="0"/>
    <n v="0"/>
    <n v="2000"/>
    <n v="48688"/>
    <m/>
    <m/>
  </r>
  <r>
    <d v="2025-07-01T00:00:00"/>
    <s v="Salary"/>
    <s v="S19014J001"/>
    <s v="MOONSTONE REALINFRA PRIVATE LIMITED"/>
    <n v="2175"/>
    <s v="SNEHAL PRASHANT WALE"/>
    <s v="Female"/>
    <s v=""/>
    <s v="Jul 15, 2025"/>
    <s v="CHLPK4878N"/>
    <s v="102226028536"/>
    <x v="48"/>
    <s v="MANAGER"/>
    <x v="0"/>
    <s v="TL"/>
    <s v="PF"/>
    <s v="NA"/>
    <s v=""/>
    <s v=""/>
    <s v="499534600849"/>
    <s v=""/>
    <s v=""/>
    <s v=""/>
    <n v="31"/>
    <n v="0"/>
    <n v="0"/>
    <n v="17"/>
    <n v="17"/>
    <n v="137785"/>
    <n v="137785"/>
    <n v="34002"/>
    <n v="13601"/>
    <n v="877"/>
    <n v="200"/>
    <n v="685"/>
    <n v="2832"/>
    <n v="6800"/>
    <n v="5100"/>
    <n v="340"/>
    <n v="1190"/>
    <n v="680"/>
    <n v="170"/>
    <n v="1800"/>
    <n v="7283"/>
    <n v="0"/>
    <n v="0"/>
    <n v="0"/>
    <n v="75560"/>
    <n v="75560"/>
    <n v="0"/>
    <n v="0"/>
    <n v="6530"/>
    <n v="200"/>
    <n v="1800"/>
    <n v="0"/>
    <n v="0"/>
    <n v="0"/>
    <n v="0"/>
    <n v="8530"/>
    <n v="67030"/>
    <m/>
    <m/>
  </r>
  <r>
    <d v="2025-07-01T00:00:00"/>
    <s v="Salary"/>
    <s v="S19014J001"/>
    <s v="MOONSTONE REALINFRA PRIVATE LIMITED"/>
    <n v="1589"/>
    <s v="TAUKEEL RASHID JAMADAR"/>
    <s v="Male"/>
    <s v=""/>
    <s v="Jan 02, 2024"/>
    <s v="CGPPJ6786D"/>
    <s v="102034245800"/>
    <x v="0"/>
    <s v="FIELD ENGINEER"/>
    <x v="0"/>
    <s v="TM"/>
    <s v="PF"/>
    <s v="NA"/>
    <s v=""/>
    <s v=""/>
    <s v="477762356796"/>
    <s v="50100624533482"/>
    <s v="HDFC BANK"/>
    <s v="HDFC0000007"/>
    <n v="31"/>
    <n v="0"/>
    <n v="0"/>
    <n v="31"/>
    <n v="31"/>
    <n v="34250"/>
    <n v="34250"/>
    <n v="15413"/>
    <n v="6165"/>
    <n v="1600"/>
    <n v="200"/>
    <n v="1250"/>
    <n v="0"/>
    <n v="0"/>
    <n v="0"/>
    <n v="0"/>
    <n v="0"/>
    <n v="0"/>
    <n v="0"/>
    <n v="1800"/>
    <n v="7822"/>
    <n v="0"/>
    <n v="400"/>
    <n v="0"/>
    <n v="34650"/>
    <n v="34650"/>
    <n v="0"/>
    <n v="0"/>
    <n v="0"/>
    <n v="200"/>
    <n v="1800"/>
    <n v="0"/>
    <n v="0"/>
    <n v="0"/>
    <n v="0"/>
    <n v="2000"/>
    <n v="32650"/>
    <m/>
    <m/>
  </r>
  <r>
    <d v="2025-07-01T00:00:00"/>
    <s v="Salary"/>
    <s v="S19014J001"/>
    <s v="MOONSTONE REALINFRA PRIVATE LIMITED"/>
    <n v="2069"/>
    <s v="TIPPUSULATAN ABDUL NADAF"/>
    <s v="Male"/>
    <s v=""/>
    <s v="Mar 25, 2025"/>
    <s v="ATNPN5727D"/>
    <s v="102119999896"/>
    <x v="1"/>
    <s v="ASSISTANT PROJECT MANAGER"/>
    <x v="0"/>
    <s v="TM"/>
    <s v="PF"/>
    <s v="NA"/>
    <s v=""/>
    <s v=""/>
    <s v="308508124099"/>
    <s v="50100090742768"/>
    <s v="HDFC BANK"/>
    <s v="HDFC0005554"/>
    <n v="31"/>
    <n v="0"/>
    <n v="0"/>
    <n v="31"/>
    <n v="31"/>
    <n v="70000"/>
    <n v="70000"/>
    <n v="31500"/>
    <n v="12600"/>
    <n v="1600"/>
    <n v="200"/>
    <n v="1250"/>
    <n v="2624"/>
    <n v="6300"/>
    <n v="4725"/>
    <n v="315"/>
    <n v="1103"/>
    <n v="630"/>
    <n v="158"/>
    <n v="1800"/>
    <n v="5195"/>
    <n v="0"/>
    <n v="800"/>
    <n v="0"/>
    <n v="70800"/>
    <n v="70800"/>
    <n v="0"/>
    <n v="0"/>
    <n v="0"/>
    <n v="200"/>
    <n v="1800"/>
    <n v="0"/>
    <n v="0"/>
    <n v="0"/>
    <n v="0"/>
    <n v="2000"/>
    <n v="68800"/>
    <m/>
    <m/>
  </r>
  <r>
    <d v="2025-07-01T00:00:00"/>
    <s v="Salary"/>
    <s v="S19014J001"/>
    <s v="MOONSTONE REALINFRA PRIVATE LIMITED"/>
    <n v="454"/>
    <s v="Tulsidas Rajeram Jadhav"/>
    <s v="Male"/>
    <s v=""/>
    <s v="Apr 17, 2019"/>
    <s v="AYBPJ9623R"/>
    <s v="101242964024"/>
    <x v="35"/>
    <s v="JUNIOR ENGINEER"/>
    <x v="0"/>
    <s v="TM"/>
    <s v="PF"/>
    <s v="NA"/>
    <s v=""/>
    <s v=""/>
    <s v="229139310763"/>
    <s v="50100459101052"/>
    <s v="HDFC BANK"/>
    <s v="HDFC0002844"/>
    <n v="31"/>
    <n v="0"/>
    <n v="0"/>
    <n v="31"/>
    <n v="31"/>
    <n v="27925"/>
    <n v="27925"/>
    <n v="12566"/>
    <n v="5026"/>
    <n v="1600"/>
    <n v="200"/>
    <n v="1250"/>
    <n v="0"/>
    <n v="0"/>
    <n v="0"/>
    <n v="0"/>
    <n v="0"/>
    <n v="0"/>
    <n v="0"/>
    <n v="1508"/>
    <n v="5775"/>
    <n v="0"/>
    <n v="0"/>
    <n v="5891"/>
    <n v="33816"/>
    <n v="27925"/>
    <n v="0"/>
    <n v="0"/>
    <n v="0"/>
    <n v="200"/>
    <n v="1508"/>
    <n v="0"/>
    <n v="0"/>
    <n v="0"/>
    <n v="0"/>
    <n v="1708"/>
    <n v="32108"/>
    <m/>
    <m/>
  </r>
  <r>
    <d v="2025-07-01T00:00:00"/>
    <s v="Salary"/>
    <s v="S19014J001"/>
    <s v="MOONSTONE REALINFRA PRIVATE LIMITED"/>
    <n v="1515"/>
    <s v="UJJWAL PANCHANAN SARKAR"/>
    <s v="Male"/>
    <s v=""/>
    <s v="Sep 01, 2023"/>
    <s v="BNXPS5649Q"/>
    <s v="100536583293"/>
    <x v="36"/>
    <s v="GENERAL MANAGER"/>
    <x v="1"/>
    <s v="TL"/>
    <s v="PF"/>
    <s v="NA"/>
    <s v=""/>
    <s v=""/>
    <s v="893388738382"/>
    <s v="99991683288448"/>
    <s v="HDFC BANK"/>
    <s v="HDFC0000223"/>
    <n v="31"/>
    <n v="0"/>
    <n v="0"/>
    <n v="31"/>
    <n v="31"/>
    <n v="184245"/>
    <n v="184245"/>
    <n v="82910"/>
    <n v="33164"/>
    <n v="1600"/>
    <n v="200"/>
    <n v="1250"/>
    <n v="6906"/>
    <n v="16582"/>
    <n v="12437"/>
    <n v="829"/>
    <n v="2902"/>
    <n v="1658"/>
    <n v="415"/>
    <n v="1800"/>
    <n v="21592"/>
    <n v="0"/>
    <n v="0"/>
    <n v="0"/>
    <n v="184245"/>
    <n v="184245"/>
    <n v="0"/>
    <n v="0"/>
    <n v="26101"/>
    <n v="200"/>
    <n v="1800"/>
    <n v="0"/>
    <n v="0"/>
    <n v="0"/>
    <n v="0"/>
    <n v="28101"/>
    <n v="156144"/>
    <m/>
    <m/>
  </r>
  <r>
    <d v="2025-07-01T00:00:00"/>
    <s v="Salary"/>
    <s v="S19014J001"/>
    <s v="MOONSTONE REALINFRA PRIVATE LIMITED"/>
    <n v="2015"/>
    <s v="VAIJNATH KIRAN DHURVE"/>
    <s v="Male"/>
    <s v=""/>
    <s v="Feb 17, 2025"/>
    <s v="FFEPD0662H"/>
    <s v="102171851953"/>
    <x v="6"/>
    <s v="MANAGEMENT TRAINEE"/>
    <x v="1"/>
    <s v="TM"/>
    <s v="PF"/>
    <s v="NA"/>
    <s v=""/>
    <s v=""/>
    <s v="264600892806"/>
    <s v="50100731565520"/>
    <s v="HDFC BANK"/>
    <s v="HDFC0000007"/>
    <n v="31"/>
    <n v="0"/>
    <n v="0"/>
    <n v="31"/>
    <n v="31"/>
    <n v="56533"/>
    <n v="56533"/>
    <n v="25440"/>
    <n v="10176"/>
    <n v="1600"/>
    <n v="200"/>
    <n v="1250"/>
    <n v="2119"/>
    <n v="5088"/>
    <n v="3816"/>
    <n v="254"/>
    <n v="890"/>
    <n v="509"/>
    <n v="127"/>
    <n v="1800"/>
    <n v="3264"/>
    <n v="0"/>
    <n v="5653"/>
    <n v="2727"/>
    <n v="64913"/>
    <n v="62186"/>
    <n v="0"/>
    <n v="0"/>
    <n v="0"/>
    <n v="200"/>
    <n v="1800"/>
    <n v="0"/>
    <n v="0"/>
    <n v="0"/>
    <n v="0"/>
    <n v="2000"/>
    <n v="62913"/>
    <m/>
    <m/>
  </r>
  <r>
    <d v="2025-07-01T00:00:00"/>
    <s v="Salary"/>
    <s v="S19014J001"/>
    <s v="MOONSTONE REALINFRA PRIVATE LIMITED"/>
    <n v="1166"/>
    <s v="VENKATESH AGASAR"/>
    <s v="Male"/>
    <s v=""/>
    <s v="Aug 01, 2022"/>
    <s v="BVSPA7273D"/>
    <s v="101852002045"/>
    <x v="50"/>
    <s v="SENIOR EXECUTIVE"/>
    <x v="0"/>
    <s v="TM"/>
    <s v="PF"/>
    <s v="NA"/>
    <s v=""/>
    <s v=""/>
    <s v="225161825284"/>
    <s v="50100744366803"/>
    <s v="HDFC BANK"/>
    <s v="HDFC0001210"/>
    <n v="31"/>
    <n v="0"/>
    <n v="3"/>
    <n v="28"/>
    <n v="28"/>
    <n v="59983"/>
    <n v="59983"/>
    <n v="24380"/>
    <n v="9752"/>
    <n v="1445"/>
    <n v="181"/>
    <n v="1129"/>
    <n v="2031"/>
    <n v="4876"/>
    <n v="3657"/>
    <n v="244"/>
    <n v="853"/>
    <n v="488"/>
    <n v="122"/>
    <n v="1800"/>
    <n v="3220"/>
    <n v="0"/>
    <n v="200"/>
    <n v="0"/>
    <n v="54378"/>
    <n v="54378"/>
    <n v="0"/>
    <n v="0"/>
    <n v="0"/>
    <n v="200"/>
    <n v="1800"/>
    <n v="0"/>
    <n v="0"/>
    <n v="0"/>
    <n v="0"/>
    <n v="2000"/>
    <n v="52378"/>
    <m/>
    <m/>
  </r>
  <r>
    <d v="2025-07-01T00:00:00"/>
    <s v="Salary"/>
    <s v="S19014J001"/>
    <s v="MOONSTONE REALINFRA PRIVATE LIMITED"/>
    <n v="247"/>
    <s v="VICKY SONAWANE"/>
    <s v="Male"/>
    <s v=""/>
    <s v="Nov 02, 2017"/>
    <s v="DUIPS5584N"/>
    <s v="101343066494"/>
    <x v="13"/>
    <s v="ADMIN - EXECUTIVE"/>
    <x v="0"/>
    <s v="TM"/>
    <s v="PF"/>
    <s v="NA"/>
    <s v=""/>
    <s v=""/>
    <s v="556127037647"/>
    <s v="50100225745629"/>
    <s v="HDFC BANK"/>
    <s v="HDFC0000633"/>
    <n v="31"/>
    <n v="0"/>
    <n v="0"/>
    <n v="31"/>
    <n v="31"/>
    <n v="34308"/>
    <n v="34308"/>
    <n v="15439"/>
    <n v="6176"/>
    <n v="1600"/>
    <n v="200"/>
    <n v="1250"/>
    <n v="0"/>
    <n v="0"/>
    <n v="0"/>
    <n v="0"/>
    <n v="0"/>
    <n v="0"/>
    <n v="0"/>
    <n v="1800"/>
    <n v="7843"/>
    <n v="0"/>
    <n v="0"/>
    <n v="4563"/>
    <n v="38871"/>
    <n v="34308"/>
    <n v="0"/>
    <n v="0"/>
    <n v="0"/>
    <n v="200"/>
    <n v="1800"/>
    <n v="0"/>
    <n v="0"/>
    <n v="0"/>
    <n v="0"/>
    <n v="2000"/>
    <n v="36871"/>
    <m/>
    <m/>
  </r>
  <r>
    <d v="2025-07-01T00:00:00"/>
    <s v="Salary"/>
    <s v="S19014J001"/>
    <s v="MOONSTONE REALINFRA PRIVATE LIMITED"/>
    <n v="1237"/>
    <s v="VISHAL BHAGWAN BHALERAO"/>
    <s v="Male"/>
    <s v=""/>
    <s v="Nov 04, 2022"/>
    <s v="ASCPB5291L"/>
    <s v="101511554357"/>
    <x v="4"/>
    <s v="Site Supervisor"/>
    <x v="0"/>
    <s v="TM"/>
    <s v="PF"/>
    <s v="NA"/>
    <s v=""/>
    <s v=""/>
    <s v="959686301184"/>
    <s v="50100317490351"/>
    <s v="HDFC BANK"/>
    <s v="HDFC0000007"/>
    <n v="31"/>
    <n v="0"/>
    <n v="2.5"/>
    <n v="28.5"/>
    <n v="28.5"/>
    <n v="31644"/>
    <n v="31644"/>
    <n v="13091"/>
    <n v="5236"/>
    <n v="1471"/>
    <n v="184"/>
    <n v="1149"/>
    <n v="0"/>
    <n v="0"/>
    <n v="0"/>
    <n v="0"/>
    <n v="0"/>
    <n v="0"/>
    <n v="0"/>
    <n v="1571"/>
    <n v="6390"/>
    <n v="0"/>
    <n v="0"/>
    <n v="0"/>
    <n v="29092"/>
    <n v="29092"/>
    <n v="0"/>
    <n v="0"/>
    <n v="0"/>
    <n v="200"/>
    <n v="1571"/>
    <n v="0"/>
    <n v="0"/>
    <n v="0"/>
    <n v="0"/>
    <n v="1771"/>
    <n v="27321"/>
    <m/>
    <m/>
  </r>
  <r>
    <d v="2025-07-01T00:00:00"/>
    <s v="Salary"/>
    <s v="S19014J001"/>
    <s v="MOONSTONE REALINFRA PRIVATE LIMITED"/>
    <n v="1941"/>
    <s v="VISHAL BHAUSAHEB KHAMGAL"/>
    <s v="Male"/>
    <s v=""/>
    <s v="Dec 02, 2024"/>
    <s v="JMIPK9231A"/>
    <s v="101949409807"/>
    <x v="33"/>
    <s v="JUNIOR ENGINEER"/>
    <x v="0"/>
    <s v="TM"/>
    <s v="PF"/>
    <s v="NA"/>
    <s v=""/>
    <s v=""/>
    <s v="664943149815"/>
    <s v="50100390573599"/>
    <s v="HDFC BANK"/>
    <s v="HDFC0000794"/>
    <n v="31"/>
    <n v="0"/>
    <n v="0"/>
    <n v="31"/>
    <n v="31"/>
    <n v="34033"/>
    <n v="34033"/>
    <n v="15315"/>
    <n v="6126"/>
    <n v="1600"/>
    <n v="200"/>
    <n v="1250"/>
    <n v="0"/>
    <n v="0"/>
    <n v="0"/>
    <n v="0"/>
    <n v="0"/>
    <n v="0"/>
    <n v="0"/>
    <n v="1800"/>
    <n v="7742"/>
    <n v="0"/>
    <n v="0"/>
    <n v="880"/>
    <n v="34913"/>
    <n v="34033"/>
    <n v="0"/>
    <n v="0"/>
    <n v="0"/>
    <n v="200"/>
    <n v="1800"/>
    <n v="0"/>
    <n v="0"/>
    <n v="0"/>
    <n v="0"/>
    <n v="2000"/>
    <n v="32913"/>
    <m/>
    <m/>
  </r>
  <r>
    <d v="2025-07-01T00:00:00"/>
    <s v="Salary"/>
    <s v="S19014J001"/>
    <s v="MOONSTONE REALINFRA PRIVATE LIMITED"/>
    <n v="1950"/>
    <s v="VISHAL DILIP GAIKWAD"/>
    <s v="Male"/>
    <s v=""/>
    <s v="Dec 12, 2024"/>
    <s v="AQIPG9250G"/>
    <s v="101589191488"/>
    <x v="4"/>
    <s v="SITE SUPERVISOR"/>
    <x v="0"/>
    <s v="SS"/>
    <s v="PF"/>
    <s v="NA"/>
    <s v=""/>
    <s v=""/>
    <s v="501229058284"/>
    <s v="0607104000125031"/>
    <s v="IDBI BANK"/>
    <s v="IBKL0000607"/>
    <n v="31"/>
    <n v="0"/>
    <n v="0"/>
    <n v="31"/>
    <n v="31"/>
    <n v="35283"/>
    <n v="35283"/>
    <n v="15877"/>
    <n v="6351"/>
    <n v="1600"/>
    <n v="200"/>
    <n v="1250"/>
    <n v="0"/>
    <n v="0"/>
    <n v="0"/>
    <n v="0"/>
    <n v="0"/>
    <n v="0"/>
    <n v="0"/>
    <n v="1800"/>
    <n v="8205"/>
    <n v="0"/>
    <n v="0"/>
    <n v="0"/>
    <n v="35283"/>
    <n v="35283"/>
    <n v="0"/>
    <n v="0"/>
    <n v="0"/>
    <n v="200"/>
    <n v="1800"/>
    <n v="0"/>
    <n v="0"/>
    <n v="0"/>
    <n v="0"/>
    <n v="2000"/>
    <n v="33283"/>
    <m/>
    <m/>
  </r>
  <r>
    <d v="2025-07-01T00:00:00"/>
    <s v="Salary"/>
    <s v="S19014J001"/>
    <s v="MOONSTONE REALINFRA PRIVATE LIMITED"/>
    <n v="1370"/>
    <s v="VISHAL SHANTARAM KORADE"/>
    <s v="Male"/>
    <s v=""/>
    <s v="Apr 10, 2023"/>
    <s v="BLYPK5831K"/>
    <s v="101150007330"/>
    <x v="21"/>
    <s v="ADMIN-ASSISSTANT"/>
    <x v="2"/>
    <s v="TM"/>
    <s v="PF"/>
    <s v="NA"/>
    <s v=""/>
    <s v=""/>
    <s v="491390366032"/>
    <s v="50100624533367"/>
    <s v="HDFC BANK"/>
    <s v="HDFC0000007"/>
    <n v="31"/>
    <n v="0"/>
    <n v="0"/>
    <n v="31"/>
    <n v="31"/>
    <n v="33000"/>
    <n v="33000"/>
    <n v="14850"/>
    <n v="5940"/>
    <n v="1600"/>
    <n v="200"/>
    <n v="1250"/>
    <n v="0"/>
    <n v="0"/>
    <n v="0"/>
    <n v="0"/>
    <n v="0"/>
    <n v="0"/>
    <n v="0"/>
    <n v="1782"/>
    <n v="7378"/>
    <n v="0"/>
    <n v="484"/>
    <n v="0"/>
    <n v="33484"/>
    <n v="33484"/>
    <n v="0"/>
    <n v="0"/>
    <n v="0"/>
    <n v="200"/>
    <n v="1782"/>
    <n v="0"/>
    <n v="0"/>
    <n v="0"/>
    <n v="0"/>
    <n v="1982"/>
    <n v="31502"/>
    <m/>
    <m/>
  </r>
  <r>
    <d v="2025-07-01T00:00:00"/>
    <s v="Salary"/>
    <s v="S19014J001"/>
    <s v="MOONSTONE REALINFRA PRIVATE LIMITED"/>
    <n v="2049"/>
    <s v="VIVEK VILAS BHOSALE"/>
    <s v="Male"/>
    <s v=""/>
    <s v="Mar 13, 2025"/>
    <s v="EXDPB6825C"/>
    <s v="102055428527"/>
    <x v="6"/>
    <s v="MANAGEMENT TRAINEE"/>
    <x v="0"/>
    <s v="TM"/>
    <s v="PF"/>
    <s v="NA"/>
    <s v=""/>
    <s v=""/>
    <s v="826110651139"/>
    <s v="50100808789342"/>
    <s v="HDFC BANK"/>
    <s v="HDFC0001210"/>
    <n v="31"/>
    <n v="0"/>
    <n v="2"/>
    <n v="29"/>
    <n v="29"/>
    <n v="27713"/>
    <n v="27713"/>
    <n v="11666"/>
    <n v="4666"/>
    <n v="1497"/>
    <n v="187"/>
    <n v="1169"/>
    <n v="0"/>
    <n v="0"/>
    <n v="0"/>
    <n v="0"/>
    <n v="0"/>
    <n v="0"/>
    <n v="0"/>
    <n v="1400"/>
    <n v="5340"/>
    <n v="0"/>
    <n v="0"/>
    <n v="1100"/>
    <n v="27025"/>
    <n v="25925"/>
    <n v="0"/>
    <n v="0"/>
    <n v="0"/>
    <n v="200"/>
    <n v="1400"/>
    <n v="0"/>
    <n v="0"/>
    <n v="0"/>
    <n v="0"/>
    <n v="1600"/>
    <n v="25425"/>
    <m/>
    <m/>
  </r>
  <r>
    <d v="2025-07-01T00:00:00"/>
    <s v="Salary"/>
    <s v="S19014J001"/>
    <s v="MOONSTONE REALINFRA PRIVATE LIMITED"/>
    <n v="1121"/>
    <s v="YASH HARESH DAGHA"/>
    <s v="Male"/>
    <s v=""/>
    <s v="Jun 15, 2022"/>
    <s v="ASJPD7716K"/>
    <s v="101459690850"/>
    <x v="15"/>
    <s v="Senior Manager"/>
    <x v="1"/>
    <s v="TM"/>
    <s v="PF"/>
    <s v="NA"/>
    <s v=""/>
    <s v=""/>
    <s v="975613704897"/>
    <s v="50100489634680"/>
    <s v="HDFC BANK"/>
    <s v="HDFC0000163"/>
    <n v="31"/>
    <n v="0"/>
    <n v="0"/>
    <n v="31"/>
    <n v="31"/>
    <n v="206500"/>
    <n v="206500"/>
    <n v="92925"/>
    <n v="37170"/>
    <n v="1600"/>
    <n v="200"/>
    <n v="1250"/>
    <n v="7741"/>
    <n v="18585"/>
    <n v="13939"/>
    <n v="929"/>
    <n v="3252"/>
    <n v="1859"/>
    <n v="465"/>
    <n v="1800"/>
    <n v="24785"/>
    <n v="0"/>
    <n v="0"/>
    <n v="16376"/>
    <n v="222876"/>
    <n v="206500"/>
    <n v="0"/>
    <n v="0"/>
    <n v="36961"/>
    <n v="200"/>
    <n v="1800"/>
    <n v="0"/>
    <n v="0"/>
    <n v="0"/>
    <n v="0"/>
    <n v="38961"/>
    <n v="183915"/>
    <m/>
    <m/>
  </r>
  <r>
    <d v="2025-07-01T00:00:00"/>
    <s v="Salary"/>
    <s v="S19014J001"/>
    <s v="MOONSTONE REALINFRA PRIVATE LIMITED"/>
    <n v="1496"/>
    <s v="YOGESH KALIDAS PAWAR"/>
    <s v="Male"/>
    <s v=""/>
    <s v="Aug 01, 2023"/>
    <s v="ASXPP0952H"/>
    <s v="101235805115"/>
    <x v="9"/>
    <s v="SENIOR ENGINEER"/>
    <x v="0"/>
    <s v="TM"/>
    <s v="PF"/>
    <s v="NA"/>
    <s v=""/>
    <s v=""/>
    <s v="487287182825"/>
    <s v="50100505734101"/>
    <s v="HDFC BANK"/>
    <s v="HDFC0000039"/>
    <n v="31"/>
    <n v="0"/>
    <n v="0"/>
    <n v="31"/>
    <n v="31"/>
    <n v="55383"/>
    <n v="55383"/>
    <n v="24922"/>
    <n v="9969"/>
    <n v="1600"/>
    <n v="200"/>
    <n v="1250"/>
    <n v="2076"/>
    <n v="4984"/>
    <n v="3738"/>
    <n v="249"/>
    <n v="872"/>
    <n v="498"/>
    <n v="125"/>
    <n v="1800"/>
    <n v="3100"/>
    <n v="0"/>
    <n v="200"/>
    <n v="0"/>
    <n v="55583"/>
    <n v="55583"/>
    <n v="0"/>
    <n v="0"/>
    <n v="0"/>
    <n v="200"/>
    <n v="1800"/>
    <n v="0"/>
    <n v="0"/>
    <n v="0"/>
    <n v="0"/>
    <n v="2000"/>
    <n v="53583"/>
    <m/>
    <m/>
  </r>
  <r>
    <d v="2025-09-01T00:00:00"/>
    <s v="Salary"/>
    <s v="S19014J001"/>
    <s v="MOONSTONE REALINFRA PRIVATE LIMITED"/>
    <n v="1488"/>
    <s v="AAKASH ARVIND SHELAR"/>
    <s v="Male"/>
    <s v=""/>
    <s v="Jul 28, 2023"/>
    <s v="CKIPS7322F"/>
    <s v="101208002832"/>
    <x v="0"/>
    <s v="FIELD ENGINEER"/>
    <x v="0"/>
    <s v="TM"/>
    <s v="PF"/>
    <s v="NA"/>
    <s v=""/>
    <s v=""/>
    <s v="201223935020"/>
    <s v="50100317873546"/>
    <s v="HDFC BANK"/>
    <s v="HDFC0000007"/>
    <n v="30"/>
    <n v="0"/>
    <n v="1"/>
    <n v="29"/>
    <n v="29"/>
    <n v="42989"/>
    <n v="42989"/>
    <n v="18700"/>
    <n v="7480"/>
    <n v="1547"/>
    <n v="193"/>
    <n v="1208"/>
    <n v="1558"/>
    <n v="3740"/>
    <n v="2805"/>
    <n v="187"/>
    <n v="655"/>
    <n v="374"/>
    <n v="94"/>
    <n v="1800"/>
    <n v="1215"/>
    <n v="0"/>
    <n v="2200"/>
    <n v="0"/>
    <n v="43756"/>
    <n v="43756"/>
    <n v="0"/>
    <n v="0"/>
    <n v="0"/>
    <n v="200"/>
    <n v="1800"/>
    <n v="0"/>
    <n v="0"/>
    <n v="0"/>
    <n v="0"/>
    <n v="2000"/>
    <n v="41756"/>
    <m/>
    <m/>
  </r>
  <r>
    <d v="2025-09-01T00:00:00"/>
    <s v="Salary"/>
    <s v="S19014J001"/>
    <s v="MOONSTONE REALINFRA PRIVATE LIMITED"/>
    <n v="241"/>
    <s v="ABHIJIT SHEWALE"/>
    <s v="Male"/>
    <s v=""/>
    <s v="May 17, 2016"/>
    <s v="BDYPS3411D"/>
    <s v="101411999470"/>
    <x v="1"/>
    <s v="ASSITANT PROJECT MANAGER"/>
    <x v="0"/>
    <s v="TL"/>
    <s v="PF"/>
    <s v="NA"/>
    <s v=""/>
    <s v=""/>
    <s v="229249842338"/>
    <s v="50100745804232"/>
    <s v="HDFC BANK"/>
    <s v="HDFC0001791"/>
    <n v="30"/>
    <n v="0"/>
    <n v="2.5"/>
    <n v="27.5"/>
    <n v="27.5"/>
    <n v="66833"/>
    <n v="66833"/>
    <n v="27569"/>
    <n v="11028"/>
    <n v="1467"/>
    <n v="183"/>
    <n v="1146"/>
    <n v="2297"/>
    <n v="5514"/>
    <n v="4135"/>
    <n v="276"/>
    <n v="965"/>
    <n v="551"/>
    <n v="138"/>
    <n v="1800"/>
    <n v="4195"/>
    <n v="0"/>
    <n v="0"/>
    <n v="0"/>
    <n v="61264"/>
    <n v="61264"/>
    <n v="0"/>
    <n v="0"/>
    <n v="0"/>
    <n v="200"/>
    <n v="1800"/>
    <n v="0"/>
    <n v="0"/>
    <n v="0"/>
    <n v="0"/>
    <n v="2000"/>
    <n v="59264"/>
    <m/>
    <m/>
  </r>
  <r>
    <d v="2025-09-01T00:00:00"/>
    <s v="Salary"/>
    <s v="S19014J001"/>
    <s v="MOONSTONE REALINFRA PRIVATE LIMITED"/>
    <n v="2163"/>
    <s v="AJAY ANIRUDDHA VAIDYA"/>
    <s v="Male"/>
    <s v=""/>
    <s v="Jul 08, 2025"/>
    <s v="AFVPV5692P"/>
    <s v="102185382695"/>
    <x v="38"/>
    <s v="GENERAL MANAGER"/>
    <x v="0"/>
    <s v="GL"/>
    <s v="PF"/>
    <s v="NA"/>
    <s v=""/>
    <s v=""/>
    <s v="806537391280"/>
    <s v="50100582779333"/>
    <s v="HDFC BANK"/>
    <s v="HDFC0001445"/>
    <n v="30"/>
    <n v="0"/>
    <n v="1"/>
    <n v="29"/>
    <n v="29"/>
    <n v="235700"/>
    <n v="235700"/>
    <n v="102529"/>
    <n v="41012"/>
    <n v="1547"/>
    <n v="193"/>
    <n v="1208"/>
    <n v="8541"/>
    <n v="20506"/>
    <n v="15379"/>
    <n v="1025"/>
    <n v="3589"/>
    <n v="2051"/>
    <n v="513"/>
    <n v="1800"/>
    <n v="27950"/>
    <n v="0"/>
    <n v="0"/>
    <n v="1382"/>
    <n v="229225"/>
    <n v="227843"/>
    <n v="0"/>
    <n v="0"/>
    <n v="22379"/>
    <n v="200"/>
    <n v="1800"/>
    <n v="0"/>
    <n v="0"/>
    <n v="0"/>
    <n v="0"/>
    <n v="24379"/>
    <n v="204846"/>
    <m/>
    <m/>
  </r>
  <r>
    <d v="2025-09-01T00:00:00"/>
    <s v="Salary"/>
    <s v="S19014J001"/>
    <s v="MOONSTONE REALINFRA PRIVATE LIMITED"/>
    <n v="2020"/>
    <s v="AJAY KUMAR GUPTA"/>
    <s v="Male"/>
    <s v=""/>
    <s v="Feb 24, 2025"/>
    <s v="ASQPG3376F"/>
    <s v="102171897914"/>
    <x v="2"/>
    <s v="DEPUTY MANAGER"/>
    <x v="1"/>
    <s v="TM"/>
    <s v="PF"/>
    <s v="NA"/>
    <s v=""/>
    <s v=""/>
    <s v="877766770711"/>
    <s v="50100732468640"/>
    <s v="HDFC BANK"/>
    <s v="HDFC0000007"/>
    <n v="30"/>
    <n v="0"/>
    <n v="0"/>
    <n v="30"/>
    <n v="30"/>
    <n v="68450"/>
    <n v="68450"/>
    <n v="30803"/>
    <n v="12321"/>
    <n v="1600"/>
    <n v="200"/>
    <n v="1250"/>
    <n v="2566"/>
    <n v="6161"/>
    <n v="4620"/>
    <n v="308"/>
    <n v="1078"/>
    <n v="616"/>
    <n v="154"/>
    <n v="1800"/>
    <n v="4973"/>
    <n v="0"/>
    <n v="0"/>
    <n v="4097"/>
    <n v="72547"/>
    <n v="68450"/>
    <n v="0"/>
    <n v="0"/>
    <n v="0"/>
    <n v="200"/>
    <n v="1800"/>
    <n v="0"/>
    <n v="0"/>
    <n v="0"/>
    <n v="0"/>
    <n v="2000"/>
    <n v="70547"/>
    <m/>
    <m/>
  </r>
  <r>
    <d v="2025-09-01T00:00:00"/>
    <s v="Salary"/>
    <s v="S19014J001"/>
    <s v="MOONSTONE REALINFRA PRIVATE LIMITED"/>
    <n v="1770"/>
    <s v="AJIT KUMAR"/>
    <s v="Male"/>
    <s v=""/>
    <s v="Jun 03, 2024"/>
    <s v="BJLPK0917M"/>
    <s v="101437448909"/>
    <x v="52"/>
    <s v="DEPUTY MANAGER - RESI. SALES"/>
    <x v="6"/>
    <s v="TM"/>
    <s v="PF"/>
    <s v="NA"/>
    <s v=""/>
    <s v=""/>
    <s v="447833121308"/>
    <s v="50100390591634"/>
    <s v="HDFC BANK"/>
    <s v="HDFC0001794"/>
    <n v="30"/>
    <n v="0"/>
    <n v="0"/>
    <n v="30"/>
    <n v="30"/>
    <n v="109350"/>
    <n v="109350"/>
    <n v="49208"/>
    <n v="19683"/>
    <n v="1600"/>
    <n v="200"/>
    <n v="1250"/>
    <n v="4099"/>
    <n v="9842"/>
    <n v="7381"/>
    <n v="492"/>
    <n v="1722"/>
    <n v="984"/>
    <n v="246"/>
    <n v="1800"/>
    <n v="10843"/>
    <n v="0"/>
    <n v="0"/>
    <n v="0"/>
    <n v="109350"/>
    <n v="109350"/>
    <n v="0"/>
    <n v="0"/>
    <n v="7548"/>
    <n v="200"/>
    <n v="1800"/>
    <n v="0"/>
    <n v="0"/>
    <n v="0"/>
    <n v="0"/>
    <n v="9548"/>
    <n v="99802"/>
    <m/>
    <m/>
  </r>
  <r>
    <d v="2025-09-01T00:00:00"/>
    <s v="Salary"/>
    <s v="S19014J001"/>
    <s v="MOONSTONE REALINFRA PRIVATE LIMITED"/>
    <n v="2072"/>
    <s v="AMIT VILASRAO MALWADE"/>
    <s v="Male"/>
    <s v=""/>
    <s v="Apr 01, 2025"/>
    <s v="BYWPM1111R"/>
    <s v="100098825740"/>
    <x v="3"/>
    <s v="SENIOR MANAGER - MEP"/>
    <x v="0"/>
    <s v="TL"/>
    <s v="PF"/>
    <s v="NA"/>
    <s v=""/>
    <s v=""/>
    <s v="572207945645"/>
    <s v="50100288775748"/>
    <s v="HDFC BANK"/>
    <s v="HDFC0001578"/>
    <n v="30"/>
    <n v="0"/>
    <n v="2"/>
    <n v="28"/>
    <n v="28"/>
    <n v="123200"/>
    <n v="123200"/>
    <n v="51744"/>
    <n v="20698"/>
    <n v="1493"/>
    <n v="187"/>
    <n v="1167"/>
    <n v="4310"/>
    <n v="10349"/>
    <n v="7762"/>
    <n v="517"/>
    <n v="1811"/>
    <n v="1035"/>
    <n v="259"/>
    <n v="1800"/>
    <n v="11855"/>
    <n v="0"/>
    <n v="0"/>
    <n v="2415"/>
    <n v="117402"/>
    <n v="114987"/>
    <n v="0"/>
    <n v="0"/>
    <n v="6964"/>
    <n v="200"/>
    <n v="1800"/>
    <n v="0"/>
    <n v="0"/>
    <n v="0"/>
    <n v="0"/>
    <n v="8964"/>
    <n v="108438"/>
    <m/>
    <m/>
  </r>
  <r>
    <d v="2025-09-01T00:00:00"/>
    <s v="Salary"/>
    <s v="S19014J001"/>
    <s v="MOONSTONE REALINFRA PRIVATE LIMITED"/>
    <n v="1440"/>
    <s v="AMOL BHANUDAS LOKHANDE"/>
    <s v="Male"/>
    <s v=""/>
    <s v="Jun 07, 2023"/>
    <s v="AFPPL3898F"/>
    <s v="101428013109"/>
    <x v="4"/>
    <s v="Site Supervisor"/>
    <x v="0"/>
    <s v="TM"/>
    <s v="PF"/>
    <s v="NA"/>
    <s v=""/>
    <s v=""/>
    <s v="311191516453"/>
    <s v="50100317873701"/>
    <s v="HDFC BANK"/>
    <s v="HDFC0000007"/>
    <n v="30"/>
    <n v="0"/>
    <n v="0"/>
    <n v="30"/>
    <n v="30"/>
    <n v="38617"/>
    <n v="38617"/>
    <n v="17378"/>
    <n v="6951"/>
    <n v="1600"/>
    <n v="200"/>
    <n v="1250"/>
    <n v="0"/>
    <n v="0"/>
    <n v="0"/>
    <n v="0"/>
    <n v="0"/>
    <n v="0"/>
    <n v="0"/>
    <n v="1800"/>
    <n v="9438"/>
    <n v="0"/>
    <n v="0"/>
    <n v="0"/>
    <n v="38617"/>
    <n v="38617"/>
    <n v="0"/>
    <n v="0"/>
    <n v="0"/>
    <n v="200"/>
    <n v="1800"/>
    <n v="0"/>
    <n v="0"/>
    <n v="0"/>
    <n v="0"/>
    <n v="2000"/>
    <n v="36617"/>
    <m/>
    <m/>
  </r>
  <r>
    <d v="2025-09-01T00:00:00"/>
    <s v="Salary"/>
    <s v="S19014J001"/>
    <s v="MOONSTONE REALINFRA PRIVATE LIMITED"/>
    <n v="1484"/>
    <s v="ANNU PRIYA SINGH"/>
    <s v="Female"/>
    <s v=""/>
    <s v="Jul 21, 2023"/>
    <s v="BMKPP0899K"/>
    <s v="101703468619"/>
    <x v="53"/>
    <s v="SENIOR MANAGER"/>
    <x v="6"/>
    <s v="TL"/>
    <s v="PF"/>
    <s v="NA"/>
    <s v=""/>
    <s v=""/>
    <s v="492782446574"/>
    <s v="99996206293744"/>
    <s v="HDFC BANK"/>
    <s v="HDFC0000007"/>
    <n v="30"/>
    <n v="0"/>
    <n v="1"/>
    <n v="29"/>
    <n v="29"/>
    <n v="111343"/>
    <n v="111343"/>
    <n v="48434"/>
    <n v="19374"/>
    <n v="1547"/>
    <n v="193"/>
    <n v="1208"/>
    <n v="4035"/>
    <n v="9687"/>
    <n v="7265"/>
    <n v="484"/>
    <n v="1695"/>
    <n v="969"/>
    <n v="242"/>
    <n v="1800"/>
    <n v="10699"/>
    <n v="0"/>
    <n v="0"/>
    <n v="0"/>
    <n v="107632"/>
    <n v="107632"/>
    <n v="0"/>
    <n v="0"/>
    <n v="8833"/>
    <n v="200"/>
    <n v="1800"/>
    <n v="0"/>
    <n v="0"/>
    <n v="0"/>
    <n v="0"/>
    <n v="10833"/>
    <n v="96799"/>
    <m/>
    <m/>
  </r>
  <r>
    <d v="2025-09-01T00:00:00"/>
    <s v="Salary"/>
    <s v="S19014J001"/>
    <s v="MOONSTONE REALINFRA PRIVATE LIMITED"/>
    <n v="2216"/>
    <s v="AVINASH NANASAHEB GAGARE"/>
    <s v="Male"/>
    <s v=""/>
    <s v="Sep 15, 2025"/>
    <s v="AWHPG2500N"/>
    <s v="101839693043"/>
    <x v="45"/>
    <s v="ASSISTANT MANAGER"/>
    <x v="5"/>
    <s v="TM"/>
    <s v="PF"/>
    <s v="NA"/>
    <s v=""/>
    <s v=""/>
    <s v="687922588113"/>
    <s v="50100730455272"/>
    <s v="HDFC BANK"/>
    <s v="HDFC0009332"/>
    <n v="30"/>
    <n v="0"/>
    <n v="0"/>
    <n v="16"/>
    <n v="16"/>
    <n v="65700"/>
    <n v="65700"/>
    <n v="15768"/>
    <n v="6307"/>
    <n v="853"/>
    <n v="200"/>
    <n v="667"/>
    <n v="1313"/>
    <n v="3154"/>
    <n v="2365"/>
    <n v="158"/>
    <n v="552"/>
    <n v="315"/>
    <n v="79"/>
    <n v="1800"/>
    <n v="1509"/>
    <n v="0"/>
    <n v="0"/>
    <n v="0"/>
    <n v="35040"/>
    <n v="35040"/>
    <n v="0"/>
    <n v="0"/>
    <n v="0"/>
    <n v="200"/>
    <n v="1800"/>
    <n v="0"/>
    <n v="0"/>
    <n v="0"/>
    <n v="0"/>
    <n v="2000"/>
    <n v="33040"/>
    <m/>
    <m/>
  </r>
  <r>
    <d v="2025-09-01T00:00:00"/>
    <s v="Salary"/>
    <s v="S19014J001"/>
    <s v="MOONSTONE REALINFRA PRIVATE LIMITED"/>
    <n v="1599"/>
    <s v="BHAVESH SHANKAR WANI"/>
    <s v="Male"/>
    <s v=""/>
    <s v="Jan 09, 2024"/>
    <s v="AGNPW7537K"/>
    <s v="102034237231"/>
    <x v="54"/>
    <s v="ASSISTANT MANAGER - RESI. SALES"/>
    <x v="6"/>
    <s v="TM"/>
    <s v="PF"/>
    <s v="NA"/>
    <s v=""/>
    <s v=""/>
    <s v="467176812861"/>
    <s v="50100394142702"/>
    <s v="HDFC BANK"/>
    <s v="HDFC0001785"/>
    <n v="30"/>
    <n v="0"/>
    <n v="1"/>
    <n v="29"/>
    <n v="29"/>
    <n v="51640"/>
    <n v="51640"/>
    <n v="22464"/>
    <n v="8986"/>
    <n v="1547"/>
    <n v="193"/>
    <n v="1208"/>
    <n v="1871"/>
    <n v="4493"/>
    <n v="3370"/>
    <n v="225"/>
    <n v="786"/>
    <n v="449"/>
    <n v="112"/>
    <n v="1800"/>
    <n v="2415"/>
    <n v="0"/>
    <n v="0"/>
    <n v="4755"/>
    <n v="54674"/>
    <n v="49919"/>
    <n v="0"/>
    <n v="0"/>
    <n v="0"/>
    <n v="200"/>
    <n v="1800"/>
    <n v="0"/>
    <n v="0"/>
    <n v="0"/>
    <n v="0"/>
    <n v="2000"/>
    <n v="52674"/>
    <m/>
    <m/>
  </r>
  <r>
    <d v="2025-09-01T00:00:00"/>
    <s v="Salary"/>
    <s v="S19014J001"/>
    <s v="MOONSTONE REALINFRA PRIVATE LIMITED"/>
    <n v="1180"/>
    <s v="BHUJBAL SAGAR DNYANESHWAR"/>
    <s v="Male"/>
    <s v=""/>
    <s v="Sep 12, 2022"/>
    <s v="DQJPB2913K"/>
    <s v="101457017133"/>
    <x v="7"/>
    <s v="EXECUTIVE - POSSESSION"/>
    <x v="2"/>
    <s v="TM"/>
    <s v="PF"/>
    <s v="NA"/>
    <s v=""/>
    <s v=""/>
    <s v="241411121642"/>
    <s v="0600104000093754"/>
    <s v="IDBI BANK"/>
    <s v="IBKL0000600"/>
    <n v="30"/>
    <n v="0"/>
    <n v="1"/>
    <n v="29"/>
    <n v="29"/>
    <n v="28042"/>
    <n v="28042"/>
    <n v="12198"/>
    <n v="4879"/>
    <n v="1547"/>
    <n v="193"/>
    <n v="1208"/>
    <n v="0"/>
    <n v="0"/>
    <n v="0"/>
    <n v="0"/>
    <n v="0"/>
    <n v="0"/>
    <n v="0"/>
    <n v="1464"/>
    <n v="5618"/>
    <n v="0"/>
    <n v="0"/>
    <n v="3641"/>
    <n v="30748"/>
    <n v="27107"/>
    <n v="0"/>
    <n v="0"/>
    <n v="0"/>
    <n v="200"/>
    <n v="1464"/>
    <n v="0"/>
    <n v="0"/>
    <n v="0"/>
    <n v="0"/>
    <n v="1664"/>
    <n v="29084"/>
    <m/>
    <m/>
  </r>
  <r>
    <d v="2025-09-01T00:00:00"/>
    <s v="Salary"/>
    <s v="S19014J001"/>
    <s v="MOONSTONE REALINFRA PRIVATE LIMITED"/>
    <n v="48"/>
    <s v="BHUSHAN MADANLAL LUNKAD"/>
    <s v="Male"/>
    <s v=""/>
    <s v="Sep 05, 2015"/>
    <s v="ADTPL6823A"/>
    <s v="101487437414"/>
    <x v="8"/>
    <s v="MANAGER - A &amp; O"/>
    <x v="6"/>
    <s v="TL"/>
    <s v="PF"/>
    <s v="NA"/>
    <s v=""/>
    <s v=""/>
    <s v="991187937886"/>
    <s v="00521050124966"/>
    <s v="HDFC BANK"/>
    <s v="HDFC0000052"/>
    <n v="30"/>
    <n v="0"/>
    <n v="0"/>
    <n v="30"/>
    <n v="30"/>
    <n v="107967"/>
    <n v="107967"/>
    <n v="48585"/>
    <n v="19434"/>
    <n v="1600"/>
    <n v="200"/>
    <n v="1250"/>
    <n v="4047"/>
    <n v="9717"/>
    <n v="7288"/>
    <n v="486"/>
    <n v="1700"/>
    <n v="972"/>
    <n v="243"/>
    <n v="1800"/>
    <n v="10645"/>
    <n v="0"/>
    <n v="0"/>
    <n v="0"/>
    <n v="107967"/>
    <n v="107967"/>
    <n v="0"/>
    <n v="0"/>
    <n v="5903"/>
    <n v="200"/>
    <n v="1800"/>
    <n v="0"/>
    <n v="0"/>
    <n v="0"/>
    <n v="15000"/>
    <n v="22903"/>
    <n v="85064"/>
    <m/>
    <m/>
  </r>
  <r>
    <d v="2025-09-01T00:00:00"/>
    <s v="Salary"/>
    <s v="S19014J001"/>
    <s v="MOONSTONE REALINFRA PRIVATE LIMITED"/>
    <n v="2017"/>
    <s v="DHAIRYA PRASAD"/>
    <s v="Male"/>
    <s v=""/>
    <s v="Feb 17, 2025"/>
    <s v="EPBPP8390Q"/>
    <s v="102171851924"/>
    <x v="6"/>
    <s v="MANAGEMENT TRAINEE"/>
    <x v="6"/>
    <s v="MT"/>
    <s v="PF"/>
    <s v="NA"/>
    <s v=""/>
    <s v=""/>
    <s v="851362488850"/>
    <s v="50100731565504"/>
    <s v="HDFC BANK"/>
    <s v="HDFC0000007"/>
    <n v="30"/>
    <n v="0"/>
    <n v="0"/>
    <n v="30"/>
    <n v="30"/>
    <n v="56533"/>
    <n v="56533"/>
    <n v="25440"/>
    <n v="10176"/>
    <n v="1600"/>
    <n v="200"/>
    <n v="1250"/>
    <n v="2119"/>
    <n v="5088"/>
    <n v="3816"/>
    <n v="254"/>
    <n v="890"/>
    <n v="509"/>
    <n v="127"/>
    <n v="1800"/>
    <n v="3264"/>
    <n v="0"/>
    <n v="0"/>
    <n v="2013"/>
    <n v="58546"/>
    <n v="56533"/>
    <n v="0"/>
    <n v="0"/>
    <n v="0"/>
    <n v="200"/>
    <n v="1800"/>
    <n v="0"/>
    <n v="0"/>
    <n v="0"/>
    <n v="0"/>
    <n v="2000"/>
    <n v="56546"/>
    <m/>
    <m/>
  </r>
  <r>
    <d v="2025-09-01T00:00:00"/>
    <s v="Salary"/>
    <s v="S19014J001"/>
    <s v="MOONSTONE REALINFRA PRIVATE LIMITED"/>
    <n v="1914"/>
    <s v="DHANAJI ARJUN MALI"/>
    <s v="Male"/>
    <s v=""/>
    <s v="Nov 11, 2024"/>
    <s v="DBNPM8263C"/>
    <s v="101816559661"/>
    <x v="9"/>
    <s v="SENIOR ENGINEER"/>
    <x v="0"/>
    <s v="TM"/>
    <s v="PF"/>
    <s v="NA"/>
    <s v=""/>
    <s v=""/>
    <s v="450862785164"/>
    <s v="50100769916547"/>
    <s v="HDFC BANK"/>
    <s v="HDFC0001210"/>
    <n v="30"/>
    <n v="0"/>
    <n v="0"/>
    <n v="30"/>
    <n v="30"/>
    <n v="74033"/>
    <n v="74033"/>
    <n v="33315"/>
    <n v="13326"/>
    <n v="1600"/>
    <n v="200"/>
    <n v="1250"/>
    <n v="2775"/>
    <n v="6663"/>
    <n v="4997"/>
    <n v="333"/>
    <n v="1166"/>
    <n v="666"/>
    <n v="167"/>
    <n v="1800"/>
    <n v="5775"/>
    <n v="0"/>
    <n v="0"/>
    <n v="1936"/>
    <n v="75969"/>
    <n v="74033"/>
    <n v="0"/>
    <n v="0"/>
    <n v="0"/>
    <n v="200"/>
    <n v="1800"/>
    <n v="0"/>
    <n v="0"/>
    <n v="0"/>
    <n v="0"/>
    <n v="2000"/>
    <n v="73969"/>
    <m/>
    <m/>
  </r>
  <r>
    <d v="2025-09-01T00:00:00"/>
    <s v="Salary"/>
    <s v="S19014J001"/>
    <s v="MOONSTONE REALINFRA PRIVATE LIMITED"/>
    <n v="2186"/>
    <s v="DIPAK MAGAN KHAJURE"/>
    <s v="Male"/>
    <s v=""/>
    <s v="Aug 11, 2025"/>
    <s v="HZWPK8086G"/>
    <s v="101305133627"/>
    <x v="39"/>
    <s v="SENIOR EXECUTIVE - MIS"/>
    <x v="6"/>
    <s v="TM"/>
    <s v="PF"/>
    <s v="NA"/>
    <s v=""/>
    <s v=""/>
    <s v="620286516208"/>
    <s v="50100820320194"/>
    <s v="HDFC BANK"/>
    <s v="HDFC0000007"/>
    <n v="30"/>
    <n v="0"/>
    <n v="0.5"/>
    <n v="29.5"/>
    <n v="29.5"/>
    <n v="63200"/>
    <n v="63200"/>
    <n v="27966"/>
    <n v="11186"/>
    <n v="1573"/>
    <n v="197"/>
    <n v="1229"/>
    <n v="2330"/>
    <n v="5593"/>
    <n v="4195"/>
    <n v="280"/>
    <n v="979"/>
    <n v="559"/>
    <n v="140"/>
    <n v="1800"/>
    <n v="4120"/>
    <n v="0"/>
    <n v="0"/>
    <n v="0"/>
    <n v="62147"/>
    <n v="62147"/>
    <n v="0"/>
    <n v="0"/>
    <n v="0"/>
    <n v="200"/>
    <n v="1800"/>
    <n v="0"/>
    <n v="0"/>
    <n v="0"/>
    <n v="0"/>
    <n v="2000"/>
    <n v="60147"/>
    <m/>
    <m/>
  </r>
  <r>
    <d v="2025-09-01T00:00:00"/>
    <s v="Salary"/>
    <s v="S19014J001"/>
    <s v="MOONSTONE REALINFRA PRIVATE LIMITED"/>
    <n v="1209"/>
    <s v="DUNDAPPA MALLAPPA SANKPAL"/>
    <s v="Male"/>
    <s v=""/>
    <s v="Sep 03, 2022"/>
    <s v="CVOPS6863E"/>
    <s v="100379494874"/>
    <x v="40"/>
    <s v="MANAGER - HR"/>
    <x v="2"/>
    <s v="TM"/>
    <s v="PF"/>
    <s v="NA"/>
    <s v=""/>
    <s v=""/>
    <s v="818967487034"/>
    <s v="50100188631775"/>
    <s v="HDFC BANK"/>
    <s v="HDFC0000039"/>
    <n v="30"/>
    <n v="0"/>
    <n v="0"/>
    <n v="30"/>
    <n v="30"/>
    <n v="83333"/>
    <n v="83333"/>
    <n v="37500"/>
    <n v="15000"/>
    <n v="1600"/>
    <n v="200"/>
    <n v="1250"/>
    <n v="3124"/>
    <n v="7500"/>
    <n v="5625"/>
    <n v="375"/>
    <n v="1313"/>
    <n v="750"/>
    <n v="188"/>
    <n v="1800"/>
    <n v="7108"/>
    <n v="0"/>
    <n v="0"/>
    <n v="455"/>
    <n v="83788"/>
    <n v="83333"/>
    <n v="0"/>
    <n v="0"/>
    <n v="0"/>
    <n v="200"/>
    <n v="1800"/>
    <n v="0"/>
    <n v="0"/>
    <n v="0"/>
    <n v="0"/>
    <n v="2000"/>
    <n v="81788"/>
    <m/>
    <m/>
  </r>
  <r>
    <d v="2025-09-01T00:00:00"/>
    <s v="Salary"/>
    <s v="S19014J001"/>
    <s v="MOONSTONE REALINFRA PRIVATE LIMITED"/>
    <n v="1517"/>
    <s v="GANESH SURESH PAWAR"/>
    <s v="Male"/>
    <s v=""/>
    <s v="Sep 01, 2023"/>
    <s v="CANPP1627F"/>
    <s v="101292152161"/>
    <x v="12"/>
    <s v="EXECUTIVE - MIS"/>
    <x v="2"/>
    <s v="TM"/>
    <s v="PF"/>
    <s v="NA"/>
    <s v=""/>
    <s v=""/>
    <s v="427581798506"/>
    <s v="50100729824722"/>
    <s v="HDFC BANK"/>
    <s v="HDFC0001210"/>
    <n v="30"/>
    <n v="0"/>
    <n v="0.5"/>
    <n v="29.5"/>
    <n v="29.5"/>
    <n v="47190"/>
    <n v="47190"/>
    <n v="20882"/>
    <n v="8353"/>
    <n v="1573"/>
    <n v="197"/>
    <n v="1229"/>
    <n v="1739"/>
    <n v="4176"/>
    <n v="3132"/>
    <n v="209"/>
    <n v="731"/>
    <n v="418"/>
    <n v="104"/>
    <n v="1800"/>
    <n v="1861"/>
    <n v="0"/>
    <n v="0"/>
    <n v="0"/>
    <n v="46404"/>
    <n v="46404"/>
    <n v="0"/>
    <n v="160"/>
    <n v="0"/>
    <n v="200"/>
    <n v="1800"/>
    <n v="0"/>
    <n v="0"/>
    <n v="0"/>
    <n v="0"/>
    <n v="2160"/>
    <n v="44244"/>
    <m/>
    <m/>
  </r>
  <r>
    <d v="2025-09-01T00:00:00"/>
    <s v="Salary"/>
    <s v="S19014J001"/>
    <s v="MOONSTONE REALINFRA PRIVATE LIMITED"/>
    <n v="1202"/>
    <s v="GAURAV KASHINATH KURANE"/>
    <s v="Male"/>
    <s v=""/>
    <s v="Sep 28, 2022"/>
    <s v="ARVPK8048G"/>
    <s v="100151644732"/>
    <x v="55"/>
    <s v="MANAGER - RESI. SALES"/>
    <x v="6"/>
    <s v="TM"/>
    <s v="PF"/>
    <s v="NA"/>
    <s v=""/>
    <s v=""/>
    <s v="597630357761"/>
    <s v="50100318162255"/>
    <s v="HDFC BANK"/>
    <s v="HDFC0000007"/>
    <n v="30"/>
    <n v="0"/>
    <n v="0"/>
    <n v="30"/>
    <n v="30"/>
    <n v="98333"/>
    <n v="98333"/>
    <n v="44250"/>
    <n v="17700"/>
    <n v="1600"/>
    <n v="200"/>
    <n v="1250"/>
    <n v="3686"/>
    <n v="8850"/>
    <n v="6638"/>
    <n v="443"/>
    <n v="1549"/>
    <n v="885"/>
    <n v="221"/>
    <n v="1800"/>
    <n v="9261"/>
    <n v="0"/>
    <n v="0"/>
    <n v="2957"/>
    <n v="101290"/>
    <n v="98333"/>
    <n v="0"/>
    <n v="0"/>
    <n v="0"/>
    <n v="200"/>
    <n v="1800"/>
    <n v="0"/>
    <n v="0"/>
    <n v="0"/>
    <n v="0"/>
    <n v="2000"/>
    <n v="99290"/>
    <m/>
    <m/>
  </r>
  <r>
    <d v="2025-09-01T00:00:00"/>
    <s v="Salary"/>
    <s v="S19014J001"/>
    <s v="MOONSTONE REALINFRA PRIVATE LIMITED"/>
    <n v="1205"/>
    <s v="GAURAV RAGHUNATH GUND"/>
    <s v="Male"/>
    <s v=""/>
    <s v="Oct 01, 2022"/>
    <s v="DBBPG3735B"/>
    <s v="101882634974"/>
    <x v="13"/>
    <s v="EXECUTIVE - MARKETING"/>
    <x v="1"/>
    <s v="TM"/>
    <s v="PF"/>
    <s v="NA"/>
    <s v=""/>
    <s v=""/>
    <s v="566657564956"/>
    <s v="50100632579034"/>
    <s v="HDFC BANK"/>
    <s v="HDFC0008300"/>
    <n v="30"/>
    <n v="0"/>
    <n v="0"/>
    <n v="17"/>
    <n v="17"/>
    <n v="32307"/>
    <n v="32307"/>
    <n v="8238"/>
    <n v="3295"/>
    <n v="907"/>
    <n v="200"/>
    <n v="708"/>
    <n v="0"/>
    <n v="0"/>
    <n v="0"/>
    <n v="0"/>
    <n v="0"/>
    <n v="0"/>
    <n v="0"/>
    <n v="989"/>
    <n v="3970"/>
    <n v="0"/>
    <n v="0"/>
    <n v="112"/>
    <n v="18419"/>
    <n v="18307"/>
    <n v="0"/>
    <n v="0"/>
    <n v="0"/>
    <n v="200"/>
    <n v="989"/>
    <n v="0"/>
    <n v="0"/>
    <n v="0"/>
    <n v="0"/>
    <n v="1189"/>
    <n v="17230"/>
    <m/>
    <m/>
  </r>
  <r>
    <d v="2025-09-01T00:00:00"/>
    <s v="Salary"/>
    <s v="S19014J001"/>
    <s v="MOONSTONE REALINFRA PRIVATE LIMITED"/>
    <n v="2234"/>
    <s v="GUNDAREDDY "/>
    <s v="Male"/>
    <s v=""/>
    <s v="Sep 30, 2025"/>
    <s v="BPTPG4400H"/>
    <s v="101276751702"/>
    <x v="56"/>
    <s v="SENIOR EXECUTIVE HR"/>
    <x v="2"/>
    <s v="TM"/>
    <s v="PF"/>
    <s v="NA"/>
    <s v=""/>
    <s v=""/>
    <s v="793955988124"/>
    <s v="50100501671220"/>
    <s v="HDFC BANK"/>
    <s v="HDFC0004884"/>
    <n v="30"/>
    <n v="0"/>
    <n v="0"/>
    <n v="1"/>
    <n v="1"/>
    <n v="52200"/>
    <n v="52200"/>
    <n v="783"/>
    <n v="313"/>
    <n v="53"/>
    <n v="200"/>
    <n v="42"/>
    <n v="65"/>
    <n v="157"/>
    <n v="117"/>
    <n v="8"/>
    <n v="27"/>
    <n v="16"/>
    <n v="4"/>
    <n v="94"/>
    <n v="-139"/>
    <n v="0"/>
    <n v="0"/>
    <n v="0"/>
    <n v="1740"/>
    <n v="1740"/>
    <n v="0"/>
    <n v="0"/>
    <n v="0"/>
    <n v="0"/>
    <n v="94"/>
    <n v="0"/>
    <n v="0"/>
    <n v="0"/>
    <n v="0"/>
    <n v="94"/>
    <n v="1646"/>
    <m/>
    <m/>
  </r>
  <r>
    <d v="2025-09-01T00:00:00"/>
    <s v="Salary"/>
    <s v="S19014J001"/>
    <s v="MOONSTONE REALINFRA PRIVATE LIMITED"/>
    <n v="748"/>
    <s v="KALPESH KADAM"/>
    <s v="Male"/>
    <s v=""/>
    <s v="Feb 22, 2021"/>
    <s v="DPAPK0829F"/>
    <s v="101173740664"/>
    <x v="41"/>
    <s v="MANAGER - LIAISONING"/>
    <x v="3"/>
    <s v="TM"/>
    <s v="PF"/>
    <s v="NA"/>
    <s v=""/>
    <s v=""/>
    <s v="656902116787"/>
    <s v="50100045505567"/>
    <s v="HDFC BANK"/>
    <s v="HDFC0000794"/>
    <n v="30"/>
    <n v="0"/>
    <n v="0"/>
    <n v="30"/>
    <n v="30"/>
    <n v="62333"/>
    <n v="62333"/>
    <n v="28050"/>
    <n v="11220"/>
    <n v="1600"/>
    <n v="200"/>
    <n v="1250"/>
    <n v="2337"/>
    <n v="5610"/>
    <n v="4208"/>
    <n v="281"/>
    <n v="982"/>
    <n v="561"/>
    <n v="140"/>
    <n v="1800"/>
    <n v="4094"/>
    <n v="0"/>
    <n v="0"/>
    <n v="2129"/>
    <n v="64462"/>
    <n v="62333"/>
    <n v="0"/>
    <n v="0"/>
    <n v="0"/>
    <n v="200"/>
    <n v="1800"/>
    <n v="0"/>
    <n v="0"/>
    <n v="0"/>
    <n v="15000"/>
    <n v="17000"/>
    <n v="47462"/>
    <m/>
    <m/>
  </r>
  <r>
    <d v="2025-09-01T00:00:00"/>
    <s v="Salary"/>
    <s v="S19014J001"/>
    <s v="MOONSTONE REALINFRA PRIVATE LIMITED"/>
    <n v="2214"/>
    <s v="KAMLESH BABULAL RAJPUROHIT"/>
    <s v="Male"/>
    <s v=""/>
    <s v="Sep 15, 2025"/>
    <s v="EMJPR1063R"/>
    <s v="102077336068"/>
    <x v="57"/>
    <s v="EXECUTIVE ASSISTANT"/>
    <x v="5"/>
    <s v="TM"/>
    <s v="PF"/>
    <s v="NA"/>
    <s v=""/>
    <s v=""/>
    <s v="530249989111"/>
    <s v="50100833997330"/>
    <s v="HDFC BANK"/>
    <s v="HDFC0000437"/>
    <n v="30"/>
    <n v="0"/>
    <n v="0"/>
    <n v="16"/>
    <n v="16"/>
    <n v="54867"/>
    <n v="54867"/>
    <n v="13168"/>
    <n v="5267"/>
    <n v="853"/>
    <n v="200"/>
    <n v="667"/>
    <n v="1097"/>
    <n v="2634"/>
    <n v="1975"/>
    <n v="132"/>
    <n v="461"/>
    <n v="263"/>
    <n v="66"/>
    <n v="1580"/>
    <n v="899"/>
    <n v="0"/>
    <n v="0"/>
    <n v="0"/>
    <n v="29262"/>
    <n v="29262"/>
    <n v="0"/>
    <n v="0"/>
    <n v="0"/>
    <n v="200"/>
    <n v="1580"/>
    <n v="0"/>
    <n v="0"/>
    <n v="0"/>
    <n v="0"/>
    <n v="1780"/>
    <n v="27482"/>
    <m/>
    <m/>
  </r>
  <r>
    <d v="2025-09-01T00:00:00"/>
    <s v="Salary"/>
    <s v="S19014J001"/>
    <s v="MOONSTONE REALINFRA PRIVATE LIMITED"/>
    <n v="2152"/>
    <s v="KEWALRAJ POUDEL"/>
    <s v="Male"/>
    <s v=""/>
    <s v="Jul 01, 2025"/>
    <s v="ETGPP5536R"/>
    <s v="102121019968"/>
    <x v="33"/>
    <s v="JUNIOR ENGINEER"/>
    <x v="0"/>
    <s v="TM"/>
    <s v="PF"/>
    <s v="NA"/>
    <s v=""/>
    <s v=""/>
    <s v="462816190119"/>
    <s v="50100815728426"/>
    <s v="HDFC BANK"/>
    <s v="HDFC0008300"/>
    <n v="30"/>
    <n v="0"/>
    <n v="0"/>
    <n v="30"/>
    <n v="30"/>
    <n v="32760"/>
    <n v="32760"/>
    <n v="14742"/>
    <n v="5897"/>
    <n v="1600"/>
    <n v="200"/>
    <n v="1250"/>
    <n v="0"/>
    <n v="0"/>
    <n v="0"/>
    <n v="0"/>
    <n v="0"/>
    <n v="0"/>
    <n v="0"/>
    <n v="1769"/>
    <n v="7302"/>
    <n v="0"/>
    <n v="0"/>
    <n v="0"/>
    <n v="32760"/>
    <n v="32760"/>
    <n v="0"/>
    <n v="0"/>
    <n v="0"/>
    <n v="200"/>
    <n v="1769"/>
    <n v="0"/>
    <n v="0"/>
    <n v="0"/>
    <n v="0"/>
    <n v="1969"/>
    <n v="30791"/>
    <m/>
    <m/>
  </r>
  <r>
    <d v="2025-09-01T00:00:00"/>
    <s v="Salary"/>
    <s v="S19014J001"/>
    <s v="MOONSTONE REALINFRA PRIVATE LIMITED"/>
    <n v="1875"/>
    <s v="KRISHNA KUMAR TIWARI"/>
    <s v="Male"/>
    <s v=""/>
    <s v="Sep 09, 2024"/>
    <s v="AGXPT8418N"/>
    <s v="101910507765"/>
    <x v="52"/>
    <s v="DEPUTY MANAGER"/>
    <x v="6"/>
    <s v="TM"/>
    <s v="PF"/>
    <s v="NA"/>
    <s v=""/>
    <s v=""/>
    <s v="375923391923"/>
    <s v="50100755728692"/>
    <s v="HDFC BANK"/>
    <s v="HDFC0001210"/>
    <n v="30"/>
    <n v="0"/>
    <n v="0"/>
    <n v="30"/>
    <n v="30"/>
    <n v="65840"/>
    <n v="65840"/>
    <n v="29628"/>
    <n v="11851"/>
    <n v="1600"/>
    <n v="200"/>
    <n v="1250"/>
    <n v="2468"/>
    <n v="5926"/>
    <n v="4444"/>
    <n v="296"/>
    <n v="1037"/>
    <n v="593"/>
    <n v="148"/>
    <n v="1800"/>
    <n v="4599"/>
    <n v="0"/>
    <n v="0"/>
    <n v="3575"/>
    <n v="69415"/>
    <n v="65840"/>
    <n v="0"/>
    <n v="0"/>
    <n v="0"/>
    <n v="200"/>
    <n v="1800"/>
    <n v="0"/>
    <n v="0"/>
    <n v="0"/>
    <n v="0"/>
    <n v="2000"/>
    <n v="67415"/>
    <m/>
    <m/>
  </r>
  <r>
    <d v="2025-09-01T00:00:00"/>
    <s v="Salary"/>
    <s v="S19014J001"/>
    <s v="MOONSTONE REALINFRA PRIVATE LIMITED"/>
    <n v="1135"/>
    <s v="LAKSHADIP PUNDALIK THAKUR"/>
    <s v="Male"/>
    <s v=""/>
    <s v="Jul 01, 2022"/>
    <s v="AIKPT5980A"/>
    <s v="100202447925"/>
    <x v="42"/>
    <s v="SENIOR MANAGER - RESI. SALES"/>
    <x v="6"/>
    <s v="TL"/>
    <s v="PF"/>
    <s v="NA"/>
    <s v=""/>
    <s v=""/>
    <s v="332553462353"/>
    <s v="50100224949010"/>
    <s v="HDFC BANK"/>
    <s v="HDFC0003982"/>
    <n v="30"/>
    <n v="0"/>
    <n v="0"/>
    <n v="30"/>
    <n v="30"/>
    <n v="146667"/>
    <n v="146667"/>
    <n v="66000"/>
    <n v="26400"/>
    <n v="1600"/>
    <n v="200"/>
    <n v="1250"/>
    <n v="5498"/>
    <n v="13200"/>
    <n v="9900"/>
    <n v="660"/>
    <n v="2310"/>
    <n v="1320"/>
    <n v="330"/>
    <n v="1800"/>
    <n v="16199"/>
    <n v="0"/>
    <n v="4731"/>
    <n v="5928"/>
    <n v="157326"/>
    <n v="151398"/>
    <n v="0"/>
    <n v="0"/>
    <n v="17841"/>
    <n v="200"/>
    <n v="1800"/>
    <n v="0"/>
    <n v="0"/>
    <n v="0"/>
    <n v="0"/>
    <n v="19841"/>
    <n v="137485"/>
    <m/>
    <m/>
  </r>
  <r>
    <d v="2025-09-01T00:00:00"/>
    <s v="Salary"/>
    <s v="S19014J001"/>
    <s v="MOONSTONE REALINFRA PRIVATE LIMITED"/>
    <n v="1997"/>
    <s v="MAHESH MADHUKAR KATE"/>
    <s v="Male"/>
    <s v=""/>
    <s v="Feb 15, 2025"/>
    <s v="JJFPK7967B"/>
    <s v="101675376988"/>
    <x v="16"/>
    <s v="SAFETY OFICER"/>
    <x v="0"/>
    <s v="TM"/>
    <s v="PF"/>
    <s v="NA"/>
    <s v=""/>
    <s v=""/>
    <s v="696647163423"/>
    <s v="50100731567384"/>
    <s v="HDFC BANK"/>
    <s v="HDFC0000007"/>
    <n v="30"/>
    <n v="0"/>
    <n v="0"/>
    <n v="30"/>
    <n v="30"/>
    <n v="36067"/>
    <n v="36067"/>
    <n v="16230"/>
    <n v="6492"/>
    <n v="1600"/>
    <n v="200"/>
    <n v="1250"/>
    <n v="0"/>
    <n v="0"/>
    <n v="0"/>
    <n v="0"/>
    <n v="0"/>
    <n v="0"/>
    <n v="0"/>
    <n v="1800"/>
    <n v="8495"/>
    <n v="0"/>
    <n v="0"/>
    <n v="0"/>
    <n v="36067"/>
    <n v="36067"/>
    <n v="0"/>
    <n v="0"/>
    <n v="0"/>
    <n v="200"/>
    <n v="1800"/>
    <n v="0"/>
    <n v="0"/>
    <n v="0"/>
    <n v="0"/>
    <n v="2000"/>
    <n v="34067"/>
    <m/>
    <m/>
  </r>
  <r>
    <d v="2025-09-01T00:00:00"/>
    <s v="Salary"/>
    <s v="S19014J001"/>
    <s v="MOONSTONE REALINFRA PRIVATE LIMITED"/>
    <n v="726"/>
    <s v="MAHVEEN SAYYED"/>
    <s v="Female"/>
    <s v=""/>
    <s v="Dec 01, 2020"/>
    <s v="NUMPS3199R"/>
    <s v="101726376057"/>
    <x v="17"/>
    <s v="RECEPTIONIST"/>
    <x v="4"/>
    <s v="TM"/>
    <s v="PF"/>
    <s v="NA"/>
    <s v=""/>
    <s v=""/>
    <s v="677097563942"/>
    <s v="50100317492831"/>
    <s v="HDFC BANK"/>
    <s v="HDFC0000007"/>
    <n v="30"/>
    <n v="0"/>
    <n v="0"/>
    <n v="30"/>
    <n v="30"/>
    <n v="27904"/>
    <n v="27904"/>
    <n v="12557"/>
    <n v="5023"/>
    <n v="1600"/>
    <n v="200"/>
    <n v="1250"/>
    <n v="0"/>
    <n v="0"/>
    <n v="0"/>
    <n v="0"/>
    <n v="0"/>
    <n v="0"/>
    <n v="0"/>
    <n v="1507"/>
    <n v="5767"/>
    <n v="0"/>
    <n v="0"/>
    <n v="0"/>
    <n v="27904"/>
    <n v="27904"/>
    <n v="0"/>
    <n v="0"/>
    <n v="0"/>
    <n v="200"/>
    <n v="1507"/>
    <n v="0"/>
    <n v="0"/>
    <n v="0"/>
    <n v="0"/>
    <n v="1707"/>
    <n v="26197"/>
    <m/>
    <m/>
  </r>
  <r>
    <d v="2025-09-01T00:00:00"/>
    <s v="Salary"/>
    <s v="S19014J001"/>
    <s v="MOONSTONE REALINFRA PRIVATE LIMITED"/>
    <n v="1722"/>
    <s v="MANOJ KUMAR VARMA"/>
    <s v="Male"/>
    <s v=""/>
    <s v="May 02, 2024"/>
    <s v="AAEPV3962E"/>
    <s v="101345330257"/>
    <x v="18"/>
    <s v="SENIOR VICE PRESIDENT"/>
    <x v="0"/>
    <s v="TH"/>
    <s v="PF"/>
    <s v="NA"/>
    <s v=""/>
    <s v=""/>
    <s v="768669459723"/>
    <s v="01531050005109"/>
    <s v="HDFC BANK"/>
    <s v="HDFC0000153"/>
    <n v="30"/>
    <n v="0"/>
    <n v="0"/>
    <n v="30"/>
    <n v="30"/>
    <n v="434795"/>
    <n v="434795"/>
    <n v="195658"/>
    <n v="78263"/>
    <n v="1600"/>
    <n v="200"/>
    <n v="1250"/>
    <n v="16298"/>
    <n v="39132"/>
    <n v="29349"/>
    <n v="1957"/>
    <n v="6848"/>
    <n v="3913"/>
    <n v="978"/>
    <n v="1800"/>
    <n v="57549"/>
    <n v="0"/>
    <n v="0"/>
    <n v="3002"/>
    <n v="437797"/>
    <n v="434795"/>
    <n v="0"/>
    <n v="0"/>
    <n v="144974"/>
    <n v="200"/>
    <n v="1800"/>
    <n v="0"/>
    <n v="0"/>
    <n v="0"/>
    <n v="0"/>
    <n v="146974"/>
    <n v="290823"/>
    <m/>
    <m/>
  </r>
  <r>
    <d v="2025-09-01T00:00:00"/>
    <s v="Salary"/>
    <s v="S19014J001"/>
    <s v="MOONSTONE REALINFRA PRIVATE LIMITED"/>
    <n v="1937"/>
    <s v="MAYANK ACHARYA"/>
    <s v="Male"/>
    <s v=""/>
    <s v="Nov 25, 2024"/>
    <s v="DZPPA7006D"/>
    <s v="102142125408"/>
    <x v="6"/>
    <s v="MANAGEMENT TRAINEE"/>
    <x v="6"/>
    <s v="MT"/>
    <s v="PF"/>
    <s v="NA"/>
    <s v=""/>
    <s v=""/>
    <s v="596849238511"/>
    <s v="50100773207188"/>
    <s v="HDFC BANK"/>
    <s v="HDFC0001210"/>
    <n v="30"/>
    <n v="0"/>
    <n v="0"/>
    <n v="30"/>
    <n v="30"/>
    <n v="31533"/>
    <n v="31533"/>
    <n v="14190"/>
    <n v="5676"/>
    <n v="1600"/>
    <n v="200"/>
    <n v="1250"/>
    <n v="0"/>
    <n v="0"/>
    <n v="0"/>
    <n v="0"/>
    <n v="0"/>
    <n v="0"/>
    <n v="0"/>
    <n v="1703"/>
    <n v="6914"/>
    <n v="0"/>
    <n v="0"/>
    <n v="3078"/>
    <n v="34611"/>
    <n v="31533"/>
    <n v="0"/>
    <n v="0"/>
    <n v="0"/>
    <n v="200"/>
    <n v="1703"/>
    <n v="0"/>
    <n v="0"/>
    <n v="0"/>
    <n v="0"/>
    <n v="1903"/>
    <n v="32708"/>
    <m/>
    <m/>
  </r>
  <r>
    <d v="2025-09-01T00:00:00"/>
    <s v="Salary"/>
    <s v="S19014J001"/>
    <s v="MOONSTONE REALINFRA PRIVATE LIMITED"/>
    <n v="382"/>
    <s v="MAYUR RAJAN SALUNKE"/>
    <s v="Male"/>
    <s v=""/>
    <s v="Dec 11, 2018"/>
    <s v="EIWPS6074N"/>
    <s v="101412010976"/>
    <x v="45"/>
    <s v="ASSISTANT MANAGER"/>
    <x v="2"/>
    <s v="TM"/>
    <s v="PF"/>
    <s v="NA"/>
    <s v=""/>
    <s v=""/>
    <s v="202787997088"/>
    <s v="50100624532338"/>
    <s v="HDFC BANK"/>
    <s v="HDFC0000633"/>
    <n v="30"/>
    <n v="0"/>
    <n v="1"/>
    <n v="29"/>
    <n v="29"/>
    <n v="36950"/>
    <n v="36950"/>
    <n v="16073"/>
    <n v="6429"/>
    <n v="1547"/>
    <n v="193"/>
    <n v="1208"/>
    <n v="0"/>
    <n v="0"/>
    <n v="0"/>
    <n v="0"/>
    <n v="0"/>
    <n v="0"/>
    <n v="0"/>
    <n v="1800"/>
    <n v="8468"/>
    <n v="0"/>
    <n v="0"/>
    <n v="7375"/>
    <n v="43093"/>
    <n v="35718"/>
    <n v="0"/>
    <n v="0"/>
    <n v="0"/>
    <n v="200"/>
    <n v="1800"/>
    <n v="0"/>
    <n v="0"/>
    <n v="0"/>
    <n v="0"/>
    <n v="2000"/>
    <n v="41093"/>
    <m/>
    <m/>
  </r>
  <r>
    <d v="2025-09-01T00:00:00"/>
    <s v="Salary"/>
    <s v="S19014J001"/>
    <s v="MOONSTONE REALINFRA PRIVATE LIMITED"/>
    <n v="511"/>
    <s v="MAYURESH LANGOTE"/>
    <s v="Male"/>
    <s v=""/>
    <s v="Aug 01, 2019"/>
    <s v="AEWPL1281L"/>
    <s v="100053793326"/>
    <x v="56"/>
    <s v="SENIOR EXECUTIVE - POSSESSION"/>
    <x v="2"/>
    <s v="TM"/>
    <s v="PF"/>
    <s v="NA"/>
    <s v=""/>
    <s v=""/>
    <s v="250203086491"/>
    <s v="50100231649761"/>
    <s v="HDFC BANK"/>
    <s v="HDFC0000052"/>
    <n v="30"/>
    <n v="0"/>
    <n v="0"/>
    <n v="30"/>
    <n v="30"/>
    <n v="43308"/>
    <n v="43308"/>
    <n v="19489"/>
    <n v="7796"/>
    <n v="1600"/>
    <n v="200"/>
    <n v="1250"/>
    <n v="1623"/>
    <n v="3898"/>
    <n v="2923"/>
    <n v="195"/>
    <n v="682"/>
    <n v="390"/>
    <n v="97"/>
    <n v="1800"/>
    <n v="1365"/>
    <n v="0"/>
    <n v="0"/>
    <n v="5163"/>
    <n v="48471"/>
    <n v="43308"/>
    <n v="0"/>
    <n v="0"/>
    <n v="0"/>
    <n v="200"/>
    <n v="1800"/>
    <n v="0"/>
    <n v="0"/>
    <n v="0"/>
    <n v="5000"/>
    <n v="7000"/>
    <n v="41471"/>
    <m/>
    <m/>
  </r>
  <r>
    <d v="2025-09-01T00:00:00"/>
    <s v="Salary"/>
    <s v="S19014J001"/>
    <s v="MOONSTONE REALINFRA PRIVATE LIMITED"/>
    <n v="2062"/>
    <s v="MOHAN SHRIKRISHNA UDGIRI"/>
    <s v="Male"/>
    <s v=""/>
    <s v="Mar 24, 2025"/>
    <s v="AAZPU1282B"/>
    <s v="100242792314"/>
    <x v="20"/>
    <s v="ASSISTANT GENERAL MANAGER"/>
    <x v="0"/>
    <s v="TL"/>
    <s v="PF"/>
    <s v="NA"/>
    <s v=""/>
    <s v=""/>
    <s v="524156423700"/>
    <s v="05421140100824"/>
    <s v="HDFC BANK"/>
    <s v="HDFC0000542"/>
    <n v="30"/>
    <n v="0"/>
    <n v="0"/>
    <n v="30"/>
    <n v="30"/>
    <n v="181533"/>
    <n v="181533"/>
    <n v="81690"/>
    <n v="32676"/>
    <n v="1600"/>
    <n v="200"/>
    <n v="1250"/>
    <n v="6805"/>
    <n v="16338"/>
    <n v="12254"/>
    <n v="817"/>
    <n v="2859"/>
    <n v="1634"/>
    <n v="408"/>
    <n v="1800"/>
    <n v="21202"/>
    <n v="0"/>
    <n v="0"/>
    <n v="8280"/>
    <n v="189813"/>
    <n v="181533"/>
    <n v="0"/>
    <n v="0"/>
    <n v="18208"/>
    <n v="200"/>
    <n v="1800"/>
    <n v="0"/>
    <n v="0"/>
    <n v="0"/>
    <n v="0"/>
    <n v="20208"/>
    <n v="169605"/>
    <m/>
    <m/>
  </r>
  <r>
    <d v="2025-09-01T00:00:00"/>
    <s v="Salary"/>
    <s v="S19014J001"/>
    <s v="MOONSTONE REALINFRA PRIVATE LIMITED"/>
    <n v="1092"/>
    <s v="NARENDRA ROHTAS MAHUR"/>
    <s v="Male"/>
    <s v=""/>
    <s v="May 16, 2022"/>
    <s v="EJTPM6853H"/>
    <s v="101646143832"/>
    <x v="54"/>
    <s v="ASSISTANT MANAGER - RESI. SALES"/>
    <x v="6"/>
    <s v="TM"/>
    <s v="PF"/>
    <s v="NA"/>
    <s v=""/>
    <s v=""/>
    <s v="325860489575"/>
    <s v="50100654540599"/>
    <s v="HDFC BANK"/>
    <s v="HDFC0000007"/>
    <n v="30"/>
    <n v="0"/>
    <n v="0"/>
    <n v="30"/>
    <n v="30"/>
    <n v="71927"/>
    <n v="71927"/>
    <n v="32367"/>
    <n v="12947"/>
    <n v="1600"/>
    <n v="200"/>
    <n v="1250"/>
    <n v="2696"/>
    <n v="6473"/>
    <n v="4855"/>
    <n v="324"/>
    <n v="1133"/>
    <n v="647"/>
    <n v="162"/>
    <n v="1800"/>
    <n v="5473"/>
    <n v="0"/>
    <n v="0"/>
    <n v="1538"/>
    <n v="73465"/>
    <n v="71927"/>
    <n v="0"/>
    <n v="0"/>
    <n v="0"/>
    <n v="200"/>
    <n v="1800"/>
    <n v="0"/>
    <n v="0"/>
    <n v="0"/>
    <n v="0"/>
    <n v="2000"/>
    <n v="71465"/>
    <m/>
    <m/>
  </r>
  <r>
    <d v="2025-09-01T00:00:00"/>
    <s v="Salary"/>
    <s v="S19014J001"/>
    <s v="MOONSTONE REALINFRA PRIVATE LIMITED"/>
    <n v="1506"/>
    <s v="NILESH SUDAM DODAKE"/>
    <s v="Male"/>
    <s v=""/>
    <s v="Aug 16, 2023"/>
    <s v="ATZPD2744A"/>
    <s v="101985884549"/>
    <x v="22"/>
    <s v="SUPERVISOR"/>
    <x v="0"/>
    <s v="TM"/>
    <s v="PF"/>
    <s v="NA"/>
    <s v=""/>
    <s v=""/>
    <s v="800783241563"/>
    <s v="50100624533443"/>
    <s v="HDFC BANK"/>
    <s v="HDFC0000007"/>
    <n v="30"/>
    <n v="0"/>
    <n v="0.5"/>
    <n v="29.5"/>
    <n v="29.5"/>
    <n v="49575"/>
    <n v="49575"/>
    <n v="21937"/>
    <n v="8775"/>
    <n v="1573"/>
    <n v="197"/>
    <n v="1229"/>
    <n v="1827"/>
    <n v="4387"/>
    <n v="3291"/>
    <n v="219"/>
    <n v="768"/>
    <n v="439"/>
    <n v="110"/>
    <n v="1800"/>
    <n v="2197"/>
    <n v="0"/>
    <n v="0"/>
    <n v="0"/>
    <n v="48749"/>
    <n v="48749"/>
    <n v="0"/>
    <n v="0"/>
    <n v="0"/>
    <n v="200"/>
    <n v="1800"/>
    <n v="0"/>
    <n v="0"/>
    <n v="0"/>
    <n v="0"/>
    <n v="2000"/>
    <n v="46749"/>
    <m/>
    <m/>
  </r>
  <r>
    <d v="2025-09-01T00:00:00"/>
    <s v="Salary"/>
    <s v="S19014J001"/>
    <s v="MOONSTONE REALINFRA PRIVATE LIMITED"/>
    <n v="1700"/>
    <s v="NITEESH SHARMA"/>
    <s v="Male"/>
    <s v=""/>
    <s v="Apr 11, 2024"/>
    <s v="BYHPS8894Q"/>
    <s v="101416879888"/>
    <x v="54"/>
    <s v="ASSISTANT MANAGER - RESI. SALES"/>
    <x v="6"/>
    <s v="TM"/>
    <s v="PF"/>
    <s v="NA"/>
    <s v=""/>
    <s v=""/>
    <s v="461172332390"/>
    <s v="99991911230890"/>
    <s v="HDFC BANK"/>
    <s v="HDFC0001210"/>
    <n v="30"/>
    <n v="0"/>
    <n v="3"/>
    <n v="27"/>
    <n v="27"/>
    <n v="79907"/>
    <n v="79907"/>
    <n v="32362"/>
    <n v="12945"/>
    <n v="1440"/>
    <n v="180"/>
    <n v="1125"/>
    <n v="2696"/>
    <n v="6472"/>
    <n v="4854"/>
    <n v="324"/>
    <n v="1133"/>
    <n v="647"/>
    <n v="162"/>
    <n v="1800"/>
    <n v="5776"/>
    <n v="0"/>
    <n v="0"/>
    <n v="2701"/>
    <n v="74617"/>
    <n v="71916"/>
    <n v="0"/>
    <n v="0"/>
    <n v="0"/>
    <n v="200"/>
    <n v="1800"/>
    <n v="0"/>
    <n v="0"/>
    <n v="0"/>
    <n v="0"/>
    <n v="2000"/>
    <n v="72617"/>
    <m/>
    <m/>
  </r>
  <r>
    <d v="2025-09-01T00:00:00"/>
    <s v="Salary"/>
    <s v="S19014J001"/>
    <s v="MOONSTONE REALINFRA PRIVATE LIMITED"/>
    <n v="435"/>
    <s v="NITESH SUKHDEORAO RAUT"/>
    <s v="Male"/>
    <s v=""/>
    <s v="Feb 28, 2019"/>
    <s v="ECHPR5827R"/>
    <s v="101438956994"/>
    <x v="7"/>
    <s v="EXECUTIVE - POSSESSION"/>
    <x v="2"/>
    <s v="TM"/>
    <s v="PF"/>
    <s v="NA"/>
    <s v=""/>
    <s v=""/>
    <s v="549202367903"/>
    <s v="50100317492446"/>
    <s v="HDFC BANK"/>
    <s v="HDFC0000007"/>
    <n v="30"/>
    <n v="0"/>
    <n v="0"/>
    <n v="30"/>
    <n v="30"/>
    <n v="33167"/>
    <n v="33167"/>
    <n v="14925"/>
    <n v="5970"/>
    <n v="1600"/>
    <n v="200"/>
    <n v="1250"/>
    <n v="0"/>
    <n v="0"/>
    <n v="0"/>
    <n v="0"/>
    <n v="0"/>
    <n v="0"/>
    <n v="0"/>
    <n v="1791"/>
    <n v="7431"/>
    <n v="0"/>
    <n v="0"/>
    <n v="8610"/>
    <n v="41777"/>
    <n v="33167"/>
    <n v="0"/>
    <n v="0"/>
    <n v="0"/>
    <n v="200"/>
    <n v="1791"/>
    <n v="0"/>
    <n v="0"/>
    <n v="0"/>
    <n v="0"/>
    <n v="1991"/>
    <n v="39786"/>
    <m/>
    <m/>
  </r>
  <r>
    <d v="2025-09-01T00:00:00"/>
    <s v="Salary"/>
    <s v="S19014J001"/>
    <s v="MOONSTONE REALINFRA PRIVATE LIMITED"/>
    <n v="1033"/>
    <s v="OMKAR MADHAV SAMBHUS"/>
    <s v="Male"/>
    <s v=""/>
    <s v="Mar 21, 2022"/>
    <s v="BKVPS7936K"/>
    <s v="101090148328"/>
    <x v="42"/>
    <s v="SENIOR MANAGER - RESI. SALES"/>
    <x v="6"/>
    <s v="TM"/>
    <s v="PF"/>
    <s v="NA"/>
    <s v=""/>
    <s v=""/>
    <s v="580372226603"/>
    <s v="50100056805482"/>
    <s v="HDFC BANK"/>
    <s v="HDFC0000146"/>
    <n v="30"/>
    <n v="0"/>
    <n v="1"/>
    <n v="29"/>
    <n v="29"/>
    <n v="118333"/>
    <n v="118333"/>
    <n v="51475"/>
    <n v="20590"/>
    <n v="1547"/>
    <n v="193"/>
    <n v="1208"/>
    <n v="4288"/>
    <n v="10295"/>
    <n v="7721"/>
    <n v="515"/>
    <n v="1802"/>
    <n v="1030"/>
    <n v="257"/>
    <n v="1800"/>
    <n v="11668"/>
    <n v="0"/>
    <n v="0"/>
    <n v="3805"/>
    <n v="118194"/>
    <n v="114389"/>
    <n v="0"/>
    <n v="0"/>
    <n v="9648"/>
    <n v="200"/>
    <n v="1800"/>
    <n v="0"/>
    <n v="0"/>
    <n v="0"/>
    <n v="12500"/>
    <n v="24148"/>
    <n v="94046"/>
    <m/>
    <m/>
  </r>
  <r>
    <d v="2025-09-01T00:00:00"/>
    <s v="Salary"/>
    <s v="S19014J001"/>
    <s v="MOONSTONE REALINFRA PRIVATE LIMITED"/>
    <n v="1086"/>
    <s v="POORNIMA SATYANARAYAN MASKE"/>
    <s v="Female"/>
    <s v=""/>
    <s v="May 09, 2022"/>
    <s v="FPPPM6332Q"/>
    <s v="101489017926"/>
    <x v="43"/>
    <s v="MANAGER"/>
    <x v="6"/>
    <s v="TM"/>
    <s v="PF"/>
    <s v="NA"/>
    <s v=""/>
    <s v=""/>
    <s v="535343696935"/>
    <s v="50100288878569"/>
    <s v="HDFC BANK"/>
    <s v="HDFC0001791"/>
    <n v="30"/>
    <n v="0"/>
    <n v="0"/>
    <n v="30"/>
    <n v="30"/>
    <n v="60208"/>
    <n v="60208"/>
    <n v="27094"/>
    <n v="10838"/>
    <n v="1600"/>
    <n v="200"/>
    <n v="1250"/>
    <n v="2257"/>
    <n v="5419"/>
    <n v="4064"/>
    <n v="271"/>
    <n v="948"/>
    <n v="542"/>
    <n v="135"/>
    <n v="1800"/>
    <n v="3790"/>
    <n v="0"/>
    <n v="0"/>
    <n v="1960"/>
    <n v="62168"/>
    <n v="60208"/>
    <n v="0"/>
    <n v="0"/>
    <n v="0"/>
    <n v="200"/>
    <n v="1800"/>
    <n v="0"/>
    <n v="0"/>
    <n v="0"/>
    <n v="0"/>
    <n v="2000"/>
    <n v="60168"/>
    <m/>
    <m/>
  </r>
  <r>
    <d v="2025-09-01T00:00:00"/>
    <s v="Salary"/>
    <s v="S19014J001"/>
    <s v="MOONSTONE REALINFRA PRIVATE LIMITED"/>
    <n v="737"/>
    <s v="PRADIP PHOFALE"/>
    <s v="Male"/>
    <s v=""/>
    <s v="Jan 05, 2021"/>
    <s v="FJPPP4191E"/>
    <s v="101287262182"/>
    <x v="21"/>
    <s v="EXECUTIVE - ADMIN"/>
    <x v="2"/>
    <s v="TM"/>
    <s v="PF"/>
    <s v="NA"/>
    <s v=""/>
    <s v=""/>
    <s v="348597161366"/>
    <s v="50100624534038"/>
    <s v="HDFC BANK"/>
    <s v="HDFC0000007"/>
    <n v="30"/>
    <n v="0"/>
    <n v="0"/>
    <n v="30"/>
    <n v="30"/>
    <n v="22933"/>
    <n v="22933"/>
    <n v="10320"/>
    <n v="4128"/>
    <n v="1600"/>
    <n v="200"/>
    <n v="1250"/>
    <n v="0"/>
    <n v="0"/>
    <n v="0"/>
    <n v="0"/>
    <n v="0"/>
    <n v="0"/>
    <n v="0"/>
    <n v="1238"/>
    <n v="4197"/>
    <n v="0"/>
    <n v="0"/>
    <n v="6973"/>
    <n v="29906"/>
    <n v="22933"/>
    <n v="0"/>
    <n v="0"/>
    <n v="0"/>
    <n v="200"/>
    <n v="1238"/>
    <n v="0"/>
    <n v="0"/>
    <n v="0"/>
    <n v="0"/>
    <n v="1438"/>
    <n v="28468"/>
    <m/>
    <m/>
  </r>
  <r>
    <d v="2025-09-01T00:00:00"/>
    <s v="Salary"/>
    <s v="S19014J001"/>
    <s v="MOONSTONE REALINFRA PRIVATE LIMITED"/>
    <n v="649"/>
    <s v="PRAJAKTA KULKARNI"/>
    <s v="Female"/>
    <s v=""/>
    <s v="Feb 01, 2020"/>
    <s v="BJHPK2873G"/>
    <s v="101902983475"/>
    <x v="20"/>
    <s v="ASSISTANT GENERAL MANAGER"/>
    <x v="2"/>
    <s v="TL"/>
    <s v="PF"/>
    <s v="NA"/>
    <s v=""/>
    <s v=""/>
    <s v="287366904609"/>
    <s v="50100317874269"/>
    <s v="HDFC BANK"/>
    <s v="HDFC0000007"/>
    <n v="30"/>
    <n v="0"/>
    <n v="0"/>
    <n v="30"/>
    <n v="30"/>
    <n v="158333"/>
    <n v="158333"/>
    <n v="71250"/>
    <n v="28500"/>
    <n v="1600"/>
    <n v="200"/>
    <n v="1250"/>
    <n v="5935"/>
    <n v="14250"/>
    <n v="10688"/>
    <n v="713"/>
    <n v="2494"/>
    <n v="1425"/>
    <n v="356"/>
    <n v="1800"/>
    <n v="17872"/>
    <n v="0"/>
    <n v="0"/>
    <n v="6403"/>
    <n v="164736"/>
    <n v="158333"/>
    <n v="0"/>
    <n v="0"/>
    <n v="10000"/>
    <n v="200"/>
    <n v="1800"/>
    <n v="0"/>
    <n v="0"/>
    <n v="0"/>
    <n v="0"/>
    <n v="12000"/>
    <n v="152736"/>
    <m/>
    <m/>
  </r>
  <r>
    <d v="2025-09-01T00:00:00"/>
    <s v="Salary"/>
    <s v="S19014J001"/>
    <s v="MOONSTONE REALINFRA PRIVATE LIMITED"/>
    <n v="1746"/>
    <s v="PRAMOD HANMANT PAWAR"/>
    <s v="Male"/>
    <s v=""/>
    <s v="May 20, 2024"/>
    <s v="DFHPP2315Q"/>
    <s v="102021330261"/>
    <x v="25"/>
    <s v="PAINTER"/>
    <x v="2"/>
    <s v="SS"/>
    <s v="PF"/>
    <s v="NA"/>
    <s v=""/>
    <s v=""/>
    <s v="464124497454"/>
    <s v="50100317492692"/>
    <s v="HDFC BANK"/>
    <s v="HDFC0000007"/>
    <n v="30"/>
    <n v="0"/>
    <n v="2"/>
    <n v="28"/>
    <n v="28"/>
    <n v="28500"/>
    <n v="28500"/>
    <n v="11970"/>
    <n v="4788"/>
    <n v="1493"/>
    <n v="187"/>
    <n v="1167"/>
    <n v="0"/>
    <n v="0"/>
    <n v="0"/>
    <n v="0"/>
    <n v="0"/>
    <n v="0"/>
    <n v="0"/>
    <n v="1436"/>
    <n v="5559"/>
    <n v="0"/>
    <n v="0"/>
    <n v="7378"/>
    <n v="33978"/>
    <n v="26600"/>
    <n v="0"/>
    <n v="0"/>
    <n v="0"/>
    <n v="200"/>
    <n v="1436"/>
    <n v="0"/>
    <n v="0"/>
    <n v="0"/>
    <n v="0"/>
    <n v="1636"/>
    <n v="32342"/>
    <m/>
    <m/>
  </r>
  <r>
    <d v="2025-09-01T00:00:00"/>
    <s v="Salary"/>
    <s v="S19014J001"/>
    <s v="MOONSTONE REALINFRA PRIVATE LIMITED"/>
    <n v="1771"/>
    <s v="PRASENJEET TATYARAM RANPISE"/>
    <s v="Male"/>
    <s v=""/>
    <s v="Jun 03, 2024"/>
    <s v="BEAPR4151J"/>
    <s v="101090722152"/>
    <x v="52"/>
    <s v="DEPUTY MANAGER - RESI. SALES"/>
    <x v="6"/>
    <s v="TM"/>
    <s v="PF"/>
    <s v="NA"/>
    <s v=""/>
    <s v=""/>
    <s v="327697944280"/>
    <s v="50100198966720"/>
    <s v="HDFC BANK"/>
    <s v="HDFC0001578"/>
    <n v="30"/>
    <n v="0"/>
    <n v="0"/>
    <n v="30"/>
    <n v="30"/>
    <n v="92504"/>
    <n v="92504"/>
    <n v="41627"/>
    <n v="16651"/>
    <n v="1600"/>
    <n v="200"/>
    <n v="1250"/>
    <n v="3468"/>
    <n v="8325"/>
    <n v="6244"/>
    <n v="416"/>
    <n v="1457"/>
    <n v="833"/>
    <n v="208"/>
    <n v="1800"/>
    <n v="8425"/>
    <n v="0"/>
    <n v="2500"/>
    <n v="0"/>
    <n v="95004"/>
    <n v="95004"/>
    <n v="0"/>
    <n v="0"/>
    <n v="0"/>
    <n v="200"/>
    <n v="1800"/>
    <n v="0"/>
    <n v="0"/>
    <n v="0"/>
    <n v="0"/>
    <n v="2000"/>
    <n v="93004"/>
    <m/>
    <m/>
  </r>
  <r>
    <d v="2025-09-01T00:00:00"/>
    <s v="Salary"/>
    <s v="S19014J001"/>
    <s v="MOONSTONE REALINFRA PRIVATE LIMITED"/>
    <n v="1445"/>
    <s v="PRASHANT SUDAM GADRE"/>
    <s v="Male"/>
    <s v=""/>
    <s v="Jun 01, 2023"/>
    <s v="AUVPG5057A"/>
    <s v="101403170926"/>
    <x v="4"/>
    <s v="Site Supervisor"/>
    <x v="0"/>
    <s v="TM"/>
    <s v="PF"/>
    <s v="NA"/>
    <s v=""/>
    <s v=""/>
    <s v="879059513265"/>
    <s v="50100268119865"/>
    <s v="HDFC BANK"/>
    <s v="HDFC0002493"/>
    <n v="30"/>
    <n v="0"/>
    <n v="0"/>
    <n v="30"/>
    <n v="30"/>
    <n v="50225"/>
    <n v="50225"/>
    <n v="22601"/>
    <n v="9040"/>
    <n v="1600"/>
    <n v="200"/>
    <n v="1250"/>
    <n v="1883"/>
    <n v="4520"/>
    <n v="3390"/>
    <n v="226"/>
    <n v="791"/>
    <n v="452"/>
    <n v="113"/>
    <n v="1800"/>
    <n v="2359"/>
    <n v="0"/>
    <n v="0"/>
    <n v="0"/>
    <n v="50225"/>
    <n v="50225"/>
    <n v="0"/>
    <n v="0"/>
    <n v="0"/>
    <n v="200"/>
    <n v="1800"/>
    <n v="0"/>
    <n v="0"/>
    <n v="0"/>
    <n v="0"/>
    <n v="2000"/>
    <n v="48225"/>
    <m/>
    <m/>
  </r>
  <r>
    <d v="2025-09-01T00:00:00"/>
    <s v="Salary"/>
    <s v="S19014J001"/>
    <s v="MOONSTONE REALINFRA PRIVATE LIMITED"/>
    <n v="1932"/>
    <s v="PRATHMESH MAKARAND PATWARDHAN"/>
    <s v="Male"/>
    <s v=""/>
    <s v="Nov 21, 2024"/>
    <s v="DIPPP8235N"/>
    <s v="101650676266"/>
    <x v="26"/>
    <s v="ENGINEERING - COORDINATOR"/>
    <x v="0"/>
    <s v="TM"/>
    <s v="PF"/>
    <s v="NA"/>
    <s v=""/>
    <s v=""/>
    <s v="989836806639"/>
    <s v="50100773207162"/>
    <s v="HDFC BANK"/>
    <s v="HDFC0001210"/>
    <n v="30"/>
    <n v="0"/>
    <n v="1"/>
    <n v="29"/>
    <n v="29"/>
    <n v="30700"/>
    <n v="30700"/>
    <n v="13355"/>
    <n v="5342"/>
    <n v="1547"/>
    <n v="193"/>
    <n v="1208"/>
    <n v="0"/>
    <n v="0"/>
    <n v="0"/>
    <n v="0"/>
    <n v="0"/>
    <n v="0"/>
    <n v="0"/>
    <n v="1603"/>
    <n v="6429"/>
    <n v="0"/>
    <n v="0"/>
    <n v="4043"/>
    <n v="33720"/>
    <n v="29677"/>
    <n v="0"/>
    <n v="0"/>
    <n v="0"/>
    <n v="200"/>
    <n v="1603"/>
    <n v="0"/>
    <n v="0"/>
    <n v="0"/>
    <n v="0"/>
    <n v="1803"/>
    <n v="31917"/>
    <m/>
    <m/>
  </r>
  <r>
    <d v="2025-09-01T00:00:00"/>
    <s v="Salary"/>
    <s v="S19014J001"/>
    <s v="MOONSTONE REALINFRA PRIVATE LIMITED"/>
    <n v="2221"/>
    <s v="PRIYANKA UTTAMARAV KHAMKAR"/>
    <s v="Female"/>
    <s v=""/>
    <s v="Sep 23, 2025"/>
    <s v="FDVPK7029C"/>
    <s v="101434303744"/>
    <x v="45"/>
    <s v="ASSISTANT MANAGER"/>
    <x v="0"/>
    <s v="TM"/>
    <s v="PF"/>
    <s v="NA"/>
    <s v=""/>
    <s v=""/>
    <s v="825677487713"/>
    <n v="0"/>
    <n v="0"/>
    <n v="0"/>
    <n v="30"/>
    <n v="0"/>
    <n v="0"/>
    <n v="8"/>
    <n v="8"/>
    <n v="81533"/>
    <n v="81533"/>
    <n v="9784"/>
    <n v="3914"/>
    <n v="427"/>
    <n v="200"/>
    <n v="333"/>
    <n v="815"/>
    <n v="1957"/>
    <n v="1468"/>
    <n v="98"/>
    <n v="342"/>
    <n v="196"/>
    <n v="49"/>
    <n v="1174"/>
    <n v="985"/>
    <n v="0"/>
    <n v="0"/>
    <n v="0"/>
    <n v="21742"/>
    <n v="21742"/>
    <n v="0"/>
    <n v="0"/>
    <n v="0"/>
    <n v="175"/>
    <n v="1174"/>
    <n v="0"/>
    <n v="0"/>
    <n v="0"/>
    <n v="0"/>
    <n v="1349"/>
    <n v="20393"/>
    <s v="Hold"/>
    <m/>
  </r>
  <r>
    <d v="2025-09-01T00:00:00"/>
    <s v="Salary"/>
    <s v="S19014J001"/>
    <s v="MOONSTONE REALINFRA PRIVATE LIMITED"/>
    <n v="2014"/>
    <s v="RAHUL SANJAY SONAWANE"/>
    <s v="Male"/>
    <s v=""/>
    <s v="Feb 17, 2025"/>
    <s v="COZPS7657L"/>
    <s v="102171897905"/>
    <x v="27"/>
    <s v="EXECUTIVE - POSSESSION SUPPORT"/>
    <x v="2"/>
    <s v="TM"/>
    <s v="PF"/>
    <s v="NA"/>
    <s v=""/>
    <s v=""/>
    <s v="969590676456"/>
    <s v="50100731567322"/>
    <s v="HDFC BANK"/>
    <s v="HDFC0000007"/>
    <n v="30"/>
    <n v="0"/>
    <n v="0"/>
    <n v="30"/>
    <n v="30"/>
    <n v="32033"/>
    <n v="32033"/>
    <n v="14415"/>
    <n v="5766"/>
    <n v="1600"/>
    <n v="200"/>
    <n v="1250"/>
    <n v="0"/>
    <n v="0"/>
    <n v="0"/>
    <n v="0"/>
    <n v="0"/>
    <n v="0"/>
    <n v="0"/>
    <n v="1730"/>
    <n v="7072"/>
    <n v="0"/>
    <n v="0"/>
    <n v="2633"/>
    <n v="34666"/>
    <n v="32033"/>
    <n v="0"/>
    <n v="0"/>
    <n v="0"/>
    <n v="200"/>
    <n v="1730"/>
    <n v="0"/>
    <n v="0"/>
    <n v="0"/>
    <n v="0"/>
    <n v="1930"/>
    <n v="32736"/>
    <m/>
    <m/>
  </r>
  <r>
    <d v="2025-09-01T00:00:00"/>
    <s v="Salary"/>
    <s v="S19014J001"/>
    <s v="MOONSTONE REALINFRA PRIVATE LIMITED"/>
    <n v="2190"/>
    <s v="RAHUL SAYAJI SHETE"/>
    <s v="Male"/>
    <s v=""/>
    <s v="Aug 18, 2025"/>
    <s v="LVGPS7330P"/>
    <s v="102106669268"/>
    <x v="44"/>
    <s v="POSSESSION EXECUTIVE"/>
    <x v="4"/>
    <s v="TM"/>
    <s v="PF"/>
    <s v="NA"/>
    <s v=""/>
    <s v=""/>
    <s v="330583203857"/>
    <s v="50100709895411"/>
    <s v="HDFC BANK"/>
    <s v="HDFC0009332"/>
    <n v="30"/>
    <n v="0"/>
    <n v="0"/>
    <n v="30"/>
    <n v="30"/>
    <n v="24438"/>
    <n v="24438"/>
    <n v="10997"/>
    <n v="4399"/>
    <n v="1600"/>
    <n v="200"/>
    <n v="1250"/>
    <n v="0"/>
    <n v="0"/>
    <n v="0"/>
    <n v="0"/>
    <n v="0"/>
    <n v="0"/>
    <n v="0"/>
    <n v="1320"/>
    <n v="4672"/>
    <n v="0"/>
    <n v="0"/>
    <n v="1967"/>
    <n v="26405"/>
    <n v="24438"/>
    <n v="0"/>
    <n v="0"/>
    <n v="0"/>
    <n v="200"/>
    <n v="1320"/>
    <n v="0"/>
    <n v="0"/>
    <n v="0"/>
    <n v="0"/>
    <n v="1520"/>
    <n v="24885"/>
    <m/>
    <m/>
  </r>
  <r>
    <d v="2025-09-01T00:00:00"/>
    <s v="Salary"/>
    <s v="S19014J001"/>
    <s v="MOONSTONE REALINFRA PRIVATE LIMITED"/>
    <n v="1480"/>
    <s v="RAKESH DNYANOBA SONAWANE"/>
    <s v="Male"/>
    <s v=""/>
    <s v="Jul 19, 2023"/>
    <s v="DJBPS0548N"/>
    <s v="100318745002"/>
    <x v="1"/>
    <s v="ASSISTANT PROJECT MANAGER"/>
    <x v="0"/>
    <s v="TM"/>
    <s v="PF"/>
    <s v="NA"/>
    <s v=""/>
    <s v=""/>
    <s v="815335472494"/>
    <s v="50100098216176"/>
    <s v="HDFC BANK"/>
    <s v="HDFC0000359"/>
    <n v="30"/>
    <n v="0"/>
    <n v="0"/>
    <n v="30"/>
    <n v="30"/>
    <n v="72817"/>
    <n v="72817"/>
    <n v="32768"/>
    <n v="13107"/>
    <n v="1600"/>
    <n v="200"/>
    <n v="1250"/>
    <n v="2730"/>
    <n v="6554"/>
    <n v="4915"/>
    <n v="328"/>
    <n v="1147"/>
    <n v="655"/>
    <n v="164"/>
    <n v="1800"/>
    <n v="5599"/>
    <n v="0"/>
    <n v="0"/>
    <n v="0"/>
    <n v="72817"/>
    <n v="72817"/>
    <n v="0"/>
    <n v="0"/>
    <n v="0"/>
    <n v="200"/>
    <n v="1800"/>
    <n v="0"/>
    <n v="0"/>
    <n v="0"/>
    <n v="0"/>
    <n v="2000"/>
    <n v="70817"/>
    <m/>
    <m/>
  </r>
  <r>
    <d v="2025-09-01T00:00:00"/>
    <s v="Salary"/>
    <s v="S19014J001"/>
    <s v="MOONSTONE REALINFRA PRIVATE LIMITED"/>
    <n v="405"/>
    <s v="RATIKANT RAMA CHANDRA ROUT"/>
    <s v="Male"/>
    <s v=""/>
    <s v="Dec 11, 2018"/>
    <s v="BKMPR1999E"/>
    <s v="101411918080"/>
    <x v="7"/>
    <s v="EXECUTIVE - POSSESSION"/>
    <x v="2"/>
    <s v="TM"/>
    <s v="PF"/>
    <s v="NA"/>
    <s v=""/>
    <s v=""/>
    <s v="516990099788"/>
    <s v="50100317879206"/>
    <s v="HDFC BANK"/>
    <s v="HDFC0000007"/>
    <n v="30"/>
    <n v="0"/>
    <n v="0"/>
    <n v="30"/>
    <n v="30"/>
    <n v="33167"/>
    <n v="33167"/>
    <n v="14925"/>
    <n v="5970"/>
    <n v="1600"/>
    <n v="200"/>
    <n v="1250"/>
    <n v="0"/>
    <n v="0"/>
    <n v="0"/>
    <n v="0"/>
    <n v="0"/>
    <n v="0"/>
    <n v="0"/>
    <n v="1791"/>
    <n v="7431"/>
    <n v="0"/>
    <n v="0"/>
    <n v="6877"/>
    <n v="40044"/>
    <n v="33167"/>
    <n v="0"/>
    <n v="0"/>
    <n v="0"/>
    <n v="200"/>
    <n v="1791"/>
    <n v="0"/>
    <n v="0"/>
    <n v="0"/>
    <n v="0"/>
    <n v="1991"/>
    <n v="38053"/>
    <m/>
    <m/>
  </r>
  <r>
    <d v="2025-09-01T00:00:00"/>
    <s v="Salary"/>
    <s v="S19014J001"/>
    <s v="MOONSTONE REALINFRA PRIVATE LIMITED"/>
    <n v="1916"/>
    <s v="RAVI BHARTI"/>
    <s v="Male"/>
    <s v=""/>
    <s v="Nov 11, 2024"/>
    <s v="BKLPB8249J"/>
    <s v="101569634502"/>
    <x v="2"/>
    <s v="DEPUTY MANAGER"/>
    <x v="1"/>
    <s v="TM"/>
    <s v="PF"/>
    <s v="NA"/>
    <s v=""/>
    <s v=""/>
    <s v="844495303708"/>
    <s v="50100585317756"/>
    <s v="HDFC BANK"/>
    <s v="HDFC0000627"/>
    <n v="30"/>
    <n v="0"/>
    <n v="0"/>
    <n v="30"/>
    <n v="30"/>
    <n v="94033"/>
    <n v="94033"/>
    <n v="42315"/>
    <n v="16926"/>
    <n v="1600"/>
    <n v="200"/>
    <n v="1250"/>
    <n v="3525"/>
    <n v="8463"/>
    <n v="6347"/>
    <n v="423"/>
    <n v="1481"/>
    <n v="846"/>
    <n v="212"/>
    <n v="1800"/>
    <n v="8645"/>
    <n v="0"/>
    <n v="0"/>
    <n v="0"/>
    <n v="94033"/>
    <n v="94033"/>
    <n v="0"/>
    <n v="0"/>
    <n v="0"/>
    <n v="200"/>
    <n v="1800"/>
    <n v="0"/>
    <n v="0"/>
    <n v="0"/>
    <n v="0"/>
    <n v="2000"/>
    <n v="92033"/>
    <m/>
    <m/>
  </r>
  <r>
    <d v="2025-09-01T00:00:00"/>
    <s v="Salary"/>
    <s v="S19014J001"/>
    <s v="MOONSTONE REALINFRA PRIVATE LIMITED"/>
    <n v="1093"/>
    <s v="RISHABH CHANDEL"/>
    <s v="Male"/>
    <s v=""/>
    <s v="May 16, 2022"/>
    <s v="BAOPC6525R"/>
    <s v="101633454393"/>
    <x v="43"/>
    <s v="MANAGER"/>
    <x v="6"/>
    <s v="TL"/>
    <s v="PF"/>
    <s v="NA"/>
    <s v=""/>
    <s v=""/>
    <s v="821066376289"/>
    <s v="50100312589050"/>
    <s v="HDFC BANK"/>
    <s v="HDFC0009453"/>
    <n v="30"/>
    <n v="0"/>
    <n v="0"/>
    <n v="30"/>
    <n v="30"/>
    <n v="96667"/>
    <n v="96667"/>
    <n v="43500"/>
    <n v="17400"/>
    <n v="1600"/>
    <n v="200"/>
    <n v="1250"/>
    <n v="3624"/>
    <n v="8700"/>
    <n v="6525"/>
    <n v="435"/>
    <n v="1523"/>
    <n v="870"/>
    <n v="218"/>
    <n v="1800"/>
    <n v="9022"/>
    <n v="0"/>
    <n v="0"/>
    <n v="8732"/>
    <n v="105399"/>
    <n v="96667"/>
    <n v="0"/>
    <n v="0"/>
    <n v="0"/>
    <n v="200"/>
    <n v="1800"/>
    <n v="0"/>
    <n v="0"/>
    <n v="0"/>
    <n v="0"/>
    <n v="2000"/>
    <n v="103399"/>
    <m/>
    <m/>
  </r>
  <r>
    <d v="2025-09-01T00:00:00"/>
    <s v="Salary"/>
    <s v="S19014J001"/>
    <s v="MOONSTONE REALINFRA PRIVATE LIMITED"/>
    <n v="2043"/>
    <s v="ROHIT KANHAIYALAL GYANCHANDANI"/>
    <s v="Male"/>
    <s v=""/>
    <s v="Mar 03, 2025"/>
    <s v="BFFPG1593D"/>
    <s v="101468514180"/>
    <x v="28"/>
    <s v="ASSISTANT MANAGER - ACCOUNTS"/>
    <x v="5"/>
    <s v="TM"/>
    <s v="PF"/>
    <s v="NA"/>
    <s v=""/>
    <s v=""/>
    <s v="710877491907"/>
    <s v="968210310000084"/>
    <s v="BANK OF INDIA"/>
    <s v="BKID0000537"/>
    <n v="30"/>
    <n v="0"/>
    <n v="0"/>
    <n v="30"/>
    <n v="30"/>
    <n v="75000"/>
    <n v="75000"/>
    <n v="33750"/>
    <n v="13500"/>
    <n v="1600"/>
    <n v="200"/>
    <n v="1250"/>
    <n v="2811"/>
    <n v="6750"/>
    <n v="5063"/>
    <n v="338"/>
    <n v="1181"/>
    <n v="675"/>
    <n v="169"/>
    <n v="1800"/>
    <n v="5913"/>
    <n v="0"/>
    <n v="0"/>
    <n v="0"/>
    <n v="75000"/>
    <n v="75000"/>
    <n v="0"/>
    <n v="0"/>
    <n v="0"/>
    <n v="200"/>
    <n v="1800"/>
    <n v="0"/>
    <n v="0"/>
    <n v="0"/>
    <n v="0"/>
    <n v="2000"/>
    <n v="73000"/>
    <m/>
    <m/>
  </r>
  <r>
    <d v="2025-09-01T00:00:00"/>
    <s v="Salary"/>
    <s v="S19014J001"/>
    <s v="MOONSTONE REALINFRA PRIVATE LIMITED"/>
    <n v="2156"/>
    <s v="SANDEEP MARUTI SAWANT"/>
    <s v="Male"/>
    <s v=""/>
    <s v="Jul 01, 2025"/>
    <s v="CJDPS9049F"/>
    <s v="101160800602"/>
    <x v="45"/>
    <s v="ASSISTANT MANAGER"/>
    <x v="0"/>
    <s v="TL"/>
    <s v="PF"/>
    <s v="NA"/>
    <s v=""/>
    <s v=""/>
    <s v="396088354849"/>
    <s v="50100815728515"/>
    <s v="HDFC BANK"/>
    <s v="HDFC0008300"/>
    <n v="30"/>
    <n v="0"/>
    <n v="3.5"/>
    <n v="26.5"/>
    <n v="26.5"/>
    <n v="67200"/>
    <n v="67200"/>
    <n v="26712"/>
    <n v="10685"/>
    <n v="1413"/>
    <n v="177"/>
    <n v="1104"/>
    <n v="2225"/>
    <n v="5342"/>
    <n v="4007"/>
    <n v="267"/>
    <n v="935"/>
    <n v="534"/>
    <n v="134"/>
    <n v="1800"/>
    <n v="4025"/>
    <n v="0"/>
    <n v="0"/>
    <n v="0"/>
    <n v="59360"/>
    <n v="59360"/>
    <n v="0"/>
    <n v="0"/>
    <n v="0"/>
    <n v="200"/>
    <n v="1800"/>
    <n v="0"/>
    <n v="0"/>
    <n v="0"/>
    <n v="0"/>
    <n v="2000"/>
    <n v="57360"/>
    <m/>
    <m/>
  </r>
  <r>
    <d v="2025-09-01T00:00:00"/>
    <s v="Salary"/>
    <s v="S19014J001"/>
    <s v="MOONSTONE REALINFRA PRIVATE LIMITED"/>
    <n v="413"/>
    <s v="SANDIP GHANSHAM FAND"/>
    <s v="Male"/>
    <s v=""/>
    <s v="Feb 05, 2019"/>
    <s v="ACBPF9894L"/>
    <s v="101432955213"/>
    <x v="9"/>
    <s v="SENIOR ENGINEER"/>
    <x v="0"/>
    <s v="TM"/>
    <s v="PF"/>
    <s v="NA"/>
    <s v=""/>
    <s v=""/>
    <s v="918983892865"/>
    <s v="50100317492765"/>
    <s v="HDFC BANK"/>
    <s v="HDFC0000007"/>
    <n v="30"/>
    <n v="0"/>
    <n v="0"/>
    <n v="30"/>
    <n v="30"/>
    <n v="52975"/>
    <n v="52975"/>
    <n v="23839"/>
    <n v="9536"/>
    <n v="1600"/>
    <n v="200"/>
    <n v="1250"/>
    <n v="1986"/>
    <n v="4768"/>
    <n v="3576"/>
    <n v="238"/>
    <n v="834"/>
    <n v="477"/>
    <n v="119"/>
    <n v="1800"/>
    <n v="2752"/>
    <n v="0"/>
    <n v="1200"/>
    <n v="0"/>
    <n v="54175"/>
    <n v="54175"/>
    <n v="0"/>
    <n v="0"/>
    <n v="0"/>
    <n v="200"/>
    <n v="1800"/>
    <n v="0"/>
    <n v="0"/>
    <n v="0"/>
    <n v="0"/>
    <n v="2000"/>
    <n v="52175"/>
    <m/>
    <m/>
  </r>
  <r>
    <d v="2025-09-01T00:00:00"/>
    <s v="Salary"/>
    <s v="S19014J001"/>
    <s v="MOONSTONE REALINFRA PRIVATE LIMITED"/>
    <n v="1389"/>
    <s v="SANDIP RAMESHRAO JAKKALWAD"/>
    <s v="Male"/>
    <s v=""/>
    <s v="Apr 24, 2023"/>
    <s v="AWLPJ2490A"/>
    <s v="101938922335"/>
    <x v="30"/>
    <s v="SENIOR  EXECUTIVE - ACCOUNTS"/>
    <x v="5"/>
    <s v="TM"/>
    <s v="PF"/>
    <s v="NA"/>
    <s v=""/>
    <s v=""/>
    <s v="790987241865"/>
    <s v="50100318162101"/>
    <s v="HDFC BANK"/>
    <s v="HDFC0000007"/>
    <n v="30"/>
    <n v="0"/>
    <n v="0"/>
    <n v="30"/>
    <n v="30"/>
    <n v="57473"/>
    <n v="57473"/>
    <n v="25863"/>
    <n v="10345"/>
    <n v="1600"/>
    <n v="200"/>
    <n v="1250"/>
    <n v="2154"/>
    <n v="5173"/>
    <n v="3879"/>
    <n v="259"/>
    <n v="905"/>
    <n v="517"/>
    <n v="129"/>
    <n v="1800"/>
    <n v="3399"/>
    <n v="0"/>
    <n v="0"/>
    <n v="0"/>
    <n v="57473"/>
    <n v="57473"/>
    <n v="0"/>
    <n v="0"/>
    <n v="0"/>
    <n v="200"/>
    <n v="1800"/>
    <n v="0"/>
    <n v="0"/>
    <n v="0"/>
    <n v="0"/>
    <n v="2000"/>
    <n v="55473"/>
    <m/>
    <m/>
  </r>
  <r>
    <d v="2025-09-01T00:00:00"/>
    <s v="Salary"/>
    <s v="S19014J001"/>
    <s v="MOONSTONE REALINFRA PRIVATE LIMITED"/>
    <n v="1535"/>
    <s v="SANTOSH DAMU MANKAR"/>
    <s v="Male"/>
    <s v=""/>
    <s v="Sep 14, 2023"/>
    <s v="ARVPM8431B"/>
    <s v="101916942878"/>
    <x v="31"/>
    <s v="PROJECT MANAGER"/>
    <x v="0"/>
    <s v="TL"/>
    <s v="PF"/>
    <s v="NA"/>
    <s v=""/>
    <s v=""/>
    <s v="863607704890"/>
    <s v="04861720000752"/>
    <s v="HDFC BANK"/>
    <s v="HDFC0002454"/>
    <n v="30"/>
    <n v="0"/>
    <n v="7"/>
    <n v="23"/>
    <n v="23"/>
    <n v="95900"/>
    <n v="95900"/>
    <n v="33085"/>
    <n v="13234"/>
    <n v="1227"/>
    <n v="153"/>
    <n v="958"/>
    <n v="2756"/>
    <n v="6617"/>
    <n v="4963"/>
    <n v="331"/>
    <n v="1158"/>
    <n v="662"/>
    <n v="165"/>
    <n v="1800"/>
    <n v="6414"/>
    <n v="0"/>
    <n v="0"/>
    <n v="0"/>
    <n v="73523"/>
    <n v="73523"/>
    <n v="0"/>
    <n v="160"/>
    <n v="0"/>
    <n v="200"/>
    <n v="1800"/>
    <n v="0"/>
    <n v="0"/>
    <n v="0"/>
    <n v="0"/>
    <n v="2160"/>
    <n v="71363"/>
    <m/>
    <m/>
  </r>
  <r>
    <d v="2025-09-01T00:00:00"/>
    <s v="Salary"/>
    <s v="S19014J001"/>
    <s v="MOONSTONE REALINFRA PRIVATE LIMITED"/>
    <n v="1409"/>
    <s v="SANTOSH KADAM"/>
    <s v="Male"/>
    <s v=""/>
    <s v="May 10, 2023"/>
    <s v="AZUPK6484F"/>
    <s v="100924255914"/>
    <x v="9"/>
    <s v="SENIOR ENGINEER"/>
    <x v="0"/>
    <s v="TM"/>
    <s v="PF"/>
    <s v="NA"/>
    <s v=""/>
    <s v=""/>
    <s v="333622114009"/>
    <s v="50100502294986"/>
    <s v="HDFC BANK"/>
    <s v="HDFC0001445"/>
    <n v="30"/>
    <n v="0"/>
    <n v="0.5"/>
    <n v="29.5"/>
    <n v="29.5"/>
    <n v="71417"/>
    <n v="71417"/>
    <n v="31602"/>
    <n v="12641"/>
    <n v="1573"/>
    <n v="197"/>
    <n v="1229"/>
    <n v="2632"/>
    <n v="6320"/>
    <n v="4740"/>
    <n v="316"/>
    <n v="1106"/>
    <n v="632"/>
    <n v="158"/>
    <n v="1800"/>
    <n v="5281"/>
    <n v="0"/>
    <n v="0"/>
    <n v="0"/>
    <n v="70227"/>
    <n v="70227"/>
    <n v="0"/>
    <n v="0"/>
    <n v="0"/>
    <n v="200"/>
    <n v="1800"/>
    <n v="0"/>
    <n v="0"/>
    <n v="0"/>
    <n v="0"/>
    <n v="2000"/>
    <n v="68227"/>
    <m/>
    <m/>
  </r>
  <r>
    <d v="2025-09-01T00:00:00"/>
    <s v="Salary"/>
    <s v="S19014J001"/>
    <s v="MOONSTONE REALINFRA PRIVATE LIMITED"/>
    <n v="2155"/>
    <s v="SAURABH MININATH NANNAVARE"/>
    <s v="Male"/>
    <s v=""/>
    <s v="Jul 01, 2025"/>
    <s v="BIJPN9700N"/>
    <s v="101177464600"/>
    <x v="46"/>
    <s v="ENGINEER"/>
    <x v="0"/>
    <s v="TM"/>
    <s v="PF"/>
    <s v="NA"/>
    <s v=""/>
    <s v=""/>
    <s v="706192695680"/>
    <s v="50100815728452"/>
    <s v="HDFC BANK"/>
    <s v="HDFC0008300"/>
    <n v="30"/>
    <n v="0"/>
    <n v="2"/>
    <n v="28"/>
    <n v="28"/>
    <n v="53200"/>
    <n v="53200"/>
    <n v="22344"/>
    <n v="8938"/>
    <n v="1493"/>
    <n v="187"/>
    <n v="1167"/>
    <n v="1861"/>
    <n v="4469"/>
    <n v="3352"/>
    <n v="223"/>
    <n v="782"/>
    <n v="447"/>
    <n v="112"/>
    <n v="1800"/>
    <n v="2478"/>
    <n v="0"/>
    <n v="0"/>
    <n v="0"/>
    <n v="49653"/>
    <n v="49653"/>
    <n v="0"/>
    <n v="0"/>
    <n v="0"/>
    <n v="200"/>
    <n v="1800"/>
    <n v="0"/>
    <n v="0"/>
    <n v="0"/>
    <n v="0"/>
    <n v="2000"/>
    <n v="47653"/>
    <m/>
    <m/>
  </r>
  <r>
    <d v="2025-09-01T00:00:00"/>
    <s v="Salary"/>
    <s v="S19014J001"/>
    <s v="MOONSTONE REALINFRA PRIVATE LIMITED"/>
    <n v="2232"/>
    <s v="SAURAV RAJENDRA NANDURKAR"/>
    <s v="Male"/>
    <s v=""/>
    <s v="Sep 30, 2025"/>
    <s v="CESPN7298P"/>
    <s v="101733070912"/>
    <x v="58"/>
    <s v="ASSISTANT MANAGER - PLANNING"/>
    <x v="0"/>
    <s v="TM"/>
    <s v="PF"/>
    <s v="NA"/>
    <s v=""/>
    <s v=""/>
    <s v="204027680041"/>
    <s v="239001532252"/>
    <s v="ICICI Bank"/>
    <s v="ICIC0002390"/>
    <n v="30"/>
    <n v="0"/>
    <n v="0"/>
    <n v="1"/>
    <n v="1"/>
    <n v="89867"/>
    <n v="89867"/>
    <n v="1348"/>
    <n v="539"/>
    <n v="53"/>
    <n v="200"/>
    <n v="42"/>
    <n v="112"/>
    <n v="270"/>
    <n v="202"/>
    <n v="13"/>
    <n v="47"/>
    <n v="27"/>
    <n v="7"/>
    <n v="162"/>
    <n v="-26"/>
    <n v="0"/>
    <n v="0"/>
    <n v="0"/>
    <n v="2996"/>
    <n v="2996"/>
    <n v="0"/>
    <n v="0"/>
    <n v="0"/>
    <n v="0"/>
    <n v="162"/>
    <n v="0"/>
    <n v="0"/>
    <n v="0"/>
    <n v="0"/>
    <n v="162"/>
    <n v="2834"/>
    <m/>
    <m/>
  </r>
  <r>
    <d v="2025-09-01T00:00:00"/>
    <s v="Salary"/>
    <s v="S19014J001"/>
    <s v="MOONSTONE REALINFRA PRIVATE LIMITED"/>
    <n v="2147"/>
    <s v="SAYALI LAXMAN DHAIGUDE"/>
    <s v="Female"/>
    <s v=""/>
    <s v="Jul 01, 2025"/>
    <s v="IODPD3701L"/>
    <s v="102070661731"/>
    <x v="47"/>
    <s v="GUEST RELATION EXECUTIVE"/>
    <x v="2"/>
    <s v="TM"/>
    <s v="PF"/>
    <s v="NA"/>
    <s v=""/>
    <s v=""/>
    <s v="616621359625"/>
    <s v="50100815728531"/>
    <s v="HDFC BANK"/>
    <s v="HDFC0008300"/>
    <n v="30"/>
    <n v="0"/>
    <n v="0"/>
    <n v="30"/>
    <n v="30"/>
    <n v="28380"/>
    <n v="28380"/>
    <n v="12771"/>
    <n v="5108"/>
    <n v="1600"/>
    <n v="200"/>
    <n v="1250"/>
    <n v="0"/>
    <n v="0"/>
    <n v="0"/>
    <n v="0"/>
    <n v="0"/>
    <n v="0"/>
    <n v="0"/>
    <n v="1533"/>
    <n v="5918"/>
    <n v="0"/>
    <n v="0"/>
    <n v="0"/>
    <n v="28380"/>
    <n v="28380"/>
    <n v="0"/>
    <n v="0"/>
    <n v="0"/>
    <n v="200"/>
    <n v="1533"/>
    <n v="0"/>
    <n v="0"/>
    <n v="0"/>
    <n v="0"/>
    <n v="1733"/>
    <n v="26647"/>
    <m/>
    <m/>
  </r>
  <r>
    <d v="2025-09-01T00:00:00"/>
    <s v="Salary"/>
    <s v="S19014J001"/>
    <s v="MOONSTONE REALINFRA PRIVATE LIMITED"/>
    <n v="1263"/>
    <s v="SHANKAR BASAPPA GAVI"/>
    <s v="Male"/>
    <s v=""/>
    <s v="Nov 25, 2022"/>
    <s v="BNUPG2416C"/>
    <s v="101450766269"/>
    <x v="45"/>
    <s v="ASSISTANT MANAGER"/>
    <x v="0"/>
    <s v="TM"/>
    <s v="PF"/>
    <s v="NA"/>
    <s v=""/>
    <s v=""/>
    <s v="325630092478"/>
    <s v="50100734599528"/>
    <s v="HDFC BANK"/>
    <s v="HDFC0001210"/>
    <n v="30"/>
    <n v="0"/>
    <n v="0"/>
    <n v="30"/>
    <n v="30"/>
    <n v="55900"/>
    <n v="55900"/>
    <n v="25155"/>
    <n v="10062"/>
    <n v="1600"/>
    <n v="200"/>
    <n v="1250"/>
    <n v="2095"/>
    <n v="5031"/>
    <n v="3773"/>
    <n v="252"/>
    <n v="880"/>
    <n v="503"/>
    <n v="126"/>
    <n v="1800"/>
    <n v="3173"/>
    <n v="0"/>
    <n v="0"/>
    <n v="585"/>
    <n v="56485"/>
    <n v="55900"/>
    <n v="0"/>
    <n v="0"/>
    <n v="0"/>
    <n v="200"/>
    <n v="1800"/>
    <n v="0"/>
    <n v="0"/>
    <n v="0"/>
    <n v="0"/>
    <n v="2000"/>
    <n v="54485"/>
    <m/>
    <m/>
  </r>
  <r>
    <d v="2025-09-01T00:00:00"/>
    <s v="Salary"/>
    <s v="S19014J001"/>
    <s v="MOONSTONE REALINFRA PRIVATE LIMITED"/>
    <n v="2218"/>
    <s v="SHANKAR JAGNNATH FARATE"/>
    <s v="Male"/>
    <s v=""/>
    <s v="Sep 15, 2025"/>
    <s v="AATPF9623K"/>
    <s v="102246696731"/>
    <x v="59"/>
    <s v="LISIONING-OFFICER"/>
    <x v="7"/>
    <s v="TM"/>
    <s v="PF"/>
    <s v="NA"/>
    <s v=""/>
    <s v=""/>
    <s v="431958079389"/>
    <s v="50100403586832"/>
    <s v="HDFC BANK"/>
    <s v="HDFC0000103"/>
    <n v="30"/>
    <n v="0"/>
    <n v="0"/>
    <n v="16"/>
    <n v="16"/>
    <n v="53200"/>
    <n v="53200"/>
    <n v="12768"/>
    <n v="5107"/>
    <n v="853"/>
    <n v="200"/>
    <n v="667"/>
    <n v="1064"/>
    <n v="2554"/>
    <n v="1915"/>
    <n v="128"/>
    <n v="447"/>
    <n v="255"/>
    <n v="64"/>
    <n v="1532"/>
    <n v="819"/>
    <n v="0"/>
    <n v="0"/>
    <n v="96"/>
    <n v="28469"/>
    <n v="28373"/>
    <n v="0"/>
    <n v="0"/>
    <n v="0"/>
    <n v="200"/>
    <n v="1532"/>
    <n v="0"/>
    <n v="0"/>
    <n v="0"/>
    <n v="0"/>
    <n v="1732"/>
    <n v="26737"/>
    <m/>
    <m/>
  </r>
  <r>
    <d v="2025-09-01T00:00:00"/>
    <s v="Salary"/>
    <s v="S19014J001"/>
    <s v="MOONSTONE REALINFRA PRIVATE LIMITED"/>
    <n v="1758"/>
    <s v="SHASHIKANT RAJKUMAR BHASKAR"/>
    <s v="Male"/>
    <s v=""/>
    <s v="May 25, 2024"/>
    <s v="DUVPB0713F"/>
    <s v="101916942813"/>
    <x v="9"/>
    <s v="SENIOR ENGINEER"/>
    <x v="0"/>
    <s v="TM"/>
    <s v="PF"/>
    <s v="NA"/>
    <s v=""/>
    <s v=""/>
    <s v="630621029579"/>
    <s v="50100563889297"/>
    <s v="HDFC BANK"/>
    <s v="HDFC0009526"/>
    <n v="30"/>
    <n v="0"/>
    <n v="0"/>
    <n v="30"/>
    <n v="30"/>
    <n v="68220"/>
    <n v="68220"/>
    <n v="30699"/>
    <n v="12280"/>
    <n v="1600"/>
    <n v="200"/>
    <n v="1250"/>
    <n v="2557"/>
    <n v="6140"/>
    <n v="4605"/>
    <n v="307"/>
    <n v="1074"/>
    <n v="614"/>
    <n v="154"/>
    <n v="1800"/>
    <n v="4940"/>
    <n v="0"/>
    <n v="0"/>
    <n v="440"/>
    <n v="68660"/>
    <n v="68220"/>
    <n v="0"/>
    <n v="0"/>
    <n v="0"/>
    <n v="200"/>
    <n v="1800"/>
    <n v="0"/>
    <n v="0"/>
    <n v="0"/>
    <n v="0"/>
    <n v="2000"/>
    <n v="66660"/>
    <m/>
    <m/>
  </r>
  <r>
    <d v="2025-09-01T00:00:00"/>
    <s v="Salary"/>
    <s v="S19014J001"/>
    <s v="MOONSTONE REALINFRA PRIVATE LIMITED"/>
    <n v="1624"/>
    <s v="SHRINATH SITARAM KHANDALE"/>
    <s v="Male"/>
    <s v=""/>
    <s v="Jan 23, 2024"/>
    <s v="BIZPK8142F"/>
    <s v="101215605497"/>
    <x v="22"/>
    <s v="SUPERVISOR"/>
    <x v="0"/>
    <s v="TM"/>
    <s v="PF"/>
    <s v="NA"/>
    <s v=""/>
    <s v=""/>
    <s v="740935311886"/>
    <s v="50100647442391"/>
    <s v="HDFC BANK"/>
    <s v="HDFC0008300"/>
    <n v="30"/>
    <n v="0"/>
    <n v="0"/>
    <n v="30"/>
    <n v="30"/>
    <n v="42042"/>
    <n v="42042"/>
    <n v="18919"/>
    <n v="7568"/>
    <n v="1600"/>
    <n v="200"/>
    <n v="1250"/>
    <n v="1576"/>
    <n v="3784"/>
    <n v="2838"/>
    <n v="189"/>
    <n v="662"/>
    <n v="378"/>
    <n v="95"/>
    <n v="1800"/>
    <n v="1183"/>
    <n v="0"/>
    <n v="2200"/>
    <n v="0"/>
    <n v="44242"/>
    <n v="44242"/>
    <n v="0"/>
    <n v="0"/>
    <n v="0"/>
    <n v="200"/>
    <n v="1800"/>
    <n v="0"/>
    <n v="0"/>
    <n v="0"/>
    <n v="0"/>
    <n v="2000"/>
    <n v="42242"/>
    <m/>
    <m/>
  </r>
  <r>
    <d v="2025-09-01T00:00:00"/>
    <s v="Salary"/>
    <s v="S19014J001"/>
    <s v="MOONSTONE REALINFRA PRIVATE LIMITED"/>
    <n v="1738"/>
    <s v="SHRIVATSA SHRIRANG DESHPANDE"/>
    <s v="Male"/>
    <s v=""/>
    <s v="May 02, 2024"/>
    <s v="CQKPD1013N"/>
    <s v="102074135450"/>
    <x v="33"/>
    <s v="JUNIOR ENGINEER"/>
    <x v="0"/>
    <s v="TM"/>
    <s v="PF"/>
    <s v="NA"/>
    <s v=""/>
    <s v=""/>
    <s v="775752480136"/>
    <s v="50100318176957"/>
    <s v="HDFC BANK"/>
    <s v="HDFC0000007"/>
    <n v="30"/>
    <n v="0"/>
    <n v="0"/>
    <n v="30"/>
    <n v="30"/>
    <n v="35983"/>
    <n v="35983"/>
    <n v="16192"/>
    <n v="6477"/>
    <n v="1600"/>
    <n v="200"/>
    <n v="1250"/>
    <n v="0"/>
    <n v="0"/>
    <n v="0"/>
    <n v="0"/>
    <n v="0"/>
    <n v="0"/>
    <n v="0"/>
    <n v="1800"/>
    <n v="8464"/>
    <n v="0"/>
    <n v="1800"/>
    <n v="0"/>
    <n v="37783"/>
    <n v="37783"/>
    <n v="0"/>
    <n v="0"/>
    <n v="0"/>
    <n v="200"/>
    <n v="1800"/>
    <n v="0"/>
    <n v="0"/>
    <n v="0"/>
    <n v="0"/>
    <n v="2000"/>
    <n v="35783"/>
    <m/>
    <m/>
  </r>
  <r>
    <d v="2025-09-01T00:00:00"/>
    <s v="Salary"/>
    <s v="S19014J001"/>
    <s v="MOONSTONE REALINFRA PRIVATE LIMITED"/>
    <n v="1510"/>
    <s v="SIDDHARTH VIJAY PANDIT"/>
    <s v="Male"/>
    <s v=""/>
    <s v="Aug 24, 2023"/>
    <s v="EQTPP2620G"/>
    <s v="101281441913"/>
    <x v="23"/>
    <s v="ASSISTANT MANAGER"/>
    <x v="1"/>
    <s v="TM"/>
    <s v="PF"/>
    <s v="NA"/>
    <s v=""/>
    <s v=""/>
    <s v="417386289363"/>
    <s v="50100317491982"/>
    <s v="HDFC BANK"/>
    <s v="HDFC0000007"/>
    <n v="30"/>
    <n v="0"/>
    <n v="0"/>
    <n v="15"/>
    <n v="15"/>
    <n v="49307"/>
    <n v="49307"/>
    <n v="11094"/>
    <n v="4438"/>
    <n v="800"/>
    <n v="200"/>
    <n v="625"/>
    <n v="924"/>
    <n v="2219"/>
    <n v="1664"/>
    <n v="111"/>
    <n v="388"/>
    <n v="222"/>
    <n v="55"/>
    <n v="1331"/>
    <n v="583"/>
    <n v="0"/>
    <n v="0"/>
    <n v="0"/>
    <n v="24654"/>
    <n v="24654"/>
    <n v="0"/>
    <n v="0"/>
    <n v="0"/>
    <n v="200"/>
    <n v="1331"/>
    <n v="0"/>
    <n v="0"/>
    <n v="0"/>
    <n v="0"/>
    <n v="1531"/>
    <n v="23123"/>
    <m/>
    <m/>
  </r>
  <r>
    <d v="2025-09-01T00:00:00"/>
    <s v="Salary"/>
    <s v="S19014J001"/>
    <s v="MOONSTONE REALINFRA PRIVATE LIMITED"/>
    <n v="2175"/>
    <s v="SNEHAL PRASHANT WALE"/>
    <s v="Female"/>
    <s v=""/>
    <s v="Jul 15, 2025"/>
    <s v="CHLPK4878N"/>
    <s v="102226028536"/>
    <x v="48"/>
    <s v="MANAGER"/>
    <x v="0"/>
    <s v="TL"/>
    <s v="PF"/>
    <s v="NA"/>
    <s v=""/>
    <s v=""/>
    <s v="499534600849"/>
    <s v="99997798677300"/>
    <s v="HDFC BANK"/>
    <s v="HDFC0001795"/>
    <n v="30"/>
    <n v="0"/>
    <n v="3"/>
    <n v="27"/>
    <n v="27"/>
    <n v="137785"/>
    <n v="137785"/>
    <n v="55803"/>
    <n v="22321"/>
    <n v="1440"/>
    <n v="180"/>
    <n v="1125"/>
    <n v="4648"/>
    <n v="11161"/>
    <n v="8370"/>
    <n v="558"/>
    <n v="1953"/>
    <n v="1116"/>
    <n v="279"/>
    <n v="1800"/>
    <n v="13253"/>
    <n v="0"/>
    <n v="0"/>
    <n v="0"/>
    <n v="124007"/>
    <n v="124007"/>
    <n v="0"/>
    <n v="0"/>
    <n v="0"/>
    <n v="200"/>
    <n v="1800"/>
    <n v="0"/>
    <n v="0"/>
    <n v="0"/>
    <n v="0"/>
    <n v="2000"/>
    <n v="122007"/>
    <m/>
    <m/>
  </r>
  <r>
    <d v="2025-09-01T00:00:00"/>
    <s v="Salary"/>
    <s v="S19014J001"/>
    <s v="MOONSTONE REALINFRA PRIVATE LIMITED"/>
    <n v="1589"/>
    <s v="TAUKEEL RASHID JAMADAR"/>
    <s v="Male"/>
    <s v=""/>
    <s v="Jan 02, 2024"/>
    <s v="CGPPJ6786D"/>
    <s v="102034245800"/>
    <x v="0"/>
    <s v="FIELD ENGINEER"/>
    <x v="0"/>
    <s v="TM"/>
    <s v="PF"/>
    <s v="NA"/>
    <s v=""/>
    <s v=""/>
    <s v="477762356796"/>
    <s v="50100624533482"/>
    <s v="HDFC BANK"/>
    <s v="HDFC0000007"/>
    <n v="30"/>
    <n v="0"/>
    <n v="0"/>
    <n v="30"/>
    <n v="30"/>
    <n v="34250"/>
    <n v="34250"/>
    <n v="15413"/>
    <n v="6165"/>
    <n v="1600"/>
    <n v="200"/>
    <n v="1250"/>
    <n v="0"/>
    <n v="0"/>
    <n v="0"/>
    <n v="0"/>
    <n v="0"/>
    <n v="0"/>
    <n v="0"/>
    <n v="1800"/>
    <n v="7822"/>
    <n v="0"/>
    <n v="0"/>
    <n v="0"/>
    <n v="34250"/>
    <n v="34250"/>
    <n v="0"/>
    <n v="0"/>
    <n v="0"/>
    <n v="200"/>
    <n v="1800"/>
    <n v="0"/>
    <n v="0"/>
    <n v="0"/>
    <n v="0"/>
    <n v="2000"/>
    <n v="32250"/>
    <m/>
    <m/>
  </r>
  <r>
    <d v="2025-09-01T00:00:00"/>
    <s v="Salary"/>
    <s v="S19014J001"/>
    <s v="MOONSTONE REALINFRA PRIVATE LIMITED"/>
    <n v="2069"/>
    <s v="TIPPUSULATAN ABDUL NADAF"/>
    <s v="Male"/>
    <s v=""/>
    <s v="Mar 25, 2025"/>
    <s v="ATNPN5727D"/>
    <s v="102119999896"/>
    <x v="1"/>
    <s v="ASSISTANT PROJECT MANAGER"/>
    <x v="0"/>
    <s v="TL"/>
    <s v="PF"/>
    <s v="NA"/>
    <s v=""/>
    <s v=""/>
    <s v="308508124099"/>
    <s v="50100090742768"/>
    <s v="HDFC BANK"/>
    <s v="HDFC0005554"/>
    <n v="30"/>
    <n v="0"/>
    <n v="0"/>
    <n v="30"/>
    <n v="30"/>
    <n v="70000"/>
    <n v="70000"/>
    <n v="31500"/>
    <n v="12600"/>
    <n v="1600"/>
    <n v="200"/>
    <n v="1250"/>
    <n v="2624"/>
    <n v="6300"/>
    <n v="4725"/>
    <n v="315"/>
    <n v="1103"/>
    <n v="630"/>
    <n v="158"/>
    <n v="1800"/>
    <n v="5195"/>
    <n v="0"/>
    <n v="2000"/>
    <n v="0"/>
    <n v="72000"/>
    <n v="72000"/>
    <n v="0"/>
    <n v="0"/>
    <n v="0"/>
    <n v="200"/>
    <n v="1800"/>
    <n v="0"/>
    <n v="0"/>
    <n v="0"/>
    <n v="0"/>
    <n v="2000"/>
    <n v="70000"/>
    <m/>
    <m/>
  </r>
  <r>
    <d v="2025-09-01T00:00:00"/>
    <s v="Salary"/>
    <s v="S19014J001"/>
    <s v="MOONSTONE REALINFRA PRIVATE LIMITED"/>
    <n v="454"/>
    <s v="Tulsidas Rajeram Jadhav"/>
    <s v="Male"/>
    <s v=""/>
    <s v="Apr 17, 2019"/>
    <s v="AYBPJ9623R"/>
    <s v="101242964024"/>
    <x v="49"/>
    <s v="OFFICE ASSISTANT"/>
    <x v="0"/>
    <s v="TM"/>
    <s v="PF"/>
    <s v="NA"/>
    <s v=""/>
    <s v=""/>
    <s v="229139310763"/>
    <s v="50100459101052"/>
    <s v="HDFC BANK"/>
    <s v="HDFC0002844"/>
    <n v="30"/>
    <n v="0"/>
    <n v="0"/>
    <n v="19"/>
    <n v="19"/>
    <n v="27925"/>
    <n v="27925"/>
    <n v="7959"/>
    <n v="3184"/>
    <n v="1013"/>
    <n v="200"/>
    <n v="792"/>
    <n v="0"/>
    <n v="0"/>
    <n v="0"/>
    <n v="0"/>
    <n v="0"/>
    <n v="0"/>
    <n v="0"/>
    <n v="955"/>
    <n v="3583"/>
    <n v="0"/>
    <n v="0"/>
    <n v="0"/>
    <n v="17686"/>
    <n v="17686"/>
    <n v="0"/>
    <n v="0"/>
    <n v="0"/>
    <n v="200"/>
    <n v="955"/>
    <n v="0"/>
    <n v="0"/>
    <n v="0"/>
    <n v="0"/>
    <n v="1155"/>
    <n v="16531"/>
    <m/>
    <m/>
  </r>
  <r>
    <d v="2025-09-01T00:00:00"/>
    <s v="Salary"/>
    <s v="S19014J001"/>
    <s v="MOONSTONE REALINFRA PRIVATE LIMITED"/>
    <n v="1515"/>
    <s v="UJJWAL PANCHANAN SARKAR"/>
    <s v="Male"/>
    <s v=""/>
    <s v="Sep 01, 2023"/>
    <s v="BNXPS5649Q"/>
    <s v="100536583293"/>
    <x v="36"/>
    <s v="GENERAL MANAGER"/>
    <x v="6"/>
    <s v="GL"/>
    <s v="PF"/>
    <s v="NA"/>
    <s v=""/>
    <s v=""/>
    <s v="893388738382"/>
    <s v="99991683288448"/>
    <s v="HDFC BANK"/>
    <s v="HDFC0000223"/>
    <n v="30"/>
    <n v="0"/>
    <n v="0"/>
    <n v="30"/>
    <n v="30"/>
    <n v="184245"/>
    <n v="184245"/>
    <n v="82910"/>
    <n v="33164"/>
    <n v="1600"/>
    <n v="200"/>
    <n v="1250"/>
    <n v="6906"/>
    <n v="16582"/>
    <n v="12437"/>
    <n v="829"/>
    <n v="2902"/>
    <n v="1658"/>
    <n v="415"/>
    <n v="1800"/>
    <n v="21592"/>
    <n v="0"/>
    <n v="0"/>
    <n v="0"/>
    <n v="184245"/>
    <n v="184245"/>
    <n v="0"/>
    <n v="0"/>
    <n v="26142"/>
    <n v="200"/>
    <n v="1800"/>
    <n v="0"/>
    <n v="0"/>
    <n v="0"/>
    <n v="0"/>
    <n v="28142"/>
    <n v="156103"/>
    <m/>
    <m/>
  </r>
  <r>
    <d v="2025-09-01T00:00:00"/>
    <s v="Salary"/>
    <s v="S19014J001"/>
    <s v="MOONSTONE REALINFRA PRIVATE LIMITED"/>
    <n v="2015"/>
    <s v="VAIJNATH KIRAN DHURVE"/>
    <s v="Male"/>
    <s v=""/>
    <s v="Feb 17, 2025"/>
    <s v="FFEPD0662H"/>
    <s v="102171851953"/>
    <x v="6"/>
    <s v="MANAGEMENT TRAINEE"/>
    <x v="6"/>
    <s v="MT"/>
    <s v="PF"/>
    <s v="NA"/>
    <s v=""/>
    <s v=""/>
    <s v="264600892806"/>
    <s v="50100731565520"/>
    <s v="HDFC BANK"/>
    <s v="HDFC0000007"/>
    <n v="30"/>
    <n v="0"/>
    <n v="0"/>
    <n v="30"/>
    <n v="30"/>
    <n v="56533"/>
    <n v="56533"/>
    <n v="25440"/>
    <n v="10176"/>
    <n v="1600"/>
    <n v="200"/>
    <n v="1250"/>
    <n v="2119"/>
    <n v="5088"/>
    <n v="3816"/>
    <n v="254"/>
    <n v="890"/>
    <n v="509"/>
    <n v="127"/>
    <n v="1800"/>
    <n v="3264"/>
    <n v="0"/>
    <n v="0"/>
    <n v="2636"/>
    <n v="59169"/>
    <n v="56533"/>
    <n v="0"/>
    <n v="0"/>
    <n v="0"/>
    <n v="200"/>
    <n v="1800"/>
    <n v="0"/>
    <n v="0"/>
    <n v="0"/>
    <n v="0"/>
    <n v="2000"/>
    <n v="57169"/>
    <m/>
    <m/>
  </r>
  <r>
    <d v="2025-09-01T00:00:00"/>
    <s v="Salary"/>
    <s v="S19014J001"/>
    <s v="MOONSTONE REALINFRA PRIVATE LIMITED"/>
    <n v="1166"/>
    <s v="VENKATESH AGASAR"/>
    <s v="Male"/>
    <s v=""/>
    <s v="Aug 01, 2022"/>
    <s v="BVSPA7273D"/>
    <s v="101852002045"/>
    <x v="50"/>
    <s v="SENIOR EXECUTIVE"/>
    <x v="0"/>
    <s v="TM"/>
    <s v="PF"/>
    <s v="NA"/>
    <s v=""/>
    <s v=""/>
    <s v="225161825284"/>
    <s v="50100744366803"/>
    <s v="HDFC BANK"/>
    <s v="HDFC0001210"/>
    <n v="30"/>
    <n v="0"/>
    <n v="0"/>
    <n v="30"/>
    <n v="30"/>
    <n v="59983"/>
    <n v="59983"/>
    <n v="26992"/>
    <n v="10797"/>
    <n v="1600"/>
    <n v="200"/>
    <n v="1250"/>
    <n v="2248"/>
    <n v="5398"/>
    <n v="4049"/>
    <n v="270"/>
    <n v="945"/>
    <n v="540"/>
    <n v="135"/>
    <n v="1800"/>
    <n v="3759"/>
    <n v="0"/>
    <n v="400"/>
    <n v="1427"/>
    <n v="61810"/>
    <n v="60383"/>
    <n v="0"/>
    <n v="0"/>
    <n v="0"/>
    <n v="200"/>
    <n v="1800"/>
    <n v="0"/>
    <n v="0"/>
    <n v="0"/>
    <n v="0"/>
    <n v="2000"/>
    <n v="59810"/>
    <m/>
    <m/>
  </r>
  <r>
    <d v="2025-09-01T00:00:00"/>
    <s v="Salary"/>
    <s v="S19014J001"/>
    <s v="MOONSTONE REALINFRA PRIVATE LIMITED"/>
    <n v="247"/>
    <s v="VICKY SONAWANE"/>
    <s v="Male"/>
    <s v=""/>
    <s v="Nov 02, 2017"/>
    <s v="DUIPS5584N"/>
    <s v="101343066494"/>
    <x v="13"/>
    <s v="ADMIN - EXECUTIVE"/>
    <x v="0"/>
    <s v="TM"/>
    <s v="PF"/>
    <s v="NA"/>
    <s v=""/>
    <s v=""/>
    <s v="556127037647"/>
    <s v="50100225745629"/>
    <s v="HDFC BANK"/>
    <s v="HDFC0000633"/>
    <n v="30"/>
    <n v="0"/>
    <n v="0"/>
    <n v="30"/>
    <n v="30"/>
    <n v="34308"/>
    <n v="34308"/>
    <n v="15439"/>
    <n v="6176"/>
    <n v="1600"/>
    <n v="200"/>
    <n v="1250"/>
    <n v="0"/>
    <n v="0"/>
    <n v="0"/>
    <n v="0"/>
    <n v="0"/>
    <n v="0"/>
    <n v="0"/>
    <n v="1800"/>
    <n v="7843"/>
    <n v="0"/>
    <n v="600"/>
    <n v="5418"/>
    <n v="40326"/>
    <n v="34908"/>
    <n v="0"/>
    <n v="0"/>
    <n v="0"/>
    <n v="200"/>
    <n v="1800"/>
    <n v="0"/>
    <n v="0"/>
    <n v="0"/>
    <n v="0"/>
    <n v="2000"/>
    <n v="38326"/>
    <m/>
    <m/>
  </r>
  <r>
    <d v="2025-09-01T00:00:00"/>
    <s v="Salary"/>
    <s v="S19014J001"/>
    <s v="MOONSTONE REALINFRA PRIVATE LIMITED"/>
    <n v="1237"/>
    <s v="VISHAL BHAGWAN BHALERAO"/>
    <s v="Male"/>
    <s v=""/>
    <s v="Nov 04, 2022"/>
    <s v="ASCPB5291L"/>
    <s v="101511554357"/>
    <x v="4"/>
    <s v="Site Supervisor"/>
    <x v="0"/>
    <s v="TM"/>
    <s v="PF"/>
    <s v="NA"/>
    <s v=""/>
    <s v=""/>
    <s v="959686301184"/>
    <s v="50100317490351"/>
    <s v="HDFC BANK"/>
    <s v="HDFC0000007"/>
    <n v="30"/>
    <n v="0"/>
    <n v="2"/>
    <n v="28"/>
    <n v="28"/>
    <n v="31644"/>
    <n v="31644"/>
    <n v="13290"/>
    <n v="5316"/>
    <n v="1493"/>
    <n v="187"/>
    <n v="1167"/>
    <n v="0"/>
    <n v="0"/>
    <n v="0"/>
    <n v="0"/>
    <n v="0"/>
    <n v="0"/>
    <n v="0"/>
    <n v="1595"/>
    <n v="6486"/>
    <n v="0"/>
    <n v="800"/>
    <n v="0"/>
    <n v="30334"/>
    <n v="30334"/>
    <n v="0"/>
    <n v="0"/>
    <n v="0"/>
    <n v="200"/>
    <n v="1595"/>
    <n v="0"/>
    <n v="0"/>
    <n v="0"/>
    <n v="0"/>
    <n v="1795"/>
    <n v="28539"/>
    <m/>
    <m/>
  </r>
  <r>
    <d v="2025-09-01T00:00:00"/>
    <s v="Salary"/>
    <s v="S19014J001"/>
    <s v="MOONSTONE REALINFRA PRIVATE LIMITED"/>
    <n v="1941"/>
    <s v="VISHAL BHAUSAHEB KHAMGAL"/>
    <s v="Male"/>
    <s v=""/>
    <s v="Dec 02, 2024"/>
    <s v="JMIPK9231A"/>
    <s v="101949409807"/>
    <x v="33"/>
    <s v="JUNIOR ENGINEER"/>
    <x v="0"/>
    <s v="TM"/>
    <s v="PF"/>
    <s v="NA"/>
    <s v=""/>
    <s v=""/>
    <s v="664943149815"/>
    <s v="50100390573599"/>
    <s v="HDFC BANK"/>
    <s v="HDFC0000794"/>
    <n v="30"/>
    <n v="0"/>
    <n v="0"/>
    <n v="30"/>
    <n v="30"/>
    <n v="43800"/>
    <n v="43800"/>
    <n v="19710"/>
    <n v="7884"/>
    <n v="1600"/>
    <n v="200"/>
    <n v="1250"/>
    <n v="1642"/>
    <n v="3942"/>
    <n v="2957"/>
    <n v="197"/>
    <n v="690"/>
    <n v="394"/>
    <n v="99"/>
    <n v="1800"/>
    <n v="1435"/>
    <n v="0"/>
    <n v="0"/>
    <n v="440"/>
    <n v="44240"/>
    <n v="43800"/>
    <n v="0"/>
    <n v="0"/>
    <n v="0"/>
    <n v="200"/>
    <n v="1800"/>
    <n v="0"/>
    <n v="0"/>
    <n v="0"/>
    <n v="0"/>
    <n v="2000"/>
    <n v="42240"/>
    <m/>
    <m/>
  </r>
  <r>
    <d v="2025-09-01T00:00:00"/>
    <s v="Salary"/>
    <s v="S19014J001"/>
    <s v="MOONSTONE REALINFRA PRIVATE LIMITED"/>
    <n v="1950"/>
    <s v="VISHAL DILIP GAIKWAD"/>
    <s v="Male"/>
    <s v=""/>
    <s v="Dec 12, 2024"/>
    <s v="AQIPG9250G"/>
    <s v="101589191488"/>
    <x v="4"/>
    <s v="SITE SUPERVISOR"/>
    <x v="0"/>
    <s v="SS"/>
    <s v="PF"/>
    <s v="NA"/>
    <s v=""/>
    <s v=""/>
    <s v="501229058284"/>
    <s v="0607104000125031"/>
    <s v="IDBI BANK"/>
    <s v="IBKL0000607"/>
    <n v="30"/>
    <n v="0"/>
    <n v="0"/>
    <n v="30"/>
    <n v="30"/>
    <n v="35283"/>
    <n v="35283"/>
    <n v="15877"/>
    <n v="6351"/>
    <n v="1600"/>
    <n v="200"/>
    <n v="1250"/>
    <n v="0"/>
    <n v="0"/>
    <n v="0"/>
    <n v="0"/>
    <n v="0"/>
    <n v="0"/>
    <n v="0"/>
    <n v="1800"/>
    <n v="8205"/>
    <n v="0"/>
    <n v="0"/>
    <n v="0"/>
    <n v="35283"/>
    <n v="35283"/>
    <n v="0"/>
    <n v="0"/>
    <n v="0"/>
    <n v="200"/>
    <n v="1800"/>
    <n v="0"/>
    <n v="0"/>
    <n v="0"/>
    <n v="0"/>
    <n v="2000"/>
    <n v="33283"/>
    <m/>
    <m/>
  </r>
  <r>
    <d v="2025-09-01T00:00:00"/>
    <s v="Salary"/>
    <s v="S19014J001"/>
    <s v="MOONSTONE REALINFRA PRIVATE LIMITED"/>
    <n v="1370"/>
    <s v="VISHAL SHANTARAM KORADE"/>
    <s v="Male"/>
    <s v=""/>
    <s v="Apr 10, 2023"/>
    <s v="BLYPK5831K"/>
    <s v="101150007330"/>
    <x v="21"/>
    <s v="EXECUTIVE - ADMIN"/>
    <x v="2"/>
    <s v="TM"/>
    <s v="PF"/>
    <s v="NA"/>
    <s v=""/>
    <s v=""/>
    <s v="491390366032"/>
    <s v="50100624533367"/>
    <s v="HDFC BANK"/>
    <s v="HDFC0000007"/>
    <n v="30"/>
    <n v="0"/>
    <n v="0"/>
    <n v="30"/>
    <n v="30"/>
    <n v="33000"/>
    <n v="33000"/>
    <n v="14850"/>
    <n v="5940"/>
    <n v="1600"/>
    <n v="200"/>
    <n v="1250"/>
    <n v="0"/>
    <n v="0"/>
    <n v="0"/>
    <n v="0"/>
    <n v="0"/>
    <n v="0"/>
    <n v="0"/>
    <n v="1782"/>
    <n v="7378"/>
    <n v="0"/>
    <n v="0"/>
    <n v="0"/>
    <n v="33000"/>
    <n v="33000"/>
    <n v="0"/>
    <n v="0"/>
    <n v="0"/>
    <n v="200"/>
    <n v="1782"/>
    <n v="0"/>
    <n v="0"/>
    <n v="0"/>
    <n v="6250"/>
    <n v="8232"/>
    <n v="24768"/>
    <m/>
    <m/>
  </r>
  <r>
    <d v="2025-09-01T00:00:00"/>
    <s v="Salary"/>
    <s v="S19014J001"/>
    <s v="MOONSTONE REALINFRA PRIVATE LIMITED"/>
    <n v="2049"/>
    <s v="VIVEK VILAS BHOSALE"/>
    <s v="Male"/>
    <s v=""/>
    <s v="Mar 13, 2025"/>
    <s v="EXDPB6825C"/>
    <s v="102055428527"/>
    <x v="6"/>
    <s v="MANAGEMENT TRAINEE"/>
    <x v="0"/>
    <s v="MT"/>
    <s v="PF"/>
    <s v="NA"/>
    <s v=""/>
    <s v=""/>
    <s v="826110651139"/>
    <s v="50100808789342"/>
    <s v="HDFC BANK"/>
    <s v="HDFC0001210"/>
    <n v="30"/>
    <n v="0"/>
    <n v="0"/>
    <n v="30"/>
    <n v="30"/>
    <n v="27713"/>
    <n v="27713"/>
    <n v="12471"/>
    <n v="4988"/>
    <n v="1600"/>
    <n v="200"/>
    <n v="1250"/>
    <n v="0"/>
    <n v="0"/>
    <n v="0"/>
    <n v="0"/>
    <n v="0"/>
    <n v="0"/>
    <n v="0"/>
    <n v="1497"/>
    <n v="5707"/>
    <n v="0"/>
    <n v="0"/>
    <n v="973"/>
    <n v="28686"/>
    <n v="27713"/>
    <n v="0"/>
    <n v="160"/>
    <n v="0"/>
    <n v="200"/>
    <n v="1497"/>
    <n v="0"/>
    <n v="0"/>
    <n v="0"/>
    <n v="0"/>
    <n v="1857"/>
    <n v="26829"/>
    <m/>
    <m/>
  </r>
  <r>
    <d v="2025-09-01T00:00:00"/>
    <s v="Salary"/>
    <s v="S19014J001"/>
    <s v="MOONSTONE REALINFRA PRIVATE LIMITED"/>
    <n v="1121"/>
    <s v="YASH HARESH DAGHA"/>
    <s v="Male"/>
    <s v=""/>
    <s v="Jun 15, 2022"/>
    <s v="ASJPD7716K"/>
    <s v="101459690850"/>
    <x v="42"/>
    <s v="SENIOR MANAGER - RESI. SALES"/>
    <x v="6"/>
    <s v="TL"/>
    <s v="PF"/>
    <s v="NA"/>
    <s v=""/>
    <s v=""/>
    <s v="975613704897"/>
    <s v="50100489634680"/>
    <s v="HDFC BANK"/>
    <s v="HDFC0000163"/>
    <n v="30"/>
    <n v="0"/>
    <n v="0"/>
    <n v="30"/>
    <n v="30"/>
    <n v="206500"/>
    <n v="206500"/>
    <n v="92925"/>
    <n v="37170"/>
    <n v="1600"/>
    <n v="200"/>
    <n v="1250"/>
    <n v="7741"/>
    <n v="18585"/>
    <n v="13939"/>
    <n v="929"/>
    <n v="3252"/>
    <n v="1859"/>
    <n v="465"/>
    <n v="1800"/>
    <n v="24785"/>
    <n v="0"/>
    <n v="0"/>
    <n v="18599"/>
    <n v="225099"/>
    <n v="206500"/>
    <n v="0"/>
    <n v="0"/>
    <n v="40641"/>
    <n v="200"/>
    <n v="1800"/>
    <n v="0"/>
    <n v="0"/>
    <n v="0"/>
    <n v="0"/>
    <n v="42641"/>
    <n v="182458"/>
    <m/>
    <m/>
  </r>
  <r>
    <d v="2025-09-01T00:00:00"/>
    <s v="Salary"/>
    <s v="S19014J001"/>
    <s v="MOONSTONE REALINFRA PRIVATE LIMITED"/>
    <n v="1496"/>
    <s v="YOGESH KALIDAS PAWAR"/>
    <s v="Male"/>
    <s v=""/>
    <s v="Aug 01, 2023"/>
    <s v="ASXPP0952H"/>
    <s v="101235805115"/>
    <x v="9"/>
    <s v="SENIOR ENGINEER"/>
    <x v="0"/>
    <s v="TM"/>
    <s v="PF"/>
    <s v="NA"/>
    <s v=""/>
    <s v=""/>
    <s v="487287182825"/>
    <s v="50100505734101"/>
    <s v="HDFC BANK"/>
    <s v="HDFC0000039"/>
    <n v="30"/>
    <n v="0"/>
    <n v="0"/>
    <n v="30"/>
    <n v="30"/>
    <n v="55383"/>
    <n v="55383"/>
    <n v="24922"/>
    <n v="9969"/>
    <n v="1600"/>
    <n v="200"/>
    <n v="1250"/>
    <n v="2076"/>
    <n v="4984"/>
    <n v="3738"/>
    <n v="249"/>
    <n v="872"/>
    <n v="498"/>
    <n v="125"/>
    <n v="1800"/>
    <n v="3100"/>
    <n v="0"/>
    <n v="0"/>
    <n v="0"/>
    <n v="55383"/>
    <n v="55383"/>
    <n v="0"/>
    <n v="0"/>
    <n v="0"/>
    <n v="200"/>
    <n v="1800"/>
    <n v="0"/>
    <n v="0"/>
    <n v="0"/>
    <n v="0"/>
    <n v="2000"/>
    <n v="53383"/>
    <m/>
    <m/>
  </r>
  <r>
    <d v="2025-10-01T00:00:00"/>
    <s v="Salary"/>
    <s v="S19014J001"/>
    <s v="MOONSTONE REALINFRA PRIVATE LIMITED"/>
    <n v="1488"/>
    <s v="AAKASH ARVIND SHELAR"/>
    <s v="Male"/>
    <s v=""/>
    <s v="Jul 28, 2023"/>
    <s v="CKIPS7322F"/>
    <s v="101208002832"/>
    <x v="0"/>
    <s v="FIELD ENGINEER"/>
    <x v="0"/>
    <s v="TM"/>
    <s v="PF"/>
    <s v="NA"/>
    <s v=""/>
    <s v=""/>
    <s v="201223935020"/>
    <s v="50100317873546"/>
    <s v="HDFC BANK"/>
    <s v="HDFC0000007"/>
    <n v="31"/>
    <n v="0"/>
    <n v="0"/>
    <n v="31"/>
    <n v="31"/>
    <n v="42989"/>
    <n v="42989"/>
    <n v="19345"/>
    <n v="7738"/>
    <n v="1600"/>
    <n v="200"/>
    <n v="1250"/>
    <n v="1611"/>
    <n v="3869"/>
    <n v="2902"/>
    <n v="193"/>
    <n v="677"/>
    <n v="387"/>
    <n v="97"/>
    <n v="1800"/>
    <n v="1320"/>
    <n v="0"/>
    <n v="2800"/>
    <n v="567"/>
    <n v="46356"/>
    <n v="45789"/>
    <n v="0"/>
    <n v="0"/>
    <n v="0"/>
    <n v="200"/>
    <n v="1800"/>
    <n v="0"/>
    <n v="0"/>
    <n v="0"/>
    <n v="0"/>
    <n v="2000"/>
    <n v="44356"/>
    <m/>
    <m/>
  </r>
  <r>
    <d v="2025-10-01T00:00:00"/>
    <s v="Salary"/>
    <s v="S19014J001"/>
    <s v="MOONSTONE REALINFRA PRIVATE LIMITED"/>
    <n v="241"/>
    <s v="ABHIJIT SHEWALE"/>
    <s v="Male"/>
    <s v=""/>
    <s v="May 17, 2016"/>
    <s v="BDYPS3411D"/>
    <s v="101411999470"/>
    <x v="1"/>
    <s v="ASSITANT PROJECT MANAGER"/>
    <x v="0"/>
    <s v="TL"/>
    <s v="PF"/>
    <s v="NA"/>
    <s v=""/>
    <s v=""/>
    <s v="229249842338"/>
    <s v="50100745804232"/>
    <s v="HDFC BANK"/>
    <s v="HDFC0001791"/>
    <n v="31"/>
    <n v="0"/>
    <n v="8"/>
    <n v="23"/>
    <n v="23"/>
    <n v="66833"/>
    <n v="66833"/>
    <n v="22314"/>
    <n v="8926"/>
    <n v="1187"/>
    <n v="148"/>
    <n v="927"/>
    <n v="1859"/>
    <n v="4463"/>
    <n v="3347"/>
    <n v="223"/>
    <n v="781"/>
    <n v="446"/>
    <n v="112"/>
    <n v="1800"/>
    <n v="3053"/>
    <n v="0"/>
    <n v="0"/>
    <n v="0"/>
    <n v="49586"/>
    <n v="49586"/>
    <n v="0"/>
    <n v="0"/>
    <n v="0"/>
    <n v="200"/>
    <n v="1800"/>
    <n v="0"/>
    <n v="0"/>
    <n v="0"/>
    <n v="0"/>
    <n v="2000"/>
    <n v="47586"/>
    <m/>
    <m/>
  </r>
  <r>
    <d v="2025-10-01T00:00:00"/>
    <s v="Salary"/>
    <s v="S19014J001"/>
    <s v="MOONSTONE REALINFRA PRIVATE LIMITED"/>
    <n v="2163"/>
    <s v="AJAY ANIRUDDHA VAIDYA"/>
    <s v="Male"/>
    <s v=""/>
    <s v="Jul 08, 2025"/>
    <s v="AFVPV5692P"/>
    <s v="102185382695"/>
    <x v="38"/>
    <s v="GENERAL MANAGER"/>
    <x v="0"/>
    <s v="GL"/>
    <s v="PF"/>
    <s v="NA"/>
    <s v=""/>
    <s v=""/>
    <s v="806537391280"/>
    <s v="50100582779333"/>
    <s v="HDFC BANK"/>
    <s v="HDFC0001445"/>
    <n v="31"/>
    <n v="0"/>
    <n v="2"/>
    <n v="29"/>
    <n v="29"/>
    <n v="235700"/>
    <n v="235700"/>
    <n v="99222"/>
    <n v="39689"/>
    <n v="1497"/>
    <n v="187"/>
    <n v="1169"/>
    <n v="8265"/>
    <n v="19844"/>
    <n v="14883"/>
    <n v="992"/>
    <n v="3473"/>
    <n v="1984"/>
    <n v="496"/>
    <n v="1800"/>
    <n v="26993"/>
    <n v="0"/>
    <n v="0"/>
    <n v="815"/>
    <n v="221309"/>
    <n v="220494"/>
    <n v="0"/>
    <n v="3898"/>
    <n v="21608"/>
    <n v="200"/>
    <n v="1800"/>
    <n v="0"/>
    <n v="0"/>
    <n v="0"/>
    <n v="0"/>
    <n v="27506"/>
    <n v="193803"/>
    <m/>
    <m/>
  </r>
  <r>
    <d v="2025-10-01T00:00:00"/>
    <s v="Salary"/>
    <s v="S19014J001"/>
    <s v="MOONSTONE REALINFRA PRIVATE LIMITED"/>
    <n v="2020"/>
    <s v="AJAY KUMAR GUPTA"/>
    <s v="Male"/>
    <s v=""/>
    <s v="Feb 24, 2025"/>
    <s v="ASQPG3376F"/>
    <s v="102171897914"/>
    <x v="2"/>
    <s v="DEPUTY MANAGER"/>
    <x v="1"/>
    <s v="TM"/>
    <s v="PF"/>
    <s v="NA"/>
    <s v=""/>
    <s v=""/>
    <s v="877766770711"/>
    <s v="50100732468640"/>
    <s v="HDFC BANK"/>
    <s v="HDFC0000007"/>
    <n v="31"/>
    <n v="0"/>
    <n v="0"/>
    <n v="31"/>
    <n v="31"/>
    <n v="68450"/>
    <n v="68450"/>
    <n v="30803"/>
    <n v="12321"/>
    <n v="1600"/>
    <n v="200"/>
    <n v="1250"/>
    <n v="2566"/>
    <n v="6161"/>
    <n v="4620"/>
    <n v="308"/>
    <n v="1078"/>
    <n v="616"/>
    <n v="154"/>
    <n v="1800"/>
    <n v="4973"/>
    <n v="0"/>
    <n v="0"/>
    <n v="0"/>
    <n v="68450"/>
    <n v="68450"/>
    <n v="0"/>
    <n v="0"/>
    <n v="0"/>
    <n v="200"/>
    <n v="1800"/>
    <n v="0"/>
    <n v="0"/>
    <n v="0"/>
    <n v="0"/>
    <n v="2000"/>
    <n v="66450"/>
    <m/>
    <m/>
  </r>
  <r>
    <d v="2025-10-01T00:00:00"/>
    <s v="Salary"/>
    <s v="S19014J001"/>
    <s v="MOONSTONE REALINFRA PRIVATE LIMITED"/>
    <n v="1770"/>
    <s v="AJIT KUMAR"/>
    <s v="Male"/>
    <s v=""/>
    <s v="Jun 03, 2024"/>
    <s v="BJLPK0917M"/>
    <s v="101437448909"/>
    <x v="52"/>
    <s v="DEPUTY MANAGER - RESI. SALES"/>
    <x v="6"/>
    <s v="TM"/>
    <s v="PF"/>
    <s v="NA"/>
    <s v=""/>
    <s v=""/>
    <s v="447833121308"/>
    <s v="50100390591634"/>
    <s v="HDFC BANK"/>
    <s v="HDFC0001794"/>
    <n v="31"/>
    <n v="0"/>
    <n v="0"/>
    <n v="18"/>
    <n v="18"/>
    <n v="109350"/>
    <n v="109350"/>
    <n v="28572"/>
    <n v="11429"/>
    <n v="929"/>
    <n v="200"/>
    <n v="726"/>
    <n v="2380"/>
    <n v="5714"/>
    <n v="4286"/>
    <n v="286"/>
    <n v="1000"/>
    <n v="571"/>
    <n v="143"/>
    <n v="1800"/>
    <n v="5458"/>
    <n v="0"/>
    <n v="0"/>
    <n v="0"/>
    <n v="63494"/>
    <n v="63494"/>
    <n v="0"/>
    <n v="0"/>
    <n v="7548"/>
    <n v="200"/>
    <n v="1800"/>
    <n v="0"/>
    <n v="0"/>
    <n v="0"/>
    <n v="0"/>
    <n v="9548"/>
    <n v="53946"/>
    <m/>
    <m/>
  </r>
  <r>
    <d v="2025-10-01T00:00:00"/>
    <s v="Salary"/>
    <s v="S19014J001"/>
    <s v="MOONSTONE REALINFRA PRIVATE LIMITED"/>
    <n v="2072"/>
    <s v="AMIT VILASRAO MALWADE"/>
    <s v="Male"/>
    <s v=""/>
    <s v="Apr 01, 2025"/>
    <s v="BYWPM1111R"/>
    <s v="100098825740"/>
    <x v="3"/>
    <s v="SENIOR MANAGER - MEP"/>
    <x v="0"/>
    <s v="TL"/>
    <s v="PF"/>
    <s v="NA"/>
    <s v=""/>
    <s v=""/>
    <s v="572207945645"/>
    <s v="50100288775748"/>
    <s v="HDFC BANK"/>
    <s v="HDFC0001578"/>
    <n v="31"/>
    <n v="0"/>
    <n v="0"/>
    <n v="31"/>
    <n v="31"/>
    <n v="123200"/>
    <n v="123200"/>
    <n v="55440"/>
    <n v="22176"/>
    <n v="1600"/>
    <n v="200"/>
    <n v="1250"/>
    <n v="4618"/>
    <n v="11088"/>
    <n v="8316"/>
    <n v="554"/>
    <n v="1940"/>
    <n v="1109"/>
    <n v="277"/>
    <n v="1800"/>
    <n v="12832"/>
    <n v="0"/>
    <n v="0"/>
    <n v="621"/>
    <n v="123821"/>
    <n v="123200"/>
    <n v="0"/>
    <n v="0"/>
    <n v="6767"/>
    <n v="200"/>
    <n v="1800"/>
    <n v="0"/>
    <n v="0"/>
    <n v="0"/>
    <n v="0"/>
    <n v="8767"/>
    <n v="115054"/>
    <m/>
    <m/>
  </r>
  <r>
    <d v="2025-10-01T00:00:00"/>
    <s v="Salary"/>
    <s v="S19014J001"/>
    <s v="MOONSTONE REALINFRA PRIVATE LIMITED"/>
    <n v="1440"/>
    <s v="AMOL BHANUDAS LOKHANDE"/>
    <s v="Male"/>
    <s v=""/>
    <s v="Jun 07, 2023"/>
    <s v="AFPPL3898F"/>
    <s v="101428013109"/>
    <x v="4"/>
    <s v="Site Supervisor"/>
    <x v="0"/>
    <s v="TM"/>
    <s v="PF"/>
    <s v="NA"/>
    <s v=""/>
    <s v=""/>
    <s v="311191516453"/>
    <s v="50100317873701"/>
    <s v="HDFC BANK"/>
    <s v="HDFC0000007"/>
    <n v="31"/>
    <n v="0"/>
    <n v="0.5"/>
    <n v="30.5"/>
    <n v="30.5"/>
    <n v="38617"/>
    <n v="38617"/>
    <n v="17097"/>
    <n v="6839"/>
    <n v="1574"/>
    <n v="197"/>
    <n v="1230"/>
    <n v="0"/>
    <n v="0"/>
    <n v="0"/>
    <n v="0"/>
    <n v="0"/>
    <n v="0"/>
    <n v="0"/>
    <n v="1800"/>
    <n v="9257"/>
    <n v="0"/>
    <n v="0"/>
    <n v="0"/>
    <n v="37994"/>
    <n v="37994"/>
    <n v="0"/>
    <n v="0"/>
    <n v="0"/>
    <n v="200"/>
    <n v="1800"/>
    <n v="0"/>
    <n v="0"/>
    <n v="0"/>
    <n v="0"/>
    <n v="2000"/>
    <n v="35994"/>
    <m/>
    <m/>
  </r>
  <r>
    <d v="2025-10-01T00:00:00"/>
    <s v="Salary"/>
    <s v="S19014J001"/>
    <s v="MOONSTONE REALINFRA PRIVATE LIMITED"/>
    <n v="1484"/>
    <s v="ANNU PRIYA SINGH"/>
    <s v="Female"/>
    <s v=""/>
    <s v="Jul 21, 2023"/>
    <s v="BMKPP0899K"/>
    <s v="101703468619"/>
    <x v="53"/>
    <s v="SENIOR MANAGER"/>
    <x v="6"/>
    <s v="TL"/>
    <s v="PF"/>
    <s v="NA"/>
    <s v=""/>
    <s v=""/>
    <s v="492782446574"/>
    <s v="99996206293744"/>
    <s v="HDFC BANK"/>
    <s v="HDFC0000007"/>
    <n v="31"/>
    <n v="0"/>
    <n v="0"/>
    <n v="31"/>
    <n v="31"/>
    <n v="111343"/>
    <n v="111343"/>
    <n v="50104"/>
    <n v="20042"/>
    <n v="1600"/>
    <n v="200"/>
    <n v="1250"/>
    <n v="4174"/>
    <n v="10021"/>
    <n v="7516"/>
    <n v="501"/>
    <n v="1754"/>
    <n v="1002"/>
    <n v="251"/>
    <n v="1800"/>
    <n v="11128"/>
    <n v="0"/>
    <n v="0"/>
    <n v="0"/>
    <n v="111343"/>
    <n v="111343"/>
    <n v="0"/>
    <n v="0"/>
    <n v="8736"/>
    <n v="200"/>
    <n v="1800"/>
    <n v="0"/>
    <n v="0"/>
    <n v="0"/>
    <n v="0"/>
    <n v="10736"/>
    <n v="100607"/>
    <m/>
    <m/>
  </r>
  <r>
    <d v="2025-10-01T00:00:00"/>
    <s v="Salary"/>
    <s v="S19014J001"/>
    <s v="MOONSTONE REALINFRA PRIVATE LIMITED"/>
    <n v="2216"/>
    <s v="AVINASH NANASAHEB GAGARE"/>
    <s v="Male"/>
    <s v=""/>
    <s v="Sep 15, 2025"/>
    <s v="AWHPG2500N"/>
    <s v="101839693043"/>
    <x v="45"/>
    <s v="ASSISTANT MANAGER"/>
    <x v="5"/>
    <s v="TM"/>
    <s v="PF"/>
    <s v="NA"/>
    <s v=""/>
    <s v=""/>
    <s v="687922588113"/>
    <s v="50100730455272"/>
    <s v="HDFC BANK"/>
    <s v="HDFC0009332"/>
    <n v="31"/>
    <n v="0"/>
    <n v="0"/>
    <n v="31"/>
    <n v="31"/>
    <n v="65700"/>
    <n v="65700"/>
    <n v="29565"/>
    <n v="11826"/>
    <n v="1600"/>
    <n v="200"/>
    <n v="1250"/>
    <n v="2463"/>
    <n v="5913"/>
    <n v="4435"/>
    <n v="296"/>
    <n v="1035"/>
    <n v="591"/>
    <n v="148"/>
    <n v="1800"/>
    <n v="4578"/>
    <n v="0"/>
    <n v="0"/>
    <n v="0"/>
    <n v="65700"/>
    <n v="65700"/>
    <n v="0"/>
    <n v="0"/>
    <n v="0"/>
    <n v="200"/>
    <n v="1800"/>
    <n v="0"/>
    <n v="0"/>
    <n v="0"/>
    <n v="0"/>
    <n v="2000"/>
    <n v="63700"/>
    <m/>
    <m/>
  </r>
  <r>
    <d v="2025-10-01T00:00:00"/>
    <s v="Salary"/>
    <s v="S19014J001"/>
    <s v="MOONSTONE REALINFRA PRIVATE LIMITED"/>
    <n v="2247"/>
    <s v="BAJARANG V CHAUGULE"/>
    <s v="Male"/>
    <s v=""/>
    <s v="Oct 07, 2025"/>
    <s v="ANJPC4768M"/>
    <s v="102257230707"/>
    <x v="43"/>
    <s v="MANAGER"/>
    <x v="0"/>
    <s v="TM"/>
    <s v="PF"/>
    <s v="NA"/>
    <s v=""/>
    <s v=""/>
    <s v="222947030647"/>
    <s v="50100216811030"/>
    <s v="HDFC BANK"/>
    <s v="HDFC0001783"/>
    <n v="31"/>
    <n v="0"/>
    <n v="0"/>
    <n v="25"/>
    <n v="25"/>
    <n v="88200"/>
    <n v="88200"/>
    <n v="32008"/>
    <n v="12803"/>
    <n v="1290"/>
    <n v="200"/>
    <n v="1008"/>
    <n v="2666"/>
    <n v="6402"/>
    <n v="4801"/>
    <n v="320"/>
    <n v="1120"/>
    <n v="640"/>
    <n v="160"/>
    <n v="1800"/>
    <n v="5911"/>
    <n v="0"/>
    <n v="0"/>
    <n v="0"/>
    <n v="71129"/>
    <n v="71129"/>
    <n v="0"/>
    <n v="0"/>
    <n v="0"/>
    <n v="200"/>
    <n v="1800"/>
    <n v="0"/>
    <n v="0"/>
    <n v="0"/>
    <n v="0"/>
    <n v="2000"/>
    <n v="69129"/>
    <m/>
    <m/>
  </r>
  <r>
    <d v="2025-10-01T00:00:00"/>
    <s v="Salary"/>
    <s v="S19014J001"/>
    <s v="MOONSTONE REALINFRA PRIVATE LIMITED"/>
    <n v="1599"/>
    <s v="BHAVESH SHANKAR WANI"/>
    <s v="Male"/>
    <s v=""/>
    <s v="Jan 09, 2024"/>
    <s v="AGNPW7537K"/>
    <s v="102034237231"/>
    <x v="54"/>
    <s v="ASSISTANT MANAGER - RESI. SALES"/>
    <x v="6"/>
    <s v="TM"/>
    <s v="PF"/>
    <s v="NA"/>
    <s v=""/>
    <s v=""/>
    <s v="467176812861"/>
    <s v="50100394142702"/>
    <s v="HDFC BANK"/>
    <s v="HDFC0001785"/>
    <n v="31"/>
    <n v="0"/>
    <n v="0"/>
    <n v="31"/>
    <n v="31"/>
    <n v="51640"/>
    <n v="51640"/>
    <n v="23238"/>
    <n v="9295"/>
    <n v="1600"/>
    <n v="200"/>
    <n v="1250"/>
    <n v="1936"/>
    <n v="4648"/>
    <n v="3486"/>
    <n v="232"/>
    <n v="813"/>
    <n v="465"/>
    <n v="116"/>
    <n v="1800"/>
    <n v="2561"/>
    <n v="0"/>
    <n v="0"/>
    <n v="1606"/>
    <n v="53246"/>
    <n v="51640"/>
    <n v="0"/>
    <n v="0"/>
    <n v="0"/>
    <n v="200"/>
    <n v="1800"/>
    <n v="0"/>
    <n v="0"/>
    <n v="0"/>
    <n v="0"/>
    <n v="2000"/>
    <n v="51246"/>
    <m/>
    <m/>
  </r>
  <r>
    <d v="2025-10-01T00:00:00"/>
    <s v="Salary"/>
    <s v="S19014J001"/>
    <s v="MOONSTONE REALINFRA PRIVATE LIMITED"/>
    <n v="1180"/>
    <s v="BHUJBAL SAGAR DNYANESHWAR"/>
    <s v="Male"/>
    <s v=""/>
    <s v="Sep 12, 2022"/>
    <s v="DQJPB2913K"/>
    <s v="101457017133"/>
    <x v="7"/>
    <s v="EXECUTIVE - POSSESSION"/>
    <x v="2"/>
    <s v="TM"/>
    <s v="PF"/>
    <s v="NA"/>
    <s v=""/>
    <s v=""/>
    <s v="241411121642"/>
    <s v="0600104000093754"/>
    <s v="HDFC BANK"/>
    <s v="IBKL0000600"/>
    <n v="31"/>
    <n v="0"/>
    <n v="0"/>
    <n v="31"/>
    <n v="31"/>
    <n v="28042"/>
    <n v="28042"/>
    <n v="12619"/>
    <n v="5048"/>
    <n v="1600"/>
    <n v="200"/>
    <n v="1250"/>
    <n v="0"/>
    <n v="0"/>
    <n v="0"/>
    <n v="0"/>
    <n v="0"/>
    <n v="0"/>
    <n v="0"/>
    <n v="1514"/>
    <n v="5811"/>
    <n v="0"/>
    <n v="0"/>
    <n v="1038"/>
    <n v="29080"/>
    <n v="28042"/>
    <n v="0"/>
    <n v="0"/>
    <n v="0"/>
    <n v="200"/>
    <n v="1514"/>
    <n v="0"/>
    <n v="0"/>
    <n v="0"/>
    <n v="0"/>
    <n v="1714"/>
    <n v="27366"/>
    <m/>
    <m/>
  </r>
  <r>
    <d v="2025-10-01T00:00:00"/>
    <s v="Salary"/>
    <s v="S19014J001"/>
    <s v="MOONSTONE REALINFRA PRIVATE LIMITED"/>
    <n v="48"/>
    <s v="BHUSHAN MADANLAL LUNKAD"/>
    <s v="Male"/>
    <s v=""/>
    <s v="Sep 05, 2015"/>
    <s v="ADTPL6823A"/>
    <s v="101487437414"/>
    <x v="8"/>
    <s v="MANAGER - A &amp; O"/>
    <x v="6"/>
    <s v="TL"/>
    <s v="PF"/>
    <s v="NA"/>
    <s v=""/>
    <s v=""/>
    <s v="991187937886"/>
    <s v="00521050124966"/>
    <s v="HDFC BANK"/>
    <s v="HDFC0000052"/>
    <n v="31"/>
    <n v="0"/>
    <n v="0"/>
    <n v="31"/>
    <n v="31"/>
    <n v="107967"/>
    <n v="107967"/>
    <n v="48585"/>
    <n v="19434"/>
    <n v="1600"/>
    <n v="200"/>
    <n v="1250"/>
    <n v="4047"/>
    <n v="9717"/>
    <n v="7288"/>
    <n v="486"/>
    <n v="1700"/>
    <n v="972"/>
    <n v="243"/>
    <n v="1800"/>
    <n v="10645"/>
    <n v="0"/>
    <n v="0"/>
    <n v="902"/>
    <n v="108869"/>
    <n v="107967"/>
    <n v="0"/>
    <n v="0"/>
    <n v="5903"/>
    <n v="200"/>
    <n v="1800"/>
    <n v="0"/>
    <n v="0"/>
    <n v="0"/>
    <n v="15000"/>
    <n v="22903"/>
    <n v="85966"/>
    <m/>
    <m/>
  </r>
  <r>
    <d v="2025-10-01T00:00:00"/>
    <s v="Salary"/>
    <s v="S19014J001"/>
    <s v="MOONSTONE REALINFRA PRIVATE LIMITED"/>
    <n v="2246"/>
    <s v="BHUSHAN SATISH DESHPANDE"/>
    <s v="Male"/>
    <s v=""/>
    <s v="Oct 14, 2025"/>
    <s v="AHUPD7618N"/>
    <s v="101156996356"/>
    <x v="60"/>
    <s v="SENIOR MANAGER"/>
    <x v="0"/>
    <s v="TL"/>
    <s v="PF"/>
    <s v="NA"/>
    <s v=""/>
    <s v=""/>
    <s v="225825367425"/>
    <s v="01031050120083"/>
    <s v="HDFC BANK"/>
    <s v="HDFC0000103"/>
    <n v="31"/>
    <n v="0"/>
    <n v="0"/>
    <n v="18"/>
    <n v="18"/>
    <n v="123200"/>
    <n v="123200"/>
    <n v="32191"/>
    <n v="12876"/>
    <n v="929"/>
    <n v="200"/>
    <n v="726"/>
    <n v="2682"/>
    <n v="6438"/>
    <n v="4829"/>
    <n v="322"/>
    <n v="1127"/>
    <n v="644"/>
    <n v="161"/>
    <n v="1800"/>
    <n v="6610"/>
    <n v="0"/>
    <n v="0"/>
    <n v="0"/>
    <n v="71535"/>
    <n v="71535"/>
    <n v="0"/>
    <n v="0"/>
    <n v="0"/>
    <n v="200"/>
    <n v="1800"/>
    <n v="0"/>
    <n v="0"/>
    <n v="0"/>
    <n v="0"/>
    <n v="2000"/>
    <n v="69535"/>
    <m/>
    <m/>
  </r>
  <r>
    <d v="2025-10-01T00:00:00"/>
    <s v="Salary"/>
    <s v="S19014J001"/>
    <s v="MOONSTONE REALINFRA PRIVATE LIMITED"/>
    <n v="2017"/>
    <s v="DHAIRYA PRASAD"/>
    <s v="Male"/>
    <s v=""/>
    <s v="Feb 17, 2025"/>
    <s v="EPBPP8390Q"/>
    <s v="102171851924"/>
    <x v="6"/>
    <s v="MANAGEMENT TRAINEE"/>
    <x v="6"/>
    <s v="MT"/>
    <s v="PF"/>
    <s v="NA"/>
    <s v=""/>
    <s v=""/>
    <s v="851362488850"/>
    <s v="50100731565504"/>
    <s v="HDFC BANK"/>
    <s v="HDFC0000007"/>
    <n v="31"/>
    <n v="0"/>
    <n v="0"/>
    <n v="31"/>
    <n v="31"/>
    <n v="56533"/>
    <n v="56533"/>
    <n v="25440"/>
    <n v="10176"/>
    <n v="1600"/>
    <n v="200"/>
    <n v="1250"/>
    <n v="2119"/>
    <n v="5088"/>
    <n v="3816"/>
    <n v="254"/>
    <n v="890"/>
    <n v="509"/>
    <n v="127"/>
    <n v="1800"/>
    <n v="3264"/>
    <n v="0"/>
    <n v="0"/>
    <n v="1902"/>
    <n v="58435"/>
    <n v="56533"/>
    <n v="0"/>
    <n v="0"/>
    <n v="0"/>
    <n v="200"/>
    <n v="1800"/>
    <n v="0"/>
    <n v="0"/>
    <n v="0"/>
    <n v="0"/>
    <n v="2000"/>
    <n v="56435"/>
    <m/>
    <m/>
  </r>
  <r>
    <d v="2025-10-01T00:00:00"/>
    <s v="Salary"/>
    <s v="S19014J001"/>
    <s v="MOONSTONE REALINFRA PRIVATE LIMITED"/>
    <n v="1914"/>
    <s v="DHANAJI ARJUN MALI"/>
    <s v="Male"/>
    <s v=""/>
    <s v="Nov 11, 2024"/>
    <s v="DBNPM8263C"/>
    <s v="101816559661"/>
    <x v="9"/>
    <s v="SENIOR ENGINEER"/>
    <x v="0"/>
    <s v="TM"/>
    <s v="PF"/>
    <s v="NA"/>
    <s v=""/>
    <s v=""/>
    <s v="450862785164"/>
    <s v="50100769916547"/>
    <s v="HDFC BANK"/>
    <s v="HDFC0001210"/>
    <n v="31"/>
    <n v="0"/>
    <n v="0"/>
    <n v="31"/>
    <n v="31"/>
    <n v="74033"/>
    <n v="74033"/>
    <n v="33315"/>
    <n v="13326"/>
    <n v="1600"/>
    <n v="200"/>
    <n v="1250"/>
    <n v="2775"/>
    <n v="6663"/>
    <n v="4997"/>
    <n v="333"/>
    <n v="1166"/>
    <n v="666"/>
    <n v="167"/>
    <n v="1800"/>
    <n v="5775"/>
    <n v="0"/>
    <n v="0"/>
    <n v="1540"/>
    <n v="75573"/>
    <n v="74033"/>
    <n v="0"/>
    <n v="0"/>
    <n v="0"/>
    <n v="200"/>
    <n v="1800"/>
    <n v="0"/>
    <n v="0"/>
    <n v="0"/>
    <n v="0"/>
    <n v="2000"/>
    <n v="73573"/>
    <m/>
    <m/>
  </r>
  <r>
    <d v="2025-10-01T00:00:00"/>
    <s v="Salary"/>
    <s v="S19014J001"/>
    <s v="MOONSTONE REALINFRA PRIVATE LIMITED"/>
    <n v="2186"/>
    <s v="DIPAK MAGAN KHAJURE"/>
    <s v="Male"/>
    <s v=""/>
    <s v="Aug 11, 2025"/>
    <s v="HZWPK8086G"/>
    <s v="101305133627"/>
    <x v="39"/>
    <s v="SENIOR EXECUTIVE - MIS"/>
    <x v="6"/>
    <s v="TM"/>
    <s v="PF"/>
    <s v="NA"/>
    <s v=""/>
    <s v=""/>
    <s v="620286516208"/>
    <s v="50100820320194"/>
    <s v="HDFC BANK"/>
    <s v="HDFC0000007"/>
    <n v="31"/>
    <n v="0"/>
    <n v="0"/>
    <n v="31"/>
    <n v="31"/>
    <n v="63200"/>
    <n v="63200"/>
    <n v="28440"/>
    <n v="11376"/>
    <n v="1600"/>
    <n v="200"/>
    <n v="1250"/>
    <n v="2369"/>
    <n v="5688"/>
    <n v="4266"/>
    <n v="284"/>
    <n v="995"/>
    <n v="569"/>
    <n v="142"/>
    <n v="1800"/>
    <n v="4221"/>
    <n v="0"/>
    <n v="0"/>
    <n v="0"/>
    <n v="63200"/>
    <n v="63200"/>
    <n v="0"/>
    <n v="0"/>
    <n v="0"/>
    <n v="200"/>
    <n v="1800"/>
    <n v="0"/>
    <n v="0"/>
    <n v="0"/>
    <n v="0"/>
    <n v="2000"/>
    <n v="61200"/>
    <m/>
    <m/>
  </r>
  <r>
    <d v="2025-10-01T00:00:00"/>
    <s v="Salary"/>
    <s v="S19014J001"/>
    <s v="MOONSTONE REALINFRA PRIVATE LIMITED"/>
    <n v="1209"/>
    <s v="DUNDAPPA MALLAPPA SANKPAL"/>
    <s v="Male"/>
    <s v=""/>
    <s v="Sep 03, 2022"/>
    <s v="CVOPS6863E"/>
    <s v="100379494874"/>
    <x v="40"/>
    <s v="MANAGER - HR"/>
    <x v="2"/>
    <s v="TM"/>
    <s v="PF"/>
    <s v="NA"/>
    <s v=""/>
    <s v=""/>
    <s v="818967487034"/>
    <s v="50100188631775"/>
    <s v="HDFC BANK"/>
    <s v="HDFC0000039"/>
    <n v="31"/>
    <n v="0"/>
    <n v="0"/>
    <n v="31"/>
    <n v="31"/>
    <n v="83333"/>
    <n v="83333"/>
    <n v="37500"/>
    <n v="15000"/>
    <n v="1600"/>
    <n v="200"/>
    <n v="1250"/>
    <n v="3124"/>
    <n v="7500"/>
    <n v="5625"/>
    <n v="375"/>
    <n v="1313"/>
    <n v="750"/>
    <n v="188"/>
    <n v="1800"/>
    <n v="7108"/>
    <n v="0"/>
    <n v="0"/>
    <n v="3392"/>
    <n v="86725"/>
    <n v="83333"/>
    <n v="0"/>
    <n v="0"/>
    <n v="0"/>
    <n v="200"/>
    <n v="1800"/>
    <n v="0"/>
    <n v="0"/>
    <n v="0"/>
    <n v="0"/>
    <n v="2000"/>
    <n v="84725"/>
    <m/>
    <m/>
  </r>
  <r>
    <d v="2025-10-01T00:00:00"/>
    <s v="Salary"/>
    <s v="S19014J001"/>
    <s v="MOONSTONE REALINFRA PRIVATE LIMITED"/>
    <n v="1517"/>
    <s v="GANESH SURESH PAWAR"/>
    <s v="Male"/>
    <s v=""/>
    <s v="Sep 01, 2023"/>
    <s v="CANPP1627F"/>
    <s v="101292152161"/>
    <x v="12"/>
    <s v="EXECUTIVE - MIS"/>
    <x v="2"/>
    <s v="TM"/>
    <s v="PF"/>
    <s v="NA"/>
    <s v=""/>
    <s v=""/>
    <s v="427581798506"/>
    <s v="50100729824722"/>
    <s v="HDFC BANK"/>
    <s v="HDFC0001210"/>
    <n v="31"/>
    <n v="0"/>
    <n v="0.5"/>
    <n v="30.5"/>
    <n v="30.5"/>
    <n v="47190"/>
    <n v="47190"/>
    <n v="20893"/>
    <n v="8357"/>
    <n v="1574"/>
    <n v="197"/>
    <n v="1230"/>
    <n v="1740"/>
    <n v="4179"/>
    <n v="3134"/>
    <n v="209"/>
    <n v="731"/>
    <n v="418"/>
    <n v="104"/>
    <n v="1800"/>
    <n v="1863"/>
    <n v="0"/>
    <n v="0"/>
    <n v="0"/>
    <n v="46429"/>
    <n v="46429"/>
    <n v="0"/>
    <n v="0"/>
    <n v="0"/>
    <n v="200"/>
    <n v="1800"/>
    <n v="0"/>
    <n v="0"/>
    <n v="0"/>
    <n v="0"/>
    <n v="2000"/>
    <n v="44429"/>
    <m/>
    <m/>
  </r>
  <r>
    <d v="2025-10-01T00:00:00"/>
    <s v="Salary"/>
    <s v="S19014J001"/>
    <s v="MOONSTONE REALINFRA PRIVATE LIMITED"/>
    <n v="1202"/>
    <s v="GAURAV KASHINATH KURANE"/>
    <s v="Male"/>
    <s v=""/>
    <s v="Sep 28, 2022"/>
    <s v="ARVPK8048G"/>
    <s v="100151644732"/>
    <x v="55"/>
    <s v="MANAGER - RESI. SALES"/>
    <x v="6"/>
    <s v="TM"/>
    <s v="PF"/>
    <s v="NA"/>
    <s v=""/>
    <s v=""/>
    <s v="597630357761"/>
    <s v="50100318162255"/>
    <s v="HDFC BANK"/>
    <s v="HDFC0000007"/>
    <n v="31"/>
    <n v="0"/>
    <n v="1"/>
    <n v="30"/>
    <n v="30"/>
    <n v="98333"/>
    <n v="98333"/>
    <n v="42822"/>
    <n v="17129"/>
    <n v="1548"/>
    <n v="194"/>
    <n v="1210"/>
    <n v="3567"/>
    <n v="8564"/>
    <n v="6423"/>
    <n v="428"/>
    <n v="1499"/>
    <n v="856"/>
    <n v="214"/>
    <n v="1800"/>
    <n v="8907"/>
    <n v="0"/>
    <n v="0"/>
    <n v="1712"/>
    <n v="96873"/>
    <n v="95161"/>
    <n v="0"/>
    <n v="0"/>
    <n v="0"/>
    <n v="200"/>
    <n v="1800"/>
    <n v="0"/>
    <n v="0"/>
    <n v="0"/>
    <n v="0"/>
    <n v="2000"/>
    <n v="94873"/>
    <m/>
    <m/>
  </r>
  <r>
    <d v="2025-10-01T00:00:00"/>
    <s v="Salary"/>
    <s v="S19014J001"/>
    <s v="MOONSTONE REALINFRA PRIVATE LIMITED"/>
    <n v="2234"/>
    <s v="GUNDAREDDY "/>
    <s v="Male"/>
    <s v=""/>
    <s v="Sep 30, 2025"/>
    <s v="BPTPG4400H"/>
    <s v="101276751702"/>
    <x v="56"/>
    <s v="SENIOR EXECUTIVE HR"/>
    <x v="2"/>
    <s v="TM"/>
    <s v="PF"/>
    <s v="NA"/>
    <s v=""/>
    <s v=""/>
    <s v="793955988124"/>
    <s v="50100501671220"/>
    <s v="HDFC BANK"/>
    <s v="HDFC0004884"/>
    <n v="31"/>
    <n v="0"/>
    <n v="0"/>
    <n v="31"/>
    <n v="31"/>
    <n v="52200"/>
    <n v="52200"/>
    <n v="23490"/>
    <n v="9396"/>
    <n v="1600"/>
    <n v="200"/>
    <n v="1250"/>
    <n v="1957"/>
    <n v="4698"/>
    <n v="3524"/>
    <n v="235"/>
    <n v="822"/>
    <n v="470"/>
    <n v="117"/>
    <n v="1800"/>
    <n v="2641"/>
    <n v="0"/>
    <n v="0"/>
    <n v="0"/>
    <n v="52200"/>
    <n v="52200"/>
    <n v="0"/>
    <n v="0"/>
    <n v="0"/>
    <n v="200"/>
    <n v="1800"/>
    <n v="0"/>
    <n v="0"/>
    <n v="0"/>
    <n v="0"/>
    <n v="2000"/>
    <n v="50200"/>
    <m/>
    <m/>
  </r>
  <r>
    <d v="2025-10-01T00:00:00"/>
    <s v="Salary"/>
    <s v="S19014J001"/>
    <s v="MOONSTONE REALINFRA PRIVATE LIMITED"/>
    <n v="748"/>
    <s v="KALPESH KADAM"/>
    <s v="Male"/>
    <s v=""/>
    <s v="Feb 22, 2021"/>
    <s v="DPAPK0829F"/>
    <s v="101173740664"/>
    <x v="41"/>
    <s v="MANAGER - LIAISONING"/>
    <x v="3"/>
    <s v="TM"/>
    <s v="PF"/>
    <s v="NA"/>
    <s v=""/>
    <s v=""/>
    <s v="656902116787"/>
    <s v="50100045505567"/>
    <s v="HDFC BANK"/>
    <s v="HDFC0000794"/>
    <n v="31"/>
    <n v="0"/>
    <n v="0"/>
    <n v="31"/>
    <n v="31"/>
    <n v="62333"/>
    <n v="62333"/>
    <n v="28050"/>
    <n v="11220"/>
    <n v="1600"/>
    <n v="200"/>
    <n v="1250"/>
    <n v="2337"/>
    <n v="5610"/>
    <n v="4208"/>
    <n v="281"/>
    <n v="982"/>
    <n v="561"/>
    <n v="140"/>
    <n v="1800"/>
    <n v="4094"/>
    <n v="0"/>
    <n v="0"/>
    <n v="1624"/>
    <n v="63957"/>
    <n v="62333"/>
    <n v="0"/>
    <n v="0"/>
    <n v="0"/>
    <n v="200"/>
    <n v="1800"/>
    <n v="0"/>
    <n v="0"/>
    <n v="0"/>
    <n v="0"/>
    <n v="2000"/>
    <n v="61957"/>
    <m/>
    <m/>
  </r>
  <r>
    <d v="2025-10-01T00:00:00"/>
    <s v="Salary"/>
    <s v="S19014J001"/>
    <s v="MOONSTONE REALINFRA PRIVATE LIMITED"/>
    <n v="2214"/>
    <s v="KAMLESH BABULAL RAJPUROHIT"/>
    <s v="Male"/>
    <s v=""/>
    <s v="Sep 15, 2025"/>
    <s v="EMJPR1063R"/>
    <s v="102077336068"/>
    <x v="57"/>
    <s v="EXECUTIVE ASSISTANT"/>
    <x v="5"/>
    <s v="TM"/>
    <s v="PF"/>
    <s v="NA"/>
    <s v=""/>
    <s v=""/>
    <s v="530249989111"/>
    <s v="50100833997330"/>
    <s v="HDFC BANK"/>
    <s v="HDFC0000437"/>
    <n v="31"/>
    <n v="0"/>
    <n v="0"/>
    <n v="31"/>
    <n v="31"/>
    <n v="54867"/>
    <n v="54867"/>
    <n v="24690"/>
    <n v="9876"/>
    <n v="1600"/>
    <n v="200"/>
    <n v="1250"/>
    <n v="2057"/>
    <n v="4938"/>
    <n v="3704"/>
    <n v="247"/>
    <n v="864"/>
    <n v="494"/>
    <n v="123"/>
    <n v="1800"/>
    <n v="3024"/>
    <n v="0"/>
    <n v="0"/>
    <n v="0"/>
    <n v="54867"/>
    <n v="54867"/>
    <n v="0"/>
    <n v="0"/>
    <n v="0"/>
    <n v="200"/>
    <n v="1800"/>
    <n v="0"/>
    <n v="0"/>
    <n v="0"/>
    <n v="0"/>
    <n v="2000"/>
    <n v="52867"/>
    <m/>
    <m/>
  </r>
  <r>
    <d v="2025-10-01T00:00:00"/>
    <s v="Salary"/>
    <s v="S19014J001"/>
    <s v="MOONSTONE REALINFRA PRIVATE LIMITED"/>
    <n v="2239"/>
    <s v="KESAVAPATNAM SAI DIVYA"/>
    <s v="Female"/>
    <s v=""/>
    <s v="Oct 07, 2025"/>
    <s v="AXQPK7747R"/>
    <s v="100736813583"/>
    <x v="11"/>
    <s v="DEPUTY MANAGER - HR"/>
    <x v="2"/>
    <s v="TM"/>
    <s v="PF"/>
    <s v="NA"/>
    <s v=""/>
    <s v=""/>
    <s v="544132081350"/>
    <s v="50100713590393"/>
    <s v="HDFC BANK"/>
    <s v="HDFC0001210"/>
    <n v="31"/>
    <n v="0"/>
    <n v="0"/>
    <n v="25"/>
    <n v="25"/>
    <n v="88067"/>
    <n v="88067"/>
    <n v="31960"/>
    <n v="12784"/>
    <n v="1290"/>
    <n v="200"/>
    <n v="1008"/>
    <n v="2662"/>
    <n v="6392"/>
    <n v="4794"/>
    <n v="320"/>
    <n v="1119"/>
    <n v="639"/>
    <n v="160"/>
    <n v="1800"/>
    <n v="5894"/>
    <n v="0"/>
    <n v="0"/>
    <n v="7371"/>
    <n v="78393"/>
    <n v="71022"/>
    <n v="0"/>
    <n v="0"/>
    <n v="0"/>
    <n v="200"/>
    <n v="1800"/>
    <n v="0"/>
    <n v="0"/>
    <n v="0"/>
    <n v="0"/>
    <n v="2000"/>
    <n v="76393"/>
    <m/>
    <m/>
  </r>
  <r>
    <d v="2025-10-01T00:00:00"/>
    <s v="Salary"/>
    <s v="S19014J001"/>
    <s v="MOONSTONE REALINFRA PRIVATE LIMITED"/>
    <n v="2152"/>
    <s v="KEWALRAJ POUDEL"/>
    <s v="Male"/>
    <s v=""/>
    <s v="Jul 01, 2025"/>
    <s v="ETGPP5536R"/>
    <s v="102121019968"/>
    <x v="33"/>
    <s v="JUNIOR ENGINEER"/>
    <x v="0"/>
    <s v="TM"/>
    <s v="PF"/>
    <s v="NA"/>
    <s v=""/>
    <s v=""/>
    <s v="462816190119"/>
    <s v="50100815728426"/>
    <s v="HDFC BANK"/>
    <s v="HDFC0008300"/>
    <n v="31"/>
    <n v="0"/>
    <n v="2"/>
    <n v="29"/>
    <n v="29"/>
    <n v="32760"/>
    <n v="32760"/>
    <n v="13791"/>
    <n v="5516"/>
    <n v="1497"/>
    <n v="187"/>
    <n v="1169"/>
    <n v="0"/>
    <n v="0"/>
    <n v="0"/>
    <n v="0"/>
    <n v="0"/>
    <n v="0"/>
    <n v="0"/>
    <n v="1655"/>
    <n v="6831"/>
    <n v="0"/>
    <n v="0"/>
    <n v="0"/>
    <n v="30646"/>
    <n v="30646"/>
    <n v="0"/>
    <n v="0"/>
    <n v="0"/>
    <n v="200"/>
    <n v="1655"/>
    <n v="0"/>
    <n v="0"/>
    <n v="0"/>
    <n v="0"/>
    <n v="1855"/>
    <n v="28791"/>
    <m/>
    <m/>
  </r>
  <r>
    <d v="2025-10-01T00:00:00"/>
    <s v="Salary"/>
    <s v="S19014J001"/>
    <s v="MOONSTONE REALINFRA PRIVATE LIMITED"/>
    <n v="1875"/>
    <s v="KRISHNA KUMAR TIWARI"/>
    <s v="Male"/>
    <s v=""/>
    <s v="Sep 09, 2024"/>
    <s v="AGXPT8418N"/>
    <s v="101910507765"/>
    <x v="52"/>
    <s v="DEPUTY MANAGER"/>
    <x v="6"/>
    <s v="TM"/>
    <s v="PF"/>
    <s v="NA"/>
    <s v=""/>
    <s v=""/>
    <s v="375923391923"/>
    <s v="50100755728692"/>
    <s v="HDFC BANK"/>
    <s v="HDFC0001210"/>
    <n v="31"/>
    <n v="0"/>
    <n v="0"/>
    <n v="31"/>
    <n v="31"/>
    <n v="65840"/>
    <n v="65840"/>
    <n v="29628"/>
    <n v="11851"/>
    <n v="1600"/>
    <n v="200"/>
    <n v="1250"/>
    <n v="2468"/>
    <n v="5926"/>
    <n v="4444"/>
    <n v="296"/>
    <n v="1037"/>
    <n v="593"/>
    <n v="148"/>
    <n v="1800"/>
    <n v="4599"/>
    <n v="0"/>
    <n v="0"/>
    <n v="3367"/>
    <n v="69207"/>
    <n v="65840"/>
    <n v="0"/>
    <n v="0"/>
    <n v="0"/>
    <n v="200"/>
    <n v="1800"/>
    <n v="0"/>
    <n v="0"/>
    <n v="0"/>
    <n v="0"/>
    <n v="2000"/>
    <n v="67207"/>
    <m/>
    <m/>
  </r>
  <r>
    <d v="2025-10-01T00:00:00"/>
    <s v="Salary"/>
    <s v="S19014J001"/>
    <s v="MOONSTONE REALINFRA PRIVATE LIMITED"/>
    <n v="1135"/>
    <s v="LAKSHADIP PUNDALIK THAKUR"/>
    <s v="Male"/>
    <s v=""/>
    <s v="Jul 01, 2022"/>
    <s v="AIKPT5980A"/>
    <s v="100202447925"/>
    <x v="42"/>
    <s v="SENIOR MANAGER - RESI. SALES"/>
    <x v="6"/>
    <s v="TL"/>
    <s v="PF"/>
    <s v="NA"/>
    <s v=""/>
    <s v=""/>
    <s v="332553462353"/>
    <s v="50100224949010"/>
    <s v="HDFC BANK"/>
    <s v="HDFC0003982"/>
    <n v="31"/>
    <n v="0"/>
    <n v="0"/>
    <n v="31"/>
    <n v="31"/>
    <n v="146667"/>
    <n v="146667"/>
    <n v="66000"/>
    <n v="26400"/>
    <n v="1600"/>
    <n v="200"/>
    <n v="1250"/>
    <n v="5498"/>
    <n v="13200"/>
    <n v="9900"/>
    <n v="660"/>
    <n v="2310"/>
    <n v="1320"/>
    <n v="330"/>
    <n v="1800"/>
    <n v="16199"/>
    <n v="0"/>
    <n v="0"/>
    <n v="11552"/>
    <n v="158219"/>
    <n v="146667"/>
    <n v="0"/>
    <n v="0"/>
    <n v="18242"/>
    <n v="200"/>
    <n v="1800"/>
    <n v="0"/>
    <n v="0"/>
    <n v="0"/>
    <n v="0"/>
    <n v="20242"/>
    <n v="137977"/>
    <m/>
    <m/>
  </r>
  <r>
    <d v="2025-10-01T00:00:00"/>
    <s v="Salary"/>
    <s v="S19014J001"/>
    <s v="MOONSTONE REALINFRA PRIVATE LIMITED"/>
    <n v="1997"/>
    <s v="MAHESH MADHUKAR KATE"/>
    <s v="Male"/>
    <s v=""/>
    <s v="Feb 15, 2025"/>
    <s v="JJFPK7967B"/>
    <s v="101675376988"/>
    <x v="16"/>
    <s v="SAFETY OFICER"/>
    <x v="0"/>
    <s v="TM"/>
    <s v="PF"/>
    <s v="NA"/>
    <s v=""/>
    <s v=""/>
    <s v="696647163423"/>
    <s v="50100731567384"/>
    <s v="HDFC BANK"/>
    <s v="HDFC0000007"/>
    <n v="31"/>
    <n v="0"/>
    <n v="0"/>
    <n v="31"/>
    <n v="31"/>
    <n v="36067"/>
    <n v="36067"/>
    <n v="16230"/>
    <n v="6492"/>
    <n v="1600"/>
    <n v="200"/>
    <n v="1250"/>
    <n v="0"/>
    <n v="0"/>
    <n v="0"/>
    <n v="0"/>
    <n v="0"/>
    <n v="0"/>
    <n v="0"/>
    <n v="1800"/>
    <n v="8495"/>
    <n v="0"/>
    <n v="0"/>
    <n v="0"/>
    <n v="36067"/>
    <n v="36067"/>
    <n v="0"/>
    <n v="0"/>
    <n v="0"/>
    <n v="200"/>
    <n v="1800"/>
    <n v="0"/>
    <n v="0"/>
    <n v="0"/>
    <n v="0"/>
    <n v="2000"/>
    <n v="34067"/>
    <m/>
    <m/>
  </r>
  <r>
    <d v="2025-10-01T00:00:00"/>
    <s v="Salary"/>
    <s v="S19014J001"/>
    <s v="MOONSTONE REALINFRA PRIVATE LIMITED"/>
    <n v="726"/>
    <s v="MAHVEEN SAYYED"/>
    <s v="Female"/>
    <s v=""/>
    <s v="Dec 01, 2020"/>
    <s v="NUMPS3199R"/>
    <s v="101726376057"/>
    <x v="17"/>
    <s v="RECEPTIONIST"/>
    <x v="4"/>
    <s v="TM"/>
    <s v="PF"/>
    <s v="NA"/>
    <s v=""/>
    <s v=""/>
    <s v="677097563942"/>
    <s v="50100317492831"/>
    <s v="HDFC BANK"/>
    <s v="HDFC0000007"/>
    <n v="31"/>
    <n v="0"/>
    <n v="0"/>
    <n v="31"/>
    <n v="31"/>
    <n v="27904"/>
    <n v="27904"/>
    <n v="12557"/>
    <n v="5023"/>
    <n v="1600"/>
    <n v="200"/>
    <n v="1250"/>
    <n v="0"/>
    <n v="0"/>
    <n v="0"/>
    <n v="0"/>
    <n v="0"/>
    <n v="0"/>
    <n v="0"/>
    <n v="1507"/>
    <n v="5767"/>
    <n v="0"/>
    <n v="0"/>
    <n v="0"/>
    <n v="27904"/>
    <n v="27904"/>
    <n v="0"/>
    <n v="0"/>
    <n v="0"/>
    <n v="200"/>
    <n v="1507"/>
    <n v="0"/>
    <n v="0"/>
    <n v="0"/>
    <n v="0"/>
    <n v="1707"/>
    <n v="26197"/>
    <m/>
    <m/>
  </r>
  <r>
    <d v="2025-10-01T00:00:00"/>
    <s v="Salary"/>
    <s v="S19014J001"/>
    <s v="MOONSTONE REALINFRA PRIVATE LIMITED"/>
    <n v="1722"/>
    <s v="MANOJ KUMAR VARMA"/>
    <s v="Male"/>
    <s v=""/>
    <s v="May 02, 2024"/>
    <s v="AAEPV3962E"/>
    <s v="101345330257"/>
    <x v="18"/>
    <s v="SENIOR VICE PRESIDENT"/>
    <x v="0"/>
    <s v="TH"/>
    <s v="PF"/>
    <s v="NA"/>
    <s v=""/>
    <s v=""/>
    <s v="768669459723"/>
    <s v="01531050005109"/>
    <s v="HDFC BANK"/>
    <s v="HDFC0000153"/>
    <n v="31"/>
    <n v="0"/>
    <n v="1"/>
    <n v="30"/>
    <n v="30"/>
    <n v="434795"/>
    <n v="434795"/>
    <n v="189346"/>
    <n v="75738"/>
    <n v="1548"/>
    <n v="194"/>
    <n v="1210"/>
    <n v="15773"/>
    <n v="37869"/>
    <n v="28402"/>
    <n v="1893"/>
    <n v="6627"/>
    <n v="3787"/>
    <n v="947"/>
    <n v="1800"/>
    <n v="55635"/>
    <n v="0"/>
    <n v="0"/>
    <n v="0"/>
    <n v="420769"/>
    <n v="420769"/>
    <n v="0"/>
    <n v="0"/>
    <n v="144974"/>
    <n v="200"/>
    <n v="1800"/>
    <n v="0"/>
    <n v="0"/>
    <n v="0"/>
    <n v="0"/>
    <n v="146974"/>
    <n v="273795"/>
    <m/>
    <m/>
  </r>
  <r>
    <d v="2025-10-01T00:00:00"/>
    <s v="Salary"/>
    <s v="S19014J001"/>
    <s v="MOONSTONE REALINFRA PRIVATE LIMITED"/>
    <n v="2241"/>
    <s v="MANVI DHRUVRAJ SINGH"/>
    <s v="Female"/>
    <s v=""/>
    <s v="Oct 09, 2025"/>
    <s v="OCSPS6842C"/>
    <s v="101948310999"/>
    <x v="61"/>
    <s v="SENIOR EXECUTIVE - RESI. SALES"/>
    <x v="6"/>
    <s v="TM"/>
    <s v="PF"/>
    <s v="NA"/>
    <s v=""/>
    <s v=""/>
    <s v="395020615512"/>
    <s v="50100774099998"/>
    <s v="HDFC BANK"/>
    <s v="HDFC0002690"/>
    <n v="31"/>
    <n v="0"/>
    <n v="0"/>
    <n v="23"/>
    <n v="23"/>
    <n v="47367"/>
    <n v="47367"/>
    <n v="15814"/>
    <n v="6326"/>
    <n v="1187"/>
    <n v="200"/>
    <n v="927"/>
    <n v="1317"/>
    <n v="3163"/>
    <n v="2372"/>
    <n v="158"/>
    <n v="553"/>
    <n v="316"/>
    <n v="79"/>
    <n v="1800"/>
    <n v="931"/>
    <n v="0"/>
    <n v="0"/>
    <n v="0"/>
    <n v="35143"/>
    <n v="35143"/>
    <n v="0"/>
    <n v="0"/>
    <n v="0"/>
    <n v="200"/>
    <n v="1800"/>
    <n v="0"/>
    <n v="0"/>
    <n v="0"/>
    <n v="0"/>
    <n v="2000"/>
    <n v="33143"/>
    <m/>
    <m/>
  </r>
  <r>
    <d v="2025-10-01T00:00:00"/>
    <s v="Salary"/>
    <s v="S19014J001"/>
    <s v="MOONSTONE REALINFRA PRIVATE LIMITED"/>
    <n v="1937"/>
    <s v="MAYANK ACHARYA"/>
    <s v="Male"/>
    <s v=""/>
    <s v="Nov 25, 2024"/>
    <s v="DZPPA7006D"/>
    <s v="102142125408"/>
    <x v="6"/>
    <s v="MANAGEMENT TRAINEE"/>
    <x v="6"/>
    <s v="MT"/>
    <s v="PF"/>
    <s v="NA"/>
    <s v=""/>
    <s v=""/>
    <s v="596849238511"/>
    <s v="50100773207188"/>
    <s v="HDFC BANK"/>
    <s v="HDFC0001210"/>
    <n v="31"/>
    <n v="0"/>
    <n v="0"/>
    <n v="31"/>
    <n v="31"/>
    <n v="31533"/>
    <n v="31533"/>
    <n v="14190"/>
    <n v="5676"/>
    <n v="1600"/>
    <n v="200"/>
    <n v="1250"/>
    <n v="0"/>
    <n v="0"/>
    <n v="0"/>
    <n v="0"/>
    <n v="0"/>
    <n v="0"/>
    <n v="0"/>
    <n v="1703"/>
    <n v="6914"/>
    <n v="0"/>
    <n v="0"/>
    <n v="2810"/>
    <n v="34343"/>
    <n v="31533"/>
    <n v="0"/>
    <n v="0"/>
    <n v="0"/>
    <n v="200"/>
    <n v="1703"/>
    <n v="0"/>
    <n v="0"/>
    <n v="0"/>
    <n v="0"/>
    <n v="1903"/>
    <n v="32440"/>
    <m/>
    <m/>
  </r>
  <r>
    <d v="2025-10-01T00:00:00"/>
    <s v="Salary"/>
    <s v="S19014J001"/>
    <s v="MOONSTONE REALINFRA PRIVATE LIMITED"/>
    <n v="382"/>
    <s v="MAYUR RAJAN SALUNKE"/>
    <s v="Male"/>
    <s v=""/>
    <s v="Dec 11, 2018"/>
    <s v="EIWPS6074N"/>
    <s v="101412010976"/>
    <x v="45"/>
    <s v="ASSISTANT MANAGER"/>
    <x v="2"/>
    <s v="TM"/>
    <s v="PF"/>
    <s v="NA"/>
    <s v=""/>
    <s v=""/>
    <s v="202787997088"/>
    <s v="50100624532338"/>
    <s v="HDFC BANK"/>
    <s v="HDFC0000633"/>
    <n v="31"/>
    <n v="0"/>
    <n v="1"/>
    <n v="30"/>
    <n v="30"/>
    <n v="36950"/>
    <n v="36950"/>
    <n v="16091"/>
    <n v="6436"/>
    <n v="1548"/>
    <n v="194"/>
    <n v="1210"/>
    <n v="0"/>
    <n v="0"/>
    <n v="0"/>
    <n v="0"/>
    <n v="0"/>
    <n v="0"/>
    <n v="0"/>
    <n v="1800"/>
    <n v="8479"/>
    <n v="0"/>
    <n v="0"/>
    <n v="7985"/>
    <n v="43743"/>
    <n v="35758"/>
    <n v="0"/>
    <n v="0"/>
    <n v="0"/>
    <n v="200"/>
    <n v="1800"/>
    <n v="0"/>
    <n v="0"/>
    <n v="0"/>
    <n v="0"/>
    <n v="2000"/>
    <n v="41743"/>
    <m/>
    <m/>
  </r>
  <r>
    <d v="2025-10-01T00:00:00"/>
    <s v="Salary"/>
    <s v="S19014J001"/>
    <s v="MOONSTONE REALINFRA PRIVATE LIMITED"/>
    <n v="511"/>
    <s v="MAYURESH LANGOTE"/>
    <s v="Male"/>
    <s v=""/>
    <s v="Aug 01, 2019"/>
    <s v="AEWPL1281L"/>
    <s v="100053793326"/>
    <x v="56"/>
    <s v="DEPUTY MANAGER"/>
    <x v="2"/>
    <s v="TM"/>
    <s v="PF"/>
    <s v="NA"/>
    <s v=""/>
    <s v=""/>
    <s v="250203086491"/>
    <s v="50100231649761"/>
    <s v="HDFC BANK"/>
    <s v="HDFC0000052"/>
    <n v="31"/>
    <n v="0"/>
    <n v="1"/>
    <n v="30"/>
    <n v="30"/>
    <n v="43308"/>
    <n v="43308"/>
    <n v="18860"/>
    <n v="7544"/>
    <n v="1548"/>
    <n v="194"/>
    <n v="1210"/>
    <n v="1571"/>
    <n v="3772"/>
    <n v="2829"/>
    <n v="189"/>
    <n v="660"/>
    <n v="377"/>
    <n v="94"/>
    <n v="1800"/>
    <n v="1263"/>
    <n v="0"/>
    <n v="0"/>
    <n v="9630"/>
    <n v="51541"/>
    <n v="41911"/>
    <n v="0"/>
    <n v="0"/>
    <n v="0"/>
    <n v="200"/>
    <n v="1800"/>
    <n v="0"/>
    <n v="0"/>
    <n v="0"/>
    <n v="0"/>
    <n v="2000"/>
    <n v="49541"/>
    <m/>
    <m/>
  </r>
  <r>
    <d v="2025-10-01T00:00:00"/>
    <s v="Salary"/>
    <s v="S19014J001"/>
    <s v="MOONSTONE REALINFRA PRIVATE LIMITED"/>
    <n v="2062"/>
    <s v="MOHAN SHRIKRISHNA UDGIRI"/>
    <s v="Male"/>
    <s v=""/>
    <s v="Mar 24, 2025"/>
    <s v="AAZPU1282B"/>
    <s v="100242792314"/>
    <x v="20"/>
    <s v="ASSISTANT GENERAL MANAGER"/>
    <x v="0"/>
    <s v="TL"/>
    <s v="PF"/>
    <s v="NA"/>
    <s v=""/>
    <s v=""/>
    <s v="524156423700"/>
    <s v="05421140100824"/>
    <s v="HDFC BANK"/>
    <s v="HDFC0000542"/>
    <n v="31"/>
    <n v="0"/>
    <n v="0"/>
    <n v="31"/>
    <n v="31"/>
    <n v="181533"/>
    <n v="181533"/>
    <n v="81690"/>
    <n v="32676"/>
    <n v="1600"/>
    <n v="200"/>
    <n v="1250"/>
    <n v="6805"/>
    <n v="16338"/>
    <n v="12254"/>
    <n v="817"/>
    <n v="2859"/>
    <n v="1634"/>
    <n v="408"/>
    <n v="1800"/>
    <n v="21202"/>
    <n v="0"/>
    <n v="0"/>
    <n v="7690"/>
    <n v="189223"/>
    <n v="181533"/>
    <n v="0"/>
    <n v="0"/>
    <n v="18542"/>
    <n v="200"/>
    <n v="1800"/>
    <n v="0"/>
    <n v="0"/>
    <n v="0"/>
    <n v="0"/>
    <n v="20542"/>
    <n v="168681"/>
    <m/>
    <m/>
  </r>
  <r>
    <d v="2025-10-01T00:00:00"/>
    <s v="Salary"/>
    <s v="S19014J001"/>
    <s v="MOONSTONE REALINFRA PRIVATE LIMITED"/>
    <n v="1092"/>
    <s v="NARENDRA ROHTAS MAHUR"/>
    <s v="Male"/>
    <s v=""/>
    <s v="May 16, 2022"/>
    <s v="EJTPM6853H"/>
    <s v="101646143832"/>
    <x v="54"/>
    <s v="ASSISTANT MANAGER - RESI. SALES"/>
    <x v="6"/>
    <s v="TM"/>
    <s v="PF"/>
    <s v="NA"/>
    <s v=""/>
    <s v=""/>
    <s v="325860489575"/>
    <s v="50100654540599"/>
    <s v="HDFC BANK"/>
    <s v="HDFC0000007"/>
    <n v="31"/>
    <n v="0"/>
    <n v="0"/>
    <n v="31"/>
    <n v="31"/>
    <n v="71927"/>
    <n v="71927"/>
    <n v="32367"/>
    <n v="12947"/>
    <n v="1600"/>
    <n v="200"/>
    <n v="1250"/>
    <n v="2696"/>
    <n v="6473"/>
    <n v="4855"/>
    <n v="324"/>
    <n v="1133"/>
    <n v="647"/>
    <n v="162"/>
    <n v="1800"/>
    <n v="5473"/>
    <n v="0"/>
    <n v="0"/>
    <n v="1118"/>
    <n v="73045"/>
    <n v="71927"/>
    <n v="0"/>
    <n v="0"/>
    <n v="0"/>
    <n v="200"/>
    <n v="1800"/>
    <n v="0"/>
    <n v="0"/>
    <n v="0"/>
    <n v="0"/>
    <n v="2000"/>
    <n v="71045"/>
    <m/>
    <m/>
  </r>
  <r>
    <d v="2025-10-01T00:00:00"/>
    <s v="Salary"/>
    <s v="S19014J001"/>
    <s v="MOONSTONE REALINFRA PRIVATE LIMITED"/>
    <n v="1506"/>
    <s v="NILESH SUDAM DODAKE"/>
    <s v="Male"/>
    <s v=""/>
    <s v="Aug 16, 2023"/>
    <s v="ATZPD2744A"/>
    <s v="101985884549"/>
    <x v="22"/>
    <s v="SUPERVISOR"/>
    <x v="0"/>
    <s v="TM"/>
    <s v="PF"/>
    <s v="NA"/>
    <s v=""/>
    <s v=""/>
    <s v="800783241563"/>
    <s v="50100624533443"/>
    <s v="HDFC BANK"/>
    <s v="HDFC0000007"/>
    <n v="31"/>
    <n v="0"/>
    <n v="0"/>
    <n v="31"/>
    <n v="31"/>
    <n v="49575"/>
    <n v="49575"/>
    <n v="22309"/>
    <n v="8924"/>
    <n v="1600"/>
    <n v="200"/>
    <n v="1250"/>
    <n v="1858"/>
    <n v="4462"/>
    <n v="3346"/>
    <n v="223"/>
    <n v="781"/>
    <n v="446"/>
    <n v="112"/>
    <n v="1800"/>
    <n v="2264"/>
    <n v="0"/>
    <n v="0"/>
    <n v="0"/>
    <n v="49575"/>
    <n v="49575"/>
    <n v="0"/>
    <n v="0"/>
    <n v="0"/>
    <n v="200"/>
    <n v="1800"/>
    <n v="0"/>
    <n v="0"/>
    <n v="0"/>
    <n v="0"/>
    <n v="2000"/>
    <n v="47575"/>
    <m/>
    <m/>
  </r>
  <r>
    <d v="2025-10-01T00:00:00"/>
    <s v="Salary"/>
    <s v="S19014J001"/>
    <s v="MOONSTONE REALINFRA PRIVATE LIMITED"/>
    <n v="1700"/>
    <s v="NITEESH SHARMA"/>
    <s v="Male"/>
    <s v=""/>
    <s v="Apr 11, 2024"/>
    <s v="BYHPS8894Q"/>
    <s v="101416879888"/>
    <x v="54"/>
    <s v="ASSISTANT MANAGER - RESI. SALES"/>
    <x v="6"/>
    <s v="TM"/>
    <s v="PF"/>
    <s v="NA"/>
    <s v=""/>
    <s v=""/>
    <s v="461172332390"/>
    <s v="99991911230890"/>
    <s v="HDFC BANK"/>
    <s v="HDFC0001210"/>
    <n v="31"/>
    <n v="0"/>
    <n v="0"/>
    <n v="31"/>
    <n v="31"/>
    <n v="79907"/>
    <n v="79907"/>
    <n v="35958"/>
    <n v="14383"/>
    <n v="1600"/>
    <n v="200"/>
    <n v="1250"/>
    <n v="2995"/>
    <n v="7192"/>
    <n v="5394"/>
    <n v="360"/>
    <n v="1259"/>
    <n v="719"/>
    <n v="180"/>
    <n v="1800"/>
    <n v="6617"/>
    <n v="0"/>
    <n v="7991"/>
    <n v="1010"/>
    <n v="88908"/>
    <n v="87898"/>
    <n v="0"/>
    <n v="0"/>
    <n v="0"/>
    <n v="200"/>
    <n v="1800"/>
    <n v="0"/>
    <n v="0"/>
    <n v="0"/>
    <n v="0"/>
    <n v="2000"/>
    <n v="86908"/>
    <m/>
    <m/>
  </r>
  <r>
    <d v="2025-10-01T00:00:00"/>
    <s v="Salary"/>
    <s v="S19014J001"/>
    <s v="MOONSTONE REALINFRA PRIVATE LIMITED"/>
    <n v="435"/>
    <s v="NITESH SUKHDEORAO RAUT"/>
    <s v="Male"/>
    <s v=""/>
    <s v="Feb 28, 2019"/>
    <s v="ECHPR5827R"/>
    <s v="101438956994"/>
    <x v="7"/>
    <s v="EXECUTIVE - POSSESSION"/>
    <x v="2"/>
    <s v="TM"/>
    <s v="PF"/>
    <s v="NA"/>
    <s v=""/>
    <s v=""/>
    <s v="549202367903"/>
    <s v="50100317492446"/>
    <s v="HDFC BANK"/>
    <s v="HDFC0000007"/>
    <n v="31"/>
    <n v="0"/>
    <n v="0"/>
    <n v="10"/>
    <n v="10"/>
    <n v="33167"/>
    <n v="33167"/>
    <n v="4815"/>
    <n v="1926"/>
    <n v="516"/>
    <n v="200"/>
    <n v="403"/>
    <n v="0"/>
    <n v="0"/>
    <n v="0"/>
    <n v="0"/>
    <n v="0"/>
    <n v="0"/>
    <n v="0"/>
    <n v="578"/>
    <n v="2261"/>
    <n v="0"/>
    <n v="0"/>
    <n v="5587"/>
    <n v="16286"/>
    <n v="10699"/>
    <n v="0"/>
    <n v="0"/>
    <n v="0"/>
    <n v="200"/>
    <n v="578"/>
    <n v="0"/>
    <n v="0"/>
    <n v="0"/>
    <n v="0"/>
    <n v="778"/>
    <n v="15508"/>
    <m/>
    <m/>
  </r>
  <r>
    <d v="2025-10-01T00:00:00"/>
    <s v="Salary"/>
    <s v="S19014J001"/>
    <s v="MOONSTONE REALINFRA PRIVATE LIMITED"/>
    <n v="1033"/>
    <s v="OMKAR MADHAV SAMBHUS"/>
    <s v="Male"/>
    <s v=""/>
    <s v="Mar 21, 2022"/>
    <s v="BKVPS7936K"/>
    <s v="101090148328"/>
    <x v="42"/>
    <s v="SENIOR MANAGER - RESI. SALES"/>
    <x v="6"/>
    <s v="TM"/>
    <s v="PF"/>
    <s v="NA"/>
    <s v=""/>
    <s v=""/>
    <s v="580372226603"/>
    <s v="50100056805482"/>
    <s v="HDFC BANK"/>
    <s v="HDFC0000146"/>
    <n v="31"/>
    <n v="0"/>
    <n v="0"/>
    <n v="31"/>
    <n v="31"/>
    <n v="118333"/>
    <n v="118333"/>
    <n v="53250"/>
    <n v="21300"/>
    <n v="1600"/>
    <n v="200"/>
    <n v="1250"/>
    <n v="4436"/>
    <n v="10650"/>
    <n v="7988"/>
    <n v="533"/>
    <n v="1864"/>
    <n v="1065"/>
    <n v="266"/>
    <n v="1800"/>
    <n v="12131"/>
    <n v="0"/>
    <n v="0"/>
    <n v="352"/>
    <n v="118685"/>
    <n v="118333"/>
    <n v="0"/>
    <n v="0"/>
    <n v="9555"/>
    <n v="200"/>
    <n v="1800"/>
    <n v="0"/>
    <n v="0"/>
    <n v="0"/>
    <n v="12500"/>
    <n v="24055"/>
    <n v="94630"/>
    <m/>
    <m/>
  </r>
  <r>
    <d v="2025-10-01T00:00:00"/>
    <s v="Salary"/>
    <s v="S19014J001"/>
    <s v="MOONSTONE REALINFRA PRIVATE LIMITED"/>
    <n v="1086"/>
    <s v="POORNIMA SATYANARAYAN MASKE"/>
    <s v="Female"/>
    <s v=""/>
    <s v="May 09, 2022"/>
    <s v="FPPPM6332Q"/>
    <s v="101489017926"/>
    <x v="43"/>
    <s v="MANAGER"/>
    <x v="6"/>
    <s v="TM"/>
    <s v="PF"/>
    <s v="NA"/>
    <s v=""/>
    <s v=""/>
    <s v="535343696935"/>
    <s v="50100288878569"/>
    <s v="HDFC BANK"/>
    <s v="HDFC0001791"/>
    <n v="31"/>
    <n v="0"/>
    <n v="0"/>
    <n v="13"/>
    <n v="13"/>
    <n v="60208"/>
    <n v="60208"/>
    <n v="11362"/>
    <n v="4545"/>
    <n v="671"/>
    <n v="200"/>
    <n v="524"/>
    <n v="946"/>
    <n v="2272"/>
    <n v="1704"/>
    <n v="114"/>
    <n v="398"/>
    <n v="227"/>
    <n v="57"/>
    <n v="1363"/>
    <n v="866"/>
    <n v="0"/>
    <n v="0"/>
    <n v="0"/>
    <n v="25249"/>
    <n v="25249"/>
    <n v="0"/>
    <n v="0"/>
    <n v="0"/>
    <n v="200"/>
    <n v="1363"/>
    <n v="0"/>
    <n v="0"/>
    <n v="0"/>
    <n v="0"/>
    <n v="1563"/>
    <n v="23686"/>
    <m/>
    <m/>
  </r>
  <r>
    <d v="2025-10-01T00:00:00"/>
    <s v="Salary"/>
    <s v="S19014J001"/>
    <s v="MOONSTONE REALINFRA PRIVATE LIMITED"/>
    <n v="737"/>
    <s v="PRADIP PHOFALE"/>
    <s v="Male"/>
    <s v=""/>
    <s v="Jan 05, 2021"/>
    <s v="FJPPP4191E"/>
    <s v="101287262182"/>
    <x v="21"/>
    <s v="EXECUTIVE - ADMIN"/>
    <x v="2"/>
    <s v="TM"/>
    <s v="PF"/>
    <s v="NA"/>
    <s v=""/>
    <s v=""/>
    <s v="348597161366"/>
    <s v="50100624534038"/>
    <s v="HDFC BANK"/>
    <s v="HDFC0000007"/>
    <n v="31"/>
    <n v="0"/>
    <n v="1"/>
    <n v="30"/>
    <n v="30"/>
    <n v="22933"/>
    <n v="22933"/>
    <n v="9987"/>
    <n v="3995"/>
    <n v="1548"/>
    <n v="194"/>
    <n v="1210"/>
    <n v="0"/>
    <n v="0"/>
    <n v="0"/>
    <n v="0"/>
    <n v="0"/>
    <n v="0"/>
    <n v="0"/>
    <n v="1198"/>
    <n v="4061"/>
    <n v="0"/>
    <n v="0"/>
    <n v="4174"/>
    <n v="26367"/>
    <n v="22193"/>
    <n v="0"/>
    <n v="0"/>
    <n v="0"/>
    <n v="200"/>
    <n v="1198"/>
    <n v="0"/>
    <n v="0"/>
    <n v="0"/>
    <n v="0"/>
    <n v="1398"/>
    <n v="24969"/>
    <m/>
    <m/>
  </r>
  <r>
    <d v="2025-10-01T00:00:00"/>
    <s v="Salary"/>
    <s v="S19014J001"/>
    <s v="MOONSTONE REALINFRA PRIVATE LIMITED"/>
    <n v="649"/>
    <s v="PRAJAKTA KULKARNI"/>
    <s v="Female"/>
    <s v=""/>
    <s v="Feb 01, 2020"/>
    <s v="BJHPK2873G"/>
    <s v="101902983475"/>
    <x v="20"/>
    <s v="ASSISTANT GENERAL MANAGER"/>
    <x v="2"/>
    <s v="TL"/>
    <s v="PF"/>
    <s v="NA"/>
    <s v=""/>
    <s v=""/>
    <s v="287366904609"/>
    <s v="50100317874269"/>
    <s v="HDFC BANK"/>
    <s v="HDFC0000007"/>
    <n v="31"/>
    <n v="0"/>
    <n v="0.5"/>
    <n v="30.5"/>
    <n v="30.5"/>
    <n v="158333"/>
    <n v="158333"/>
    <n v="70101"/>
    <n v="28040"/>
    <n v="1574"/>
    <n v="197"/>
    <n v="1230"/>
    <n v="5839"/>
    <n v="14020"/>
    <n v="10515"/>
    <n v="701"/>
    <n v="2454"/>
    <n v="1402"/>
    <n v="351"/>
    <n v="1800"/>
    <n v="17555"/>
    <n v="0"/>
    <n v="0"/>
    <n v="75000"/>
    <n v="230779"/>
    <n v="155779"/>
    <n v="0"/>
    <n v="0"/>
    <n v="33182"/>
    <n v="200"/>
    <n v="1800"/>
    <n v="0"/>
    <n v="0"/>
    <n v="0"/>
    <n v="0"/>
    <n v="35182"/>
    <n v="195597"/>
    <m/>
    <m/>
  </r>
  <r>
    <d v="2025-10-01T00:00:00"/>
    <s v="Salary"/>
    <s v="S19014J001"/>
    <s v="MOONSTONE REALINFRA PRIVATE LIMITED"/>
    <n v="1746"/>
    <s v="PRAMOD HANMANT PAWAR"/>
    <s v="Male"/>
    <s v=""/>
    <s v="May 20, 2024"/>
    <s v="DFHPP2315Q"/>
    <s v="102021330261"/>
    <x v="25"/>
    <s v="PAINTER"/>
    <x v="2"/>
    <s v="SS"/>
    <s v="PF"/>
    <s v="NA"/>
    <s v=""/>
    <s v=""/>
    <s v="464124497454"/>
    <s v="50100317492692"/>
    <s v="HDFC BANK"/>
    <s v="HDFC0000007"/>
    <n v="31"/>
    <n v="0"/>
    <n v="0"/>
    <n v="31"/>
    <n v="31"/>
    <n v="28500"/>
    <n v="28500"/>
    <n v="12825"/>
    <n v="5130"/>
    <n v="1600"/>
    <n v="200"/>
    <n v="1250"/>
    <n v="0"/>
    <n v="0"/>
    <n v="0"/>
    <n v="0"/>
    <n v="0"/>
    <n v="0"/>
    <n v="0"/>
    <n v="1539"/>
    <n v="5956"/>
    <n v="0"/>
    <n v="0"/>
    <n v="3515"/>
    <n v="32015"/>
    <n v="28500"/>
    <n v="0"/>
    <n v="0"/>
    <n v="0"/>
    <n v="200"/>
    <n v="1539"/>
    <n v="0"/>
    <n v="0"/>
    <n v="0"/>
    <n v="0"/>
    <n v="1739"/>
    <n v="30276"/>
    <m/>
    <m/>
  </r>
  <r>
    <d v="2025-10-01T00:00:00"/>
    <s v="Salary"/>
    <s v="S19014J001"/>
    <s v="MOONSTONE REALINFRA PRIVATE LIMITED"/>
    <n v="2252"/>
    <s v="PRANAV DILIP JADHAV"/>
    <s v="Male"/>
    <s v=""/>
    <s v="Oct 27, 2025"/>
    <s v="APIPJ3777J"/>
    <s v="101813329564"/>
    <x v="62"/>
    <s v="SENIOR  EXECUTIVE - ACCOUNTS"/>
    <x v="5"/>
    <s v="TM"/>
    <s v="PF"/>
    <s v="NA"/>
    <s v=""/>
    <s v=""/>
    <s v="384265861977"/>
    <s v="50100382069641"/>
    <s v="HDFC BANK"/>
    <s v="HDFC0000104"/>
    <n v="31"/>
    <n v="0"/>
    <n v="0"/>
    <n v="5"/>
    <n v="5"/>
    <n v="52200"/>
    <n v="52200"/>
    <n v="3789"/>
    <n v="1516"/>
    <n v="258"/>
    <n v="200"/>
    <n v="202"/>
    <n v="316"/>
    <n v="758"/>
    <n v="568"/>
    <n v="38"/>
    <n v="133"/>
    <n v="76"/>
    <n v="19"/>
    <n v="455"/>
    <n v="91"/>
    <n v="0"/>
    <n v="0"/>
    <n v="0"/>
    <n v="8419"/>
    <n v="8419"/>
    <n v="0"/>
    <n v="0"/>
    <n v="0"/>
    <n v="175"/>
    <n v="455"/>
    <n v="0"/>
    <n v="0"/>
    <n v="0"/>
    <n v="0"/>
    <n v="630"/>
    <n v="7789"/>
    <m/>
    <m/>
  </r>
  <r>
    <d v="2025-10-01T00:00:00"/>
    <s v="Salary"/>
    <s v="S19014J001"/>
    <s v="MOONSTONE REALINFRA PRIVATE LIMITED"/>
    <n v="1771"/>
    <s v="PRASENJEET TATYARAM RANPISE"/>
    <s v="Male"/>
    <s v=""/>
    <s v="Jun 03, 2024"/>
    <s v="BEAPR4151J"/>
    <s v="101090722152"/>
    <x v="52"/>
    <s v="DEPUTY MANAGER - RESI. SALES"/>
    <x v="6"/>
    <s v="TM"/>
    <s v="PF"/>
    <s v="NA"/>
    <s v=""/>
    <s v=""/>
    <s v="327697944280"/>
    <s v="50100198966720"/>
    <s v="HDFC BANK"/>
    <s v="HDFC0001578"/>
    <n v="31"/>
    <n v="0"/>
    <n v="1"/>
    <n v="30"/>
    <n v="30"/>
    <n v="92504"/>
    <n v="92504"/>
    <n v="40284"/>
    <n v="16114"/>
    <n v="1548"/>
    <n v="194"/>
    <n v="1210"/>
    <n v="3356"/>
    <n v="8057"/>
    <n v="6043"/>
    <n v="403"/>
    <n v="1410"/>
    <n v="806"/>
    <n v="201"/>
    <n v="1800"/>
    <n v="8094"/>
    <n v="0"/>
    <n v="0"/>
    <n v="0"/>
    <n v="89520"/>
    <n v="89520"/>
    <n v="0"/>
    <n v="0"/>
    <n v="0"/>
    <n v="200"/>
    <n v="1800"/>
    <n v="0"/>
    <n v="0"/>
    <n v="0"/>
    <n v="0"/>
    <n v="2000"/>
    <n v="87520"/>
    <m/>
    <m/>
  </r>
  <r>
    <d v="2025-10-01T00:00:00"/>
    <s v="Salary"/>
    <s v="S19014J001"/>
    <s v="MOONSTONE REALINFRA PRIVATE LIMITED"/>
    <n v="1445"/>
    <s v="PRASHANT SUDAM GADRE"/>
    <s v="Male"/>
    <s v=""/>
    <s v="Jun 01, 2023"/>
    <s v="AUVPG5057A"/>
    <s v="101403170926"/>
    <x v="4"/>
    <s v="Site Supervisor"/>
    <x v="0"/>
    <s v="TM"/>
    <s v="PF"/>
    <s v="NA"/>
    <s v=""/>
    <s v=""/>
    <s v="879059513265"/>
    <s v="50100268119865"/>
    <s v="HDFC BANK"/>
    <s v="HDFC0002493"/>
    <n v="31"/>
    <n v="0"/>
    <n v="3"/>
    <n v="28"/>
    <n v="28"/>
    <n v="50225"/>
    <n v="50225"/>
    <n v="20414"/>
    <n v="8166"/>
    <n v="1445"/>
    <n v="181"/>
    <n v="1129"/>
    <n v="1700"/>
    <n v="4083"/>
    <n v="3062"/>
    <n v="204"/>
    <n v="714"/>
    <n v="408"/>
    <n v="102"/>
    <n v="1800"/>
    <n v="1957"/>
    <n v="0"/>
    <n v="0"/>
    <n v="0"/>
    <n v="45365"/>
    <n v="45365"/>
    <n v="0"/>
    <n v="0"/>
    <n v="0"/>
    <n v="200"/>
    <n v="1800"/>
    <n v="0"/>
    <n v="0"/>
    <n v="0"/>
    <n v="0"/>
    <n v="2000"/>
    <n v="43365"/>
    <m/>
    <m/>
  </r>
  <r>
    <d v="2025-10-01T00:00:00"/>
    <s v="Salary"/>
    <s v="S19014J001"/>
    <s v="MOONSTONE REALINFRA PRIVATE LIMITED"/>
    <n v="1932"/>
    <s v="PRATHMESH MAKARAND PATWARDHAN"/>
    <s v="Male"/>
    <s v=""/>
    <s v="Nov 21, 2024"/>
    <s v="DIPPP8235N"/>
    <s v="101650676266"/>
    <x v="26"/>
    <s v="ENGINEERING - COORDINATOR"/>
    <x v="0"/>
    <s v="TM"/>
    <s v="PF"/>
    <s v="NA"/>
    <s v=""/>
    <s v=""/>
    <s v="989836806639"/>
    <s v="50100773207162"/>
    <s v="HDFC BANK"/>
    <s v="HDFC0001210"/>
    <n v="31"/>
    <n v="0"/>
    <n v="1"/>
    <n v="30"/>
    <n v="30"/>
    <n v="30700"/>
    <n v="30700"/>
    <n v="13370"/>
    <n v="5348"/>
    <n v="1548"/>
    <n v="194"/>
    <n v="1210"/>
    <n v="0"/>
    <n v="0"/>
    <n v="0"/>
    <n v="0"/>
    <n v="0"/>
    <n v="0"/>
    <n v="0"/>
    <n v="1604"/>
    <n v="6436"/>
    <n v="0"/>
    <n v="0"/>
    <n v="1457"/>
    <n v="31167"/>
    <n v="29710"/>
    <n v="0"/>
    <n v="0"/>
    <n v="0"/>
    <n v="200"/>
    <n v="1604"/>
    <n v="0"/>
    <n v="0"/>
    <n v="0"/>
    <n v="0"/>
    <n v="1804"/>
    <n v="29363"/>
    <m/>
    <m/>
  </r>
  <r>
    <d v="2025-10-01T00:00:00"/>
    <s v="Salary"/>
    <s v="S19014J001"/>
    <s v="MOONSTONE REALINFRA PRIVATE LIMITED"/>
    <n v="2014"/>
    <s v="RAHUL SANJAY SONAWANE"/>
    <s v="Male"/>
    <s v=""/>
    <s v="Feb 17, 2025"/>
    <s v="COZPS7657L"/>
    <s v="102171897905"/>
    <x v="27"/>
    <s v="EXECUTIVE - POSSESSION SUPPORT"/>
    <x v="2"/>
    <s v="TM"/>
    <s v="PF"/>
    <s v="NA"/>
    <s v=""/>
    <s v=""/>
    <s v="969590676456"/>
    <s v="50100731567322"/>
    <s v="HDFC BANK"/>
    <s v="HDFC0000007"/>
    <n v="31"/>
    <n v="0"/>
    <n v="0"/>
    <n v="31"/>
    <n v="31"/>
    <n v="32033"/>
    <n v="32033"/>
    <n v="14415"/>
    <n v="5766"/>
    <n v="1600"/>
    <n v="200"/>
    <n v="1250"/>
    <n v="0"/>
    <n v="0"/>
    <n v="0"/>
    <n v="0"/>
    <n v="0"/>
    <n v="0"/>
    <n v="0"/>
    <n v="1730"/>
    <n v="7072"/>
    <n v="0"/>
    <n v="0"/>
    <n v="2051"/>
    <n v="34084"/>
    <n v="32033"/>
    <n v="0"/>
    <n v="0"/>
    <n v="0"/>
    <n v="200"/>
    <n v="1730"/>
    <n v="0"/>
    <n v="0"/>
    <n v="0"/>
    <n v="0"/>
    <n v="1930"/>
    <n v="32154"/>
    <m/>
    <m/>
  </r>
  <r>
    <d v="2025-10-01T00:00:00"/>
    <s v="Salary"/>
    <s v="S19014J001"/>
    <s v="MOONSTONE REALINFRA PRIVATE LIMITED"/>
    <n v="2190"/>
    <s v="RAHUL SAYAJI SHETE"/>
    <s v="Male"/>
    <s v=""/>
    <s v="Aug 18, 2025"/>
    <s v="LVGPS7330P"/>
    <s v="102106669268"/>
    <x v="44"/>
    <s v="POSSESSION EXECUTIVE"/>
    <x v="4"/>
    <s v="TM"/>
    <s v="PF"/>
    <s v="NA"/>
    <s v=""/>
    <s v=""/>
    <s v="330583203857"/>
    <s v="50100709895411"/>
    <s v="HDFC BANK"/>
    <s v="HDFC0009332"/>
    <n v="31"/>
    <n v="0"/>
    <n v="0"/>
    <n v="31"/>
    <n v="31"/>
    <n v="24438"/>
    <n v="24438"/>
    <n v="10997"/>
    <n v="4399"/>
    <n v="1600"/>
    <n v="200"/>
    <n v="1250"/>
    <n v="0"/>
    <n v="0"/>
    <n v="0"/>
    <n v="0"/>
    <n v="0"/>
    <n v="0"/>
    <n v="0"/>
    <n v="1320"/>
    <n v="4672"/>
    <n v="0"/>
    <n v="0"/>
    <n v="1046"/>
    <n v="25484"/>
    <n v="24438"/>
    <n v="0"/>
    <n v="0"/>
    <n v="0"/>
    <n v="200"/>
    <n v="1320"/>
    <n v="0"/>
    <n v="0"/>
    <n v="0"/>
    <n v="0"/>
    <n v="1520"/>
    <n v="23964"/>
    <m/>
    <m/>
  </r>
  <r>
    <d v="2025-10-01T00:00:00"/>
    <s v="Salary"/>
    <s v="S19014J001"/>
    <s v="MOONSTONE REALINFRA PRIVATE LIMITED"/>
    <n v="1480"/>
    <s v="RAKESH DNYANOBA SONAWANE"/>
    <s v="Male"/>
    <s v=""/>
    <s v="Jul 19, 2023"/>
    <s v="DJBPS0548N"/>
    <s v="100318745002"/>
    <x v="1"/>
    <s v="ASSISTANT PROJECT MANAGER"/>
    <x v="0"/>
    <s v="TM"/>
    <s v="PF"/>
    <s v="NA"/>
    <s v=""/>
    <s v=""/>
    <s v="815335472494"/>
    <s v="50100098216176"/>
    <s v="HDFC BANK"/>
    <s v="HDFC0000359"/>
    <n v="31"/>
    <n v="0"/>
    <n v="0"/>
    <n v="31"/>
    <n v="31"/>
    <n v="72817"/>
    <n v="72817"/>
    <n v="32768"/>
    <n v="13107"/>
    <n v="1600"/>
    <n v="200"/>
    <n v="1250"/>
    <n v="2730"/>
    <n v="6554"/>
    <n v="4915"/>
    <n v="328"/>
    <n v="1147"/>
    <n v="655"/>
    <n v="164"/>
    <n v="1800"/>
    <n v="5599"/>
    <n v="0"/>
    <n v="0"/>
    <n v="0"/>
    <n v="72817"/>
    <n v="72817"/>
    <n v="0"/>
    <n v="0"/>
    <n v="0"/>
    <n v="200"/>
    <n v="1800"/>
    <n v="0"/>
    <n v="0"/>
    <n v="0"/>
    <n v="0"/>
    <n v="2000"/>
    <n v="70817"/>
    <m/>
    <m/>
  </r>
  <r>
    <d v="2025-10-01T00:00:00"/>
    <s v="Salary"/>
    <s v="S19014J001"/>
    <s v="MOONSTONE REALINFRA PRIVATE LIMITED"/>
    <n v="405"/>
    <s v="RATIKANT RAMA CHANDRA ROUT"/>
    <s v="Male"/>
    <s v=""/>
    <s v="Dec 11, 2018"/>
    <s v="BKMPR1999E"/>
    <s v="101411918080"/>
    <x v="7"/>
    <s v="EXECUTIVE - POSSESSION"/>
    <x v="2"/>
    <s v="TM"/>
    <s v="PF"/>
    <s v="NA"/>
    <s v=""/>
    <s v=""/>
    <s v="516990099788"/>
    <s v="50100317879206"/>
    <s v="HDFC BANK"/>
    <s v="HDFC0000007"/>
    <n v="31"/>
    <n v="0"/>
    <n v="0"/>
    <n v="31"/>
    <n v="31"/>
    <n v="33167"/>
    <n v="33167"/>
    <n v="14925"/>
    <n v="5970"/>
    <n v="1600"/>
    <n v="200"/>
    <n v="1250"/>
    <n v="0"/>
    <n v="0"/>
    <n v="0"/>
    <n v="0"/>
    <n v="0"/>
    <n v="0"/>
    <n v="0"/>
    <n v="1791"/>
    <n v="7431"/>
    <n v="0"/>
    <n v="0"/>
    <n v="3062"/>
    <n v="36229"/>
    <n v="33167"/>
    <n v="0"/>
    <n v="0"/>
    <n v="0"/>
    <n v="200"/>
    <n v="1791"/>
    <n v="0"/>
    <n v="0"/>
    <n v="0"/>
    <n v="0"/>
    <n v="1991"/>
    <n v="34238"/>
    <m/>
    <m/>
  </r>
  <r>
    <d v="2025-10-01T00:00:00"/>
    <s v="Salary"/>
    <s v="S19014J001"/>
    <s v="MOONSTONE REALINFRA PRIVATE LIMITED"/>
    <n v="1916"/>
    <s v="RAVI BHARTI"/>
    <s v="Male"/>
    <s v=""/>
    <s v="Nov 11, 2024"/>
    <s v="BKLPB8249J"/>
    <s v="101569634502"/>
    <x v="2"/>
    <s v="DEPUTY MANAGER"/>
    <x v="1"/>
    <s v="TM"/>
    <s v="PF"/>
    <s v="NA"/>
    <s v=""/>
    <s v=""/>
    <s v="844495303708"/>
    <s v="50100585317756"/>
    <s v="HDFC BANK"/>
    <s v="HDFC0000627"/>
    <n v="31"/>
    <n v="0"/>
    <n v="0"/>
    <n v="31"/>
    <n v="31"/>
    <n v="94033"/>
    <n v="94033"/>
    <n v="42315"/>
    <n v="16926"/>
    <n v="1600"/>
    <n v="200"/>
    <n v="1250"/>
    <n v="3525"/>
    <n v="8463"/>
    <n v="6347"/>
    <n v="423"/>
    <n v="1481"/>
    <n v="846"/>
    <n v="212"/>
    <n v="1800"/>
    <n v="8645"/>
    <n v="0"/>
    <n v="0"/>
    <n v="562"/>
    <n v="94595"/>
    <n v="94033"/>
    <n v="0"/>
    <n v="0"/>
    <n v="0"/>
    <n v="200"/>
    <n v="1800"/>
    <n v="0"/>
    <n v="0"/>
    <n v="0"/>
    <n v="0"/>
    <n v="2000"/>
    <n v="92595"/>
    <m/>
    <m/>
  </r>
  <r>
    <d v="2025-10-01T00:00:00"/>
    <s v="Salary"/>
    <s v="S19014J001"/>
    <s v="MOONSTONE REALINFRA PRIVATE LIMITED"/>
    <n v="1093"/>
    <s v="RISHABH CHANDEL"/>
    <s v="Male"/>
    <s v=""/>
    <s v="May 16, 2022"/>
    <s v="BAOPC6525R"/>
    <s v="101633454393"/>
    <x v="43"/>
    <s v="MANAGER"/>
    <x v="6"/>
    <s v="TL"/>
    <s v="PF"/>
    <s v="NA"/>
    <s v=""/>
    <s v=""/>
    <s v="821066376289"/>
    <s v="50100312589050"/>
    <s v="HDFC BANK"/>
    <s v="HDFC0009453"/>
    <n v="31"/>
    <n v="0"/>
    <n v="0"/>
    <n v="31"/>
    <n v="31"/>
    <n v="96667"/>
    <n v="96667"/>
    <n v="43500"/>
    <n v="17400"/>
    <n v="1600"/>
    <n v="200"/>
    <n v="1250"/>
    <n v="3624"/>
    <n v="8700"/>
    <n v="6525"/>
    <n v="435"/>
    <n v="1523"/>
    <n v="870"/>
    <n v="218"/>
    <n v="1800"/>
    <n v="9022"/>
    <n v="0"/>
    <n v="0"/>
    <n v="10226"/>
    <n v="106893"/>
    <n v="96667"/>
    <n v="0"/>
    <n v="0"/>
    <n v="0"/>
    <n v="200"/>
    <n v="1800"/>
    <n v="0"/>
    <n v="0"/>
    <n v="0"/>
    <n v="0"/>
    <n v="2000"/>
    <n v="104893"/>
    <m/>
    <m/>
  </r>
  <r>
    <d v="2025-10-01T00:00:00"/>
    <s v="Salary"/>
    <s v="S19014J001"/>
    <s v="MOONSTONE REALINFRA PRIVATE LIMITED"/>
    <n v="2043"/>
    <s v="ROHIT KANHAIYALAL GYANCHANDANI"/>
    <s v="Male"/>
    <s v=""/>
    <s v="Mar 03, 2025"/>
    <s v="BFFPG1593D"/>
    <s v="101468514180"/>
    <x v="28"/>
    <s v="ASSISTANT MANAGER - ACCOUNTS"/>
    <x v="5"/>
    <s v="TM"/>
    <s v="PF"/>
    <s v="NA"/>
    <s v=""/>
    <s v=""/>
    <s v="710877491907"/>
    <s v="968210310000084"/>
    <s v="HDFC BANK"/>
    <s v="BKID0000537"/>
    <n v="31"/>
    <n v="0"/>
    <n v="5"/>
    <n v="26"/>
    <n v="26"/>
    <n v="75000"/>
    <n v="75000"/>
    <n v="28306"/>
    <n v="11322"/>
    <n v="1342"/>
    <n v="168"/>
    <n v="1048"/>
    <n v="2358"/>
    <n v="5661"/>
    <n v="4246"/>
    <n v="283"/>
    <n v="991"/>
    <n v="566"/>
    <n v="142"/>
    <n v="1800"/>
    <n v="4670"/>
    <n v="0"/>
    <n v="0"/>
    <n v="0"/>
    <n v="62903"/>
    <n v="62903"/>
    <n v="0"/>
    <n v="0"/>
    <n v="0"/>
    <n v="200"/>
    <n v="1800"/>
    <n v="0"/>
    <n v="0"/>
    <n v="0"/>
    <n v="0"/>
    <n v="2000"/>
    <n v="60903"/>
    <m/>
    <m/>
  </r>
  <r>
    <d v="2025-10-01T00:00:00"/>
    <s v="Salary"/>
    <s v="S19014J001"/>
    <s v="MOONSTONE REALINFRA PRIVATE LIMITED"/>
    <n v="2156"/>
    <s v="SANDEEP MARUTI SAWANT"/>
    <s v="Male"/>
    <s v=""/>
    <s v="Jul 01, 2025"/>
    <s v="CJDPS9049F"/>
    <s v="101160800602"/>
    <x v="45"/>
    <s v="ASSISTANT MANAGER"/>
    <x v="0"/>
    <s v="TL"/>
    <s v="PF"/>
    <s v="NA"/>
    <s v=""/>
    <s v=""/>
    <s v="396088354849"/>
    <s v="50100815728515"/>
    <s v="HDFC BANK"/>
    <s v="HDFC0008300"/>
    <n v="31"/>
    <n v="0"/>
    <n v="0"/>
    <n v="31"/>
    <n v="31"/>
    <n v="67200"/>
    <n v="67200"/>
    <n v="30240"/>
    <n v="12096"/>
    <n v="1600"/>
    <n v="200"/>
    <n v="1250"/>
    <n v="2519"/>
    <n v="6048"/>
    <n v="4536"/>
    <n v="302"/>
    <n v="1058"/>
    <n v="605"/>
    <n v="151"/>
    <n v="1800"/>
    <n v="4795"/>
    <n v="0"/>
    <n v="0"/>
    <n v="0"/>
    <n v="67200"/>
    <n v="67200"/>
    <n v="0"/>
    <n v="0"/>
    <n v="0"/>
    <n v="200"/>
    <n v="1800"/>
    <n v="0"/>
    <n v="0"/>
    <n v="0"/>
    <n v="0"/>
    <n v="2000"/>
    <n v="65200"/>
    <m/>
    <m/>
  </r>
  <r>
    <d v="2025-10-01T00:00:00"/>
    <s v="Salary"/>
    <s v="S19014J001"/>
    <s v="MOONSTONE REALINFRA PRIVATE LIMITED"/>
    <n v="413"/>
    <s v="SANDIP GHANSHAM FAND"/>
    <s v="Male"/>
    <s v=""/>
    <s v="Feb 05, 2019"/>
    <s v="ACBPF9894L"/>
    <s v="101432955213"/>
    <x v="9"/>
    <s v="SENIOR ENGINEER"/>
    <x v="0"/>
    <s v="TM"/>
    <s v="PF"/>
    <s v="NA"/>
    <s v=""/>
    <s v=""/>
    <s v="918983892865"/>
    <s v="50100317492765"/>
    <s v="HDFC BANK"/>
    <s v="HDFC0000007"/>
    <n v="31"/>
    <n v="0"/>
    <n v="0"/>
    <n v="31"/>
    <n v="31"/>
    <n v="52975"/>
    <n v="52975"/>
    <n v="23839"/>
    <n v="9536"/>
    <n v="1600"/>
    <n v="200"/>
    <n v="1250"/>
    <n v="1986"/>
    <n v="4768"/>
    <n v="3576"/>
    <n v="238"/>
    <n v="834"/>
    <n v="477"/>
    <n v="119"/>
    <n v="1800"/>
    <n v="2752"/>
    <n v="0"/>
    <n v="200"/>
    <n v="0"/>
    <n v="53175"/>
    <n v="53175"/>
    <n v="0"/>
    <n v="0"/>
    <n v="0"/>
    <n v="200"/>
    <n v="1800"/>
    <n v="0"/>
    <n v="0"/>
    <n v="0"/>
    <n v="0"/>
    <n v="2000"/>
    <n v="51175"/>
    <m/>
    <m/>
  </r>
  <r>
    <d v="2025-10-01T00:00:00"/>
    <s v="Salary"/>
    <s v="S19014J001"/>
    <s v="MOONSTONE REALINFRA PRIVATE LIMITED"/>
    <n v="1389"/>
    <s v="SANDIP RAMESHRAO JAKKALWAD"/>
    <s v="Male"/>
    <s v=""/>
    <s v="Apr 24, 2023"/>
    <s v="AWLPJ2490A"/>
    <s v="101938922335"/>
    <x v="30"/>
    <s v="SENIOR  EXECUTIVE - ACCOUNTS"/>
    <x v="5"/>
    <s v="TM"/>
    <s v="PF"/>
    <s v="NA"/>
    <s v=""/>
    <s v=""/>
    <s v="790987241865"/>
    <s v="50100318162101"/>
    <s v="HDFC BANK"/>
    <s v="HDFC0000007"/>
    <n v="31"/>
    <n v="0"/>
    <n v="0"/>
    <n v="31"/>
    <n v="31"/>
    <n v="57473"/>
    <n v="57473"/>
    <n v="25863"/>
    <n v="10345"/>
    <n v="1600"/>
    <n v="200"/>
    <n v="1250"/>
    <n v="2154"/>
    <n v="5173"/>
    <n v="3879"/>
    <n v="259"/>
    <n v="905"/>
    <n v="517"/>
    <n v="129"/>
    <n v="1800"/>
    <n v="3399"/>
    <n v="0"/>
    <n v="0"/>
    <n v="0"/>
    <n v="57473"/>
    <n v="57473"/>
    <n v="0"/>
    <n v="0"/>
    <n v="0"/>
    <n v="200"/>
    <n v="1800"/>
    <n v="0"/>
    <n v="0"/>
    <n v="0"/>
    <n v="0"/>
    <n v="2000"/>
    <n v="55473"/>
    <m/>
    <m/>
  </r>
  <r>
    <d v="2025-10-01T00:00:00"/>
    <s v="Salary"/>
    <s v="S19014J001"/>
    <s v="MOONSTONE REALINFRA PRIVATE LIMITED"/>
    <n v="1535"/>
    <s v="SANTOSH DAMU MANKAR"/>
    <s v="Male"/>
    <s v=""/>
    <s v="Sep 14, 2023"/>
    <s v="ARVPM8431B"/>
    <s v="101916942878"/>
    <x v="31"/>
    <s v="PROJECT MANAGER"/>
    <x v="0"/>
    <s v="TL"/>
    <s v="PF"/>
    <s v="NA"/>
    <s v=""/>
    <s v=""/>
    <s v="863607704890"/>
    <s v="04861720000752"/>
    <s v="HDFC BANK"/>
    <s v="HDFC0002454"/>
    <n v="31"/>
    <n v="0"/>
    <n v="3"/>
    <n v="28"/>
    <n v="28"/>
    <n v="95900"/>
    <n v="95900"/>
    <n v="38979"/>
    <n v="15592"/>
    <n v="1445"/>
    <n v="181"/>
    <n v="1129"/>
    <n v="3247"/>
    <n v="7796"/>
    <n v="5847"/>
    <n v="390"/>
    <n v="1364"/>
    <n v="780"/>
    <n v="195"/>
    <n v="1800"/>
    <n v="7874"/>
    <n v="0"/>
    <n v="200"/>
    <n v="0"/>
    <n v="86819"/>
    <n v="86819"/>
    <n v="0"/>
    <n v="0"/>
    <n v="0"/>
    <n v="200"/>
    <n v="1800"/>
    <n v="0"/>
    <n v="0"/>
    <n v="0"/>
    <n v="0"/>
    <n v="2000"/>
    <n v="84819"/>
    <m/>
    <m/>
  </r>
  <r>
    <d v="2025-10-01T00:00:00"/>
    <s v="Salary"/>
    <s v="S19014J001"/>
    <s v="MOONSTONE REALINFRA PRIVATE LIMITED"/>
    <n v="1409"/>
    <s v="SANTOSH KADAM"/>
    <s v="Male"/>
    <s v=""/>
    <s v="May 10, 2023"/>
    <s v="AZUPK6484F"/>
    <s v="100924255914"/>
    <x v="9"/>
    <s v="SENIOR ENGINEER"/>
    <x v="0"/>
    <s v="TM"/>
    <s v="PF"/>
    <s v="NA"/>
    <s v=""/>
    <s v=""/>
    <s v="333622114009"/>
    <s v="50100502294986"/>
    <s v="HDFC BANK"/>
    <s v="HDFC0001445"/>
    <n v="31"/>
    <n v="0"/>
    <n v="0"/>
    <n v="31"/>
    <n v="31"/>
    <n v="71417"/>
    <n v="71417"/>
    <n v="32138"/>
    <n v="12855"/>
    <n v="1600"/>
    <n v="200"/>
    <n v="1250"/>
    <n v="2677"/>
    <n v="6428"/>
    <n v="4821"/>
    <n v="321"/>
    <n v="1125"/>
    <n v="643"/>
    <n v="161"/>
    <n v="1800"/>
    <n v="5398"/>
    <n v="0"/>
    <n v="400"/>
    <n v="0"/>
    <n v="71817"/>
    <n v="71817"/>
    <n v="0"/>
    <n v="0"/>
    <n v="0"/>
    <n v="200"/>
    <n v="1800"/>
    <n v="0"/>
    <n v="0"/>
    <n v="0"/>
    <n v="0"/>
    <n v="2000"/>
    <n v="69817"/>
    <m/>
    <m/>
  </r>
  <r>
    <d v="2025-10-01T00:00:00"/>
    <s v="Salary"/>
    <s v="S19014J001"/>
    <s v="MOONSTONE REALINFRA PRIVATE LIMITED"/>
    <n v="2155"/>
    <s v="SAURABH MININATH NANNAVARE"/>
    <s v="Male"/>
    <s v=""/>
    <s v="Jul 01, 2025"/>
    <s v="BIJPN9700N"/>
    <s v="101177464600"/>
    <x v="46"/>
    <s v="ENGINEER"/>
    <x v="0"/>
    <s v="TM"/>
    <s v="PF"/>
    <s v="NA"/>
    <s v=""/>
    <s v=""/>
    <s v="706192695680"/>
    <s v="50100815728452"/>
    <s v="HDFC BANK"/>
    <s v="HDFC0008300"/>
    <n v="31"/>
    <n v="0"/>
    <n v="2"/>
    <n v="29"/>
    <n v="29"/>
    <n v="53200"/>
    <n v="53200"/>
    <n v="22396"/>
    <n v="8958"/>
    <n v="1497"/>
    <n v="187"/>
    <n v="1169"/>
    <n v="1866"/>
    <n v="4479"/>
    <n v="3359"/>
    <n v="224"/>
    <n v="784"/>
    <n v="448"/>
    <n v="112"/>
    <n v="1800"/>
    <n v="2489"/>
    <n v="0"/>
    <n v="0"/>
    <n v="0"/>
    <n v="49768"/>
    <n v="49768"/>
    <n v="0"/>
    <n v="0"/>
    <n v="0"/>
    <n v="200"/>
    <n v="1800"/>
    <n v="0"/>
    <n v="0"/>
    <n v="0"/>
    <n v="0"/>
    <n v="2000"/>
    <n v="47768"/>
    <m/>
    <m/>
  </r>
  <r>
    <d v="2025-10-01T00:00:00"/>
    <s v="Salary"/>
    <s v="S19014J001"/>
    <s v="MOONSTONE REALINFRA PRIVATE LIMITED"/>
    <n v="2232"/>
    <s v="SAURAV RAJENDRA NANDURKAR"/>
    <s v="Male"/>
    <s v=""/>
    <s v="Sep 30, 2025"/>
    <s v="CESPN7298P"/>
    <s v="101733070912"/>
    <x v="58"/>
    <s v="ASSISTANT MANAGER - PLANNING"/>
    <x v="0"/>
    <s v="TM"/>
    <s v="PF"/>
    <s v="NA"/>
    <s v=""/>
    <s v=""/>
    <s v="204027680041"/>
    <s v="239001532252"/>
    <s v="HDFC BANK"/>
    <s v="ICIC0002390"/>
    <n v="31"/>
    <n v="0"/>
    <n v="0"/>
    <n v="31"/>
    <n v="31"/>
    <n v="89867"/>
    <n v="89867"/>
    <n v="40440"/>
    <n v="16176"/>
    <n v="1600"/>
    <n v="200"/>
    <n v="1250"/>
    <n v="3369"/>
    <n v="8088"/>
    <n v="6066"/>
    <n v="404"/>
    <n v="1415"/>
    <n v="809"/>
    <n v="202"/>
    <n v="1800"/>
    <n v="8048"/>
    <n v="0"/>
    <n v="0"/>
    <n v="605"/>
    <n v="90472"/>
    <n v="89867"/>
    <n v="0"/>
    <n v="0"/>
    <n v="0"/>
    <n v="200"/>
    <n v="1800"/>
    <n v="0"/>
    <n v="0"/>
    <n v="0"/>
    <n v="0"/>
    <n v="2000"/>
    <n v="88472"/>
    <m/>
    <m/>
  </r>
  <r>
    <d v="2025-10-01T00:00:00"/>
    <s v="Salary"/>
    <s v="S19014J001"/>
    <s v="MOONSTONE REALINFRA PRIVATE LIMITED"/>
    <n v="2147"/>
    <s v="SAYALI LAXMAN DHAIGUDE"/>
    <s v="Female"/>
    <s v=""/>
    <s v="Jul 01, 2025"/>
    <s v="IODPD3701L"/>
    <s v="102070661731"/>
    <x v="47"/>
    <s v="GUEST RELATION EXECUTIVE"/>
    <x v="2"/>
    <s v="TM"/>
    <s v="PF"/>
    <s v="NA"/>
    <s v=""/>
    <s v=""/>
    <s v="616621359625"/>
    <s v="50100815728531"/>
    <s v="HDFC BANK"/>
    <s v="HDFC0008300"/>
    <n v="31"/>
    <n v="0"/>
    <n v="0"/>
    <n v="31"/>
    <n v="31"/>
    <n v="28380"/>
    <n v="28380"/>
    <n v="12771"/>
    <n v="5108"/>
    <n v="1600"/>
    <n v="200"/>
    <n v="1250"/>
    <n v="0"/>
    <n v="0"/>
    <n v="0"/>
    <n v="0"/>
    <n v="0"/>
    <n v="0"/>
    <n v="0"/>
    <n v="1533"/>
    <n v="5918"/>
    <n v="0"/>
    <n v="0"/>
    <n v="0"/>
    <n v="28380"/>
    <n v="28380"/>
    <n v="0"/>
    <n v="0"/>
    <n v="0"/>
    <n v="200"/>
    <n v="1533"/>
    <n v="0"/>
    <n v="0"/>
    <n v="0"/>
    <n v="0"/>
    <n v="1733"/>
    <n v="26647"/>
    <m/>
    <m/>
  </r>
  <r>
    <d v="2025-10-01T00:00:00"/>
    <s v="Salary"/>
    <s v="S19014J001"/>
    <s v="MOONSTONE REALINFRA PRIVATE LIMITED"/>
    <n v="1263"/>
    <s v="SHANKAR BASAPPA GAVI"/>
    <s v="Male"/>
    <s v=""/>
    <s v="Nov 25, 2022"/>
    <s v="BNUPG2416C"/>
    <s v="101450766269"/>
    <x v="45"/>
    <s v="ASSISTANT MANAGER"/>
    <x v="0"/>
    <s v="TM"/>
    <s v="PF"/>
    <s v="NA"/>
    <s v=""/>
    <s v=""/>
    <s v="325630092478"/>
    <s v="50100734599528"/>
    <s v="HDFC BANK"/>
    <s v="HDFC0001210"/>
    <n v="31"/>
    <n v="0"/>
    <n v="1"/>
    <n v="30"/>
    <n v="30"/>
    <n v="55900"/>
    <n v="55900"/>
    <n v="24344"/>
    <n v="9738"/>
    <n v="1548"/>
    <n v="194"/>
    <n v="1210"/>
    <n v="2028"/>
    <n v="4869"/>
    <n v="3652"/>
    <n v="243"/>
    <n v="852"/>
    <n v="487"/>
    <n v="122"/>
    <n v="1800"/>
    <n v="3010"/>
    <n v="0"/>
    <n v="0"/>
    <n v="0"/>
    <n v="54097"/>
    <n v="54097"/>
    <n v="0"/>
    <n v="0"/>
    <n v="0"/>
    <n v="200"/>
    <n v="1800"/>
    <n v="0"/>
    <n v="0"/>
    <n v="0"/>
    <n v="0"/>
    <n v="2000"/>
    <n v="52097"/>
    <m/>
    <m/>
  </r>
  <r>
    <d v="2025-10-01T00:00:00"/>
    <s v="Salary"/>
    <s v="S19014J001"/>
    <s v="MOONSTONE REALINFRA PRIVATE LIMITED"/>
    <n v="2218"/>
    <s v="SHANKAR JAGNNATH FARATE"/>
    <s v="Male"/>
    <s v=""/>
    <s v="Sep 15, 2025"/>
    <s v="AATPF9623K"/>
    <s v="102246696731"/>
    <x v="59"/>
    <s v="LISIONING-OFFICER"/>
    <x v="7"/>
    <s v="TM"/>
    <s v="PF"/>
    <s v="NA"/>
    <s v=""/>
    <s v=""/>
    <s v="431958079389"/>
    <s v="50100403586832"/>
    <s v="HDFC BANK"/>
    <s v="HDFC0000103"/>
    <n v="31"/>
    <n v="0"/>
    <n v="2"/>
    <n v="29"/>
    <n v="29"/>
    <n v="53200"/>
    <n v="53200"/>
    <n v="22396"/>
    <n v="8958"/>
    <n v="1497"/>
    <n v="187"/>
    <n v="1169"/>
    <n v="1866"/>
    <n v="4479"/>
    <n v="3359"/>
    <n v="224"/>
    <n v="784"/>
    <n v="448"/>
    <n v="112"/>
    <n v="1800"/>
    <n v="2489"/>
    <n v="0"/>
    <n v="0"/>
    <n v="2610"/>
    <n v="52378"/>
    <n v="49768"/>
    <n v="0"/>
    <n v="0"/>
    <n v="0"/>
    <n v="200"/>
    <n v="1800"/>
    <n v="0"/>
    <n v="0"/>
    <n v="0"/>
    <n v="0"/>
    <n v="2000"/>
    <n v="50378"/>
    <m/>
    <m/>
  </r>
  <r>
    <d v="2025-10-01T00:00:00"/>
    <s v="Salary"/>
    <s v="S19014J001"/>
    <s v="MOONSTONE REALINFRA PRIVATE LIMITED"/>
    <n v="1758"/>
    <s v="SHASHIKANT RAJKUMAR BHASKAR"/>
    <s v="Male"/>
    <s v=""/>
    <s v="May 25, 2024"/>
    <s v="DUVPB0713F"/>
    <s v="101916942813"/>
    <x v="9"/>
    <s v="SENIOR ENGINEER"/>
    <x v="0"/>
    <s v="TM"/>
    <s v="PF"/>
    <s v="NA"/>
    <s v=""/>
    <s v=""/>
    <s v="630621029579"/>
    <s v="50100563889297"/>
    <s v="HDFC BANK"/>
    <s v="HDFC0009526"/>
    <n v="31"/>
    <n v="0"/>
    <n v="0"/>
    <n v="31"/>
    <n v="31"/>
    <n v="68220"/>
    <n v="68220"/>
    <n v="30699"/>
    <n v="12280"/>
    <n v="1600"/>
    <n v="200"/>
    <n v="1250"/>
    <n v="2557"/>
    <n v="6140"/>
    <n v="4605"/>
    <n v="307"/>
    <n v="1074"/>
    <n v="614"/>
    <n v="154"/>
    <n v="1800"/>
    <n v="4940"/>
    <n v="0"/>
    <n v="0"/>
    <n v="396"/>
    <n v="68616"/>
    <n v="68220"/>
    <n v="0"/>
    <n v="0"/>
    <n v="0"/>
    <n v="200"/>
    <n v="1800"/>
    <n v="0"/>
    <n v="0"/>
    <n v="0"/>
    <n v="0"/>
    <n v="2000"/>
    <n v="66616"/>
    <m/>
    <m/>
  </r>
  <r>
    <d v="2025-10-01T00:00:00"/>
    <s v="Salary"/>
    <s v="S19014J001"/>
    <s v="MOONSTONE REALINFRA PRIVATE LIMITED"/>
    <n v="1624"/>
    <s v="SHRINATH SITARAM KHANDALE"/>
    <s v="Male"/>
    <s v=""/>
    <s v="Jan 23, 2024"/>
    <s v="BIZPK8142F"/>
    <s v="101215605497"/>
    <x v="22"/>
    <s v="SUPERVISOR"/>
    <x v="0"/>
    <s v="TM"/>
    <s v="PF"/>
    <s v="NA"/>
    <s v=""/>
    <s v=""/>
    <s v="740935311886"/>
    <s v="50100647442391"/>
    <s v="HDFC BANK"/>
    <s v="HDFC0008300"/>
    <n v="31"/>
    <n v="0"/>
    <n v="0"/>
    <n v="31"/>
    <n v="31"/>
    <n v="42042"/>
    <n v="42042"/>
    <n v="18919"/>
    <n v="7568"/>
    <n v="1600"/>
    <n v="200"/>
    <n v="1250"/>
    <n v="1576"/>
    <n v="3784"/>
    <n v="2838"/>
    <n v="189"/>
    <n v="662"/>
    <n v="378"/>
    <n v="95"/>
    <n v="1800"/>
    <n v="1183"/>
    <n v="0"/>
    <n v="200"/>
    <n v="0"/>
    <n v="42242"/>
    <n v="42242"/>
    <n v="0"/>
    <n v="0"/>
    <n v="0"/>
    <n v="200"/>
    <n v="1800"/>
    <n v="0"/>
    <n v="0"/>
    <n v="0"/>
    <n v="0"/>
    <n v="2000"/>
    <n v="40242"/>
    <m/>
    <m/>
  </r>
  <r>
    <d v="2025-10-01T00:00:00"/>
    <s v="Salary"/>
    <s v="S19014J001"/>
    <s v="MOONSTONE REALINFRA PRIVATE LIMITED"/>
    <n v="1738"/>
    <s v="SHRIVATSA SHRIRANG DESHPANDE"/>
    <s v="Male"/>
    <s v=""/>
    <s v="May 02, 2024"/>
    <s v="CQKPD1013N"/>
    <s v="102074135450"/>
    <x v="33"/>
    <s v="JUNIOR ENGINEER"/>
    <x v="0"/>
    <s v="TM"/>
    <s v="PF"/>
    <s v="NA"/>
    <s v=""/>
    <s v=""/>
    <s v="775752480136"/>
    <s v="50100318176957"/>
    <s v="HDFC BANK"/>
    <s v="HDFC0000007"/>
    <n v="31"/>
    <n v="0"/>
    <n v="0"/>
    <n v="31"/>
    <n v="31"/>
    <n v="35983"/>
    <n v="35983"/>
    <n v="16192"/>
    <n v="6477"/>
    <n v="1600"/>
    <n v="200"/>
    <n v="1250"/>
    <n v="0"/>
    <n v="0"/>
    <n v="0"/>
    <n v="0"/>
    <n v="0"/>
    <n v="0"/>
    <n v="0"/>
    <n v="1800"/>
    <n v="8464"/>
    <n v="0"/>
    <n v="200"/>
    <n v="0"/>
    <n v="36183"/>
    <n v="36183"/>
    <n v="0"/>
    <n v="0"/>
    <n v="0"/>
    <n v="200"/>
    <n v="1800"/>
    <n v="0"/>
    <n v="0"/>
    <n v="0"/>
    <n v="0"/>
    <n v="2000"/>
    <n v="34183"/>
    <m/>
    <m/>
  </r>
  <r>
    <d v="2025-10-01T00:00:00"/>
    <s v="Salary"/>
    <s v="S19014J001"/>
    <s v="MOONSTONE REALINFRA PRIVATE LIMITED"/>
    <n v="2175"/>
    <s v="SNEHAL PRASHANT WALE"/>
    <s v="Female"/>
    <s v=""/>
    <s v="Jul 15, 2025"/>
    <s v="CHLPK4878N"/>
    <s v="102226028536"/>
    <x v="48"/>
    <s v="MANAGER"/>
    <x v="0"/>
    <s v="TL"/>
    <s v="PF"/>
    <s v="NA"/>
    <s v=""/>
    <s v=""/>
    <s v="499534600849"/>
    <s v="99997798677300"/>
    <s v="HDFC BANK"/>
    <s v="HDFC0001795"/>
    <n v="31"/>
    <n v="0"/>
    <n v="0"/>
    <n v="31"/>
    <n v="31"/>
    <n v="137785"/>
    <n v="137785"/>
    <n v="62003"/>
    <n v="24801"/>
    <n v="1600"/>
    <n v="200"/>
    <n v="1250"/>
    <n v="5165"/>
    <n v="12401"/>
    <n v="9300"/>
    <n v="620"/>
    <n v="2170"/>
    <n v="1240"/>
    <n v="310"/>
    <n v="1800"/>
    <n v="14925"/>
    <n v="0"/>
    <n v="400"/>
    <n v="0"/>
    <n v="138185"/>
    <n v="138185"/>
    <n v="0"/>
    <n v="0"/>
    <n v="0"/>
    <n v="200"/>
    <n v="1800"/>
    <n v="0"/>
    <n v="0"/>
    <n v="0"/>
    <n v="0"/>
    <n v="2000"/>
    <n v="136185"/>
    <m/>
    <m/>
  </r>
  <r>
    <d v="2025-10-01T00:00:00"/>
    <s v="Salary"/>
    <s v="S19014J001"/>
    <s v="MOONSTONE REALINFRA PRIVATE LIMITED"/>
    <n v="1589"/>
    <s v="TAUKEEL RASHID JAMADAR"/>
    <s v="Male"/>
    <s v=""/>
    <s v="Jan 02, 2024"/>
    <s v="CGPPJ6786D"/>
    <s v="102034245800"/>
    <x v="0"/>
    <s v="FIELD ENGINEER"/>
    <x v="0"/>
    <s v="TM"/>
    <s v="PF"/>
    <s v="NA"/>
    <s v=""/>
    <s v=""/>
    <s v="477762356796"/>
    <s v="50100624533482"/>
    <s v="HDFC BANK"/>
    <s v="HDFC0000007"/>
    <n v="31"/>
    <n v="0"/>
    <n v="0"/>
    <n v="31"/>
    <n v="31"/>
    <n v="34250"/>
    <n v="34250"/>
    <n v="15413"/>
    <n v="6165"/>
    <n v="1600"/>
    <n v="200"/>
    <n v="1250"/>
    <n v="0"/>
    <n v="0"/>
    <n v="0"/>
    <n v="0"/>
    <n v="0"/>
    <n v="0"/>
    <n v="0"/>
    <n v="1800"/>
    <n v="7822"/>
    <n v="0"/>
    <n v="400"/>
    <n v="0"/>
    <n v="34650"/>
    <n v="34650"/>
    <n v="0"/>
    <n v="0"/>
    <n v="0"/>
    <n v="200"/>
    <n v="1800"/>
    <n v="0"/>
    <n v="0"/>
    <n v="0"/>
    <n v="0"/>
    <n v="2000"/>
    <n v="32650"/>
    <m/>
    <m/>
  </r>
  <r>
    <d v="2025-10-01T00:00:00"/>
    <s v="Salary"/>
    <s v="S19014J001"/>
    <s v="MOONSTONE REALINFRA PRIVATE LIMITED"/>
    <n v="2069"/>
    <s v="TIPPUSULATAN ABDUL NADAF"/>
    <s v="Male"/>
    <s v=""/>
    <s v="Mar 25, 2025"/>
    <s v="ATNPN5727D"/>
    <s v="102119999896"/>
    <x v="1"/>
    <s v="ASSISTANT PROJECT MANAGER"/>
    <x v="0"/>
    <s v="TL"/>
    <s v="PF"/>
    <s v="NA"/>
    <s v=""/>
    <s v=""/>
    <s v="308508124099"/>
    <s v="50100090742768"/>
    <s v="HDFC BANK"/>
    <s v="HDFC0005554"/>
    <n v="31"/>
    <n v="0"/>
    <n v="0"/>
    <n v="31"/>
    <n v="31"/>
    <n v="70000"/>
    <n v="70000"/>
    <n v="31500"/>
    <n v="12600"/>
    <n v="1600"/>
    <n v="200"/>
    <n v="1250"/>
    <n v="2624"/>
    <n v="6300"/>
    <n v="4725"/>
    <n v="315"/>
    <n v="1103"/>
    <n v="630"/>
    <n v="158"/>
    <n v="1800"/>
    <n v="5195"/>
    <n v="0"/>
    <n v="200"/>
    <n v="0"/>
    <n v="70200"/>
    <n v="70200"/>
    <n v="0"/>
    <n v="0"/>
    <n v="0"/>
    <n v="200"/>
    <n v="1800"/>
    <n v="0"/>
    <n v="0"/>
    <n v="0"/>
    <n v="0"/>
    <n v="2000"/>
    <n v="68200"/>
    <m/>
    <m/>
  </r>
  <r>
    <d v="2025-10-01T00:00:00"/>
    <s v="Salary"/>
    <s v="S19014J001"/>
    <s v="MOONSTONE REALINFRA PRIVATE LIMITED"/>
    <n v="1515"/>
    <s v="UJJWAL PANCHANAN SARKAR"/>
    <s v="Male"/>
    <s v=""/>
    <s v="Sep 01, 2023"/>
    <s v="BNXPS5649Q"/>
    <s v="100536583293"/>
    <x v="36"/>
    <s v="GENERAL MANAGER"/>
    <x v="6"/>
    <s v="GL"/>
    <s v="PF"/>
    <s v="NA"/>
    <s v=""/>
    <s v=""/>
    <s v="893388738382"/>
    <s v="99991683288448"/>
    <s v="HDFC BANK"/>
    <s v="HDFC0000223"/>
    <n v="31"/>
    <n v="0"/>
    <n v="0"/>
    <n v="31"/>
    <n v="31"/>
    <n v="184245"/>
    <n v="184245"/>
    <n v="82910"/>
    <n v="33164"/>
    <n v="1600"/>
    <n v="200"/>
    <n v="1250"/>
    <n v="6906"/>
    <n v="16582"/>
    <n v="12437"/>
    <n v="829"/>
    <n v="2902"/>
    <n v="1658"/>
    <n v="415"/>
    <n v="1800"/>
    <n v="21592"/>
    <n v="0"/>
    <n v="0"/>
    <n v="0"/>
    <n v="184245"/>
    <n v="184245"/>
    <n v="0"/>
    <n v="0"/>
    <n v="26142"/>
    <n v="200"/>
    <n v="1800"/>
    <n v="0"/>
    <n v="0"/>
    <n v="0"/>
    <n v="0"/>
    <n v="28142"/>
    <n v="156103"/>
    <m/>
    <m/>
  </r>
  <r>
    <d v="2025-10-01T00:00:00"/>
    <s v="Salary"/>
    <s v="S19014J001"/>
    <s v="MOONSTONE REALINFRA PRIVATE LIMITED"/>
    <n v="2015"/>
    <s v="VAIJNATH KIRAN DHURVE"/>
    <s v="Male"/>
    <s v=""/>
    <s v="Feb 17, 2025"/>
    <s v="FFEPD0662H"/>
    <s v="102171851953"/>
    <x v="6"/>
    <s v="MANAGEMENT TRAINEE"/>
    <x v="6"/>
    <s v="MT"/>
    <s v="PF"/>
    <s v="NA"/>
    <s v=""/>
    <s v=""/>
    <s v="264600892806"/>
    <s v="50100731565520"/>
    <s v="HDFC BANK"/>
    <s v="HDFC0000007"/>
    <n v="31"/>
    <n v="0"/>
    <n v="0"/>
    <n v="31"/>
    <n v="31"/>
    <n v="56533"/>
    <n v="56533"/>
    <n v="25440"/>
    <n v="10176"/>
    <n v="1600"/>
    <n v="200"/>
    <n v="1250"/>
    <n v="2119"/>
    <n v="5088"/>
    <n v="3816"/>
    <n v="254"/>
    <n v="890"/>
    <n v="509"/>
    <n v="127"/>
    <n v="1800"/>
    <n v="3264"/>
    <n v="0"/>
    <n v="0"/>
    <n v="2198"/>
    <n v="58731"/>
    <n v="56533"/>
    <n v="0"/>
    <n v="0"/>
    <n v="0"/>
    <n v="200"/>
    <n v="1800"/>
    <n v="0"/>
    <n v="0"/>
    <n v="0"/>
    <n v="0"/>
    <n v="2000"/>
    <n v="56731"/>
    <m/>
    <m/>
  </r>
  <r>
    <d v="2025-10-01T00:00:00"/>
    <s v="Salary"/>
    <s v="S19014J001"/>
    <s v="MOONSTONE REALINFRA PRIVATE LIMITED"/>
    <n v="1166"/>
    <s v="VENKATESH AGASAR"/>
    <s v="Male"/>
    <s v=""/>
    <s v="Aug 01, 2022"/>
    <s v="BVSPA7273D"/>
    <s v="101852002045"/>
    <x v="50"/>
    <s v="SENIOR EXECUTIVE"/>
    <x v="0"/>
    <s v="TM"/>
    <s v="PF"/>
    <s v="NA"/>
    <s v=""/>
    <s v=""/>
    <s v="225161825284"/>
    <s v="50100744366803"/>
    <s v="HDFC BANK"/>
    <s v="HDFC0001210"/>
    <n v="31"/>
    <n v="0"/>
    <n v="0"/>
    <n v="31"/>
    <n v="31"/>
    <n v="59983"/>
    <n v="59983"/>
    <n v="26992"/>
    <n v="10797"/>
    <n v="1600"/>
    <n v="200"/>
    <n v="1250"/>
    <n v="2248"/>
    <n v="5398"/>
    <n v="4049"/>
    <n v="270"/>
    <n v="945"/>
    <n v="540"/>
    <n v="135"/>
    <n v="1800"/>
    <n v="3759"/>
    <n v="0"/>
    <n v="1200"/>
    <n v="0"/>
    <n v="61183"/>
    <n v="61183"/>
    <n v="0"/>
    <n v="0"/>
    <n v="0"/>
    <n v="200"/>
    <n v="1800"/>
    <n v="0"/>
    <n v="0"/>
    <n v="0"/>
    <n v="0"/>
    <n v="2000"/>
    <n v="59183"/>
    <m/>
    <m/>
  </r>
  <r>
    <d v="2025-10-01T00:00:00"/>
    <s v="Salary"/>
    <s v="S19014J001"/>
    <s v="MOONSTONE REALINFRA PRIVATE LIMITED"/>
    <n v="247"/>
    <s v="VICKY SONAWANE"/>
    <s v="Male"/>
    <s v=""/>
    <s v="Nov 02, 2017"/>
    <s v="DUIPS5584N"/>
    <s v="101343066494"/>
    <x v="13"/>
    <s v="ADMIN - EXECUTIVE"/>
    <x v="0"/>
    <s v="TM"/>
    <s v="PF"/>
    <s v="NA"/>
    <s v=""/>
    <s v=""/>
    <s v="556127037647"/>
    <s v="50100225745629"/>
    <s v="HDFC BANK"/>
    <s v="HDFC0000633"/>
    <n v="31"/>
    <n v="0"/>
    <n v="0"/>
    <n v="31"/>
    <n v="31"/>
    <n v="34308"/>
    <n v="34308"/>
    <n v="15439"/>
    <n v="6176"/>
    <n v="1600"/>
    <n v="200"/>
    <n v="1250"/>
    <n v="0"/>
    <n v="0"/>
    <n v="0"/>
    <n v="0"/>
    <n v="0"/>
    <n v="0"/>
    <n v="0"/>
    <n v="1800"/>
    <n v="7843"/>
    <n v="0"/>
    <n v="400"/>
    <n v="4995"/>
    <n v="39703"/>
    <n v="34708"/>
    <n v="0"/>
    <n v="0"/>
    <n v="0"/>
    <n v="200"/>
    <n v="1800"/>
    <n v="0"/>
    <n v="0"/>
    <n v="0"/>
    <n v="0"/>
    <n v="2000"/>
    <n v="37703"/>
    <m/>
    <m/>
  </r>
  <r>
    <d v="2025-10-01T00:00:00"/>
    <s v="Salary"/>
    <s v="S19014J001"/>
    <s v="MOONSTONE REALINFRA PRIVATE LIMITED"/>
    <n v="1237"/>
    <s v="VISHAL BHAGWAN BHALERAO"/>
    <s v="Male"/>
    <s v=""/>
    <s v="Nov 04, 2022"/>
    <s v="ASCPB5291L"/>
    <s v="101511554357"/>
    <x v="4"/>
    <s v="Site Supervisor"/>
    <x v="0"/>
    <s v="TM"/>
    <s v="PF"/>
    <s v="NA"/>
    <s v=""/>
    <s v=""/>
    <s v="959686301184"/>
    <s v="50100317490351"/>
    <s v="HDFC BANK"/>
    <s v="HDFC0000007"/>
    <n v="31"/>
    <n v="0"/>
    <n v="1"/>
    <n v="30"/>
    <n v="30"/>
    <n v="31644"/>
    <n v="31644"/>
    <n v="13780"/>
    <n v="5512"/>
    <n v="1548"/>
    <n v="194"/>
    <n v="1210"/>
    <n v="0"/>
    <n v="0"/>
    <n v="0"/>
    <n v="0"/>
    <n v="0"/>
    <n v="0"/>
    <n v="0"/>
    <n v="1654"/>
    <n v="6725"/>
    <n v="0"/>
    <n v="0"/>
    <n v="0"/>
    <n v="30623"/>
    <n v="30623"/>
    <n v="0"/>
    <n v="0"/>
    <n v="0"/>
    <n v="200"/>
    <n v="1654"/>
    <n v="0"/>
    <n v="0"/>
    <n v="0"/>
    <n v="0"/>
    <n v="1854"/>
    <n v="28769"/>
    <m/>
    <m/>
  </r>
  <r>
    <d v="2025-10-01T00:00:00"/>
    <s v="Salary"/>
    <s v="S19014J001"/>
    <s v="MOONSTONE REALINFRA PRIVATE LIMITED"/>
    <n v="1941"/>
    <s v="VISHAL BHAUSAHEB KHAMGAL"/>
    <s v="Male"/>
    <s v=""/>
    <s v="Dec 02, 2024"/>
    <s v="JMIPK9231A"/>
    <s v="101949409807"/>
    <x v="33"/>
    <s v="JUNIOR ENGINEER"/>
    <x v="0"/>
    <s v="TM"/>
    <s v="PF"/>
    <s v="NA"/>
    <s v=""/>
    <s v=""/>
    <s v="664943149815"/>
    <s v="50100390573599"/>
    <s v="HDFC BANK"/>
    <s v="HDFC0000794"/>
    <n v="31"/>
    <n v="0"/>
    <n v="1"/>
    <n v="30"/>
    <n v="30"/>
    <n v="43800"/>
    <n v="43800"/>
    <n v="19074"/>
    <n v="7630"/>
    <n v="1548"/>
    <n v="194"/>
    <n v="1210"/>
    <n v="1589"/>
    <n v="3815"/>
    <n v="2861"/>
    <n v="191"/>
    <n v="668"/>
    <n v="381"/>
    <n v="95"/>
    <n v="1800"/>
    <n v="1331"/>
    <n v="0"/>
    <n v="0"/>
    <n v="220"/>
    <n v="42607"/>
    <n v="42387"/>
    <n v="0"/>
    <n v="0"/>
    <n v="0"/>
    <n v="200"/>
    <n v="1800"/>
    <n v="0"/>
    <n v="0"/>
    <n v="0"/>
    <n v="0"/>
    <n v="2000"/>
    <n v="40607"/>
    <m/>
    <m/>
  </r>
  <r>
    <d v="2025-10-01T00:00:00"/>
    <s v="Salary"/>
    <s v="S19014J001"/>
    <s v="MOONSTONE REALINFRA PRIVATE LIMITED"/>
    <n v="1950"/>
    <s v="VISHAL DILIP GAIKWAD"/>
    <s v="Male"/>
    <s v=""/>
    <s v="Dec 12, 2024"/>
    <s v="AQIPG9250G"/>
    <s v="101589191488"/>
    <x v="4"/>
    <s v="SITE SUPERVISOR"/>
    <x v="0"/>
    <s v="SS"/>
    <s v="PF"/>
    <s v="NA"/>
    <s v=""/>
    <s v=""/>
    <s v="501229058284"/>
    <s v="0607104000125031"/>
    <s v="HDFC BANK"/>
    <s v="IBKL0000607"/>
    <n v="31"/>
    <n v="0"/>
    <n v="0"/>
    <n v="31"/>
    <n v="31"/>
    <n v="35283"/>
    <n v="35283"/>
    <n v="15877"/>
    <n v="6351"/>
    <n v="1600"/>
    <n v="200"/>
    <n v="1250"/>
    <n v="0"/>
    <n v="0"/>
    <n v="0"/>
    <n v="0"/>
    <n v="0"/>
    <n v="0"/>
    <n v="0"/>
    <n v="1800"/>
    <n v="8205"/>
    <n v="0"/>
    <n v="0"/>
    <n v="1276"/>
    <n v="36559"/>
    <n v="35283"/>
    <n v="0"/>
    <n v="0"/>
    <n v="0"/>
    <n v="200"/>
    <n v="1800"/>
    <n v="0"/>
    <n v="0"/>
    <n v="0"/>
    <n v="0"/>
    <n v="2000"/>
    <n v="34559"/>
    <m/>
    <m/>
  </r>
  <r>
    <d v="2025-10-01T00:00:00"/>
    <s v="Salary"/>
    <s v="S19014J001"/>
    <s v="MOONSTONE REALINFRA PRIVATE LIMITED"/>
    <n v="1370"/>
    <s v="VISHAL SHANTARAM KORADE"/>
    <s v="Male"/>
    <s v=""/>
    <s v="Apr 10, 2023"/>
    <s v="BLYPK5831K"/>
    <s v="101150007330"/>
    <x v="21"/>
    <s v="EXECUTIVE - ADMIN"/>
    <x v="2"/>
    <s v="TM"/>
    <s v="PF"/>
    <s v="NA"/>
    <s v=""/>
    <s v=""/>
    <s v="491390366032"/>
    <s v="50100624533367"/>
    <s v="HDFC BANK"/>
    <s v="HDFC0000007"/>
    <n v="31"/>
    <n v="0"/>
    <n v="0"/>
    <n v="31"/>
    <n v="31"/>
    <n v="33000"/>
    <n v="33000"/>
    <n v="14850"/>
    <n v="5940"/>
    <n v="1600"/>
    <n v="200"/>
    <n v="1250"/>
    <n v="0"/>
    <n v="0"/>
    <n v="0"/>
    <n v="0"/>
    <n v="0"/>
    <n v="0"/>
    <n v="0"/>
    <n v="1782"/>
    <n v="7378"/>
    <n v="0"/>
    <n v="0"/>
    <n v="0"/>
    <n v="33000"/>
    <n v="33000"/>
    <n v="0"/>
    <n v="0"/>
    <n v="0"/>
    <n v="200"/>
    <n v="1782"/>
    <n v="0"/>
    <n v="0"/>
    <n v="0"/>
    <n v="0"/>
    <n v="1982"/>
    <n v="31018"/>
    <m/>
    <m/>
  </r>
  <r>
    <d v="2025-10-01T00:00:00"/>
    <s v="Salary"/>
    <s v="S19014J001"/>
    <s v="MOONSTONE REALINFRA PRIVATE LIMITED"/>
    <n v="2049"/>
    <s v="VIVEK VILAS BHOSALE"/>
    <s v="Male"/>
    <s v=""/>
    <s v="Mar 13, 2025"/>
    <s v="EXDPB6825C"/>
    <s v="102055428527"/>
    <x v="6"/>
    <s v="MANAGEMENT TRAINEE"/>
    <x v="0"/>
    <s v="MT"/>
    <s v="PF"/>
    <s v="NA"/>
    <s v=""/>
    <s v=""/>
    <s v="826110651139"/>
    <s v="50100808789342"/>
    <s v="HDFC BANK"/>
    <s v="HDFC0001210"/>
    <n v="31"/>
    <n v="0"/>
    <n v="0"/>
    <n v="31"/>
    <n v="31"/>
    <n v="27713"/>
    <n v="27713"/>
    <n v="12471"/>
    <n v="4988"/>
    <n v="1600"/>
    <n v="200"/>
    <n v="1250"/>
    <n v="0"/>
    <n v="0"/>
    <n v="0"/>
    <n v="0"/>
    <n v="0"/>
    <n v="0"/>
    <n v="0"/>
    <n v="1497"/>
    <n v="5707"/>
    <n v="0"/>
    <n v="0"/>
    <n v="374"/>
    <n v="28087"/>
    <n v="27713"/>
    <n v="0"/>
    <n v="0"/>
    <n v="0"/>
    <n v="200"/>
    <n v="1497"/>
    <n v="0"/>
    <n v="0"/>
    <n v="0"/>
    <n v="0"/>
    <n v="1697"/>
    <n v="26390"/>
    <m/>
    <m/>
  </r>
  <r>
    <d v="2025-10-01T00:00:00"/>
    <s v="Salary"/>
    <s v="S19014J001"/>
    <s v="MOONSTONE REALINFRA PRIVATE LIMITED"/>
    <n v="1121"/>
    <s v="YASH HARESH DAGHA"/>
    <s v="Male"/>
    <s v=""/>
    <s v="Jun 15, 2022"/>
    <s v="ASJPD7716K"/>
    <s v="101459690850"/>
    <x v="42"/>
    <s v="SENIOR MANAGER - RESI. SALES"/>
    <x v="6"/>
    <s v="TL"/>
    <s v="PF"/>
    <s v="NA"/>
    <s v=""/>
    <s v=""/>
    <s v="975613704897"/>
    <s v="50100489634680"/>
    <s v="HDFC BANK"/>
    <s v="HDFC0000163"/>
    <n v="31"/>
    <n v="0"/>
    <n v="0"/>
    <n v="31"/>
    <n v="31"/>
    <n v="206500"/>
    <n v="206500"/>
    <n v="92925"/>
    <n v="37170"/>
    <n v="1600"/>
    <n v="200"/>
    <n v="1250"/>
    <n v="7741"/>
    <n v="18585"/>
    <n v="13939"/>
    <n v="929"/>
    <n v="3252"/>
    <n v="1859"/>
    <n v="465"/>
    <n v="1800"/>
    <n v="24785"/>
    <n v="0"/>
    <n v="0"/>
    <n v="17223"/>
    <n v="223723"/>
    <n v="206500"/>
    <n v="0"/>
    <n v="0"/>
    <n v="41536"/>
    <n v="200"/>
    <n v="1800"/>
    <n v="0"/>
    <n v="0"/>
    <n v="0"/>
    <n v="0"/>
    <n v="43536"/>
    <n v="180187"/>
    <m/>
    <m/>
  </r>
  <r>
    <d v="2025-10-01T00:00:00"/>
    <s v="Salary"/>
    <s v="S19014J001"/>
    <s v="MOONSTONE REALINFRA PRIVATE LIMITED"/>
    <n v="1496"/>
    <s v="YOGESH KALIDAS PAWAR"/>
    <s v="Male"/>
    <s v=""/>
    <s v="Aug 01, 2023"/>
    <s v="ASXPP0952H"/>
    <s v="101235805115"/>
    <x v="9"/>
    <s v="SENIOR ENGINEER"/>
    <x v="0"/>
    <s v="TM"/>
    <s v="PF"/>
    <s v="NA"/>
    <s v=""/>
    <s v=""/>
    <s v="487287182825"/>
    <s v="50100505734101"/>
    <s v="HDFC BANK"/>
    <s v="HDFC0000039"/>
    <n v="31"/>
    <n v="0"/>
    <n v="0"/>
    <n v="31"/>
    <n v="31"/>
    <n v="55383"/>
    <n v="55383"/>
    <n v="24922"/>
    <n v="9969"/>
    <n v="1600"/>
    <n v="200"/>
    <n v="1250"/>
    <n v="2076"/>
    <n v="4984"/>
    <n v="3738"/>
    <n v="249"/>
    <n v="872"/>
    <n v="498"/>
    <n v="125"/>
    <n v="1800"/>
    <n v="3100"/>
    <n v="0"/>
    <n v="0"/>
    <n v="0"/>
    <n v="55383"/>
    <n v="55383"/>
    <n v="0"/>
    <n v="0"/>
    <n v="0"/>
    <n v="200"/>
    <n v="1800"/>
    <n v="0"/>
    <n v="0"/>
    <n v="0"/>
    <n v="0"/>
    <n v="2000"/>
    <n v="53383"/>
    <m/>
    <m/>
  </r>
  <r>
    <d v="2025-10-01T00:00:00"/>
    <s v="Incentive"/>
    <s v="S19012J001"/>
    <s v="MOONSTONE REALINFRA PRIVATE LIMITED"/>
    <n v="1770"/>
    <s v="AJIT KUMAR"/>
    <s v="Male"/>
    <m/>
    <s v="Jun 03, 2024"/>
    <s v="BJLPK0917M"/>
    <m/>
    <x v="63"/>
    <m/>
    <x v="1"/>
    <m/>
    <m/>
    <m/>
    <m/>
    <m/>
    <m/>
    <m/>
    <m/>
    <m/>
    <m/>
    <m/>
    <m/>
    <m/>
    <m/>
    <m/>
    <m/>
    <m/>
    <m/>
    <m/>
    <m/>
    <m/>
    <m/>
    <m/>
    <m/>
    <m/>
    <m/>
    <m/>
    <m/>
    <m/>
    <m/>
    <m/>
    <m/>
    <m/>
    <n v="19836"/>
    <n v="19836"/>
    <m/>
    <m/>
    <m/>
    <m/>
    <m/>
    <m/>
    <m/>
    <m/>
    <m/>
    <m/>
    <n v="19836"/>
    <s v="Hold"/>
    <m/>
  </r>
  <r>
    <d v="2025-10-01T00:00:00"/>
    <s v="Incentive"/>
    <s v="S19012J001"/>
    <s v="MOONSTONE REALINFRA PRIVATE LIMITED"/>
    <n v="1202"/>
    <s v="GAURAV KASHINATH KURANE"/>
    <s v="Male"/>
    <m/>
    <s v="Sep 28, 2022"/>
    <s v="ARVPK8048G"/>
    <m/>
    <x v="63"/>
    <m/>
    <x v="1"/>
    <m/>
    <m/>
    <m/>
    <m/>
    <m/>
    <m/>
    <m/>
    <m/>
    <m/>
    <m/>
    <m/>
    <m/>
    <m/>
    <m/>
    <m/>
    <m/>
    <m/>
    <m/>
    <m/>
    <m/>
    <m/>
    <m/>
    <m/>
    <m/>
    <m/>
    <m/>
    <m/>
    <m/>
    <m/>
    <m/>
    <m/>
    <m/>
    <m/>
    <n v="16530"/>
    <n v="16530"/>
    <m/>
    <m/>
    <m/>
    <m/>
    <m/>
    <m/>
    <m/>
    <m/>
    <m/>
    <m/>
    <n v="16530"/>
    <m/>
    <m/>
  </r>
  <r>
    <d v="2025-10-01T00:00:00"/>
    <s v="Incentive"/>
    <s v="S19012J001"/>
    <s v="MOONSTONE REALINFRA PRIVATE LIMITED"/>
    <n v="48"/>
    <s v="BHUSHAN MADANLAL LUNKAD"/>
    <s v="Male"/>
    <m/>
    <s v="Sep 05, 2015"/>
    <s v="ADTPL6823A"/>
    <m/>
    <x v="63"/>
    <m/>
    <x v="1"/>
    <m/>
    <m/>
    <m/>
    <m/>
    <m/>
    <m/>
    <m/>
    <m/>
    <m/>
    <m/>
    <m/>
    <m/>
    <m/>
    <m/>
    <m/>
    <m/>
    <m/>
    <m/>
    <m/>
    <m/>
    <m/>
    <m/>
    <m/>
    <m/>
    <m/>
    <m/>
    <m/>
    <m/>
    <m/>
    <m/>
    <m/>
    <m/>
    <m/>
    <n v="3630"/>
    <n v="3630"/>
    <m/>
    <m/>
    <m/>
    <m/>
    <m/>
    <m/>
    <m/>
    <m/>
    <m/>
    <m/>
    <n v="3630"/>
    <m/>
    <m/>
  </r>
  <r>
    <d v="2025-10-01T00:00:00"/>
    <s v="Incentive"/>
    <s v="S19012J001"/>
    <s v="MOONSTONE REALINFRA PRIVATE LIMITED"/>
    <n v="1202"/>
    <s v="GAURAV KASHINATH KURANE"/>
    <s v="Male"/>
    <m/>
    <s v="Sep 28, 2022"/>
    <s v="ARVPK8048G"/>
    <m/>
    <x v="63"/>
    <m/>
    <x v="1"/>
    <m/>
    <m/>
    <m/>
    <m/>
    <m/>
    <m/>
    <m/>
    <m/>
    <m/>
    <m/>
    <m/>
    <m/>
    <m/>
    <m/>
    <m/>
    <m/>
    <m/>
    <m/>
    <m/>
    <m/>
    <m/>
    <m/>
    <m/>
    <m/>
    <m/>
    <m/>
    <m/>
    <m/>
    <m/>
    <m/>
    <m/>
    <m/>
    <m/>
    <n v="2000"/>
    <n v="2000"/>
    <m/>
    <m/>
    <m/>
    <m/>
    <m/>
    <m/>
    <m/>
    <m/>
    <m/>
    <m/>
    <n v="2000"/>
    <m/>
    <m/>
  </r>
  <r>
    <d v="2025-10-01T00:00:00"/>
    <s v="Incentive"/>
    <s v="S19012J001"/>
    <s v="MOONSTONE REALINFRA PRIVATE LIMITED"/>
    <n v="1599"/>
    <s v="BHAVESH SHANKAR WANI"/>
    <s v="Male"/>
    <m/>
    <s v="Jan 09, 2024"/>
    <s v="AGNPW7537K"/>
    <m/>
    <x v="63"/>
    <m/>
    <x v="1"/>
    <m/>
    <m/>
    <m/>
    <m/>
    <m/>
    <m/>
    <m/>
    <m/>
    <m/>
    <m/>
    <m/>
    <m/>
    <m/>
    <m/>
    <m/>
    <m/>
    <m/>
    <m/>
    <m/>
    <m/>
    <m/>
    <m/>
    <m/>
    <m/>
    <m/>
    <m/>
    <m/>
    <m/>
    <m/>
    <m/>
    <m/>
    <m/>
    <m/>
    <n v="4000"/>
    <n v="4000"/>
    <m/>
    <m/>
    <m/>
    <m/>
    <m/>
    <m/>
    <m/>
    <m/>
    <m/>
    <m/>
    <n v="4000"/>
    <m/>
    <m/>
  </r>
  <r>
    <d v="2025-10-01T00:00:00"/>
    <s v="Incentive"/>
    <s v="S19012J001"/>
    <s v="MOONSTONE REALINFRA PRIVATE LIMITED"/>
    <n v="1700"/>
    <s v="NITEESH SHARMA"/>
    <s v="Male"/>
    <m/>
    <s v="Apr 11, 2024"/>
    <s v="BYHPS8894Q"/>
    <m/>
    <x v="63"/>
    <m/>
    <x v="1"/>
    <m/>
    <m/>
    <m/>
    <m/>
    <m/>
    <m/>
    <m/>
    <m/>
    <m/>
    <m/>
    <m/>
    <m/>
    <m/>
    <m/>
    <m/>
    <m/>
    <m/>
    <m/>
    <m/>
    <m/>
    <m/>
    <m/>
    <m/>
    <m/>
    <m/>
    <m/>
    <m/>
    <m/>
    <m/>
    <m/>
    <m/>
    <m/>
    <m/>
    <n v="6000"/>
    <n v="6000"/>
    <m/>
    <m/>
    <m/>
    <m/>
    <m/>
    <m/>
    <m/>
    <m/>
    <m/>
    <m/>
    <n v="6000"/>
    <m/>
    <m/>
  </r>
  <r>
    <d v="2025-10-01T00:00:00"/>
    <s v="Incentive"/>
    <s v="S19012J001"/>
    <s v="MOONSTONE REALINFRA PRIVATE LIMITED"/>
    <n v="1916"/>
    <s v="RAVI BHARTI"/>
    <s v="Male"/>
    <m/>
    <s v="Nov 11, 2024"/>
    <s v="BKLPB8249J"/>
    <m/>
    <x v="63"/>
    <m/>
    <x v="1"/>
    <m/>
    <m/>
    <m/>
    <m/>
    <m/>
    <m/>
    <m/>
    <m/>
    <m/>
    <m/>
    <m/>
    <m/>
    <m/>
    <m/>
    <m/>
    <m/>
    <m/>
    <m/>
    <m/>
    <m/>
    <m/>
    <m/>
    <m/>
    <m/>
    <m/>
    <m/>
    <m/>
    <m/>
    <m/>
    <m/>
    <m/>
    <m/>
    <m/>
    <n v="11500"/>
    <n v="11500"/>
    <m/>
    <m/>
    <m/>
    <m/>
    <m/>
    <m/>
    <m/>
    <m/>
    <m/>
    <m/>
    <n v="11500"/>
    <m/>
    <m/>
  </r>
  <r>
    <d v="2025-11-01T00:00:00"/>
    <s v="Salary"/>
    <s v="S19012J001"/>
    <s v="MOONSTONE REALINFRA PRIVATE LIMITED"/>
    <n v="1488"/>
    <s v="AAKASH ARVIND SHELAR"/>
    <s v="Male"/>
    <s v=""/>
    <s v="Jul 28, 2023"/>
    <s v="CKIPS7322F"/>
    <s v="101208002832"/>
    <x v="0"/>
    <s v="FIELD ENGINEER"/>
    <x v="0"/>
    <s v="TM"/>
    <s v="PF"/>
    <s v="NA"/>
    <s v=""/>
    <s v=""/>
    <s v="201223935020"/>
    <s v="50100317873546"/>
    <s v="HDFC BANK"/>
    <s v="HDFC0000007"/>
    <n v="30"/>
    <n v="0"/>
    <n v="3"/>
    <n v="27"/>
    <n v="27"/>
    <n v="42989"/>
    <n v="42989"/>
    <n v="17411"/>
    <n v="6964"/>
    <n v="1440"/>
    <n v="180"/>
    <n v="1125"/>
    <n v="1450"/>
    <n v="3482"/>
    <n v="2612"/>
    <n v="174"/>
    <n v="609"/>
    <n v="348"/>
    <n v="87"/>
    <n v="1800"/>
    <n v="1008"/>
    <n v="0"/>
    <n v="600"/>
    <n v="0"/>
    <n v="39290"/>
    <n v="39290"/>
    <n v="0"/>
    <n v="0"/>
    <n v="0"/>
    <n v="200"/>
    <n v="1800"/>
    <n v="0"/>
    <n v="0"/>
    <n v="0"/>
    <n v="0"/>
    <n v="2000"/>
    <n v="37290"/>
    <m/>
    <m/>
  </r>
  <r>
    <d v="2025-11-01T00:00:00"/>
    <s v="Salary"/>
    <s v="S19012J001"/>
    <s v="MOONSTONE REALINFRA PRIVATE LIMITED"/>
    <n v="241"/>
    <s v="ABHIJIT SHEWALE"/>
    <s v="Male"/>
    <s v=""/>
    <s v="May 17, 2016"/>
    <s v="BDYPS3411D"/>
    <s v="101411999470"/>
    <x v="1"/>
    <s v="ASSITANT PROJECT MANAGER"/>
    <x v="0"/>
    <s v="TL"/>
    <s v="PF"/>
    <s v="NA"/>
    <s v=""/>
    <s v=""/>
    <s v="229249842338"/>
    <s v="50100745804232"/>
    <s v="HDFC BANK"/>
    <s v="HDFC0001791"/>
    <n v="30"/>
    <n v="0"/>
    <n v="0"/>
    <n v="5"/>
    <n v="5"/>
    <n v="66833"/>
    <n v="66833"/>
    <n v="5013"/>
    <n v="2005"/>
    <n v="267"/>
    <n v="200"/>
    <n v="208"/>
    <n v="418"/>
    <n v="1003"/>
    <n v="752"/>
    <n v="50"/>
    <n v="175"/>
    <n v="100"/>
    <n v="25"/>
    <n v="602"/>
    <n v="321"/>
    <n v="0"/>
    <n v="0"/>
    <n v="0"/>
    <n v="11139"/>
    <n v="11139"/>
    <n v="0"/>
    <n v="0"/>
    <n v="0"/>
    <n v="200"/>
    <n v="602"/>
    <n v="0"/>
    <n v="0"/>
    <n v="0"/>
    <n v="0"/>
    <n v="802"/>
    <n v="10337"/>
    <m/>
    <m/>
  </r>
  <r>
    <d v="2025-11-01T00:00:00"/>
    <s v="Salary"/>
    <s v="S19012J001"/>
    <s v="MOONSTONE REALINFRA PRIVATE LIMITED"/>
    <n v="2163"/>
    <s v="AJAY ANIRUDDHA VAIDYA"/>
    <s v="Male"/>
    <s v=""/>
    <s v="Jul 08, 2025"/>
    <s v="AFVPV5692P"/>
    <s v="102185382695"/>
    <x v="38"/>
    <s v="GENERAL MANAGER"/>
    <x v="0"/>
    <s v="GL"/>
    <s v="PF"/>
    <s v="NA"/>
    <s v=""/>
    <s v=""/>
    <s v="806537391280"/>
    <s v="50100582779333"/>
    <s v="HDFC BANK"/>
    <s v="HDFC0001445"/>
    <n v="30"/>
    <n v="0"/>
    <n v="0"/>
    <n v="30"/>
    <n v="30"/>
    <n v="235700"/>
    <n v="235700"/>
    <n v="106065"/>
    <n v="42426"/>
    <n v="1600"/>
    <n v="200"/>
    <n v="1250"/>
    <n v="8835"/>
    <n v="21213"/>
    <n v="15910"/>
    <n v="1061"/>
    <n v="3712"/>
    <n v="2121"/>
    <n v="530"/>
    <n v="1800"/>
    <n v="28977"/>
    <n v="0"/>
    <n v="0"/>
    <n v="1375"/>
    <n v="237075"/>
    <n v="235700"/>
    <n v="0"/>
    <n v="0"/>
    <n v="21665"/>
    <n v="200"/>
    <n v="1800"/>
    <n v="0"/>
    <n v="0"/>
    <n v="0"/>
    <n v="0"/>
    <n v="23665"/>
    <n v="213410"/>
    <m/>
    <m/>
  </r>
  <r>
    <d v="2025-11-01T00:00:00"/>
    <s v="Salary"/>
    <s v="S19012J001"/>
    <s v="MOONSTONE REALINFRA PRIVATE LIMITED"/>
    <n v="2020"/>
    <s v="AJAY KUMAR GUPTA"/>
    <s v="Male"/>
    <s v=""/>
    <s v="Feb 24, 2025"/>
    <s v="ASQPG3376F"/>
    <s v="102171897914"/>
    <x v="2"/>
    <s v="DEPUTY MANAGER"/>
    <x v="1"/>
    <s v="TM"/>
    <s v="PF"/>
    <s v="NA"/>
    <s v=""/>
    <s v=""/>
    <s v="877766770711"/>
    <s v="50100732468640"/>
    <s v="HDFC BANK"/>
    <s v="HDFC0000007"/>
    <n v="30"/>
    <n v="0"/>
    <n v="0"/>
    <n v="30"/>
    <n v="30"/>
    <n v="68450"/>
    <n v="68450"/>
    <n v="30803"/>
    <n v="12321"/>
    <n v="1600"/>
    <n v="200"/>
    <n v="1250"/>
    <n v="2566"/>
    <n v="6161"/>
    <n v="4620"/>
    <n v="308"/>
    <n v="1078"/>
    <n v="616"/>
    <n v="154"/>
    <n v="1800"/>
    <n v="4973"/>
    <n v="0"/>
    <n v="0"/>
    <n v="2019"/>
    <n v="70469"/>
    <n v="68450"/>
    <n v="0"/>
    <n v="0"/>
    <n v="0"/>
    <n v="200"/>
    <n v="1800"/>
    <n v="0"/>
    <n v="0"/>
    <n v="0"/>
    <n v="0"/>
    <n v="2000"/>
    <n v="68469"/>
    <m/>
    <m/>
  </r>
  <r>
    <d v="2025-11-01T00:00:00"/>
    <s v="Salary"/>
    <s v="S19012J001"/>
    <s v="MOONSTONE REALINFRA PRIVATE LIMITED"/>
    <n v="2072"/>
    <s v="AMIT VILASRAO MALWADE"/>
    <s v="Male"/>
    <s v=""/>
    <s v="Apr 01, 2025"/>
    <s v="BYWPM1111R"/>
    <s v="100098825740"/>
    <x v="3"/>
    <s v="SENIOR MANAGER - MEP"/>
    <x v="0"/>
    <s v="TL"/>
    <s v="PF"/>
    <s v="NA"/>
    <s v=""/>
    <s v=""/>
    <s v="572207945645"/>
    <s v="50100288775748"/>
    <s v="HDFC BANK"/>
    <s v="HDFC0001578"/>
    <n v="30"/>
    <n v="0"/>
    <n v="0"/>
    <n v="30"/>
    <n v="30"/>
    <n v="123200"/>
    <n v="123200"/>
    <n v="55440"/>
    <n v="22176"/>
    <n v="1600"/>
    <n v="200"/>
    <n v="1250"/>
    <n v="4618"/>
    <n v="11088"/>
    <n v="8316"/>
    <n v="554"/>
    <n v="1940"/>
    <n v="1109"/>
    <n v="277"/>
    <n v="1800"/>
    <n v="12832"/>
    <n v="0"/>
    <n v="0"/>
    <n v="0"/>
    <n v="123200"/>
    <n v="123200"/>
    <n v="0"/>
    <n v="0"/>
    <n v="6767"/>
    <n v="200"/>
    <n v="1800"/>
    <n v="0"/>
    <n v="0"/>
    <n v="0"/>
    <n v="0"/>
    <n v="8767"/>
    <n v="114433"/>
    <m/>
    <m/>
  </r>
  <r>
    <d v="2025-11-01T00:00:00"/>
    <s v="Salary"/>
    <s v="S19012J001"/>
    <s v="MOONSTONE REALINFRA PRIVATE LIMITED"/>
    <n v="1440"/>
    <s v="AMOL BHANUDAS LOKHANDE"/>
    <s v="Male"/>
    <s v=""/>
    <s v="Jun 07, 2023"/>
    <s v="AFPPL3898F"/>
    <s v="101428013109"/>
    <x v="4"/>
    <s v="Site Supervisor"/>
    <x v="0"/>
    <s v="TM"/>
    <s v="PF"/>
    <s v="NA"/>
    <s v=""/>
    <s v=""/>
    <s v="311191516453"/>
    <s v="50100317873701"/>
    <s v="HDFC BANK"/>
    <s v="HDFC0000007"/>
    <n v="30"/>
    <n v="0"/>
    <n v="0"/>
    <n v="30"/>
    <n v="30"/>
    <n v="38617"/>
    <n v="38617"/>
    <n v="17378"/>
    <n v="6951"/>
    <n v="1600"/>
    <n v="200"/>
    <n v="1250"/>
    <n v="0"/>
    <n v="0"/>
    <n v="0"/>
    <n v="0"/>
    <n v="0"/>
    <n v="0"/>
    <n v="0"/>
    <n v="1800"/>
    <n v="9438"/>
    <n v="0"/>
    <n v="0"/>
    <n v="0"/>
    <n v="38617"/>
    <n v="38617"/>
    <n v="0"/>
    <n v="0"/>
    <n v="0"/>
    <n v="200"/>
    <n v="1800"/>
    <n v="0"/>
    <n v="0"/>
    <n v="0"/>
    <n v="0"/>
    <n v="2000"/>
    <n v="36617"/>
    <m/>
    <m/>
  </r>
  <r>
    <d v="2025-11-01T00:00:00"/>
    <s v="Salary"/>
    <s v="S19012J001"/>
    <s v="MOONSTONE REALINFRA PRIVATE LIMITED"/>
    <n v="2275"/>
    <s v="ANJUSHREE MALAKAR"/>
    <s v="Female"/>
    <s v=""/>
    <s v="Nov 17, 2025"/>
    <s v="HTIPM6513C"/>
    <s v="102267032395"/>
    <x v="6"/>
    <s v="MANAGEMENT TRAINEE"/>
    <x v="6"/>
    <s v="MT"/>
    <s v="PF"/>
    <s v="NA"/>
    <s v=""/>
    <s v=""/>
    <s v="439111071354"/>
    <s v="50100847876972"/>
    <s v="HDFC BANK"/>
    <s v="HDFC0000437"/>
    <n v="30"/>
    <n v="0"/>
    <n v="0"/>
    <n v="14"/>
    <n v="14"/>
    <n v="44033"/>
    <n v="44033"/>
    <n v="9247"/>
    <n v="3699"/>
    <n v="747"/>
    <n v="200"/>
    <n v="583"/>
    <n v="770"/>
    <n v="1849"/>
    <n v="1387"/>
    <n v="92"/>
    <n v="324"/>
    <n v="185"/>
    <n v="46"/>
    <n v="1110"/>
    <n v="310"/>
    <n v="0"/>
    <n v="0"/>
    <n v="0"/>
    <n v="20549"/>
    <n v="20549"/>
    <n v="0"/>
    <n v="0"/>
    <n v="0"/>
    <n v="175"/>
    <n v="1110"/>
    <n v="0"/>
    <n v="0"/>
    <n v="0"/>
    <n v="0"/>
    <n v="1285"/>
    <n v="19264"/>
    <m/>
    <m/>
  </r>
  <r>
    <d v="2025-11-01T00:00:00"/>
    <s v="Salary"/>
    <s v="S19012J001"/>
    <s v="MOONSTONE REALINFRA PRIVATE LIMITED"/>
    <n v="1484"/>
    <s v="ANNU PRIYA SINGH"/>
    <s v="Female"/>
    <s v=""/>
    <s v="Jul 21, 2023"/>
    <s v="BMKPP0899K"/>
    <s v="101703468619"/>
    <x v="53"/>
    <s v="SENIOR MANAGER"/>
    <x v="6"/>
    <s v="TL"/>
    <s v="PF"/>
    <s v="NA"/>
    <s v=""/>
    <s v=""/>
    <s v="492782446574"/>
    <s v="99996206293744"/>
    <s v="HDFC BANK"/>
    <s v="HDFC0000007"/>
    <n v="30"/>
    <n v="0"/>
    <n v="0"/>
    <n v="30"/>
    <n v="30"/>
    <n v="111343"/>
    <n v="111343"/>
    <n v="50104"/>
    <n v="20042"/>
    <n v="1600"/>
    <n v="200"/>
    <n v="1250"/>
    <n v="4174"/>
    <n v="10021"/>
    <n v="7516"/>
    <n v="501"/>
    <n v="1754"/>
    <n v="1002"/>
    <n v="251"/>
    <n v="1800"/>
    <n v="11128"/>
    <n v="0"/>
    <n v="3711"/>
    <n v="4048"/>
    <n v="119102"/>
    <n v="115054"/>
    <n v="0"/>
    <n v="0"/>
    <n v="8978"/>
    <n v="200"/>
    <n v="1800"/>
    <n v="0"/>
    <n v="0"/>
    <n v="0"/>
    <n v="0"/>
    <n v="10978"/>
    <n v="108124"/>
    <m/>
    <m/>
  </r>
  <r>
    <d v="2025-11-01T00:00:00"/>
    <s v="Salary"/>
    <s v="S19012J001"/>
    <s v="MOONSTONE REALINFRA PRIVATE LIMITED"/>
    <n v="2271"/>
    <s v="AVANISH KUMAR"/>
    <s v="Male"/>
    <s v=""/>
    <s v="Nov 17, 2025"/>
    <s v="JXXPK8257E"/>
    <s v="102267048375"/>
    <x v="6"/>
    <s v="MANAGEMENT TRAINEE"/>
    <x v="6"/>
    <s v="MT"/>
    <s v="PF"/>
    <s v="NA"/>
    <s v=""/>
    <s v=""/>
    <s v="411849541395"/>
    <s v="50100847876548"/>
    <s v="HDFC BANK"/>
    <s v="HDFC0000437"/>
    <n v="30"/>
    <n v="0"/>
    <n v="0"/>
    <n v="14"/>
    <n v="14"/>
    <n v="44033"/>
    <n v="44033"/>
    <n v="9247"/>
    <n v="3699"/>
    <n v="747"/>
    <n v="200"/>
    <n v="583"/>
    <n v="770"/>
    <n v="1849"/>
    <n v="1387"/>
    <n v="92"/>
    <n v="324"/>
    <n v="185"/>
    <n v="46"/>
    <n v="1110"/>
    <n v="310"/>
    <n v="0"/>
    <n v="0"/>
    <n v="0"/>
    <n v="20549"/>
    <n v="20549"/>
    <n v="0"/>
    <n v="0"/>
    <n v="0"/>
    <n v="200"/>
    <n v="1110"/>
    <n v="0"/>
    <n v="0"/>
    <n v="0"/>
    <n v="0"/>
    <n v="1310"/>
    <n v="19239"/>
    <m/>
    <m/>
  </r>
  <r>
    <d v="2025-11-01T00:00:00"/>
    <s v="Salary"/>
    <s v="S19012J001"/>
    <s v="MOONSTONE REALINFRA PRIVATE LIMITED"/>
    <n v="2216"/>
    <s v="AVINASH NANASAHEB GAGARE"/>
    <s v="Male"/>
    <s v=""/>
    <s v="Sep 15, 2025"/>
    <s v="AWHPG2500N"/>
    <s v="101839693043"/>
    <x v="45"/>
    <s v="ASSISTANT MANAGER"/>
    <x v="5"/>
    <s v="TM"/>
    <s v="PF"/>
    <s v="NA"/>
    <s v=""/>
    <s v=""/>
    <s v="687922588113"/>
    <s v="50100730455272"/>
    <s v="HDFC BANK"/>
    <s v="HDFC0009332"/>
    <n v="30"/>
    <n v="0"/>
    <n v="0"/>
    <n v="30"/>
    <n v="30"/>
    <n v="65700"/>
    <n v="65700"/>
    <n v="29565"/>
    <n v="11826"/>
    <n v="1600"/>
    <n v="200"/>
    <n v="1250"/>
    <n v="2463"/>
    <n v="5913"/>
    <n v="4435"/>
    <n v="296"/>
    <n v="1035"/>
    <n v="591"/>
    <n v="148"/>
    <n v="1800"/>
    <n v="4578"/>
    <n v="0"/>
    <n v="0"/>
    <n v="0"/>
    <n v="65700"/>
    <n v="65700"/>
    <n v="0"/>
    <n v="0"/>
    <n v="0"/>
    <n v="200"/>
    <n v="1800"/>
    <n v="0"/>
    <n v="0"/>
    <n v="0"/>
    <n v="0"/>
    <n v="2000"/>
    <n v="63700"/>
    <m/>
    <m/>
  </r>
  <r>
    <d v="2025-11-01T00:00:00"/>
    <s v="Salary"/>
    <s v="S19012J001"/>
    <s v="MOONSTONE REALINFRA PRIVATE LIMITED"/>
    <n v="2247"/>
    <s v="BAJARANG V CHAUGULE"/>
    <s v="Male"/>
    <s v=""/>
    <s v="Oct 07, 2025"/>
    <s v="ANJPC4768M"/>
    <s v="102257230707"/>
    <x v="43"/>
    <s v="MANAGER"/>
    <x v="0"/>
    <s v="TM"/>
    <s v="PF"/>
    <s v="NA"/>
    <s v=""/>
    <s v=""/>
    <s v="222947030647"/>
    <s v="50100216811030"/>
    <s v="HDFC BANK"/>
    <s v="HDFC0001783"/>
    <n v="30"/>
    <n v="0"/>
    <n v="0"/>
    <n v="30"/>
    <n v="30"/>
    <n v="88200"/>
    <n v="88200"/>
    <n v="39690"/>
    <n v="15876"/>
    <n v="1600"/>
    <n v="200"/>
    <n v="1250"/>
    <n v="3306"/>
    <n v="7938"/>
    <n v="5954"/>
    <n v="397"/>
    <n v="1389"/>
    <n v="794"/>
    <n v="198"/>
    <n v="1800"/>
    <n v="7808"/>
    <n v="0"/>
    <n v="400"/>
    <n v="0"/>
    <n v="88600"/>
    <n v="88600"/>
    <n v="0"/>
    <n v="0"/>
    <n v="0"/>
    <n v="200"/>
    <n v="1800"/>
    <n v="0"/>
    <n v="0"/>
    <n v="0"/>
    <n v="0"/>
    <n v="2000"/>
    <n v="86600"/>
    <m/>
    <m/>
  </r>
  <r>
    <d v="2025-11-01T00:00:00"/>
    <s v="Salary"/>
    <s v="S19012J001"/>
    <s v="MOONSTONE REALINFRA PRIVATE LIMITED"/>
    <n v="1599"/>
    <s v="BHAVESH SHANKAR WANI"/>
    <s v="Male"/>
    <s v=""/>
    <s v="Jan 09, 2024"/>
    <s v="AGNPW7537K"/>
    <s v="102034237231"/>
    <x v="54"/>
    <s v="ASSISTANT MANAGER - RESI. SALES"/>
    <x v="6"/>
    <s v="TM"/>
    <s v="PF"/>
    <s v="NA"/>
    <s v=""/>
    <s v=""/>
    <s v="467176812861"/>
    <s v="50100394142702"/>
    <s v="HDFC BANK"/>
    <s v="HDFC0001785"/>
    <n v="30"/>
    <n v="0"/>
    <n v="0"/>
    <n v="30"/>
    <n v="30"/>
    <n v="51640"/>
    <n v="51640"/>
    <n v="23238"/>
    <n v="9295"/>
    <n v="1600"/>
    <n v="200"/>
    <n v="1250"/>
    <n v="1936"/>
    <n v="4648"/>
    <n v="3486"/>
    <n v="232"/>
    <n v="813"/>
    <n v="465"/>
    <n v="116"/>
    <n v="1800"/>
    <n v="2561"/>
    <n v="0"/>
    <n v="3443"/>
    <n v="3808"/>
    <n v="58891"/>
    <n v="55083"/>
    <n v="0"/>
    <n v="0"/>
    <n v="0"/>
    <n v="200"/>
    <n v="1800"/>
    <n v="0"/>
    <n v="0"/>
    <n v="0"/>
    <n v="0"/>
    <n v="2000"/>
    <n v="56891"/>
    <m/>
    <m/>
  </r>
  <r>
    <d v="2025-11-01T00:00:00"/>
    <s v="Salary"/>
    <s v="S19012J001"/>
    <s v="MOONSTONE REALINFRA PRIVATE LIMITED"/>
    <n v="1180"/>
    <s v="BHUJBAL SAGAR DNYANESHWAR"/>
    <s v="Male"/>
    <s v=""/>
    <s v="Sep 12, 2022"/>
    <s v="DQJPB2913K"/>
    <s v="101457017133"/>
    <x v="7"/>
    <s v="EXECUTIVE - POSSESSION"/>
    <x v="2"/>
    <s v="TM"/>
    <s v="PF"/>
    <s v="NA"/>
    <s v=""/>
    <s v=""/>
    <s v="241411121642"/>
    <s v="0600104000093754"/>
    <s v="IDBI BANK"/>
    <s v="IBKL0000600"/>
    <n v="30"/>
    <n v="0"/>
    <n v="1"/>
    <n v="29"/>
    <n v="29"/>
    <n v="28042"/>
    <n v="28042"/>
    <n v="12198"/>
    <n v="4879"/>
    <n v="1547"/>
    <n v="193"/>
    <n v="1208"/>
    <n v="0"/>
    <n v="0"/>
    <n v="0"/>
    <n v="0"/>
    <n v="0"/>
    <n v="0"/>
    <n v="0"/>
    <n v="1464"/>
    <n v="5618"/>
    <n v="0"/>
    <n v="0"/>
    <n v="4023"/>
    <n v="31130"/>
    <n v="27107"/>
    <n v="0"/>
    <n v="0"/>
    <n v="0"/>
    <n v="200"/>
    <n v="1464"/>
    <n v="0"/>
    <n v="0"/>
    <n v="0"/>
    <n v="0"/>
    <n v="1664"/>
    <n v="29466"/>
    <m/>
    <m/>
  </r>
  <r>
    <d v="2025-11-01T00:00:00"/>
    <s v="Salary"/>
    <s v="S19012J001"/>
    <s v="MOONSTONE REALINFRA PRIVATE LIMITED"/>
    <n v="48"/>
    <s v="BHUSHAN MADANLAL LUNKAD"/>
    <s v="Male"/>
    <s v=""/>
    <s v="Sep 05, 2015"/>
    <s v="ADTPL6823A"/>
    <s v="101487437414"/>
    <x v="8"/>
    <s v="MANAGER - A &amp; O"/>
    <x v="6"/>
    <s v="TL"/>
    <s v="PF"/>
    <s v="NA"/>
    <s v=""/>
    <s v=""/>
    <s v="991187937886"/>
    <s v="00521050124966"/>
    <s v="HDFC BANK"/>
    <s v="HDFC0000052"/>
    <n v="30"/>
    <n v="0"/>
    <n v="0"/>
    <n v="30"/>
    <n v="30"/>
    <n v="107967"/>
    <n v="107967"/>
    <n v="48585"/>
    <n v="19434"/>
    <n v="1600"/>
    <n v="200"/>
    <n v="1250"/>
    <n v="4047"/>
    <n v="9717"/>
    <n v="7288"/>
    <n v="486"/>
    <n v="1700"/>
    <n v="972"/>
    <n v="243"/>
    <n v="1800"/>
    <n v="10645"/>
    <n v="0"/>
    <n v="0"/>
    <n v="0"/>
    <n v="107967"/>
    <n v="107967"/>
    <n v="0"/>
    <n v="2000"/>
    <n v="6054"/>
    <n v="200"/>
    <n v="1800"/>
    <n v="0"/>
    <n v="0"/>
    <n v="0"/>
    <n v="15000"/>
    <n v="25054"/>
    <n v="82913"/>
    <m/>
    <m/>
  </r>
  <r>
    <d v="2025-11-01T00:00:00"/>
    <s v="Salary"/>
    <s v="S19012J001"/>
    <s v="MOONSTONE REALINFRA PRIVATE LIMITED"/>
    <n v="2246"/>
    <s v="BHUSHAN SATISH DESHPANDE"/>
    <s v="Male"/>
    <s v=""/>
    <s v="Oct 14, 2025"/>
    <s v="AHUPD7618N"/>
    <s v="101156996356"/>
    <x v="60"/>
    <s v="SENIOR MANAGER"/>
    <x v="0"/>
    <s v="TL"/>
    <s v="PF"/>
    <s v="NA"/>
    <s v=""/>
    <s v=""/>
    <s v="225825367425"/>
    <s v="01031050120083"/>
    <s v="HDFC BANK"/>
    <s v="HDFC0000103"/>
    <n v="30"/>
    <n v="0"/>
    <n v="0"/>
    <n v="30"/>
    <n v="30"/>
    <n v="123200"/>
    <n v="123200"/>
    <n v="55440"/>
    <n v="22176"/>
    <n v="1600"/>
    <n v="200"/>
    <n v="1250"/>
    <n v="4618"/>
    <n v="11088"/>
    <n v="8316"/>
    <n v="554"/>
    <n v="1940"/>
    <n v="1109"/>
    <n v="277"/>
    <n v="1800"/>
    <n v="12832"/>
    <n v="0"/>
    <n v="0"/>
    <n v="0"/>
    <n v="123200"/>
    <n v="123200"/>
    <n v="0"/>
    <n v="0"/>
    <n v="0"/>
    <n v="200"/>
    <n v="1800"/>
    <n v="0"/>
    <n v="0"/>
    <n v="0"/>
    <n v="0"/>
    <n v="2000"/>
    <n v="121200"/>
    <m/>
    <m/>
  </r>
  <r>
    <d v="2025-11-01T00:00:00"/>
    <s v="Salary"/>
    <s v="S19012J001"/>
    <s v="MOONSTONE REALINFRA PRIVATE LIMITED"/>
    <n v="2276"/>
    <s v="BIDIPTA DEY SARKAR"/>
    <s v="Female"/>
    <s v=""/>
    <s v="Nov 17, 2025"/>
    <s v="PGOPS8165P"/>
    <s v="102187952261"/>
    <x v="6"/>
    <s v="MANAGEMENT TRAINEE"/>
    <x v="6"/>
    <s v="MT"/>
    <s v="PF"/>
    <s v="NA"/>
    <s v=""/>
    <s v=""/>
    <s v="800708836063"/>
    <s v="50100847878732"/>
    <s v="HDFC BANK"/>
    <s v="HDFC0000437"/>
    <n v="30"/>
    <n v="0"/>
    <n v="0"/>
    <n v="14"/>
    <n v="14"/>
    <n v="44033"/>
    <n v="44033"/>
    <n v="9247"/>
    <n v="3699"/>
    <n v="747"/>
    <n v="200"/>
    <n v="583"/>
    <n v="770"/>
    <n v="1849"/>
    <n v="1387"/>
    <n v="92"/>
    <n v="324"/>
    <n v="185"/>
    <n v="46"/>
    <n v="1110"/>
    <n v="310"/>
    <n v="0"/>
    <n v="0"/>
    <n v="0"/>
    <n v="20549"/>
    <n v="20549"/>
    <n v="0"/>
    <n v="0"/>
    <n v="0"/>
    <n v="175"/>
    <n v="1110"/>
    <n v="0"/>
    <n v="0"/>
    <n v="0"/>
    <n v="0"/>
    <n v="1285"/>
    <n v="19264"/>
    <m/>
    <m/>
  </r>
  <r>
    <d v="2025-11-01T00:00:00"/>
    <s v="Salary"/>
    <s v="S19012J001"/>
    <s v="MOONSTONE REALINFRA PRIVATE LIMITED"/>
    <n v="2017"/>
    <s v="DHAIRYA PRASAD"/>
    <s v="Male"/>
    <s v=""/>
    <s v="Feb 17, 2025"/>
    <s v="EPBPP8390Q"/>
    <s v="102171851924"/>
    <x v="6"/>
    <s v="MANAGEMENT TRAINEE"/>
    <x v="6"/>
    <s v="MT"/>
    <s v="PF"/>
    <s v="NA"/>
    <s v=""/>
    <s v=""/>
    <s v="851362488850"/>
    <s v="50100731565504"/>
    <s v="HDFC BANK"/>
    <s v="HDFC0000007"/>
    <n v="30"/>
    <n v="0"/>
    <n v="0"/>
    <n v="30"/>
    <n v="30"/>
    <n v="56533"/>
    <n v="56533"/>
    <n v="25440"/>
    <n v="10176"/>
    <n v="1600"/>
    <n v="200"/>
    <n v="1250"/>
    <n v="2119"/>
    <n v="5088"/>
    <n v="3816"/>
    <n v="254"/>
    <n v="890"/>
    <n v="509"/>
    <n v="127"/>
    <n v="1800"/>
    <n v="3264"/>
    <n v="0"/>
    <n v="0"/>
    <n v="118"/>
    <n v="56651"/>
    <n v="56533"/>
    <n v="0"/>
    <n v="0"/>
    <n v="0"/>
    <n v="200"/>
    <n v="1800"/>
    <n v="0"/>
    <n v="0"/>
    <n v="0"/>
    <n v="0"/>
    <n v="2000"/>
    <n v="54651"/>
    <m/>
    <m/>
  </r>
  <r>
    <d v="2025-11-01T00:00:00"/>
    <s v="Salary"/>
    <s v="S19012J001"/>
    <s v="MOONSTONE REALINFRA PRIVATE LIMITED"/>
    <n v="1914"/>
    <s v="DHANAJI ARJUN MALI"/>
    <s v="Male"/>
    <s v=""/>
    <s v="Nov 11, 2024"/>
    <s v="DBNPM8263C"/>
    <s v="101816559661"/>
    <x v="9"/>
    <s v="SENIOR ENGINEER"/>
    <x v="0"/>
    <s v="TM"/>
    <s v="PF"/>
    <s v="NA"/>
    <s v=""/>
    <s v=""/>
    <s v="450862785164"/>
    <s v="50100769916547"/>
    <s v="HDFC BANK"/>
    <s v="HDFC0001210"/>
    <n v="30"/>
    <n v="0"/>
    <n v="0"/>
    <n v="30"/>
    <n v="30"/>
    <n v="74033"/>
    <n v="74033"/>
    <n v="33315"/>
    <n v="13326"/>
    <n v="1600"/>
    <n v="200"/>
    <n v="1250"/>
    <n v="2775"/>
    <n v="6663"/>
    <n v="4997"/>
    <n v="333"/>
    <n v="1166"/>
    <n v="666"/>
    <n v="167"/>
    <n v="1800"/>
    <n v="5775"/>
    <n v="0"/>
    <n v="0"/>
    <n v="1980"/>
    <n v="76013"/>
    <n v="74033"/>
    <n v="0"/>
    <n v="0"/>
    <n v="0"/>
    <n v="200"/>
    <n v="1800"/>
    <n v="0"/>
    <n v="0"/>
    <n v="0"/>
    <n v="0"/>
    <n v="2000"/>
    <n v="74013"/>
    <m/>
    <m/>
  </r>
  <r>
    <d v="2025-11-01T00:00:00"/>
    <s v="Salary"/>
    <s v="S19012J001"/>
    <s v="MOONSTONE REALINFRA PRIVATE LIMITED"/>
    <n v="2186"/>
    <s v="DIPAK MAGAN KHAJURE"/>
    <s v="Male"/>
    <s v=""/>
    <s v="Aug 11, 2025"/>
    <s v="HZWPK8086G"/>
    <s v="101305133627"/>
    <x v="39"/>
    <s v="SENIOR EXECUTIVE - MIS"/>
    <x v="6"/>
    <s v="TM"/>
    <s v="PF"/>
    <s v="NA"/>
    <s v=""/>
    <s v=""/>
    <s v="620286516208"/>
    <s v="50100820320194"/>
    <s v="HDFC BANK"/>
    <s v="HDFC0000007"/>
    <n v="30"/>
    <n v="0"/>
    <n v="3"/>
    <n v="27"/>
    <n v="27"/>
    <n v="63200"/>
    <n v="63200"/>
    <n v="25596"/>
    <n v="10238"/>
    <n v="1440"/>
    <n v="180"/>
    <n v="1125"/>
    <n v="2132"/>
    <n v="5119"/>
    <n v="3839"/>
    <n v="256"/>
    <n v="896"/>
    <n v="512"/>
    <n v="128"/>
    <n v="1800"/>
    <n v="3619"/>
    <n v="0"/>
    <n v="0"/>
    <n v="0"/>
    <n v="56880"/>
    <n v="56880"/>
    <n v="0"/>
    <n v="0"/>
    <n v="0"/>
    <n v="200"/>
    <n v="1800"/>
    <n v="0"/>
    <n v="0"/>
    <n v="0"/>
    <n v="0"/>
    <n v="2000"/>
    <n v="54880"/>
    <m/>
    <m/>
  </r>
  <r>
    <d v="2025-11-01T00:00:00"/>
    <s v="Salary"/>
    <s v="S19012J001"/>
    <s v="MOONSTONE REALINFRA PRIVATE LIMITED"/>
    <n v="1209"/>
    <s v="DUNDAPPA MALLAPPA SANKPAL"/>
    <s v="Male"/>
    <s v=""/>
    <s v="Sep 03, 2022"/>
    <s v="CVOPS6863E"/>
    <s v="100379494874"/>
    <x v="40"/>
    <s v="MANAGER - HR"/>
    <x v="2"/>
    <s v="TM"/>
    <s v="PF"/>
    <s v="NA"/>
    <s v=""/>
    <s v=""/>
    <s v="818967487034"/>
    <s v="50100188631775"/>
    <s v="HDFC BANK"/>
    <s v="HDFC0000039"/>
    <n v="30"/>
    <n v="0"/>
    <n v="0"/>
    <n v="30"/>
    <n v="30"/>
    <n v="83333"/>
    <n v="83333"/>
    <n v="37500"/>
    <n v="15000"/>
    <n v="1600"/>
    <n v="200"/>
    <n v="1250"/>
    <n v="3124"/>
    <n v="7500"/>
    <n v="5625"/>
    <n v="375"/>
    <n v="1313"/>
    <n v="750"/>
    <n v="188"/>
    <n v="1800"/>
    <n v="7108"/>
    <n v="0"/>
    <n v="0"/>
    <n v="20564"/>
    <n v="103897"/>
    <n v="83333"/>
    <n v="0"/>
    <n v="160"/>
    <n v="0"/>
    <n v="200"/>
    <n v="1800"/>
    <n v="0"/>
    <n v="0"/>
    <n v="0"/>
    <n v="0"/>
    <n v="2160"/>
    <n v="101737"/>
    <m/>
    <m/>
  </r>
  <r>
    <d v="2025-11-01T00:00:00"/>
    <s v="Salary"/>
    <s v="S19012J001"/>
    <s v="MOONSTONE REALINFRA PRIVATE LIMITED"/>
    <n v="1517"/>
    <s v="GANESH SURESH PAWAR"/>
    <s v="Male"/>
    <s v=""/>
    <s v="Sep 01, 2023"/>
    <s v="CANPP1627F"/>
    <s v="101292152161"/>
    <x v="12"/>
    <s v="EXECUTIVE - MIS"/>
    <x v="2"/>
    <s v="TM"/>
    <s v="PF"/>
    <s v="NA"/>
    <s v=""/>
    <s v=""/>
    <s v="427581798506"/>
    <s v="50100729824722"/>
    <s v="HDFC BANK"/>
    <s v="HDFC0001210"/>
    <n v="30"/>
    <n v="0"/>
    <n v="0.5"/>
    <n v="29.5"/>
    <n v="29.5"/>
    <n v="47190"/>
    <n v="47190"/>
    <n v="20882"/>
    <n v="8353"/>
    <n v="1573"/>
    <n v="197"/>
    <n v="1229"/>
    <n v="1739"/>
    <n v="4176"/>
    <n v="3132"/>
    <n v="209"/>
    <n v="731"/>
    <n v="418"/>
    <n v="104"/>
    <n v="1800"/>
    <n v="1861"/>
    <n v="0"/>
    <n v="0"/>
    <n v="0"/>
    <n v="46404"/>
    <n v="46404"/>
    <n v="0"/>
    <n v="0"/>
    <n v="0"/>
    <n v="200"/>
    <n v="1800"/>
    <n v="0"/>
    <n v="0"/>
    <n v="0"/>
    <n v="0"/>
    <n v="2000"/>
    <n v="44404"/>
    <m/>
    <m/>
  </r>
  <r>
    <d v="2025-11-01T00:00:00"/>
    <s v="Salary"/>
    <s v="S19012J001"/>
    <s v="MOONSTONE REALINFRA PRIVATE LIMITED"/>
    <n v="1202"/>
    <s v="GAURAV KASHINATH KURANE"/>
    <s v="Male"/>
    <s v=""/>
    <s v="Sep 28, 2022"/>
    <s v="ARVPK8048G"/>
    <s v="100151644732"/>
    <x v="55"/>
    <s v="MANAGER - RESI. SALES"/>
    <x v="6"/>
    <s v="TM"/>
    <s v="PF"/>
    <s v="NA"/>
    <s v=""/>
    <s v=""/>
    <s v="597630357761"/>
    <s v="50100318162255"/>
    <s v="HDFC BANK"/>
    <s v="HDFC0000007"/>
    <n v="30"/>
    <n v="0"/>
    <n v="0"/>
    <n v="30"/>
    <n v="30"/>
    <n v="98333"/>
    <n v="98333"/>
    <n v="44250"/>
    <n v="17700"/>
    <n v="1600"/>
    <n v="200"/>
    <n v="1250"/>
    <n v="3686"/>
    <n v="8850"/>
    <n v="6638"/>
    <n v="443"/>
    <n v="1549"/>
    <n v="885"/>
    <n v="221"/>
    <n v="1800"/>
    <n v="9261"/>
    <n v="0"/>
    <n v="0"/>
    <n v="2959"/>
    <n v="101292"/>
    <n v="98333"/>
    <n v="0"/>
    <n v="0"/>
    <n v="1807"/>
    <n v="200"/>
    <n v="1800"/>
    <n v="0"/>
    <n v="0"/>
    <n v="0"/>
    <n v="0"/>
    <n v="3807"/>
    <n v="97485"/>
    <m/>
    <m/>
  </r>
  <r>
    <d v="2025-11-01T00:00:00"/>
    <s v="Salary"/>
    <s v="S19012J001"/>
    <s v="MOONSTONE REALINFRA PRIVATE LIMITED"/>
    <n v="2234"/>
    <s v="GUNDAREDDY "/>
    <s v="Male"/>
    <s v=""/>
    <s v="Sep 30, 2025"/>
    <s v="BPTPG4400H"/>
    <s v="101276751702"/>
    <x v="56"/>
    <s v="SENIOR EXECUTIVE HR"/>
    <x v="2"/>
    <s v="TM"/>
    <s v="PF"/>
    <s v="NA"/>
    <s v=""/>
    <s v=""/>
    <s v="793955988124"/>
    <s v="50100501671220"/>
    <s v="HDFC BANK"/>
    <s v="HDFC0004884"/>
    <n v="30"/>
    <n v="0"/>
    <n v="0.5"/>
    <n v="29.5"/>
    <n v="29.5"/>
    <n v="52200"/>
    <n v="52200"/>
    <n v="23099"/>
    <n v="9240"/>
    <n v="1573"/>
    <n v="197"/>
    <n v="1229"/>
    <n v="1924"/>
    <n v="4620"/>
    <n v="3465"/>
    <n v="231"/>
    <n v="808"/>
    <n v="462"/>
    <n v="116"/>
    <n v="1800"/>
    <n v="2566"/>
    <n v="0"/>
    <n v="0"/>
    <n v="0"/>
    <n v="51330"/>
    <n v="51330"/>
    <n v="0"/>
    <n v="0"/>
    <n v="0"/>
    <n v="200"/>
    <n v="1800"/>
    <n v="0"/>
    <n v="0"/>
    <n v="0"/>
    <n v="0"/>
    <n v="2000"/>
    <n v="49330"/>
    <m/>
    <m/>
  </r>
  <r>
    <d v="2025-11-01T00:00:00"/>
    <s v="Salary"/>
    <s v="S19012J001"/>
    <s v="MOONSTONE REALINFRA PRIVATE LIMITED"/>
    <n v="2273"/>
    <s v="HARSH VIJAY"/>
    <s v="Male"/>
    <s v=""/>
    <s v="Nov 17, 2025"/>
    <s v="CWBPV9777L"/>
    <s v="102267049861"/>
    <x v="6"/>
    <s v="MANAGEMENT TRAINEE"/>
    <x v="6"/>
    <s v="MT"/>
    <s v="PF"/>
    <s v="NA"/>
    <s v=""/>
    <s v=""/>
    <s v="997756624145"/>
    <s v="50100847878811"/>
    <s v="HDFC BANK"/>
    <s v="HDFC0000437"/>
    <n v="30"/>
    <n v="0"/>
    <n v="0"/>
    <n v="14"/>
    <n v="14"/>
    <n v="44033"/>
    <n v="44033"/>
    <n v="9247"/>
    <n v="3699"/>
    <n v="747"/>
    <n v="200"/>
    <n v="583"/>
    <n v="770"/>
    <n v="1849"/>
    <n v="1387"/>
    <n v="92"/>
    <n v="324"/>
    <n v="185"/>
    <n v="46"/>
    <n v="1110"/>
    <n v="310"/>
    <n v="0"/>
    <n v="0"/>
    <n v="0"/>
    <n v="20549"/>
    <n v="20549"/>
    <n v="0"/>
    <n v="0"/>
    <n v="0"/>
    <n v="200"/>
    <n v="1110"/>
    <n v="0"/>
    <n v="0"/>
    <n v="0"/>
    <n v="0"/>
    <n v="1310"/>
    <n v="19239"/>
    <m/>
    <m/>
  </r>
  <r>
    <d v="2025-11-01T00:00:00"/>
    <s v="Salary"/>
    <s v="S19012J001"/>
    <s v="MOONSTONE REALINFRA PRIVATE LIMITED"/>
    <n v="748"/>
    <s v="KALPESH KADAM"/>
    <s v="Male"/>
    <s v=""/>
    <s v="Feb 22, 2021"/>
    <s v="DPAPK0829F"/>
    <s v="101173740664"/>
    <x v="41"/>
    <s v="MANAGER - LIAISONING"/>
    <x v="3"/>
    <s v="TM"/>
    <s v="PF"/>
    <s v="NA"/>
    <s v=""/>
    <s v=""/>
    <s v="656902116787"/>
    <s v="50100045505567"/>
    <s v="HDFC BANK"/>
    <s v="HDFC0000794"/>
    <n v="30"/>
    <n v="0"/>
    <n v="0"/>
    <n v="30"/>
    <n v="30"/>
    <n v="62333"/>
    <n v="62333"/>
    <n v="28050"/>
    <n v="11220"/>
    <n v="1600"/>
    <n v="200"/>
    <n v="1250"/>
    <n v="2337"/>
    <n v="5610"/>
    <n v="4208"/>
    <n v="281"/>
    <n v="982"/>
    <n v="561"/>
    <n v="140"/>
    <n v="1800"/>
    <n v="4094"/>
    <n v="0"/>
    <n v="0"/>
    <n v="4478"/>
    <n v="66811"/>
    <n v="62333"/>
    <n v="0"/>
    <n v="0"/>
    <n v="0"/>
    <n v="200"/>
    <n v="1800"/>
    <n v="0"/>
    <n v="0"/>
    <n v="0"/>
    <n v="15000"/>
    <n v="17000"/>
    <n v="49811"/>
    <m/>
    <m/>
  </r>
  <r>
    <d v="2025-11-01T00:00:00"/>
    <s v="Salary"/>
    <s v="S19012J001"/>
    <s v="MOONSTONE REALINFRA PRIVATE LIMITED"/>
    <n v="2214"/>
    <s v="KAMLESH BABULAL RAJPUROHIT"/>
    <s v="Male"/>
    <s v=""/>
    <s v="Sep 15, 2025"/>
    <s v="EMJPR1063R"/>
    <s v="102077336068"/>
    <x v="57"/>
    <s v="EXECUTIVE ASSISTANT"/>
    <x v="5"/>
    <s v="TM"/>
    <s v="PF"/>
    <s v="NA"/>
    <s v=""/>
    <s v=""/>
    <s v="530249989111"/>
    <s v="50100833997330"/>
    <s v="HDFC BANK"/>
    <s v="HDFC0000437"/>
    <n v="30"/>
    <n v="0"/>
    <n v="0"/>
    <n v="30"/>
    <n v="30"/>
    <n v="54867"/>
    <n v="54867"/>
    <n v="24690"/>
    <n v="9876"/>
    <n v="1600"/>
    <n v="200"/>
    <n v="1250"/>
    <n v="2057"/>
    <n v="4938"/>
    <n v="3704"/>
    <n v="247"/>
    <n v="864"/>
    <n v="494"/>
    <n v="123"/>
    <n v="1800"/>
    <n v="3024"/>
    <n v="0"/>
    <n v="0"/>
    <n v="0"/>
    <n v="54867"/>
    <n v="54867"/>
    <n v="0"/>
    <n v="0"/>
    <n v="0"/>
    <n v="200"/>
    <n v="1800"/>
    <n v="0"/>
    <n v="0"/>
    <n v="0"/>
    <n v="0"/>
    <n v="2000"/>
    <n v="52867"/>
    <m/>
    <m/>
  </r>
  <r>
    <d v="2025-11-01T00:00:00"/>
    <s v="Salary"/>
    <s v="S19012J001"/>
    <s v="MOONSTONE REALINFRA PRIVATE LIMITED"/>
    <n v="2239"/>
    <s v="KESAVAPATNAM SAI DIVYA"/>
    <s v="Female"/>
    <s v=""/>
    <s v="Oct 07, 2025"/>
    <s v="AXQPK7747R"/>
    <s v="100736813583"/>
    <x v="11"/>
    <s v="DEPUTY MANAGER - HR"/>
    <x v="2"/>
    <s v="TM"/>
    <s v="PF"/>
    <s v="NA"/>
    <s v=""/>
    <s v=""/>
    <s v="544132081350"/>
    <s v="50100713590393"/>
    <s v="HDFC BANK"/>
    <s v="HDFC0001210"/>
    <n v="30"/>
    <n v="0"/>
    <n v="0"/>
    <n v="30"/>
    <n v="30"/>
    <n v="88067"/>
    <n v="88067"/>
    <n v="39630"/>
    <n v="15852"/>
    <n v="1600"/>
    <n v="200"/>
    <n v="1250"/>
    <n v="3301"/>
    <n v="7926"/>
    <n v="5945"/>
    <n v="396"/>
    <n v="1387"/>
    <n v="793"/>
    <n v="198"/>
    <n v="1800"/>
    <n v="7789"/>
    <n v="0"/>
    <n v="0"/>
    <n v="2539"/>
    <n v="90606"/>
    <n v="88067"/>
    <n v="0"/>
    <n v="0"/>
    <n v="0"/>
    <n v="200"/>
    <n v="1800"/>
    <n v="0"/>
    <n v="0"/>
    <n v="0"/>
    <n v="0"/>
    <n v="2000"/>
    <n v="88606"/>
    <m/>
    <m/>
  </r>
  <r>
    <d v="2025-11-01T00:00:00"/>
    <s v="Salary"/>
    <s v="S19012J001"/>
    <s v="MOONSTONE REALINFRA PRIVATE LIMITED"/>
    <n v="2152"/>
    <s v="KEWALRAJ POUDEL"/>
    <s v="Male"/>
    <s v=""/>
    <s v="Jul 01, 2025"/>
    <s v="ETGPP5536R"/>
    <s v="102121019968"/>
    <x v="33"/>
    <s v="JUNIOR ENGINEER"/>
    <x v="0"/>
    <s v="TM"/>
    <s v="PF"/>
    <s v="NA"/>
    <s v=""/>
    <s v=""/>
    <s v="462816190119"/>
    <s v="50100815728426"/>
    <s v="HDFC BANK"/>
    <s v="HDFC0008300"/>
    <n v="30"/>
    <n v="0"/>
    <n v="0"/>
    <n v="30"/>
    <n v="30"/>
    <n v="32760"/>
    <n v="32760"/>
    <n v="14742"/>
    <n v="5897"/>
    <n v="1600"/>
    <n v="200"/>
    <n v="1250"/>
    <n v="0"/>
    <n v="0"/>
    <n v="0"/>
    <n v="0"/>
    <n v="0"/>
    <n v="0"/>
    <n v="0"/>
    <n v="1769"/>
    <n v="7302"/>
    <n v="0"/>
    <n v="0"/>
    <n v="0"/>
    <n v="32760"/>
    <n v="32760"/>
    <n v="0"/>
    <n v="0"/>
    <n v="0"/>
    <n v="200"/>
    <n v="1769"/>
    <n v="0"/>
    <n v="0"/>
    <n v="0"/>
    <n v="0"/>
    <n v="1969"/>
    <n v="30791"/>
    <m/>
    <m/>
  </r>
  <r>
    <d v="2025-11-01T00:00:00"/>
    <s v="Salary"/>
    <s v="S19012J001"/>
    <s v="MOONSTONE REALINFRA PRIVATE LIMITED"/>
    <n v="2281"/>
    <s v="KHUSHI SAGAR JOSHI"/>
    <s v="Female"/>
    <s v=""/>
    <s v="Nov 20, 2025"/>
    <s v="CKAPJ8208F"/>
    <s v="101827593005"/>
    <x v="54"/>
    <s v="ASSISTANT MANAGER - RESI. SALES"/>
    <x v="6"/>
    <s v="TM"/>
    <s v="PF"/>
    <s v="NA"/>
    <s v=""/>
    <s v=""/>
    <s v="352779432599"/>
    <s v="50100490342573"/>
    <s v="HDFC BANK"/>
    <s v="HDFC0002503"/>
    <n v="30"/>
    <n v="0"/>
    <n v="0"/>
    <n v="11"/>
    <n v="11"/>
    <n v="81533"/>
    <n v="81533"/>
    <n v="13453"/>
    <n v="5381"/>
    <n v="587"/>
    <n v="200"/>
    <n v="458"/>
    <n v="1121"/>
    <n v="2691"/>
    <n v="2018"/>
    <n v="135"/>
    <n v="471"/>
    <n v="269"/>
    <n v="67"/>
    <n v="1614"/>
    <n v="1430"/>
    <n v="0"/>
    <n v="0"/>
    <n v="0"/>
    <n v="29895"/>
    <n v="29895"/>
    <n v="0"/>
    <n v="0"/>
    <n v="0"/>
    <n v="200"/>
    <n v="1614"/>
    <n v="0"/>
    <n v="0"/>
    <n v="0"/>
    <n v="0"/>
    <n v="1814"/>
    <n v="28081"/>
    <m/>
    <m/>
  </r>
  <r>
    <d v="2025-11-01T00:00:00"/>
    <s v="Salary"/>
    <s v="S19012J001"/>
    <s v="MOONSTONE REALINFRA PRIVATE LIMITED"/>
    <n v="1875"/>
    <s v="KRISHNA KUMAR TIWARI"/>
    <s v="Male"/>
    <s v=""/>
    <s v="Sep 09, 2024"/>
    <s v="AGXPT8418N"/>
    <s v="101910507765"/>
    <x v="52"/>
    <s v="DEPUTY MANAGER"/>
    <x v="6"/>
    <s v="TM"/>
    <s v="PF"/>
    <s v="NA"/>
    <s v=""/>
    <s v=""/>
    <s v="375923391923"/>
    <s v="50100755728692"/>
    <s v="HDFC BANK"/>
    <s v="HDFC0001210"/>
    <n v="30"/>
    <n v="0"/>
    <n v="0"/>
    <n v="30"/>
    <n v="30"/>
    <n v="65840"/>
    <n v="65840"/>
    <n v="29628"/>
    <n v="11851"/>
    <n v="1600"/>
    <n v="200"/>
    <n v="1250"/>
    <n v="2468"/>
    <n v="5926"/>
    <n v="4444"/>
    <n v="296"/>
    <n v="1037"/>
    <n v="593"/>
    <n v="148"/>
    <n v="1800"/>
    <n v="4599"/>
    <n v="0"/>
    <n v="0"/>
    <n v="4139"/>
    <n v="69979"/>
    <n v="65840"/>
    <n v="0"/>
    <n v="0"/>
    <n v="0"/>
    <n v="200"/>
    <n v="1800"/>
    <n v="0"/>
    <n v="0"/>
    <n v="0"/>
    <n v="0"/>
    <n v="2000"/>
    <n v="67979"/>
    <m/>
    <m/>
  </r>
  <r>
    <d v="2025-11-01T00:00:00"/>
    <s v="Salary"/>
    <s v="S19012J001"/>
    <s v="MOONSTONE REALINFRA PRIVATE LIMITED"/>
    <n v="1135"/>
    <s v="LAKSHADIP PUNDALIK THAKUR"/>
    <s v="Male"/>
    <s v=""/>
    <s v="Jul 01, 2022"/>
    <s v="AIKPT5980A"/>
    <s v="100202447925"/>
    <x v="42"/>
    <s v="SENIOR MANAGER - RESI. SALES"/>
    <x v="6"/>
    <s v="TL"/>
    <s v="PF"/>
    <s v="NA"/>
    <s v=""/>
    <s v=""/>
    <s v="332553462353"/>
    <s v="50100224949010"/>
    <s v="HDFC BANK"/>
    <s v="HDFC0003982"/>
    <n v="30"/>
    <n v="0"/>
    <n v="0"/>
    <n v="30"/>
    <n v="30"/>
    <n v="146667"/>
    <n v="146667"/>
    <n v="66000"/>
    <n v="26400"/>
    <n v="1600"/>
    <n v="200"/>
    <n v="1250"/>
    <n v="5498"/>
    <n v="13200"/>
    <n v="9900"/>
    <n v="660"/>
    <n v="2310"/>
    <n v="1320"/>
    <n v="330"/>
    <n v="1800"/>
    <n v="16199"/>
    <n v="0"/>
    <n v="0"/>
    <n v="10401"/>
    <n v="157068"/>
    <n v="146667"/>
    <n v="0"/>
    <n v="0"/>
    <n v="18674"/>
    <n v="200"/>
    <n v="1800"/>
    <n v="0"/>
    <n v="0"/>
    <n v="0"/>
    <n v="0"/>
    <n v="20674"/>
    <n v="136394"/>
    <m/>
    <m/>
  </r>
  <r>
    <d v="2025-11-01T00:00:00"/>
    <s v="Salary"/>
    <s v="S19012J001"/>
    <s v="MOONSTONE REALINFRA PRIVATE LIMITED"/>
    <n v="1997"/>
    <s v="MAHESH MADHUKAR KATE"/>
    <s v="Male"/>
    <s v=""/>
    <s v="Feb 15, 2025"/>
    <s v="JJFPK7967B"/>
    <s v="101675376988"/>
    <x v="16"/>
    <s v="SAFETY OFICER"/>
    <x v="0"/>
    <s v="TM"/>
    <s v="PF"/>
    <s v="NA"/>
    <s v=""/>
    <s v=""/>
    <s v="696647163423"/>
    <s v="50100731567384"/>
    <s v="HDFC BANK"/>
    <s v="HDFC0000007"/>
    <n v="30"/>
    <n v="0"/>
    <n v="0"/>
    <n v="30"/>
    <n v="30"/>
    <n v="36067"/>
    <n v="36067"/>
    <n v="16230"/>
    <n v="6492"/>
    <n v="1600"/>
    <n v="200"/>
    <n v="1250"/>
    <n v="0"/>
    <n v="0"/>
    <n v="0"/>
    <n v="0"/>
    <n v="0"/>
    <n v="0"/>
    <n v="0"/>
    <n v="1800"/>
    <n v="8495"/>
    <n v="0"/>
    <n v="0"/>
    <n v="0"/>
    <n v="36067"/>
    <n v="36067"/>
    <n v="0"/>
    <n v="0"/>
    <n v="0"/>
    <n v="200"/>
    <n v="1800"/>
    <n v="0"/>
    <n v="0"/>
    <n v="0"/>
    <n v="0"/>
    <n v="2000"/>
    <n v="34067"/>
    <m/>
    <m/>
  </r>
  <r>
    <d v="2025-11-01T00:00:00"/>
    <s v="Salary"/>
    <s v="S19012J001"/>
    <s v="MOONSTONE REALINFRA PRIVATE LIMITED"/>
    <n v="2272"/>
    <s v="MAHIMA RAWAL"/>
    <s v="Female"/>
    <s v=""/>
    <s v="Nov 17, 2025"/>
    <s v="DVJPR7360M"/>
    <s v="101675947536"/>
    <x v="6"/>
    <s v="MANAGEMENT TRAINEE"/>
    <x v="6"/>
    <s v="MT"/>
    <s v="PF"/>
    <s v="NA"/>
    <s v=""/>
    <s v=""/>
    <s v="707738000576"/>
    <s v="50100289085145"/>
    <s v="HDFC BANK"/>
    <s v="HDFC0001443"/>
    <n v="30"/>
    <n v="0"/>
    <n v="0"/>
    <n v="14"/>
    <n v="14"/>
    <n v="44033"/>
    <n v="44033"/>
    <n v="9247"/>
    <n v="3699"/>
    <n v="747"/>
    <n v="200"/>
    <n v="583"/>
    <n v="770"/>
    <n v="1849"/>
    <n v="1387"/>
    <n v="92"/>
    <n v="324"/>
    <n v="185"/>
    <n v="46"/>
    <n v="1110"/>
    <n v="310"/>
    <n v="0"/>
    <n v="0"/>
    <n v="0"/>
    <n v="20549"/>
    <n v="20549"/>
    <n v="0"/>
    <n v="0"/>
    <n v="0"/>
    <n v="175"/>
    <n v="1110"/>
    <n v="0"/>
    <n v="0"/>
    <n v="0"/>
    <n v="0"/>
    <n v="1285"/>
    <n v="19264"/>
    <m/>
    <m/>
  </r>
  <r>
    <d v="2025-11-01T00:00:00"/>
    <s v="Salary"/>
    <s v="S19012J001"/>
    <s v="MOONSTONE REALINFRA PRIVATE LIMITED"/>
    <n v="726"/>
    <s v="MAHVEEN SAYYED"/>
    <s v="Female"/>
    <s v=""/>
    <s v="Dec 01, 2020"/>
    <s v="NUMPS3199R"/>
    <s v="101726376057"/>
    <x v="17"/>
    <s v="RECEPTIONIST"/>
    <x v="4"/>
    <s v="TM"/>
    <s v="PF"/>
    <s v="NA"/>
    <s v=""/>
    <s v=""/>
    <s v="677097563942"/>
    <s v="50100317492831"/>
    <s v="HDFC BANK"/>
    <s v="HDFC0000007"/>
    <n v="30"/>
    <n v="0"/>
    <n v="0"/>
    <n v="30"/>
    <n v="30"/>
    <n v="27904"/>
    <n v="27904"/>
    <n v="12557"/>
    <n v="5023"/>
    <n v="1600"/>
    <n v="200"/>
    <n v="1250"/>
    <n v="0"/>
    <n v="0"/>
    <n v="0"/>
    <n v="0"/>
    <n v="0"/>
    <n v="0"/>
    <n v="0"/>
    <n v="1507"/>
    <n v="5767"/>
    <n v="0"/>
    <n v="0"/>
    <n v="0"/>
    <n v="27904"/>
    <n v="27904"/>
    <n v="0"/>
    <n v="0"/>
    <n v="0"/>
    <n v="200"/>
    <n v="1507"/>
    <n v="0"/>
    <n v="0"/>
    <n v="0"/>
    <n v="0"/>
    <n v="1707"/>
    <n v="26197"/>
    <m/>
    <m/>
  </r>
  <r>
    <d v="2025-11-01T00:00:00"/>
    <s v="Salary"/>
    <s v="S19012J001"/>
    <s v="MOONSTONE REALINFRA PRIVATE LIMITED"/>
    <n v="1722"/>
    <s v="MANOJ KUMAR VARMA"/>
    <s v="Male"/>
    <s v=""/>
    <s v="May 02, 2024"/>
    <s v="AAEPV3962E"/>
    <s v="101345330257"/>
    <x v="18"/>
    <s v="SENIOR VICE PRESIDENT"/>
    <x v="0"/>
    <s v="TH"/>
    <s v="PF"/>
    <s v="NA"/>
    <s v=""/>
    <s v=""/>
    <s v="768669459723"/>
    <s v="01531050005109"/>
    <s v="HDFC BANK"/>
    <s v="HDFC0000153"/>
    <n v="30"/>
    <n v="0"/>
    <n v="6"/>
    <n v="24"/>
    <n v="24"/>
    <n v="434795"/>
    <n v="434795"/>
    <n v="156526"/>
    <n v="62610"/>
    <n v="1280"/>
    <n v="160"/>
    <n v="1000"/>
    <n v="13039"/>
    <n v="31305"/>
    <n v="23479"/>
    <n v="1565"/>
    <n v="5478"/>
    <n v="3131"/>
    <n v="783"/>
    <n v="1800"/>
    <n v="45680"/>
    <n v="0"/>
    <n v="0"/>
    <n v="0"/>
    <n v="347836"/>
    <n v="347836"/>
    <n v="0"/>
    <n v="0"/>
    <n v="144055"/>
    <n v="200"/>
    <n v="1800"/>
    <n v="0"/>
    <n v="0"/>
    <n v="0"/>
    <n v="0"/>
    <n v="146055"/>
    <n v="201781"/>
    <m/>
    <m/>
  </r>
  <r>
    <d v="2025-11-01T00:00:00"/>
    <s v="Salary"/>
    <s v="S19012J001"/>
    <s v="MOONSTONE REALINFRA PRIVATE LIMITED"/>
    <n v="2241"/>
    <s v="MANVI DHRUVRAJ SINGH"/>
    <s v="Female"/>
    <s v=""/>
    <s v="Oct 09, 2025"/>
    <s v="OCSPS6842C"/>
    <s v="101948310999"/>
    <x v="61"/>
    <s v="SENIOR EXECUTIVE - RESI. SALES"/>
    <x v="6"/>
    <s v="TM"/>
    <s v="PF"/>
    <s v="NA"/>
    <s v=""/>
    <s v=""/>
    <s v="395020615512"/>
    <s v="50100774099998"/>
    <s v="HDFC BANK"/>
    <s v="HDFC0002690"/>
    <n v="30"/>
    <n v="0"/>
    <n v="1"/>
    <n v="29"/>
    <n v="29"/>
    <n v="47367"/>
    <n v="47367"/>
    <n v="20605"/>
    <n v="8242"/>
    <n v="1547"/>
    <n v="193"/>
    <n v="1208"/>
    <n v="1716"/>
    <n v="4121"/>
    <n v="3091"/>
    <n v="206"/>
    <n v="721"/>
    <n v="412"/>
    <n v="103"/>
    <n v="1800"/>
    <n v="1823"/>
    <n v="0"/>
    <n v="0"/>
    <n v="258"/>
    <n v="46046"/>
    <n v="45788"/>
    <n v="0"/>
    <n v="0"/>
    <n v="0"/>
    <n v="200"/>
    <n v="1800"/>
    <n v="0"/>
    <n v="0"/>
    <n v="0"/>
    <n v="0"/>
    <n v="2000"/>
    <n v="44046"/>
    <m/>
    <m/>
  </r>
  <r>
    <d v="2025-11-01T00:00:00"/>
    <s v="Salary"/>
    <s v="S19012J001"/>
    <s v="MOONSTONE REALINFRA PRIVATE LIMITED"/>
    <n v="1937"/>
    <s v="MAYANK ACHARYA"/>
    <s v="Male"/>
    <s v=""/>
    <s v="Nov 25, 2024"/>
    <s v="DZPPA7006D"/>
    <s v="102142125408"/>
    <x v="6"/>
    <s v="MANAGEMENT TRAINEE"/>
    <x v="6"/>
    <s v="MT"/>
    <s v="PF"/>
    <s v="NA"/>
    <s v=""/>
    <s v=""/>
    <s v="596849238511"/>
    <s v="50100773207188"/>
    <s v="HDFC BANK"/>
    <s v="HDFC0001210"/>
    <n v="30"/>
    <n v="0"/>
    <n v="0"/>
    <n v="30"/>
    <n v="30"/>
    <n v="31533"/>
    <n v="31533"/>
    <n v="14190"/>
    <n v="5676"/>
    <n v="1600"/>
    <n v="200"/>
    <n v="1250"/>
    <n v="0"/>
    <n v="0"/>
    <n v="0"/>
    <n v="0"/>
    <n v="0"/>
    <n v="0"/>
    <n v="0"/>
    <n v="1703"/>
    <n v="6914"/>
    <n v="0"/>
    <n v="0"/>
    <n v="3199"/>
    <n v="34732"/>
    <n v="31533"/>
    <n v="0"/>
    <n v="0"/>
    <n v="0"/>
    <n v="200"/>
    <n v="1703"/>
    <n v="0"/>
    <n v="0"/>
    <n v="0"/>
    <n v="0"/>
    <n v="1903"/>
    <n v="32829"/>
    <m/>
    <m/>
  </r>
  <r>
    <d v="2025-11-01T00:00:00"/>
    <s v="Salary"/>
    <s v="S19012J001"/>
    <s v="MOONSTONE REALINFRA PRIVATE LIMITED"/>
    <n v="382"/>
    <s v="MAYUR RAJAN SALUNKE"/>
    <s v="Male"/>
    <s v=""/>
    <s v="Dec 11, 2018"/>
    <s v="EIWPS6074N"/>
    <s v="101412010976"/>
    <x v="45"/>
    <s v="ASSISTANT MANAGER"/>
    <x v="2"/>
    <s v="TM"/>
    <s v="PF"/>
    <s v="NA"/>
    <s v=""/>
    <s v=""/>
    <s v="202787997088"/>
    <s v="50100624532338"/>
    <s v="HDFC BANK"/>
    <s v="HDFC0000633"/>
    <n v="30"/>
    <n v="0"/>
    <n v="0"/>
    <n v="30"/>
    <n v="30"/>
    <n v="36950"/>
    <n v="36950"/>
    <n v="16628"/>
    <n v="6651"/>
    <n v="1600"/>
    <n v="200"/>
    <n v="1250"/>
    <n v="0"/>
    <n v="0"/>
    <n v="0"/>
    <n v="0"/>
    <n v="0"/>
    <n v="0"/>
    <n v="0"/>
    <n v="1800"/>
    <n v="8821"/>
    <n v="0"/>
    <n v="0"/>
    <n v="6906"/>
    <n v="43856"/>
    <n v="36950"/>
    <n v="0"/>
    <n v="0"/>
    <n v="0"/>
    <n v="200"/>
    <n v="1800"/>
    <n v="0"/>
    <n v="0"/>
    <n v="0"/>
    <n v="0"/>
    <n v="2000"/>
    <n v="41856"/>
    <m/>
    <m/>
  </r>
  <r>
    <d v="2025-11-01T00:00:00"/>
    <s v="Salary"/>
    <s v="S19012J001"/>
    <s v="MOONSTONE REALINFRA PRIVATE LIMITED"/>
    <n v="511"/>
    <s v="MAYURESH LANGOTE"/>
    <s v="Male"/>
    <s v=""/>
    <s v="Aug 01, 2019"/>
    <s v="AEWPL1281L"/>
    <s v="100053793326"/>
    <x v="2"/>
    <s v="DEPUTY MANAGER"/>
    <x v="4"/>
    <s v="TM"/>
    <s v="PF"/>
    <s v="NA"/>
    <s v=""/>
    <s v=""/>
    <s v="250203086491"/>
    <s v="50100231649761"/>
    <s v="HDFC BANK"/>
    <s v="HDFC0000052"/>
    <n v="30"/>
    <n v="0"/>
    <n v="0"/>
    <n v="30"/>
    <n v="30"/>
    <n v="43308"/>
    <n v="43308"/>
    <n v="19489"/>
    <n v="7796"/>
    <n v="1600"/>
    <n v="200"/>
    <n v="1250"/>
    <n v="1623"/>
    <n v="3898"/>
    <n v="2923"/>
    <n v="195"/>
    <n v="682"/>
    <n v="390"/>
    <n v="97"/>
    <n v="1800"/>
    <n v="1365"/>
    <n v="0"/>
    <n v="0"/>
    <n v="3756"/>
    <n v="47064"/>
    <n v="43308"/>
    <n v="0"/>
    <n v="0"/>
    <n v="0"/>
    <n v="200"/>
    <n v="1800"/>
    <n v="0"/>
    <n v="0"/>
    <n v="0"/>
    <n v="0"/>
    <n v="2000"/>
    <n v="45064"/>
    <m/>
    <m/>
  </r>
  <r>
    <d v="2025-11-01T00:00:00"/>
    <s v="Salary"/>
    <s v="S19012J001"/>
    <s v="MOONSTONE REALINFRA PRIVATE LIMITED"/>
    <n v="2062"/>
    <s v="MOHAN SHRIKRISHNA UDGIRI"/>
    <s v="Male"/>
    <s v=""/>
    <s v="Mar 24, 2025"/>
    <s v="AAZPU1282B"/>
    <s v="100242792314"/>
    <x v="20"/>
    <s v="ASSISTANT GENERAL MANAGER"/>
    <x v="0"/>
    <s v="TL"/>
    <s v="PF"/>
    <s v="NA"/>
    <s v=""/>
    <s v=""/>
    <s v="524156423700"/>
    <s v="05421140100824"/>
    <s v="HDFC BANK"/>
    <s v="HDFC0000542"/>
    <n v="30"/>
    <n v="0"/>
    <n v="0"/>
    <n v="30"/>
    <n v="30"/>
    <n v="181533"/>
    <n v="181533"/>
    <n v="81690"/>
    <n v="32676"/>
    <n v="1600"/>
    <n v="200"/>
    <n v="1250"/>
    <n v="6805"/>
    <n v="16338"/>
    <n v="12254"/>
    <n v="817"/>
    <n v="2859"/>
    <n v="1634"/>
    <n v="408"/>
    <n v="1800"/>
    <n v="21202"/>
    <n v="0"/>
    <n v="0"/>
    <n v="0"/>
    <n v="181533"/>
    <n v="181533"/>
    <n v="0"/>
    <n v="0"/>
    <n v="18541"/>
    <n v="200"/>
    <n v="1800"/>
    <n v="0"/>
    <n v="0"/>
    <n v="0"/>
    <n v="0"/>
    <n v="20541"/>
    <n v="160992"/>
    <m/>
    <m/>
  </r>
  <r>
    <d v="2025-11-01T00:00:00"/>
    <s v="Salary"/>
    <s v="S19012J001"/>
    <s v="MOONSTONE REALINFRA PRIVATE LIMITED"/>
    <n v="2282"/>
    <s v="MUSKAN GUPTA"/>
    <s v="Female"/>
    <s v=""/>
    <s v="Nov 20, 2025"/>
    <s v="CBLPG6588H"/>
    <s v="101656725733"/>
    <x v="54"/>
    <s v="ASSISTANT MANAGER - SALES"/>
    <x v="6"/>
    <s v="TM"/>
    <s v="PF"/>
    <s v="NA"/>
    <s v=""/>
    <s v=""/>
    <s v="997006836878"/>
    <s v="50100272775380"/>
    <s v="HDFC BANK"/>
    <s v="HDFC0003650"/>
    <n v="30"/>
    <n v="0"/>
    <n v="0"/>
    <n v="11"/>
    <n v="11"/>
    <n v="76500"/>
    <n v="76500"/>
    <n v="12623"/>
    <n v="5049"/>
    <n v="587"/>
    <n v="200"/>
    <n v="458"/>
    <n v="1052"/>
    <n v="2525"/>
    <n v="1893"/>
    <n v="126"/>
    <n v="442"/>
    <n v="252"/>
    <n v="63"/>
    <n v="1515"/>
    <n v="1265"/>
    <n v="0"/>
    <n v="0"/>
    <n v="0"/>
    <n v="28050"/>
    <n v="28050"/>
    <n v="0"/>
    <n v="160"/>
    <n v="0"/>
    <n v="200"/>
    <n v="1515"/>
    <n v="0"/>
    <n v="0"/>
    <n v="0"/>
    <n v="0"/>
    <n v="1875"/>
    <n v="26175"/>
    <m/>
    <m/>
  </r>
  <r>
    <d v="2025-11-01T00:00:00"/>
    <s v="Salary"/>
    <s v="S19012J001"/>
    <s v="MOONSTONE REALINFRA PRIVATE LIMITED"/>
    <n v="1092"/>
    <s v="NARENDRA ROHTAS MAHUR"/>
    <s v="Male"/>
    <s v=""/>
    <s v="May 16, 2022"/>
    <s v="EJTPM6853H"/>
    <s v="101646143832"/>
    <x v="54"/>
    <s v="ASSISTANT MANAGER - RESI. SALES"/>
    <x v="6"/>
    <s v="TM"/>
    <s v="PF"/>
    <s v="NA"/>
    <s v=""/>
    <s v=""/>
    <s v="325860489575"/>
    <s v="50100654540599"/>
    <s v="HDFC BANK"/>
    <s v="HDFC0000007"/>
    <n v="30"/>
    <n v="0"/>
    <n v="0"/>
    <n v="30"/>
    <n v="30"/>
    <n v="71927"/>
    <n v="71927"/>
    <n v="32367"/>
    <n v="12947"/>
    <n v="1600"/>
    <n v="200"/>
    <n v="1250"/>
    <n v="2696"/>
    <n v="6473"/>
    <n v="4855"/>
    <n v="324"/>
    <n v="1133"/>
    <n v="647"/>
    <n v="162"/>
    <n v="1800"/>
    <n v="5473"/>
    <n v="0"/>
    <n v="0"/>
    <n v="1621"/>
    <n v="73548"/>
    <n v="71927"/>
    <n v="0"/>
    <n v="0"/>
    <n v="0"/>
    <n v="200"/>
    <n v="1800"/>
    <n v="0"/>
    <n v="0"/>
    <n v="0"/>
    <n v="0"/>
    <n v="2000"/>
    <n v="71548"/>
    <m/>
    <m/>
  </r>
  <r>
    <d v="2025-11-01T00:00:00"/>
    <s v="Salary"/>
    <s v="S19012J001"/>
    <s v="MOONSTONE REALINFRA PRIVATE LIMITED"/>
    <n v="1506"/>
    <s v="NILESH SUDAM DODAKE"/>
    <s v="Male"/>
    <s v=""/>
    <s v="Aug 16, 2023"/>
    <s v="ATZPD2744A"/>
    <s v="101985884549"/>
    <x v="22"/>
    <s v="SUPERVISOR"/>
    <x v="0"/>
    <s v="TM"/>
    <s v="PF"/>
    <s v="NA"/>
    <s v=""/>
    <s v=""/>
    <s v="800783241563"/>
    <s v="50100624533443"/>
    <s v="HDFC BANK"/>
    <s v="HDFC0000007"/>
    <n v="30"/>
    <n v="0"/>
    <n v="0"/>
    <n v="30"/>
    <n v="30"/>
    <n v="49575"/>
    <n v="49575"/>
    <n v="22309"/>
    <n v="8924"/>
    <n v="1600"/>
    <n v="200"/>
    <n v="1250"/>
    <n v="1858"/>
    <n v="4462"/>
    <n v="3346"/>
    <n v="223"/>
    <n v="781"/>
    <n v="446"/>
    <n v="112"/>
    <n v="1800"/>
    <n v="2264"/>
    <n v="0"/>
    <n v="0"/>
    <n v="0"/>
    <n v="49575"/>
    <n v="49575"/>
    <n v="0"/>
    <n v="0"/>
    <n v="0"/>
    <n v="200"/>
    <n v="1800"/>
    <n v="0"/>
    <n v="0"/>
    <n v="0"/>
    <n v="0"/>
    <n v="2000"/>
    <n v="47575"/>
    <m/>
    <m/>
  </r>
  <r>
    <d v="2025-11-01T00:00:00"/>
    <s v="Salary"/>
    <s v="S19012J001"/>
    <s v="MOONSTONE REALINFRA PRIVATE LIMITED"/>
    <n v="1700"/>
    <s v="NITEESH SHARMA"/>
    <s v="Male"/>
    <s v=""/>
    <s v="Apr 11, 2024"/>
    <s v="BYHPS8894Q"/>
    <s v="101416879888"/>
    <x v="54"/>
    <s v="ASSISTANT MANAGER - RESI. SALES"/>
    <x v="6"/>
    <s v="TM"/>
    <s v="PF"/>
    <s v="NA"/>
    <s v=""/>
    <s v=""/>
    <s v="461172332390"/>
    <s v="99991911230890"/>
    <s v="HDFC BANK"/>
    <s v="HDFC0001210"/>
    <n v="30"/>
    <n v="0"/>
    <n v="0"/>
    <n v="30"/>
    <n v="30"/>
    <n v="79907"/>
    <n v="79907"/>
    <n v="35958"/>
    <n v="14383"/>
    <n v="1600"/>
    <n v="200"/>
    <n v="1250"/>
    <n v="2995"/>
    <n v="7192"/>
    <n v="5394"/>
    <n v="360"/>
    <n v="1259"/>
    <n v="719"/>
    <n v="180"/>
    <n v="1800"/>
    <n v="6617"/>
    <n v="0"/>
    <n v="10654"/>
    <n v="1867"/>
    <n v="92428"/>
    <n v="90561"/>
    <n v="0"/>
    <n v="0"/>
    <n v="0"/>
    <n v="200"/>
    <n v="1800"/>
    <n v="0"/>
    <n v="0"/>
    <n v="0"/>
    <n v="0"/>
    <n v="2000"/>
    <n v="90428"/>
    <m/>
    <m/>
  </r>
  <r>
    <d v="2025-11-01T00:00:00"/>
    <s v="Salary"/>
    <s v="S19012J001"/>
    <s v="MOONSTONE REALINFRA PRIVATE LIMITED"/>
    <n v="2270"/>
    <s v="OM RAJESH MALPE"/>
    <s v="Male"/>
    <s v=""/>
    <s v="Nov 17, 2025"/>
    <s v="GULPM4704E"/>
    <s v="102267032535"/>
    <x v="6"/>
    <s v="MANAGEMENT TRAINEE"/>
    <x v="6"/>
    <s v="MT"/>
    <s v="PF"/>
    <s v="NA"/>
    <s v=""/>
    <s v=""/>
    <s v="457332892501"/>
    <s v="50100847876498"/>
    <s v="HDFC BANK"/>
    <s v="HDFC0000437"/>
    <n v="30"/>
    <n v="0"/>
    <n v="5"/>
    <n v="9"/>
    <n v="9"/>
    <n v="44033"/>
    <n v="44033"/>
    <n v="5945"/>
    <n v="2378"/>
    <n v="480"/>
    <n v="167"/>
    <n v="375"/>
    <n v="495"/>
    <n v="1189"/>
    <n v="892"/>
    <n v="59"/>
    <n v="208"/>
    <n v="119"/>
    <n v="30"/>
    <n v="713"/>
    <n v="160"/>
    <n v="0"/>
    <n v="0"/>
    <n v="0"/>
    <n v="13210"/>
    <n v="13210"/>
    <n v="0"/>
    <n v="0"/>
    <n v="0"/>
    <n v="200"/>
    <n v="713"/>
    <n v="0"/>
    <n v="0"/>
    <n v="0"/>
    <n v="0"/>
    <n v="913"/>
    <n v="12297"/>
    <m/>
    <m/>
  </r>
  <r>
    <d v="2025-11-01T00:00:00"/>
    <s v="Salary"/>
    <s v="S19012J001"/>
    <s v="MOONSTONE REALINFRA PRIVATE LIMITED"/>
    <n v="1033"/>
    <s v="OMKAR MADHAV SAMBHUS"/>
    <s v="Male"/>
    <s v=""/>
    <s v="Mar 21, 2022"/>
    <s v="BKVPS7936K"/>
    <s v="101090148328"/>
    <x v="42"/>
    <s v="SENIOR MANAGER - RESI. SALES"/>
    <x v="6"/>
    <s v="TM"/>
    <s v="PF"/>
    <s v="NA"/>
    <s v=""/>
    <s v=""/>
    <s v="580372226603"/>
    <s v="50100056805482"/>
    <s v="HDFC BANK"/>
    <s v="HDFC0000146"/>
    <n v="30"/>
    <n v="0"/>
    <n v="0"/>
    <n v="30"/>
    <n v="30"/>
    <n v="118333"/>
    <n v="118333"/>
    <n v="53250"/>
    <n v="21300"/>
    <n v="1600"/>
    <n v="200"/>
    <n v="1250"/>
    <n v="4436"/>
    <n v="10650"/>
    <n v="7988"/>
    <n v="533"/>
    <n v="1864"/>
    <n v="1065"/>
    <n v="266"/>
    <n v="1800"/>
    <n v="12131"/>
    <n v="0"/>
    <n v="3944"/>
    <n v="4122"/>
    <n v="126399"/>
    <n v="122277"/>
    <n v="0"/>
    <n v="0"/>
    <n v="9807"/>
    <n v="200"/>
    <n v="1800"/>
    <n v="0"/>
    <n v="0"/>
    <n v="0"/>
    <n v="12500"/>
    <n v="24307"/>
    <n v="102092"/>
    <m/>
    <m/>
  </r>
  <r>
    <d v="2025-11-01T00:00:00"/>
    <s v="Salary"/>
    <s v="S19012J001"/>
    <s v="MOONSTONE REALINFRA PRIVATE LIMITED"/>
    <n v="737"/>
    <s v="PRADIP PHOFALE"/>
    <s v="Male"/>
    <s v=""/>
    <s v="Jan 05, 2021"/>
    <s v="FJPPP4191E"/>
    <s v="101287262182"/>
    <x v="21"/>
    <s v="EXECUTIVE - ADMIN"/>
    <x v="2"/>
    <s v="TM"/>
    <s v="PF"/>
    <s v="NA"/>
    <s v=""/>
    <s v=""/>
    <s v="348597161366"/>
    <s v="50100624534038"/>
    <s v="HDFC BANK"/>
    <s v="HDFC0000007"/>
    <n v="30"/>
    <n v="0"/>
    <n v="1"/>
    <n v="29"/>
    <n v="29"/>
    <n v="22933"/>
    <n v="22933"/>
    <n v="9976"/>
    <n v="3990"/>
    <n v="1547"/>
    <n v="193"/>
    <n v="1208"/>
    <n v="0"/>
    <n v="0"/>
    <n v="0"/>
    <n v="0"/>
    <n v="0"/>
    <n v="0"/>
    <n v="0"/>
    <n v="1197"/>
    <n v="4058"/>
    <n v="0"/>
    <n v="0"/>
    <n v="4220"/>
    <n v="26389"/>
    <n v="22169"/>
    <n v="0"/>
    <n v="0"/>
    <n v="0"/>
    <n v="200"/>
    <n v="1197"/>
    <n v="0"/>
    <n v="0"/>
    <n v="0"/>
    <n v="0"/>
    <n v="1397"/>
    <n v="24992"/>
    <m/>
    <m/>
  </r>
  <r>
    <d v="2025-11-01T00:00:00"/>
    <s v="Salary"/>
    <s v="S19012J001"/>
    <s v="MOONSTONE REALINFRA PRIVATE LIMITED"/>
    <n v="649"/>
    <s v="PRAJAKTA KULKARNI"/>
    <s v="Female"/>
    <s v=""/>
    <s v="Feb 01, 2020"/>
    <s v="BJHPK2873G"/>
    <s v="101902983475"/>
    <x v="20"/>
    <s v="ASSISTANT GENERAL MANAGER"/>
    <x v="2"/>
    <s v="TL"/>
    <s v="PF"/>
    <s v="NA"/>
    <s v=""/>
    <s v=""/>
    <s v="287366904609"/>
    <s v="50100317874269"/>
    <s v="HDFC BANK"/>
    <s v="HDFC0000007"/>
    <n v="30"/>
    <n v="0"/>
    <n v="0.5"/>
    <n v="29.5"/>
    <n v="29.5"/>
    <n v="158333"/>
    <n v="158333"/>
    <n v="70062"/>
    <n v="28025"/>
    <n v="1573"/>
    <n v="197"/>
    <n v="1229"/>
    <n v="5836"/>
    <n v="14012"/>
    <n v="10509"/>
    <n v="701"/>
    <n v="2452"/>
    <n v="1401"/>
    <n v="350"/>
    <n v="1800"/>
    <n v="17547"/>
    <n v="0"/>
    <n v="0"/>
    <n v="0"/>
    <n v="155694"/>
    <n v="155694"/>
    <n v="0"/>
    <n v="0"/>
    <n v="33049"/>
    <n v="200"/>
    <n v="1800"/>
    <n v="0"/>
    <n v="0"/>
    <n v="0"/>
    <n v="0"/>
    <n v="35049"/>
    <n v="120645"/>
    <m/>
    <m/>
  </r>
  <r>
    <d v="2025-11-01T00:00:00"/>
    <s v="Salary"/>
    <s v="S19012J001"/>
    <s v="MOONSTONE REALINFRA PRIVATE LIMITED"/>
    <n v="1746"/>
    <s v="PRAMOD HANMANT PAWAR"/>
    <s v="Male"/>
    <s v=""/>
    <s v="May 20, 2024"/>
    <s v="DFHPP2315Q"/>
    <s v="102021330261"/>
    <x v="25"/>
    <s v="PAINTER"/>
    <x v="2"/>
    <s v="SS"/>
    <s v="PF"/>
    <s v="NA"/>
    <s v=""/>
    <s v=""/>
    <s v="464124497454"/>
    <s v="50100317492692"/>
    <s v="HDFC BANK"/>
    <s v="HDFC0000007"/>
    <n v="30"/>
    <n v="0"/>
    <n v="0"/>
    <n v="30"/>
    <n v="30"/>
    <n v="28500"/>
    <n v="28500"/>
    <n v="12825"/>
    <n v="5130"/>
    <n v="1600"/>
    <n v="200"/>
    <n v="1250"/>
    <n v="0"/>
    <n v="0"/>
    <n v="0"/>
    <n v="0"/>
    <n v="0"/>
    <n v="0"/>
    <n v="0"/>
    <n v="1539"/>
    <n v="5956"/>
    <n v="0"/>
    <n v="0"/>
    <n v="4694"/>
    <n v="33194"/>
    <n v="28500"/>
    <n v="0"/>
    <n v="0"/>
    <n v="0"/>
    <n v="200"/>
    <n v="1539"/>
    <n v="0"/>
    <n v="0"/>
    <n v="0"/>
    <n v="0"/>
    <n v="1739"/>
    <n v="31455"/>
    <m/>
    <m/>
  </r>
  <r>
    <d v="2025-11-01T00:00:00"/>
    <s v="Salary"/>
    <s v="S19012J001"/>
    <s v="MOONSTONE REALINFRA PRIVATE LIMITED"/>
    <n v="2252"/>
    <s v="PRANAV DILIP JADHAV"/>
    <s v="Male"/>
    <s v=""/>
    <s v="Oct 27, 2025"/>
    <s v="APIPJ3777J"/>
    <s v="101813329564"/>
    <x v="62"/>
    <s v="SENIOR  EXECUTIVE - ACCOUNTS"/>
    <x v="5"/>
    <s v="TM"/>
    <s v="PF"/>
    <s v="NA"/>
    <s v=""/>
    <s v=""/>
    <s v="384265861977"/>
    <s v="50100382069641"/>
    <s v="HDFC BANK"/>
    <s v="HDFC0000104"/>
    <n v="30"/>
    <n v="0"/>
    <n v="0"/>
    <n v="30"/>
    <n v="30"/>
    <n v="52200"/>
    <n v="52200"/>
    <n v="23490"/>
    <n v="9396"/>
    <n v="1600"/>
    <n v="200"/>
    <n v="1250"/>
    <n v="1957"/>
    <n v="4698"/>
    <n v="3524"/>
    <n v="235"/>
    <n v="822"/>
    <n v="470"/>
    <n v="117"/>
    <n v="1800"/>
    <n v="2641"/>
    <n v="0"/>
    <n v="0"/>
    <n v="0"/>
    <n v="52200"/>
    <n v="52200"/>
    <n v="0"/>
    <n v="0"/>
    <n v="0"/>
    <n v="200"/>
    <n v="1800"/>
    <n v="0"/>
    <n v="0"/>
    <n v="0"/>
    <n v="0"/>
    <n v="2000"/>
    <n v="50200"/>
    <m/>
    <m/>
  </r>
  <r>
    <d v="2025-11-01T00:00:00"/>
    <s v="Salary"/>
    <s v="S19012J001"/>
    <s v="MOONSTONE REALINFRA PRIVATE LIMITED"/>
    <n v="1771"/>
    <s v="PRASENJEET TATYARAM RANPISE"/>
    <s v="Male"/>
    <s v=""/>
    <s v="Jun 03, 2024"/>
    <s v="BEAPR4151J"/>
    <s v="101090722152"/>
    <x v="52"/>
    <s v="DEPUTY MANAGER - RESI. SALES"/>
    <x v="6"/>
    <s v="TM"/>
    <s v="PF"/>
    <s v="NA"/>
    <s v=""/>
    <s v=""/>
    <s v="327697944280"/>
    <s v="50100198966720"/>
    <s v="HDFC BANK"/>
    <s v="HDFC0001578"/>
    <n v="30"/>
    <n v="0"/>
    <n v="0"/>
    <n v="30"/>
    <n v="30"/>
    <n v="92504"/>
    <n v="92504"/>
    <n v="41627"/>
    <n v="16651"/>
    <n v="1600"/>
    <n v="200"/>
    <n v="1250"/>
    <n v="3468"/>
    <n v="8325"/>
    <n v="6244"/>
    <n v="416"/>
    <n v="1457"/>
    <n v="833"/>
    <n v="208"/>
    <n v="1800"/>
    <n v="8425"/>
    <n v="0"/>
    <n v="2984"/>
    <n v="0"/>
    <n v="95488"/>
    <n v="95488"/>
    <n v="0"/>
    <n v="0"/>
    <n v="0"/>
    <n v="200"/>
    <n v="1800"/>
    <n v="0"/>
    <n v="0"/>
    <n v="0"/>
    <n v="0"/>
    <n v="2000"/>
    <n v="93488"/>
    <m/>
    <m/>
  </r>
  <r>
    <d v="2025-11-01T00:00:00"/>
    <s v="Salary"/>
    <s v="S19012J001"/>
    <s v="MOONSTONE REALINFRA PRIVATE LIMITED"/>
    <n v="1445"/>
    <s v="PRASHANT SUDAM GADRE"/>
    <s v="Male"/>
    <s v=""/>
    <s v="Jun 01, 2023"/>
    <s v="AUVPG5057A"/>
    <s v="101403170926"/>
    <x v="4"/>
    <s v="Site Supervisor"/>
    <x v="0"/>
    <s v="TM"/>
    <s v="PF"/>
    <s v="NA"/>
    <s v=""/>
    <s v=""/>
    <s v="879059513265"/>
    <s v="50100268119865"/>
    <s v="HDFC BANK"/>
    <s v="HDFC0002493"/>
    <n v="30"/>
    <n v="0"/>
    <n v="0"/>
    <n v="30"/>
    <n v="30"/>
    <n v="50225"/>
    <n v="50225"/>
    <n v="22601"/>
    <n v="9040"/>
    <n v="1600"/>
    <n v="200"/>
    <n v="1250"/>
    <n v="1883"/>
    <n v="4520"/>
    <n v="3390"/>
    <n v="226"/>
    <n v="791"/>
    <n v="452"/>
    <n v="113"/>
    <n v="1800"/>
    <n v="2359"/>
    <n v="0"/>
    <n v="1620"/>
    <n v="0"/>
    <n v="51845"/>
    <n v="51845"/>
    <n v="0"/>
    <n v="0"/>
    <n v="0"/>
    <n v="200"/>
    <n v="1800"/>
    <n v="0"/>
    <n v="0"/>
    <n v="0"/>
    <n v="0"/>
    <n v="2000"/>
    <n v="49845"/>
    <m/>
    <m/>
  </r>
  <r>
    <d v="2025-11-01T00:00:00"/>
    <s v="Salary"/>
    <s v="S19012J001"/>
    <s v="MOONSTONE REALINFRA PRIVATE LIMITED"/>
    <n v="1932"/>
    <s v="PRATHMESH MAKARAND PATWARDHAN"/>
    <s v="Male"/>
    <s v=""/>
    <s v="Nov 21, 2024"/>
    <s v="DIPPP8235N"/>
    <s v="101650676266"/>
    <x v="26"/>
    <s v="ENGINEERING - COORDINATOR"/>
    <x v="0"/>
    <s v="TM"/>
    <s v="PF"/>
    <s v="NA"/>
    <s v=""/>
    <s v=""/>
    <s v="989836806639"/>
    <s v="50100773207162"/>
    <s v="HDFC BANK"/>
    <s v="HDFC0001210"/>
    <n v="30"/>
    <n v="0"/>
    <n v="3"/>
    <n v="27"/>
    <n v="27"/>
    <n v="30700"/>
    <n v="30700"/>
    <n v="12434"/>
    <n v="4974"/>
    <n v="1440"/>
    <n v="180"/>
    <n v="1125"/>
    <n v="0"/>
    <n v="0"/>
    <n v="0"/>
    <n v="0"/>
    <n v="0"/>
    <n v="0"/>
    <n v="0"/>
    <n v="1492"/>
    <n v="5985"/>
    <n v="0"/>
    <n v="0"/>
    <n v="265"/>
    <n v="27895"/>
    <n v="27630"/>
    <n v="0"/>
    <n v="0"/>
    <n v="0"/>
    <n v="200"/>
    <n v="1492"/>
    <n v="0"/>
    <n v="0"/>
    <n v="0"/>
    <n v="0"/>
    <n v="1692"/>
    <n v="26203"/>
    <m/>
    <m/>
  </r>
  <r>
    <d v="2025-11-01T00:00:00"/>
    <s v="Salary"/>
    <s v="S19012J001"/>
    <s v="MOONSTONE REALINFRA PRIVATE LIMITED"/>
    <n v="2014"/>
    <s v="RAHUL SANJAY SONAWANE"/>
    <s v="Male"/>
    <s v=""/>
    <s v="Feb 17, 2025"/>
    <s v="COZPS7657L"/>
    <s v="102171897905"/>
    <x v="27"/>
    <s v="EXECUTIVE - POSSESSION SUPPORT"/>
    <x v="2"/>
    <s v="TM"/>
    <s v="PF"/>
    <s v="NA"/>
    <s v=""/>
    <s v=""/>
    <s v="969590676456"/>
    <s v="50100731567322"/>
    <s v="HDFC BANK"/>
    <s v="HDFC0000007"/>
    <n v="30"/>
    <n v="0"/>
    <n v="1"/>
    <n v="29"/>
    <n v="29"/>
    <n v="32033"/>
    <n v="32033"/>
    <n v="13934"/>
    <n v="5574"/>
    <n v="1547"/>
    <n v="193"/>
    <n v="1208"/>
    <n v="0"/>
    <n v="0"/>
    <n v="0"/>
    <n v="0"/>
    <n v="0"/>
    <n v="0"/>
    <n v="0"/>
    <n v="1672"/>
    <n v="6837"/>
    <n v="0"/>
    <n v="0"/>
    <n v="7893"/>
    <n v="38858"/>
    <n v="30965"/>
    <n v="0"/>
    <n v="0"/>
    <n v="0"/>
    <n v="200"/>
    <n v="1672"/>
    <n v="0"/>
    <n v="0"/>
    <n v="0"/>
    <n v="0"/>
    <n v="1872"/>
    <n v="36986"/>
    <m/>
    <m/>
  </r>
  <r>
    <d v="2025-11-01T00:00:00"/>
    <s v="Salary"/>
    <s v="S19012J001"/>
    <s v="MOONSTONE REALINFRA PRIVATE LIMITED"/>
    <n v="2190"/>
    <s v="RAHUL SAYAJI SHETE"/>
    <s v="Male"/>
    <s v=""/>
    <s v="Aug 18, 2025"/>
    <s v="LVGPS7330P"/>
    <s v="102106669268"/>
    <x v="44"/>
    <s v="POSSESSION EXECUTIVE"/>
    <x v="4"/>
    <s v="TM"/>
    <s v="PF"/>
    <s v="NA"/>
    <s v=""/>
    <s v=""/>
    <s v="330583203857"/>
    <s v="50100709895411"/>
    <s v="HDFC BANK"/>
    <s v="HDFC0009332"/>
    <n v="30"/>
    <n v="0"/>
    <n v="0"/>
    <n v="30"/>
    <n v="30"/>
    <n v="24438"/>
    <n v="24438"/>
    <n v="10997"/>
    <n v="4399"/>
    <n v="1600"/>
    <n v="200"/>
    <n v="1250"/>
    <n v="0"/>
    <n v="0"/>
    <n v="0"/>
    <n v="0"/>
    <n v="0"/>
    <n v="0"/>
    <n v="0"/>
    <n v="1320"/>
    <n v="4672"/>
    <n v="0"/>
    <n v="0"/>
    <n v="8972"/>
    <n v="33410"/>
    <n v="24438"/>
    <n v="0"/>
    <n v="0"/>
    <n v="0"/>
    <n v="200"/>
    <n v="1320"/>
    <n v="0"/>
    <n v="0"/>
    <n v="0"/>
    <n v="0"/>
    <n v="1520"/>
    <n v="31890"/>
    <m/>
    <m/>
  </r>
  <r>
    <d v="2025-11-01T00:00:00"/>
    <s v="Salary"/>
    <s v="S19012J001"/>
    <s v="MOONSTONE REALINFRA PRIVATE LIMITED"/>
    <n v="1480"/>
    <s v="RAKESH DNYANOBA SONAWANE"/>
    <s v="Male"/>
    <s v=""/>
    <s v="Jul 19, 2023"/>
    <s v="DJBPS0548N"/>
    <s v="100318745002"/>
    <x v="1"/>
    <s v="ASSISTANT PROJECT MANAGER"/>
    <x v="0"/>
    <s v="TM"/>
    <s v="PF"/>
    <s v="NA"/>
    <s v=""/>
    <s v=""/>
    <s v="815335472494"/>
    <s v="50100098216176"/>
    <s v="HDFC BANK"/>
    <s v="HDFC0000359"/>
    <n v="30"/>
    <n v="0"/>
    <n v="0"/>
    <n v="30"/>
    <n v="30"/>
    <n v="72817"/>
    <n v="72817"/>
    <n v="32768"/>
    <n v="13107"/>
    <n v="1600"/>
    <n v="200"/>
    <n v="1250"/>
    <n v="2730"/>
    <n v="6554"/>
    <n v="4915"/>
    <n v="328"/>
    <n v="1147"/>
    <n v="655"/>
    <n v="164"/>
    <n v="1800"/>
    <n v="5599"/>
    <n v="0"/>
    <n v="200"/>
    <n v="0"/>
    <n v="73017"/>
    <n v="73017"/>
    <n v="0"/>
    <n v="0"/>
    <n v="0"/>
    <n v="200"/>
    <n v="1800"/>
    <n v="0"/>
    <n v="0"/>
    <n v="0"/>
    <n v="0"/>
    <n v="2000"/>
    <n v="71017"/>
    <m/>
    <m/>
  </r>
  <r>
    <d v="2025-11-01T00:00:00"/>
    <s v="Salary"/>
    <s v="S19012J001"/>
    <s v="MOONSTONE REALINFRA PRIVATE LIMITED"/>
    <n v="405"/>
    <s v="RATIKANT RAMA CHANDRA ROUT"/>
    <s v="Male"/>
    <s v=""/>
    <s v="Dec 11, 2018"/>
    <s v="BKMPR1999E"/>
    <s v="101411918080"/>
    <x v="7"/>
    <s v="EXECUTIVE - POSSESSION"/>
    <x v="2"/>
    <s v="TM"/>
    <s v="PF"/>
    <s v="NA"/>
    <s v=""/>
    <s v=""/>
    <s v="516990099788"/>
    <s v="50100317879206"/>
    <s v="HDFC BANK"/>
    <s v="HDFC0000007"/>
    <n v="30"/>
    <n v="0"/>
    <n v="0"/>
    <n v="30"/>
    <n v="30"/>
    <n v="33167"/>
    <n v="33167"/>
    <n v="14925"/>
    <n v="5970"/>
    <n v="1600"/>
    <n v="200"/>
    <n v="1250"/>
    <n v="0"/>
    <n v="0"/>
    <n v="0"/>
    <n v="0"/>
    <n v="0"/>
    <n v="0"/>
    <n v="0"/>
    <n v="1791"/>
    <n v="7431"/>
    <n v="0"/>
    <n v="0"/>
    <n v="2306"/>
    <n v="35473"/>
    <n v="33167"/>
    <n v="0"/>
    <n v="0"/>
    <n v="0"/>
    <n v="200"/>
    <n v="1791"/>
    <n v="0"/>
    <n v="0"/>
    <n v="0"/>
    <n v="0"/>
    <n v="1991"/>
    <n v="33482"/>
    <m/>
    <m/>
  </r>
  <r>
    <d v="2025-11-01T00:00:00"/>
    <s v="Salary"/>
    <s v="S19012J001"/>
    <s v="MOONSTONE REALINFRA PRIVATE LIMITED"/>
    <n v="1916"/>
    <s v="RAVI BHARTI"/>
    <s v="Male"/>
    <s v=""/>
    <s v="Nov 11, 2024"/>
    <s v="BKLPB8249J"/>
    <s v="101569634502"/>
    <x v="2"/>
    <s v="DEPUTY MANAGER"/>
    <x v="1"/>
    <s v="TM"/>
    <s v="PF"/>
    <s v="NA"/>
    <s v=""/>
    <s v=""/>
    <s v="844495303708"/>
    <s v="50100585317756"/>
    <s v="HDFC BANK"/>
    <s v="HDFC0000627"/>
    <n v="30"/>
    <n v="0"/>
    <n v="0"/>
    <n v="30"/>
    <n v="30"/>
    <n v="94033"/>
    <n v="94033"/>
    <n v="42315"/>
    <n v="16926"/>
    <n v="1600"/>
    <n v="200"/>
    <n v="1250"/>
    <n v="3525"/>
    <n v="8463"/>
    <n v="6347"/>
    <n v="423"/>
    <n v="1481"/>
    <n v="846"/>
    <n v="212"/>
    <n v="1800"/>
    <n v="8645"/>
    <n v="0"/>
    <n v="0"/>
    <n v="619"/>
    <n v="94652"/>
    <n v="94033"/>
    <n v="0"/>
    <n v="0"/>
    <n v="0"/>
    <n v="200"/>
    <n v="1800"/>
    <n v="0"/>
    <n v="0"/>
    <n v="0"/>
    <n v="0"/>
    <n v="2000"/>
    <n v="92652"/>
    <m/>
    <m/>
  </r>
  <r>
    <d v="2025-11-01T00:00:00"/>
    <s v="Salary"/>
    <s v="S19012J001"/>
    <s v="MOONSTONE REALINFRA PRIVATE LIMITED"/>
    <n v="1093"/>
    <s v="RISHABH CHANDEL"/>
    <s v="Male"/>
    <s v=""/>
    <s v="May 16, 2022"/>
    <s v="BAOPC6525R"/>
    <s v="101633454393"/>
    <x v="43"/>
    <s v="MANAGER"/>
    <x v="6"/>
    <s v="TL"/>
    <s v="PF"/>
    <s v="NA"/>
    <s v=""/>
    <s v=""/>
    <s v="821066376289"/>
    <s v="50100312589050"/>
    <s v="HDFC BANK"/>
    <s v="HDFC0009453"/>
    <n v="30"/>
    <n v="0"/>
    <n v="2"/>
    <n v="28"/>
    <n v="28"/>
    <n v="96667"/>
    <n v="96667"/>
    <n v="40600"/>
    <n v="16240"/>
    <n v="1493"/>
    <n v="187"/>
    <n v="1167"/>
    <n v="3382"/>
    <n v="8120"/>
    <n v="6090"/>
    <n v="406"/>
    <n v="1421"/>
    <n v="812"/>
    <n v="203"/>
    <n v="1800"/>
    <n v="8302"/>
    <n v="0"/>
    <n v="0"/>
    <n v="7225"/>
    <n v="97448"/>
    <n v="90223"/>
    <n v="0"/>
    <n v="0"/>
    <n v="16248"/>
    <n v="200"/>
    <n v="1800"/>
    <n v="0"/>
    <n v="0"/>
    <n v="0"/>
    <n v="0"/>
    <n v="18248"/>
    <n v="79200"/>
    <m/>
    <m/>
  </r>
  <r>
    <d v="2025-11-01T00:00:00"/>
    <s v="Salary"/>
    <s v="S19012J001"/>
    <s v="MOONSTONE REALINFRA PRIVATE LIMITED"/>
    <n v="2043"/>
    <s v="ROHIT KANHAIYALAL GYANCHANDANI"/>
    <s v="Male"/>
    <s v=""/>
    <s v="Mar 03, 2025"/>
    <s v="BFFPG1593D"/>
    <s v="101468514180"/>
    <x v="28"/>
    <s v="ASSISTANT MANAGER - ACCOUNTS"/>
    <x v="5"/>
    <s v="TM"/>
    <s v="PF"/>
    <s v="NA"/>
    <s v=""/>
    <s v=""/>
    <s v="710877491907"/>
    <s v="968210310000084"/>
    <s v="BANK OF INDIA"/>
    <s v="BKID0000537"/>
    <n v="30"/>
    <n v="0"/>
    <n v="2.5"/>
    <n v="19.5"/>
    <n v="19.5"/>
    <n v="75000"/>
    <n v="75000"/>
    <n v="21938"/>
    <n v="8775"/>
    <n v="1040"/>
    <n v="183"/>
    <n v="813"/>
    <n v="1827"/>
    <n v="4388"/>
    <n v="3291"/>
    <n v="219"/>
    <n v="768"/>
    <n v="439"/>
    <n v="110"/>
    <n v="1800"/>
    <n v="3159"/>
    <n v="0"/>
    <n v="0"/>
    <n v="0"/>
    <n v="48750"/>
    <n v="48750"/>
    <n v="0"/>
    <n v="0"/>
    <n v="0"/>
    <n v="200"/>
    <n v="1800"/>
    <n v="0"/>
    <n v="0"/>
    <n v="0"/>
    <n v="0"/>
    <n v="2000"/>
    <n v="46750"/>
    <m/>
    <m/>
  </r>
  <r>
    <d v="2025-11-01T00:00:00"/>
    <s v="Salary"/>
    <s v="S19012J001"/>
    <s v="MOONSTONE REALINFRA PRIVATE LIMITED"/>
    <n v="2287"/>
    <s v="RUSHIKESH RAJESH RAUT"/>
    <s v="Male"/>
    <s v=""/>
    <s v="Nov 25, 2025"/>
    <s v="FAQPR4627P"/>
    <s v="102001267668"/>
    <x v="45"/>
    <s v="ASSISTANT MANAGER"/>
    <x v="6"/>
    <s v="TM"/>
    <s v="PF"/>
    <s v="NA"/>
    <s v=""/>
    <s v=""/>
    <s v="837091508388"/>
    <s v="50100730710140"/>
    <s v="HDFC BANK"/>
    <s v="HDFC0000103"/>
    <n v="30"/>
    <n v="0"/>
    <n v="0"/>
    <n v="6"/>
    <n v="6"/>
    <n v="66200"/>
    <n v="66200"/>
    <n v="5958"/>
    <n v="2383"/>
    <n v="320"/>
    <n v="200"/>
    <n v="250"/>
    <n v="496"/>
    <n v="1192"/>
    <n v="894"/>
    <n v="60"/>
    <n v="209"/>
    <n v="119"/>
    <n v="30"/>
    <n v="715"/>
    <n v="414"/>
    <n v="0"/>
    <n v="0"/>
    <n v="0"/>
    <n v="13240"/>
    <n v="13240"/>
    <n v="0"/>
    <n v="0"/>
    <n v="0"/>
    <n v="200"/>
    <n v="715"/>
    <n v="0"/>
    <n v="0"/>
    <n v="0"/>
    <n v="0"/>
    <n v="915"/>
    <n v="12325"/>
    <m/>
    <m/>
  </r>
  <r>
    <d v="2025-11-01T00:00:00"/>
    <s v="Salary"/>
    <s v="S19012J001"/>
    <s v="MOONSTONE REALINFRA PRIVATE LIMITED"/>
    <n v="2261"/>
    <s v="SACHIN ASHOK PAWAR"/>
    <s v="Male"/>
    <s v=""/>
    <s v="Nov 07, 2025"/>
    <s v="DTMPP4631Q"/>
    <s v="100996638416"/>
    <x v="35"/>
    <s v="OFFICE ASSISTANT"/>
    <x v="2"/>
    <s v="SS"/>
    <s v="PF"/>
    <s v="NA"/>
    <s v=""/>
    <s v=""/>
    <s v="920319128160"/>
    <s v="50100400164872"/>
    <s v="HDFC BANK"/>
    <s v="HDFC0000039"/>
    <n v="30"/>
    <n v="0"/>
    <n v="1"/>
    <n v="23"/>
    <n v="23"/>
    <n v="27434"/>
    <n v="27434"/>
    <n v="9465"/>
    <n v="3786"/>
    <n v="1227"/>
    <n v="193"/>
    <n v="958"/>
    <n v="0"/>
    <n v="0"/>
    <n v="0"/>
    <n v="0"/>
    <n v="0"/>
    <n v="0"/>
    <n v="0"/>
    <n v="1136"/>
    <n v="4268"/>
    <n v="0"/>
    <n v="0"/>
    <n v="289"/>
    <n v="21322"/>
    <n v="21033"/>
    <n v="0"/>
    <n v="0"/>
    <n v="0"/>
    <n v="200"/>
    <n v="1136"/>
    <n v="0"/>
    <n v="0"/>
    <n v="0"/>
    <n v="0"/>
    <n v="1336"/>
    <n v="19986"/>
    <m/>
    <m/>
  </r>
  <r>
    <d v="2025-11-01T00:00:00"/>
    <s v="Salary"/>
    <s v="S19012J001"/>
    <s v="MOONSTONE REALINFRA PRIVATE LIMITED"/>
    <n v="2279"/>
    <s v="SAGAR MAITY"/>
    <s v="Male"/>
    <s v=""/>
    <s v="Nov 17, 2025"/>
    <s v="GSSPM2737N"/>
    <s v="102267033942"/>
    <x v="6"/>
    <s v="MANAGEMENT TRAINEE"/>
    <x v="6"/>
    <s v="MT"/>
    <s v="PF"/>
    <s v="NA"/>
    <s v=""/>
    <s v=""/>
    <s v="428582736571"/>
    <s v="50100847876561"/>
    <s v="HDFC BANK"/>
    <s v="HDFC0000437"/>
    <n v="30"/>
    <n v="0"/>
    <n v="0"/>
    <n v="14"/>
    <n v="14"/>
    <n v="44033"/>
    <n v="44033"/>
    <n v="9247"/>
    <n v="3699"/>
    <n v="747"/>
    <n v="200"/>
    <n v="583"/>
    <n v="770"/>
    <n v="1849"/>
    <n v="1387"/>
    <n v="92"/>
    <n v="324"/>
    <n v="185"/>
    <n v="46"/>
    <n v="1110"/>
    <n v="310"/>
    <n v="0"/>
    <n v="0"/>
    <n v="0"/>
    <n v="20549"/>
    <n v="20549"/>
    <n v="0"/>
    <n v="0"/>
    <n v="0"/>
    <n v="200"/>
    <n v="1110"/>
    <n v="0"/>
    <n v="0"/>
    <n v="0"/>
    <n v="0"/>
    <n v="1310"/>
    <n v="19239"/>
    <m/>
    <m/>
  </r>
  <r>
    <d v="2025-11-01T00:00:00"/>
    <s v="Salary"/>
    <s v="S19012J001"/>
    <s v="MOONSTONE REALINFRA PRIVATE LIMITED"/>
    <n v="2274"/>
    <s v="SAKSHI DIPAK PATIL"/>
    <s v="Female"/>
    <s v=""/>
    <s v="Nov 17, 2025"/>
    <s v="HUDPP2758G"/>
    <s v="102267032459"/>
    <x v="6"/>
    <s v="MANAGEMENT TRAINEE"/>
    <x v="6"/>
    <s v="MT"/>
    <s v="PF"/>
    <s v="NA"/>
    <s v=""/>
    <s v=""/>
    <s v="571929796742"/>
    <s v="50100847878784"/>
    <s v="HDFC BANK"/>
    <s v="HDFC0000437"/>
    <n v="30"/>
    <n v="0"/>
    <n v="0"/>
    <n v="14"/>
    <n v="14"/>
    <n v="44033"/>
    <n v="44033"/>
    <n v="9247"/>
    <n v="3699"/>
    <n v="747"/>
    <n v="200"/>
    <n v="583"/>
    <n v="770"/>
    <n v="1849"/>
    <n v="1387"/>
    <n v="92"/>
    <n v="324"/>
    <n v="185"/>
    <n v="46"/>
    <n v="1110"/>
    <n v="310"/>
    <n v="0"/>
    <n v="0"/>
    <n v="0"/>
    <n v="20549"/>
    <n v="20549"/>
    <n v="0"/>
    <n v="0"/>
    <n v="0"/>
    <n v="175"/>
    <n v="1110"/>
    <n v="0"/>
    <n v="0"/>
    <n v="0"/>
    <n v="0"/>
    <n v="1285"/>
    <n v="19264"/>
    <m/>
    <m/>
  </r>
  <r>
    <d v="2025-11-01T00:00:00"/>
    <s v="Salary"/>
    <s v="S19012J001"/>
    <s v="MOONSTONE REALINFRA PRIVATE LIMITED"/>
    <n v="2277"/>
    <s v="SAMARIDHYA BASAK"/>
    <s v="Male"/>
    <s v=""/>
    <s v="Nov 17, 2025"/>
    <s v="EYPPB5256Q"/>
    <s v="102267034998"/>
    <x v="6"/>
    <s v="MANAGEMENT TRAINEE"/>
    <x v="6"/>
    <s v="MT"/>
    <s v="PF"/>
    <s v="NA"/>
    <s v=""/>
    <s v=""/>
    <s v="601551323382"/>
    <s v="50100847878758"/>
    <s v="HDFC BANK"/>
    <s v="HDFC0000437"/>
    <n v="30"/>
    <n v="0"/>
    <n v="0"/>
    <n v="14"/>
    <n v="14"/>
    <n v="44033"/>
    <n v="44033"/>
    <n v="9247"/>
    <n v="3699"/>
    <n v="747"/>
    <n v="200"/>
    <n v="583"/>
    <n v="770"/>
    <n v="1849"/>
    <n v="1387"/>
    <n v="92"/>
    <n v="324"/>
    <n v="185"/>
    <n v="46"/>
    <n v="1110"/>
    <n v="310"/>
    <n v="0"/>
    <n v="0"/>
    <n v="0"/>
    <n v="20549"/>
    <n v="20549"/>
    <n v="0"/>
    <n v="0"/>
    <n v="0"/>
    <n v="200"/>
    <n v="1110"/>
    <n v="0"/>
    <n v="0"/>
    <n v="0"/>
    <n v="0"/>
    <n v="1310"/>
    <n v="19239"/>
    <m/>
    <m/>
  </r>
  <r>
    <d v="2025-11-01T00:00:00"/>
    <s v="Salary"/>
    <s v="S19012J001"/>
    <s v="MOONSTONE REALINFRA PRIVATE LIMITED"/>
    <n v="2156"/>
    <s v="SANDEEP MARUTI SAWANT"/>
    <s v="Male"/>
    <s v=""/>
    <s v="Jul 01, 2025"/>
    <s v="CJDPS9049F"/>
    <s v="101160800602"/>
    <x v="45"/>
    <s v="ASSISTANT MANAGER"/>
    <x v="0"/>
    <s v="TL"/>
    <s v="PF"/>
    <s v="NA"/>
    <s v=""/>
    <s v=""/>
    <s v="396088354849"/>
    <s v="50100815728515"/>
    <s v="HDFC BANK"/>
    <s v="HDFC0008300"/>
    <n v="30"/>
    <n v="0"/>
    <n v="0"/>
    <n v="30"/>
    <n v="30"/>
    <n v="67200"/>
    <n v="67200"/>
    <n v="30240"/>
    <n v="12096"/>
    <n v="1600"/>
    <n v="200"/>
    <n v="1250"/>
    <n v="2519"/>
    <n v="6048"/>
    <n v="4536"/>
    <n v="302"/>
    <n v="1058"/>
    <n v="605"/>
    <n v="151"/>
    <n v="1800"/>
    <n v="4795"/>
    <n v="0"/>
    <n v="0"/>
    <n v="698"/>
    <n v="67898"/>
    <n v="67200"/>
    <n v="0"/>
    <n v="0"/>
    <n v="0"/>
    <n v="200"/>
    <n v="1800"/>
    <n v="0"/>
    <n v="0"/>
    <n v="0"/>
    <n v="0"/>
    <n v="2000"/>
    <n v="65898"/>
    <m/>
    <m/>
  </r>
  <r>
    <d v="2025-11-01T00:00:00"/>
    <s v="Salary"/>
    <s v="S19012J001"/>
    <s v="MOONSTONE REALINFRA PRIVATE LIMITED"/>
    <n v="413"/>
    <s v="SANDIP GHANSHAM FAND"/>
    <s v="Male"/>
    <s v=""/>
    <s v="Feb 05, 2019"/>
    <s v="ACBPF9894L"/>
    <s v="101432955213"/>
    <x v="9"/>
    <s v="SENIOR ENGINEER"/>
    <x v="0"/>
    <s v="TM"/>
    <s v="PF"/>
    <s v="NA"/>
    <s v=""/>
    <s v=""/>
    <s v="918983892865"/>
    <s v="50100317492765"/>
    <s v="HDFC BANK"/>
    <s v="HDFC0000007"/>
    <n v="30"/>
    <n v="0"/>
    <n v="0"/>
    <n v="30"/>
    <n v="30"/>
    <n v="52975"/>
    <n v="52975"/>
    <n v="23839"/>
    <n v="9536"/>
    <n v="1600"/>
    <n v="200"/>
    <n v="1250"/>
    <n v="1986"/>
    <n v="4768"/>
    <n v="3576"/>
    <n v="238"/>
    <n v="834"/>
    <n v="477"/>
    <n v="119"/>
    <n v="1800"/>
    <n v="2752"/>
    <n v="0"/>
    <n v="0"/>
    <n v="0"/>
    <n v="52975"/>
    <n v="52975"/>
    <n v="0"/>
    <n v="0"/>
    <n v="0"/>
    <n v="200"/>
    <n v="1800"/>
    <n v="0"/>
    <n v="0"/>
    <n v="0"/>
    <n v="0"/>
    <n v="2000"/>
    <n v="50975"/>
    <m/>
    <m/>
  </r>
  <r>
    <d v="2025-11-01T00:00:00"/>
    <s v="Salary"/>
    <s v="S19012J001"/>
    <s v="MOONSTONE REALINFRA PRIVATE LIMITED"/>
    <n v="1389"/>
    <s v="SANDIP RAMESHRAO JAKKALWAD"/>
    <s v="Male"/>
    <s v=""/>
    <s v="Apr 24, 2023"/>
    <s v="AWLPJ2490A"/>
    <s v="101938922335"/>
    <x v="30"/>
    <s v="SENIOR  EXECUTIVE - ACCOUNTS"/>
    <x v="5"/>
    <s v="TM"/>
    <s v="PF"/>
    <s v="NA"/>
    <s v=""/>
    <s v=""/>
    <s v="790987241865"/>
    <s v="50100318162101"/>
    <s v="HDFC BANK"/>
    <s v="HDFC0000007"/>
    <n v="30"/>
    <n v="0"/>
    <n v="0.5"/>
    <n v="29.5"/>
    <n v="29.5"/>
    <n v="57473"/>
    <n v="57473"/>
    <n v="25432"/>
    <n v="10173"/>
    <n v="1573"/>
    <n v="197"/>
    <n v="1229"/>
    <n v="2118"/>
    <n v="5086"/>
    <n v="3815"/>
    <n v="254"/>
    <n v="890"/>
    <n v="509"/>
    <n v="127"/>
    <n v="1800"/>
    <n v="3312"/>
    <n v="0"/>
    <n v="0"/>
    <n v="0"/>
    <n v="56515"/>
    <n v="56515"/>
    <n v="0"/>
    <n v="0"/>
    <n v="0"/>
    <n v="200"/>
    <n v="1800"/>
    <n v="0"/>
    <n v="0"/>
    <n v="0"/>
    <n v="10000"/>
    <n v="12000"/>
    <n v="44515"/>
    <m/>
    <m/>
  </r>
  <r>
    <d v="2025-11-01T00:00:00"/>
    <s v="Salary"/>
    <s v="S19012J001"/>
    <s v="MOONSTONE REALINFRA PRIVATE LIMITED"/>
    <n v="1535"/>
    <s v="SANTOSH DAMU MANKAR"/>
    <s v="Male"/>
    <s v=""/>
    <s v="Sep 14, 2023"/>
    <s v="ARVPM8431B"/>
    <s v="101916942878"/>
    <x v="31"/>
    <s v="PROJECT MANAGER"/>
    <x v="0"/>
    <s v="TL"/>
    <s v="PF"/>
    <s v="NA"/>
    <s v=""/>
    <s v=""/>
    <s v="863607704890"/>
    <s v="04861720000752"/>
    <s v="HDFC BANK"/>
    <s v="HDFC0002454"/>
    <n v="30"/>
    <n v="0"/>
    <n v="2"/>
    <n v="28"/>
    <n v="28"/>
    <n v="95900"/>
    <n v="95900"/>
    <n v="40278"/>
    <n v="16111"/>
    <n v="1493"/>
    <n v="187"/>
    <n v="1167"/>
    <n v="3355"/>
    <n v="8056"/>
    <n v="6042"/>
    <n v="403"/>
    <n v="1410"/>
    <n v="806"/>
    <n v="201"/>
    <n v="1800"/>
    <n v="8198"/>
    <n v="0"/>
    <n v="0"/>
    <n v="0"/>
    <n v="89507"/>
    <n v="89507"/>
    <n v="0"/>
    <n v="0"/>
    <n v="0"/>
    <n v="200"/>
    <n v="1800"/>
    <n v="0"/>
    <n v="0"/>
    <n v="0"/>
    <n v="0"/>
    <n v="2000"/>
    <n v="87507"/>
    <m/>
    <m/>
  </r>
  <r>
    <d v="2025-11-01T00:00:00"/>
    <s v="Salary"/>
    <s v="S19012J001"/>
    <s v="MOONSTONE REALINFRA PRIVATE LIMITED"/>
    <n v="1409"/>
    <s v="SANTOSH KADAM"/>
    <s v="Male"/>
    <s v=""/>
    <s v="May 10, 2023"/>
    <s v="AZUPK6484F"/>
    <s v="100924255914"/>
    <x v="9"/>
    <s v="SENIOR ENGINEER"/>
    <x v="0"/>
    <s v="TM"/>
    <s v="PF"/>
    <s v="NA"/>
    <s v=""/>
    <s v=""/>
    <s v="333622114009"/>
    <s v="50100502294986"/>
    <s v="HDFC BANK"/>
    <s v="HDFC0001445"/>
    <n v="30"/>
    <n v="0"/>
    <n v="0"/>
    <n v="30"/>
    <n v="30"/>
    <n v="71417"/>
    <n v="71417"/>
    <n v="32138"/>
    <n v="12855"/>
    <n v="1600"/>
    <n v="200"/>
    <n v="1250"/>
    <n v="2677"/>
    <n v="6428"/>
    <n v="4821"/>
    <n v="321"/>
    <n v="1125"/>
    <n v="643"/>
    <n v="161"/>
    <n v="1800"/>
    <n v="5398"/>
    <n v="0"/>
    <n v="0"/>
    <n v="0"/>
    <n v="71417"/>
    <n v="71417"/>
    <n v="0"/>
    <n v="0"/>
    <n v="0"/>
    <n v="200"/>
    <n v="1800"/>
    <n v="0"/>
    <n v="0"/>
    <n v="0"/>
    <n v="0"/>
    <n v="2000"/>
    <n v="69417"/>
    <m/>
    <m/>
  </r>
  <r>
    <d v="2025-11-01T00:00:00"/>
    <s v="Salary"/>
    <s v="S19012J001"/>
    <s v="MOONSTONE REALINFRA PRIVATE LIMITED"/>
    <n v="2155"/>
    <s v="SAURABH MININATH NANNAVARE"/>
    <s v="Male"/>
    <s v=""/>
    <s v="Jul 01, 2025"/>
    <s v="BIJPN9700N"/>
    <s v="101177464600"/>
    <x v="46"/>
    <s v="ENGINEER"/>
    <x v="0"/>
    <s v="TM"/>
    <s v="PF"/>
    <s v="NA"/>
    <s v=""/>
    <s v=""/>
    <s v="706192695680"/>
    <s v="50100815728452"/>
    <s v="HDFC BANK"/>
    <s v="HDFC0008300"/>
    <n v="30"/>
    <n v="0"/>
    <n v="0"/>
    <n v="30"/>
    <n v="30"/>
    <n v="53200"/>
    <n v="53200"/>
    <n v="23940"/>
    <n v="9576"/>
    <n v="1600"/>
    <n v="200"/>
    <n v="1250"/>
    <n v="1994"/>
    <n v="4788"/>
    <n v="3591"/>
    <n v="239"/>
    <n v="838"/>
    <n v="479"/>
    <n v="120"/>
    <n v="1800"/>
    <n v="2785"/>
    <n v="0"/>
    <n v="0"/>
    <n v="473"/>
    <n v="53673"/>
    <n v="53200"/>
    <n v="0"/>
    <n v="0"/>
    <n v="0"/>
    <n v="200"/>
    <n v="1800"/>
    <n v="0"/>
    <n v="0"/>
    <n v="0"/>
    <n v="0"/>
    <n v="2000"/>
    <n v="51673"/>
    <m/>
    <m/>
  </r>
  <r>
    <d v="2025-11-01T00:00:00"/>
    <s v="Salary"/>
    <s v="S19012J001"/>
    <s v="MOONSTONE REALINFRA PRIVATE LIMITED"/>
    <n v="2232"/>
    <s v="SAURAV RAJENDRA NANDURKAR"/>
    <s v="Male"/>
    <s v=""/>
    <s v="Sep 30, 2025"/>
    <s v="CESPN7298P"/>
    <s v="101733070912"/>
    <x v="58"/>
    <s v="ASSISTANT MANAGER - PLANNING"/>
    <x v="0"/>
    <s v="TM"/>
    <s v="PF"/>
    <s v="NA"/>
    <s v=""/>
    <s v=""/>
    <s v="204027680041"/>
    <s v="239001532252"/>
    <s v="ICICI"/>
    <s v="ICIC0002390"/>
    <n v="30"/>
    <n v="0"/>
    <n v="0"/>
    <n v="30"/>
    <n v="30"/>
    <n v="89867"/>
    <n v="89867"/>
    <n v="40440"/>
    <n v="16176"/>
    <n v="1600"/>
    <n v="200"/>
    <n v="1250"/>
    <n v="3369"/>
    <n v="8088"/>
    <n v="6066"/>
    <n v="404"/>
    <n v="1415"/>
    <n v="809"/>
    <n v="202"/>
    <n v="1800"/>
    <n v="8048"/>
    <n v="0"/>
    <n v="0"/>
    <n v="0"/>
    <n v="89867"/>
    <n v="89867"/>
    <n v="0"/>
    <n v="0"/>
    <n v="0"/>
    <n v="200"/>
    <n v="1800"/>
    <n v="0"/>
    <n v="0"/>
    <n v="0"/>
    <n v="0"/>
    <n v="2000"/>
    <n v="87867"/>
    <m/>
    <m/>
  </r>
  <r>
    <d v="2025-11-01T00:00:00"/>
    <s v="Salary"/>
    <s v="S19012J001"/>
    <s v="MOONSTONE REALINFRA PRIVATE LIMITED"/>
    <n v="2147"/>
    <s v="SAYALI LAXMAN DHAIGUDE"/>
    <s v="Female"/>
    <s v=""/>
    <s v="Jul 01, 2025"/>
    <s v="IODPD3701L"/>
    <s v="102070661731"/>
    <x v="47"/>
    <s v="GUEST RELATION EXECUTIVE"/>
    <x v="2"/>
    <s v="TM"/>
    <s v="PF"/>
    <s v="NA"/>
    <s v=""/>
    <s v=""/>
    <s v="616621359625"/>
    <s v="50100815728531"/>
    <s v="HDFC BANK"/>
    <s v="HDFC0008300"/>
    <n v="30"/>
    <n v="0"/>
    <n v="0"/>
    <n v="30"/>
    <n v="30"/>
    <n v="28380"/>
    <n v="28380"/>
    <n v="12771"/>
    <n v="5108"/>
    <n v="1600"/>
    <n v="200"/>
    <n v="1250"/>
    <n v="0"/>
    <n v="0"/>
    <n v="0"/>
    <n v="0"/>
    <n v="0"/>
    <n v="0"/>
    <n v="0"/>
    <n v="1533"/>
    <n v="5918"/>
    <n v="0"/>
    <n v="0"/>
    <n v="0"/>
    <n v="28380"/>
    <n v="28380"/>
    <n v="0"/>
    <n v="0"/>
    <n v="0"/>
    <n v="200"/>
    <n v="1533"/>
    <n v="0"/>
    <n v="0"/>
    <n v="0"/>
    <n v="0"/>
    <n v="1733"/>
    <n v="26647"/>
    <m/>
    <m/>
  </r>
  <r>
    <d v="2025-11-01T00:00:00"/>
    <s v="Salary"/>
    <s v="S19012J001"/>
    <s v="MOONSTONE REALINFRA PRIVATE LIMITED"/>
    <n v="2278"/>
    <s v="SAYALI SHARAD PAWAR"/>
    <s v="Female"/>
    <s v=""/>
    <s v="Nov 17, 2025"/>
    <s v="GMJPP4299H"/>
    <s v="102267033957"/>
    <x v="6"/>
    <s v="MANAGEMENT TRAINEE"/>
    <x v="6"/>
    <s v="MT"/>
    <s v="PF"/>
    <s v="NA"/>
    <s v=""/>
    <s v=""/>
    <s v="548309932874"/>
    <s v="50100847878771"/>
    <s v="HDFC BANK"/>
    <s v="HDFC0000437"/>
    <n v="30"/>
    <n v="0"/>
    <n v="0"/>
    <n v="14"/>
    <n v="14"/>
    <n v="44033"/>
    <n v="44033"/>
    <n v="9247"/>
    <n v="3699"/>
    <n v="747"/>
    <n v="200"/>
    <n v="583"/>
    <n v="770"/>
    <n v="1849"/>
    <n v="1387"/>
    <n v="92"/>
    <n v="324"/>
    <n v="185"/>
    <n v="46"/>
    <n v="1110"/>
    <n v="310"/>
    <n v="0"/>
    <n v="0"/>
    <n v="0"/>
    <n v="20549"/>
    <n v="20549"/>
    <n v="0"/>
    <n v="0"/>
    <n v="0"/>
    <n v="175"/>
    <n v="1110"/>
    <n v="0"/>
    <n v="0"/>
    <n v="0"/>
    <n v="0"/>
    <n v="1285"/>
    <n v="19264"/>
    <m/>
    <m/>
  </r>
  <r>
    <d v="2025-11-01T00:00:00"/>
    <s v="Salary"/>
    <s v="S19012J001"/>
    <s v="MOONSTONE REALINFRA PRIVATE LIMITED"/>
    <n v="1263"/>
    <s v="SHANKAR BASAPPA GAVI"/>
    <s v="Male"/>
    <s v=""/>
    <s v="Nov 25, 2022"/>
    <s v="BNUPG2416C"/>
    <s v="101450766269"/>
    <x v="45"/>
    <s v="ASSISTANT MANAGER"/>
    <x v="0"/>
    <s v="TM"/>
    <s v="PF"/>
    <s v="NA"/>
    <s v=""/>
    <s v=""/>
    <s v="325630092478"/>
    <s v="50100734599528"/>
    <s v="HDFC BANK"/>
    <s v="HDFC0001210"/>
    <n v="30"/>
    <n v="0"/>
    <n v="9"/>
    <n v="21"/>
    <n v="21"/>
    <n v="55900"/>
    <n v="55900"/>
    <n v="17609"/>
    <n v="7044"/>
    <n v="1120"/>
    <n v="140"/>
    <n v="875"/>
    <n v="1467"/>
    <n v="3522"/>
    <n v="2641"/>
    <n v="176"/>
    <n v="616"/>
    <n v="352"/>
    <n v="88"/>
    <n v="1800"/>
    <n v="1680"/>
    <n v="0"/>
    <n v="0"/>
    <n v="0"/>
    <n v="39130"/>
    <n v="39130"/>
    <n v="0"/>
    <n v="0"/>
    <n v="0"/>
    <n v="200"/>
    <n v="1800"/>
    <n v="0"/>
    <n v="0"/>
    <n v="0"/>
    <n v="0"/>
    <n v="2000"/>
    <n v="37130"/>
    <m/>
    <m/>
  </r>
  <r>
    <d v="2025-11-01T00:00:00"/>
    <s v="Salary"/>
    <s v="S19012J001"/>
    <s v="MOONSTONE REALINFRA PRIVATE LIMITED"/>
    <n v="2218"/>
    <s v="SHANKAR JAGNNATH FARATE"/>
    <s v="Male"/>
    <s v=""/>
    <s v="Sep 15, 2025"/>
    <s v="AATPF9623K"/>
    <s v="102246696731"/>
    <x v="59"/>
    <s v="LISIONING-OFFICER"/>
    <x v="7"/>
    <s v="TM"/>
    <s v="PF"/>
    <s v="NA"/>
    <s v=""/>
    <s v=""/>
    <s v="431958079389"/>
    <s v="50100403586832"/>
    <s v="HDFC BANK"/>
    <s v="HDFC0000103"/>
    <n v="30"/>
    <n v="0"/>
    <n v="0"/>
    <n v="30"/>
    <n v="30"/>
    <n v="53200"/>
    <n v="53200"/>
    <n v="23940"/>
    <n v="9576"/>
    <n v="1600"/>
    <n v="200"/>
    <n v="1250"/>
    <n v="1994"/>
    <n v="4788"/>
    <n v="3591"/>
    <n v="239"/>
    <n v="838"/>
    <n v="479"/>
    <n v="120"/>
    <n v="1800"/>
    <n v="2785"/>
    <n v="0"/>
    <n v="0"/>
    <n v="6039"/>
    <n v="59239"/>
    <n v="53200"/>
    <n v="0"/>
    <n v="0"/>
    <n v="0"/>
    <n v="200"/>
    <n v="1800"/>
    <n v="0"/>
    <n v="0"/>
    <n v="0"/>
    <n v="0"/>
    <n v="2000"/>
    <n v="57239"/>
    <m/>
    <m/>
  </r>
  <r>
    <d v="2025-11-01T00:00:00"/>
    <s v="Salary"/>
    <s v="S19012J001"/>
    <s v="MOONSTONE REALINFRA PRIVATE LIMITED"/>
    <n v="1758"/>
    <s v="SHASHIKANT RAJKUMAR BHASKAR"/>
    <s v="Male"/>
    <s v=""/>
    <s v="May 25, 2024"/>
    <s v="DUVPB0713F"/>
    <s v="101916942813"/>
    <x v="9"/>
    <s v="SENIOR ENGINEER"/>
    <x v="0"/>
    <s v="TM"/>
    <s v="PF"/>
    <s v="NA"/>
    <s v=""/>
    <s v=""/>
    <s v="630621029579"/>
    <s v="50100563889297"/>
    <s v="HDFC BANK"/>
    <s v="HDFC0009526"/>
    <n v="30"/>
    <n v="0"/>
    <n v="0"/>
    <n v="30"/>
    <n v="30"/>
    <n v="68220"/>
    <n v="68220"/>
    <n v="30699"/>
    <n v="12280"/>
    <n v="1600"/>
    <n v="200"/>
    <n v="1250"/>
    <n v="2557"/>
    <n v="6140"/>
    <n v="4605"/>
    <n v="307"/>
    <n v="1074"/>
    <n v="614"/>
    <n v="154"/>
    <n v="1800"/>
    <n v="4940"/>
    <n v="0"/>
    <n v="0"/>
    <n v="671"/>
    <n v="68891"/>
    <n v="68220"/>
    <n v="0"/>
    <n v="0"/>
    <n v="0"/>
    <n v="200"/>
    <n v="1800"/>
    <n v="0"/>
    <n v="0"/>
    <n v="0"/>
    <n v="0"/>
    <n v="2000"/>
    <n v="66891"/>
    <m/>
    <m/>
  </r>
  <r>
    <d v="2025-11-01T00:00:00"/>
    <s v="Salary"/>
    <s v="S19012J001"/>
    <s v="MOONSTONE REALINFRA PRIVATE LIMITED"/>
    <n v="1624"/>
    <s v="SHRINATH SITARAM KHANDALE"/>
    <s v="Male"/>
    <s v=""/>
    <s v="Jan 23, 2024"/>
    <s v="BIZPK8142F"/>
    <s v="101215605497"/>
    <x v="22"/>
    <s v="SUPERVISOR"/>
    <x v="0"/>
    <s v="TM"/>
    <s v="PF"/>
    <s v="NA"/>
    <s v=""/>
    <s v=""/>
    <s v="740935311886"/>
    <s v="50100647442391"/>
    <s v="HDFC BANK"/>
    <s v="HDFC0008300"/>
    <n v="30"/>
    <n v="0"/>
    <n v="0"/>
    <n v="30"/>
    <n v="30"/>
    <n v="42042"/>
    <n v="42042"/>
    <n v="18919"/>
    <n v="7568"/>
    <n v="1600"/>
    <n v="200"/>
    <n v="1250"/>
    <n v="1576"/>
    <n v="3784"/>
    <n v="2838"/>
    <n v="189"/>
    <n v="662"/>
    <n v="378"/>
    <n v="95"/>
    <n v="1800"/>
    <n v="1183"/>
    <n v="0"/>
    <n v="0"/>
    <n v="0"/>
    <n v="42042"/>
    <n v="42042"/>
    <n v="0"/>
    <n v="0"/>
    <n v="0"/>
    <n v="200"/>
    <n v="1800"/>
    <n v="0"/>
    <n v="0"/>
    <n v="0"/>
    <n v="0"/>
    <n v="2000"/>
    <n v="40042"/>
    <m/>
    <m/>
  </r>
  <r>
    <d v="2025-11-01T00:00:00"/>
    <s v="Salary"/>
    <s v="S19012J001"/>
    <s v="MOONSTONE REALINFRA PRIVATE LIMITED"/>
    <n v="1738"/>
    <s v="SHRIVATSA SHRIRANG DESHPANDE"/>
    <s v="Male"/>
    <s v=""/>
    <s v="May 02, 2024"/>
    <s v="CQKPD1013N"/>
    <s v="102074135450"/>
    <x v="33"/>
    <s v="JUNIOR ENGINEER"/>
    <x v="0"/>
    <s v="TM"/>
    <s v="PF"/>
    <s v="NA"/>
    <s v=""/>
    <s v=""/>
    <s v="775752480136"/>
    <s v="50100318176957"/>
    <s v="HDFC BANK"/>
    <s v="HDFC0000007"/>
    <n v="30"/>
    <n v="0"/>
    <n v="0"/>
    <n v="30"/>
    <n v="30"/>
    <n v="35983"/>
    <n v="35983"/>
    <n v="16192"/>
    <n v="6477"/>
    <n v="1600"/>
    <n v="200"/>
    <n v="1250"/>
    <n v="0"/>
    <n v="0"/>
    <n v="0"/>
    <n v="0"/>
    <n v="0"/>
    <n v="0"/>
    <n v="0"/>
    <n v="1800"/>
    <n v="8464"/>
    <n v="0"/>
    <n v="200"/>
    <n v="0"/>
    <n v="36183"/>
    <n v="36183"/>
    <n v="0"/>
    <n v="0"/>
    <n v="0"/>
    <n v="200"/>
    <n v="1800"/>
    <n v="0"/>
    <n v="0"/>
    <n v="0"/>
    <n v="0"/>
    <n v="2000"/>
    <n v="34183"/>
    <m/>
    <m/>
  </r>
  <r>
    <d v="2025-11-01T00:00:00"/>
    <s v="Salary"/>
    <s v="S19012J001"/>
    <s v="MOONSTONE REALINFRA PRIVATE LIMITED"/>
    <n v="2175"/>
    <s v="SNEHAL PRASHANT WALE"/>
    <s v="Female"/>
    <s v=""/>
    <s v="Jul 15, 2025"/>
    <s v="CHLPK4878N"/>
    <s v="102226028536"/>
    <x v="48"/>
    <s v="MANAGER"/>
    <x v="0"/>
    <s v="TL"/>
    <s v="PF"/>
    <s v="NA"/>
    <s v=""/>
    <s v=""/>
    <s v="499534600849"/>
    <s v="99997798677300"/>
    <s v="HDFC BANK"/>
    <s v="HDFC0001795"/>
    <n v="30"/>
    <n v="0"/>
    <n v="0"/>
    <n v="30"/>
    <n v="30"/>
    <n v="137785"/>
    <n v="137785"/>
    <n v="62003"/>
    <n v="24801"/>
    <n v="1600"/>
    <n v="200"/>
    <n v="1250"/>
    <n v="5165"/>
    <n v="12401"/>
    <n v="9300"/>
    <n v="620"/>
    <n v="2170"/>
    <n v="1240"/>
    <n v="310"/>
    <n v="1800"/>
    <n v="14925"/>
    <n v="0"/>
    <n v="0"/>
    <n v="0"/>
    <n v="137785"/>
    <n v="137785"/>
    <n v="0"/>
    <n v="0"/>
    <n v="0"/>
    <n v="200"/>
    <n v="1800"/>
    <n v="0"/>
    <n v="0"/>
    <n v="0"/>
    <n v="0"/>
    <n v="2000"/>
    <n v="135785"/>
    <m/>
    <m/>
  </r>
  <r>
    <d v="2025-11-01T00:00:00"/>
    <s v="Salary"/>
    <s v="S19012J001"/>
    <s v="MOONSTONE REALINFRA PRIVATE LIMITED"/>
    <n v="1589"/>
    <s v="TAUKEEL RASHID JAMADAR"/>
    <s v="Male"/>
    <s v=""/>
    <s v="Jan 02, 2024"/>
    <s v="CGPPJ6786D"/>
    <s v="102034245800"/>
    <x v="0"/>
    <s v="FIELD ENGINEER"/>
    <x v="0"/>
    <s v="TM"/>
    <s v="PF"/>
    <s v="NA"/>
    <s v=""/>
    <s v=""/>
    <s v="477762356796"/>
    <s v="50100624533482"/>
    <s v="HDFC BANK"/>
    <s v="HDFC0000007"/>
    <n v="30"/>
    <n v="0"/>
    <n v="0"/>
    <n v="30"/>
    <n v="30"/>
    <n v="34250"/>
    <n v="34250"/>
    <n v="15413"/>
    <n v="6165"/>
    <n v="1600"/>
    <n v="200"/>
    <n v="1250"/>
    <n v="0"/>
    <n v="0"/>
    <n v="0"/>
    <n v="0"/>
    <n v="0"/>
    <n v="0"/>
    <n v="0"/>
    <n v="1800"/>
    <n v="7822"/>
    <n v="0"/>
    <n v="0"/>
    <n v="0"/>
    <n v="34250"/>
    <n v="34250"/>
    <n v="0"/>
    <n v="0"/>
    <n v="0"/>
    <n v="200"/>
    <n v="1800"/>
    <n v="0"/>
    <n v="0"/>
    <n v="0"/>
    <n v="0"/>
    <n v="2000"/>
    <n v="32250"/>
    <m/>
    <m/>
  </r>
  <r>
    <d v="2025-11-01T00:00:00"/>
    <s v="Salary"/>
    <s v="S19012J001"/>
    <s v="MOONSTONE REALINFRA PRIVATE LIMITED"/>
    <n v="2069"/>
    <s v="TIPPUSULATAN ABDUL NADAF"/>
    <s v="Male"/>
    <s v=""/>
    <s v="Mar 25, 2025"/>
    <s v="ATNPN5727D"/>
    <s v="102119999896"/>
    <x v="1"/>
    <s v="ASSISTANT PROJECT MANAGER"/>
    <x v="0"/>
    <s v="TL"/>
    <s v="PF"/>
    <s v="NA"/>
    <s v=""/>
    <s v=""/>
    <s v="308508124099"/>
    <s v="50100090742768"/>
    <s v="HDFC BANK"/>
    <s v="HDFC0005554"/>
    <n v="30"/>
    <n v="0"/>
    <n v="3.5"/>
    <n v="26.5"/>
    <n v="26.5"/>
    <n v="70000"/>
    <n v="70000"/>
    <n v="27825"/>
    <n v="11130"/>
    <n v="1413"/>
    <n v="177"/>
    <n v="1104"/>
    <n v="2318"/>
    <n v="5565"/>
    <n v="4174"/>
    <n v="278"/>
    <n v="974"/>
    <n v="557"/>
    <n v="139"/>
    <n v="1800"/>
    <n v="4379"/>
    <n v="0"/>
    <n v="0"/>
    <n v="0"/>
    <n v="61833"/>
    <n v="61833"/>
    <n v="0"/>
    <n v="0"/>
    <n v="0"/>
    <n v="200"/>
    <n v="1800"/>
    <n v="0"/>
    <n v="0"/>
    <n v="0"/>
    <n v="0"/>
    <n v="2000"/>
    <n v="59833"/>
    <m/>
    <m/>
  </r>
  <r>
    <d v="2025-11-01T00:00:00"/>
    <s v="Salary"/>
    <s v="S19012J001"/>
    <s v="MOONSTONE REALINFRA PRIVATE LIMITED"/>
    <n v="1515"/>
    <s v="UJJWAL PANCHANAN SARKAR"/>
    <s v="Male"/>
    <s v=""/>
    <s v="Sep 01, 2023"/>
    <s v="BNXPS5649Q"/>
    <s v="100536583293"/>
    <x v="36"/>
    <s v="GENERAL MANAGER"/>
    <x v="6"/>
    <s v="GL"/>
    <s v="PF"/>
    <s v="NA"/>
    <s v=""/>
    <s v=""/>
    <s v="893388738382"/>
    <s v="99991683288448"/>
    <s v="HDFC BANK"/>
    <s v="HDFC0000223"/>
    <n v="30"/>
    <n v="0"/>
    <n v="2"/>
    <n v="28"/>
    <n v="28"/>
    <n v="184245"/>
    <n v="184245"/>
    <n v="77383"/>
    <n v="30953"/>
    <n v="1493"/>
    <n v="187"/>
    <n v="1167"/>
    <n v="6446"/>
    <n v="15477"/>
    <n v="11607"/>
    <n v="774"/>
    <n v="2708"/>
    <n v="1548"/>
    <n v="387"/>
    <n v="1800"/>
    <n v="20032"/>
    <n v="0"/>
    <n v="0"/>
    <n v="0"/>
    <n v="171962"/>
    <n v="171962"/>
    <n v="0"/>
    <n v="0"/>
    <n v="26142"/>
    <n v="200"/>
    <n v="1800"/>
    <n v="0"/>
    <n v="0"/>
    <n v="0"/>
    <n v="0"/>
    <n v="28142"/>
    <n v="143820"/>
    <m/>
    <m/>
  </r>
  <r>
    <d v="2025-11-01T00:00:00"/>
    <s v="Salary"/>
    <s v="S19012J001"/>
    <s v="MOONSTONE REALINFRA PRIVATE LIMITED"/>
    <n v="2015"/>
    <s v="VAIJNATH KIRAN DHURVE"/>
    <s v="Male"/>
    <s v=""/>
    <s v="Feb 17, 2025"/>
    <s v="FFEPD0662H"/>
    <s v="102171851953"/>
    <x v="6"/>
    <s v="MANAGEMENT TRAINEE"/>
    <x v="6"/>
    <s v="MT"/>
    <s v="PF"/>
    <s v="NA"/>
    <s v=""/>
    <s v=""/>
    <s v="264600892806"/>
    <s v="50100731565520"/>
    <s v="HDFC BANK"/>
    <s v="HDFC0000007"/>
    <n v="30"/>
    <n v="0"/>
    <n v="0"/>
    <n v="30"/>
    <n v="30"/>
    <n v="56533"/>
    <n v="56533"/>
    <n v="25440"/>
    <n v="10176"/>
    <n v="1600"/>
    <n v="200"/>
    <n v="1250"/>
    <n v="2119"/>
    <n v="5088"/>
    <n v="3816"/>
    <n v="254"/>
    <n v="890"/>
    <n v="509"/>
    <n v="127"/>
    <n v="1800"/>
    <n v="3264"/>
    <n v="0"/>
    <n v="0"/>
    <n v="4812"/>
    <n v="61345"/>
    <n v="56533"/>
    <n v="0"/>
    <n v="15360"/>
    <n v="0"/>
    <n v="200"/>
    <n v="1800"/>
    <n v="0"/>
    <n v="0"/>
    <n v="0"/>
    <n v="0"/>
    <n v="17360"/>
    <n v="43985"/>
    <m/>
    <m/>
  </r>
  <r>
    <d v="2025-11-01T00:00:00"/>
    <s v="Salary"/>
    <s v="S19012J001"/>
    <s v="MOONSTONE REALINFRA PRIVATE LIMITED"/>
    <n v="1166"/>
    <s v="VENKATESH AGASAR"/>
    <s v="Male"/>
    <s v=""/>
    <s v="Aug 01, 2022"/>
    <s v="BVSPA7273D"/>
    <s v="101852002045"/>
    <x v="50"/>
    <s v="SENIOR EXECUTIVE"/>
    <x v="0"/>
    <s v="TM"/>
    <s v="PF"/>
    <s v="NA"/>
    <s v=""/>
    <s v=""/>
    <s v="225161825284"/>
    <s v="50100744366803"/>
    <s v="HDFC BANK"/>
    <s v="HDFC0001210"/>
    <n v="30"/>
    <n v="0"/>
    <n v="0"/>
    <n v="30"/>
    <n v="30"/>
    <n v="59983"/>
    <n v="59983"/>
    <n v="26992"/>
    <n v="10797"/>
    <n v="1600"/>
    <n v="200"/>
    <n v="1250"/>
    <n v="2248"/>
    <n v="5398"/>
    <n v="4049"/>
    <n v="270"/>
    <n v="945"/>
    <n v="540"/>
    <n v="135"/>
    <n v="1800"/>
    <n v="3759"/>
    <n v="0"/>
    <n v="0"/>
    <n v="0"/>
    <n v="59983"/>
    <n v="59983"/>
    <n v="0"/>
    <n v="0"/>
    <n v="0"/>
    <n v="200"/>
    <n v="1800"/>
    <n v="0"/>
    <n v="0"/>
    <n v="0"/>
    <n v="0"/>
    <n v="2000"/>
    <n v="57983"/>
    <m/>
    <m/>
  </r>
  <r>
    <d v="2025-11-01T00:00:00"/>
    <s v="Salary"/>
    <s v="S19012J001"/>
    <s v="MOONSTONE REALINFRA PRIVATE LIMITED"/>
    <n v="247"/>
    <s v="VICKY SONAWANE"/>
    <s v="Male"/>
    <s v=""/>
    <s v="Nov 02, 2017"/>
    <s v="DUIPS5584N"/>
    <s v="101343066494"/>
    <x v="13"/>
    <s v="ADMIN - EXECUTIVE"/>
    <x v="0"/>
    <s v="TM"/>
    <s v="PF"/>
    <s v="NA"/>
    <s v=""/>
    <s v=""/>
    <s v="556127037647"/>
    <s v="50100225745629"/>
    <s v="HDFC BANK"/>
    <s v="HDFC0000633"/>
    <n v="30"/>
    <n v="0"/>
    <n v="3.5"/>
    <n v="26.5"/>
    <n v="26.5"/>
    <n v="34308"/>
    <n v="34308"/>
    <n v="13637"/>
    <n v="5455"/>
    <n v="1413"/>
    <n v="177"/>
    <n v="1104"/>
    <n v="0"/>
    <n v="0"/>
    <n v="0"/>
    <n v="0"/>
    <n v="0"/>
    <n v="0"/>
    <n v="0"/>
    <n v="1636"/>
    <n v="6883"/>
    <n v="0"/>
    <n v="0"/>
    <n v="3870"/>
    <n v="34175"/>
    <n v="30305"/>
    <n v="0"/>
    <n v="0"/>
    <n v="0"/>
    <n v="200"/>
    <n v="1636"/>
    <n v="0"/>
    <n v="0"/>
    <n v="0"/>
    <n v="0"/>
    <n v="1836"/>
    <n v="32339"/>
    <m/>
    <m/>
  </r>
  <r>
    <d v="2025-11-01T00:00:00"/>
    <s v="Salary"/>
    <s v="S19012J001"/>
    <s v="MOONSTONE REALINFRA PRIVATE LIMITED"/>
    <n v="1237"/>
    <s v="VISHAL BHAGWAN BHALERAO"/>
    <s v="Male"/>
    <s v=""/>
    <s v="Nov 04, 2022"/>
    <s v="ASCPB5291L"/>
    <s v="101511554357"/>
    <x v="4"/>
    <s v="Site Supervisor"/>
    <x v="0"/>
    <s v="TM"/>
    <s v="PF"/>
    <s v="NA"/>
    <s v=""/>
    <s v=""/>
    <s v="959686301184"/>
    <s v="50100317490351"/>
    <s v="HDFC BANK"/>
    <s v="HDFC0000007"/>
    <n v="30"/>
    <n v="0"/>
    <n v="5.5"/>
    <n v="24.5"/>
    <n v="24.5"/>
    <n v="31644"/>
    <n v="31644"/>
    <n v="11629"/>
    <n v="4652"/>
    <n v="1307"/>
    <n v="163"/>
    <n v="1021"/>
    <n v="0"/>
    <n v="0"/>
    <n v="0"/>
    <n v="0"/>
    <n v="0"/>
    <n v="0"/>
    <n v="0"/>
    <n v="1395"/>
    <n v="5676"/>
    <n v="0"/>
    <n v="400"/>
    <n v="0"/>
    <n v="26243"/>
    <n v="26243"/>
    <n v="0"/>
    <n v="0"/>
    <n v="0"/>
    <n v="200"/>
    <n v="1395"/>
    <n v="0"/>
    <n v="0"/>
    <n v="0"/>
    <n v="0"/>
    <n v="1595"/>
    <n v="24648"/>
    <m/>
    <m/>
  </r>
  <r>
    <d v="2025-11-01T00:00:00"/>
    <s v="Salary"/>
    <s v="S19012J001"/>
    <s v="MOONSTONE REALINFRA PRIVATE LIMITED"/>
    <n v="1941"/>
    <s v="VISHAL BHAUSAHEB KHAMGAL"/>
    <s v="Male"/>
    <s v=""/>
    <s v="Dec 02, 2024"/>
    <s v="JMIPK9231A"/>
    <s v="101949409807"/>
    <x v="33"/>
    <s v="JUNIOR ENGINEER"/>
    <x v="0"/>
    <s v="TM"/>
    <s v="PF"/>
    <s v="NA"/>
    <s v=""/>
    <s v=""/>
    <s v="664943149815"/>
    <s v="50100390573599"/>
    <s v="HDFC BANK"/>
    <s v="HDFC0000794"/>
    <n v="30"/>
    <n v="0"/>
    <n v="0"/>
    <n v="30"/>
    <n v="30"/>
    <n v="43800"/>
    <n v="43800"/>
    <n v="19710"/>
    <n v="7884"/>
    <n v="1600"/>
    <n v="200"/>
    <n v="1250"/>
    <n v="1642"/>
    <n v="3942"/>
    <n v="2957"/>
    <n v="197"/>
    <n v="690"/>
    <n v="394"/>
    <n v="99"/>
    <n v="1800"/>
    <n v="1435"/>
    <n v="0"/>
    <n v="0"/>
    <n v="0"/>
    <n v="43800"/>
    <n v="43800"/>
    <n v="0"/>
    <n v="0"/>
    <n v="0"/>
    <n v="200"/>
    <n v="1800"/>
    <n v="0"/>
    <n v="0"/>
    <n v="0"/>
    <n v="0"/>
    <n v="2000"/>
    <n v="41800"/>
    <m/>
    <m/>
  </r>
  <r>
    <d v="2025-11-01T00:00:00"/>
    <s v="Salary"/>
    <s v="S19012J001"/>
    <s v="MOONSTONE REALINFRA PRIVATE LIMITED"/>
    <n v="1950"/>
    <s v="VISHAL DILIP GAIKWAD"/>
    <s v="Male"/>
    <s v=""/>
    <s v="Dec 12, 2024"/>
    <s v="AQIPG9250G"/>
    <s v="101589191488"/>
    <x v="4"/>
    <s v="SITE SUPERVISOR"/>
    <x v="0"/>
    <s v="SS"/>
    <s v="PF"/>
    <s v="NA"/>
    <s v=""/>
    <s v=""/>
    <s v="501229058284"/>
    <s v="0607104000125031"/>
    <s v="IDBI BANK"/>
    <s v="IBKL0000607"/>
    <n v="30"/>
    <n v="0"/>
    <n v="0"/>
    <n v="30"/>
    <n v="30"/>
    <n v="35283"/>
    <n v="35283"/>
    <n v="15877"/>
    <n v="6351"/>
    <n v="1600"/>
    <n v="200"/>
    <n v="1250"/>
    <n v="0"/>
    <n v="0"/>
    <n v="0"/>
    <n v="0"/>
    <n v="0"/>
    <n v="0"/>
    <n v="0"/>
    <n v="1800"/>
    <n v="8205"/>
    <n v="0"/>
    <n v="0"/>
    <n v="0"/>
    <n v="35283"/>
    <n v="35283"/>
    <n v="0"/>
    <n v="0"/>
    <n v="0"/>
    <n v="200"/>
    <n v="1800"/>
    <n v="0"/>
    <n v="0"/>
    <n v="0"/>
    <n v="0"/>
    <n v="2000"/>
    <n v="33283"/>
    <m/>
    <m/>
  </r>
  <r>
    <d v="2025-11-01T00:00:00"/>
    <s v="Salary"/>
    <s v="S19012J001"/>
    <s v="MOONSTONE REALINFRA PRIVATE LIMITED"/>
    <n v="1370"/>
    <s v="VISHAL SHANTARAM KORADE"/>
    <s v="Male"/>
    <s v=""/>
    <s v="Apr 10, 2023"/>
    <s v="BLYPK5831K"/>
    <s v="101150007330"/>
    <x v="21"/>
    <s v="EXECUTIVE - ADMIN"/>
    <x v="2"/>
    <s v="TM"/>
    <s v="PF"/>
    <s v="NA"/>
    <s v=""/>
    <s v=""/>
    <s v="491390366032"/>
    <s v="50100624533367"/>
    <s v="HDFC BANK"/>
    <s v="HDFC0000007"/>
    <n v="30"/>
    <n v="0"/>
    <n v="0"/>
    <n v="30"/>
    <n v="30"/>
    <n v="33000"/>
    <n v="33000"/>
    <n v="14850"/>
    <n v="5940"/>
    <n v="1600"/>
    <n v="200"/>
    <n v="1250"/>
    <n v="0"/>
    <n v="0"/>
    <n v="0"/>
    <n v="0"/>
    <n v="0"/>
    <n v="0"/>
    <n v="0"/>
    <n v="1782"/>
    <n v="7378"/>
    <n v="0"/>
    <n v="0"/>
    <n v="0"/>
    <n v="33000"/>
    <n v="33000"/>
    <n v="0"/>
    <n v="0"/>
    <n v="0"/>
    <n v="200"/>
    <n v="1782"/>
    <n v="0"/>
    <n v="0"/>
    <n v="0"/>
    <n v="0"/>
    <n v="1982"/>
    <n v="31018"/>
    <m/>
    <m/>
  </r>
  <r>
    <d v="2025-11-01T00:00:00"/>
    <s v="Salary"/>
    <s v="S19012J001"/>
    <s v="MOONSTONE REALINFRA PRIVATE LIMITED"/>
    <n v="2049"/>
    <s v="VIVEK VILAS BHOSALE"/>
    <s v="Male"/>
    <s v=""/>
    <s v="Mar 13, 2025"/>
    <s v="EXDPB6825C"/>
    <s v="102055428527"/>
    <x v="6"/>
    <s v="MANAGEMENT TRAINEE"/>
    <x v="0"/>
    <s v="MT"/>
    <s v="PF"/>
    <s v="NA"/>
    <s v=""/>
    <s v=""/>
    <s v="826110651139"/>
    <s v="50100808789342"/>
    <s v="HDFC BANK"/>
    <s v="HDFC0001210"/>
    <n v="30"/>
    <n v="0"/>
    <n v="9"/>
    <n v="21"/>
    <n v="21"/>
    <n v="27713"/>
    <n v="27713"/>
    <n v="8730"/>
    <n v="3492"/>
    <n v="1120"/>
    <n v="140"/>
    <n v="875"/>
    <n v="0"/>
    <n v="0"/>
    <n v="0"/>
    <n v="0"/>
    <n v="0"/>
    <n v="0"/>
    <n v="0"/>
    <n v="1048"/>
    <n v="3994"/>
    <n v="0"/>
    <n v="0"/>
    <n v="0"/>
    <n v="19399"/>
    <n v="19399"/>
    <n v="0"/>
    <n v="0"/>
    <n v="0"/>
    <n v="200"/>
    <n v="1048"/>
    <n v="0"/>
    <n v="0"/>
    <n v="0"/>
    <n v="0"/>
    <n v="1248"/>
    <n v="18151"/>
    <m/>
    <m/>
  </r>
  <r>
    <d v="2025-11-01T00:00:00"/>
    <s v="Salary"/>
    <s v="S19012J001"/>
    <s v="MOONSTONE REALINFRA PRIVATE LIMITED"/>
    <n v="1121"/>
    <s v="YASH HARESH DAGHA"/>
    <s v="Male"/>
    <s v=""/>
    <s v="Jun 15, 2022"/>
    <s v="ASJPD7716K"/>
    <s v="101459690850"/>
    <x v="42"/>
    <s v="SENIOR MANAGER - RESI. SALES"/>
    <x v="6"/>
    <s v="TL"/>
    <s v="PF"/>
    <s v="NA"/>
    <s v=""/>
    <s v=""/>
    <s v="975613704897"/>
    <s v="50100489634680"/>
    <s v="HDFC BANK"/>
    <s v="HDFC0000163"/>
    <n v="30"/>
    <n v="0"/>
    <n v="0"/>
    <n v="30"/>
    <n v="30"/>
    <n v="206500"/>
    <n v="206500"/>
    <n v="92925"/>
    <n v="37170"/>
    <n v="1600"/>
    <n v="200"/>
    <n v="1250"/>
    <n v="7741"/>
    <n v="18585"/>
    <n v="13939"/>
    <n v="929"/>
    <n v="3252"/>
    <n v="1859"/>
    <n v="465"/>
    <n v="1800"/>
    <n v="24785"/>
    <n v="0"/>
    <n v="0"/>
    <n v="18380"/>
    <n v="224880"/>
    <n v="206500"/>
    <n v="0"/>
    <n v="0"/>
    <n v="42683"/>
    <n v="200"/>
    <n v="1800"/>
    <n v="0"/>
    <n v="0"/>
    <n v="0"/>
    <n v="0"/>
    <n v="44683"/>
    <n v="180197"/>
    <m/>
    <m/>
  </r>
  <r>
    <d v="2025-11-01T00:00:00"/>
    <s v="Salary"/>
    <s v="S19012J001"/>
    <s v="MOONSTONE REALINFRA PRIVATE LIMITED"/>
    <n v="2264"/>
    <s v="YASHWANT HANUMANT WADKAR"/>
    <s v="Male"/>
    <s v=""/>
    <s v="Nov 07, 2025"/>
    <s v="AFVPW2119Q"/>
    <s v="102060208625"/>
    <x v="30"/>
    <s v="SENIOR  EXECUTIVE - ACCOUNTS"/>
    <x v="5"/>
    <s v="TM"/>
    <s v="PF"/>
    <s v="NA"/>
    <s v=""/>
    <s v=""/>
    <s v="982600635271"/>
    <s v="50100846852161"/>
    <s v="HDFC BANK"/>
    <s v="HDFC0000437"/>
    <n v="30"/>
    <n v="0"/>
    <n v="3"/>
    <n v="21"/>
    <n v="21"/>
    <n v="54867"/>
    <n v="54867"/>
    <n v="17283"/>
    <n v="6913"/>
    <n v="1120"/>
    <n v="180"/>
    <n v="875"/>
    <n v="1440"/>
    <n v="3457"/>
    <n v="2592"/>
    <n v="173"/>
    <n v="605"/>
    <n v="346"/>
    <n v="86"/>
    <n v="1800"/>
    <n v="1537"/>
    <n v="0"/>
    <n v="0"/>
    <n v="0"/>
    <n v="38407"/>
    <n v="38407"/>
    <n v="0"/>
    <n v="0"/>
    <n v="0"/>
    <n v="200"/>
    <n v="1800"/>
    <n v="0"/>
    <n v="0"/>
    <n v="0"/>
    <n v="0"/>
    <n v="2000"/>
    <n v="36407"/>
    <m/>
    <m/>
  </r>
  <r>
    <d v="2025-11-01T00:00:00"/>
    <s v="Salary"/>
    <s v="S19012J001"/>
    <s v="MOONSTONE REALINFRA PRIVATE LIMITED"/>
    <n v="1496"/>
    <s v="YOGESH KALIDAS PAWAR"/>
    <s v="Male"/>
    <s v=""/>
    <s v="Aug 01, 2023"/>
    <s v="ASXPP0952H"/>
    <s v="101235805115"/>
    <x v="9"/>
    <s v="SENIOR ENGINEER"/>
    <x v="0"/>
    <s v="TM"/>
    <s v="PF"/>
    <s v="NA"/>
    <s v=""/>
    <s v=""/>
    <s v="487287182825"/>
    <s v="50100505734101"/>
    <s v="HDFC BANK"/>
    <s v="HDFC0000039"/>
    <n v="30"/>
    <n v="0"/>
    <n v="0.5"/>
    <n v="29.5"/>
    <n v="29.5"/>
    <n v="55383"/>
    <n v="55383"/>
    <n v="24507"/>
    <n v="9803"/>
    <n v="1573"/>
    <n v="197"/>
    <n v="1229"/>
    <n v="2041"/>
    <n v="4901"/>
    <n v="3676"/>
    <n v="245"/>
    <n v="858"/>
    <n v="490"/>
    <n v="123"/>
    <n v="1800"/>
    <n v="3017"/>
    <n v="0"/>
    <n v="0"/>
    <n v="0"/>
    <n v="54460"/>
    <n v="54460"/>
    <n v="0"/>
    <n v="0"/>
    <n v="0"/>
    <n v="200"/>
    <n v="1800"/>
    <n v="0"/>
    <n v="0"/>
    <n v="0"/>
    <n v="0"/>
    <n v="2000"/>
    <n v="52460"/>
    <m/>
    <m/>
  </r>
  <r>
    <d v="2025-12-01T00:00:00"/>
    <s v="Salary"/>
    <m/>
    <s v="MOONSTONE REALINFRA PRIVATE LIMITED"/>
    <n v="1488"/>
    <s v="AAKASH ARVIND SHELAR"/>
    <s v="Male"/>
    <s v=""/>
    <s v="Jul 28, 2023"/>
    <s v="CKIPS7322F"/>
    <s v="101208002832"/>
    <x v="0"/>
    <s v="FIELD ENGINEER"/>
    <x v="0"/>
    <s v="TM"/>
    <s v="PF"/>
    <s v="NA"/>
    <s v=""/>
    <s v=""/>
    <s v="201223935020"/>
    <s v="50100317873546"/>
    <s v="HDFC BANK"/>
    <s v="HDFC0000007"/>
    <n v="31"/>
    <n v="0"/>
    <n v="4"/>
    <n v="9"/>
    <n v="9"/>
    <n v="42989"/>
    <n v="42989"/>
    <n v="5616"/>
    <n v="2246"/>
    <n v="465"/>
    <n v="174"/>
    <n v="363"/>
    <n v="468"/>
    <n v="1123"/>
    <n v="842"/>
    <n v="56"/>
    <n v="197"/>
    <n v="112"/>
    <n v="28"/>
    <n v="674"/>
    <n v="117"/>
    <n v="0"/>
    <n v="0"/>
    <n v="0"/>
    <n v="12481"/>
    <n v="12481"/>
    <n v="0"/>
    <n v="0"/>
    <n v="0"/>
    <n v="200"/>
    <n v="674"/>
    <n v="0"/>
    <n v="0"/>
    <n v="25"/>
    <n v="0"/>
    <n v="899"/>
    <n v="11582"/>
    <m/>
    <m/>
  </r>
  <r>
    <d v="2025-12-01T00:00:00"/>
    <s v="Salary"/>
    <m/>
    <s v="MOONSTONE REALINFRA PRIVATE LIMITED"/>
    <n v="2163"/>
    <s v="AJAY ANIRUDDHA VAIDYA"/>
    <s v="Male"/>
    <s v=""/>
    <s v="Jul 08, 2025"/>
    <s v="AFVPV5692P"/>
    <s v="102185382695"/>
    <x v="38"/>
    <s v="GENERAL MANAGER"/>
    <x v="0"/>
    <s v="GL"/>
    <s v="PF"/>
    <s v="NA"/>
    <s v=""/>
    <s v=""/>
    <s v="806537391280"/>
    <s v="50100582779333"/>
    <s v="HDFC BANK"/>
    <s v="HDFC0001445"/>
    <n v="31"/>
    <n v="0"/>
    <n v="0.5"/>
    <n v="30.5"/>
    <n v="30.5"/>
    <n v="235700"/>
    <n v="235700"/>
    <n v="104354"/>
    <n v="41742"/>
    <n v="1574"/>
    <n v="197"/>
    <n v="1230"/>
    <n v="8693"/>
    <n v="20871"/>
    <n v="15653"/>
    <n v="1044"/>
    <n v="3652"/>
    <n v="2087"/>
    <n v="522"/>
    <n v="1800"/>
    <n v="28479"/>
    <n v="0"/>
    <n v="0"/>
    <n v="1877"/>
    <n v="233775"/>
    <n v="231898"/>
    <n v="0"/>
    <n v="0"/>
    <n v="21565"/>
    <n v="200"/>
    <n v="1800"/>
    <n v="0"/>
    <n v="0"/>
    <n v="25"/>
    <n v="0"/>
    <n v="23590"/>
    <n v="210185"/>
    <m/>
    <m/>
  </r>
  <r>
    <d v="2025-12-01T00:00:00"/>
    <s v="Salary"/>
    <m/>
    <s v="MOONSTONE REALINFRA PRIVATE LIMITED"/>
    <n v="2020"/>
    <s v="AJAY KUMAR GUPTA"/>
    <s v="Male"/>
    <s v=""/>
    <s v="Feb 24, 2025"/>
    <s v="ASQPG3376F"/>
    <s v="102171897914"/>
    <x v="2"/>
    <s v="DEPUTY MANAGER"/>
    <x v="1"/>
    <s v="TM"/>
    <s v="PF"/>
    <s v="NA"/>
    <s v=""/>
    <s v=""/>
    <s v="877766770711"/>
    <s v="50100732468640"/>
    <s v="HDFC BANK"/>
    <s v="HDFC0000007"/>
    <n v="31"/>
    <n v="0"/>
    <n v="3"/>
    <n v="28"/>
    <n v="28"/>
    <n v="68450"/>
    <n v="68450"/>
    <n v="27822"/>
    <n v="11129"/>
    <n v="1445"/>
    <n v="181"/>
    <n v="1129"/>
    <n v="2318"/>
    <n v="5564"/>
    <n v="4173"/>
    <n v="278"/>
    <n v="974"/>
    <n v="556"/>
    <n v="139"/>
    <n v="1800"/>
    <n v="4318"/>
    <n v="0"/>
    <n v="0"/>
    <n v="838"/>
    <n v="62664"/>
    <n v="61826"/>
    <n v="0"/>
    <n v="0"/>
    <n v="0"/>
    <n v="200"/>
    <n v="1800"/>
    <n v="0"/>
    <n v="0"/>
    <n v="25"/>
    <n v="0"/>
    <n v="2025"/>
    <n v="60639"/>
    <m/>
    <m/>
  </r>
  <r>
    <d v="2025-12-01T00:00:00"/>
    <s v="Salary"/>
    <m/>
    <s v="MOONSTONE REALINFRA PRIVATE LIMITED"/>
    <n v="2307"/>
    <s v="AMIT KUMAR"/>
    <s v="Male"/>
    <s v=""/>
    <s v="Dec 15, 2025"/>
    <s v="AULPK0803G"/>
    <s v="101599373063"/>
    <x v="20"/>
    <s v="ASSISTANT GENERAN MANAGER - RES. SALES"/>
    <x v="6"/>
    <s v="TL"/>
    <s v="PF"/>
    <s v="NA"/>
    <s v=""/>
    <s v=""/>
    <s v="897330270549"/>
    <s v="50100313981270"/>
    <s v="HDFC BANK"/>
    <s v="HDFC0009453"/>
    <n v="31"/>
    <n v="0"/>
    <n v="0"/>
    <n v="17"/>
    <n v="17"/>
    <n v="148200"/>
    <n v="148200"/>
    <n v="36572"/>
    <n v="14629"/>
    <n v="877"/>
    <n v="200"/>
    <n v="685"/>
    <n v="3046"/>
    <n v="7314"/>
    <n v="5486"/>
    <n v="366"/>
    <n v="1280"/>
    <n v="731"/>
    <n v="183"/>
    <n v="1800"/>
    <n v="8102"/>
    <n v="0"/>
    <n v="0"/>
    <n v="5246"/>
    <n v="86517"/>
    <n v="81271"/>
    <n v="0"/>
    <n v="0"/>
    <n v="0"/>
    <n v="200"/>
    <n v="1800"/>
    <n v="0"/>
    <n v="0"/>
    <n v="25"/>
    <n v="0"/>
    <n v="2025"/>
    <n v="84492"/>
    <m/>
    <m/>
  </r>
  <r>
    <d v="2025-12-01T00:00:00"/>
    <s v="Salary"/>
    <m/>
    <s v="MOONSTONE REALINFRA PRIVATE LIMITED"/>
    <n v="2072"/>
    <s v="AMIT VILASRAO MALWADE"/>
    <s v="Male"/>
    <s v=""/>
    <s v="Apr 01, 2025"/>
    <s v="BYWPM1111R"/>
    <s v="100098825740"/>
    <x v="3"/>
    <s v="SENIOR MANAGER - MEP"/>
    <x v="0"/>
    <s v="TL"/>
    <s v="PF"/>
    <s v="NA"/>
    <s v=""/>
    <s v=""/>
    <s v="572207945645"/>
    <s v="50100288775748"/>
    <s v="HDFC BANK"/>
    <s v="HDFC0001578"/>
    <n v="31"/>
    <n v="0"/>
    <n v="0"/>
    <n v="31"/>
    <n v="31"/>
    <n v="123200"/>
    <n v="123200"/>
    <n v="55440"/>
    <n v="22176"/>
    <n v="1600"/>
    <n v="200"/>
    <n v="1250"/>
    <n v="4618"/>
    <n v="11088"/>
    <n v="8316"/>
    <n v="554"/>
    <n v="1940"/>
    <n v="1109"/>
    <n v="277"/>
    <n v="1800"/>
    <n v="12832"/>
    <n v="0"/>
    <n v="0"/>
    <n v="0"/>
    <n v="123200"/>
    <n v="123200"/>
    <n v="0"/>
    <n v="0"/>
    <n v="6767"/>
    <n v="200"/>
    <n v="1800"/>
    <n v="0"/>
    <n v="0"/>
    <n v="25"/>
    <n v="0"/>
    <n v="8792"/>
    <n v="114408"/>
    <m/>
    <m/>
  </r>
  <r>
    <d v="2025-12-01T00:00:00"/>
    <s v="Salary"/>
    <m/>
    <s v="MOONSTONE REALINFRA PRIVATE LIMITED"/>
    <n v="1440"/>
    <s v="AMOL BHANUDAS LOKHANDE"/>
    <s v="Male"/>
    <s v=""/>
    <s v="Jun 07, 2023"/>
    <s v="AFPPL3898F"/>
    <s v="101428013109"/>
    <x v="4"/>
    <s v="Site Supervisor"/>
    <x v="0"/>
    <s v="TM"/>
    <s v="PF"/>
    <s v="NA"/>
    <s v=""/>
    <s v=""/>
    <s v="311191516453"/>
    <s v="50100317873701"/>
    <s v="HDFC BANK"/>
    <s v="HDFC0000007"/>
    <n v="31"/>
    <n v="0"/>
    <n v="1"/>
    <n v="30"/>
    <n v="30"/>
    <n v="38617"/>
    <n v="38617"/>
    <n v="16817"/>
    <n v="6727"/>
    <n v="1548"/>
    <n v="194"/>
    <n v="1210"/>
    <n v="0"/>
    <n v="0"/>
    <n v="0"/>
    <n v="0"/>
    <n v="0"/>
    <n v="0"/>
    <n v="0"/>
    <n v="1800"/>
    <n v="9075"/>
    <n v="0"/>
    <n v="0"/>
    <n v="0"/>
    <n v="37371"/>
    <n v="37371"/>
    <n v="0"/>
    <n v="0"/>
    <n v="0"/>
    <n v="200"/>
    <n v="1800"/>
    <n v="0"/>
    <n v="0"/>
    <n v="25"/>
    <n v="0"/>
    <n v="2025"/>
    <n v="35346"/>
    <m/>
    <m/>
  </r>
  <r>
    <d v="2025-12-01T00:00:00"/>
    <s v="Salary"/>
    <m/>
    <s v="MOONSTONE REALINFRA PRIVATE LIMITED"/>
    <n v="2275"/>
    <s v="ANJUSHREE MALAKAR"/>
    <s v="Female"/>
    <s v=""/>
    <s v="Nov 17, 2025"/>
    <s v="HTIPM6513C"/>
    <s v="102267032395"/>
    <x v="6"/>
    <s v="MANAGEMENT TRAINEE"/>
    <x v="6"/>
    <s v="MT"/>
    <s v="PF"/>
    <s v="NA"/>
    <s v=""/>
    <s v=""/>
    <s v="439111071354"/>
    <s v="50100847876972"/>
    <s v="HDFC BANK"/>
    <s v="HDFC0000437"/>
    <n v="31"/>
    <n v="0"/>
    <n v="0"/>
    <n v="31"/>
    <n v="31"/>
    <n v="44033"/>
    <n v="44033"/>
    <n v="19815"/>
    <n v="7926"/>
    <n v="1600"/>
    <n v="200"/>
    <n v="1250"/>
    <n v="1651"/>
    <n v="3963"/>
    <n v="2972"/>
    <n v="198"/>
    <n v="694"/>
    <n v="396"/>
    <n v="99"/>
    <n v="1800"/>
    <n v="1469"/>
    <n v="0"/>
    <n v="175"/>
    <n v="0"/>
    <n v="44208"/>
    <n v="44208"/>
    <n v="0"/>
    <n v="0"/>
    <n v="0"/>
    <n v="200"/>
    <n v="1800"/>
    <n v="0"/>
    <n v="0"/>
    <n v="25"/>
    <n v="0"/>
    <n v="2025"/>
    <n v="42183"/>
    <m/>
    <m/>
  </r>
  <r>
    <d v="2025-12-01T00:00:00"/>
    <s v="Salary"/>
    <m/>
    <s v="MOONSTONE REALINFRA PRIVATE LIMITED"/>
    <n v="1484"/>
    <s v="ANNU PRIYA SINGH"/>
    <s v="Female"/>
    <s v=""/>
    <s v="Jul 21, 2023"/>
    <s v="BMKPP0899K"/>
    <s v="101703468619"/>
    <x v="53"/>
    <s v="SENIOR MANAGER"/>
    <x v="6"/>
    <s v="TL"/>
    <s v="PF"/>
    <s v="NA"/>
    <s v=""/>
    <s v=""/>
    <s v="492782446574"/>
    <s v="99996206293744"/>
    <s v="HDFC BANK"/>
    <s v="HDFC0000007"/>
    <n v="31"/>
    <n v="0"/>
    <n v="0"/>
    <n v="31"/>
    <n v="31"/>
    <n v="111343"/>
    <n v="111343"/>
    <n v="50104"/>
    <n v="20042"/>
    <n v="1600"/>
    <n v="200"/>
    <n v="1250"/>
    <n v="4174"/>
    <n v="10021"/>
    <n v="7516"/>
    <n v="501"/>
    <n v="1754"/>
    <n v="1002"/>
    <n v="251"/>
    <n v="1800"/>
    <n v="11128"/>
    <n v="0"/>
    <n v="0"/>
    <n v="0"/>
    <n v="111343"/>
    <n v="111343"/>
    <n v="0"/>
    <n v="0"/>
    <n v="8978"/>
    <n v="200"/>
    <n v="1800"/>
    <n v="0"/>
    <n v="0"/>
    <n v="25"/>
    <n v="0"/>
    <n v="11003"/>
    <n v="100340"/>
    <m/>
    <m/>
  </r>
  <r>
    <d v="2025-12-01T00:00:00"/>
    <s v="Salary"/>
    <m/>
    <s v="MOONSTONE REALINFRA PRIVATE LIMITED"/>
    <n v="2291"/>
    <s v="ATISH HARISHCHANDRA PAWAR"/>
    <s v="Male"/>
    <s v=""/>
    <s v="Dec 01, 2025"/>
    <s v="DPJPP4164K"/>
    <s v="102272485329"/>
    <x v="64"/>
    <s v="ASSISTANT MANAGER"/>
    <x v="1"/>
    <s v="TM"/>
    <s v="PF"/>
    <s v="NA"/>
    <s v=""/>
    <s v=""/>
    <s v="715363363050"/>
    <s v="50100845758240"/>
    <s v="HDFC BANK"/>
    <s v="HDFC0000007"/>
    <n v="31"/>
    <n v="0"/>
    <n v="0"/>
    <n v="31"/>
    <n v="31"/>
    <n v="85700"/>
    <n v="85700"/>
    <n v="38565"/>
    <n v="15426"/>
    <n v="1600"/>
    <n v="200"/>
    <n v="1250"/>
    <n v="3212"/>
    <n v="7713"/>
    <n v="5785"/>
    <n v="386"/>
    <n v="1350"/>
    <n v="771"/>
    <n v="193"/>
    <n v="1800"/>
    <n v="7449"/>
    <n v="0"/>
    <n v="0"/>
    <n v="379"/>
    <n v="86079"/>
    <n v="85700"/>
    <n v="0"/>
    <n v="0"/>
    <n v="0"/>
    <n v="200"/>
    <n v="1800"/>
    <n v="0"/>
    <n v="0"/>
    <n v="25"/>
    <n v="0"/>
    <n v="2025"/>
    <n v="84054"/>
    <m/>
    <m/>
  </r>
  <r>
    <d v="2025-12-01T00:00:00"/>
    <s v="Salary"/>
    <m/>
    <s v="MOONSTONE REALINFRA PRIVATE LIMITED"/>
    <n v="2271"/>
    <s v="AVANISH KUMAR"/>
    <s v="Male"/>
    <s v=""/>
    <s v="Nov 17, 2025"/>
    <s v="JXXPK8257E"/>
    <s v="102267048375"/>
    <x v="6"/>
    <s v="MANAGEMENT TRAINEE"/>
    <x v="6"/>
    <s v="MT"/>
    <s v="PF"/>
    <s v="NA"/>
    <s v=""/>
    <s v=""/>
    <s v="411849541395"/>
    <s v="50100847876548"/>
    <s v="HDFC BANK"/>
    <s v="HDFC0000437"/>
    <n v="31"/>
    <n v="0"/>
    <n v="0"/>
    <n v="31"/>
    <n v="31"/>
    <n v="44033"/>
    <n v="44033"/>
    <n v="19815"/>
    <n v="7926"/>
    <n v="1600"/>
    <n v="200"/>
    <n v="1250"/>
    <n v="1651"/>
    <n v="3963"/>
    <n v="2972"/>
    <n v="198"/>
    <n v="694"/>
    <n v="396"/>
    <n v="99"/>
    <n v="1800"/>
    <n v="1469"/>
    <n v="0"/>
    <n v="0"/>
    <n v="0"/>
    <n v="44033"/>
    <n v="44033"/>
    <n v="0"/>
    <n v="0"/>
    <n v="0"/>
    <n v="200"/>
    <n v="1800"/>
    <n v="0"/>
    <n v="0"/>
    <n v="25"/>
    <n v="0"/>
    <n v="2025"/>
    <n v="42008"/>
    <m/>
    <m/>
  </r>
  <r>
    <d v="2025-12-01T00:00:00"/>
    <s v="Salary"/>
    <m/>
    <s v="MOONSTONE REALINFRA PRIVATE LIMITED"/>
    <n v="2216"/>
    <s v="AVINASH NANASAHEB GAGARE"/>
    <s v="Male"/>
    <s v=""/>
    <s v="Sep 15, 2025"/>
    <s v="AWHPG2500N"/>
    <s v="101839693043"/>
    <x v="45"/>
    <s v="ASSISTANT MANAGER"/>
    <x v="5"/>
    <s v="TM"/>
    <s v="PF"/>
    <s v="NA"/>
    <s v=""/>
    <s v=""/>
    <s v="687922588113"/>
    <s v="50100730455272"/>
    <s v="HDFC BANK"/>
    <s v="HDFC0009332"/>
    <n v="31"/>
    <n v="0"/>
    <n v="0"/>
    <n v="31"/>
    <n v="31"/>
    <n v="65700"/>
    <n v="65700"/>
    <n v="29565"/>
    <n v="11826"/>
    <n v="1600"/>
    <n v="200"/>
    <n v="1250"/>
    <n v="2463"/>
    <n v="5913"/>
    <n v="4435"/>
    <n v="296"/>
    <n v="1035"/>
    <n v="591"/>
    <n v="148"/>
    <n v="1800"/>
    <n v="4578"/>
    <n v="0"/>
    <n v="0"/>
    <n v="0"/>
    <n v="65700"/>
    <n v="65700"/>
    <n v="0"/>
    <n v="0"/>
    <n v="0"/>
    <n v="200"/>
    <n v="1800"/>
    <n v="0"/>
    <n v="0"/>
    <n v="25"/>
    <n v="0"/>
    <n v="2025"/>
    <n v="63675"/>
    <m/>
    <m/>
  </r>
  <r>
    <d v="2025-12-01T00:00:00"/>
    <s v="Salary"/>
    <m/>
    <s v="MOONSTONE REALINFRA PRIVATE LIMITED"/>
    <n v="2247"/>
    <s v="BAJARANG V CHAUGULE"/>
    <s v="Male"/>
    <s v=""/>
    <s v="Oct 07, 2025"/>
    <s v="ANJPC4768M"/>
    <s v="102257230707"/>
    <x v="43"/>
    <s v="MANAGER"/>
    <x v="0"/>
    <s v="TM"/>
    <s v="PF"/>
    <s v="NA"/>
    <s v=""/>
    <s v=""/>
    <s v="222947030647"/>
    <s v="50100216811030"/>
    <s v="HDFC BANK"/>
    <s v="HDFC0001783"/>
    <n v="31"/>
    <n v="0"/>
    <n v="0.5"/>
    <n v="30.5"/>
    <n v="30.5"/>
    <n v="88200"/>
    <n v="88200"/>
    <n v="39050"/>
    <n v="15620"/>
    <n v="1574"/>
    <n v="197"/>
    <n v="1230"/>
    <n v="3253"/>
    <n v="7810"/>
    <n v="5858"/>
    <n v="391"/>
    <n v="1367"/>
    <n v="781"/>
    <n v="195"/>
    <n v="1800"/>
    <n v="7651"/>
    <n v="0"/>
    <n v="400"/>
    <n v="0"/>
    <n v="87177"/>
    <n v="87177"/>
    <n v="0"/>
    <n v="0"/>
    <n v="0"/>
    <n v="200"/>
    <n v="1800"/>
    <n v="0"/>
    <n v="0"/>
    <n v="25"/>
    <n v="0"/>
    <n v="2025"/>
    <n v="85152"/>
    <m/>
    <m/>
  </r>
  <r>
    <d v="2025-12-01T00:00:00"/>
    <s v="Salary"/>
    <m/>
    <s v="MOONSTONE REALINFRA PRIVATE LIMITED"/>
    <n v="1599"/>
    <s v="BHAVESH SHANKAR WANI"/>
    <s v="Male"/>
    <s v=""/>
    <s v="Jan 09, 2024"/>
    <s v="AGNPW7537K"/>
    <s v="102034237231"/>
    <x v="54"/>
    <s v="ASSISTANT MANAGER - RESI. SALES"/>
    <x v="6"/>
    <s v="TM"/>
    <s v="PF"/>
    <s v="NA"/>
    <s v=""/>
    <s v=""/>
    <s v="467176812861"/>
    <s v="50100394142702"/>
    <s v="HDFC BANK"/>
    <s v="HDFC0001785"/>
    <n v="31"/>
    <n v="0"/>
    <n v="0"/>
    <n v="31"/>
    <n v="31"/>
    <n v="51640"/>
    <n v="51640"/>
    <n v="23238"/>
    <n v="9295"/>
    <n v="1600"/>
    <n v="200"/>
    <n v="1250"/>
    <n v="1936"/>
    <n v="4648"/>
    <n v="3486"/>
    <n v="232"/>
    <n v="813"/>
    <n v="465"/>
    <n v="116"/>
    <n v="1800"/>
    <n v="2561"/>
    <n v="0"/>
    <n v="0"/>
    <n v="2122"/>
    <n v="53762"/>
    <n v="51640"/>
    <n v="0"/>
    <n v="0"/>
    <n v="0"/>
    <n v="200"/>
    <n v="1800"/>
    <n v="0"/>
    <n v="0"/>
    <n v="25"/>
    <n v="0"/>
    <n v="2025"/>
    <n v="51737"/>
    <m/>
    <m/>
  </r>
  <r>
    <d v="2025-12-01T00:00:00"/>
    <s v="Salary"/>
    <m/>
    <s v="MOONSTONE REALINFRA PRIVATE LIMITED"/>
    <n v="1180"/>
    <s v="BHUJBAL SAGAR DNYANESHWAR"/>
    <s v="Male"/>
    <s v=""/>
    <s v="Sep 12, 2022"/>
    <s v="DQJPB2913K"/>
    <s v="101457017133"/>
    <x v="7"/>
    <s v="EXECUTIVE - POSSESSION"/>
    <x v="2"/>
    <s v="TM"/>
    <s v="PF"/>
    <s v="NA"/>
    <s v=""/>
    <s v=""/>
    <s v="241411121642"/>
    <s v="0600104000093754"/>
    <s v="IDBI BANK"/>
    <s v="IBKL0000600"/>
    <n v="31"/>
    <n v="0"/>
    <n v="0"/>
    <n v="31"/>
    <n v="31"/>
    <n v="28042"/>
    <n v="28042"/>
    <n v="12619"/>
    <n v="5048"/>
    <n v="1600"/>
    <n v="200"/>
    <n v="1250"/>
    <n v="0"/>
    <n v="0"/>
    <n v="0"/>
    <n v="0"/>
    <n v="0"/>
    <n v="0"/>
    <n v="0"/>
    <n v="1514"/>
    <n v="5811"/>
    <n v="0"/>
    <n v="0"/>
    <n v="2814"/>
    <n v="30856"/>
    <n v="28042"/>
    <n v="0"/>
    <n v="0"/>
    <n v="0"/>
    <n v="200"/>
    <n v="1514"/>
    <n v="0"/>
    <n v="0"/>
    <n v="25"/>
    <n v="0"/>
    <n v="1739"/>
    <n v="29117"/>
    <m/>
    <m/>
  </r>
  <r>
    <d v="2025-12-01T00:00:00"/>
    <s v="Salary"/>
    <m/>
    <s v="MOONSTONE REALINFRA PRIVATE LIMITED"/>
    <n v="48"/>
    <s v="BHUSHAN MADANLAL LUNKAD"/>
    <s v="Male"/>
    <s v=""/>
    <s v="Sep 05, 2015"/>
    <s v="ADTPL6823A"/>
    <s v="101487437414"/>
    <x v="8"/>
    <s v="MANAGER - A &amp; O"/>
    <x v="6"/>
    <s v="TL"/>
    <s v="PF"/>
    <s v="NA"/>
    <s v=""/>
    <s v=""/>
    <s v="991187937886"/>
    <s v="00521050124966"/>
    <s v="HDFC BANK"/>
    <s v="HDFC0000052"/>
    <n v="31"/>
    <n v="0"/>
    <n v="0"/>
    <n v="31"/>
    <n v="31"/>
    <n v="107967"/>
    <n v="107967"/>
    <n v="48585"/>
    <n v="19434"/>
    <n v="1600"/>
    <n v="200"/>
    <n v="1250"/>
    <n v="4047"/>
    <n v="9717"/>
    <n v="7288"/>
    <n v="486"/>
    <n v="1700"/>
    <n v="972"/>
    <n v="243"/>
    <n v="1800"/>
    <n v="10645"/>
    <n v="0"/>
    <n v="2000"/>
    <n v="0"/>
    <n v="109967"/>
    <n v="109967"/>
    <n v="0"/>
    <n v="0"/>
    <n v="6522"/>
    <n v="200"/>
    <n v="1800"/>
    <n v="0"/>
    <n v="0"/>
    <n v="25"/>
    <n v="15000"/>
    <n v="23547"/>
    <n v="86420"/>
    <m/>
    <m/>
  </r>
  <r>
    <d v="2025-12-01T00:00:00"/>
    <s v="Salary"/>
    <m/>
    <s v="MOONSTONE REALINFRA PRIVATE LIMITED"/>
    <n v="2246"/>
    <s v="BHUSHAN SATISH DESHPANDE"/>
    <s v="Male"/>
    <s v=""/>
    <s v="Oct 14, 2025"/>
    <s v="AHUPD7618N"/>
    <s v="101156996356"/>
    <x v="60"/>
    <s v="SENIOR MANAGER"/>
    <x v="0"/>
    <s v="TL"/>
    <s v="PF"/>
    <s v="NA"/>
    <s v=""/>
    <s v=""/>
    <s v="225825367425"/>
    <s v="01031050120083"/>
    <s v="HDFC BANK"/>
    <s v="HDFC0000103"/>
    <n v="31"/>
    <n v="0"/>
    <n v="0"/>
    <n v="31"/>
    <n v="31"/>
    <n v="123200"/>
    <n v="123200"/>
    <n v="55440"/>
    <n v="22176"/>
    <n v="1600"/>
    <n v="200"/>
    <n v="1250"/>
    <n v="4618"/>
    <n v="11088"/>
    <n v="8316"/>
    <n v="554"/>
    <n v="1940"/>
    <n v="1109"/>
    <n v="277"/>
    <n v="1800"/>
    <n v="12832"/>
    <n v="0"/>
    <n v="0"/>
    <n v="0"/>
    <n v="123200"/>
    <n v="123200"/>
    <n v="0"/>
    <n v="0"/>
    <n v="0"/>
    <n v="200"/>
    <n v="1800"/>
    <n v="0"/>
    <n v="0"/>
    <n v="25"/>
    <n v="0"/>
    <n v="2025"/>
    <n v="121175"/>
    <m/>
    <m/>
  </r>
  <r>
    <d v="2025-12-01T00:00:00"/>
    <s v="Salary"/>
    <m/>
    <s v="MOONSTONE REALINFRA PRIVATE LIMITED"/>
    <n v="2276"/>
    <s v="BIDIPTA DEY SARKAR"/>
    <s v="Female"/>
    <s v=""/>
    <s v="Nov 17, 2025"/>
    <s v="PGOPS8165P"/>
    <s v="102187952261"/>
    <x v="6"/>
    <s v="MANAGEMENT TRAINEE"/>
    <x v="6"/>
    <s v="MT"/>
    <s v="PF"/>
    <s v="NA"/>
    <s v=""/>
    <s v=""/>
    <s v="800708836063"/>
    <s v="50100847878732"/>
    <s v="HDFC BANK"/>
    <s v="HDFC0000437"/>
    <n v="31"/>
    <n v="0"/>
    <n v="0"/>
    <n v="31"/>
    <n v="31"/>
    <n v="44033"/>
    <n v="44033"/>
    <n v="19815"/>
    <n v="7926"/>
    <n v="1600"/>
    <n v="200"/>
    <n v="1250"/>
    <n v="1651"/>
    <n v="3963"/>
    <n v="2972"/>
    <n v="198"/>
    <n v="694"/>
    <n v="396"/>
    <n v="99"/>
    <n v="1800"/>
    <n v="1469"/>
    <n v="0"/>
    <n v="175"/>
    <n v="0"/>
    <n v="44208"/>
    <n v="44208"/>
    <n v="0"/>
    <n v="160"/>
    <n v="0"/>
    <n v="200"/>
    <n v="1800"/>
    <n v="0"/>
    <n v="0"/>
    <n v="25"/>
    <n v="0"/>
    <n v="2185"/>
    <n v="42023"/>
    <m/>
    <m/>
  </r>
  <r>
    <d v="2025-12-01T00:00:00"/>
    <s v="Salary"/>
    <m/>
    <s v="MOONSTONE REALINFRA PRIVATE LIMITED"/>
    <n v="2017"/>
    <s v="DHAIRYA PRASAD"/>
    <s v="Male"/>
    <s v=""/>
    <s v="Feb 17, 2025"/>
    <s v="EPBPP8390Q"/>
    <s v="102171851924"/>
    <x v="6"/>
    <s v="MANAGEMENT TRAINEE"/>
    <x v="6"/>
    <s v="MT"/>
    <s v="PF"/>
    <s v="NA"/>
    <s v=""/>
    <s v=""/>
    <s v="851362488850"/>
    <s v="50100731565504"/>
    <s v="HDFC BANK"/>
    <s v="HDFC0000007"/>
    <n v="31"/>
    <n v="0"/>
    <n v="0"/>
    <n v="31"/>
    <n v="31"/>
    <n v="56533"/>
    <n v="56533"/>
    <n v="25440"/>
    <n v="10176"/>
    <n v="1600"/>
    <n v="200"/>
    <n v="1250"/>
    <n v="2119"/>
    <n v="5088"/>
    <n v="3816"/>
    <n v="254"/>
    <n v="890"/>
    <n v="509"/>
    <n v="127"/>
    <n v="1800"/>
    <n v="3264"/>
    <n v="0"/>
    <n v="0"/>
    <n v="208"/>
    <n v="56741"/>
    <n v="56533"/>
    <n v="0"/>
    <n v="0"/>
    <n v="0"/>
    <n v="200"/>
    <n v="1800"/>
    <n v="0"/>
    <n v="0"/>
    <n v="25"/>
    <n v="0"/>
    <n v="2025"/>
    <n v="54716"/>
    <m/>
    <m/>
  </r>
  <r>
    <d v="2025-12-01T00:00:00"/>
    <s v="Salary"/>
    <m/>
    <s v="MOONSTONE REALINFRA PRIVATE LIMITED"/>
    <n v="1914"/>
    <s v="DHANAJI ARJUN MALI"/>
    <s v="Male"/>
    <s v=""/>
    <s v="Nov 11, 2024"/>
    <s v="DBNPM8263C"/>
    <s v="101816559661"/>
    <x v="9"/>
    <s v="SENIOR ENGINEER"/>
    <x v="0"/>
    <s v="TM"/>
    <s v="PF"/>
    <s v="NA"/>
    <s v=""/>
    <s v=""/>
    <s v="450862785164"/>
    <s v="50100769916547"/>
    <s v="HDFC BANK"/>
    <s v="HDFC0001210"/>
    <n v="31"/>
    <n v="0"/>
    <n v="2"/>
    <n v="10"/>
    <n v="10"/>
    <n v="74033"/>
    <n v="74033"/>
    <n v="10747"/>
    <n v="4299"/>
    <n v="516"/>
    <n v="187"/>
    <n v="403"/>
    <n v="895"/>
    <n v="2149"/>
    <n v="1612"/>
    <n v="107"/>
    <n v="376"/>
    <n v="215"/>
    <n v="54"/>
    <n v="1290"/>
    <n v="1032"/>
    <n v="0"/>
    <n v="0"/>
    <n v="616"/>
    <n v="24498"/>
    <n v="23882"/>
    <n v="0"/>
    <n v="0"/>
    <n v="0"/>
    <n v="200"/>
    <n v="1290"/>
    <n v="0"/>
    <n v="0"/>
    <n v="25"/>
    <n v="0"/>
    <n v="1515"/>
    <n v="22983"/>
    <m/>
    <m/>
  </r>
  <r>
    <d v="2025-12-01T00:00:00"/>
    <s v="Salary"/>
    <m/>
    <s v="MOONSTONE REALINFRA PRIVATE LIMITED"/>
    <n v="2186"/>
    <s v="DIPAK MAGAN KHAJURE"/>
    <s v="Male"/>
    <s v=""/>
    <s v="Aug 11, 2025"/>
    <s v="HZWPK8086G"/>
    <s v="101305133627"/>
    <x v="39"/>
    <s v="SENIOR EXECUTIVE - MIS"/>
    <x v="6"/>
    <s v="TM"/>
    <s v="PF"/>
    <s v="NA"/>
    <s v=""/>
    <s v=""/>
    <s v="620286516208"/>
    <s v="50100820320194"/>
    <s v="HDFC BANK"/>
    <s v="HDFC0000007"/>
    <n v="31"/>
    <n v="0"/>
    <n v="1"/>
    <n v="30"/>
    <n v="30"/>
    <n v="63200"/>
    <n v="63200"/>
    <n v="27522"/>
    <n v="11009"/>
    <n v="1548"/>
    <n v="194"/>
    <n v="1210"/>
    <n v="2293"/>
    <n v="5504"/>
    <n v="4128"/>
    <n v="275"/>
    <n v="963"/>
    <n v="550"/>
    <n v="138"/>
    <n v="1800"/>
    <n v="4027"/>
    <n v="0"/>
    <n v="0"/>
    <n v="0"/>
    <n v="61161"/>
    <n v="61161"/>
    <n v="0"/>
    <n v="0"/>
    <n v="0"/>
    <n v="200"/>
    <n v="1800"/>
    <n v="0"/>
    <n v="0"/>
    <n v="25"/>
    <n v="0"/>
    <n v="2025"/>
    <n v="59136"/>
    <m/>
    <m/>
  </r>
  <r>
    <d v="2025-12-01T00:00:00"/>
    <s v="Salary"/>
    <m/>
    <s v="MOONSTONE REALINFRA PRIVATE LIMITED"/>
    <n v="1209"/>
    <s v="DUNDAPPA MALLAPPA SANKPAL"/>
    <s v="Male"/>
    <s v=""/>
    <s v="Sep 03, 2022"/>
    <s v="CVOPS6863E"/>
    <s v="100379494874"/>
    <x v="40"/>
    <s v="MANAGER - HR"/>
    <x v="2"/>
    <s v="TM"/>
    <s v="PF"/>
    <s v="NA"/>
    <s v=""/>
    <s v=""/>
    <s v="818967487034"/>
    <s v="50100188631775"/>
    <s v="HDFC BANK"/>
    <s v="HDFC0000039"/>
    <n v="31"/>
    <n v="0"/>
    <n v="0"/>
    <n v="31"/>
    <n v="31"/>
    <n v="83333"/>
    <n v="83333"/>
    <n v="37500"/>
    <n v="15000"/>
    <n v="1600"/>
    <n v="200"/>
    <n v="1250"/>
    <n v="3124"/>
    <n v="7500"/>
    <n v="5625"/>
    <n v="375"/>
    <n v="1313"/>
    <n v="750"/>
    <n v="188"/>
    <n v="1800"/>
    <n v="7108"/>
    <n v="0"/>
    <n v="0"/>
    <n v="242"/>
    <n v="83575"/>
    <n v="83333"/>
    <n v="0"/>
    <n v="0"/>
    <n v="0"/>
    <n v="200"/>
    <n v="1800"/>
    <n v="0"/>
    <n v="0"/>
    <n v="25"/>
    <n v="0"/>
    <n v="2025"/>
    <n v="81550"/>
    <m/>
    <m/>
  </r>
  <r>
    <d v="2025-12-01T00:00:00"/>
    <s v="Salary"/>
    <m/>
    <s v="MOONSTONE REALINFRA PRIVATE LIMITED"/>
    <n v="1517"/>
    <s v="GANESH SURESH PAWAR"/>
    <s v="Male"/>
    <s v=""/>
    <s v="Sep 01, 2023"/>
    <s v="CANPP1627F"/>
    <s v="101292152161"/>
    <x v="12"/>
    <s v="EXECUTIVE - MIS"/>
    <x v="2"/>
    <s v="TM"/>
    <s v="PF"/>
    <s v="NA"/>
    <s v=""/>
    <s v=""/>
    <s v="427581798506"/>
    <s v="50100729824722"/>
    <s v="HDFC BANK"/>
    <s v="HDFC0001210"/>
    <n v="31"/>
    <n v="0"/>
    <n v="0.5"/>
    <n v="30.5"/>
    <n v="30.5"/>
    <n v="47190"/>
    <n v="47190"/>
    <n v="20893"/>
    <n v="8357"/>
    <n v="1574"/>
    <n v="197"/>
    <n v="1230"/>
    <n v="1740"/>
    <n v="4179"/>
    <n v="3134"/>
    <n v="209"/>
    <n v="731"/>
    <n v="418"/>
    <n v="104"/>
    <n v="1800"/>
    <n v="1863"/>
    <n v="0"/>
    <n v="0"/>
    <n v="800"/>
    <n v="47229"/>
    <n v="46429"/>
    <n v="0"/>
    <n v="0"/>
    <n v="0"/>
    <n v="200"/>
    <n v="1800"/>
    <n v="0"/>
    <n v="0"/>
    <n v="25"/>
    <n v="0"/>
    <n v="2025"/>
    <n v="45204"/>
    <m/>
    <m/>
  </r>
  <r>
    <d v="2025-12-01T00:00:00"/>
    <s v="Salary"/>
    <m/>
    <s v="MOONSTONE REALINFRA PRIVATE LIMITED"/>
    <n v="1202"/>
    <s v="GAURAV KASHINATH KURANE"/>
    <s v="Male"/>
    <s v=""/>
    <s v="Sep 28, 2022"/>
    <s v="ARVPK8048G"/>
    <s v="100151644732"/>
    <x v="55"/>
    <s v="MANAGER - RESI. SALES"/>
    <x v="6"/>
    <s v="TM"/>
    <s v="PF"/>
    <s v="NA"/>
    <s v=""/>
    <s v=""/>
    <s v="597630357761"/>
    <s v="50100318162255"/>
    <s v="HDFC BANK"/>
    <s v="HDFC0000007"/>
    <n v="31"/>
    <n v="0"/>
    <n v="0"/>
    <n v="31"/>
    <n v="31"/>
    <n v="98333"/>
    <n v="98333"/>
    <n v="44250"/>
    <n v="17700"/>
    <n v="1600"/>
    <n v="200"/>
    <n v="1250"/>
    <n v="3686"/>
    <n v="8850"/>
    <n v="6638"/>
    <n v="443"/>
    <n v="1549"/>
    <n v="885"/>
    <n v="221"/>
    <n v="1800"/>
    <n v="9261"/>
    <n v="0"/>
    <n v="0"/>
    <n v="5141"/>
    <n v="103474"/>
    <n v="98333"/>
    <n v="0"/>
    <n v="0"/>
    <n v="3143"/>
    <n v="200"/>
    <n v="1800"/>
    <n v="0"/>
    <n v="0"/>
    <n v="25"/>
    <n v="0"/>
    <n v="5168"/>
    <n v="98306"/>
    <m/>
    <m/>
  </r>
  <r>
    <d v="2025-12-01T00:00:00"/>
    <s v="Salary"/>
    <m/>
    <s v="MOONSTONE REALINFRA PRIVATE LIMITED"/>
    <n v="2234"/>
    <s v="GUNDAREDDY "/>
    <s v="Male"/>
    <s v=""/>
    <s v="Sep 30, 2025"/>
    <s v="BPTPG4400H"/>
    <s v="101276751702"/>
    <x v="56"/>
    <s v="SENIOR EXECUTIVE HR"/>
    <x v="2"/>
    <s v="TM"/>
    <s v="PF"/>
    <s v="NA"/>
    <s v=""/>
    <s v=""/>
    <s v="793955988124"/>
    <s v="50100501671220"/>
    <s v="HDFC BANK"/>
    <s v="HDFC0004884"/>
    <n v="31"/>
    <n v="0"/>
    <n v="0.5"/>
    <n v="30.5"/>
    <n v="30.5"/>
    <n v="52200"/>
    <n v="52200"/>
    <n v="23111"/>
    <n v="9244"/>
    <n v="1574"/>
    <n v="197"/>
    <n v="1230"/>
    <n v="1925"/>
    <n v="4622"/>
    <n v="3467"/>
    <n v="231"/>
    <n v="809"/>
    <n v="462"/>
    <n v="116"/>
    <n v="1800"/>
    <n v="2570"/>
    <n v="0"/>
    <n v="0"/>
    <n v="160"/>
    <n v="51518"/>
    <n v="51358"/>
    <n v="0"/>
    <n v="0"/>
    <n v="0"/>
    <n v="200"/>
    <n v="1800"/>
    <n v="0"/>
    <n v="0"/>
    <n v="25"/>
    <n v="0"/>
    <n v="2025"/>
    <n v="49493"/>
    <m/>
    <m/>
  </r>
  <r>
    <d v="2025-12-01T00:00:00"/>
    <s v="Salary"/>
    <m/>
    <s v="MOONSTONE REALINFRA PRIVATE LIMITED"/>
    <n v="2273"/>
    <s v="HARSH VIJAY"/>
    <s v="Male"/>
    <s v=""/>
    <s v="Nov 17, 2025"/>
    <s v="CWBPV9777L"/>
    <s v="102267049861"/>
    <x v="6"/>
    <s v="MANAGEMENT TRAINEE"/>
    <x v="6"/>
    <s v="MT"/>
    <s v="PF"/>
    <s v="NA"/>
    <s v=""/>
    <s v=""/>
    <s v="997756624145"/>
    <s v="50100847878811"/>
    <s v="HDFC BANK"/>
    <s v="HDFC0000437"/>
    <n v="31"/>
    <n v="0"/>
    <n v="0"/>
    <n v="31"/>
    <n v="31"/>
    <n v="44033"/>
    <n v="44033"/>
    <n v="19815"/>
    <n v="7926"/>
    <n v="1600"/>
    <n v="200"/>
    <n v="1250"/>
    <n v="1651"/>
    <n v="3963"/>
    <n v="2972"/>
    <n v="198"/>
    <n v="694"/>
    <n v="396"/>
    <n v="99"/>
    <n v="1800"/>
    <n v="1469"/>
    <n v="0"/>
    <n v="0"/>
    <n v="0"/>
    <n v="44033"/>
    <n v="44033"/>
    <n v="0"/>
    <n v="0"/>
    <n v="0"/>
    <n v="200"/>
    <n v="1800"/>
    <n v="0"/>
    <n v="0"/>
    <n v="25"/>
    <n v="0"/>
    <n v="2025"/>
    <n v="42008"/>
    <m/>
    <m/>
  </r>
  <r>
    <d v="2025-12-01T00:00:00"/>
    <s v="Salary"/>
    <m/>
    <s v="MOONSTONE REALINFRA PRIVATE LIMITED"/>
    <n v="748"/>
    <s v="KALPESH KADAM"/>
    <s v="Male"/>
    <s v=""/>
    <s v="Feb 22, 2021"/>
    <s v="DPAPK0829F"/>
    <s v="101173740664"/>
    <x v="41"/>
    <s v="MANAGER - LIAISONING"/>
    <x v="3"/>
    <s v="TM"/>
    <s v="PF"/>
    <s v="NA"/>
    <s v=""/>
    <s v=""/>
    <s v="656902116787"/>
    <s v="50100045505567"/>
    <s v="HDFC BANK"/>
    <s v="HDFC0000794"/>
    <n v="31"/>
    <n v="0"/>
    <n v="0"/>
    <n v="31"/>
    <n v="31"/>
    <n v="62333"/>
    <n v="62333"/>
    <n v="28050"/>
    <n v="11220"/>
    <n v="1600"/>
    <n v="200"/>
    <n v="1250"/>
    <n v="2337"/>
    <n v="5610"/>
    <n v="4208"/>
    <n v="281"/>
    <n v="982"/>
    <n v="561"/>
    <n v="140"/>
    <n v="1800"/>
    <n v="4094"/>
    <n v="0"/>
    <n v="0"/>
    <n v="3917"/>
    <n v="66250"/>
    <n v="62333"/>
    <n v="0"/>
    <n v="0"/>
    <n v="0"/>
    <n v="200"/>
    <n v="1800"/>
    <n v="0"/>
    <n v="0"/>
    <n v="25"/>
    <n v="15000"/>
    <n v="17025"/>
    <n v="49225"/>
    <m/>
    <m/>
  </r>
  <r>
    <d v="2025-12-01T00:00:00"/>
    <s v="Salary"/>
    <m/>
    <s v="MOONSTONE REALINFRA PRIVATE LIMITED"/>
    <n v="2214"/>
    <s v="KAMLESH BABULAL RAJPUROHIT"/>
    <s v="Male"/>
    <s v=""/>
    <s v="Sep 15, 2025"/>
    <s v="EMJPR1063R"/>
    <s v="102077336068"/>
    <x v="57"/>
    <s v="EXECUTIVE ASSISTANT"/>
    <x v="5"/>
    <s v="TM"/>
    <s v="PF"/>
    <s v="NA"/>
    <s v=""/>
    <s v=""/>
    <s v="530249989111"/>
    <s v="50100833997330"/>
    <s v="HDFC BANK"/>
    <s v="HDFC0000437"/>
    <n v="31"/>
    <n v="0"/>
    <n v="1"/>
    <n v="30"/>
    <n v="30"/>
    <n v="54867"/>
    <n v="54867"/>
    <n v="23894"/>
    <n v="9558"/>
    <n v="1548"/>
    <n v="194"/>
    <n v="1210"/>
    <n v="1990"/>
    <n v="4779"/>
    <n v="3584"/>
    <n v="239"/>
    <n v="836"/>
    <n v="478"/>
    <n v="119"/>
    <n v="1800"/>
    <n v="2868"/>
    <n v="0"/>
    <n v="0"/>
    <n v="0"/>
    <n v="53097"/>
    <n v="53097"/>
    <n v="0"/>
    <n v="0"/>
    <n v="0"/>
    <n v="200"/>
    <n v="1800"/>
    <n v="0"/>
    <n v="0"/>
    <n v="25"/>
    <n v="0"/>
    <n v="2025"/>
    <n v="51072"/>
    <m/>
    <m/>
  </r>
  <r>
    <d v="2025-12-01T00:00:00"/>
    <s v="Salary"/>
    <m/>
    <s v="MOONSTONE REALINFRA PRIVATE LIMITED"/>
    <n v="2239"/>
    <s v="KESAVAPATNAM SAI DIVYA"/>
    <s v="Female"/>
    <s v=""/>
    <s v="Oct 07, 2025"/>
    <s v="AXQPK7747R"/>
    <s v="100736813583"/>
    <x v="11"/>
    <s v="DEPUTY MANAGER - HR"/>
    <x v="2"/>
    <s v="TM"/>
    <s v="PF"/>
    <s v="NA"/>
    <s v=""/>
    <s v=""/>
    <s v="544132081350"/>
    <s v="50100713590393"/>
    <s v="HDFC BANK"/>
    <s v="HDFC0001210"/>
    <n v="31"/>
    <n v="0"/>
    <n v="0"/>
    <n v="31"/>
    <n v="31"/>
    <n v="88067"/>
    <n v="88067"/>
    <n v="39630"/>
    <n v="15852"/>
    <n v="1600"/>
    <n v="200"/>
    <n v="1250"/>
    <n v="3301"/>
    <n v="7926"/>
    <n v="5945"/>
    <n v="396"/>
    <n v="1387"/>
    <n v="793"/>
    <n v="198"/>
    <n v="1800"/>
    <n v="7789"/>
    <n v="0"/>
    <n v="0"/>
    <n v="0"/>
    <n v="88067"/>
    <n v="88067"/>
    <n v="0"/>
    <n v="0"/>
    <n v="0"/>
    <n v="200"/>
    <n v="1800"/>
    <n v="0"/>
    <n v="0"/>
    <n v="25"/>
    <n v="0"/>
    <n v="2025"/>
    <n v="86042"/>
    <m/>
    <m/>
  </r>
  <r>
    <d v="2025-12-01T00:00:00"/>
    <s v="Salary"/>
    <m/>
    <s v="MOONSTONE REALINFRA PRIVATE LIMITED"/>
    <n v="2152"/>
    <s v="KEWALRAJ POUDEL"/>
    <s v="Male"/>
    <s v=""/>
    <s v="Jul 01, 2025"/>
    <s v="ETGPP5536R"/>
    <s v="102121019968"/>
    <x v="33"/>
    <s v="JUNIOR ENGINEER"/>
    <x v="0"/>
    <s v="TM"/>
    <s v="PF"/>
    <s v="NA"/>
    <s v=""/>
    <s v=""/>
    <s v="462816190119"/>
    <s v="50100815728426"/>
    <s v="HDFC BANK"/>
    <s v="HDFC0008300"/>
    <n v="31"/>
    <n v="0"/>
    <n v="0"/>
    <n v="31"/>
    <n v="31"/>
    <n v="32760"/>
    <n v="32760"/>
    <n v="14742"/>
    <n v="5897"/>
    <n v="1600"/>
    <n v="200"/>
    <n v="1250"/>
    <n v="0"/>
    <n v="0"/>
    <n v="0"/>
    <n v="0"/>
    <n v="0"/>
    <n v="0"/>
    <n v="0"/>
    <n v="1769"/>
    <n v="7302"/>
    <n v="0"/>
    <n v="0"/>
    <n v="399"/>
    <n v="33159"/>
    <n v="32760"/>
    <n v="0"/>
    <n v="0"/>
    <n v="0"/>
    <n v="200"/>
    <n v="1769"/>
    <n v="0"/>
    <n v="0"/>
    <n v="25"/>
    <n v="0"/>
    <n v="1994"/>
    <n v="31165"/>
    <m/>
    <m/>
  </r>
  <r>
    <d v="2025-12-01T00:00:00"/>
    <s v="Salary"/>
    <m/>
    <s v="MOONSTONE REALINFRA PRIVATE LIMITED"/>
    <n v="2281"/>
    <s v="KHUSHI SAGAR JOSHI"/>
    <s v="Female"/>
    <s v=""/>
    <s v="Nov 20, 2025"/>
    <s v="CKAPJ8208F"/>
    <s v="101827593005"/>
    <x v="54"/>
    <s v="ASSISTANT MANAGER - RESI. SALES"/>
    <x v="6"/>
    <s v="TM"/>
    <s v="PF"/>
    <s v="NA"/>
    <s v=""/>
    <s v=""/>
    <s v="352779432599"/>
    <s v="50100490342573"/>
    <s v="HDFC BANK"/>
    <s v="HDFC0002503"/>
    <n v="31"/>
    <n v="0"/>
    <n v="0.5"/>
    <n v="30.5"/>
    <n v="30.5"/>
    <n v="81533"/>
    <n v="81533"/>
    <n v="36098"/>
    <n v="14439"/>
    <n v="1574"/>
    <n v="197"/>
    <n v="1230"/>
    <n v="3007"/>
    <n v="7220"/>
    <n v="5415"/>
    <n v="361"/>
    <n v="1263"/>
    <n v="722"/>
    <n v="180"/>
    <n v="1800"/>
    <n v="6712"/>
    <n v="0"/>
    <n v="0"/>
    <n v="951"/>
    <n v="81169"/>
    <n v="80218"/>
    <n v="0"/>
    <n v="0"/>
    <n v="0"/>
    <n v="200"/>
    <n v="1800"/>
    <n v="0"/>
    <n v="0"/>
    <n v="25"/>
    <n v="0"/>
    <n v="2025"/>
    <n v="79144"/>
    <m/>
    <m/>
  </r>
  <r>
    <d v="2025-12-01T00:00:00"/>
    <s v="Salary"/>
    <m/>
    <s v="MOONSTONE REALINFRA PRIVATE LIMITED"/>
    <n v="1875"/>
    <s v="KRISHNA KUMAR TIWARI"/>
    <s v="Male"/>
    <s v=""/>
    <s v="Sep 09, 2024"/>
    <s v="AGXPT8418N"/>
    <s v="101910507765"/>
    <x v="52"/>
    <s v="DEPUTY MANAGER"/>
    <x v="6"/>
    <s v="TM"/>
    <s v="PF"/>
    <s v="NA"/>
    <s v=""/>
    <s v=""/>
    <s v="375923391923"/>
    <s v="50100755728692"/>
    <s v="HDFC BANK"/>
    <s v="HDFC0001210"/>
    <n v="31"/>
    <n v="0"/>
    <n v="0"/>
    <n v="31"/>
    <n v="31"/>
    <n v="65840"/>
    <n v="65840"/>
    <n v="29628"/>
    <n v="11851"/>
    <n v="1600"/>
    <n v="200"/>
    <n v="1250"/>
    <n v="2468"/>
    <n v="5926"/>
    <n v="4444"/>
    <n v="296"/>
    <n v="1037"/>
    <n v="593"/>
    <n v="148"/>
    <n v="1800"/>
    <n v="4599"/>
    <n v="0"/>
    <n v="0"/>
    <n v="3848"/>
    <n v="69688"/>
    <n v="65840"/>
    <n v="0"/>
    <n v="0"/>
    <n v="0"/>
    <n v="200"/>
    <n v="1800"/>
    <n v="0"/>
    <n v="0"/>
    <n v="25"/>
    <n v="0"/>
    <n v="2025"/>
    <n v="67663"/>
    <m/>
    <m/>
  </r>
  <r>
    <d v="2025-12-01T00:00:00"/>
    <s v="Salary"/>
    <m/>
    <s v="MOONSTONE REALINFRA PRIVATE LIMITED"/>
    <n v="1135"/>
    <s v="LAKSHADIP PUNDALIK THAKUR"/>
    <s v="Male"/>
    <s v=""/>
    <s v="Jul 01, 2022"/>
    <s v="AIKPT5980A"/>
    <s v="100202447925"/>
    <x v="36"/>
    <s v="GENERAL MANAGER"/>
    <x v="6"/>
    <s v="TL"/>
    <s v="PF"/>
    <s v="NA"/>
    <s v=""/>
    <s v=""/>
    <s v="332553462353"/>
    <s v="50100224949010"/>
    <s v="HDFC BANK"/>
    <s v="HDFC0003982"/>
    <n v="31"/>
    <n v="0"/>
    <n v="0"/>
    <n v="31"/>
    <n v="31"/>
    <n v="169400"/>
    <n v="169400"/>
    <n v="76230"/>
    <n v="30492"/>
    <n v="1600"/>
    <n v="200"/>
    <n v="1250"/>
    <n v="6350"/>
    <n v="15246"/>
    <n v="11435"/>
    <n v="762"/>
    <n v="2668"/>
    <n v="1525"/>
    <n v="381"/>
    <n v="1800"/>
    <n v="19461"/>
    <n v="0"/>
    <n v="0"/>
    <n v="12383"/>
    <n v="181783"/>
    <n v="169400"/>
    <n v="0"/>
    <n v="0"/>
    <n v="25145"/>
    <n v="200"/>
    <n v="1800"/>
    <n v="0"/>
    <n v="0"/>
    <n v="25"/>
    <n v="0"/>
    <n v="27170"/>
    <n v="154613"/>
    <m/>
    <m/>
  </r>
  <r>
    <d v="2025-12-01T00:00:00"/>
    <s v="Salary"/>
    <m/>
    <s v="MOONSTONE REALINFRA PRIVATE LIMITED"/>
    <n v="1997"/>
    <s v="MAHESH MADHUKAR KATE"/>
    <s v="Male"/>
    <s v=""/>
    <s v="Feb 15, 2025"/>
    <s v="JJFPK7967B"/>
    <s v="101675376988"/>
    <x v="16"/>
    <s v="SAFETY OFICER"/>
    <x v="0"/>
    <s v="TM"/>
    <s v="PF"/>
    <s v="NA"/>
    <s v=""/>
    <s v=""/>
    <s v="696647163423"/>
    <s v="50100731567384"/>
    <s v="HDFC BANK"/>
    <s v="HDFC0000007"/>
    <n v="31"/>
    <n v="0"/>
    <n v="0.5"/>
    <n v="7.5"/>
    <n v="7.5"/>
    <n v="36067"/>
    <n v="36067"/>
    <n v="3927"/>
    <n v="1571"/>
    <n v="387"/>
    <n v="197"/>
    <n v="302"/>
    <n v="0"/>
    <n v="0"/>
    <n v="0"/>
    <n v="0"/>
    <n v="0"/>
    <n v="0"/>
    <n v="0"/>
    <n v="471"/>
    <n v="1871"/>
    <n v="0"/>
    <n v="0"/>
    <n v="0"/>
    <n v="8726"/>
    <n v="8726"/>
    <n v="0"/>
    <n v="0"/>
    <n v="0"/>
    <n v="175"/>
    <n v="471"/>
    <n v="0"/>
    <n v="0"/>
    <n v="25"/>
    <n v="0"/>
    <n v="671"/>
    <n v="8055"/>
    <m/>
    <m/>
  </r>
  <r>
    <d v="2025-12-01T00:00:00"/>
    <s v="Salary"/>
    <m/>
    <s v="MOONSTONE REALINFRA PRIVATE LIMITED"/>
    <n v="2272"/>
    <s v="MAHIMA RAWAL"/>
    <s v="Female"/>
    <s v=""/>
    <s v="Nov 17, 2025"/>
    <s v="DVJPR7360M"/>
    <s v="101675947536"/>
    <x v="6"/>
    <s v="MANAGEMENT TRAINEE"/>
    <x v="6"/>
    <s v="MT"/>
    <s v="PF"/>
    <s v="NA"/>
    <s v=""/>
    <s v=""/>
    <s v="707738000576"/>
    <s v="50100289085145"/>
    <s v="HDFC BANK"/>
    <s v="HDFC0001443"/>
    <n v="31"/>
    <n v="0"/>
    <n v="0"/>
    <n v="31"/>
    <n v="31"/>
    <n v="44033"/>
    <n v="44033"/>
    <n v="19815"/>
    <n v="7926"/>
    <n v="1600"/>
    <n v="200"/>
    <n v="1250"/>
    <n v="1651"/>
    <n v="3963"/>
    <n v="2972"/>
    <n v="198"/>
    <n v="694"/>
    <n v="396"/>
    <n v="99"/>
    <n v="1800"/>
    <n v="1469"/>
    <n v="0"/>
    <n v="175"/>
    <n v="0"/>
    <n v="44208"/>
    <n v="44208"/>
    <n v="0"/>
    <n v="0"/>
    <n v="0"/>
    <n v="200"/>
    <n v="1800"/>
    <n v="0"/>
    <n v="0"/>
    <n v="25"/>
    <n v="0"/>
    <n v="2025"/>
    <n v="42183"/>
    <m/>
    <m/>
  </r>
  <r>
    <d v="2025-12-01T00:00:00"/>
    <s v="Salary"/>
    <m/>
    <s v="MOONSTONE REALINFRA PRIVATE LIMITED"/>
    <n v="726"/>
    <s v="MAHVEEN SAYYED"/>
    <s v="Female"/>
    <s v=""/>
    <s v="Dec 01, 2020"/>
    <s v="NUMPS3199R"/>
    <s v="101726376057"/>
    <x v="17"/>
    <s v="RECEPTIONIST"/>
    <x v="4"/>
    <s v="TM"/>
    <s v="PF"/>
    <s v="NA"/>
    <s v=""/>
    <s v=""/>
    <s v="677097563942"/>
    <s v="50100317492831"/>
    <s v="HDFC BANK"/>
    <s v="HDFC0000007"/>
    <n v="31"/>
    <n v="0"/>
    <n v="0"/>
    <n v="31"/>
    <n v="31"/>
    <n v="27904"/>
    <n v="27904"/>
    <n v="12557"/>
    <n v="5023"/>
    <n v="1600"/>
    <n v="200"/>
    <n v="1250"/>
    <n v="0"/>
    <n v="0"/>
    <n v="0"/>
    <n v="0"/>
    <n v="0"/>
    <n v="0"/>
    <n v="0"/>
    <n v="1507"/>
    <n v="5767"/>
    <n v="0"/>
    <n v="0"/>
    <n v="0"/>
    <n v="27904"/>
    <n v="27904"/>
    <n v="0"/>
    <n v="0"/>
    <n v="0"/>
    <n v="200"/>
    <n v="1507"/>
    <n v="0"/>
    <n v="0"/>
    <n v="25"/>
    <n v="0"/>
    <n v="1732"/>
    <n v="26172"/>
    <m/>
    <m/>
  </r>
  <r>
    <d v="2025-12-01T00:00:00"/>
    <s v="Salary"/>
    <m/>
    <s v="MOONSTONE REALINFRA PRIVATE LIMITED"/>
    <n v="1722"/>
    <s v="MANOJ KUMAR VARMA"/>
    <s v="Male"/>
    <s v=""/>
    <s v="May 02, 2024"/>
    <s v="AAEPV3962E"/>
    <s v="101345330257"/>
    <x v="18"/>
    <s v="SENIOR VICE PRESIDENT"/>
    <x v="0"/>
    <s v="TH"/>
    <s v="PF"/>
    <s v="NA"/>
    <s v=""/>
    <s v=""/>
    <s v="768669459723"/>
    <s v="01531050005109"/>
    <s v="HDFC BANK"/>
    <s v="HDFC0000153"/>
    <n v="31"/>
    <n v="0"/>
    <n v="0"/>
    <n v="31"/>
    <n v="31"/>
    <n v="434795"/>
    <n v="434795"/>
    <n v="195658"/>
    <n v="78263"/>
    <n v="1600"/>
    <n v="200"/>
    <n v="1250"/>
    <n v="16298"/>
    <n v="39132"/>
    <n v="29349"/>
    <n v="1957"/>
    <n v="6848"/>
    <n v="3913"/>
    <n v="978"/>
    <n v="1800"/>
    <n v="57549"/>
    <n v="0"/>
    <n v="0"/>
    <n v="3082"/>
    <n v="437877"/>
    <n v="434795"/>
    <n v="0"/>
    <n v="0"/>
    <n v="144055"/>
    <n v="200"/>
    <n v="1800"/>
    <n v="0"/>
    <n v="0"/>
    <n v="25"/>
    <n v="0"/>
    <n v="146080"/>
    <n v="291797"/>
    <m/>
    <m/>
  </r>
  <r>
    <d v="2025-12-01T00:00:00"/>
    <s v="Salary"/>
    <m/>
    <s v="MOONSTONE REALINFRA PRIVATE LIMITED"/>
    <n v="2241"/>
    <s v="MANVI DHRUVRAJ SINGH"/>
    <s v="Female"/>
    <s v=""/>
    <s v="Oct 09, 2025"/>
    <s v="OCSPS6842C"/>
    <s v="101948310999"/>
    <x v="61"/>
    <s v="SENIOR EXECUTIVE - RESI. SALES"/>
    <x v="6"/>
    <s v="TM"/>
    <s v="PF"/>
    <s v="NA"/>
    <s v=""/>
    <s v=""/>
    <s v="395020615512"/>
    <s v="50100774099998"/>
    <s v="HDFC BANK"/>
    <s v="HDFC0002690"/>
    <n v="31"/>
    <n v="0"/>
    <n v="0"/>
    <n v="31"/>
    <n v="31"/>
    <n v="47367"/>
    <n v="47367"/>
    <n v="21315"/>
    <n v="8526"/>
    <n v="1600"/>
    <n v="200"/>
    <n v="1250"/>
    <n v="1776"/>
    <n v="4263"/>
    <n v="3197"/>
    <n v="213"/>
    <n v="746"/>
    <n v="426"/>
    <n v="107"/>
    <n v="1800"/>
    <n v="1948"/>
    <n v="0"/>
    <n v="0"/>
    <n v="0"/>
    <n v="47367"/>
    <n v="47367"/>
    <n v="0"/>
    <n v="0"/>
    <n v="0"/>
    <n v="200"/>
    <n v="1800"/>
    <n v="0"/>
    <n v="0"/>
    <n v="25"/>
    <n v="0"/>
    <n v="2025"/>
    <n v="45342"/>
    <m/>
    <m/>
  </r>
  <r>
    <d v="2025-12-01T00:00:00"/>
    <s v="Salary"/>
    <m/>
    <s v="MOONSTONE REALINFRA PRIVATE LIMITED"/>
    <n v="1937"/>
    <s v="MAYANK ACHARYA"/>
    <s v="Male"/>
    <s v=""/>
    <s v="Nov 25, 2024"/>
    <s v="DZPPA7006D"/>
    <s v="102142125408"/>
    <x v="6"/>
    <s v="MANAGEMENT TRAINEE"/>
    <x v="6"/>
    <s v="MT"/>
    <s v="PF"/>
    <s v="NA"/>
    <s v=""/>
    <s v=""/>
    <s v="596849238511"/>
    <s v="50100773207188"/>
    <s v="HDFC BANK"/>
    <s v="HDFC0001210"/>
    <n v="31"/>
    <n v="0"/>
    <n v="0"/>
    <n v="31"/>
    <n v="31"/>
    <n v="31533"/>
    <n v="31533"/>
    <n v="14190"/>
    <n v="5676"/>
    <n v="1600"/>
    <n v="200"/>
    <n v="1250"/>
    <n v="0"/>
    <n v="0"/>
    <n v="0"/>
    <n v="0"/>
    <n v="0"/>
    <n v="0"/>
    <n v="0"/>
    <n v="1703"/>
    <n v="6914"/>
    <n v="0"/>
    <n v="0"/>
    <n v="4862"/>
    <n v="36395"/>
    <n v="31533"/>
    <n v="0"/>
    <n v="0"/>
    <n v="0"/>
    <n v="200"/>
    <n v="1703"/>
    <n v="0"/>
    <n v="0"/>
    <n v="25"/>
    <n v="0"/>
    <n v="1928"/>
    <n v="34467"/>
    <m/>
    <m/>
  </r>
  <r>
    <d v="2025-12-01T00:00:00"/>
    <s v="Salary"/>
    <m/>
    <s v="MOONSTONE REALINFRA PRIVATE LIMITED"/>
    <n v="382"/>
    <s v="MAYUR RAJAN SALUNKE"/>
    <s v="Male"/>
    <s v=""/>
    <s v="Dec 11, 2018"/>
    <s v="EIWPS6074N"/>
    <s v="101412010976"/>
    <x v="45"/>
    <s v="ASSISTANT MANAGER"/>
    <x v="2"/>
    <s v="TM"/>
    <s v="PF"/>
    <s v="NA"/>
    <s v=""/>
    <s v=""/>
    <s v="202787997088"/>
    <s v="50100624532338"/>
    <s v="HDFC BANK"/>
    <s v="HDFC0000633"/>
    <n v="31"/>
    <n v="0"/>
    <n v="0"/>
    <n v="31"/>
    <n v="31"/>
    <n v="36950"/>
    <n v="36950"/>
    <n v="16628"/>
    <n v="6651"/>
    <n v="1600"/>
    <n v="200"/>
    <n v="1250"/>
    <n v="0"/>
    <n v="0"/>
    <n v="0"/>
    <n v="0"/>
    <n v="0"/>
    <n v="0"/>
    <n v="0"/>
    <n v="1800"/>
    <n v="8821"/>
    <n v="0"/>
    <n v="0"/>
    <n v="7198"/>
    <n v="44148"/>
    <n v="36950"/>
    <n v="0"/>
    <n v="0"/>
    <n v="0"/>
    <n v="200"/>
    <n v="1800"/>
    <n v="0"/>
    <n v="0"/>
    <n v="25"/>
    <n v="0"/>
    <n v="2025"/>
    <n v="42123"/>
    <m/>
    <m/>
  </r>
  <r>
    <d v="2025-12-01T00:00:00"/>
    <s v="Salary"/>
    <m/>
    <s v="MOONSTONE REALINFRA PRIVATE LIMITED"/>
    <n v="511"/>
    <s v="MAYURESH LANGOTE"/>
    <s v="Male"/>
    <s v=""/>
    <s v="Aug 01, 2019"/>
    <s v="AEWPL1281L"/>
    <s v="100053793326"/>
    <x v="2"/>
    <s v="DEPUTY MANAGER"/>
    <x v="4"/>
    <s v="TM"/>
    <s v="PF"/>
    <s v="NA"/>
    <s v=""/>
    <s v=""/>
    <s v="250203086491"/>
    <s v="50100231649761"/>
    <s v="HDFC BANK"/>
    <s v="HDFC0000052"/>
    <n v="31"/>
    <n v="0"/>
    <n v="2"/>
    <n v="29"/>
    <n v="29"/>
    <n v="43308"/>
    <n v="43308"/>
    <n v="18231"/>
    <n v="7292"/>
    <n v="1497"/>
    <n v="187"/>
    <n v="1169"/>
    <n v="1519"/>
    <n v="3646"/>
    <n v="2735"/>
    <n v="182"/>
    <n v="638"/>
    <n v="365"/>
    <n v="91"/>
    <n v="1800"/>
    <n v="1162"/>
    <n v="0"/>
    <n v="0"/>
    <n v="2801"/>
    <n v="43315"/>
    <n v="40514"/>
    <n v="0"/>
    <n v="0"/>
    <n v="0"/>
    <n v="200"/>
    <n v="1800"/>
    <n v="0"/>
    <n v="0"/>
    <n v="25"/>
    <n v="0"/>
    <n v="2025"/>
    <n v="41290"/>
    <m/>
    <m/>
  </r>
  <r>
    <d v="2025-12-01T00:00:00"/>
    <s v="Salary"/>
    <m/>
    <s v="MOONSTONE REALINFRA PRIVATE LIMITED"/>
    <n v="2062"/>
    <s v="MOHAN SHRIKRISHNA UDGIRI"/>
    <s v="Male"/>
    <s v=""/>
    <s v="Mar 24, 2025"/>
    <s v="AAZPU1282B"/>
    <s v="100242792314"/>
    <x v="20"/>
    <s v="ASSISTANT GENERAL MANAGER"/>
    <x v="0"/>
    <s v="TL"/>
    <s v="PF"/>
    <s v="NA"/>
    <s v=""/>
    <s v=""/>
    <s v="524156423700"/>
    <s v="05421140100824"/>
    <s v="HDFC BANK"/>
    <s v="HDFC0000542"/>
    <n v="31"/>
    <n v="0"/>
    <n v="0"/>
    <n v="31"/>
    <n v="31"/>
    <n v="181533"/>
    <n v="181533"/>
    <n v="81690"/>
    <n v="32676"/>
    <n v="1600"/>
    <n v="200"/>
    <n v="1250"/>
    <n v="6805"/>
    <n v="16338"/>
    <n v="12254"/>
    <n v="817"/>
    <n v="2859"/>
    <n v="1634"/>
    <n v="408"/>
    <n v="1800"/>
    <n v="21202"/>
    <n v="0"/>
    <n v="0"/>
    <n v="0"/>
    <n v="181533"/>
    <n v="181533"/>
    <n v="0"/>
    <n v="0"/>
    <n v="18542"/>
    <n v="200"/>
    <n v="1800"/>
    <n v="0"/>
    <n v="0"/>
    <n v="25"/>
    <n v="0"/>
    <n v="20567"/>
    <n v="160966"/>
    <m/>
    <m/>
  </r>
  <r>
    <d v="2025-12-01T00:00:00"/>
    <s v="Salary"/>
    <m/>
    <s v="MOONSTONE REALINFRA PRIVATE LIMITED"/>
    <n v="2300"/>
    <s v="MOHIT SACHAN"/>
    <s v="Male"/>
    <s v=""/>
    <s v="Dec 10, 2025"/>
    <s v="CRQPS3492F"/>
    <s v="101770675103"/>
    <x v="20"/>
    <s v="ASSISTANT GENERAN MANAGER - RES. SALES"/>
    <x v="6"/>
    <s v="TL"/>
    <s v="PF"/>
    <s v="NA"/>
    <s v=""/>
    <s v=""/>
    <s v="570819612739"/>
    <s v="50100041124166"/>
    <s v="HDFC BANK"/>
    <s v="HDFC0000052"/>
    <n v="31"/>
    <n v="0"/>
    <n v="0"/>
    <n v="22"/>
    <n v="22"/>
    <n v="142367"/>
    <n v="142367"/>
    <n v="45466"/>
    <n v="18186"/>
    <n v="1135"/>
    <n v="200"/>
    <n v="887"/>
    <n v="3787"/>
    <n v="9093"/>
    <n v="6820"/>
    <n v="455"/>
    <n v="1591"/>
    <n v="909"/>
    <n v="227"/>
    <n v="1800"/>
    <n v="10479"/>
    <n v="0"/>
    <n v="0"/>
    <n v="0"/>
    <n v="101035"/>
    <n v="101035"/>
    <n v="0"/>
    <n v="0"/>
    <n v="0"/>
    <n v="200"/>
    <n v="1800"/>
    <n v="0"/>
    <n v="0"/>
    <n v="25"/>
    <n v="0"/>
    <n v="2025"/>
    <n v="99010"/>
    <m/>
    <m/>
  </r>
  <r>
    <d v="2025-12-01T00:00:00"/>
    <s v="Salary"/>
    <m/>
    <s v="MOONSTONE REALINFRA PRIVATE LIMITED"/>
    <n v="2282"/>
    <s v="MUSKAN GUPTA"/>
    <s v="Female"/>
    <s v=""/>
    <s v="Nov 20, 2025"/>
    <s v="CBLPG6588H"/>
    <s v="101656725733"/>
    <x v="54"/>
    <s v="ASSISTANT MANAGER - SALES"/>
    <x v="6"/>
    <s v="TM"/>
    <s v="PF"/>
    <s v="NA"/>
    <s v=""/>
    <s v=""/>
    <s v="997006836878"/>
    <s v="50100272775380"/>
    <s v="HDFC BANK"/>
    <s v="HDFC0003650"/>
    <n v="31"/>
    <n v="0"/>
    <n v="0"/>
    <n v="31"/>
    <n v="31"/>
    <n v="76500"/>
    <n v="76500"/>
    <n v="34425"/>
    <n v="13770"/>
    <n v="1600"/>
    <n v="200"/>
    <n v="1250"/>
    <n v="2868"/>
    <n v="6885"/>
    <n v="5164"/>
    <n v="344"/>
    <n v="1205"/>
    <n v="689"/>
    <n v="172"/>
    <n v="1800"/>
    <n v="6128"/>
    <n v="0"/>
    <n v="0"/>
    <n v="0"/>
    <n v="76500"/>
    <n v="76500"/>
    <n v="0"/>
    <n v="0"/>
    <n v="0"/>
    <n v="200"/>
    <n v="1800"/>
    <n v="0"/>
    <n v="0"/>
    <n v="25"/>
    <n v="0"/>
    <n v="2025"/>
    <n v="74475"/>
    <m/>
    <m/>
  </r>
  <r>
    <d v="2025-12-01T00:00:00"/>
    <s v="Salary"/>
    <m/>
    <s v="MOONSTONE REALINFRA PRIVATE LIMITED"/>
    <n v="1092"/>
    <s v="NARENDRA ROHTAS MAHUR"/>
    <s v="Male"/>
    <s v=""/>
    <s v="May 16, 2022"/>
    <s v="EJTPM6853H"/>
    <s v="101646143832"/>
    <x v="54"/>
    <s v="ASSISTANT MANAGER - RESI. SALES"/>
    <x v="6"/>
    <s v="TM"/>
    <s v="PF"/>
    <s v="NA"/>
    <s v=""/>
    <s v=""/>
    <s v="325860489575"/>
    <s v="50100654540599"/>
    <s v="HDFC BANK"/>
    <s v="HDFC0000007"/>
    <n v="31"/>
    <n v="0"/>
    <n v="0"/>
    <n v="31"/>
    <n v="31"/>
    <n v="71927"/>
    <n v="71927"/>
    <n v="32367"/>
    <n v="12947"/>
    <n v="1600"/>
    <n v="200"/>
    <n v="1250"/>
    <n v="2696"/>
    <n v="6473"/>
    <n v="4855"/>
    <n v="324"/>
    <n v="1133"/>
    <n v="647"/>
    <n v="162"/>
    <n v="1800"/>
    <n v="5473"/>
    <n v="0"/>
    <n v="0"/>
    <n v="979"/>
    <n v="72906"/>
    <n v="71927"/>
    <n v="0"/>
    <n v="0"/>
    <n v="0"/>
    <n v="200"/>
    <n v="1800"/>
    <n v="0"/>
    <n v="0"/>
    <n v="25"/>
    <n v="0"/>
    <n v="2025"/>
    <n v="70881"/>
    <m/>
    <m/>
  </r>
  <r>
    <d v="2025-12-01T00:00:00"/>
    <s v="Salary"/>
    <m/>
    <s v="MOONSTONE REALINFRA PRIVATE LIMITED"/>
    <n v="1506"/>
    <s v="NILESH SUDAM DODAKE"/>
    <s v="Male"/>
    <s v=""/>
    <s v="Aug 16, 2023"/>
    <s v="ATZPD2744A"/>
    <s v="101985884549"/>
    <x v="22"/>
    <s v="SUPERVISOR"/>
    <x v="0"/>
    <s v="TM"/>
    <s v="PF"/>
    <s v="NA"/>
    <s v=""/>
    <s v=""/>
    <s v="800783241563"/>
    <s v="50100624533443"/>
    <s v="HDFC BANK"/>
    <s v="HDFC0000007"/>
    <n v="31"/>
    <n v="0"/>
    <n v="0"/>
    <n v="31"/>
    <n v="31"/>
    <n v="49575"/>
    <n v="49575"/>
    <n v="22309"/>
    <n v="8924"/>
    <n v="1600"/>
    <n v="200"/>
    <n v="1250"/>
    <n v="1858"/>
    <n v="4462"/>
    <n v="3346"/>
    <n v="223"/>
    <n v="781"/>
    <n v="446"/>
    <n v="112"/>
    <n v="1800"/>
    <n v="2264"/>
    <n v="0"/>
    <n v="200"/>
    <n v="0"/>
    <n v="49775"/>
    <n v="49775"/>
    <n v="0"/>
    <n v="0"/>
    <n v="0"/>
    <n v="200"/>
    <n v="1800"/>
    <n v="0"/>
    <n v="0"/>
    <n v="25"/>
    <n v="0"/>
    <n v="2025"/>
    <n v="47750"/>
    <m/>
    <m/>
  </r>
  <r>
    <d v="2025-12-01T00:00:00"/>
    <s v="Salary"/>
    <m/>
    <s v="MOONSTONE REALINFRA PRIVATE LIMITED"/>
    <n v="1700"/>
    <s v="NITEESH SHARMA"/>
    <s v="Male"/>
    <s v=""/>
    <s v="Apr 11, 2024"/>
    <s v="BYHPS8894Q"/>
    <s v="101416879888"/>
    <x v="54"/>
    <s v="ASSISTANT MANAGER - RESI. SALES"/>
    <x v="6"/>
    <s v="TM"/>
    <s v="PF"/>
    <s v="NA"/>
    <s v=""/>
    <s v=""/>
    <s v="461172332390"/>
    <s v="99991911230890"/>
    <s v="HDFC BANK"/>
    <s v="HDFC0001210"/>
    <n v="31"/>
    <n v="0"/>
    <n v="0"/>
    <n v="31"/>
    <n v="31"/>
    <n v="79907"/>
    <n v="79907"/>
    <n v="35958"/>
    <n v="14383"/>
    <n v="1600"/>
    <n v="200"/>
    <n v="1250"/>
    <n v="2995"/>
    <n v="7192"/>
    <n v="5394"/>
    <n v="360"/>
    <n v="1259"/>
    <n v="719"/>
    <n v="180"/>
    <n v="1800"/>
    <n v="6617"/>
    <n v="0"/>
    <n v="0"/>
    <n v="520"/>
    <n v="80427"/>
    <n v="79907"/>
    <n v="0"/>
    <n v="0"/>
    <n v="0"/>
    <n v="200"/>
    <n v="1800"/>
    <n v="0"/>
    <n v="0"/>
    <n v="25"/>
    <n v="0"/>
    <n v="2025"/>
    <n v="78402"/>
    <m/>
    <m/>
  </r>
  <r>
    <d v="2025-12-01T00:00:00"/>
    <s v="Salary"/>
    <m/>
    <s v="MOONSTONE REALINFRA PRIVATE LIMITED"/>
    <n v="2270"/>
    <s v="OM RAJESH MALPE"/>
    <s v="Male"/>
    <s v=""/>
    <s v="Nov 17, 2025"/>
    <s v="GULPM4704E"/>
    <s v="102267032535"/>
    <x v="6"/>
    <s v="MANAGEMENT TRAINEE"/>
    <x v="6"/>
    <s v="MT"/>
    <s v="PF"/>
    <s v="NA"/>
    <s v=""/>
    <s v=""/>
    <s v="457332892501"/>
    <s v="50100847876498"/>
    <s v="HDFC BANK"/>
    <s v="HDFC0000437"/>
    <n v="31"/>
    <n v="0"/>
    <n v="0"/>
    <n v="31"/>
    <n v="31"/>
    <n v="44033"/>
    <n v="44033"/>
    <n v="19815"/>
    <n v="7926"/>
    <n v="1600"/>
    <n v="200"/>
    <n v="1250"/>
    <n v="1651"/>
    <n v="3963"/>
    <n v="2972"/>
    <n v="198"/>
    <n v="694"/>
    <n v="396"/>
    <n v="99"/>
    <n v="1800"/>
    <n v="1469"/>
    <n v="0"/>
    <n v="0"/>
    <n v="0"/>
    <n v="44033"/>
    <n v="44033"/>
    <n v="0"/>
    <n v="0"/>
    <n v="0"/>
    <n v="200"/>
    <n v="1800"/>
    <n v="0"/>
    <n v="0"/>
    <n v="25"/>
    <n v="0"/>
    <n v="2025"/>
    <n v="42008"/>
    <m/>
    <m/>
  </r>
  <r>
    <d v="2025-12-01T00:00:00"/>
    <s v="Salary"/>
    <m/>
    <s v="MOONSTONE REALINFRA PRIVATE LIMITED"/>
    <n v="1033"/>
    <s v="OMKAR MADHAV SAMBHUS"/>
    <s v="Male"/>
    <s v=""/>
    <s v="Mar 21, 2022"/>
    <s v="BKVPS7936K"/>
    <s v="101090148328"/>
    <x v="20"/>
    <s v="ASSISTANT GENERAL MANAGER"/>
    <x v="6"/>
    <s v="TM"/>
    <s v="PF"/>
    <s v="NA"/>
    <s v=""/>
    <s v=""/>
    <s v="580372226603"/>
    <s v="50100056805482"/>
    <s v="HDFC BANK"/>
    <s v="HDFC0000146"/>
    <n v="31"/>
    <n v="0"/>
    <n v="0"/>
    <n v="31"/>
    <n v="31"/>
    <n v="133125"/>
    <n v="133125"/>
    <n v="59906"/>
    <n v="23962"/>
    <n v="1600"/>
    <n v="200"/>
    <n v="1250"/>
    <n v="4990"/>
    <n v="11981"/>
    <n v="8986"/>
    <n v="599"/>
    <n v="2097"/>
    <n v="1198"/>
    <n v="300"/>
    <n v="1800"/>
    <n v="14256"/>
    <n v="0"/>
    <n v="0"/>
    <n v="10696"/>
    <n v="143821"/>
    <n v="133125"/>
    <n v="0"/>
    <n v="0"/>
    <n v="12531"/>
    <n v="200"/>
    <n v="1800"/>
    <n v="0"/>
    <n v="0"/>
    <n v="25"/>
    <n v="12500"/>
    <n v="27056"/>
    <n v="116765"/>
    <m/>
    <m/>
  </r>
  <r>
    <d v="2025-12-01T00:00:00"/>
    <s v="Salary"/>
    <m/>
    <s v="MOONSTONE REALINFRA PRIVATE LIMITED"/>
    <n v="2289"/>
    <s v="POOJA MARUTI PASALKAR"/>
    <s v="Female"/>
    <s v=""/>
    <s v="Nov 27, 2025"/>
    <s v="CHLPP6869G"/>
    <s v="101057246841"/>
    <x v="30"/>
    <s v="SENIOR  EXECUTIVE - ACCOUNTS"/>
    <x v="5"/>
    <s v="TM"/>
    <s v="PF"/>
    <s v="NA"/>
    <s v=""/>
    <s v=""/>
    <s v="327110703241"/>
    <s v="50100258660340"/>
    <s v="HDFC BANK"/>
    <s v="HDFC0003649"/>
    <n v="31"/>
    <n v="0"/>
    <n v="1.5"/>
    <n v="29.5"/>
    <n v="29.5"/>
    <n v="52200"/>
    <n v="52200"/>
    <n v="22353"/>
    <n v="8941"/>
    <n v="1523"/>
    <n v="190"/>
    <n v="1190"/>
    <n v="1862"/>
    <n v="4471"/>
    <n v="3353"/>
    <n v="224"/>
    <n v="782"/>
    <n v="447"/>
    <n v="112"/>
    <n v="1800"/>
    <n v="2426"/>
    <n v="0"/>
    <n v="6960"/>
    <n v="0"/>
    <n v="56634"/>
    <n v="56634"/>
    <n v="0"/>
    <n v="0"/>
    <n v="0"/>
    <n v="200"/>
    <n v="1800"/>
    <n v="0"/>
    <n v="0"/>
    <n v="25"/>
    <n v="0"/>
    <n v="2025"/>
    <n v="54609"/>
    <m/>
    <m/>
  </r>
  <r>
    <d v="2025-12-01T00:00:00"/>
    <s v="Salary"/>
    <m/>
    <s v="MOONSTONE REALINFRA PRIVATE LIMITED"/>
    <n v="737"/>
    <s v="PRADIP PHOFALE"/>
    <s v="Male"/>
    <s v=""/>
    <s v="Jan 05, 2021"/>
    <s v="FJPPP4191E"/>
    <s v="101287262182"/>
    <x v="21"/>
    <s v="EXECUTIVE - ADMIN"/>
    <x v="2"/>
    <s v="TM"/>
    <s v="PF"/>
    <s v="NA"/>
    <s v=""/>
    <s v=""/>
    <s v="348597161366"/>
    <s v="50100624534038"/>
    <s v="HDFC BANK"/>
    <s v="HDFC0000007"/>
    <n v="31"/>
    <n v="0"/>
    <n v="0"/>
    <n v="31"/>
    <n v="31"/>
    <n v="22933"/>
    <n v="22933"/>
    <n v="10320"/>
    <n v="4128"/>
    <n v="1600"/>
    <n v="200"/>
    <n v="1250"/>
    <n v="0"/>
    <n v="0"/>
    <n v="0"/>
    <n v="0"/>
    <n v="0"/>
    <n v="0"/>
    <n v="0"/>
    <n v="1238"/>
    <n v="4197"/>
    <n v="0"/>
    <n v="0"/>
    <n v="5428"/>
    <n v="28361"/>
    <n v="22933"/>
    <n v="0"/>
    <n v="0"/>
    <n v="0"/>
    <n v="200"/>
    <n v="1238"/>
    <n v="0"/>
    <n v="0"/>
    <n v="25"/>
    <n v="0"/>
    <n v="1463"/>
    <n v="26898"/>
    <m/>
    <m/>
  </r>
  <r>
    <d v="2025-12-01T00:00:00"/>
    <s v="Salary"/>
    <m/>
    <s v="MOONSTONE REALINFRA PRIVATE LIMITED"/>
    <n v="649"/>
    <s v="PRAJAKTA KULKARNI"/>
    <s v="Female"/>
    <s v=""/>
    <s v="Feb 01, 2020"/>
    <s v="BJHPK2873G"/>
    <s v="101902983475"/>
    <x v="65"/>
    <s v="GENERAL MANAGER"/>
    <x v="2"/>
    <s v="TL"/>
    <s v="PF"/>
    <s v="NA"/>
    <s v=""/>
    <s v=""/>
    <s v="287366904609"/>
    <s v="50100317874269"/>
    <s v="HDFC BANK"/>
    <s v="HDFC0000007"/>
    <n v="31"/>
    <n v="0"/>
    <n v="0.5"/>
    <n v="30.5"/>
    <n v="30.5"/>
    <n v="183333"/>
    <n v="183333"/>
    <n v="81169"/>
    <n v="32468"/>
    <n v="1574"/>
    <n v="197"/>
    <n v="1230"/>
    <n v="6761"/>
    <n v="16234"/>
    <n v="12175"/>
    <n v="812"/>
    <n v="2841"/>
    <n v="1623"/>
    <n v="406"/>
    <n v="1800"/>
    <n v="21086"/>
    <n v="0"/>
    <n v="0"/>
    <n v="0"/>
    <n v="180376"/>
    <n v="180376"/>
    <n v="0"/>
    <n v="0"/>
    <n v="30000"/>
    <n v="200"/>
    <n v="1800"/>
    <n v="0"/>
    <n v="0"/>
    <n v="25"/>
    <n v="0"/>
    <n v="32025"/>
    <n v="148351"/>
    <m/>
    <m/>
  </r>
  <r>
    <d v="2025-12-01T00:00:00"/>
    <s v="Salary"/>
    <m/>
    <s v="MOONSTONE REALINFRA PRIVATE LIMITED"/>
    <n v="1746"/>
    <s v="PRAMOD HANMANT PAWAR"/>
    <s v="Male"/>
    <s v=""/>
    <s v="May 20, 2024"/>
    <s v="DFHPP2315Q"/>
    <s v="102021330261"/>
    <x v="25"/>
    <s v="PAINTER"/>
    <x v="2"/>
    <s v="SS"/>
    <s v="PF"/>
    <s v="NA"/>
    <s v=""/>
    <s v=""/>
    <s v="464124497454"/>
    <s v="50100317492692"/>
    <s v="HDFC BANK"/>
    <s v="HDFC0000007"/>
    <n v="31"/>
    <n v="0"/>
    <n v="1"/>
    <n v="30"/>
    <n v="30"/>
    <n v="28500"/>
    <n v="28500"/>
    <n v="12411"/>
    <n v="4964"/>
    <n v="1548"/>
    <n v="194"/>
    <n v="1210"/>
    <n v="0"/>
    <n v="0"/>
    <n v="0"/>
    <n v="0"/>
    <n v="0"/>
    <n v="0"/>
    <n v="0"/>
    <n v="1489"/>
    <n v="5765"/>
    <n v="0"/>
    <n v="0"/>
    <n v="2212"/>
    <n v="29793"/>
    <n v="27581"/>
    <n v="0"/>
    <n v="0"/>
    <n v="0"/>
    <n v="200"/>
    <n v="1489"/>
    <n v="0"/>
    <n v="0"/>
    <n v="25"/>
    <n v="0"/>
    <n v="1714"/>
    <n v="28079"/>
    <m/>
    <m/>
  </r>
  <r>
    <d v="2025-12-01T00:00:00"/>
    <s v="Salary"/>
    <m/>
    <s v="MOONSTONE REALINFRA PRIVATE LIMITED"/>
    <n v="2252"/>
    <s v="PRANAV DILIP JADHAV"/>
    <s v="Male"/>
    <s v=""/>
    <s v="Oct 27, 2025"/>
    <s v="APIPJ3777J"/>
    <s v="101813329564"/>
    <x v="62"/>
    <s v="SENIOR  EXECUTIVE - ACCOUNTS"/>
    <x v="5"/>
    <s v="TM"/>
    <s v="PF"/>
    <s v="NA"/>
    <s v=""/>
    <s v=""/>
    <s v="384265861977"/>
    <s v="50100382069641"/>
    <s v="HDFC BANK"/>
    <s v="HDFC0000104"/>
    <n v="31"/>
    <n v="0"/>
    <n v="5.5"/>
    <n v="25.5"/>
    <n v="25.5"/>
    <n v="52200"/>
    <n v="52200"/>
    <n v="19323"/>
    <n v="7729"/>
    <n v="1316"/>
    <n v="165"/>
    <n v="1028"/>
    <n v="1610"/>
    <n v="3865"/>
    <n v="2898"/>
    <n v="193"/>
    <n v="676"/>
    <n v="386"/>
    <n v="97"/>
    <n v="1800"/>
    <n v="1853"/>
    <n v="0"/>
    <n v="0"/>
    <n v="0"/>
    <n v="42939"/>
    <n v="42939"/>
    <n v="0"/>
    <n v="160"/>
    <n v="0"/>
    <n v="200"/>
    <n v="1800"/>
    <n v="0"/>
    <n v="0"/>
    <n v="25"/>
    <n v="0"/>
    <n v="2185"/>
    <n v="40754"/>
    <m/>
    <m/>
  </r>
  <r>
    <d v="2025-12-01T00:00:00"/>
    <s v="Salary"/>
    <m/>
    <s v="MOONSTONE REALINFRA PRIVATE LIMITED"/>
    <n v="1771"/>
    <s v="PRASENJEET TATYARAM RANPISE"/>
    <s v="Male"/>
    <s v=""/>
    <s v="Jun 03, 2024"/>
    <s v="BEAPR4151J"/>
    <s v="101090722152"/>
    <x v="52"/>
    <s v="DEPUTY MANAGER - RESI. SALES"/>
    <x v="6"/>
    <s v="TM"/>
    <s v="PF"/>
    <s v="NA"/>
    <s v=""/>
    <s v=""/>
    <s v="327697944280"/>
    <s v="50100198966720"/>
    <s v="HDFC BANK"/>
    <s v="HDFC0001578"/>
    <n v="31"/>
    <n v="0"/>
    <n v="0"/>
    <n v="31"/>
    <n v="31"/>
    <n v="92504"/>
    <n v="92504"/>
    <n v="41627"/>
    <n v="16651"/>
    <n v="1600"/>
    <n v="200"/>
    <n v="1250"/>
    <n v="3468"/>
    <n v="8325"/>
    <n v="6244"/>
    <n v="416"/>
    <n v="1457"/>
    <n v="833"/>
    <n v="208"/>
    <n v="1800"/>
    <n v="8425"/>
    <n v="0"/>
    <n v="0"/>
    <n v="2045"/>
    <n v="94549"/>
    <n v="92504"/>
    <n v="0"/>
    <n v="0"/>
    <n v="0"/>
    <n v="200"/>
    <n v="1800"/>
    <n v="0"/>
    <n v="0"/>
    <n v="25"/>
    <n v="0"/>
    <n v="2025"/>
    <n v="92524"/>
    <m/>
    <m/>
  </r>
  <r>
    <d v="2025-12-01T00:00:00"/>
    <s v="Salary"/>
    <m/>
    <s v="MOONSTONE REALINFRA PRIVATE LIMITED"/>
    <n v="1445"/>
    <s v="PRASHANT SUDAM GADRE"/>
    <s v="Male"/>
    <s v=""/>
    <s v="Jun 01, 2023"/>
    <s v="AUVPG5057A"/>
    <s v="101403170926"/>
    <x v="4"/>
    <s v="Site Supervisor"/>
    <x v="0"/>
    <s v="TM"/>
    <s v="PF"/>
    <s v="NA"/>
    <s v=""/>
    <s v=""/>
    <s v="879059513265"/>
    <s v="50100268119865"/>
    <s v="HDFC BANK"/>
    <s v="HDFC0002493"/>
    <n v="31"/>
    <n v="0"/>
    <n v="2"/>
    <n v="29"/>
    <n v="29"/>
    <n v="50225"/>
    <n v="50225"/>
    <n v="21143"/>
    <n v="8457"/>
    <n v="1497"/>
    <n v="187"/>
    <n v="1169"/>
    <n v="1761"/>
    <n v="4229"/>
    <n v="3171"/>
    <n v="211"/>
    <n v="740"/>
    <n v="423"/>
    <n v="106"/>
    <n v="1800"/>
    <n v="2091"/>
    <n v="0"/>
    <n v="3440"/>
    <n v="0"/>
    <n v="50425"/>
    <n v="50425"/>
    <n v="0"/>
    <n v="0"/>
    <n v="0"/>
    <n v="200"/>
    <n v="1800"/>
    <n v="0"/>
    <n v="0"/>
    <n v="25"/>
    <n v="0"/>
    <n v="2025"/>
    <n v="48400"/>
    <m/>
    <m/>
  </r>
  <r>
    <d v="2025-12-01T00:00:00"/>
    <s v="Salary"/>
    <m/>
    <s v="MOONSTONE REALINFRA PRIVATE LIMITED"/>
    <n v="1932"/>
    <s v="PRATHMESH MAKARAND PATWARDHAN"/>
    <s v="Male"/>
    <s v=""/>
    <s v="Nov 21, 2024"/>
    <s v="DIPPP8235N"/>
    <s v="101650676266"/>
    <x v="26"/>
    <s v="ENGINEERING - COORDINATOR"/>
    <x v="0"/>
    <s v="TM"/>
    <s v="PF"/>
    <s v="NA"/>
    <s v=""/>
    <s v=""/>
    <s v="989836806639"/>
    <s v="50100773207162"/>
    <s v="HDFC BANK"/>
    <s v="HDFC0001210"/>
    <n v="31"/>
    <n v="0"/>
    <n v="2"/>
    <n v="29"/>
    <n v="29"/>
    <n v="30700"/>
    <n v="30700"/>
    <n v="12924"/>
    <n v="5170"/>
    <n v="1497"/>
    <n v="187"/>
    <n v="1169"/>
    <n v="0"/>
    <n v="0"/>
    <n v="0"/>
    <n v="0"/>
    <n v="0"/>
    <n v="0"/>
    <n v="0"/>
    <n v="1551"/>
    <n v="6221"/>
    <n v="0"/>
    <n v="0"/>
    <n v="0"/>
    <n v="28719"/>
    <n v="28719"/>
    <n v="0"/>
    <n v="0"/>
    <n v="0"/>
    <n v="200"/>
    <n v="1551"/>
    <n v="0"/>
    <n v="0"/>
    <n v="25"/>
    <n v="0"/>
    <n v="1776"/>
    <n v="26943"/>
    <m/>
    <m/>
  </r>
  <r>
    <d v="2025-12-01T00:00:00"/>
    <s v="Salary"/>
    <m/>
    <s v="MOONSTONE REALINFRA PRIVATE LIMITED"/>
    <n v="2014"/>
    <s v="RAHUL SANJAY SONAWANE"/>
    <s v="Male"/>
    <s v=""/>
    <s v="Feb 17, 2025"/>
    <s v="COZPS7657L"/>
    <s v="102171897905"/>
    <x v="27"/>
    <s v="EXECUTIVE - POSSESSION SUPPORT"/>
    <x v="2"/>
    <s v="TM"/>
    <s v="PF"/>
    <s v="NA"/>
    <s v=""/>
    <s v=""/>
    <s v="969590676456"/>
    <s v="50100731567322"/>
    <s v="HDFC BANK"/>
    <s v="HDFC0000007"/>
    <n v="31"/>
    <n v="0"/>
    <n v="0"/>
    <n v="31"/>
    <n v="31"/>
    <n v="32033"/>
    <n v="32033"/>
    <n v="14415"/>
    <n v="5766"/>
    <n v="1600"/>
    <n v="200"/>
    <n v="1250"/>
    <n v="0"/>
    <n v="0"/>
    <n v="0"/>
    <n v="0"/>
    <n v="0"/>
    <n v="0"/>
    <n v="0"/>
    <n v="1730"/>
    <n v="7072"/>
    <n v="0"/>
    <n v="0"/>
    <n v="7045"/>
    <n v="39078"/>
    <n v="32033"/>
    <n v="0"/>
    <n v="0"/>
    <n v="0"/>
    <n v="200"/>
    <n v="1730"/>
    <n v="0"/>
    <n v="0"/>
    <n v="25"/>
    <n v="0"/>
    <n v="1955"/>
    <n v="37123"/>
    <m/>
    <m/>
  </r>
  <r>
    <d v="2025-12-01T00:00:00"/>
    <s v="Salary"/>
    <m/>
    <s v="MOONSTONE REALINFRA PRIVATE LIMITED"/>
    <n v="2190"/>
    <s v="RAHUL SAYAJI SHETE"/>
    <s v="Male"/>
    <s v=""/>
    <s v="Aug 18, 2025"/>
    <s v="LVGPS7330P"/>
    <s v="102106669268"/>
    <x v="44"/>
    <s v="POSSESSION EXECUTIVE"/>
    <x v="4"/>
    <s v="TM"/>
    <s v="PF"/>
    <s v="NA"/>
    <s v=""/>
    <s v=""/>
    <s v="330583203857"/>
    <s v="50100709895411"/>
    <s v="HDFC BANK"/>
    <s v="HDFC0009332"/>
    <n v="31"/>
    <n v="0"/>
    <n v="1"/>
    <n v="30"/>
    <n v="30"/>
    <n v="24438"/>
    <n v="24438"/>
    <n v="10643"/>
    <n v="4257"/>
    <n v="1548"/>
    <n v="194"/>
    <n v="1210"/>
    <n v="0"/>
    <n v="0"/>
    <n v="0"/>
    <n v="0"/>
    <n v="0"/>
    <n v="0"/>
    <n v="0"/>
    <n v="1277"/>
    <n v="4521"/>
    <n v="0"/>
    <n v="0"/>
    <n v="5651"/>
    <n v="29301"/>
    <n v="23650"/>
    <n v="0"/>
    <n v="160"/>
    <n v="0"/>
    <n v="200"/>
    <n v="1277"/>
    <n v="0"/>
    <n v="0"/>
    <n v="25"/>
    <n v="0"/>
    <n v="1662"/>
    <n v="27639"/>
    <m/>
    <m/>
  </r>
  <r>
    <d v="2025-12-01T00:00:00"/>
    <s v="Salary"/>
    <m/>
    <s v="MOONSTONE REALINFRA PRIVATE LIMITED"/>
    <n v="1480"/>
    <s v="RAKESH DNYANOBA SONAWANE"/>
    <s v="Male"/>
    <s v=""/>
    <s v="Jul 19, 2023"/>
    <s v="DJBPS0548N"/>
    <s v="100318745002"/>
    <x v="1"/>
    <s v="ASSISTANT PROJECT MANAGER"/>
    <x v="0"/>
    <s v="TM"/>
    <s v="PF"/>
    <s v="NA"/>
    <s v=""/>
    <s v=""/>
    <s v="815335472494"/>
    <s v="50100098216176"/>
    <s v="HDFC BANK"/>
    <s v="HDFC0000359"/>
    <n v="31"/>
    <n v="0"/>
    <n v="0"/>
    <n v="31"/>
    <n v="31"/>
    <n v="72817"/>
    <n v="72817"/>
    <n v="32768"/>
    <n v="13107"/>
    <n v="1600"/>
    <n v="200"/>
    <n v="1250"/>
    <n v="2730"/>
    <n v="6554"/>
    <n v="4915"/>
    <n v="328"/>
    <n v="1147"/>
    <n v="655"/>
    <n v="164"/>
    <n v="1800"/>
    <n v="5599"/>
    <n v="0"/>
    <n v="1000"/>
    <n v="0"/>
    <n v="73817"/>
    <n v="73817"/>
    <n v="0"/>
    <n v="0"/>
    <n v="0"/>
    <n v="200"/>
    <n v="1800"/>
    <n v="0"/>
    <n v="0"/>
    <n v="25"/>
    <n v="0"/>
    <n v="2025"/>
    <n v="71792"/>
    <m/>
    <m/>
  </r>
  <r>
    <d v="2025-12-01T00:00:00"/>
    <s v="Salary"/>
    <m/>
    <s v="MOONSTONE REALINFRA PRIVATE LIMITED"/>
    <n v="405"/>
    <s v="RATIKANT RAMA CHANDRA ROUT"/>
    <s v="Male"/>
    <s v=""/>
    <s v="Dec 11, 2018"/>
    <s v="BKMPR1999E"/>
    <s v="101411918080"/>
    <x v="7"/>
    <s v="EXECUTIVE - POSSESSION"/>
    <x v="2"/>
    <s v="TM"/>
    <s v="PF"/>
    <s v="NA"/>
    <s v=""/>
    <s v=""/>
    <s v="516990099788"/>
    <s v="50100317879206"/>
    <s v="HDFC BANK"/>
    <s v="HDFC0000007"/>
    <n v="31"/>
    <n v="0"/>
    <n v="0"/>
    <n v="31"/>
    <n v="31"/>
    <n v="33167"/>
    <n v="33167"/>
    <n v="14925"/>
    <n v="5970"/>
    <n v="1600"/>
    <n v="200"/>
    <n v="1250"/>
    <n v="0"/>
    <n v="0"/>
    <n v="0"/>
    <n v="0"/>
    <n v="0"/>
    <n v="0"/>
    <n v="0"/>
    <n v="1791"/>
    <n v="7431"/>
    <n v="0"/>
    <n v="0"/>
    <n v="1122"/>
    <n v="34289"/>
    <n v="33167"/>
    <n v="0"/>
    <n v="0"/>
    <n v="0"/>
    <n v="200"/>
    <n v="1791"/>
    <n v="0"/>
    <n v="0"/>
    <n v="25"/>
    <n v="0"/>
    <n v="2016"/>
    <n v="32273"/>
    <m/>
    <m/>
  </r>
  <r>
    <d v="2025-12-01T00:00:00"/>
    <s v="Salary"/>
    <m/>
    <s v="MOONSTONE REALINFRA PRIVATE LIMITED"/>
    <n v="1916"/>
    <s v="RAVI BHARTI"/>
    <s v="Male"/>
    <s v=""/>
    <s v="Nov 11, 2024"/>
    <s v="BKLPB8249J"/>
    <s v="101569634502"/>
    <x v="2"/>
    <s v="DEPUTY MANAGER"/>
    <x v="1"/>
    <s v="TM"/>
    <s v="PF"/>
    <s v="NA"/>
    <s v=""/>
    <s v=""/>
    <s v="844495303708"/>
    <s v="50100585317756"/>
    <s v="HDFC BANK"/>
    <s v="HDFC0000627"/>
    <n v="31"/>
    <n v="0"/>
    <n v="0"/>
    <n v="31"/>
    <n v="31"/>
    <n v="94033"/>
    <n v="94033"/>
    <n v="42315"/>
    <n v="16926"/>
    <n v="1600"/>
    <n v="200"/>
    <n v="1250"/>
    <n v="3525"/>
    <n v="8463"/>
    <n v="6347"/>
    <n v="423"/>
    <n v="1481"/>
    <n v="846"/>
    <n v="212"/>
    <n v="1800"/>
    <n v="8645"/>
    <n v="0"/>
    <n v="0"/>
    <n v="1549"/>
    <n v="95582"/>
    <n v="94033"/>
    <n v="0"/>
    <n v="0"/>
    <n v="0"/>
    <n v="200"/>
    <n v="1800"/>
    <n v="0"/>
    <n v="0"/>
    <n v="25"/>
    <n v="0"/>
    <n v="2025"/>
    <n v="93557"/>
    <m/>
    <m/>
  </r>
  <r>
    <d v="2025-12-01T00:00:00"/>
    <s v="Salary"/>
    <m/>
    <s v="MOONSTONE REALINFRA PRIVATE LIMITED"/>
    <n v="1093"/>
    <s v="RISHABH CHANDEL"/>
    <s v="Male"/>
    <s v=""/>
    <s v="May 16, 2022"/>
    <s v="BAOPC6525R"/>
    <s v="101633454393"/>
    <x v="53"/>
    <s v="SENIOR MANAGER"/>
    <x v="6"/>
    <s v="TL"/>
    <s v="PF"/>
    <s v="NA"/>
    <s v=""/>
    <s v=""/>
    <s v="821066376289"/>
    <s v="50100312589050"/>
    <s v="HDFC BANK"/>
    <s v="HDFC0009453"/>
    <n v="31"/>
    <n v="0"/>
    <n v="0"/>
    <n v="31"/>
    <n v="31"/>
    <n v="96667"/>
    <n v="96667"/>
    <n v="43500"/>
    <n v="17400"/>
    <n v="1600"/>
    <n v="200"/>
    <n v="1250"/>
    <n v="3624"/>
    <n v="8700"/>
    <n v="6525"/>
    <n v="435"/>
    <n v="1523"/>
    <n v="870"/>
    <n v="218"/>
    <n v="1800"/>
    <n v="9022"/>
    <n v="0"/>
    <n v="0"/>
    <n v="7279"/>
    <n v="103946"/>
    <n v="96667"/>
    <n v="0"/>
    <n v="0"/>
    <n v="16281"/>
    <n v="200"/>
    <n v="1800"/>
    <n v="0"/>
    <n v="0"/>
    <n v="25"/>
    <n v="0"/>
    <n v="18306"/>
    <n v="85640"/>
    <m/>
    <m/>
  </r>
  <r>
    <d v="2025-12-01T00:00:00"/>
    <s v="Salary"/>
    <m/>
    <s v="MOONSTONE REALINFRA PRIVATE LIMITED"/>
    <n v="2287"/>
    <s v="RUSHIKESH RAJESH RAUT"/>
    <s v="Male"/>
    <s v=""/>
    <s v="Nov 25, 2025"/>
    <s v="FAQPR4627P"/>
    <s v="102001267668"/>
    <x v="45"/>
    <s v="ASSISTANT MANAGER"/>
    <x v="6"/>
    <s v="TM"/>
    <s v="PF"/>
    <s v="NA"/>
    <s v=""/>
    <s v=""/>
    <s v="837091508388"/>
    <s v="50100730710140"/>
    <s v="HDFC BANK"/>
    <s v="HDFC0000103"/>
    <n v="31"/>
    <n v="0"/>
    <n v="0"/>
    <n v="31"/>
    <n v="31"/>
    <n v="66200"/>
    <n v="66200"/>
    <n v="29790"/>
    <n v="11916"/>
    <n v="1600"/>
    <n v="200"/>
    <n v="1250"/>
    <n v="2482"/>
    <n v="5958"/>
    <n v="4469"/>
    <n v="298"/>
    <n v="1043"/>
    <n v="596"/>
    <n v="149"/>
    <n v="1800"/>
    <n v="4649"/>
    <n v="0"/>
    <n v="0"/>
    <n v="5882"/>
    <n v="72082"/>
    <n v="66200"/>
    <n v="0"/>
    <n v="0"/>
    <n v="0"/>
    <n v="200"/>
    <n v="1800"/>
    <n v="0"/>
    <n v="0"/>
    <n v="25"/>
    <n v="0"/>
    <n v="2025"/>
    <n v="70057"/>
    <m/>
    <m/>
  </r>
  <r>
    <d v="2025-12-01T00:00:00"/>
    <s v="Salary"/>
    <m/>
    <s v="MOONSTONE REALINFRA PRIVATE LIMITED"/>
    <n v="2261"/>
    <s v="SACHIN ASHOK PAWAR"/>
    <s v="Male"/>
    <s v=""/>
    <s v="Nov 07, 2025"/>
    <s v="DTMPP4631Q"/>
    <s v="100996638416"/>
    <x v="35"/>
    <s v="OFFICE ASSISTANT"/>
    <x v="2"/>
    <s v="SS"/>
    <s v="PF"/>
    <s v="NA"/>
    <s v=""/>
    <s v=""/>
    <s v="920319128160"/>
    <s v="50100400164872"/>
    <s v="HDFC BANK"/>
    <s v="HDFC0000039"/>
    <n v="31"/>
    <n v="0"/>
    <n v="0"/>
    <n v="31"/>
    <n v="31"/>
    <n v="27434"/>
    <n v="27434"/>
    <n v="12345"/>
    <n v="4938"/>
    <n v="1600"/>
    <n v="200"/>
    <n v="1250"/>
    <n v="0"/>
    <n v="0"/>
    <n v="0"/>
    <n v="0"/>
    <n v="0"/>
    <n v="0"/>
    <n v="0"/>
    <n v="1481"/>
    <n v="5620"/>
    <n v="0"/>
    <n v="0"/>
    <n v="606"/>
    <n v="28040"/>
    <n v="27434"/>
    <n v="0"/>
    <n v="0"/>
    <n v="0"/>
    <n v="200"/>
    <n v="1481"/>
    <n v="0"/>
    <n v="0"/>
    <n v="25"/>
    <n v="0"/>
    <n v="1706"/>
    <n v="26334"/>
    <m/>
    <m/>
  </r>
  <r>
    <d v="2025-12-01T00:00:00"/>
    <s v="Salary"/>
    <m/>
    <s v="MOONSTONE REALINFRA PRIVATE LIMITED"/>
    <n v="2279"/>
    <s v="SAGAR MAITY"/>
    <s v="Male"/>
    <s v=""/>
    <s v="Nov 17, 2025"/>
    <s v="GSSPM2737N"/>
    <s v="102267033942"/>
    <x v="6"/>
    <s v="MANAGEMENT TRAINEE"/>
    <x v="6"/>
    <s v="MT"/>
    <s v="PF"/>
    <s v="NA"/>
    <s v=""/>
    <s v=""/>
    <s v="428582736571"/>
    <s v="50100847876561"/>
    <s v="HDFC BANK"/>
    <s v="HDFC0000437"/>
    <n v="31"/>
    <n v="0"/>
    <n v="0"/>
    <n v="31"/>
    <n v="31"/>
    <n v="44033"/>
    <n v="44033"/>
    <n v="19815"/>
    <n v="7926"/>
    <n v="1600"/>
    <n v="200"/>
    <n v="1250"/>
    <n v="1651"/>
    <n v="3963"/>
    <n v="2972"/>
    <n v="198"/>
    <n v="694"/>
    <n v="396"/>
    <n v="99"/>
    <n v="1800"/>
    <n v="1469"/>
    <n v="0"/>
    <n v="0"/>
    <n v="0"/>
    <n v="44033"/>
    <n v="44033"/>
    <n v="0"/>
    <n v="0"/>
    <n v="0"/>
    <n v="200"/>
    <n v="1800"/>
    <n v="0"/>
    <n v="0"/>
    <n v="25"/>
    <n v="0"/>
    <n v="2025"/>
    <n v="42008"/>
    <m/>
    <m/>
  </r>
  <r>
    <d v="2025-12-01T00:00:00"/>
    <s v="Salary"/>
    <m/>
    <s v="MOONSTONE REALINFRA PRIVATE LIMITED"/>
    <n v="2274"/>
    <s v="SAKSHI DIPAK PATIL"/>
    <s v="Female"/>
    <s v=""/>
    <s v="Nov 17, 2025"/>
    <s v="HUDPP2758G"/>
    <s v="102267032459"/>
    <x v="6"/>
    <s v="MANAGEMENT TRAINEE"/>
    <x v="6"/>
    <s v="MT"/>
    <s v="PF"/>
    <s v="NA"/>
    <s v=""/>
    <s v=""/>
    <s v="571929796742"/>
    <s v="50100847878784"/>
    <s v="HDFC BANK"/>
    <s v="HDFC0000437"/>
    <n v="31"/>
    <n v="0"/>
    <n v="1"/>
    <n v="30"/>
    <n v="30"/>
    <n v="44033"/>
    <n v="44033"/>
    <n v="19176"/>
    <n v="7670"/>
    <n v="1548"/>
    <n v="194"/>
    <n v="1210"/>
    <n v="1597"/>
    <n v="3835"/>
    <n v="2876"/>
    <n v="192"/>
    <n v="671"/>
    <n v="384"/>
    <n v="96"/>
    <n v="1800"/>
    <n v="1364"/>
    <n v="0"/>
    <n v="175"/>
    <n v="0"/>
    <n v="42788"/>
    <n v="42788"/>
    <n v="0"/>
    <n v="0"/>
    <n v="0"/>
    <n v="200"/>
    <n v="1800"/>
    <n v="0"/>
    <n v="0"/>
    <n v="25"/>
    <n v="0"/>
    <n v="2025"/>
    <n v="40763"/>
    <m/>
    <m/>
  </r>
  <r>
    <d v="2025-12-01T00:00:00"/>
    <s v="Salary"/>
    <m/>
    <s v="MOONSTONE REALINFRA PRIVATE LIMITED"/>
    <n v="2277"/>
    <s v="SAMARIDHYA BASAK"/>
    <s v="Male"/>
    <s v=""/>
    <s v="Nov 17, 2025"/>
    <s v="EYPPB5256Q"/>
    <s v="102267034998"/>
    <x v="6"/>
    <s v="MANAGEMENT TRAINEE"/>
    <x v="6"/>
    <s v="MT"/>
    <s v="PF"/>
    <s v="NA"/>
    <s v=""/>
    <s v=""/>
    <s v="601551323382"/>
    <s v="50100847878758"/>
    <s v="HDFC BANK"/>
    <s v="HDFC0000437"/>
    <n v="31"/>
    <n v="0"/>
    <n v="0"/>
    <n v="31"/>
    <n v="31"/>
    <n v="44033"/>
    <n v="44033"/>
    <n v="19815"/>
    <n v="7926"/>
    <n v="1600"/>
    <n v="200"/>
    <n v="1250"/>
    <n v="1651"/>
    <n v="3963"/>
    <n v="2972"/>
    <n v="198"/>
    <n v="694"/>
    <n v="396"/>
    <n v="99"/>
    <n v="1800"/>
    <n v="1469"/>
    <n v="0"/>
    <n v="0"/>
    <n v="0"/>
    <n v="44033"/>
    <n v="44033"/>
    <n v="0"/>
    <n v="0"/>
    <n v="0"/>
    <n v="200"/>
    <n v="1800"/>
    <n v="0"/>
    <n v="0"/>
    <n v="25"/>
    <n v="0"/>
    <n v="2025"/>
    <n v="42008"/>
    <m/>
    <m/>
  </r>
  <r>
    <d v="2025-12-01T00:00:00"/>
    <s v="Salary"/>
    <m/>
    <s v="MOONSTONE REALINFRA PRIVATE LIMITED"/>
    <n v="2156"/>
    <s v="SANDEEP MARUTI SAWANT"/>
    <s v="Male"/>
    <s v=""/>
    <s v="Jul 01, 2025"/>
    <s v="CJDPS9049F"/>
    <s v="101160800602"/>
    <x v="45"/>
    <s v="ASSISTANT MANAGER"/>
    <x v="0"/>
    <s v="TL"/>
    <s v="PF"/>
    <s v="NA"/>
    <s v=""/>
    <s v=""/>
    <s v="396088354849"/>
    <s v="50100815728515"/>
    <s v="HDFC BANK"/>
    <s v="HDFC0008300"/>
    <n v="31"/>
    <n v="0"/>
    <n v="0"/>
    <n v="31"/>
    <n v="31"/>
    <n v="67200"/>
    <n v="67200"/>
    <n v="30240"/>
    <n v="12096"/>
    <n v="1600"/>
    <n v="200"/>
    <n v="1250"/>
    <n v="2519"/>
    <n v="6048"/>
    <n v="4536"/>
    <n v="302"/>
    <n v="1058"/>
    <n v="605"/>
    <n v="151"/>
    <n v="1800"/>
    <n v="4795"/>
    <n v="0"/>
    <n v="0"/>
    <n v="765"/>
    <n v="67965"/>
    <n v="67200"/>
    <n v="0"/>
    <n v="0"/>
    <n v="0"/>
    <n v="200"/>
    <n v="1800"/>
    <n v="0"/>
    <n v="0"/>
    <n v="25"/>
    <n v="0"/>
    <n v="2025"/>
    <n v="65940"/>
    <m/>
    <m/>
  </r>
  <r>
    <d v="2025-12-01T00:00:00"/>
    <s v="Salary"/>
    <m/>
    <s v="MOONSTONE REALINFRA PRIVATE LIMITED"/>
    <n v="413"/>
    <s v="SANDIP GHANSHAM FAND"/>
    <s v="Male"/>
    <s v=""/>
    <s v="Feb 05, 2019"/>
    <s v="ACBPF9894L"/>
    <s v="101432955213"/>
    <x v="9"/>
    <s v="SENIOR ENGINEER"/>
    <x v="0"/>
    <s v="TM"/>
    <s v="PF"/>
    <s v="NA"/>
    <s v=""/>
    <s v=""/>
    <s v="918983892865"/>
    <s v="50100317492765"/>
    <s v="HDFC BANK"/>
    <s v="HDFC0000007"/>
    <n v="31"/>
    <n v="0"/>
    <n v="1"/>
    <n v="30"/>
    <n v="30"/>
    <n v="52975"/>
    <n v="52975"/>
    <n v="23070"/>
    <n v="9228"/>
    <n v="1548"/>
    <n v="194"/>
    <n v="1210"/>
    <n v="1922"/>
    <n v="4614"/>
    <n v="3461"/>
    <n v="231"/>
    <n v="807"/>
    <n v="461"/>
    <n v="115"/>
    <n v="1800"/>
    <n v="2605"/>
    <n v="0"/>
    <n v="1000"/>
    <n v="0"/>
    <n v="52266"/>
    <n v="52266"/>
    <n v="0"/>
    <n v="0"/>
    <n v="0"/>
    <n v="200"/>
    <n v="1800"/>
    <n v="0"/>
    <n v="0"/>
    <n v="25"/>
    <n v="0"/>
    <n v="2025"/>
    <n v="50241"/>
    <m/>
    <m/>
  </r>
  <r>
    <d v="2025-12-01T00:00:00"/>
    <s v="Salary"/>
    <m/>
    <s v="MOONSTONE REALINFRA PRIVATE LIMITED"/>
    <n v="1389"/>
    <s v="SANDIP RAMESHRAO JAKKALWAD"/>
    <s v="Male"/>
    <s v=""/>
    <s v="Apr 24, 2023"/>
    <s v="AWLPJ2490A"/>
    <s v="101938922335"/>
    <x v="30"/>
    <s v="SENIOR  EXECUTIVE - ACCOUNTS"/>
    <x v="5"/>
    <s v="TM"/>
    <s v="PF"/>
    <s v="NA"/>
    <s v=""/>
    <s v=""/>
    <s v="790987241865"/>
    <s v="50100318162101"/>
    <s v="HDFC BANK"/>
    <s v="HDFC0000007"/>
    <n v="31"/>
    <n v="0"/>
    <n v="0.5"/>
    <n v="30.5"/>
    <n v="30.5"/>
    <n v="60807"/>
    <n v="60807"/>
    <n v="26922"/>
    <n v="10769"/>
    <n v="1574"/>
    <n v="197"/>
    <n v="1230"/>
    <n v="2243"/>
    <n v="5384"/>
    <n v="4038"/>
    <n v="269"/>
    <n v="942"/>
    <n v="538"/>
    <n v="135"/>
    <n v="1800"/>
    <n v="3785"/>
    <n v="0"/>
    <n v="0"/>
    <n v="0"/>
    <n v="59826"/>
    <n v="59826"/>
    <n v="0"/>
    <n v="0"/>
    <n v="0"/>
    <n v="200"/>
    <n v="1800"/>
    <n v="0"/>
    <n v="0"/>
    <n v="25"/>
    <n v="10000"/>
    <n v="12025"/>
    <n v="47801"/>
    <m/>
    <m/>
  </r>
  <r>
    <d v="2025-12-01T00:00:00"/>
    <s v="Salary"/>
    <m/>
    <s v="MOONSTONE REALINFRA PRIVATE LIMITED"/>
    <n v="1535"/>
    <s v="SANTOSH DAMU MANKAR"/>
    <s v="Male"/>
    <s v=""/>
    <s v="Sep 14, 2023"/>
    <s v="ARVPM8431B"/>
    <s v="101916942878"/>
    <x v="31"/>
    <s v="PROJECT MANAGER"/>
    <x v="0"/>
    <s v="TL"/>
    <s v="PF"/>
    <s v="NA"/>
    <s v=""/>
    <s v=""/>
    <s v="863607704890"/>
    <s v="04861720000752"/>
    <s v="HDFC BANK"/>
    <s v="HDFC0002454"/>
    <n v="31"/>
    <n v="0"/>
    <n v="3.5"/>
    <n v="27.5"/>
    <n v="27.5"/>
    <n v="95900"/>
    <n v="95900"/>
    <n v="38283"/>
    <n v="15313"/>
    <n v="1419"/>
    <n v="177"/>
    <n v="1109"/>
    <n v="3189"/>
    <n v="7657"/>
    <n v="5742"/>
    <n v="383"/>
    <n v="1340"/>
    <n v="766"/>
    <n v="191"/>
    <n v="1800"/>
    <n v="7704"/>
    <n v="0"/>
    <n v="0"/>
    <n v="0"/>
    <n v="85073"/>
    <n v="85073"/>
    <n v="0"/>
    <n v="0"/>
    <n v="0"/>
    <n v="200"/>
    <n v="1800"/>
    <n v="0"/>
    <n v="0"/>
    <n v="25"/>
    <n v="0"/>
    <n v="2025"/>
    <n v="83048"/>
    <m/>
    <m/>
  </r>
  <r>
    <d v="2025-12-01T00:00:00"/>
    <s v="Salary"/>
    <m/>
    <s v="MOONSTONE REALINFRA PRIVATE LIMITED"/>
    <n v="1409"/>
    <s v="SANTOSH KADAM"/>
    <s v="Male"/>
    <s v=""/>
    <s v="May 10, 2023"/>
    <s v="AZUPK6484F"/>
    <s v="100924255914"/>
    <x v="9"/>
    <s v="SENIOR ENGINEER"/>
    <x v="0"/>
    <s v="TM"/>
    <s v="PF"/>
    <s v="NA"/>
    <s v=""/>
    <s v=""/>
    <s v="333622114009"/>
    <s v="50100502294986"/>
    <s v="HDFC BANK"/>
    <s v="HDFC0001445"/>
    <n v="31"/>
    <n v="0"/>
    <n v="1"/>
    <n v="30"/>
    <n v="30"/>
    <n v="71417"/>
    <n v="71417"/>
    <n v="31101"/>
    <n v="12440"/>
    <n v="1548"/>
    <n v="194"/>
    <n v="1210"/>
    <n v="2591"/>
    <n v="6220"/>
    <n v="4665"/>
    <n v="311"/>
    <n v="1089"/>
    <n v="622"/>
    <n v="156"/>
    <n v="1800"/>
    <n v="5166"/>
    <n v="0"/>
    <n v="200"/>
    <n v="0"/>
    <n v="69313"/>
    <n v="69313"/>
    <n v="0"/>
    <n v="0"/>
    <n v="0"/>
    <n v="200"/>
    <n v="1800"/>
    <n v="0"/>
    <n v="0"/>
    <n v="25"/>
    <n v="0"/>
    <n v="2025"/>
    <n v="67288"/>
    <m/>
    <m/>
  </r>
  <r>
    <d v="2025-12-01T00:00:00"/>
    <s v="Salary"/>
    <m/>
    <s v="MOONSTONE REALINFRA PRIVATE LIMITED"/>
    <n v="2155"/>
    <s v="SAURABH MININATH NANNAVARE"/>
    <s v="Male"/>
    <s v=""/>
    <s v="Jul 01, 2025"/>
    <s v="BIJPN9700N"/>
    <s v="101177464600"/>
    <x v="46"/>
    <s v="ENGINEER"/>
    <x v="0"/>
    <s v="TM"/>
    <s v="PF"/>
    <s v="NA"/>
    <s v=""/>
    <s v=""/>
    <s v="706192695680"/>
    <s v="50100815728452"/>
    <s v="HDFC BANK"/>
    <s v="HDFC0008300"/>
    <n v="31"/>
    <n v="0"/>
    <n v="0"/>
    <n v="31"/>
    <n v="31"/>
    <n v="53200"/>
    <n v="53200"/>
    <n v="23940"/>
    <n v="9576"/>
    <n v="1600"/>
    <n v="200"/>
    <n v="1250"/>
    <n v="1994"/>
    <n v="4788"/>
    <n v="3591"/>
    <n v="239"/>
    <n v="838"/>
    <n v="479"/>
    <n v="120"/>
    <n v="1800"/>
    <n v="2785"/>
    <n v="0"/>
    <n v="0"/>
    <n v="698"/>
    <n v="53898"/>
    <n v="53200"/>
    <n v="0"/>
    <n v="0"/>
    <n v="0"/>
    <n v="200"/>
    <n v="1800"/>
    <n v="0"/>
    <n v="0"/>
    <n v="25"/>
    <n v="0"/>
    <n v="2025"/>
    <n v="51873"/>
    <m/>
    <m/>
  </r>
  <r>
    <d v="2025-12-01T00:00:00"/>
    <s v="Salary"/>
    <m/>
    <s v="MOONSTONE REALINFRA PRIVATE LIMITED"/>
    <n v="2232"/>
    <s v="SAURAV RAJENDRA NANDURKAR"/>
    <s v="Male"/>
    <s v=""/>
    <s v="Sep 30, 2025"/>
    <s v="CESPN7298P"/>
    <s v="101733070912"/>
    <x v="58"/>
    <s v="ASSISTANT MANAGER - PLANNING"/>
    <x v="0"/>
    <s v="TM"/>
    <s v="PF"/>
    <s v="NA"/>
    <s v=""/>
    <s v=""/>
    <s v="204027680041"/>
    <s v="239001532252"/>
    <s v="ICICI Bank"/>
    <s v="ICIC0002390"/>
    <n v="31"/>
    <n v="0"/>
    <n v="0"/>
    <n v="31"/>
    <n v="31"/>
    <n v="89867"/>
    <n v="89867"/>
    <n v="40440"/>
    <n v="16176"/>
    <n v="1600"/>
    <n v="200"/>
    <n v="1250"/>
    <n v="3369"/>
    <n v="8088"/>
    <n v="6066"/>
    <n v="404"/>
    <n v="1415"/>
    <n v="809"/>
    <n v="202"/>
    <n v="1800"/>
    <n v="8048"/>
    <n v="0"/>
    <n v="0"/>
    <n v="924"/>
    <n v="90791"/>
    <n v="89867"/>
    <n v="0"/>
    <n v="0"/>
    <n v="0"/>
    <n v="200"/>
    <n v="1800"/>
    <n v="0"/>
    <n v="0"/>
    <n v="25"/>
    <n v="0"/>
    <n v="2025"/>
    <n v="88766"/>
    <m/>
    <m/>
  </r>
  <r>
    <d v="2025-12-01T00:00:00"/>
    <s v="Salary"/>
    <m/>
    <s v="MOONSTONE REALINFRA PRIVATE LIMITED"/>
    <n v="2147"/>
    <s v="SAYALI LAXMAN DHAIGUDE"/>
    <s v="Female"/>
    <s v=""/>
    <s v="Jul 01, 2025"/>
    <s v="IODPD3701L"/>
    <s v="102070661731"/>
    <x v="47"/>
    <s v="GUEST RELATION EXECUTIVE"/>
    <x v="2"/>
    <s v="TM"/>
    <s v="PF"/>
    <s v="NA"/>
    <s v=""/>
    <s v=""/>
    <s v="616621359625"/>
    <s v="50100815728531"/>
    <s v="HDFC BANK"/>
    <s v="HDFC0008300"/>
    <n v="31"/>
    <n v="0"/>
    <n v="0"/>
    <n v="31"/>
    <n v="31"/>
    <n v="28380"/>
    <n v="28380"/>
    <n v="12771"/>
    <n v="5108"/>
    <n v="1600"/>
    <n v="200"/>
    <n v="1250"/>
    <n v="0"/>
    <n v="0"/>
    <n v="0"/>
    <n v="0"/>
    <n v="0"/>
    <n v="0"/>
    <n v="0"/>
    <n v="1533"/>
    <n v="5918"/>
    <n v="0"/>
    <n v="0"/>
    <n v="0"/>
    <n v="28380"/>
    <n v="28380"/>
    <n v="0"/>
    <n v="0"/>
    <n v="0"/>
    <n v="200"/>
    <n v="1533"/>
    <n v="0"/>
    <n v="0"/>
    <n v="25"/>
    <n v="0"/>
    <n v="1758"/>
    <n v="26622"/>
    <m/>
    <m/>
  </r>
  <r>
    <d v="2025-12-01T00:00:00"/>
    <s v="Salary"/>
    <m/>
    <s v="MOONSTONE REALINFRA PRIVATE LIMITED"/>
    <n v="2278"/>
    <s v="SAYALI SHARAD PAWAR"/>
    <s v="Female"/>
    <s v=""/>
    <s v="Nov 17, 2025"/>
    <s v="GMJPP4299H"/>
    <s v="102267033957"/>
    <x v="6"/>
    <s v="MANAGEMENT TRAINEE"/>
    <x v="6"/>
    <s v="MT"/>
    <s v="PF"/>
    <s v="NA"/>
    <s v=""/>
    <s v=""/>
    <s v="548309932874"/>
    <s v="50100847878771"/>
    <s v="HDFC BANK"/>
    <s v="HDFC0000437"/>
    <n v="31"/>
    <n v="0"/>
    <n v="0"/>
    <n v="31"/>
    <n v="31"/>
    <n v="44033"/>
    <n v="44033"/>
    <n v="19815"/>
    <n v="7926"/>
    <n v="1600"/>
    <n v="200"/>
    <n v="1250"/>
    <n v="1651"/>
    <n v="3963"/>
    <n v="2972"/>
    <n v="198"/>
    <n v="694"/>
    <n v="396"/>
    <n v="99"/>
    <n v="1800"/>
    <n v="1469"/>
    <n v="0"/>
    <n v="175"/>
    <n v="0"/>
    <n v="44208"/>
    <n v="44208"/>
    <n v="0"/>
    <n v="0"/>
    <n v="0"/>
    <n v="200"/>
    <n v="1800"/>
    <n v="0"/>
    <n v="0"/>
    <n v="25"/>
    <n v="0"/>
    <n v="2025"/>
    <n v="42183"/>
    <m/>
    <m/>
  </r>
  <r>
    <d v="2025-12-01T00:00:00"/>
    <s v="Salary"/>
    <m/>
    <s v="MOONSTONE REALINFRA PRIVATE LIMITED"/>
    <n v="1263"/>
    <s v="SHANKAR BASAPPA GAVI"/>
    <s v="Male"/>
    <s v=""/>
    <s v="Nov 25, 2022"/>
    <s v="BNUPG2416C"/>
    <s v="101450766269"/>
    <x v="45"/>
    <s v="ASSISTANT MANAGER"/>
    <x v="0"/>
    <s v="TM"/>
    <s v="PF"/>
    <s v="NA"/>
    <s v=""/>
    <s v=""/>
    <s v="325630092478"/>
    <s v="50100734599528"/>
    <s v="HDFC BANK"/>
    <s v="HDFC0001210"/>
    <n v="31"/>
    <n v="0"/>
    <n v="0"/>
    <n v="31"/>
    <n v="31"/>
    <n v="55900"/>
    <n v="55900"/>
    <n v="25155"/>
    <n v="10062"/>
    <n v="1600"/>
    <n v="200"/>
    <n v="1250"/>
    <n v="2095"/>
    <n v="5031"/>
    <n v="3773"/>
    <n v="252"/>
    <n v="880"/>
    <n v="503"/>
    <n v="126"/>
    <n v="1800"/>
    <n v="3173"/>
    <n v="0"/>
    <n v="0"/>
    <n v="0"/>
    <n v="55900"/>
    <n v="55900"/>
    <n v="0"/>
    <n v="0"/>
    <n v="0"/>
    <n v="200"/>
    <n v="1800"/>
    <n v="0"/>
    <n v="0"/>
    <n v="25"/>
    <n v="0"/>
    <n v="2025"/>
    <n v="53875"/>
    <m/>
    <m/>
  </r>
  <r>
    <d v="2025-12-01T00:00:00"/>
    <s v="Salary"/>
    <m/>
    <s v="MOONSTONE REALINFRA PRIVATE LIMITED"/>
    <n v="2218"/>
    <s v="SHANKAR JAGNNATH FARATE"/>
    <s v="Male"/>
    <s v=""/>
    <s v="Sep 15, 2025"/>
    <s v="AATPF9623K"/>
    <s v="102246696731"/>
    <x v="59"/>
    <s v="LISIONING-OFFICER"/>
    <x v="7"/>
    <s v="TM"/>
    <s v="PF"/>
    <s v="NA"/>
    <s v=""/>
    <s v=""/>
    <s v="431958079389"/>
    <s v="50100403586832"/>
    <s v="HDFC BANK"/>
    <s v="HDFC0000103"/>
    <n v="31"/>
    <n v="0"/>
    <n v="0"/>
    <n v="31"/>
    <n v="31"/>
    <n v="53200"/>
    <n v="53200"/>
    <n v="23940"/>
    <n v="9576"/>
    <n v="1600"/>
    <n v="200"/>
    <n v="1250"/>
    <n v="1994"/>
    <n v="4788"/>
    <n v="3591"/>
    <n v="239"/>
    <n v="838"/>
    <n v="479"/>
    <n v="120"/>
    <n v="1800"/>
    <n v="2785"/>
    <n v="0"/>
    <n v="0"/>
    <n v="5934"/>
    <n v="59134"/>
    <n v="53200"/>
    <n v="0"/>
    <n v="0"/>
    <n v="0"/>
    <n v="200"/>
    <n v="1800"/>
    <n v="0"/>
    <n v="0"/>
    <n v="25"/>
    <n v="0"/>
    <n v="2025"/>
    <n v="57109"/>
    <m/>
    <m/>
  </r>
  <r>
    <d v="2025-12-01T00:00:00"/>
    <s v="Salary"/>
    <m/>
    <s v="MOONSTONE REALINFRA PRIVATE LIMITED"/>
    <n v="1758"/>
    <s v="SHASHIKANT RAJKUMAR BHASKAR"/>
    <s v="Male"/>
    <s v=""/>
    <s v="May 25, 2024"/>
    <s v="DUVPB0713F"/>
    <s v="101916942813"/>
    <x v="9"/>
    <s v="SENIOR ENGINEER"/>
    <x v="0"/>
    <s v="TM"/>
    <s v="PF"/>
    <s v="NA"/>
    <s v=""/>
    <s v=""/>
    <s v="630621029579"/>
    <s v="50100563889297"/>
    <s v="HDFC BANK"/>
    <s v="HDFC0009526"/>
    <n v="31"/>
    <n v="0"/>
    <n v="1"/>
    <n v="30"/>
    <n v="30"/>
    <n v="68220"/>
    <n v="68220"/>
    <n v="29709"/>
    <n v="11884"/>
    <n v="1548"/>
    <n v="194"/>
    <n v="1210"/>
    <n v="2475"/>
    <n v="5942"/>
    <n v="4456"/>
    <n v="297"/>
    <n v="1040"/>
    <n v="594"/>
    <n v="149"/>
    <n v="1800"/>
    <n v="4721"/>
    <n v="0"/>
    <n v="0"/>
    <n v="0"/>
    <n v="66019"/>
    <n v="66019"/>
    <n v="0"/>
    <n v="0"/>
    <n v="0"/>
    <n v="200"/>
    <n v="1800"/>
    <n v="0"/>
    <n v="0"/>
    <n v="25"/>
    <n v="0"/>
    <n v="2025"/>
    <n v="63994"/>
    <m/>
    <m/>
  </r>
  <r>
    <d v="2025-12-01T00:00:00"/>
    <s v="Salary"/>
    <m/>
    <s v="MOONSTONE REALINFRA PRIVATE LIMITED"/>
    <n v="1624"/>
    <s v="SHRINATH SITARAM KHANDALE"/>
    <s v="Male"/>
    <s v=""/>
    <s v="Jan 23, 2024"/>
    <s v="BIZPK8142F"/>
    <s v="101215605497"/>
    <x v="22"/>
    <s v="SUPERVISOR"/>
    <x v="0"/>
    <s v="TM"/>
    <s v="PF"/>
    <s v="NA"/>
    <s v=""/>
    <s v=""/>
    <s v="740935311886"/>
    <s v="50100647442391"/>
    <s v="HDFC BANK"/>
    <s v="HDFC0008300"/>
    <n v="31"/>
    <n v="0"/>
    <n v="0"/>
    <n v="31"/>
    <n v="31"/>
    <n v="42042"/>
    <n v="42042"/>
    <n v="18919"/>
    <n v="7568"/>
    <n v="1600"/>
    <n v="200"/>
    <n v="1250"/>
    <n v="1576"/>
    <n v="3784"/>
    <n v="2838"/>
    <n v="189"/>
    <n v="662"/>
    <n v="378"/>
    <n v="95"/>
    <n v="1800"/>
    <n v="1183"/>
    <n v="0"/>
    <n v="0"/>
    <n v="0"/>
    <n v="42042"/>
    <n v="42042"/>
    <n v="0"/>
    <n v="0"/>
    <n v="0"/>
    <n v="200"/>
    <n v="1800"/>
    <n v="0"/>
    <n v="0"/>
    <n v="25"/>
    <n v="0"/>
    <n v="2025"/>
    <n v="40017"/>
    <m/>
    <m/>
  </r>
  <r>
    <d v="2025-12-01T00:00:00"/>
    <s v="Salary"/>
    <m/>
    <s v="MOONSTONE REALINFRA PRIVATE LIMITED"/>
    <n v="1738"/>
    <s v="SHRIVATSA SHRIRANG DESHPANDE"/>
    <s v="Male"/>
    <s v=""/>
    <s v="May 02, 2024"/>
    <s v="CQKPD1013N"/>
    <s v="102074135450"/>
    <x v="33"/>
    <s v="JUNIOR ENGINEER"/>
    <x v="0"/>
    <s v="TM"/>
    <s v="PF"/>
    <s v="NA"/>
    <s v=""/>
    <s v=""/>
    <s v="775752480136"/>
    <s v="50100318176957"/>
    <s v="HDFC BANK"/>
    <s v="HDFC0000007"/>
    <n v="31"/>
    <n v="0"/>
    <n v="0"/>
    <n v="31"/>
    <n v="31"/>
    <n v="35983"/>
    <n v="35983"/>
    <n v="16192"/>
    <n v="6477"/>
    <n v="1600"/>
    <n v="200"/>
    <n v="1250"/>
    <n v="0"/>
    <n v="0"/>
    <n v="0"/>
    <n v="0"/>
    <n v="0"/>
    <n v="0"/>
    <n v="0"/>
    <n v="1800"/>
    <n v="8464"/>
    <n v="0"/>
    <n v="0"/>
    <n v="0"/>
    <n v="35983"/>
    <n v="35983"/>
    <n v="0"/>
    <n v="160"/>
    <n v="0"/>
    <n v="200"/>
    <n v="1800"/>
    <n v="0"/>
    <n v="0"/>
    <n v="25"/>
    <n v="0"/>
    <n v="2185"/>
    <n v="33798"/>
    <m/>
    <m/>
  </r>
  <r>
    <d v="2025-12-01T00:00:00"/>
    <s v="Salary"/>
    <m/>
    <s v="MOONSTONE REALINFRA PRIVATE LIMITED"/>
    <n v="2175"/>
    <s v="SNEHAL PRASHANT WALE"/>
    <s v="Female"/>
    <s v=""/>
    <s v="Jul 15, 2025"/>
    <s v="CHLPK4878N"/>
    <s v="102226028536"/>
    <x v="48"/>
    <s v="MANAGER"/>
    <x v="0"/>
    <s v="TL"/>
    <s v="PF"/>
    <s v="NA"/>
    <s v=""/>
    <s v=""/>
    <s v="499534600849"/>
    <s v="99997798677300"/>
    <s v="HDFC BANK"/>
    <s v="HDFC0001795"/>
    <n v="31"/>
    <n v="0"/>
    <n v="0.5"/>
    <n v="30.5"/>
    <n v="30.5"/>
    <n v="137785"/>
    <n v="137785"/>
    <n v="61003"/>
    <n v="24401"/>
    <n v="1574"/>
    <n v="197"/>
    <n v="1230"/>
    <n v="5082"/>
    <n v="12201"/>
    <n v="9150"/>
    <n v="610"/>
    <n v="2135"/>
    <n v="1220"/>
    <n v="305"/>
    <n v="1800"/>
    <n v="14655"/>
    <n v="0"/>
    <n v="0"/>
    <n v="0"/>
    <n v="135563"/>
    <n v="135563"/>
    <n v="0"/>
    <n v="0"/>
    <n v="0"/>
    <n v="200"/>
    <n v="1800"/>
    <n v="0"/>
    <n v="0"/>
    <n v="25"/>
    <n v="0"/>
    <n v="2025"/>
    <n v="133538"/>
    <m/>
    <m/>
  </r>
  <r>
    <d v="2025-12-01T00:00:00"/>
    <s v="Salary"/>
    <m/>
    <s v="MOONSTONE REALINFRA PRIVATE LIMITED"/>
    <n v="1589"/>
    <s v="TAUKEEL RASHID JAMADAR"/>
    <s v="Male"/>
    <s v=""/>
    <s v="Jan 02, 2024"/>
    <s v="CGPPJ6786D"/>
    <s v="102034245800"/>
    <x v="0"/>
    <s v="FIELD ENGINEER"/>
    <x v="0"/>
    <s v="TM"/>
    <s v="PF"/>
    <s v="NA"/>
    <s v=""/>
    <s v=""/>
    <s v="477762356796"/>
    <s v="50100624533482"/>
    <s v="HDFC BANK"/>
    <s v="HDFC0000007"/>
    <n v="31"/>
    <n v="0"/>
    <n v="0"/>
    <n v="31"/>
    <n v="31"/>
    <n v="34250"/>
    <n v="34250"/>
    <n v="15413"/>
    <n v="6165"/>
    <n v="1600"/>
    <n v="200"/>
    <n v="1250"/>
    <n v="0"/>
    <n v="0"/>
    <n v="0"/>
    <n v="0"/>
    <n v="0"/>
    <n v="0"/>
    <n v="0"/>
    <n v="1800"/>
    <n v="7822"/>
    <n v="0"/>
    <n v="0"/>
    <n v="0"/>
    <n v="34250"/>
    <n v="34250"/>
    <n v="0"/>
    <n v="0"/>
    <n v="0"/>
    <n v="200"/>
    <n v="1800"/>
    <n v="0"/>
    <n v="0"/>
    <n v="25"/>
    <n v="0"/>
    <n v="2025"/>
    <n v="32225"/>
    <m/>
    <m/>
  </r>
  <r>
    <d v="2025-12-01T00:00:00"/>
    <s v="Salary"/>
    <m/>
    <s v="MOONSTONE REALINFRA PRIVATE LIMITED"/>
    <n v="2069"/>
    <s v="TIPPUSULATAN ABDUL NADAF"/>
    <s v="Male"/>
    <s v=""/>
    <s v="Mar 25, 2025"/>
    <s v="ATNPN5727D"/>
    <s v="102119999896"/>
    <x v="1"/>
    <s v="ASSISTANT PROJECT MANAGER"/>
    <x v="0"/>
    <s v="TL"/>
    <s v="PF"/>
    <s v="NA"/>
    <s v=""/>
    <s v=""/>
    <s v="308508124099"/>
    <s v="50100090742768"/>
    <s v="HDFC BANK"/>
    <s v="HDFC0005554"/>
    <n v="31"/>
    <n v="0"/>
    <n v="0"/>
    <n v="31"/>
    <n v="31"/>
    <n v="70000"/>
    <n v="70000"/>
    <n v="31500"/>
    <n v="12600"/>
    <n v="1600"/>
    <n v="200"/>
    <n v="1250"/>
    <n v="2624"/>
    <n v="6300"/>
    <n v="4725"/>
    <n v="315"/>
    <n v="1103"/>
    <n v="630"/>
    <n v="158"/>
    <n v="1800"/>
    <n v="5195"/>
    <n v="0"/>
    <n v="0"/>
    <n v="0"/>
    <n v="70000"/>
    <n v="70000"/>
    <n v="0"/>
    <n v="0"/>
    <n v="0"/>
    <n v="200"/>
    <n v="1800"/>
    <n v="0"/>
    <n v="0"/>
    <n v="25"/>
    <n v="0"/>
    <n v="2025"/>
    <n v="67975"/>
    <m/>
    <m/>
  </r>
  <r>
    <d v="2025-12-01T00:00:00"/>
    <s v="Salary"/>
    <m/>
    <s v="MOONSTONE REALINFRA PRIVATE LIMITED"/>
    <n v="2015"/>
    <s v="VAIJNATH KIRAN DHURVE"/>
    <s v="Male"/>
    <s v=""/>
    <s v="Feb 17, 2025"/>
    <s v="FFEPD0662H"/>
    <s v="102171851953"/>
    <x v="6"/>
    <s v="MANAGEMENT TRAINEE"/>
    <x v="6"/>
    <s v="MT"/>
    <s v="PF"/>
    <s v="NA"/>
    <s v=""/>
    <s v=""/>
    <s v="264600892806"/>
    <s v="50100731565520"/>
    <s v="HDFC BANK"/>
    <s v="HDFC0000007"/>
    <n v="31"/>
    <n v="0"/>
    <n v="0"/>
    <n v="31"/>
    <n v="31"/>
    <n v="56533"/>
    <n v="56533"/>
    <n v="25440"/>
    <n v="10176"/>
    <n v="1600"/>
    <n v="200"/>
    <n v="1250"/>
    <n v="2119"/>
    <n v="5088"/>
    <n v="3816"/>
    <n v="254"/>
    <n v="890"/>
    <n v="509"/>
    <n v="127"/>
    <n v="1800"/>
    <n v="3264"/>
    <n v="0"/>
    <n v="0"/>
    <n v="4132"/>
    <n v="60665"/>
    <n v="56533"/>
    <n v="0"/>
    <n v="0"/>
    <n v="0"/>
    <n v="200"/>
    <n v="1800"/>
    <n v="0"/>
    <n v="0"/>
    <n v="25"/>
    <n v="0"/>
    <n v="2025"/>
    <n v="58640"/>
    <m/>
    <m/>
  </r>
  <r>
    <d v="2025-12-01T00:00:00"/>
    <s v="Salary"/>
    <m/>
    <s v="MOONSTONE REALINFRA PRIVATE LIMITED"/>
    <n v="1166"/>
    <s v="VENKATESH AGASAR"/>
    <s v="Male"/>
    <s v=""/>
    <s v="Aug 01, 2022"/>
    <s v="BVSPA7273D"/>
    <s v="101852002045"/>
    <x v="50"/>
    <s v="SENIOR EXECUTIVE"/>
    <x v="0"/>
    <s v="TM"/>
    <s v="PF"/>
    <s v="NA"/>
    <s v=""/>
    <s v=""/>
    <s v="225161825284"/>
    <s v="50100744366803"/>
    <s v="HDFC BANK"/>
    <s v="HDFC0001210"/>
    <n v="31"/>
    <n v="0"/>
    <n v="1"/>
    <n v="30"/>
    <n v="30"/>
    <n v="59983"/>
    <n v="59983"/>
    <n v="26122"/>
    <n v="10449"/>
    <n v="1548"/>
    <n v="194"/>
    <n v="1210"/>
    <n v="2176"/>
    <n v="5224"/>
    <n v="3918"/>
    <n v="261"/>
    <n v="914"/>
    <n v="522"/>
    <n v="131"/>
    <n v="1800"/>
    <n v="3579"/>
    <n v="0"/>
    <n v="600"/>
    <n v="0"/>
    <n v="58648"/>
    <n v="58648"/>
    <n v="0"/>
    <n v="0"/>
    <n v="0"/>
    <n v="200"/>
    <n v="1800"/>
    <n v="0"/>
    <n v="0"/>
    <n v="25"/>
    <n v="0"/>
    <n v="2025"/>
    <n v="56623"/>
    <m/>
    <m/>
  </r>
  <r>
    <d v="2025-12-01T00:00:00"/>
    <s v="Salary"/>
    <m/>
    <s v="MOONSTONE REALINFRA PRIVATE LIMITED"/>
    <n v="247"/>
    <s v="VICKY SONAWANE"/>
    <s v="Male"/>
    <s v=""/>
    <s v="Nov 02, 2017"/>
    <s v="DUIPS5584N"/>
    <s v="101343066494"/>
    <x v="13"/>
    <s v="ADMIN - EXECUTIVE"/>
    <x v="0"/>
    <s v="TM"/>
    <s v="PF"/>
    <s v="NA"/>
    <s v=""/>
    <s v=""/>
    <s v="556127037647"/>
    <s v="50100225745629"/>
    <s v="HDFC BANK"/>
    <s v="HDFC0000633"/>
    <n v="31"/>
    <n v="0"/>
    <n v="0"/>
    <n v="31"/>
    <n v="31"/>
    <n v="34308"/>
    <n v="34308"/>
    <n v="15439"/>
    <n v="6176"/>
    <n v="1600"/>
    <n v="200"/>
    <n v="1250"/>
    <n v="0"/>
    <n v="0"/>
    <n v="0"/>
    <n v="0"/>
    <n v="0"/>
    <n v="0"/>
    <n v="0"/>
    <n v="1800"/>
    <n v="7843"/>
    <n v="0"/>
    <n v="200"/>
    <n v="5477"/>
    <n v="39985"/>
    <n v="34508"/>
    <n v="0"/>
    <n v="0"/>
    <n v="0"/>
    <n v="200"/>
    <n v="1800"/>
    <n v="0"/>
    <n v="0"/>
    <n v="25"/>
    <n v="0"/>
    <n v="2025"/>
    <n v="37960"/>
    <m/>
    <m/>
  </r>
  <r>
    <d v="2025-12-01T00:00:00"/>
    <s v="Salary"/>
    <m/>
    <s v="MOONSTONE REALINFRA PRIVATE LIMITED"/>
    <n v="1237"/>
    <s v="VISHAL BHAGWAN BHALERAO"/>
    <s v="Male"/>
    <s v=""/>
    <s v="Nov 04, 2022"/>
    <s v="ASCPB5291L"/>
    <s v="101511554357"/>
    <x v="4"/>
    <s v="Site Supervisor"/>
    <x v="0"/>
    <s v="TM"/>
    <s v="PF"/>
    <s v="NA"/>
    <s v=""/>
    <s v=""/>
    <s v="959686301184"/>
    <s v="50100317490351"/>
    <s v="HDFC BANK"/>
    <s v="HDFC0000007"/>
    <n v="31"/>
    <n v="0"/>
    <n v="1.5"/>
    <n v="29.5"/>
    <n v="29.5"/>
    <n v="31644"/>
    <n v="31644"/>
    <n v="13551"/>
    <n v="5420"/>
    <n v="1523"/>
    <n v="190"/>
    <n v="1190"/>
    <n v="0"/>
    <n v="0"/>
    <n v="0"/>
    <n v="0"/>
    <n v="0"/>
    <n v="0"/>
    <n v="0"/>
    <n v="1626"/>
    <n v="6613"/>
    <n v="0"/>
    <n v="600"/>
    <n v="0"/>
    <n v="30713"/>
    <n v="30713"/>
    <n v="0"/>
    <n v="0"/>
    <n v="0"/>
    <n v="200"/>
    <n v="1626"/>
    <n v="0"/>
    <n v="0"/>
    <n v="25"/>
    <n v="0"/>
    <n v="1851"/>
    <n v="28862"/>
    <m/>
    <m/>
  </r>
  <r>
    <d v="2025-12-01T00:00:00"/>
    <s v="Salary"/>
    <m/>
    <s v="MOONSTONE REALINFRA PRIVATE LIMITED"/>
    <n v="1941"/>
    <s v="VISHAL BHAUSAHEB KHAMGAL"/>
    <s v="Male"/>
    <s v=""/>
    <s v="Dec 02, 2024"/>
    <s v="JMIPK9231A"/>
    <s v="101949409807"/>
    <x v="33"/>
    <s v="JUNIOR ENGINEER"/>
    <x v="0"/>
    <s v="TM"/>
    <s v="PF"/>
    <s v="NA"/>
    <s v=""/>
    <s v=""/>
    <s v="664943149815"/>
    <s v="50100390573599"/>
    <s v="HDFC BANK"/>
    <s v="HDFC0000794"/>
    <n v="31"/>
    <n v="0"/>
    <n v="0"/>
    <n v="31"/>
    <n v="31"/>
    <n v="43800"/>
    <n v="43800"/>
    <n v="19710"/>
    <n v="7884"/>
    <n v="1600"/>
    <n v="200"/>
    <n v="1250"/>
    <n v="1642"/>
    <n v="3942"/>
    <n v="2957"/>
    <n v="197"/>
    <n v="690"/>
    <n v="394"/>
    <n v="99"/>
    <n v="1800"/>
    <n v="1435"/>
    <n v="0"/>
    <n v="0"/>
    <n v="1573"/>
    <n v="45373"/>
    <n v="43800"/>
    <n v="0"/>
    <n v="0"/>
    <n v="0"/>
    <n v="200"/>
    <n v="1800"/>
    <n v="0"/>
    <n v="0"/>
    <n v="25"/>
    <n v="0"/>
    <n v="2025"/>
    <n v="43348"/>
    <m/>
    <m/>
  </r>
  <r>
    <d v="2025-12-01T00:00:00"/>
    <s v="Salary"/>
    <m/>
    <s v="MOONSTONE REALINFRA PRIVATE LIMITED"/>
    <n v="1950"/>
    <s v="VISHAL DILIP GAIKWAD"/>
    <s v="Male"/>
    <s v=""/>
    <s v="Dec 12, 2024"/>
    <s v="AQIPG9250G"/>
    <s v="101589191488"/>
    <x v="4"/>
    <s v="SITE SUPERVISOR"/>
    <x v="0"/>
    <s v="SS"/>
    <s v="PF"/>
    <s v="NA"/>
    <s v=""/>
    <s v=""/>
    <s v="501229058284"/>
    <s v="0607104000125031"/>
    <s v="IDBI BANK"/>
    <s v="IBKL0000607"/>
    <n v="31"/>
    <n v="0"/>
    <n v="0"/>
    <n v="31"/>
    <n v="31"/>
    <n v="35283"/>
    <n v="35283"/>
    <n v="15877"/>
    <n v="6351"/>
    <n v="1600"/>
    <n v="200"/>
    <n v="1250"/>
    <n v="0"/>
    <n v="0"/>
    <n v="0"/>
    <n v="0"/>
    <n v="0"/>
    <n v="0"/>
    <n v="0"/>
    <n v="1800"/>
    <n v="8205"/>
    <n v="0"/>
    <n v="0"/>
    <n v="0"/>
    <n v="35283"/>
    <n v="35283"/>
    <n v="0"/>
    <n v="0"/>
    <n v="0"/>
    <n v="200"/>
    <n v="1800"/>
    <n v="0"/>
    <n v="0"/>
    <n v="25"/>
    <n v="0"/>
    <n v="2025"/>
    <n v="33258"/>
    <m/>
    <m/>
  </r>
  <r>
    <d v="2025-12-01T00:00:00"/>
    <s v="Salary"/>
    <m/>
    <s v="MOONSTONE REALINFRA PRIVATE LIMITED"/>
    <n v="1370"/>
    <s v="VISHAL SHANTARAM KORADE"/>
    <s v="Male"/>
    <s v=""/>
    <s v="Apr 10, 2023"/>
    <s v="BLYPK5831K"/>
    <s v="101150007330"/>
    <x v="21"/>
    <s v="EXECUTIVE - ADMIN"/>
    <x v="2"/>
    <s v="TM"/>
    <s v="PF"/>
    <s v="NA"/>
    <s v=""/>
    <s v=""/>
    <s v="491390366032"/>
    <s v="50100624533367"/>
    <s v="HDFC BANK"/>
    <s v="HDFC0000007"/>
    <n v="31"/>
    <n v="0"/>
    <n v="0"/>
    <n v="31"/>
    <n v="31"/>
    <n v="33000"/>
    <n v="33000"/>
    <n v="14850"/>
    <n v="5940"/>
    <n v="1600"/>
    <n v="200"/>
    <n v="1250"/>
    <n v="0"/>
    <n v="0"/>
    <n v="0"/>
    <n v="0"/>
    <n v="0"/>
    <n v="0"/>
    <n v="0"/>
    <n v="1782"/>
    <n v="7378"/>
    <n v="0"/>
    <n v="0"/>
    <n v="0"/>
    <n v="33000"/>
    <n v="33000"/>
    <n v="0"/>
    <n v="0"/>
    <n v="0"/>
    <n v="200"/>
    <n v="1782"/>
    <n v="0"/>
    <n v="0"/>
    <n v="25"/>
    <n v="0"/>
    <n v="2007"/>
    <n v="30993"/>
    <m/>
    <m/>
  </r>
  <r>
    <d v="2025-12-01T00:00:00"/>
    <s v="Salary"/>
    <m/>
    <s v="MOONSTONE REALINFRA PRIVATE LIMITED"/>
    <n v="2049"/>
    <s v="VIVEK VILAS BHOSALE"/>
    <s v="Male"/>
    <s v=""/>
    <s v="Mar 13, 2025"/>
    <s v="EXDPB6825C"/>
    <s v="102055428527"/>
    <x v="6"/>
    <s v="MANAGEMENT TRAINEE"/>
    <x v="0"/>
    <s v="MT"/>
    <s v="PF"/>
    <s v="NA"/>
    <s v=""/>
    <s v=""/>
    <s v="826110651139"/>
    <s v="50100808789342"/>
    <s v="HDFC BANK"/>
    <s v="HDFC0001210"/>
    <n v="31"/>
    <n v="0"/>
    <n v="0"/>
    <n v="31"/>
    <n v="31"/>
    <n v="27713"/>
    <n v="27713"/>
    <n v="12471"/>
    <n v="4988"/>
    <n v="1600"/>
    <n v="200"/>
    <n v="1250"/>
    <n v="0"/>
    <n v="0"/>
    <n v="0"/>
    <n v="0"/>
    <n v="0"/>
    <n v="0"/>
    <n v="0"/>
    <n v="1497"/>
    <n v="5707"/>
    <n v="0"/>
    <n v="0"/>
    <n v="231"/>
    <n v="27944"/>
    <n v="27713"/>
    <n v="0"/>
    <n v="0"/>
    <n v="0"/>
    <n v="200"/>
    <n v="1497"/>
    <n v="0"/>
    <n v="0"/>
    <n v="25"/>
    <n v="0"/>
    <n v="1722"/>
    <n v="26222"/>
    <m/>
    <m/>
  </r>
  <r>
    <d v="2025-12-01T00:00:00"/>
    <s v="Salary"/>
    <m/>
    <s v="MOONSTONE REALINFRA PRIVATE LIMITED"/>
    <n v="1121"/>
    <s v="YASH HARESH DAGHA"/>
    <s v="Male"/>
    <s v=""/>
    <s v="Jun 15, 2022"/>
    <s v="ASJPD7716K"/>
    <s v="101459690850"/>
    <x v="36"/>
    <s v="GENERAL MANAGER"/>
    <x v="6"/>
    <s v="TL"/>
    <s v="PF"/>
    <s v="NA"/>
    <s v=""/>
    <s v=""/>
    <s v="975613704897"/>
    <s v="50100489634680"/>
    <s v="HDFC BANK"/>
    <s v="HDFC0000163"/>
    <n v="31"/>
    <n v="0"/>
    <n v="0"/>
    <n v="31"/>
    <n v="31"/>
    <n v="206500"/>
    <n v="206500"/>
    <n v="92925"/>
    <n v="37170"/>
    <n v="1600"/>
    <n v="200"/>
    <n v="1250"/>
    <n v="7741"/>
    <n v="18585"/>
    <n v="13939"/>
    <n v="929"/>
    <n v="3252"/>
    <n v="1859"/>
    <n v="465"/>
    <n v="1800"/>
    <n v="24785"/>
    <n v="0"/>
    <n v="0"/>
    <n v="20140"/>
    <n v="226640"/>
    <n v="206500"/>
    <n v="0"/>
    <n v="0"/>
    <n v="44254"/>
    <n v="200"/>
    <n v="1800"/>
    <n v="0"/>
    <n v="0"/>
    <n v="25"/>
    <n v="0"/>
    <n v="46279"/>
    <n v="180361"/>
    <m/>
    <m/>
  </r>
  <r>
    <d v="2025-12-01T00:00:00"/>
    <s v="Salary"/>
    <m/>
    <s v="MOONSTONE REALINFRA PRIVATE LIMITED"/>
    <n v="2264"/>
    <s v="YASHWANT HANUMANT WADKAR"/>
    <s v="Male"/>
    <s v=""/>
    <s v="Nov 07, 2025"/>
    <s v="AFVPW2119Q"/>
    <s v="102060208625"/>
    <x v="30"/>
    <s v="SENIOR  EXECUTIVE - ACCOUNTS"/>
    <x v="5"/>
    <s v="TM"/>
    <s v="PF"/>
    <s v="NA"/>
    <s v=""/>
    <s v=""/>
    <s v="982600635271"/>
    <s v="50100846852161"/>
    <s v="HDFC BANK"/>
    <s v="HDFC0000437"/>
    <n v="31"/>
    <n v="0"/>
    <n v="2.5"/>
    <n v="28.5"/>
    <n v="28.5"/>
    <n v="54867"/>
    <n v="54867"/>
    <n v="22699"/>
    <n v="9080"/>
    <n v="1471"/>
    <n v="184"/>
    <n v="1149"/>
    <n v="1891"/>
    <n v="4540"/>
    <n v="3405"/>
    <n v="227"/>
    <n v="794"/>
    <n v="454"/>
    <n v="114"/>
    <n v="1800"/>
    <n v="2634"/>
    <n v="0"/>
    <n v="0"/>
    <n v="0"/>
    <n v="50442"/>
    <n v="50442"/>
    <n v="0"/>
    <n v="0"/>
    <n v="0"/>
    <n v="200"/>
    <n v="1800"/>
    <n v="0"/>
    <n v="0"/>
    <n v="25"/>
    <n v="0"/>
    <n v="2025"/>
    <n v="48417"/>
    <m/>
    <m/>
  </r>
  <r>
    <d v="2025-12-01T00:00:00"/>
    <s v="Salary"/>
    <m/>
    <s v="MOONSTONE REALINFRA PRIVATE LIMITED"/>
    <n v="1496"/>
    <s v="YOGESH KALIDAS PAWAR"/>
    <s v="Male"/>
    <s v=""/>
    <s v="Aug 01, 2023"/>
    <s v="ASXPP0952H"/>
    <s v="101235805115"/>
    <x v="9"/>
    <s v="SENIOR ENGINEER"/>
    <x v="0"/>
    <s v="TM"/>
    <s v="PF"/>
    <s v="NA"/>
    <s v=""/>
    <s v=""/>
    <s v="487287182825"/>
    <s v="50100505734101"/>
    <s v="HDFC BANK"/>
    <s v="HDFC0000039"/>
    <n v="31"/>
    <n v="0"/>
    <n v="2"/>
    <n v="29"/>
    <n v="29"/>
    <n v="55383"/>
    <n v="55383"/>
    <n v="23315"/>
    <n v="9326"/>
    <n v="1497"/>
    <n v="187"/>
    <n v="1169"/>
    <n v="1942"/>
    <n v="4663"/>
    <n v="3497"/>
    <n v="233"/>
    <n v="816"/>
    <n v="466"/>
    <n v="117"/>
    <n v="1800"/>
    <n v="2782"/>
    <n v="0"/>
    <n v="0"/>
    <n v="0"/>
    <n v="51810"/>
    <n v="51810"/>
    <n v="0"/>
    <n v="0"/>
    <n v="0"/>
    <n v="200"/>
    <n v="1800"/>
    <n v="0"/>
    <n v="0"/>
    <n v="25"/>
    <n v="0"/>
    <n v="2025"/>
    <n v="49785"/>
    <m/>
    <m/>
  </r>
  <r>
    <d v="2025-12-01T00:00:00"/>
    <s v="Salary"/>
    <m/>
    <s v="MOONSTONE REALINFRA PRIVATE LIMITED"/>
    <n v="734"/>
    <s v="YOGITA BAFNA"/>
    <s v="Female"/>
    <s v=""/>
    <s v="Dec 01, 2020"/>
    <s v="AMHPB6910F"/>
    <s v="101139292859"/>
    <x v="66"/>
    <s v="HEAD LIAISIONING"/>
    <x v="3"/>
    <s v="TM"/>
    <s v="PF"/>
    <s v="NA"/>
    <s v=""/>
    <s v=""/>
    <s v="321961356560"/>
    <s v="50100317492410"/>
    <s v="HDFC BANK"/>
    <s v="HDFC0000007"/>
    <n v="31"/>
    <n v="0"/>
    <n v="0"/>
    <n v="31"/>
    <n v="31"/>
    <n v="103609"/>
    <n v="103609"/>
    <n v="46624"/>
    <n v="18650"/>
    <n v="1600"/>
    <n v="200"/>
    <n v="1250"/>
    <n v="3884"/>
    <n v="9325"/>
    <n v="6994"/>
    <n v="466"/>
    <n v="1632"/>
    <n v="932"/>
    <n v="233"/>
    <n v="1800"/>
    <n v="10019"/>
    <n v="0"/>
    <n v="0"/>
    <n v="0"/>
    <n v="103609"/>
    <n v="103609"/>
    <n v="0"/>
    <n v="0"/>
    <n v="0"/>
    <n v="200"/>
    <n v="1800"/>
    <n v="0"/>
    <n v="0"/>
    <n v="25"/>
    <n v="0"/>
    <n v="2025"/>
    <n v="101584"/>
    <m/>
    <m/>
  </r>
  <r>
    <d v="2025-12-01T00:00:00"/>
    <s v="Incentive"/>
    <m/>
    <s v="MOONSTONE REALINFRA PRIVATE LIMITED"/>
    <n v="48"/>
    <s v="BHUSHAN MADANLAL LUNKAD"/>
    <m/>
    <m/>
    <m/>
    <m/>
    <m/>
    <x v="63"/>
    <m/>
    <x v="8"/>
    <m/>
    <m/>
    <m/>
    <m/>
    <m/>
    <m/>
    <m/>
    <m/>
    <m/>
    <m/>
    <m/>
    <m/>
    <m/>
    <m/>
    <m/>
    <m/>
    <m/>
    <m/>
    <m/>
    <m/>
    <m/>
    <m/>
    <m/>
    <m/>
    <m/>
    <m/>
    <m/>
    <m/>
    <m/>
    <m/>
    <m/>
    <m/>
    <m/>
    <m/>
    <n v="7000"/>
    <m/>
    <m/>
    <m/>
    <m/>
    <m/>
    <m/>
    <m/>
    <m/>
    <m/>
    <m/>
    <n v="7000"/>
    <m/>
    <m/>
  </r>
  <r>
    <d v="2025-12-01T00:00:00"/>
    <s v="Incentive"/>
    <m/>
    <s v="MOONSTONE REALINFRA PRIVATE LIMITED"/>
    <n v="2017"/>
    <s v="DHAIRYA PRASAD"/>
    <m/>
    <m/>
    <m/>
    <m/>
    <m/>
    <x v="63"/>
    <m/>
    <x v="8"/>
    <m/>
    <m/>
    <m/>
    <m/>
    <m/>
    <m/>
    <m/>
    <m/>
    <m/>
    <m/>
    <m/>
    <m/>
    <m/>
    <m/>
    <m/>
    <m/>
    <m/>
    <m/>
    <m/>
    <m/>
    <m/>
    <m/>
    <m/>
    <m/>
    <m/>
    <m/>
    <m/>
    <m/>
    <m/>
    <m/>
    <m/>
    <m/>
    <m/>
    <m/>
    <n v="25875"/>
    <m/>
    <m/>
    <m/>
    <m/>
    <m/>
    <m/>
    <m/>
    <m/>
    <m/>
    <m/>
    <n v="25875"/>
    <m/>
    <m/>
  </r>
  <r>
    <d v="2025-12-01T00:00:00"/>
    <s v="Incentive"/>
    <m/>
    <s v="MOONSTONE REALINFRA PRIVATE LIMITED"/>
    <n v="1771"/>
    <s v="PRASENJEET TATYARAM RANPISE"/>
    <m/>
    <m/>
    <m/>
    <m/>
    <m/>
    <x v="63"/>
    <m/>
    <x v="8"/>
    <m/>
    <m/>
    <m/>
    <m/>
    <m/>
    <m/>
    <m/>
    <m/>
    <m/>
    <m/>
    <m/>
    <m/>
    <m/>
    <m/>
    <m/>
    <m/>
    <m/>
    <m/>
    <m/>
    <m/>
    <m/>
    <m/>
    <m/>
    <m/>
    <m/>
    <m/>
    <m/>
    <m/>
    <m/>
    <m/>
    <m/>
    <m/>
    <m/>
    <m/>
    <n v="15000"/>
    <m/>
    <m/>
    <m/>
    <m/>
    <m/>
    <m/>
    <m/>
    <m/>
    <m/>
    <m/>
    <n v="15000"/>
    <m/>
    <m/>
  </r>
  <r>
    <d v="2026-01-01T00:00:00"/>
    <s v="Salary"/>
    <m/>
    <s v="MOONSTONE REALINFRA PRIVATE LIMITED"/>
    <n v="2163"/>
    <s v="AJAY ANIRUDDHA VAIDYA"/>
    <s v="Male"/>
    <m/>
    <s v="Jul 08, 2025"/>
    <s v="AFVPV5692P"/>
    <s v="102185382695"/>
    <x v="38"/>
    <s v="GENERAL MANAGER"/>
    <x v="0"/>
    <s v="GL"/>
    <s v="PF"/>
    <s v="NA"/>
    <s v=""/>
    <s v=""/>
    <s v="806537391280"/>
    <s v="50100582779333"/>
    <s v="HDFC BANK"/>
    <s v="HDFC0001445"/>
    <n v="31"/>
    <n v="0"/>
    <n v="0.5"/>
    <n v="30.5"/>
    <n v="30.5"/>
    <n v="235700"/>
    <n v="235700"/>
    <n v="104354"/>
    <n v="41742"/>
    <n v="1574"/>
    <n v="197"/>
    <n v="1230"/>
    <n v="8693"/>
    <n v="20871"/>
    <n v="15653"/>
    <n v="1044"/>
    <n v="3652"/>
    <n v="2087"/>
    <n v="522"/>
    <n v="1800"/>
    <n v="28479"/>
    <n v="0"/>
    <n v="0"/>
    <n v="981"/>
    <n v="232879"/>
    <n v="231898"/>
    <n v="0"/>
    <n v="0"/>
    <n v="21565"/>
    <n v="200"/>
    <n v="1800"/>
    <n v="0"/>
    <n v="0"/>
    <n v="0"/>
    <n v="0"/>
    <n v="23565"/>
    <n v="209314"/>
    <m/>
    <m/>
  </r>
  <r>
    <d v="2026-01-01T00:00:00"/>
    <s v="Salary"/>
    <m/>
    <s v="MOONSTONE REALINFRA PRIVATE LIMITED"/>
    <n v="2020"/>
    <s v="AJAY KUMAR GUPTA"/>
    <s v="Male"/>
    <m/>
    <s v="Feb 24, 2025"/>
    <s v="ASQPG3376F"/>
    <s v="102171897914"/>
    <x v="2"/>
    <s v="DEPUTY MANAGER"/>
    <x v="1"/>
    <s v="TM"/>
    <s v="PF"/>
    <s v="NA"/>
    <s v=""/>
    <s v=""/>
    <s v="877766770711"/>
    <s v="50100732468640"/>
    <s v="HDFC BANK"/>
    <s v="HDFC0000007"/>
    <n v="31"/>
    <n v="0"/>
    <n v="0.5"/>
    <n v="30.5"/>
    <n v="30.5"/>
    <n v="68450"/>
    <n v="68450"/>
    <n v="30306"/>
    <n v="12122"/>
    <n v="1574"/>
    <n v="197"/>
    <n v="1230"/>
    <n v="2524"/>
    <n v="6061"/>
    <n v="4546"/>
    <n v="303"/>
    <n v="1061"/>
    <n v="606"/>
    <n v="152"/>
    <n v="1800"/>
    <n v="4864"/>
    <n v="0"/>
    <n v="0"/>
    <n v="1679"/>
    <n v="69025"/>
    <n v="67346"/>
    <n v="0"/>
    <n v="0"/>
    <n v="0"/>
    <n v="200"/>
    <n v="1800"/>
    <n v="0"/>
    <n v="0"/>
    <n v="0"/>
    <n v="0"/>
    <n v="2000"/>
    <n v="67025"/>
    <m/>
    <m/>
  </r>
  <r>
    <d v="2026-01-01T00:00:00"/>
    <s v="Salary"/>
    <m/>
    <s v="MOONSTONE REALINFRA PRIVATE LIMITED"/>
    <n v="2307"/>
    <s v="AMIT KUMAR"/>
    <s v="Male"/>
    <m/>
    <s v="Dec 15, 2025"/>
    <s v="AULPK0803G"/>
    <s v="101599373063"/>
    <x v="20"/>
    <s v="ASSISTANT GENERAN MANAGER - RES. SALES"/>
    <x v="6"/>
    <s v="TL"/>
    <s v="PF"/>
    <s v="NA"/>
    <s v=""/>
    <s v=""/>
    <s v="897330270549"/>
    <s v="50100313981270"/>
    <s v="HDFC BANK"/>
    <s v="HDFC0009453"/>
    <n v="31"/>
    <n v="0"/>
    <n v="2"/>
    <n v="29"/>
    <n v="29"/>
    <n v="148200"/>
    <n v="148200"/>
    <n v="62388"/>
    <n v="24955"/>
    <n v="1497"/>
    <n v="187"/>
    <n v="1169"/>
    <n v="5197"/>
    <n v="12478"/>
    <n v="9358"/>
    <n v="624"/>
    <n v="2184"/>
    <n v="1248"/>
    <n v="312"/>
    <n v="1800"/>
    <n v="15242"/>
    <n v="0"/>
    <n v="0"/>
    <n v="10121"/>
    <n v="148760"/>
    <n v="138639"/>
    <n v="0"/>
    <n v="0"/>
    <n v="0"/>
    <n v="200"/>
    <n v="1800"/>
    <n v="0"/>
    <n v="0"/>
    <n v="0"/>
    <n v="0"/>
    <n v="2000"/>
    <n v="146760"/>
    <m/>
    <m/>
  </r>
  <r>
    <d v="2026-01-01T00:00:00"/>
    <s v="Salary"/>
    <m/>
    <s v="MOONSTONE REALINFRA PRIVATE LIMITED"/>
    <n v="2072"/>
    <s v="AMIT VILASRAO MALWADE"/>
    <s v="Male"/>
    <m/>
    <s v="Apr 01, 2025"/>
    <s v="BYWPM1111R"/>
    <s v="100098825740"/>
    <x v="3"/>
    <s v="SENIOR MANAGER - MEP"/>
    <x v="0"/>
    <s v="TL"/>
    <s v="PF"/>
    <s v="NA"/>
    <s v=""/>
    <s v=""/>
    <s v="572207945645"/>
    <s v="50100288775748"/>
    <s v="HDFC BANK"/>
    <s v="HDFC0001578"/>
    <n v="31"/>
    <n v="0"/>
    <n v="1.5"/>
    <n v="29.5"/>
    <n v="29.5"/>
    <n v="123200"/>
    <n v="123200"/>
    <n v="52758"/>
    <n v="21103"/>
    <n v="1523"/>
    <n v="190"/>
    <n v="1190"/>
    <n v="4395"/>
    <n v="10552"/>
    <n v="7914"/>
    <n v="528"/>
    <n v="1847"/>
    <n v="1055"/>
    <n v="264"/>
    <n v="1800"/>
    <n v="12120"/>
    <n v="0"/>
    <n v="0"/>
    <n v="1932"/>
    <n v="119171"/>
    <n v="117239"/>
    <n v="0"/>
    <n v="0"/>
    <n v="6767"/>
    <n v="200"/>
    <n v="1800"/>
    <n v="0"/>
    <n v="0"/>
    <n v="0"/>
    <n v="0"/>
    <n v="8767"/>
    <n v="110404"/>
    <m/>
    <m/>
  </r>
  <r>
    <d v="2026-01-01T00:00:00"/>
    <s v="Salary"/>
    <m/>
    <s v="MOONSTONE REALINFRA PRIVATE LIMITED"/>
    <n v="1440"/>
    <s v="AMOL BHANUDAS LOKHANDE"/>
    <s v="Male"/>
    <m/>
    <s v="Jun 07, 2023"/>
    <s v="AFPPL3898F"/>
    <s v="101428013109"/>
    <x v="4"/>
    <s v="Site Supervisor"/>
    <x v="0"/>
    <s v="TM"/>
    <s v="PF"/>
    <s v="NA"/>
    <s v=""/>
    <s v=""/>
    <s v="311191516453"/>
    <s v="50100317873701"/>
    <s v="HDFC BANK"/>
    <s v="HDFC0000007"/>
    <n v="31"/>
    <n v="0"/>
    <n v="0"/>
    <n v="31"/>
    <n v="31"/>
    <n v="38617"/>
    <n v="38617"/>
    <n v="17378"/>
    <n v="6951"/>
    <n v="1600"/>
    <n v="200"/>
    <n v="1250"/>
    <n v="0"/>
    <n v="0"/>
    <n v="0"/>
    <n v="0"/>
    <n v="0"/>
    <n v="0"/>
    <n v="0"/>
    <n v="1800"/>
    <n v="9438"/>
    <n v="0"/>
    <n v="200"/>
    <m/>
    <n v="38817"/>
    <n v="38817"/>
    <n v="0"/>
    <n v="0"/>
    <n v="0"/>
    <n v="200"/>
    <n v="1800"/>
    <n v="0"/>
    <n v="0"/>
    <n v="0"/>
    <n v="0"/>
    <n v="2000"/>
    <n v="36817"/>
    <m/>
    <m/>
  </r>
  <r>
    <d v="2026-01-01T00:00:00"/>
    <s v="Salary"/>
    <m/>
    <s v="MOONSTONE REALINFRA PRIVATE LIMITED"/>
    <n v="2275"/>
    <s v="ANJUSHREE MALAKAR"/>
    <s v="Female"/>
    <m/>
    <s v="Nov 17, 2025"/>
    <s v="HTIPM6513C"/>
    <s v="102267032395"/>
    <x v="6"/>
    <s v="MANAGEMENT TRAINEE"/>
    <x v="6"/>
    <s v="MT"/>
    <s v="PF"/>
    <s v="NA"/>
    <s v=""/>
    <s v=""/>
    <s v="439111071354"/>
    <s v="50100847876972"/>
    <s v="HDFC BANK"/>
    <s v="HDFC0000437"/>
    <n v="31"/>
    <n v="0"/>
    <n v="1"/>
    <n v="30"/>
    <n v="30"/>
    <n v="44033"/>
    <n v="44033"/>
    <n v="19176"/>
    <n v="7670"/>
    <n v="1548"/>
    <n v="194"/>
    <n v="1210"/>
    <n v="1597"/>
    <n v="3835"/>
    <n v="2876"/>
    <n v="192"/>
    <n v="671"/>
    <n v="384"/>
    <n v="96"/>
    <n v="1800"/>
    <n v="1364"/>
    <n v="0"/>
    <n v="0"/>
    <m/>
    <n v="42613"/>
    <n v="42613"/>
    <n v="0"/>
    <n v="0"/>
    <n v="0"/>
    <n v="200"/>
    <n v="1800"/>
    <n v="0"/>
    <n v="0"/>
    <n v="0"/>
    <n v="0"/>
    <n v="2000"/>
    <n v="40613"/>
    <m/>
    <m/>
  </r>
  <r>
    <d v="2026-01-01T00:00:00"/>
    <s v="Salary"/>
    <m/>
    <s v="MOONSTONE REALINFRA PRIVATE LIMITED"/>
    <n v="1484"/>
    <s v="ANNU PRIYA SINGH"/>
    <s v="Female"/>
    <m/>
    <s v="Jul 21, 2023"/>
    <s v="BMKPP0899K"/>
    <s v="101703468619"/>
    <x v="53"/>
    <s v="SENIOR MANAGER"/>
    <x v="6"/>
    <s v="TL"/>
    <s v="PF"/>
    <s v="NA"/>
    <s v=""/>
    <s v=""/>
    <s v="492782446574"/>
    <s v="99996206293744"/>
    <s v="HDFC BANK"/>
    <s v="HDFC0000007"/>
    <n v="31"/>
    <n v="0"/>
    <n v="1"/>
    <n v="0"/>
    <n v="0"/>
    <n v="111343"/>
    <n v="111343"/>
    <n v="0"/>
    <n v="0"/>
    <n v="0"/>
    <n v="194"/>
    <n v="0"/>
    <n v="0"/>
    <n v="0"/>
    <n v="0"/>
    <n v="0"/>
    <n v="0"/>
    <n v="0"/>
    <n v="0"/>
    <n v="0"/>
    <n v="-194"/>
    <n v="0"/>
    <n v="0"/>
    <m/>
    <n v="0"/>
    <n v="0"/>
    <n v="0"/>
    <n v="0"/>
    <n v="0"/>
    <n v="0"/>
    <n v="0"/>
    <n v="0"/>
    <n v="0"/>
    <n v="0"/>
    <n v="0"/>
    <n v="0"/>
    <n v="0"/>
    <m/>
    <m/>
  </r>
  <r>
    <d v="2026-01-01T00:00:00"/>
    <s v="Salary"/>
    <m/>
    <s v="MOONSTONE REALINFRA PRIVATE LIMITED"/>
    <n v="2291"/>
    <s v="ATISH HARISHCHANDRA PAWAR"/>
    <s v="Male"/>
    <m/>
    <s v="Dec 01, 2025"/>
    <s v="DPJPP4164K"/>
    <s v="102272485329"/>
    <x v="64"/>
    <s v="ASSISTANT MANAGER"/>
    <x v="1"/>
    <s v="TM"/>
    <s v="PF"/>
    <s v="NA"/>
    <s v=""/>
    <s v=""/>
    <s v="715363363050"/>
    <s v="50100845758240"/>
    <s v="HDFC BANK"/>
    <s v="HDFC0000007"/>
    <n v="31"/>
    <n v="0"/>
    <n v="4"/>
    <n v="27"/>
    <n v="27"/>
    <n v="85700"/>
    <n v="85700"/>
    <n v="33589"/>
    <n v="13436"/>
    <n v="1394"/>
    <n v="174"/>
    <n v="1089"/>
    <n v="2798"/>
    <n v="6718"/>
    <n v="5038"/>
    <n v="336"/>
    <n v="1176"/>
    <n v="672"/>
    <n v="168"/>
    <n v="1800"/>
    <n v="6254"/>
    <n v="0"/>
    <n v="0"/>
    <m/>
    <n v="74642"/>
    <n v="74642"/>
    <n v="0"/>
    <n v="0"/>
    <n v="0"/>
    <n v="200"/>
    <n v="1800"/>
    <n v="0"/>
    <n v="0"/>
    <n v="0"/>
    <n v="0"/>
    <n v="2000"/>
    <n v="72642"/>
    <m/>
    <m/>
  </r>
  <r>
    <d v="2026-01-01T00:00:00"/>
    <s v="Salary"/>
    <m/>
    <s v="MOONSTONE REALINFRA PRIVATE LIMITED"/>
    <n v="2271"/>
    <s v="AVANISH KUMAR"/>
    <s v="Male"/>
    <m/>
    <s v="Nov 17, 2025"/>
    <s v="JXXPK8257E"/>
    <s v="102267048375"/>
    <x v="6"/>
    <s v="MANAGEMENT TRAINEE"/>
    <x v="6"/>
    <s v="MT"/>
    <s v="PF"/>
    <s v="NA"/>
    <s v=""/>
    <s v=""/>
    <s v="411849541395"/>
    <s v="50100847876548"/>
    <s v="HDFC BANK"/>
    <s v="HDFC0000437"/>
    <n v="31"/>
    <n v="0"/>
    <n v="0"/>
    <n v="31"/>
    <n v="31"/>
    <n v="44033"/>
    <n v="44033"/>
    <n v="19815"/>
    <n v="7926"/>
    <n v="1600"/>
    <n v="200"/>
    <n v="1250"/>
    <n v="1651"/>
    <n v="3963"/>
    <n v="2972"/>
    <n v="198"/>
    <n v="694"/>
    <n v="396"/>
    <n v="99"/>
    <n v="1800"/>
    <n v="1469"/>
    <n v="0"/>
    <n v="0"/>
    <m/>
    <n v="44033"/>
    <n v="44033"/>
    <n v="0"/>
    <n v="0"/>
    <n v="0"/>
    <n v="200"/>
    <n v="1800"/>
    <n v="0"/>
    <n v="0"/>
    <n v="0"/>
    <n v="0"/>
    <n v="2000"/>
    <n v="42033"/>
    <m/>
    <m/>
  </r>
  <r>
    <d v="2026-01-01T00:00:00"/>
    <s v="Salary"/>
    <m/>
    <s v="MOONSTONE REALINFRA PRIVATE LIMITED"/>
    <n v="2216"/>
    <s v="AVINASH NANASAHEB GAGARE"/>
    <s v="Male"/>
    <m/>
    <s v="Sep 15, 2025"/>
    <s v="AWHPG2500N"/>
    <s v="101839693043"/>
    <x v="45"/>
    <s v="ASSISTANT MANAGER"/>
    <x v="5"/>
    <s v="TM"/>
    <s v="PF"/>
    <s v="NA"/>
    <s v=""/>
    <s v=""/>
    <s v="687922588113"/>
    <s v="50100730455272"/>
    <s v="HDFC BANK"/>
    <s v="HDFC0009332"/>
    <n v="31"/>
    <n v="0"/>
    <n v="2.5"/>
    <n v="18.5"/>
    <n v="18.5"/>
    <n v="65700"/>
    <n v="65700"/>
    <n v="17644"/>
    <n v="7058"/>
    <n v="955"/>
    <n v="184"/>
    <n v="746"/>
    <n v="1470"/>
    <n v="3529"/>
    <n v="2647"/>
    <n v="176"/>
    <n v="618"/>
    <n v="353"/>
    <n v="88"/>
    <n v="1800"/>
    <n v="1940"/>
    <n v="0"/>
    <n v="0"/>
    <m/>
    <n v="39208"/>
    <n v="39208"/>
    <n v="0"/>
    <n v="0"/>
    <n v="0"/>
    <n v="200"/>
    <n v="1800"/>
    <n v="0"/>
    <n v="0"/>
    <n v="0"/>
    <n v="0"/>
    <n v="2000"/>
    <n v="37208"/>
    <s v="Hold"/>
    <m/>
  </r>
  <r>
    <d v="2026-01-01T00:00:00"/>
    <s v="Salary"/>
    <m/>
    <s v="MOONSTONE REALINFRA PRIVATE LIMITED"/>
    <n v="2247"/>
    <s v="BAJARANG V CHAUGULE"/>
    <s v="Male"/>
    <m/>
    <s v="Oct 07, 2025"/>
    <s v="ANJPC4768M"/>
    <s v="102257230707"/>
    <x v="43"/>
    <s v="MANAGER"/>
    <x v="0"/>
    <s v="TM"/>
    <s v="PF"/>
    <s v="NA"/>
    <s v=""/>
    <s v=""/>
    <s v="222947030647"/>
    <s v="50100216811030"/>
    <s v="HDFC BANK"/>
    <s v="HDFC0001783"/>
    <n v="31"/>
    <n v="0"/>
    <n v="0"/>
    <n v="31"/>
    <n v="31"/>
    <n v="88200"/>
    <n v="88200"/>
    <n v="39690"/>
    <n v="15876"/>
    <n v="1600"/>
    <n v="200"/>
    <n v="1250"/>
    <n v="3306"/>
    <n v="7938"/>
    <n v="5954"/>
    <n v="397"/>
    <n v="1389"/>
    <n v="794"/>
    <n v="198"/>
    <n v="1800"/>
    <n v="7808"/>
    <n v="0"/>
    <n v="200"/>
    <m/>
    <n v="88400"/>
    <n v="88400"/>
    <n v="0"/>
    <n v="0"/>
    <n v="0"/>
    <n v="200"/>
    <n v="1800"/>
    <n v="0"/>
    <n v="0"/>
    <n v="0"/>
    <n v="0"/>
    <n v="2000"/>
    <n v="86400"/>
    <m/>
    <m/>
  </r>
  <r>
    <d v="2026-01-01T00:00:00"/>
    <s v="Salary"/>
    <m/>
    <s v="MOONSTONE REALINFRA PRIVATE LIMITED"/>
    <n v="1599"/>
    <s v="BHAVESH SHANKAR WANI"/>
    <s v="Male"/>
    <m/>
    <s v="Jan 09, 2024"/>
    <s v="AGNPW7537K"/>
    <s v="102034237231"/>
    <x v="54"/>
    <s v="ASSISTANT MANAGER - RESI. SALES"/>
    <x v="6"/>
    <s v="TM"/>
    <s v="PF"/>
    <s v="NA"/>
    <s v=""/>
    <s v=""/>
    <s v="467176812861"/>
    <s v="50100394142702"/>
    <s v="HDFC BANK"/>
    <s v="HDFC0001785"/>
    <n v="31"/>
    <n v="0"/>
    <n v="0"/>
    <n v="31"/>
    <n v="31"/>
    <n v="51640"/>
    <n v="51640"/>
    <n v="23238"/>
    <n v="9295"/>
    <n v="1600"/>
    <n v="200"/>
    <n v="1250"/>
    <n v="1936"/>
    <n v="4648"/>
    <n v="3486"/>
    <n v="232"/>
    <n v="813"/>
    <n v="465"/>
    <n v="116"/>
    <n v="1800"/>
    <n v="2561"/>
    <n v="0"/>
    <n v="0"/>
    <n v="2260"/>
    <n v="53900"/>
    <n v="51640"/>
    <n v="0"/>
    <n v="0"/>
    <n v="0"/>
    <n v="200"/>
    <n v="1800"/>
    <n v="0"/>
    <n v="0"/>
    <n v="0"/>
    <n v="0"/>
    <n v="2000"/>
    <n v="51900"/>
    <m/>
    <m/>
  </r>
  <r>
    <d v="2026-01-01T00:00:00"/>
    <s v="Salary"/>
    <m/>
    <s v="MOONSTONE REALINFRA PRIVATE LIMITED"/>
    <n v="1180"/>
    <s v="BHUJBAL SAGAR DNYANESHWAR"/>
    <s v="Male"/>
    <m/>
    <s v="Sep 12, 2022"/>
    <s v="DQJPB2913K"/>
    <s v="101457017133"/>
    <x v="7"/>
    <s v="EXECUTIVE - POSSESSION"/>
    <x v="2"/>
    <s v="TM"/>
    <s v="PF"/>
    <s v="NA"/>
    <s v=""/>
    <s v=""/>
    <s v="241411121642"/>
    <s v="0600104000093754"/>
    <s v="IDBI BANK"/>
    <s v="IBKL0000600"/>
    <n v="31"/>
    <n v="0"/>
    <n v="0"/>
    <n v="31"/>
    <n v="31"/>
    <n v="28042"/>
    <n v="28042"/>
    <n v="12619"/>
    <n v="5048"/>
    <n v="1600"/>
    <n v="200"/>
    <n v="1250"/>
    <n v="0"/>
    <n v="0"/>
    <n v="0"/>
    <n v="0"/>
    <n v="0"/>
    <n v="0"/>
    <n v="0"/>
    <n v="1514"/>
    <n v="5811"/>
    <n v="0"/>
    <n v="0"/>
    <n v="2453"/>
    <n v="30495"/>
    <n v="28042"/>
    <n v="0"/>
    <n v="0"/>
    <n v="0"/>
    <n v="200"/>
    <n v="1514"/>
    <n v="0"/>
    <n v="0"/>
    <n v="0"/>
    <n v="0"/>
    <n v="1714"/>
    <n v="28781"/>
    <m/>
    <m/>
  </r>
  <r>
    <d v="2026-01-01T00:00:00"/>
    <s v="Salary"/>
    <m/>
    <s v="MOONSTONE REALINFRA PRIVATE LIMITED"/>
    <n v="48"/>
    <s v="BHUSHAN MADANLAL LUNKAD"/>
    <s v="Male"/>
    <m/>
    <s v="Sep 05, 2015"/>
    <s v="ADTPL6823A"/>
    <s v="101487437414"/>
    <x v="8"/>
    <s v="MANAGER - A &amp; O"/>
    <x v="6"/>
    <s v="TL"/>
    <s v="PF"/>
    <s v="NA"/>
    <s v=""/>
    <s v=""/>
    <s v="991187937886"/>
    <s v="00521050124966"/>
    <s v="HDFC BANK"/>
    <s v="HDFC0000052"/>
    <n v="31"/>
    <n v="0"/>
    <n v="1.5"/>
    <n v="29.5"/>
    <n v="29.5"/>
    <n v="107967"/>
    <n v="107967"/>
    <n v="46234"/>
    <n v="18494"/>
    <n v="1523"/>
    <n v="190"/>
    <n v="1190"/>
    <n v="3851"/>
    <n v="9247"/>
    <n v="6935"/>
    <n v="462"/>
    <n v="1618"/>
    <n v="925"/>
    <n v="231"/>
    <n v="1800"/>
    <n v="10043"/>
    <n v="0"/>
    <n v="0"/>
    <m/>
    <n v="102743"/>
    <n v="102743"/>
    <n v="0"/>
    <n v="0"/>
    <n v="6143"/>
    <n v="200"/>
    <n v="1800"/>
    <n v="0"/>
    <n v="0"/>
    <n v="0"/>
    <n v="15000"/>
    <n v="23143"/>
    <n v="79600"/>
    <m/>
    <m/>
  </r>
  <r>
    <d v="2026-01-01T00:00:00"/>
    <s v="Salary"/>
    <m/>
    <s v="MOONSTONE REALINFRA PRIVATE LIMITED"/>
    <n v="2246"/>
    <s v="BHUSHAN SATISH DESHPANDE"/>
    <s v="Male"/>
    <m/>
    <s v="Oct 14, 2025"/>
    <s v="AHUPD7618N"/>
    <s v="101156996356"/>
    <x v="60"/>
    <s v="SENIOR MANAGER"/>
    <x v="0"/>
    <s v="TL"/>
    <s v="PF"/>
    <s v="NA"/>
    <s v=""/>
    <s v=""/>
    <s v="225825367425"/>
    <s v="01031050120083"/>
    <s v="HDFC BANK"/>
    <s v="HDFC0000103"/>
    <n v="31"/>
    <n v="0"/>
    <n v="0"/>
    <n v="31"/>
    <n v="31"/>
    <n v="123200"/>
    <n v="123200"/>
    <n v="55440"/>
    <n v="22176"/>
    <n v="1600"/>
    <n v="200"/>
    <n v="1250"/>
    <n v="4618"/>
    <n v="11088"/>
    <n v="8316"/>
    <n v="554"/>
    <n v="1940"/>
    <n v="1109"/>
    <n v="277"/>
    <n v="1800"/>
    <n v="12832"/>
    <n v="0"/>
    <n v="0"/>
    <m/>
    <n v="123200"/>
    <n v="123200"/>
    <n v="0"/>
    <n v="0"/>
    <n v="0"/>
    <n v="200"/>
    <n v="1800"/>
    <n v="0"/>
    <n v="0"/>
    <n v="0"/>
    <n v="0"/>
    <n v="2000"/>
    <n v="121200"/>
    <m/>
    <m/>
  </r>
  <r>
    <d v="2026-01-01T00:00:00"/>
    <s v="Salary"/>
    <m/>
    <s v="MOONSTONE REALINFRA PRIVATE LIMITED"/>
    <n v="2276"/>
    <s v="BIDIPTA DEY SARKAR"/>
    <s v="Female"/>
    <m/>
    <s v="Nov 17, 2025"/>
    <s v="PGOPS8165P"/>
    <s v="102187952261"/>
    <x v="6"/>
    <s v="MANAGEMENT TRAINEE"/>
    <x v="6"/>
    <s v="MT"/>
    <s v="PF"/>
    <s v="NA"/>
    <s v=""/>
    <s v=""/>
    <s v="800708836063"/>
    <s v="50100847878732"/>
    <s v="HDFC BANK"/>
    <s v="HDFC0000437"/>
    <n v="31"/>
    <n v="0"/>
    <n v="0"/>
    <n v="31"/>
    <n v="31"/>
    <n v="44033"/>
    <n v="44033"/>
    <n v="19815"/>
    <n v="7926"/>
    <n v="1600"/>
    <n v="200"/>
    <n v="1250"/>
    <n v="1651"/>
    <n v="3963"/>
    <n v="2972"/>
    <n v="198"/>
    <n v="694"/>
    <n v="396"/>
    <n v="99"/>
    <n v="1800"/>
    <n v="1469"/>
    <n v="0"/>
    <n v="0"/>
    <m/>
    <n v="44033"/>
    <n v="44033"/>
    <n v="0"/>
    <n v="0"/>
    <n v="0"/>
    <n v="200"/>
    <n v="1800"/>
    <n v="0"/>
    <n v="0"/>
    <n v="0"/>
    <n v="0"/>
    <n v="2000"/>
    <n v="42033"/>
    <m/>
    <m/>
  </r>
  <r>
    <d v="2026-01-01T00:00:00"/>
    <s v="Salary"/>
    <m/>
    <s v="MOONSTONE REALINFRA PRIVATE LIMITED"/>
    <n v="2017"/>
    <s v="DHAIRYA PRASAD"/>
    <s v="Male"/>
    <m/>
    <s v="Feb 17, 2025"/>
    <s v="EPBPP8390Q"/>
    <s v="102171851924"/>
    <x v="6"/>
    <s v="MANAGEMENT TRAINEE"/>
    <x v="6"/>
    <s v="MT"/>
    <s v="PF"/>
    <s v="NA"/>
    <s v=""/>
    <s v=""/>
    <s v="851362488850"/>
    <s v="50100731565504"/>
    <s v="HDFC BANK"/>
    <s v="HDFC0000007"/>
    <n v="31"/>
    <n v="0"/>
    <n v="0"/>
    <n v="31"/>
    <n v="31"/>
    <n v="56533"/>
    <n v="56533"/>
    <n v="25440"/>
    <n v="10176"/>
    <n v="1600"/>
    <n v="200"/>
    <n v="1250"/>
    <n v="2119"/>
    <n v="5088"/>
    <n v="3816"/>
    <n v="254"/>
    <n v="890"/>
    <n v="509"/>
    <n v="127"/>
    <n v="1800"/>
    <n v="3264"/>
    <n v="0"/>
    <n v="0"/>
    <n v="3959"/>
    <n v="60492"/>
    <n v="56533"/>
    <n v="0"/>
    <n v="0"/>
    <n v="0"/>
    <n v="200"/>
    <n v="1800"/>
    <n v="0"/>
    <n v="0"/>
    <n v="0"/>
    <n v="0"/>
    <n v="2000"/>
    <n v="58492"/>
    <m/>
    <m/>
  </r>
  <r>
    <d v="2026-01-01T00:00:00"/>
    <s v="Salary"/>
    <m/>
    <s v="MOONSTONE REALINFRA PRIVATE LIMITED"/>
    <n v="1914"/>
    <s v="DHANAJI ARJUN MALI"/>
    <s v="Male"/>
    <m/>
    <s v="Nov 11, 2024"/>
    <s v="DBNPM8263C"/>
    <s v="101816559661"/>
    <x v="9"/>
    <s v="SENIOR ENGINEER"/>
    <x v="0"/>
    <s v="TM"/>
    <s v="PF"/>
    <s v="NA"/>
    <s v=""/>
    <s v=""/>
    <s v="450862785164"/>
    <s v="50100769916547"/>
    <s v="HDFC BANK"/>
    <s v="HDFC0001210"/>
    <n v="31"/>
    <n v="0"/>
    <n v="31"/>
    <n v="0"/>
    <n v="0"/>
    <n v="74033"/>
    <n v="74033"/>
    <n v="0"/>
    <n v="0"/>
    <n v="0"/>
    <n v="0"/>
    <n v="0"/>
    <n v="0"/>
    <n v="0"/>
    <n v="0"/>
    <n v="0"/>
    <n v="0"/>
    <n v="0"/>
    <n v="0"/>
    <n v="0"/>
    <n v="0"/>
    <n v="0"/>
    <n v="4776"/>
    <m/>
    <n v="4776"/>
    <n v="4776"/>
    <n v="0"/>
    <n v="0"/>
    <n v="0"/>
    <n v="0"/>
    <n v="0"/>
    <n v="0"/>
    <n v="0"/>
    <n v="0"/>
    <n v="0"/>
    <n v="0"/>
    <n v="4776"/>
    <m/>
    <m/>
  </r>
  <r>
    <d v="2026-01-01T00:00:00"/>
    <s v="Salary"/>
    <m/>
    <s v="MOONSTONE REALINFRA PRIVATE LIMITED"/>
    <n v="2186"/>
    <s v="DIPAK MAGAN KHAJURE"/>
    <s v="Male"/>
    <m/>
    <s v="Aug 11, 2025"/>
    <s v="HZWPK8086G"/>
    <s v="101305133627"/>
    <x v="39"/>
    <s v="SENIOR EXECUTIVE - MIS"/>
    <x v="6"/>
    <s v="TM"/>
    <s v="PF"/>
    <s v="NA"/>
    <s v=""/>
    <s v=""/>
    <s v="620286516208"/>
    <s v="50100820320194"/>
    <s v="HDFC BANK"/>
    <s v="HDFC0000007"/>
    <n v="31"/>
    <n v="0"/>
    <n v="2.5"/>
    <n v="28.5"/>
    <n v="28.5"/>
    <n v="63200"/>
    <n v="63200"/>
    <n v="26146"/>
    <n v="10458"/>
    <n v="1471"/>
    <n v="184"/>
    <n v="1149"/>
    <n v="2178"/>
    <n v="5229"/>
    <n v="3922"/>
    <n v="261"/>
    <n v="915"/>
    <n v="523"/>
    <n v="131"/>
    <n v="1800"/>
    <n v="3736"/>
    <n v="0"/>
    <n v="0"/>
    <m/>
    <n v="58103"/>
    <n v="58103"/>
    <n v="0"/>
    <n v="0"/>
    <n v="0"/>
    <n v="200"/>
    <n v="1800"/>
    <n v="0"/>
    <n v="0"/>
    <n v="0"/>
    <n v="0"/>
    <n v="2000"/>
    <n v="56103"/>
    <m/>
    <m/>
  </r>
  <r>
    <d v="2026-01-01T00:00:00"/>
    <s v="Salary"/>
    <m/>
    <s v="MOONSTONE REALINFRA PRIVATE LIMITED"/>
    <n v="1209"/>
    <s v="DUNDAPPA MALLAPPA SANKPAL"/>
    <s v="Male"/>
    <m/>
    <s v="Sep 03, 2022"/>
    <s v="CVOPS6863E"/>
    <s v="100379494874"/>
    <x v="40"/>
    <s v="MANAGER - HR"/>
    <x v="2"/>
    <s v="TM"/>
    <s v="PF"/>
    <s v="NA"/>
    <s v=""/>
    <s v=""/>
    <s v="818967487034"/>
    <s v="50100188631775"/>
    <s v="HDFC BANK"/>
    <s v="HDFC0000039"/>
    <n v="31"/>
    <n v="0"/>
    <n v="0.5"/>
    <n v="30.5"/>
    <n v="30.5"/>
    <n v="83333"/>
    <n v="83333"/>
    <n v="36895"/>
    <n v="14758"/>
    <n v="1574"/>
    <n v="197"/>
    <n v="1230"/>
    <n v="3073"/>
    <n v="7379"/>
    <n v="5534"/>
    <n v="369"/>
    <n v="1291"/>
    <n v="738"/>
    <n v="184"/>
    <n v="1800"/>
    <n v="6967"/>
    <n v="0"/>
    <n v="0"/>
    <n v="579"/>
    <n v="82568"/>
    <n v="81989"/>
    <n v="0"/>
    <n v="0"/>
    <n v="0"/>
    <n v="200"/>
    <n v="1800"/>
    <n v="0"/>
    <n v="0"/>
    <n v="0"/>
    <n v="0"/>
    <n v="2000"/>
    <n v="80568"/>
    <m/>
    <m/>
  </r>
  <r>
    <d v="2026-01-01T00:00:00"/>
    <s v="Salary"/>
    <m/>
    <s v="MOONSTONE REALINFRA PRIVATE LIMITED"/>
    <n v="1517"/>
    <s v="GANESH SURESH PAWAR"/>
    <s v="Male"/>
    <m/>
    <s v="Sep 01, 2023"/>
    <s v="CANPP1627F"/>
    <s v="101292152161"/>
    <x v="12"/>
    <s v="EXECUTIVE - MIS"/>
    <x v="2"/>
    <s v="TM"/>
    <s v="PF"/>
    <s v="NA"/>
    <s v=""/>
    <s v=""/>
    <s v="427581798506"/>
    <s v="50100729824722"/>
    <s v="HDFC BANK"/>
    <s v="HDFC0001210"/>
    <n v="31"/>
    <n v="0"/>
    <n v="2.5"/>
    <n v="28.5"/>
    <n v="28.5"/>
    <n v="47190"/>
    <n v="47190"/>
    <n v="19523"/>
    <n v="7809"/>
    <n v="1471"/>
    <n v="184"/>
    <n v="1149"/>
    <n v="1626"/>
    <n v="3905"/>
    <n v="2928"/>
    <n v="195"/>
    <n v="683"/>
    <n v="390"/>
    <n v="98"/>
    <n v="1800"/>
    <n v="1623"/>
    <n v="0"/>
    <n v="0"/>
    <m/>
    <n v="43384"/>
    <n v="43384"/>
    <n v="0"/>
    <n v="0"/>
    <n v="0"/>
    <n v="200"/>
    <n v="1800"/>
    <n v="0"/>
    <n v="0"/>
    <n v="0"/>
    <n v="0"/>
    <n v="2000"/>
    <n v="41384"/>
    <m/>
    <m/>
  </r>
  <r>
    <d v="2026-01-01T00:00:00"/>
    <s v="Salary"/>
    <m/>
    <s v="MOONSTONE REALINFRA PRIVATE LIMITED"/>
    <n v="1202"/>
    <s v="GAURAV KASHINATH KURANE"/>
    <s v="Male"/>
    <m/>
    <s v="Sep 28, 2022"/>
    <s v="ARVPK8048G"/>
    <s v="100151644732"/>
    <x v="55"/>
    <s v="MANAGER - RESI. SALES"/>
    <x v="6"/>
    <s v="TM"/>
    <s v="PF"/>
    <s v="NA"/>
    <s v=""/>
    <s v=""/>
    <s v="597630357761"/>
    <s v="50100318162255"/>
    <s v="HDFC BANK"/>
    <s v="HDFC0000007"/>
    <n v="31"/>
    <n v="0"/>
    <n v="0"/>
    <n v="31"/>
    <n v="31"/>
    <n v="98333"/>
    <n v="98333"/>
    <n v="44250"/>
    <n v="17700"/>
    <n v="1600"/>
    <n v="200"/>
    <n v="1250"/>
    <n v="3686"/>
    <n v="8850"/>
    <n v="6638"/>
    <n v="443"/>
    <n v="1549"/>
    <n v="885"/>
    <n v="221"/>
    <n v="1800"/>
    <n v="9261"/>
    <n v="0"/>
    <n v="0"/>
    <n v="2274"/>
    <n v="100607"/>
    <n v="98333"/>
    <n v="0"/>
    <n v="0"/>
    <n v="3143"/>
    <n v="200"/>
    <n v="1800"/>
    <n v="0"/>
    <n v="0"/>
    <n v="0"/>
    <n v="0"/>
    <n v="5143"/>
    <n v="95464"/>
    <m/>
    <m/>
  </r>
  <r>
    <d v="2026-01-01T00:00:00"/>
    <s v="Salary"/>
    <m/>
    <s v="MOONSTONE REALINFRA PRIVATE LIMITED"/>
    <n v="2234"/>
    <s v="GUNDAREDDY "/>
    <s v="Male"/>
    <m/>
    <s v="Sep 30, 2025"/>
    <s v="BPTPG4400H"/>
    <s v="101276751702"/>
    <x v="56"/>
    <s v="SENIOR EXECUTIVE HR"/>
    <x v="2"/>
    <s v="TM"/>
    <s v="PF"/>
    <s v="NA"/>
    <s v=""/>
    <s v=""/>
    <s v="793955988124"/>
    <s v="50100501671220"/>
    <s v="HDFC BANK"/>
    <s v="HDFC0004884"/>
    <n v="31"/>
    <n v="0"/>
    <n v="2.5"/>
    <n v="28.5"/>
    <n v="28.5"/>
    <n v="52200"/>
    <n v="52200"/>
    <n v="21596"/>
    <n v="8638"/>
    <n v="1471"/>
    <n v="184"/>
    <n v="1149"/>
    <n v="1799"/>
    <n v="4319"/>
    <n v="3239"/>
    <n v="216"/>
    <n v="756"/>
    <n v="432"/>
    <n v="108"/>
    <n v="1800"/>
    <n v="2283"/>
    <n v="0"/>
    <n v="0"/>
    <m/>
    <n v="47990"/>
    <n v="47990"/>
    <n v="0"/>
    <n v="0"/>
    <n v="0"/>
    <n v="200"/>
    <n v="1800"/>
    <n v="0"/>
    <n v="0"/>
    <n v="0"/>
    <n v="0"/>
    <n v="2000"/>
    <n v="45990"/>
    <m/>
    <m/>
  </r>
  <r>
    <d v="2026-01-01T00:00:00"/>
    <s v="Salary"/>
    <m/>
    <s v="MOONSTONE REALINFRA PRIVATE LIMITED"/>
    <n v="2273"/>
    <s v="HARSH VIJAY"/>
    <s v="Male"/>
    <m/>
    <s v="Nov 17, 2025"/>
    <s v="CWBPV9777L"/>
    <s v="102267049861"/>
    <x v="6"/>
    <s v="MANAGEMENT TRAINEE"/>
    <x v="6"/>
    <s v="MT"/>
    <s v="PF"/>
    <s v="NA"/>
    <s v=""/>
    <s v=""/>
    <s v="997756624145"/>
    <s v="50100847878811"/>
    <s v="HDFC BANK"/>
    <s v="HDFC0000437"/>
    <n v="31"/>
    <n v="0"/>
    <n v="1"/>
    <n v="30"/>
    <n v="30"/>
    <n v="44033"/>
    <n v="44033"/>
    <n v="19176"/>
    <n v="7670"/>
    <n v="1548"/>
    <n v="194"/>
    <n v="1210"/>
    <n v="1597"/>
    <n v="3835"/>
    <n v="2876"/>
    <n v="192"/>
    <n v="671"/>
    <n v="384"/>
    <n v="96"/>
    <n v="1800"/>
    <n v="1364"/>
    <n v="0"/>
    <n v="0"/>
    <n v="1197"/>
    <n v="43810"/>
    <n v="42613"/>
    <n v="0"/>
    <n v="0"/>
    <n v="0"/>
    <n v="200"/>
    <n v="1800"/>
    <n v="0"/>
    <n v="0"/>
    <n v="0"/>
    <n v="0"/>
    <n v="2000"/>
    <n v="41810"/>
    <m/>
    <m/>
  </r>
  <r>
    <d v="2026-01-01T00:00:00"/>
    <s v="Salary"/>
    <m/>
    <s v="MOONSTONE REALINFRA PRIVATE LIMITED"/>
    <n v="748"/>
    <s v="KALPESH KADAM"/>
    <s v="Male"/>
    <m/>
    <s v="Feb 22, 2021"/>
    <s v="DPAPK0829F"/>
    <s v="101173740664"/>
    <x v="41"/>
    <s v="MANAGER - LIAISONING"/>
    <x v="3"/>
    <s v="TM"/>
    <s v="PF"/>
    <s v="NA"/>
    <s v=""/>
    <s v=""/>
    <s v="656902116787"/>
    <s v="50100045505567"/>
    <s v="HDFC BANK"/>
    <s v="HDFC0000794"/>
    <n v="31"/>
    <n v="0"/>
    <n v="0"/>
    <n v="31"/>
    <n v="31"/>
    <n v="62333"/>
    <n v="62333"/>
    <n v="28050"/>
    <n v="11220"/>
    <n v="1600"/>
    <n v="200"/>
    <n v="1250"/>
    <n v="2337"/>
    <n v="5610"/>
    <n v="4208"/>
    <n v="281"/>
    <n v="982"/>
    <n v="561"/>
    <n v="140"/>
    <n v="1800"/>
    <n v="4094"/>
    <n v="0"/>
    <n v="0"/>
    <n v="2167"/>
    <n v="64500"/>
    <n v="62333"/>
    <n v="0"/>
    <n v="0"/>
    <n v="0"/>
    <n v="200"/>
    <n v="1800"/>
    <n v="0"/>
    <n v="0"/>
    <n v="0"/>
    <n v="15000"/>
    <n v="17000"/>
    <n v="47500"/>
    <m/>
    <m/>
  </r>
  <r>
    <d v="2026-01-01T00:00:00"/>
    <s v="Salary"/>
    <m/>
    <s v="MOONSTONE REALINFRA PRIVATE LIMITED"/>
    <n v="2214"/>
    <s v="KAMLESH BABULAL RAJPUROHIT"/>
    <s v="Male"/>
    <m/>
    <s v="Sep 15, 2025"/>
    <s v="EMJPR1063R"/>
    <s v="102077336068"/>
    <x v="57"/>
    <s v="EXECUTIVE ASSISTANT"/>
    <x v="5"/>
    <s v="TM"/>
    <s v="PF"/>
    <s v="NA"/>
    <s v=""/>
    <s v=""/>
    <s v="530249989111"/>
    <s v="50100833997330"/>
    <s v="HDFC BANK"/>
    <s v="HDFC0000437"/>
    <n v="31"/>
    <n v="0"/>
    <n v="0"/>
    <n v="31"/>
    <n v="31"/>
    <n v="54867"/>
    <n v="54867"/>
    <n v="24690"/>
    <n v="9876"/>
    <n v="1600"/>
    <n v="200"/>
    <n v="1250"/>
    <n v="2057"/>
    <n v="4938"/>
    <n v="3704"/>
    <n v="247"/>
    <n v="864"/>
    <n v="494"/>
    <n v="123"/>
    <n v="1800"/>
    <n v="3024"/>
    <n v="0"/>
    <n v="0"/>
    <m/>
    <n v="54867"/>
    <n v="54867"/>
    <n v="0"/>
    <n v="0"/>
    <n v="0"/>
    <n v="200"/>
    <n v="1800"/>
    <n v="0"/>
    <n v="0"/>
    <n v="0"/>
    <n v="0"/>
    <n v="2000"/>
    <n v="52867"/>
    <m/>
    <m/>
  </r>
  <r>
    <d v="2026-01-01T00:00:00"/>
    <s v="Salary"/>
    <m/>
    <s v="MOONSTONE REALINFRA PRIVATE LIMITED"/>
    <n v="2239"/>
    <s v="KESAVAPATNAM SAI DIVYA"/>
    <s v="Female"/>
    <m/>
    <s v="Oct 07, 2025"/>
    <s v="AXQPK7747R"/>
    <s v="100736813583"/>
    <x v="11"/>
    <s v="DEPUTY MANAGER - HR"/>
    <x v="2"/>
    <s v="TM"/>
    <s v="PF"/>
    <s v="NA"/>
    <s v=""/>
    <s v=""/>
    <s v="544132081350"/>
    <s v="50100713590393"/>
    <s v="HDFC BANK"/>
    <s v="HDFC0001210"/>
    <n v="31"/>
    <n v="0"/>
    <n v="6.5"/>
    <n v="24.5"/>
    <n v="24.5"/>
    <n v="88067"/>
    <n v="88067"/>
    <n v="31320"/>
    <n v="12528"/>
    <n v="1265"/>
    <n v="158"/>
    <n v="988"/>
    <n v="2609"/>
    <n v="6264"/>
    <n v="4698"/>
    <n v="313"/>
    <n v="1096"/>
    <n v="626"/>
    <n v="157"/>
    <n v="1800"/>
    <n v="5779"/>
    <n v="0"/>
    <n v="0"/>
    <m/>
    <n v="69601"/>
    <n v="69601"/>
    <n v="0"/>
    <n v="0"/>
    <n v="0"/>
    <n v="200"/>
    <n v="1800"/>
    <n v="0"/>
    <n v="0"/>
    <n v="0"/>
    <n v="0"/>
    <n v="2000"/>
    <n v="67601"/>
    <m/>
    <m/>
  </r>
  <r>
    <d v="2026-01-01T00:00:00"/>
    <s v="Salary"/>
    <m/>
    <s v="MOONSTONE REALINFRA PRIVATE LIMITED"/>
    <n v="2152"/>
    <s v="KEWALRAJ POUDEL"/>
    <s v="Male"/>
    <m/>
    <s v="Jul 01, 2025"/>
    <s v="ETGPP5536R"/>
    <s v="102121019968"/>
    <x v="33"/>
    <s v="JUNIOR ENGINEER"/>
    <x v="0"/>
    <s v="TM"/>
    <s v="PF"/>
    <s v="NA"/>
    <s v=""/>
    <s v=""/>
    <s v="462816190119"/>
    <s v="50100815728426"/>
    <s v="HDFC BANK"/>
    <s v="HDFC0008300"/>
    <n v="31"/>
    <n v="0"/>
    <n v="0"/>
    <n v="31"/>
    <n v="31"/>
    <n v="32760"/>
    <n v="32760"/>
    <n v="14742"/>
    <n v="5897"/>
    <n v="1600"/>
    <n v="200"/>
    <n v="1250"/>
    <n v="0"/>
    <n v="0"/>
    <n v="0"/>
    <n v="0"/>
    <n v="0"/>
    <n v="0"/>
    <n v="0"/>
    <n v="1769"/>
    <n v="7302"/>
    <n v="0"/>
    <n v="0"/>
    <m/>
    <n v="32760"/>
    <n v="32760"/>
    <n v="0"/>
    <n v="0"/>
    <n v="0"/>
    <n v="200"/>
    <n v="1769"/>
    <n v="0"/>
    <n v="0"/>
    <n v="0"/>
    <n v="0"/>
    <n v="1969"/>
    <n v="30791"/>
    <m/>
    <m/>
  </r>
  <r>
    <d v="2026-01-01T00:00:00"/>
    <s v="Salary"/>
    <m/>
    <s v="MOONSTONE REALINFRA PRIVATE LIMITED"/>
    <n v="2281"/>
    <s v="KHUSHI SAGAR JOSHI"/>
    <s v="Female"/>
    <m/>
    <s v="Nov 20, 2025"/>
    <s v="CKAPJ8208F"/>
    <s v="101827593005"/>
    <x v="54"/>
    <s v="ASSISTANT MANAGER - RESI. SALES"/>
    <x v="6"/>
    <s v="TM"/>
    <s v="PF"/>
    <s v="NA"/>
    <s v=""/>
    <s v=""/>
    <s v="352779432599"/>
    <s v="50100490342573"/>
    <s v="HDFC BANK"/>
    <s v="HDFC0002503"/>
    <n v="31"/>
    <n v="0"/>
    <n v="0"/>
    <n v="31"/>
    <n v="31"/>
    <n v="81533"/>
    <n v="81533"/>
    <n v="36690"/>
    <n v="14676"/>
    <n v="1600"/>
    <n v="200"/>
    <n v="1250"/>
    <n v="3056"/>
    <n v="7338"/>
    <n v="5504"/>
    <n v="367"/>
    <n v="1284"/>
    <n v="734"/>
    <n v="183"/>
    <n v="1800"/>
    <n v="6851"/>
    <n v="0"/>
    <n v="0"/>
    <m/>
    <n v="81533"/>
    <n v="81533"/>
    <n v="0"/>
    <n v="0"/>
    <n v="0"/>
    <n v="200"/>
    <n v="1800"/>
    <n v="0"/>
    <n v="0"/>
    <n v="0"/>
    <n v="0"/>
    <n v="2000"/>
    <n v="79533"/>
    <m/>
    <m/>
  </r>
  <r>
    <d v="2026-01-01T00:00:00"/>
    <s v="Salary"/>
    <m/>
    <s v="MOONSTONE REALINFRA PRIVATE LIMITED"/>
    <n v="1875"/>
    <s v="KRISHNA KUMAR TIWARI"/>
    <s v="Male"/>
    <m/>
    <s v="Sep 09, 2024"/>
    <s v="AGXPT8418N"/>
    <s v="101910507765"/>
    <x v="52"/>
    <s v="DEPUTY MANAGER"/>
    <x v="6"/>
    <s v="TM"/>
    <s v="PF"/>
    <s v="NA"/>
    <s v=""/>
    <s v=""/>
    <s v="375923391923"/>
    <s v="50100755728692"/>
    <s v="HDFC BANK"/>
    <s v="HDFC0001210"/>
    <n v="31"/>
    <n v="0"/>
    <n v="1"/>
    <n v="30"/>
    <n v="30"/>
    <n v="65840"/>
    <n v="65840"/>
    <n v="28672"/>
    <n v="11469"/>
    <n v="1548"/>
    <n v="194"/>
    <n v="1210"/>
    <n v="2388"/>
    <n v="5734"/>
    <n v="4301"/>
    <n v="287"/>
    <n v="1004"/>
    <n v="573"/>
    <n v="143"/>
    <n v="1800"/>
    <n v="4393"/>
    <n v="0"/>
    <n v="0"/>
    <n v="4082"/>
    <n v="67798"/>
    <n v="63716"/>
    <n v="0"/>
    <n v="0"/>
    <n v="0"/>
    <n v="200"/>
    <n v="1800"/>
    <n v="0"/>
    <n v="0"/>
    <n v="0"/>
    <n v="0"/>
    <n v="2000"/>
    <n v="65798"/>
    <m/>
    <m/>
  </r>
  <r>
    <d v="2026-01-01T00:00:00"/>
    <s v="Salary"/>
    <m/>
    <s v="MOONSTONE REALINFRA PRIVATE LIMITED"/>
    <n v="1135"/>
    <s v="LAKSHADIP PUNDALIK THAKUR"/>
    <s v="Male"/>
    <m/>
    <s v="Jul 01, 2022"/>
    <s v="AIKPT5980A"/>
    <s v="100202447925"/>
    <x v="36"/>
    <s v="GENERAL MANAGER"/>
    <x v="6"/>
    <s v="TL"/>
    <s v="PF"/>
    <s v="NA"/>
    <s v=""/>
    <s v=""/>
    <s v="332553462353"/>
    <s v="50100224949010"/>
    <s v="HDFC BANK"/>
    <s v="HDFC0003982"/>
    <n v="31"/>
    <n v="0"/>
    <n v="0"/>
    <n v="31"/>
    <n v="31"/>
    <n v="169400"/>
    <n v="169400"/>
    <n v="76230"/>
    <n v="30492"/>
    <n v="1600"/>
    <n v="200"/>
    <n v="1250"/>
    <n v="6350"/>
    <n v="15246"/>
    <n v="11435"/>
    <n v="762"/>
    <n v="2668"/>
    <n v="1525"/>
    <n v="381"/>
    <n v="1800"/>
    <n v="19461"/>
    <n v="0"/>
    <n v="0"/>
    <n v="9302"/>
    <n v="178702"/>
    <n v="169400"/>
    <n v="0"/>
    <n v="2000"/>
    <n v="25145"/>
    <n v="200"/>
    <n v="1800"/>
    <n v="0"/>
    <n v="0"/>
    <n v="0"/>
    <n v="0"/>
    <n v="29145"/>
    <n v="149557"/>
    <m/>
    <m/>
  </r>
  <r>
    <d v="2026-01-01T00:00:00"/>
    <s v="Salary"/>
    <m/>
    <s v="MOONSTONE REALINFRA PRIVATE LIMITED"/>
    <n v="2272"/>
    <s v="MAHIMA RAWAL"/>
    <s v="Female"/>
    <m/>
    <s v="Nov 17, 2025"/>
    <s v="DVJPR7360M"/>
    <s v="101675947536"/>
    <x v="6"/>
    <s v="MANAGEMENT TRAINEE"/>
    <x v="6"/>
    <s v="MT"/>
    <s v="PF"/>
    <s v="NA"/>
    <s v=""/>
    <s v=""/>
    <s v="707738000576"/>
    <s v="50100289085145"/>
    <s v="HDFC BANK"/>
    <s v="HDFC0001443"/>
    <n v="31"/>
    <n v="0"/>
    <n v="0"/>
    <n v="31"/>
    <n v="31"/>
    <n v="44033"/>
    <n v="44033"/>
    <n v="19815"/>
    <n v="7926"/>
    <n v="1600"/>
    <n v="200"/>
    <n v="1250"/>
    <n v="1651"/>
    <n v="3963"/>
    <n v="2972"/>
    <n v="198"/>
    <n v="694"/>
    <n v="396"/>
    <n v="99"/>
    <n v="1800"/>
    <n v="1469"/>
    <n v="0"/>
    <n v="0"/>
    <m/>
    <n v="44033"/>
    <n v="44033"/>
    <n v="0"/>
    <n v="0"/>
    <n v="0"/>
    <n v="200"/>
    <n v="1800"/>
    <n v="0"/>
    <n v="0"/>
    <n v="0"/>
    <n v="0"/>
    <n v="2000"/>
    <n v="42033"/>
    <m/>
    <m/>
  </r>
  <r>
    <d v="2026-01-01T00:00:00"/>
    <s v="Salary"/>
    <m/>
    <s v="MOONSTONE REALINFRA PRIVATE LIMITED"/>
    <n v="726"/>
    <s v="MAHVEEN SAYYED"/>
    <s v="Female"/>
    <m/>
    <s v="Dec 01, 2020"/>
    <s v="NUMPS3199R"/>
    <s v="101726376057"/>
    <x v="17"/>
    <s v="RECEPTIONIST"/>
    <x v="4"/>
    <s v="TM"/>
    <s v="PF"/>
    <s v="NA"/>
    <s v=""/>
    <s v=""/>
    <s v="677097563942"/>
    <s v="50100317492831"/>
    <s v="HDFC BANK"/>
    <s v="HDFC0000007"/>
    <n v="31"/>
    <n v="0"/>
    <n v="0"/>
    <n v="31"/>
    <n v="31"/>
    <n v="27904"/>
    <n v="27904"/>
    <n v="12557"/>
    <n v="5023"/>
    <n v="1600"/>
    <n v="200"/>
    <n v="1250"/>
    <n v="0"/>
    <n v="0"/>
    <n v="0"/>
    <n v="0"/>
    <n v="0"/>
    <n v="0"/>
    <n v="0"/>
    <n v="1507"/>
    <n v="5767"/>
    <n v="0"/>
    <n v="0"/>
    <n v="478"/>
    <n v="28382"/>
    <n v="27904"/>
    <n v="0"/>
    <n v="0"/>
    <n v="0"/>
    <n v="200"/>
    <n v="1507"/>
    <n v="0"/>
    <n v="0"/>
    <n v="0"/>
    <n v="0"/>
    <n v="1707"/>
    <n v="26675"/>
    <m/>
    <m/>
  </r>
  <r>
    <d v="2026-01-01T00:00:00"/>
    <s v="Salary"/>
    <m/>
    <s v="MOONSTONE REALINFRA PRIVATE LIMITED"/>
    <n v="1722"/>
    <s v="MANOJ KUMAR VARMA"/>
    <s v="Male"/>
    <m/>
    <s v="May 02, 2024"/>
    <s v="AAEPV3962E"/>
    <s v="101345330257"/>
    <x v="18"/>
    <s v="SENIOR VICE PRESIDENT"/>
    <x v="0"/>
    <s v="TH"/>
    <s v="PF"/>
    <s v="NA"/>
    <s v=""/>
    <s v=""/>
    <s v="768669459723"/>
    <s v="01531050005109"/>
    <s v="HDFC BANK"/>
    <s v="HDFC0000153"/>
    <n v="31"/>
    <n v="0"/>
    <n v="0"/>
    <n v="31"/>
    <n v="31"/>
    <n v="434795"/>
    <n v="434795"/>
    <n v="195658"/>
    <n v="78263"/>
    <n v="1600"/>
    <n v="200"/>
    <n v="1250"/>
    <n v="16298"/>
    <n v="39132"/>
    <n v="29349"/>
    <n v="1957"/>
    <n v="6848"/>
    <n v="3913"/>
    <n v="978"/>
    <n v="1800"/>
    <n v="57549"/>
    <n v="0"/>
    <n v="0"/>
    <m/>
    <n v="434795"/>
    <n v="434795"/>
    <n v="0"/>
    <n v="0"/>
    <n v="144055"/>
    <n v="200"/>
    <n v="1800"/>
    <n v="0"/>
    <n v="0"/>
    <n v="0"/>
    <n v="0"/>
    <n v="146055"/>
    <n v="288740"/>
    <m/>
    <m/>
  </r>
  <r>
    <d v="2026-01-01T00:00:00"/>
    <s v="Salary"/>
    <m/>
    <s v="MOONSTONE REALINFRA PRIVATE LIMITED"/>
    <n v="2241"/>
    <s v="MANVI DHRUVRAJ SINGH"/>
    <s v="Female"/>
    <m/>
    <s v="Oct 09, 2025"/>
    <s v="OCSPS6842C"/>
    <s v="101948310999"/>
    <x v="61"/>
    <s v="SENIOR EXECUTIVE - RESI. SALES"/>
    <x v="6"/>
    <s v="TM"/>
    <s v="PF"/>
    <s v="NA"/>
    <s v=""/>
    <s v=""/>
    <s v="395020615512"/>
    <s v="50100774099998"/>
    <s v="HDFC BANK"/>
    <s v="HDFC0002690"/>
    <n v="31"/>
    <n v="0"/>
    <n v="0"/>
    <n v="31"/>
    <n v="31"/>
    <n v="47367"/>
    <n v="47367"/>
    <n v="21315"/>
    <n v="8526"/>
    <n v="1600"/>
    <n v="200"/>
    <n v="1250"/>
    <n v="1776"/>
    <n v="4263"/>
    <n v="3197"/>
    <n v="213"/>
    <n v="746"/>
    <n v="426"/>
    <n v="107"/>
    <n v="1800"/>
    <n v="1948"/>
    <n v="0"/>
    <n v="0"/>
    <m/>
    <n v="47367"/>
    <n v="47367"/>
    <n v="0"/>
    <n v="0"/>
    <n v="0"/>
    <n v="200"/>
    <n v="1800"/>
    <n v="0"/>
    <n v="0"/>
    <n v="0"/>
    <n v="0"/>
    <n v="2000"/>
    <n v="45367"/>
    <m/>
    <m/>
  </r>
  <r>
    <d v="2026-01-01T00:00:00"/>
    <s v="Salary"/>
    <m/>
    <s v="MOONSTONE REALINFRA PRIVATE LIMITED"/>
    <n v="1937"/>
    <s v="MAYANK ACHARYA"/>
    <s v="Male"/>
    <m/>
    <s v="Nov 25, 2024"/>
    <s v="DZPPA7006D"/>
    <s v="102142125408"/>
    <x v="6"/>
    <s v="MANAGEMENT TRAINEE"/>
    <x v="6"/>
    <s v="MT"/>
    <s v="PF"/>
    <s v="NA"/>
    <s v=""/>
    <s v=""/>
    <s v="596849238511"/>
    <s v="50100773207188"/>
    <s v="HDFC BANK"/>
    <s v="HDFC0001210"/>
    <n v="31"/>
    <n v="0"/>
    <n v="10"/>
    <n v="2"/>
    <n v="2"/>
    <n v="31533"/>
    <n v="31533"/>
    <n v="915"/>
    <n v="366"/>
    <n v="103"/>
    <n v="135"/>
    <n v="81"/>
    <n v="0"/>
    <n v="0"/>
    <n v="0"/>
    <n v="0"/>
    <n v="0"/>
    <n v="0"/>
    <n v="0"/>
    <n v="110"/>
    <n v="324"/>
    <n v="0"/>
    <n v="0"/>
    <n v="1859"/>
    <n v="3893"/>
    <n v="2034"/>
    <n v="0"/>
    <n v="0"/>
    <n v="0"/>
    <n v="0"/>
    <n v="110"/>
    <n v="0"/>
    <n v="0"/>
    <n v="0"/>
    <n v="0"/>
    <n v="110"/>
    <n v="3783"/>
    <m/>
    <m/>
  </r>
  <r>
    <d v="2026-01-01T00:00:00"/>
    <s v="Salary"/>
    <m/>
    <s v="MOONSTONE REALINFRA PRIVATE LIMITED"/>
    <n v="382"/>
    <s v="MAYUR RAJAN SALUNKE"/>
    <s v="Male"/>
    <m/>
    <s v="Dec 11, 2018"/>
    <s v="EIWPS6074N"/>
    <s v="101412010976"/>
    <x v="45"/>
    <s v="ASSISTANT MANAGER"/>
    <x v="2"/>
    <s v="TM"/>
    <s v="PF"/>
    <s v="NA"/>
    <s v=""/>
    <s v=""/>
    <s v="202787997088"/>
    <s v="50100624532338"/>
    <s v="HDFC BANK"/>
    <s v="HDFC0000633"/>
    <n v="31"/>
    <n v="0"/>
    <n v="0"/>
    <n v="31"/>
    <n v="31"/>
    <n v="36950"/>
    <n v="36950"/>
    <n v="16628"/>
    <n v="6651"/>
    <n v="1600"/>
    <n v="200"/>
    <n v="1250"/>
    <n v="0"/>
    <n v="0"/>
    <n v="0"/>
    <n v="0"/>
    <n v="0"/>
    <n v="0"/>
    <n v="0"/>
    <n v="1800"/>
    <n v="8821"/>
    <n v="0"/>
    <n v="0"/>
    <n v="5452"/>
    <n v="42402"/>
    <n v="36950"/>
    <n v="0"/>
    <n v="0"/>
    <n v="0"/>
    <n v="200"/>
    <n v="1800"/>
    <n v="0"/>
    <n v="0"/>
    <n v="0"/>
    <n v="0"/>
    <n v="2000"/>
    <n v="40402"/>
    <m/>
    <m/>
  </r>
  <r>
    <d v="2026-01-01T00:00:00"/>
    <s v="Salary"/>
    <m/>
    <s v="MOONSTONE REALINFRA PRIVATE LIMITED"/>
    <n v="511"/>
    <s v="MAYURESH LANGOTE"/>
    <s v="Male"/>
    <m/>
    <s v="Aug 01, 2019"/>
    <s v="AEWPL1281L"/>
    <s v="100053793326"/>
    <x v="2"/>
    <s v="DEPUTY MANAGER"/>
    <x v="4"/>
    <s v="TM"/>
    <s v="PF"/>
    <s v="NA"/>
    <s v=""/>
    <s v=""/>
    <s v="250203086491"/>
    <s v="50100231649761"/>
    <s v="HDFC BANK"/>
    <s v="HDFC0000052"/>
    <n v="31"/>
    <n v="0"/>
    <n v="0"/>
    <n v="31"/>
    <n v="31"/>
    <n v="43308"/>
    <n v="43308"/>
    <n v="19489"/>
    <n v="7796"/>
    <n v="1600"/>
    <n v="200"/>
    <n v="1250"/>
    <n v="1623"/>
    <n v="3898"/>
    <n v="2923"/>
    <n v="195"/>
    <n v="682"/>
    <n v="390"/>
    <n v="97"/>
    <n v="1800"/>
    <n v="1365"/>
    <n v="0"/>
    <n v="0"/>
    <n v="3299"/>
    <n v="46607"/>
    <n v="43308"/>
    <n v="0"/>
    <n v="0"/>
    <n v="0"/>
    <n v="200"/>
    <n v="1800"/>
    <n v="0"/>
    <n v="0"/>
    <n v="0"/>
    <n v="0"/>
    <n v="2000"/>
    <n v="44607"/>
    <m/>
    <m/>
  </r>
  <r>
    <d v="2026-01-01T00:00:00"/>
    <s v="Salary"/>
    <m/>
    <s v="MOONSTONE REALINFRA PRIVATE LIMITED"/>
    <n v="2062"/>
    <s v="MOHAN SHRIKRISHNA UDGIRI"/>
    <s v="Male"/>
    <m/>
    <s v="Mar 24, 2025"/>
    <s v="AAZPU1282B"/>
    <s v="100242792314"/>
    <x v="20"/>
    <s v="ASSISTANT GENERAL MANAGER"/>
    <x v="0"/>
    <s v="TL"/>
    <s v="PF"/>
    <s v="NA"/>
    <s v=""/>
    <s v=""/>
    <s v="524156423700"/>
    <s v="05421140100824"/>
    <s v="HDFC BANK"/>
    <s v="HDFC0000542"/>
    <n v="31"/>
    <n v="0"/>
    <n v="0.5"/>
    <n v="30.5"/>
    <n v="30.5"/>
    <n v="181533"/>
    <n v="181533"/>
    <n v="80372"/>
    <n v="32149"/>
    <n v="1574"/>
    <n v="197"/>
    <n v="1230"/>
    <n v="6695"/>
    <n v="16074"/>
    <n v="12056"/>
    <n v="804"/>
    <n v="2813"/>
    <n v="1607"/>
    <n v="402"/>
    <n v="1800"/>
    <n v="20832"/>
    <n v="0"/>
    <n v="0"/>
    <n v="2990"/>
    <n v="181595"/>
    <n v="178605"/>
    <n v="0"/>
    <n v="0"/>
    <n v="18541"/>
    <n v="200"/>
    <n v="1800"/>
    <n v="0"/>
    <n v="0"/>
    <n v="0"/>
    <n v="0"/>
    <n v="20541"/>
    <n v="161054"/>
    <m/>
    <m/>
  </r>
  <r>
    <d v="2026-01-01T00:00:00"/>
    <s v="Salary"/>
    <m/>
    <s v="MOONSTONE REALINFRA PRIVATE LIMITED"/>
    <n v="2300"/>
    <s v="MOHIT SACHAN"/>
    <s v="Male"/>
    <m/>
    <s v="Dec 10, 2025"/>
    <s v="CRQPS3492F"/>
    <s v="101770675103"/>
    <x v="20"/>
    <s v="ASSISTANT GENERAN MANAGER - RES. SALES"/>
    <x v="6"/>
    <s v="TL"/>
    <s v="PF"/>
    <s v="NA"/>
    <s v=""/>
    <s v=""/>
    <s v="570819612739"/>
    <s v="50100041124166"/>
    <s v="HDFC BANK"/>
    <s v="HDFC0000052"/>
    <n v="31"/>
    <n v="0"/>
    <n v="1"/>
    <n v="30"/>
    <n v="30"/>
    <n v="142367"/>
    <n v="142367"/>
    <n v="61999"/>
    <n v="24800"/>
    <n v="1548"/>
    <n v="194"/>
    <n v="1210"/>
    <n v="5165"/>
    <n v="12400"/>
    <n v="9300"/>
    <n v="620"/>
    <n v="2170"/>
    <n v="1240"/>
    <n v="310"/>
    <n v="1800"/>
    <n v="15019"/>
    <n v="0"/>
    <n v="0"/>
    <n v="2127"/>
    <n v="139902"/>
    <n v="137775"/>
    <n v="0"/>
    <n v="0"/>
    <n v="0"/>
    <n v="200"/>
    <n v="1800"/>
    <n v="0"/>
    <n v="0"/>
    <n v="0"/>
    <n v="0"/>
    <n v="2000"/>
    <n v="137902"/>
    <m/>
    <m/>
  </r>
  <r>
    <d v="2026-01-01T00:00:00"/>
    <s v="Salary"/>
    <m/>
    <s v="MOONSTONE REALINFRA PRIVATE LIMITED"/>
    <n v="2282"/>
    <s v="MUSKAN GUPTA"/>
    <s v="Female"/>
    <m/>
    <s v="Nov 20, 2025"/>
    <s v="CBLPG6588H"/>
    <s v="101656725733"/>
    <x v="54"/>
    <s v="ASSISTANT MANAGER - SALES"/>
    <x v="6"/>
    <s v="TM"/>
    <s v="PF"/>
    <s v="NA"/>
    <s v=""/>
    <s v=""/>
    <s v="997006836878"/>
    <s v="50100272775380"/>
    <s v="HDFC BANK"/>
    <s v="HDFC0003650"/>
    <n v="31"/>
    <n v="0"/>
    <n v="0"/>
    <n v="31"/>
    <n v="31"/>
    <n v="76500"/>
    <n v="76500"/>
    <n v="34425"/>
    <n v="13770"/>
    <n v="1600"/>
    <n v="200"/>
    <n v="1250"/>
    <n v="2868"/>
    <n v="6885"/>
    <n v="5164"/>
    <n v="344"/>
    <n v="1205"/>
    <n v="689"/>
    <n v="172"/>
    <n v="1800"/>
    <n v="6128"/>
    <n v="0"/>
    <n v="0"/>
    <m/>
    <n v="76500"/>
    <n v="76500"/>
    <n v="0"/>
    <n v="0"/>
    <n v="0"/>
    <n v="200"/>
    <n v="1800"/>
    <n v="0"/>
    <n v="0"/>
    <n v="0"/>
    <n v="0"/>
    <n v="2000"/>
    <n v="74500"/>
    <m/>
    <m/>
  </r>
  <r>
    <d v="2026-01-01T00:00:00"/>
    <s v="Salary"/>
    <m/>
    <s v="MOONSTONE REALINFRA PRIVATE LIMITED"/>
    <n v="1092"/>
    <s v="NARENDRA ROHTAS MAHUR"/>
    <s v="Male"/>
    <m/>
    <s v="May 16, 2022"/>
    <s v="EJTPM6853H"/>
    <s v="101646143832"/>
    <x v="54"/>
    <s v="ASSISTANT MANAGER - RESI. SALES"/>
    <x v="6"/>
    <s v="TM"/>
    <s v="PF"/>
    <s v="NA"/>
    <s v=""/>
    <s v=""/>
    <s v="325860489575"/>
    <s v="50100654540599"/>
    <s v="HDFC BANK"/>
    <s v="HDFC0000007"/>
    <n v="31"/>
    <n v="0"/>
    <n v="0"/>
    <n v="31"/>
    <n v="31"/>
    <n v="71927"/>
    <n v="71927"/>
    <n v="32367"/>
    <n v="12947"/>
    <n v="1600"/>
    <n v="200"/>
    <n v="1250"/>
    <n v="2696"/>
    <n v="6473"/>
    <n v="4855"/>
    <n v="324"/>
    <n v="1133"/>
    <n v="647"/>
    <n v="162"/>
    <n v="1800"/>
    <n v="5473"/>
    <n v="0"/>
    <n v="0"/>
    <n v="1496"/>
    <n v="73423"/>
    <n v="71927"/>
    <n v="0"/>
    <n v="0"/>
    <n v="0"/>
    <n v="200"/>
    <n v="1800"/>
    <n v="0"/>
    <n v="0"/>
    <n v="0"/>
    <n v="0"/>
    <n v="2000"/>
    <n v="71423"/>
    <m/>
    <m/>
  </r>
  <r>
    <d v="2026-01-01T00:00:00"/>
    <s v="Salary"/>
    <m/>
    <s v="MOONSTONE REALINFRA PRIVATE LIMITED"/>
    <n v="1506"/>
    <s v="NILESH SUDAM DODAKE"/>
    <s v="Male"/>
    <m/>
    <s v="Aug 16, 2023"/>
    <s v="ATZPD2744A"/>
    <s v="101985884549"/>
    <x v="22"/>
    <s v="SUPERVISOR"/>
    <x v="0"/>
    <s v="TM"/>
    <s v="PF"/>
    <s v="NA"/>
    <s v=""/>
    <s v=""/>
    <s v="800783241563"/>
    <s v="50100624533443"/>
    <s v="HDFC BANK"/>
    <s v="HDFC0000007"/>
    <n v="31"/>
    <n v="0"/>
    <n v="0"/>
    <n v="31"/>
    <n v="31"/>
    <n v="49575"/>
    <n v="49575"/>
    <n v="22309"/>
    <n v="8924"/>
    <n v="1600"/>
    <n v="200"/>
    <n v="1250"/>
    <n v="1858"/>
    <n v="4462"/>
    <n v="3346"/>
    <n v="223"/>
    <n v="781"/>
    <n v="446"/>
    <n v="112"/>
    <n v="1800"/>
    <n v="2264"/>
    <n v="0"/>
    <n v="0"/>
    <m/>
    <n v="49575"/>
    <n v="49575"/>
    <n v="0"/>
    <n v="0"/>
    <n v="0"/>
    <n v="200"/>
    <n v="1800"/>
    <n v="0"/>
    <n v="0"/>
    <n v="0"/>
    <n v="0"/>
    <n v="2000"/>
    <n v="47575"/>
    <m/>
    <m/>
  </r>
  <r>
    <d v="2026-01-01T00:00:00"/>
    <s v="Salary"/>
    <m/>
    <s v="MOONSTONE REALINFRA PRIVATE LIMITED"/>
    <n v="1700"/>
    <s v="NITEESH SHARMA"/>
    <s v="Male"/>
    <m/>
    <s v="Apr 11, 2024"/>
    <s v="BYHPS8894Q"/>
    <s v="101416879888"/>
    <x v="54"/>
    <s v="ASSISTANT MANAGER - RESI. SALES"/>
    <x v="6"/>
    <s v="TM"/>
    <s v="PF"/>
    <s v="NA"/>
    <s v=""/>
    <s v=""/>
    <s v="461172332390"/>
    <s v="99991911230890"/>
    <s v="HDFC BANK"/>
    <s v="HDFC0001210"/>
    <n v="31"/>
    <n v="0"/>
    <n v="0.5"/>
    <n v="30.5"/>
    <n v="30.5"/>
    <n v="79907"/>
    <n v="79907"/>
    <n v="35378"/>
    <n v="14151"/>
    <n v="1574"/>
    <n v="197"/>
    <n v="1230"/>
    <n v="2947"/>
    <n v="7076"/>
    <n v="5307"/>
    <n v="354"/>
    <n v="1238"/>
    <n v="708"/>
    <n v="177"/>
    <n v="1800"/>
    <n v="6481"/>
    <n v="0"/>
    <n v="0"/>
    <n v="1814"/>
    <n v="80432"/>
    <n v="78618"/>
    <n v="0"/>
    <n v="0"/>
    <n v="0"/>
    <n v="200"/>
    <n v="1800"/>
    <n v="0"/>
    <n v="0"/>
    <n v="0"/>
    <n v="0"/>
    <n v="2000"/>
    <n v="78432"/>
    <m/>
    <m/>
  </r>
  <r>
    <d v="2026-01-01T00:00:00"/>
    <s v="Salary"/>
    <m/>
    <s v="MOONSTONE REALINFRA PRIVATE LIMITED"/>
    <n v="2270"/>
    <s v="OM RAJESH MALPE"/>
    <s v="Male"/>
    <m/>
    <s v="Nov 17, 2025"/>
    <s v="GULPM4704E"/>
    <s v="102267032535"/>
    <x v="6"/>
    <s v="MANAGEMENT TRAINEE"/>
    <x v="6"/>
    <s v="MT"/>
    <s v="PF"/>
    <s v="NA"/>
    <s v=""/>
    <s v=""/>
    <s v="457332892501"/>
    <s v="50100847876498"/>
    <s v="HDFC BANK"/>
    <s v="HDFC0000437"/>
    <n v="31"/>
    <n v="0"/>
    <n v="0"/>
    <n v="31"/>
    <n v="31"/>
    <n v="44033"/>
    <n v="44033"/>
    <n v="19815"/>
    <n v="7926"/>
    <n v="1600"/>
    <n v="200"/>
    <n v="1250"/>
    <n v="1651"/>
    <n v="3963"/>
    <n v="2972"/>
    <n v="198"/>
    <n v="694"/>
    <n v="396"/>
    <n v="99"/>
    <n v="1800"/>
    <n v="1469"/>
    <n v="0"/>
    <n v="0"/>
    <m/>
    <n v="44033"/>
    <n v="44033"/>
    <n v="0"/>
    <n v="0"/>
    <n v="0"/>
    <n v="200"/>
    <n v="1800"/>
    <n v="0"/>
    <n v="0"/>
    <n v="0"/>
    <n v="0"/>
    <n v="2000"/>
    <n v="42033"/>
    <m/>
    <m/>
  </r>
  <r>
    <d v="2026-01-01T00:00:00"/>
    <s v="Salary"/>
    <m/>
    <s v="MOONSTONE REALINFRA PRIVATE LIMITED"/>
    <n v="1033"/>
    <s v="OMKAR MADHAV SAMBHUS"/>
    <s v="Male"/>
    <m/>
    <s v="Mar 21, 2022"/>
    <s v="BKVPS7936K"/>
    <s v="101090148328"/>
    <x v="20"/>
    <s v="ASSISTANT GENERAL MANAGER"/>
    <x v="6"/>
    <s v="TM"/>
    <s v="PF"/>
    <s v="NA"/>
    <s v=""/>
    <s v=""/>
    <s v="580372226603"/>
    <s v="50100056805482"/>
    <s v="HDFC BANK"/>
    <s v="HDFC0000146"/>
    <n v="31"/>
    <n v="0"/>
    <n v="20"/>
    <n v="2"/>
    <n v="2"/>
    <n v="133125"/>
    <n v="133125"/>
    <n v="3865"/>
    <n v="1546"/>
    <n v="103"/>
    <n v="71"/>
    <n v="81"/>
    <n v="322"/>
    <n v="773"/>
    <n v="580"/>
    <n v="39"/>
    <n v="135"/>
    <n v="77"/>
    <n v="19"/>
    <n v="464"/>
    <n v="514"/>
    <n v="0"/>
    <n v="0"/>
    <n v="825"/>
    <n v="9414"/>
    <n v="8589"/>
    <n v="0"/>
    <n v="0"/>
    <n v="0"/>
    <n v="175"/>
    <n v="464"/>
    <n v="0"/>
    <n v="0"/>
    <n v="0"/>
    <n v="12500"/>
    <n v="13139"/>
    <n v="-3725"/>
    <s v="Hold"/>
    <m/>
  </r>
  <r>
    <d v="2026-01-01T00:00:00"/>
    <s v="Salary"/>
    <m/>
    <s v="MOONSTONE REALINFRA PRIVATE LIMITED"/>
    <n v="2289"/>
    <s v="POOJA MARUTI PASALKAR"/>
    <s v="Female"/>
    <m/>
    <s v="Nov 27, 2025"/>
    <s v="CHLPP6869G"/>
    <s v="101057246841"/>
    <x v="30"/>
    <s v="SENIOR  EXECUTIVE - ACCOUNTS"/>
    <x v="5"/>
    <s v="TM"/>
    <s v="PF"/>
    <s v="NA"/>
    <s v=""/>
    <s v=""/>
    <s v="327110703241"/>
    <s v="50100258660340"/>
    <s v="HDFC BANK"/>
    <s v="HDFC0003649"/>
    <n v="31"/>
    <n v="0"/>
    <n v="0"/>
    <n v="31"/>
    <n v="31"/>
    <n v="52200"/>
    <n v="52200"/>
    <n v="23490"/>
    <n v="9396"/>
    <n v="1600"/>
    <n v="200"/>
    <n v="1250"/>
    <n v="1957"/>
    <n v="4698"/>
    <n v="3524"/>
    <n v="235"/>
    <n v="822"/>
    <n v="470"/>
    <n v="117"/>
    <n v="1800"/>
    <n v="2641"/>
    <n v="0"/>
    <n v="1683"/>
    <m/>
    <n v="53883"/>
    <n v="53883"/>
    <n v="0"/>
    <n v="0"/>
    <n v="0"/>
    <n v="200"/>
    <n v="1800"/>
    <n v="0"/>
    <n v="0"/>
    <n v="0"/>
    <n v="0"/>
    <n v="2000"/>
    <n v="51883"/>
    <m/>
    <m/>
  </r>
  <r>
    <d v="2026-01-01T00:00:00"/>
    <s v="Salary"/>
    <m/>
    <s v="MOONSTONE REALINFRA PRIVATE LIMITED"/>
    <n v="737"/>
    <s v="PRADIP POFALE"/>
    <s v="Male"/>
    <m/>
    <s v="Jan 05, 2021"/>
    <s v="FJPPP4191E"/>
    <s v="101287262182"/>
    <x v="21"/>
    <s v="EXECUTIVE - ADMIN"/>
    <x v="2"/>
    <s v="TM"/>
    <s v="PF"/>
    <s v="NA"/>
    <s v=""/>
    <s v=""/>
    <s v="348597161366"/>
    <s v="50100624534038"/>
    <s v="HDFC BANK"/>
    <s v="HDFC0000007"/>
    <n v="31"/>
    <n v="0"/>
    <n v="1.5"/>
    <n v="29.5"/>
    <n v="29.5"/>
    <n v="22933"/>
    <n v="22933"/>
    <n v="9820"/>
    <n v="3928"/>
    <n v="1523"/>
    <n v="190"/>
    <n v="1190"/>
    <n v="0"/>
    <n v="0"/>
    <n v="0"/>
    <n v="0"/>
    <n v="0"/>
    <n v="0"/>
    <n v="0"/>
    <n v="1178"/>
    <n v="3994"/>
    <n v="0"/>
    <n v="0"/>
    <n v="3522"/>
    <n v="25345"/>
    <n v="21823"/>
    <n v="0"/>
    <n v="0"/>
    <n v="0"/>
    <n v="200"/>
    <n v="1178"/>
    <n v="0"/>
    <n v="0"/>
    <n v="0"/>
    <n v="0"/>
    <n v="1378"/>
    <n v="23967"/>
    <m/>
    <m/>
  </r>
  <r>
    <d v="2026-01-01T00:00:00"/>
    <s v="Salary"/>
    <m/>
    <s v="MOONSTONE REALINFRA PRIVATE LIMITED"/>
    <n v="649"/>
    <s v="PRAJAKTA KULKARNI"/>
    <s v="Female"/>
    <m/>
    <s v="Feb 01, 2020"/>
    <s v="BJHPK2873G"/>
    <s v="101902983475"/>
    <x v="65"/>
    <s v="GENERAL MANAGER"/>
    <x v="2"/>
    <s v="TL"/>
    <s v="PF"/>
    <s v="NA"/>
    <s v=""/>
    <s v=""/>
    <s v="287366904609"/>
    <s v="50100317874269"/>
    <s v="HDFC BANK"/>
    <s v="HDFC0000007"/>
    <n v="31"/>
    <n v="0"/>
    <n v="3"/>
    <n v="28"/>
    <n v="28"/>
    <n v="183333"/>
    <n v="183333"/>
    <n v="74516"/>
    <n v="29806"/>
    <n v="1445"/>
    <n v="181"/>
    <n v="1129"/>
    <n v="6207"/>
    <n v="14903"/>
    <n v="11177"/>
    <n v="745"/>
    <n v="2608"/>
    <n v="1490"/>
    <n v="373"/>
    <n v="1800"/>
    <n v="19211"/>
    <n v="0"/>
    <n v="0"/>
    <m/>
    <n v="165591"/>
    <n v="165591"/>
    <n v="0"/>
    <n v="0"/>
    <n v="42247"/>
    <n v="200"/>
    <n v="1800"/>
    <n v="0"/>
    <n v="0"/>
    <n v="0"/>
    <n v="0"/>
    <n v="44247"/>
    <n v="121344"/>
    <m/>
    <m/>
  </r>
  <r>
    <d v="2026-01-01T00:00:00"/>
    <s v="Salary"/>
    <m/>
    <s v="MOONSTONE REALINFRA PRIVATE LIMITED"/>
    <n v="1746"/>
    <s v="PRAMOD HANMANT PAWAR"/>
    <s v="Male"/>
    <m/>
    <s v="May 20, 2024"/>
    <s v="DFHPP2315Q"/>
    <s v="102021330261"/>
    <x v="25"/>
    <s v="PAINTER"/>
    <x v="2"/>
    <s v="SS"/>
    <s v="PF"/>
    <s v="NA"/>
    <s v=""/>
    <s v=""/>
    <s v="464124497454"/>
    <s v="50100317492692"/>
    <s v="HDFC BANK"/>
    <s v="HDFC0000007"/>
    <n v="31"/>
    <n v="0"/>
    <n v="2"/>
    <n v="29"/>
    <n v="29"/>
    <n v="28500"/>
    <n v="28500"/>
    <n v="11997"/>
    <n v="4799"/>
    <n v="1497"/>
    <n v="187"/>
    <n v="1169"/>
    <n v="0"/>
    <n v="0"/>
    <n v="0"/>
    <n v="0"/>
    <n v="0"/>
    <n v="0"/>
    <n v="0"/>
    <n v="1440"/>
    <n v="5572"/>
    <n v="0"/>
    <n v="0"/>
    <n v="1177"/>
    <n v="27838"/>
    <n v="26661"/>
    <n v="0"/>
    <n v="0"/>
    <n v="0"/>
    <n v="200"/>
    <n v="1440"/>
    <n v="0"/>
    <n v="0"/>
    <n v="0"/>
    <n v="0"/>
    <n v="1640"/>
    <n v="26198"/>
    <m/>
    <m/>
  </r>
  <r>
    <d v="2026-01-01T00:00:00"/>
    <s v="Salary"/>
    <m/>
    <s v="MOONSTONE REALINFRA PRIVATE LIMITED"/>
    <n v="2252"/>
    <s v="PRANAV DILIP JADHAV"/>
    <s v="Male"/>
    <m/>
    <s v="Oct 27, 2025"/>
    <s v="APIPJ3777J"/>
    <s v="101813329564"/>
    <x v="62"/>
    <s v="SENIOR  EXECUTIVE - ACCOUNTS"/>
    <x v="5"/>
    <s v="TM"/>
    <s v="PF"/>
    <s v="NA"/>
    <s v=""/>
    <s v=""/>
    <s v="384265861977"/>
    <s v="50100382069641"/>
    <s v="HDFC BANK"/>
    <s v="HDFC0000104"/>
    <n v="31"/>
    <n v="0"/>
    <n v="6.5"/>
    <n v="24.5"/>
    <n v="24.5"/>
    <n v="52200"/>
    <n v="52200"/>
    <n v="18565"/>
    <n v="7426"/>
    <n v="1265"/>
    <n v="158"/>
    <n v="988"/>
    <n v="1546"/>
    <n v="3713"/>
    <n v="2785"/>
    <n v="186"/>
    <n v="650"/>
    <n v="371"/>
    <n v="93"/>
    <n v="1800"/>
    <n v="1709"/>
    <n v="0"/>
    <n v="0"/>
    <m/>
    <n v="41255"/>
    <n v="41255"/>
    <n v="0"/>
    <n v="0"/>
    <n v="0"/>
    <n v="200"/>
    <n v="1800"/>
    <n v="0"/>
    <n v="0"/>
    <n v="0"/>
    <n v="0"/>
    <n v="2000"/>
    <n v="39255"/>
    <m/>
    <m/>
  </r>
  <r>
    <d v="2026-01-01T00:00:00"/>
    <s v="Salary"/>
    <m/>
    <s v="MOONSTONE REALINFRA PRIVATE LIMITED"/>
    <n v="1771"/>
    <s v="PRASENJEET TATYARAM RANPISE"/>
    <s v="Male"/>
    <m/>
    <s v="Jun 03, 2024"/>
    <s v="BEAPR4151J"/>
    <s v="101090722152"/>
    <x v="52"/>
    <s v="DEPUTY MANAGER - RESI. SALES"/>
    <x v="6"/>
    <s v="TM"/>
    <s v="PF"/>
    <s v="NA"/>
    <s v=""/>
    <s v=""/>
    <s v="327697944280"/>
    <s v="50100198966720"/>
    <s v="HDFC BANK"/>
    <s v="HDFC0001578"/>
    <n v="31"/>
    <n v="0"/>
    <n v="0.5"/>
    <n v="30.5"/>
    <n v="30.5"/>
    <n v="92504"/>
    <n v="92504"/>
    <n v="40955"/>
    <n v="16382"/>
    <n v="1574"/>
    <n v="197"/>
    <n v="1230"/>
    <n v="3412"/>
    <n v="8191"/>
    <n v="6143"/>
    <n v="410"/>
    <n v="1433"/>
    <n v="819"/>
    <n v="205"/>
    <n v="1800"/>
    <n v="8261"/>
    <n v="0"/>
    <n v="0"/>
    <n v="907"/>
    <n v="91919"/>
    <n v="91012"/>
    <n v="0"/>
    <n v="0"/>
    <n v="0"/>
    <n v="200"/>
    <n v="1800"/>
    <n v="0"/>
    <n v="0"/>
    <n v="0"/>
    <n v="0"/>
    <n v="2000"/>
    <n v="89919"/>
    <m/>
    <m/>
  </r>
  <r>
    <d v="2026-01-01T00:00:00"/>
    <s v="Salary"/>
    <m/>
    <s v="MOONSTONE REALINFRA PRIVATE LIMITED"/>
    <n v="1445"/>
    <s v="PRASHANT SUDAM GADRE"/>
    <s v="Male"/>
    <m/>
    <s v="Jun 01, 2023"/>
    <s v="AUVPG5057A"/>
    <s v="101403170926"/>
    <x v="4"/>
    <s v="Site Supervisor"/>
    <x v="0"/>
    <s v="TM"/>
    <s v="PF"/>
    <s v="NA"/>
    <s v=""/>
    <s v=""/>
    <s v="879059513265"/>
    <s v="50100268119865"/>
    <s v="HDFC BANK"/>
    <s v="HDFC0002493"/>
    <n v="31"/>
    <n v="0"/>
    <n v="0"/>
    <n v="31"/>
    <n v="31"/>
    <n v="50225"/>
    <n v="50225"/>
    <n v="22601"/>
    <n v="9040"/>
    <n v="1600"/>
    <n v="200"/>
    <n v="1250"/>
    <n v="1883"/>
    <n v="4520"/>
    <n v="3390"/>
    <n v="226"/>
    <n v="791"/>
    <n v="452"/>
    <n v="113"/>
    <n v="1800"/>
    <n v="2359"/>
    <n v="0"/>
    <n v="200"/>
    <m/>
    <n v="50425"/>
    <n v="50425"/>
    <n v="0"/>
    <n v="0"/>
    <n v="0"/>
    <n v="200"/>
    <n v="1800"/>
    <n v="0"/>
    <n v="0"/>
    <n v="0"/>
    <n v="0"/>
    <n v="2000"/>
    <n v="48425"/>
    <m/>
    <m/>
  </r>
  <r>
    <d v="2026-01-01T00:00:00"/>
    <s v="Salary"/>
    <m/>
    <s v="MOONSTONE REALINFRA PRIVATE LIMITED"/>
    <n v="1932"/>
    <s v="PRATHMESH MAKARAND PATWARDHAN"/>
    <s v="Male"/>
    <m/>
    <s v="Nov 21, 2024"/>
    <s v="DIPPP8235N"/>
    <s v="101650676266"/>
    <x v="26"/>
    <s v="ENGINEERING - COORDINATOR"/>
    <x v="0"/>
    <s v="TM"/>
    <s v="PF"/>
    <s v="NA"/>
    <s v=""/>
    <s v=""/>
    <s v="989836806639"/>
    <s v="50100773207162"/>
    <s v="HDFC BANK"/>
    <s v="HDFC0001210"/>
    <n v="31"/>
    <n v="0"/>
    <n v="1"/>
    <n v="30"/>
    <n v="30"/>
    <n v="30700"/>
    <n v="30700"/>
    <n v="13370"/>
    <n v="5348"/>
    <n v="1548"/>
    <n v="194"/>
    <n v="1210"/>
    <n v="0"/>
    <n v="0"/>
    <n v="0"/>
    <n v="0"/>
    <n v="0"/>
    <n v="0"/>
    <n v="0"/>
    <n v="1604"/>
    <n v="6436"/>
    <n v="0"/>
    <n v="0"/>
    <m/>
    <n v="29710"/>
    <n v="29710"/>
    <n v="0"/>
    <n v="0"/>
    <n v="0"/>
    <n v="200"/>
    <n v="1604"/>
    <n v="0"/>
    <n v="0"/>
    <n v="0"/>
    <n v="0"/>
    <n v="1804"/>
    <n v="27906"/>
    <m/>
    <m/>
  </r>
  <r>
    <d v="2026-01-01T00:00:00"/>
    <s v="Salary"/>
    <m/>
    <s v="MOONSTONE REALINFRA PRIVATE LIMITED"/>
    <n v="2014"/>
    <s v="RAHUL SANJAY SONAWANE"/>
    <s v="Male"/>
    <m/>
    <s v="Feb 17, 2025"/>
    <s v="COZPS7657L"/>
    <s v="102171897905"/>
    <x v="27"/>
    <s v="EXECUTIVE - POSSESSION SUPPORT"/>
    <x v="2"/>
    <s v="TM"/>
    <s v="PF"/>
    <s v="NA"/>
    <s v=""/>
    <s v=""/>
    <s v="969590676456"/>
    <s v="50100731567322"/>
    <s v="HDFC BANK"/>
    <s v="HDFC0000007"/>
    <n v="31"/>
    <n v="0"/>
    <n v="0"/>
    <n v="31"/>
    <n v="31"/>
    <n v="32033"/>
    <n v="32033"/>
    <n v="14415"/>
    <n v="5766"/>
    <n v="1600"/>
    <n v="200"/>
    <n v="1250"/>
    <n v="0"/>
    <n v="0"/>
    <n v="0"/>
    <n v="0"/>
    <n v="0"/>
    <n v="0"/>
    <n v="0"/>
    <n v="1730"/>
    <n v="7072"/>
    <n v="0"/>
    <n v="0"/>
    <n v="3861"/>
    <n v="35894"/>
    <n v="32033"/>
    <n v="0"/>
    <n v="0"/>
    <n v="0"/>
    <n v="200"/>
    <n v="1730"/>
    <n v="0"/>
    <n v="0"/>
    <n v="0"/>
    <n v="0"/>
    <n v="1930"/>
    <n v="33964"/>
    <m/>
    <m/>
  </r>
  <r>
    <d v="2026-01-01T00:00:00"/>
    <s v="Salary"/>
    <m/>
    <s v="MOONSTONE REALINFRA PRIVATE LIMITED"/>
    <n v="2190"/>
    <s v="RAHUL SAYAJI SHETE"/>
    <s v="Male"/>
    <m/>
    <s v="Aug 18, 2025"/>
    <s v="LVGPS7330P"/>
    <s v="102106669268"/>
    <x v="44"/>
    <s v="POSSESSION EXECUTIVE"/>
    <x v="4"/>
    <s v="TM"/>
    <s v="PF"/>
    <s v="NA"/>
    <s v=""/>
    <s v=""/>
    <s v="330583203857"/>
    <s v="50100709895411"/>
    <s v="HDFC BANK"/>
    <s v="HDFC0009332"/>
    <n v="31"/>
    <n v="0"/>
    <n v="0"/>
    <n v="31"/>
    <n v="31"/>
    <n v="24438"/>
    <n v="24438"/>
    <n v="10997"/>
    <n v="4399"/>
    <n v="1600"/>
    <n v="200"/>
    <n v="1250"/>
    <n v="0"/>
    <n v="0"/>
    <n v="0"/>
    <n v="0"/>
    <n v="0"/>
    <n v="0"/>
    <n v="0"/>
    <n v="1320"/>
    <n v="4672"/>
    <n v="0"/>
    <n v="0"/>
    <n v="12044"/>
    <n v="36482"/>
    <n v="24438"/>
    <n v="0"/>
    <n v="0"/>
    <n v="0"/>
    <n v="200"/>
    <n v="1320"/>
    <n v="0"/>
    <n v="0"/>
    <n v="0"/>
    <n v="0"/>
    <n v="1520"/>
    <n v="34962"/>
    <m/>
    <m/>
  </r>
  <r>
    <d v="2026-01-01T00:00:00"/>
    <s v="Salary"/>
    <m/>
    <s v="MOONSTONE REALINFRA PRIVATE LIMITED"/>
    <n v="1480"/>
    <s v="RAKESH DNYANOBA SONAWANE"/>
    <s v="Male"/>
    <m/>
    <s v="Jul 19, 2023"/>
    <s v="DJBPS0548N"/>
    <s v="100318745002"/>
    <x v="1"/>
    <s v="ASSISTANT PROJECT MANAGER"/>
    <x v="0"/>
    <s v="TM"/>
    <s v="PF"/>
    <s v="NA"/>
    <s v=""/>
    <s v=""/>
    <s v="815335472494"/>
    <s v="50100098216176"/>
    <s v="HDFC BANK"/>
    <s v="HDFC0000359"/>
    <n v="31"/>
    <n v="0"/>
    <n v="0.5"/>
    <n v="30.5"/>
    <n v="30.5"/>
    <n v="72817"/>
    <n v="72817"/>
    <n v="32239"/>
    <n v="12896"/>
    <n v="1574"/>
    <n v="197"/>
    <n v="1230"/>
    <n v="2686"/>
    <n v="6448"/>
    <n v="4836"/>
    <n v="322"/>
    <n v="1128"/>
    <n v="645"/>
    <n v="161"/>
    <n v="1800"/>
    <n v="5481"/>
    <n v="0"/>
    <n v="200"/>
    <m/>
    <n v="71843"/>
    <n v="71843"/>
    <n v="0"/>
    <n v="0"/>
    <n v="0"/>
    <n v="200"/>
    <n v="1800"/>
    <n v="0"/>
    <n v="0"/>
    <n v="0"/>
    <n v="0"/>
    <n v="2000"/>
    <n v="69843"/>
    <m/>
    <m/>
  </r>
  <r>
    <d v="2026-01-01T00:00:00"/>
    <s v="Salary"/>
    <m/>
    <s v="MOONSTONE REALINFRA PRIVATE LIMITED"/>
    <n v="405"/>
    <s v="RATIKANT RAMA CHANDRA ROUT"/>
    <s v="Male"/>
    <m/>
    <s v="Dec 11, 2018"/>
    <s v="BKMPR1999E"/>
    <s v="101411918080"/>
    <x v="7"/>
    <s v="EXECUTIVE - POSSESSION"/>
    <x v="2"/>
    <s v="TM"/>
    <s v="PF"/>
    <s v="NA"/>
    <s v=""/>
    <s v=""/>
    <s v="516990099788"/>
    <s v="50100317879206"/>
    <s v="HDFC BANK"/>
    <s v="HDFC0000007"/>
    <n v="31"/>
    <n v="0"/>
    <n v="1"/>
    <n v="30"/>
    <n v="30"/>
    <n v="33167"/>
    <n v="33167"/>
    <n v="14444"/>
    <n v="5778"/>
    <n v="1548"/>
    <n v="194"/>
    <n v="1210"/>
    <n v="0"/>
    <n v="0"/>
    <n v="0"/>
    <n v="0"/>
    <n v="0"/>
    <n v="0"/>
    <n v="0"/>
    <n v="1733"/>
    <n v="7190"/>
    <n v="0"/>
    <n v="0"/>
    <n v="1144"/>
    <n v="33241"/>
    <n v="32097"/>
    <n v="0"/>
    <n v="0"/>
    <n v="0"/>
    <n v="200"/>
    <n v="1733"/>
    <n v="0"/>
    <n v="0"/>
    <n v="0"/>
    <n v="0"/>
    <n v="1933"/>
    <n v="31308"/>
    <m/>
    <m/>
  </r>
  <r>
    <d v="2026-01-01T00:00:00"/>
    <s v="Salary"/>
    <m/>
    <s v="MOONSTONE REALINFRA PRIVATE LIMITED"/>
    <n v="1916"/>
    <s v="RAVI BHARTI"/>
    <s v="Male"/>
    <m/>
    <s v="Nov 11, 2024"/>
    <s v="BKLPB8249J"/>
    <s v="101569634502"/>
    <x v="2"/>
    <s v="DEPUTY MANAGER"/>
    <x v="1"/>
    <s v="TM"/>
    <s v="PF"/>
    <s v="NA"/>
    <s v=""/>
    <s v=""/>
    <s v="844495303708"/>
    <s v="50100585317756"/>
    <s v="HDFC BANK"/>
    <s v="HDFC0000627"/>
    <n v="31"/>
    <n v="0"/>
    <n v="0"/>
    <n v="31"/>
    <n v="31"/>
    <n v="94033"/>
    <n v="94033"/>
    <n v="42315"/>
    <n v="16926"/>
    <n v="1600"/>
    <n v="200"/>
    <n v="1250"/>
    <n v="3525"/>
    <n v="8463"/>
    <n v="6347"/>
    <n v="423"/>
    <n v="1481"/>
    <n v="846"/>
    <n v="212"/>
    <n v="1800"/>
    <n v="8645"/>
    <n v="0"/>
    <n v="0"/>
    <n v="96"/>
    <n v="94129"/>
    <n v="94033"/>
    <n v="0"/>
    <n v="0"/>
    <n v="0"/>
    <n v="200"/>
    <n v="1800"/>
    <n v="0"/>
    <n v="0"/>
    <n v="0"/>
    <n v="0"/>
    <n v="2000"/>
    <n v="92129"/>
    <m/>
    <m/>
  </r>
  <r>
    <d v="2026-01-01T00:00:00"/>
    <s v="Salary"/>
    <m/>
    <s v="MOONSTONE REALINFRA PRIVATE LIMITED"/>
    <n v="1093"/>
    <s v="RISHABH CHANDEL"/>
    <s v="Male"/>
    <m/>
    <s v="May 16, 2022"/>
    <s v="BAOPC6525R"/>
    <s v="101633454393"/>
    <x v="53"/>
    <s v="SENIOR MANAGER"/>
    <x v="6"/>
    <s v="TL"/>
    <s v="PF"/>
    <s v="NA"/>
    <s v=""/>
    <s v=""/>
    <s v="821066376289"/>
    <s v="50100312589050"/>
    <s v="HDFC BANK"/>
    <s v="HDFC0009453"/>
    <n v="31"/>
    <n v="0"/>
    <n v="0"/>
    <n v="31"/>
    <n v="31"/>
    <n v="96667"/>
    <n v="96667"/>
    <n v="43500"/>
    <n v="17400"/>
    <n v="1600"/>
    <n v="200"/>
    <n v="1250"/>
    <n v="3624"/>
    <n v="8700"/>
    <n v="6525"/>
    <n v="435"/>
    <n v="1523"/>
    <n v="870"/>
    <n v="218"/>
    <n v="1800"/>
    <n v="9022"/>
    <n v="0"/>
    <n v="0"/>
    <n v="8477"/>
    <n v="105144"/>
    <n v="96667"/>
    <n v="0"/>
    <n v="0"/>
    <n v="16281"/>
    <n v="200"/>
    <n v="1800"/>
    <n v="0"/>
    <n v="0"/>
    <n v="0"/>
    <n v="0"/>
    <n v="18281"/>
    <n v="86863"/>
    <m/>
    <m/>
  </r>
  <r>
    <d v="2026-01-01T00:00:00"/>
    <s v="Salary"/>
    <m/>
    <s v="MOONSTONE REALINFRA PRIVATE LIMITED"/>
    <n v="2287"/>
    <s v="RUSHIKESH RAJESH RAUT"/>
    <s v="Male"/>
    <m/>
    <s v="Nov 25, 2025"/>
    <s v="FAQPR4627P"/>
    <s v="102001267668"/>
    <x v="45"/>
    <s v="ASSISTANT MANAGER"/>
    <x v="6"/>
    <s v="TM"/>
    <s v="PF"/>
    <s v="NA"/>
    <s v=""/>
    <s v=""/>
    <s v="837091508388"/>
    <s v="50100730710140"/>
    <s v="HDFC BANK"/>
    <s v="HDFC0000103"/>
    <n v="31"/>
    <n v="0"/>
    <n v="0.5"/>
    <n v="30.5"/>
    <n v="30.5"/>
    <n v="66200"/>
    <n v="66200"/>
    <n v="29309"/>
    <n v="11724"/>
    <n v="1574"/>
    <n v="197"/>
    <n v="1230"/>
    <n v="2441"/>
    <n v="5862"/>
    <n v="4396"/>
    <n v="293"/>
    <n v="1026"/>
    <n v="586"/>
    <n v="147"/>
    <n v="1800"/>
    <n v="4547"/>
    <n v="0"/>
    <n v="0"/>
    <n v="3586"/>
    <n v="68718"/>
    <n v="65132"/>
    <n v="0"/>
    <n v="0"/>
    <n v="0"/>
    <n v="200"/>
    <n v="1800"/>
    <n v="0"/>
    <n v="0"/>
    <n v="0"/>
    <n v="0"/>
    <n v="2000"/>
    <n v="66718"/>
    <m/>
    <m/>
  </r>
  <r>
    <d v="2026-01-01T00:00:00"/>
    <s v="Salary"/>
    <m/>
    <s v="MOONSTONE REALINFRA PRIVATE LIMITED"/>
    <n v="2261"/>
    <s v="SACHIN ASHOK PAWAR"/>
    <s v="Male"/>
    <m/>
    <s v="Nov 07, 2025"/>
    <s v="DTMPP4631Q"/>
    <s v="100996638416"/>
    <x v="35"/>
    <s v="OFFICE ASSISTANT"/>
    <x v="2"/>
    <s v="SS"/>
    <s v="PF"/>
    <s v="NA"/>
    <s v=""/>
    <s v=""/>
    <s v="920319128160"/>
    <s v="50100400164872"/>
    <s v="HDFC BANK"/>
    <s v="HDFC0000039"/>
    <n v="31"/>
    <n v="0"/>
    <n v="0"/>
    <n v="31"/>
    <n v="31"/>
    <n v="27434"/>
    <n v="27434"/>
    <n v="12345"/>
    <n v="4938"/>
    <n v="1600"/>
    <n v="200"/>
    <n v="1250"/>
    <n v="0"/>
    <n v="0"/>
    <n v="0"/>
    <n v="0"/>
    <n v="0"/>
    <n v="0"/>
    <n v="0"/>
    <n v="1481"/>
    <n v="5620"/>
    <n v="0"/>
    <n v="0"/>
    <n v="462"/>
    <n v="27896"/>
    <n v="27434"/>
    <n v="0"/>
    <n v="0"/>
    <n v="0"/>
    <n v="200"/>
    <n v="1481"/>
    <n v="0"/>
    <n v="0"/>
    <n v="0"/>
    <n v="0"/>
    <n v="1681"/>
    <n v="26215"/>
    <m/>
    <m/>
  </r>
  <r>
    <d v="2026-01-01T00:00:00"/>
    <s v="Salary"/>
    <m/>
    <s v="MOONSTONE REALINFRA PRIVATE LIMITED"/>
    <n v="2279"/>
    <s v="SAGAR MAITY"/>
    <s v="Male"/>
    <m/>
    <s v="Nov 17, 2025"/>
    <s v="GSSPM2737N"/>
    <s v="102267033942"/>
    <x v="6"/>
    <s v="MANAGEMENT TRAINEE"/>
    <x v="6"/>
    <s v="MT"/>
    <s v="PF"/>
    <s v="NA"/>
    <s v=""/>
    <s v=""/>
    <s v="428582736571"/>
    <s v="50100847876561"/>
    <s v="HDFC BANK"/>
    <s v="HDFC0000437"/>
    <n v="31"/>
    <n v="0"/>
    <n v="0"/>
    <n v="31"/>
    <n v="31"/>
    <n v="44033"/>
    <n v="44033"/>
    <n v="19815"/>
    <n v="7926"/>
    <n v="1600"/>
    <n v="200"/>
    <n v="1250"/>
    <n v="1651"/>
    <n v="3963"/>
    <n v="2972"/>
    <n v="198"/>
    <n v="694"/>
    <n v="396"/>
    <n v="99"/>
    <n v="1800"/>
    <n v="1469"/>
    <n v="0"/>
    <n v="0"/>
    <m/>
    <n v="44033"/>
    <n v="44033"/>
    <n v="0"/>
    <n v="0"/>
    <n v="0"/>
    <n v="200"/>
    <n v="1800"/>
    <n v="0"/>
    <n v="0"/>
    <n v="0"/>
    <n v="0"/>
    <n v="2000"/>
    <n v="42033"/>
    <m/>
    <m/>
  </r>
  <r>
    <d v="2026-01-01T00:00:00"/>
    <s v="Salary"/>
    <m/>
    <s v="MOONSTONE REALINFRA PRIVATE LIMITED"/>
    <n v="2274"/>
    <s v="SAKSHI DIPAK PATIL"/>
    <s v="Female"/>
    <m/>
    <s v="Nov 17, 2025"/>
    <s v="HUDPP2758G"/>
    <s v="102267032459"/>
    <x v="6"/>
    <s v="MANAGEMENT TRAINEE"/>
    <x v="6"/>
    <s v="MT"/>
    <s v="PF"/>
    <s v="NA"/>
    <s v=""/>
    <s v=""/>
    <s v="571929796742"/>
    <s v="50100847878784"/>
    <s v="HDFC BANK"/>
    <s v="HDFC0000437"/>
    <n v="31"/>
    <n v="0"/>
    <n v="4"/>
    <n v="27"/>
    <n v="27"/>
    <n v="44033"/>
    <n v="44033"/>
    <n v="17258"/>
    <n v="6903"/>
    <n v="1394"/>
    <n v="174"/>
    <n v="1089"/>
    <n v="1438"/>
    <n v="3452"/>
    <n v="2589"/>
    <n v="173"/>
    <n v="604"/>
    <n v="345"/>
    <n v="86"/>
    <n v="1800"/>
    <n v="1046"/>
    <n v="0"/>
    <n v="0"/>
    <m/>
    <n v="38351"/>
    <n v="38351"/>
    <n v="0"/>
    <n v="0"/>
    <n v="0"/>
    <n v="200"/>
    <n v="1800"/>
    <n v="0"/>
    <n v="0"/>
    <n v="0"/>
    <n v="0"/>
    <n v="2000"/>
    <n v="36351"/>
    <m/>
    <m/>
  </r>
  <r>
    <d v="2026-01-01T00:00:00"/>
    <s v="Salary"/>
    <m/>
    <s v="MOONSTONE REALINFRA PRIVATE LIMITED"/>
    <n v="2277"/>
    <s v="SAMARIDHYA BASAK"/>
    <s v="Male"/>
    <m/>
    <s v="Nov 17, 2025"/>
    <s v="EYPPB5256Q"/>
    <s v="102267034998"/>
    <x v="6"/>
    <s v="MANAGEMENT TRAINEE"/>
    <x v="6"/>
    <s v="MT"/>
    <s v="PF"/>
    <s v="NA"/>
    <s v=""/>
    <s v=""/>
    <s v="601551323382"/>
    <s v="50100847878758"/>
    <s v="HDFC BANK"/>
    <s v="HDFC0000437"/>
    <n v="31"/>
    <n v="0"/>
    <n v="0"/>
    <n v="31"/>
    <n v="31"/>
    <n v="44033"/>
    <n v="44033"/>
    <n v="19815"/>
    <n v="7926"/>
    <n v="1600"/>
    <n v="200"/>
    <n v="1250"/>
    <n v="1651"/>
    <n v="3963"/>
    <n v="2972"/>
    <n v="198"/>
    <n v="694"/>
    <n v="396"/>
    <n v="99"/>
    <n v="1800"/>
    <n v="1469"/>
    <n v="0"/>
    <n v="0"/>
    <m/>
    <n v="44033"/>
    <n v="44033"/>
    <n v="0"/>
    <n v="0"/>
    <n v="0"/>
    <n v="200"/>
    <n v="1800"/>
    <n v="0"/>
    <n v="0"/>
    <n v="0"/>
    <n v="0"/>
    <n v="2000"/>
    <n v="42033"/>
    <m/>
    <m/>
  </r>
  <r>
    <d v="2026-01-01T00:00:00"/>
    <s v="Salary"/>
    <m/>
    <s v="MOONSTONE REALINFRA PRIVATE LIMITED"/>
    <n v="2156"/>
    <s v="SANDEEP MARUTI SAWANT"/>
    <s v="Male"/>
    <m/>
    <s v="Jul 01, 2025"/>
    <s v="CJDPS9049F"/>
    <s v="101160800602"/>
    <x v="45"/>
    <s v="ASSISTANT MANAGER"/>
    <x v="0"/>
    <s v="TL"/>
    <s v="PF"/>
    <s v="NA"/>
    <s v=""/>
    <s v=""/>
    <s v="396088354849"/>
    <s v="50100815728515"/>
    <s v="HDFC BANK"/>
    <s v="HDFC0008300"/>
    <n v="31"/>
    <n v="0"/>
    <n v="0"/>
    <n v="31"/>
    <n v="31"/>
    <n v="67200"/>
    <n v="67200"/>
    <n v="30240"/>
    <n v="12096"/>
    <n v="1600"/>
    <n v="200"/>
    <n v="1250"/>
    <n v="2519"/>
    <n v="6048"/>
    <n v="4536"/>
    <n v="302"/>
    <n v="1058"/>
    <n v="605"/>
    <n v="151"/>
    <n v="1800"/>
    <n v="4795"/>
    <n v="0"/>
    <n v="0"/>
    <m/>
    <n v="67200"/>
    <n v="67200"/>
    <n v="0"/>
    <n v="0"/>
    <n v="0"/>
    <n v="200"/>
    <n v="1800"/>
    <n v="0"/>
    <n v="0"/>
    <n v="0"/>
    <n v="0"/>
    <n v="2000"/>
    <n v="65200"/>
    <m/>
    <m/>
  </r>
  <r>
    <d v="2026-01-01T00:00:00"/>
    <s v="Salary"/>
    <m/>
    <s v="MOONSTONE REALINFRA PRIVATE LIMITED"/>
    <n v="413"/>
    <s v="SANDIP GHANSHAM FAND"/>
    <s v="Male"/>
    <m/>
    <s v="Feb 05, 2019"/>
    <s v="ACBPF9894L"/>
    <s v="101432955213"/>
    <x v="9"/>
    <s v="SENIOR ENGINEER"/>
    <x v="0"/>
    <s v="TM"/>
    <s v="PF"/>
    <s v="NA"/>
    <s v=""/>
    <s v=""/>
    <s v="918983892865"/>
    <s v="50100317492765"/>
    <s v="HDFC BANK"/>
    <s v="HDFC0000007"/>
    <n v="31"/>
    <n v="0"/>
    <n v="0"/>
    <n v="31"/>
    <n v="31"/>
    <n v="52975"/>
    <n v="52975"/>
    <n v="23839"/>
    <n v="9536"/>
    <n v="1600"/>
    <n v="200"/>
    <n v="1250"/>
    <n v="1986"/>
    <n v="4768"/>
    <n v="3576"/>
    <n v="238"/>
    <n v="834"/>
    <n v="477"/>
    <n v="119"/>
    <n v="1800"/>
    <n v="2752"/>
    <n v="0"/>
    <n v="0"/>
    <m/>
    <n v="52975"/>
    <n v="52975"/>
    <n v="0"/>
    <n v="0"/>
    <n v="0"/>
    <n v="200"/>
    <n v="1800"/>
    <n v="0"/>
    <n v="0"/>
    <n v="0"/>
    <n v="0"/>
    <n v="2000"/>
    <n v="50975"/>
    <m/>
    <m/>
  </r>
  <r>
    <d v="2026-01-01T00:00:00"/>
    <s v="Salary"/>
    <m/>
    <s v="MOONSTONE REALINFRA PRIVATE LIMITED"/>
    <n v="1389"/>
    <s v="SANDIP RAMESHRAO JAKKALWAD"/>
    <s v="Male"/>
    <m/>
    <s v="Apr 24, 2023"/>
    <s v="AWLPJ2490A"/>
    <s v="101938922335"/>
    <x v="30"/>
    <s v="SENIOR  EXECUTIVE - ACCOUNTS"/>
    <x v="5"/>
    <s v="TM"/>
    <s v="PF"/>
    <s v="NA"/>
    <s v=""/>
    <s v=""/>
    <s v="790987241865"/>
    <s v="50100318162101"/>
    <s v="HDFC BANK"/>
    <s v="HDFC0000007"/>
    <n v="31"/>
    <n v="0"/>
    <n v="0"/>
    <n v="31"/>
    <n v="31"/>
    <n v="60807"/>
    <n v="60807"/>
    <n v="27363"/>
    <n v="10945"/>
    <n v="1600"/>
    <n v="200"/>
    <n v="1250"/>
    <n v="2279"/>
    <n v="5473"/>
    <n v="4104"/>
    <n v="274"/>
    <n v="958"/>
    <n v="547"/>
    <n v="137"/>
    <n v="1800"/>
    <n v="3877"/>
    <n v="0"/>
    <n v="0"/>
    <m/>
    <n v="60807"/>
    <n v="60807"/>
    <n v="0"/>
    <n v="0"/>
    <n v="0"/>
    <n v="200"/>
    <n v="1800"/>
    <n v="0"/>
    <n v="0"/>
    <n v="0"/>
    <n v="10000"/>
    <n v="12000"/>
    <n v="48807"/>
    <m/>
    <m/>
  </r>
  <r>
    <d v="2026-01-01T00:00:00"/>
    <s v="Salary"/>
    <m/>
    <s v="MOONSTONE REALINFRA PRIVATE LIMITED"/>
    <n v="1535"/>
    <s v="SANTOSH DAMU MANKAR"/>
    <s v="Male"/>
    <m/>
    <s v="Sep 14, 2023"/>
    <s v="ARVPM8431B"/>
    <s v="101916942878"/>
    <x v="31"/>
    <s v="PROJECT MANAGER"/>
    <x v="0"/>
    <s v="TL"/>
    <s v="PF"/>
    <s v="NA"/>
    <s v=""/>
    <s v=""/>
    <s v="863607704890"/>
    <s v="04861720000752"/>
    <s v="HDFC BANK"/>
    <s v="HDFC0002454"/>
    <n v="31"/>
    <n v="0"/>
    <n v="0.5"/>
    <n v="30.5"/>
    <n v="30.5"/>
    <n v="95900"/>
    <n v="95900"/>
    <n v="42459"/>
    <n v="16984"/>
    <n v="1574"/>
    <n v="197"/>
    <n v="1230"/>
    <n v="3537"/>
    <n v="8492"/>
    <n v="6369"/>
    <n v="425"/>
    <n v="1486"/>
    <n v="849"/>
    <n v="212"/>
    <n v="1800"/>
    <n v="8739"/>
    <n v="0"/>
    <n v="0"/>
    <m/>
    <n v="94353"/>
    <n v="94353"/>
    <n v="0"/>
    <n v="0"/>
    <n v="0"/>
    <n v="200"/>
    <n v="1800"/>
    <n v="0"/>
    <n v="0"/>
    <n v="0"/>
    <n v="0"/>
    <n v="2000"/>
    <n v="92353"/>
    <m/>
    <m/>
  </r>
  <r>
    <d v="2026-01-01T00:00:00"/>
    <s v="Salary"/>
    <m/>
    <s v="MOONSTONE REALINFRA PRIVATE LIMITED"/>
    <n v="1409"/>
    <s v="SANTOSH KADAM"/>
    <s v="Male"/>
    <m/>
    <s v="May 10, 2023"/>
    <s v="AZUPK6484F"/>
    <s v="100924255914"/>
    <x v="9"/>
    <s v="SENIOR ENGINEER"/>
    <x v="0"/>
    <s v="TM"/>
    <s v="PF"/>
    <s v="NA"/>
    <s v=""/>
    <s v=""/>
    <s v="333622114009"/>
    <s v="50100502294986"/>
    <s v="HDFC BANK"/>
    <s v="HDFC0001445"/>
    <n v="31"/>
    <n v="0"/>
    <n v="7.5"/>
    <n v="23.5"/>
    <n v="23.5"/>
    <n v="71417"/>
    <n v="71417"/>
    <n v="24363"/>
    <n v="9745"/>
    <n v="1213"/>
    <n v="152"/>
    <n v="948"/>
    <n v="2029"/>
    <n v="4873"/>
    <n v="3654"/>
    <n v="244"/>
    <n v="853"/>
    <n v="487"/>
    <n v="122"/>
    <n v="1800"/>
    <n v="3656"/>
    <n v="0"/>
    <n v="200"/>
    <m/>
    <n v="54339"/>
    <n v="54339"/>
    <n v="0"/>
    <n v="0"/>
    <n v="0"/>
    <n v="200"/>
    <n v="1800"/>
    <n v="0"/>
    <n v="0"/>
    <n v="0"/>
    <n v="0"/>
    <n v="2000"/>
    <n v="52339"/>
    <m/>
    <m/>
  </r>
  <r>
    <d v="2026-01-01T00:00:00"/>
    <s v="Salary"/>
    <m/>
    <s v="MOONSTONE REALINFRA PRIVATE LIMITED"/>
    <n v="2155"/>
    <s v="SAURABH MININATH NANNAVARE"/>
    <s v="Male"/>
    <m/>
    <s v="Jul 01, 2025"/>
    <s v="BIJPN9700N"/>
    <s v="101177464600"/>
    <x v="46"/>
    <s v="ENGINEER"/>
    <x v="0"/>
    <s v="TM"/>
    <s v="PF"/>
    <s v="NA"/>
    <s v=""/>
    <s v=""/>
    <s v="706192695680"/>
    <s v="50100815728452"/>
    <s v="HDFC BANK"/>
    <s v="HDFC0008300"/>
    <n v="31"/>
    <n v="0"/>
    <n v="0"/>
    <n v="31"/>
    <n v="31"/>
    <n v="53200"/>
    <n v="53200"/>
    <n v="23940"/>
    <n v="9576"/>
    <n v="1600"/>
    <n v="200"/>
    <n v="1250"/>
    <n v="1994"/>
    <n v="4788"/>
    <n v="3591"/>
    <n v="239"/>
    <n v="838"/>
    <n v="479"/>
    <n v="120"/>
    <n v="1800"/>
    <n v="2785"/>
    <n v="0"/>
    <n v="200"/>
    <n v="967.5"/>
    <n v="54367.5"/>
    <n v="53400"/>
    <n v="0"/>
    <n v="0"/>
    <n v="0"/>
    <n v="200"/>
    <n v="1800"/>
    <n v="0"/>
    <n v="0"/>
    <n v="0"/>
    <n v="0"/>
    <n v="2000"/>
    <n v="52368"/>
    <m/>
    <m/>
  </r>
  <r>
    <d v="2026-01-01T00:00:00"/>
    <s v="Salary"/>
    <m/>
    <s v="MOONSTONE REALINFRA PRIVATE LIMITED"/>
    <n v="2232"/>
    <s v="SAURAV RAJENDRA NANDURKAR"/>
    <s v="Male"/>
    <m/>
    <s v="Sep 30, 2025"/>
    <s v="CESPN7298P"/>
    <s v="101733070912"/>
    <x v="58"/>
    <s v="ASSISTANT MANAGER - PLANNING"/>
    <x v="0"/>
    <s v="TM"/>
    <s v="PF"/>
    <s v="NA"/>
    <s v=""/>
    <s v=""/>
    <s v="204027680041"/>
    <s v="50100860045062"/>
    <s v="HDFC BANK"/>
    <s v="HDFC0001210"/>
    <n v="31"/>
    <n v="0"/>
    <n v="0"/>
    <n v="31"/>
    <n v="31"/>
    <n v="89867"/>
    <n v="89867"/>
    <n v="40440"/>
    <n v="16176"/>
    <n v="1600"/>
    <n v="200"/>
    <n v="1250"/>
    <n v="3369"/>
    <n v="8088"/>
    <n v="6066"/>
    <n v="404"/>
    <n v="1415"/>
    <n v="809"/>
    <n v="202"/>
    <n v="1800"/>
    <n v="8048"/>
    <n v="0"/>
    <n v="0"/>
    <m/>
    <n v="89867"/>
    <n v="89867"/>
    <n v="0"/>
    <n v="0"/>
    <n v="0"/>
    <n v="200"/>
    <n v="1800"/>
    <n v="0"/>
    <n v="0"/>
    <n v="0"/>
    <n v="0"/>
    <n v="2000"/>
    <n v="87867"/>
    <m/>
    <m/>
  </r>
  <r>
    <d v="2026-01-01T00:00:00"/>
    <s v="Salary"/>
    <m/>
    <s v="MOONSTONE REALINFRA PRIVATE LIMITED"/>
    <n v="2147"/>
    <s v="SAYALI LAXMAN DHAIGUDE"/>
    <s v="Female"/>
    <m/>
    <s v="Jul 01, 2025"/>
    <s v="IODPD3701L"/>
    <s v="102070661731"/>
    <x v="47"/>
    <s v="GUEST RELATION EXECUTIVE"/>
    <x v="2"/>
    <s v="TM"/>
    <s v="PF"/>
    <s v="NA"/>
    <s v=""/>
    <s v=""/>
    <s v="616621359625"/>
    <s v="50100815728531"/>
    <s v="HDFC BANK"/>
    <s v="HDFC0008300"/>
    <n v="31"/>
    <n v="0"/>
    <n v="0"/>
    <n v="31"/>
    <n v="31"/>
    <n v="28380"/>
    <n v="28380"/>
    <n v="12771"/>
    <n v="5108"/>
    <n v="1600"/>
    <n v="200"/>
    <n v="1250"/>
    <n v="0"/>
    <n v="0"/>
    <n v="0"/>
    <n v="0"/>
    <n v="0"/>
    <n v="0"/>
    <n v="0"/>
    <n v="1533"/>
    <n v="5918"/>
    <n v="0"/>
    <n v="0"/>
    <n v="154"/>
    <n v="28534"/>
    <n v="28380"/>
    <n v="0"/>
    <n v="0"/>
    <n v="0"/>
    <n v="200"/>
    <n v="1533"/>
    <n v="0"/>
    <n v="0"/>
    <n v="0"/>
    <n v="0"/>
    <n v="1733"/>
    <n v="26801"/>
    <m/>
    <m/>
  </r>
  <r>
    <d v="2026-01-01T00:00:00"/>
    <s v="Salary"/>
    <m/>
    <s v="MOONSTONE REALINFRA PRIVATE LIMITED"/>
    <n v="2278"/>
    <s v="SAYALI SHARAD PAWAR"/>
    <s v="Female"/>
    <m/>
    <s v="Nov 17, 2025"/>
    <s v="GMJPP4299H"/>
    <s v="102267033957"/>
    <x v="6"/>
    <s v="MANAGEMENT TRAINEE"/>
    <x v="6"/>
    <s v="MT"/>
    <s v="PF"/>
    <s v="NA"/>
    <s v=""/>
    <s v=""/>
    <s v="548309932874"/>
    <s v="50100847878771"/>
    <s v="HDFC BANK"/>
    <s v="HDFC0000437"/>
    <n v="31"/>
    <n v="0"/>
    <n v="0"/>
    <n v="31"/>
    <n v="31"/>
    <n v="44033"/>
    <n v="44033"/>
    <n v="19815"/>
    <n v="7926"/>
    <n v="1600"/>
    <n v="200"/>
    <n v="1250"/>
    <n v="1651"/>
    <n v="3963"/>
    <n v="2972"/>
    <n v="198"/>
    <n v="694"/>
    <n v="396"/>
    <n v="99"/>
    <n v="1800"/>
    <n v="1469"/>
    <n v="0"/>
    <n v="0"/>
    <m/>
    <n v="44033"/>
    <n v="44033"/>
    <n v="0"/>
    <n v="0"/>
    <n v="0"/>
    <n v="200"/>
    <n v="1800"/>
    <n v="0"/>
    <n v="0"/>
    <n v="0"/>
    <n v="0"/>
    <n v="2000"/>
    <n v="42033"/>
    <m/>
    <m/>
  </r>
  <r>
    <d v="2026-01-01T00:00:00"/>
    <s v="Salary"/>
    <m/>
    <s v="MOONSTONE REALINFRA PRIVATE LIMITED"/>
    <n v="1263"/>
    <s v="SHANKAR BASAPPA GAVI"/>
    <s v="Male"/>
    <m/>
    <s v="Nov 25, 2022"/>
    <s v="BNUPG2416C"/>
    <s v="101450766269"/>
    <x v="45"/>
    <s v="ASSISTANT MANAGER"/>
    <x v="0"/>
    <s v="TM"/>
    <s v="PF"/>
    <s v="NA"/>
    <s v=""/>
    <s v=""/>
    <s v="325630092478"/>
    <s v="50100734599528"/>
    <s v="HDFC BANK"/>
    <s v="HDFC0001210"/>
    <n v="31"/>
    <n v="0"/>
    <n v="0"/>
    <n v="31"/>
    <n v="31"/>
    <n v="55900"/>
    <n v="55900"/>
    <n v="25155"/>
    <n v="10062"/>
    <n v="1600"/>
    <n v="200"/>
    <n v="1250"/>
    <n v="2095"/>
    <n v="5031"/>
    <n v="3773"/>
    <n v="252"/>
    <n v="880"/>
    <n v="503"/>
    <n v="126"/>
    <n v="1800"/>
    <n v="3173"/>
    <n v="0"/>
    <n v="0"/>
    <n v="355.5"/>
    <n v="56255.5"/>
    <n v="55900"/>
    <n v="0"/>
    <n v="0"/>
    <n v="0"/>
    <n v="200"/>
    <n v="1800"/>
    <n v="0"/>
    <n v="0"/>
    <n v="0"/>
    <n v="0"/>
    <n v="2000"/>
    <n v="54256"/>
    <m/>
    <m/>
  </r>
  <r>
    <d v="2026-01-01T00:00:00"/>
    <s v="Salary"/>
    <m/>
    <s v="MOONSTONE REALINFRA PRIVATE LIMITED"/>
    <n v="2218"/>
    <s v="SHANKAR JAGNNATH FARATE"/>
    <s v="Male"/>
    <m/>
    <s v="Sep 15, 2025"/>
    <s v="AATPF9623K"/>
    <s v="102246696731"/>
    <x v="59"/>
    <s v="LISIONING-OFFICER"/>
    <x v="7"/>
    <s v="TM"/>
    <s v="PF"/>
    <s v="NA"/>
    <s v=""/>
    <s v=""/>
    <s v="431958079389"/>
    <s v="50100403586832"/>
    <s v="HDFC BANK"/>
    <s v="HDFC0000103"/>
    <n v="31"/>
    <n v="0"/>
    <n v="0"/>
    <n v="31"/>
    <n v="31"/>
    <n v="53200"/>
    <n v="53200"/>
    <n v="23940"/>
    <n v="9576"/>
    <n v="1600"/>
    <n v="200"/>
    <n v="1250"/>
    <n v="1994"/>
    <n v="4788"/>
    <n v="3591"/>
    <n v="239"/>
    <n v="838"/>
    <n v="479"/>
    <n v="120"/>
    <n v="1800"/>
    <n v="2785"/>
    <n v="0"/>
    <n v="0"/>
    <n v="5354"/>
    <n v="58554"/>
    <n v="53200"/>
    <n v="0"/>
    <n v="0"/>
    <n v="0"/>
    <n v="200"/>
    <n v="1800"/>
    <n v="0"/>
    <n v="0"/>
    <n v="0"/>
    <n v="0"/>
    <n v="2000"/>
    <n v="56554"/>
    <m/>
    <m/>
  </r>
  <r>
    <d v="2026-01-01T00:00:00"/>
    <s v="Salary"/>
    <m/>
    <s v="MOONSTONE REALINFRA PRIVATE LIMITED"/>
    <n v="1758"/>
    <s v="SHASHIKANT RAJKUMAR BHASKAR"/>
    <s v="Male"/>
    <m/>
    <s v="May 25, 2024"/>
    <s v="DUVPB0713F"/>
    <s v="101916942813"/>
    <x v="9"/>
    <s v="SENIOR ENGINEER"/>
    <x v="0"/>
    <s v="TM"/>
    <s v="PF"/>
    <s v="NA"/>
    <s v=""/>
    <s v=""/>
    <s v="630621029579"/>
    <s v="50100563889297"/>
    <s v="HDFC BANK"/>
    <s v="HDFC0009526"/>
    <n v="31"/>
    <n v="0"/>
    <n v="0"/>
    <n v="31"/>
    <n v="31"/>
    <n v="68220"/>
    <n v="68220"/>
    <n v="30699"/>
    <n v="12280"/>
    <n v="1600"/>
    <n v="200"/>
    <n v="1250"/>
    <n v="2557"/>
    <n v="6140"/>
    <n v="4605"/>
    <n v="307"/>
    <n v="1074"/>
    <n v="614"/>
    <n v="154"/>
    <n v="1800"/>
    <n v="4940"/>
    <n v="0"/>
    <n v="0"/>
    <n v="2849"/>
    <n v="71069"/>
    <n v="68220"/>
    <n v="0"/>
    <n v="0"/>
    <n v="0"/>
    <n v="200"/>
    <n v="1800"/>
    <n v="0"/>
    <n v="0"/>
    <n v="0"/>
    <n v="0"/>
    <n v="2000"/>
    <n v="69069"/>
    <m/>
    <m/>
  </r>
  <r>
    <d v="2026-01-01T00:00:00"/>
    <s v="Salary"/>
    <m/>
    <s v="MOONSTONE REALINFRA PRIVATE LIMITED"/>
    <n v="1624"/>
    <s v="SHRINATH SITARAM KHANDALE"/>
    <s v="Male"/>
    <m/>
    <s v="Jan 23, 2024"/>
    <s v="BIZPK8142F"/>
    <s v="101215605497"/>
    <x v="22"/>
    <s v="SUPERVISOR"/>
    <x v="0"/>
    <s v="TM"/>
    <s v="PF"/>
    <s v="NA"/>
    <s v=""/>
    <s v=""/>
    <s v="740935311886"/>
    <s v="50100647442391"/>
    <s v="HDFC BANK"/>
    <s v="HDFC0008300"/>
    <n v="31"/>
    <n v="0"/>
    <n v="0"/>
    <n v="31"/>
    <n v="31"/>
    <n v="42042"/>
    <n v="42042"/>
    <n v="18919"/>
    <n v="7568"/>
    <n v="1600"/>
    <n v="200"/>
    <n v="1250"/>
    <n v="1576"/>
    <n v="3784"/>
    <n v="2838"/>
    <n v="189"/>
    <n v="662"/>
    <n v="378"/>
    <n v="95"/>
    <n v="1800"/>
    <n v="1183"/>
    <n v="0"/>
    <n v="0"/>
    <m/>
    <n v="42042"/>
    <n v="42042"/>
    <n v="0"/>
    <n v="0"/>
    <n v="0"/>
    <n v="200"/>
    <n v="1800"/>
    <n v="0"/>
    <n v="0"/>
    <n v="0"/>
    <n v="0"/>
    <n v="2000"/>
    <n v="40042"/>
    <m/>
    <m/>
  </r>
  <r>
    <d v="2026-01-01T00:00:00"/>
    <s v="Salary"/>
    <m/>
    <s v="MOONSTONE REALINFRA PRIVATE LIMITED"/>
    <n v="1738"/>
    <s v="SHRIVATSA SHRIRANG DESHPANDE"/>
    <s v="Male"/>
    <m/>
    <s v="May 02, 2024"/>
    <s v="CQKPD1013N"/>
    <s v="102074135450"/>
    <x v="33"/>
    <s v="JUNIOR ENGINEER"/>
    <x v="0"/>
    <s v="TM"/>
    <s v="PF"/>
    <s v="NA"/>
    <s v=""/>
    <s v=""/>
    <s v="775752480136"/>
    <s v="50100318176957"/>
    <s v="HDFC BANK"/>
    <s v="HDFC0000007"/>
    <n v="31"/>
    <n v="0"/>
    <n v="0"/>
    <n v="31"/>
    <n v="31"/>
    <n v="35983"/>
    <n v="35983"/>
    <n v="16192"/>
    <n v="6477"/>
    <n v="1600"/>
    <n v="200"/>
    <n v="1250"/>
    <n v="0"/>
    <n v="0"/>
    <n v="0"/>
    <n v="0"/>
    <n v="0"/>
    <n v="0"/>
    <n v="0"/>
    <n v="1800"/>
    <n v="8464"/>
    <n v="0"/>
    <n v="0"/>
    <m/>
    <n v="35983"/>
    <n v="35983"/>
    <n v="0"/>
    <n v="0"/>
    <n v="0"/>
    <n v="200"/>
    <n v="1800"/>
    <n v="0"/>
    <n v="0"/>
    <n v="0"/>
    <n v="0"/>
    <n v="2000"/>
    <n v="33983"/>
    <m/>
    <m/>
  </r>
  <r>
    <d v="2026-01-01T00:00:00"/>
    <s v="Salary"/>
    <m/>
    <s v="MOONSTONE REALINFRA PRIVATE LIMITED"/>
    <n v="2175"/>
    <s v="SNEHAL PRASHANT WALE"/>
    <s v="Female"/>
    <m/>
    <s v="Jul 15, 2025"/>
    <s v="CHLPK4878N"/>
    <s v="102226028536"/>
    <x v="48"/>
    <s v="MANAGER"/>
    <x v="0"/>
    <s v="TL"/>
    <s v="PF"/>
    <s v="NA"/>
    <s v=""/>
    <s v=""/>
    <s v="499534600849"/>
    <s v="99997798677300"/>
    <s v="HDFC BANK"/>
    <s v="HDFC0001795"/>
    <n v="31"/>
    <n v="0"/>
    <n v="0"/>
    <n v="31"/>
    <n v="31"/>
    <n v="137785"/>
    <n v="137785"/>
    <n v="62003"/>
    <n v="24801"/>
    <n v="1600"/>
    <n v="200"/>
    <n v="1250"/>
    <n v="5165"/>
    <n v="12401"/>
    <n v="9300"/>
    <n v="620"/>
    <n v="2170"/>
    <n v="1240"/>
    <n v="310"/>
    <n v="1800"/>
    <n v="14925"/>
    <n v="0"/>
    <n v="0"/>
    <m/>
    <n v="137785"/>
    <n v="137785"/>
    <n v="0"/>
    <n v="0"/>
    <n v="0"/>
    <n v="200"/>
    <n v="1800"/>
    <n v="0"/>
    <n v="0"/>
    <n v="0"/>
    <n v="0"/>
    <n v="2000"/>
    <n v="135785"/>
    <m/>
    <m/>
  </r>
  <r>
    <d v="2026-01-01T00:00:00"/>
    <s v="Salary"/>
    <m/>
    <s v="MOONSTONE REALINFRA PRIVATE LIMITED"/>
    <n v="1589"/>
    <s v="TAUKEEL RASHID JAMADAR"/>
    <s v="Male"/>
    <m/>
    <s v="Jan 02, 2024"/>
    <s v="CGPPJ6786D"/>
    <s v="102034245800"/>
    <x v="0"/>
    <s v="FIELD ENGINEER"/>
    <x v="0"/>
    <s v="TM"/>
    <s v="PF"/>
    <s v="NA"/>
    <s v=""/>
    <s v=""/>
    <s v="477762356796"/>
    <s v="50100624533482"/>
    <s v="HDFC BANK"/>
    <s v="HDFC0000007"/>
    <n v="31"/>
    <n v="0"/>
    <n v="0"/>
    <n v="31"/>
    <n v="31"/>
    <n v="34250"/>
    <n v="34250"/>
    <n v="15413"/>
    <n v="6165"/>
    <n v="1600"/>
    <n v="200"/>
    <n v="1250"/>
    <n v="0"/>
    <n v="0"/>
    <n v="0"/>
    <n v="0"/>
    <n v="0"/>
    <n v="0"/>
    <n v="0"/>
    <n v="1800"/>
    <n v="7822"/>
    <n v="0"/>
    <n v="0"/>
    <m/>
    <n v="34250"/>
    <n v="34250"/>
    <n v="0"/>
    <n v="0"/>
    <n v="0"/>
    <n v="200"/>
    <n v="1800"/>
    <n v="0"/>
    <n v="0"/>
    <n v="0"/>
    <n v="0"/>
    <n v="2000"/>
    <n v="32250"/>
    <m/>
    <m/>
  </r>
  <r>
    <d v="2026-01-01T00:00:00"/>
    <s v="Salary"/>
    <m/>
    <s v="MOONSTONE REALINFRA PRIVATE LIMITED"/>
    <n v="2069"/>
    <s v="TIPPUSULATAN ABDUL NADAF"/>
    <s v="Male"/>
    <m/>
    <s v="Mar 25, 2025"/>
    <s v="ATNPN5727D"/>
    <s v="102119999896"/>
    <x v="1"/>
    <s v="ASSISTANT PROJECT MANAGER"/>
    <x v="0"/>
    <s v="TL"/>
    <s v="PF"/>
    <s v="NA"/>
    <s v=""/>
    <s v=""/>
    <s v="308508124099"/>
    <s v="50100090742768"/>
    <s v="HDFC BANK"/>
    <s v="HDFC0005554"/>
    <n v="31"/>
    <n v="0"/>
    <n v="0"/>
    <n v="31"/>
    <n v="31"/>
    <n v="70000"/>
    <n v="70000"/>
    <n v="31500"/>
    <n v="12600"/>
    <n v="1600"/>
    <n v="200"/>
    <n v="1250"/>
    <n v="2624"/>
    <n v="6300"/>
    <n v="4725"/>
    <n v="315"/>
    <n v="1103"/>
    <n v="630"/>
    <n v="158"/>
    <n v="1800"/>
    <n v="5195"/>
    <n v="0"/>
    <n v="0"/>
    <m/>
    <n v="70000"/>
    <n v="70000"/>
    <n v="0"/>
    <n v="0"/>
    <n v="0"/>
    <n v="200"/>
    <n v="1800"/>
    <n v="0"/>
    <n v="0"/>
    <n v="0"/>
    <n v="0"/>
    <n v="2000"/>
    <n v="68000"/>
    <m/>
    <m/>
  </r>
  <r>
    <d v="2026-01-01T00:00:00"/>
    <s v="Salary"/>
    <m/>
    <s v="MOONSTONE REALINFRA PRIVATE LIMITED"/>
    <n v="2015"/>
    <s v="VAIJNATH KIRAN DHURVE"/>
    <s v="Male"/>
    <m/>
    <s v="Feb 17, 2025"/>
    <s v="FFEPD0662H"/>
    <s v="102171851953"/>
    <x v="6"/>
    <s v="MANAGEMENT TRAINEE"/>
    <x v="6"/>
    <s v="MT"/>
    <s v="PF"/>
    <s v="NA"/>
    <s v=""/>
    <s v=""/>
    <s v="264600892806"/>
    <s v="50100731565520"/>
    <s v="HDFC BANK"/>
    <s v="HDFC0000007"/>
    <n v="31"/>
    <n v="0"/>
    <n v="0"/>
    <n v="31"/>
    <n v="31"/>
    <n v="56533"/>
    <n v="56533"/>
    <n v="25440"/>
    <n v="10176"/>
    <n v="1600"/>
    <n v="200"/>
    <n v="1250"/>
    <n v="2119"/>
    <n v="5088"/>
    <n v="3816"/>
    <n v="254"/>
    <n v="890"/>
    <n v="509"/>
    <n v="127"/>
    <n v="1800"/>
    <n v="3264"/>
    <n v="0"/>
    <n v="0"/>
    <n v="3399"/>
    <n v="59932"/>
    <n v="56533"/>
    <n v="0"/>
    <n v="0"/>
    <n v="0"/>
    <n v="200"/>
    <n v="1800"/>
    <n v="0"/>
    <n v="0"/>
    <n v="0"/>
    <n v="0"/>
    <n v="2000"/>
    <n v="57932"/>
    <m/>
    <m/>
  </r>
  <r>
    <d v="2026-01-01T00:00:00"/>
    <s v="Salary"/>
    <m/>
    <s v="MOONSTONE REALINFRA PRIVATE LIMITED"/>
    <n v="1166"/>
    <s v="VENKATESH AGASAR"/>
    <s v="Male"/>
    <m/>
    <s v="Aug 01, 2022"/>
    <s v="BVSPA7273D"/>
    <s v="101852002045"/>
    <x v="50"/>
    <s v="SENIOR EXECUTIVE"/>
    <x v="0"/>
    <s v="TM"/>
    <s v="PF"/>
    <s v="NA"/>
    <s v=""/>
    <s v=""/>
    <s v="225161825284"/>
    <s v="50100744366803"/>
    <s v="HDFC BANK"/>
    <s v="HDFC0001210"/>
    <n v="31"/>
    <n v="0"/>
    <n v="0"/>
    <n v="31"/>
    <n v="31"/>
    <n v="59983"/>
    <n v="59983"/>
    <n v="26992"/>
    <n v="10797"/>
    <n v="1600"/>
    <n v="200"/>
    <n v="1250"/>
    <n v="2248"/>
    <n v="5398"/>
    <n v="4049"/>
    <n v="270"/>
    <n v="945"/>
    <n v="540"/>
    <n v="135"/>
    <n v="1800"/>
    <n v="3759"/>
    <n v="0"/>
    <n v="600"/>
    <n v="1008"/>
    <n v="61591"/>
    <n v="60583"/>
    <n v="0"/>
    <n v="0"/>
    <n v="0"/>
    <n v="200"/>
    <n v="1800"/>
    <n v="0"/>
    <n v="0"/>
    <n v="0"/>
    <n v="0"/>
    <n v="2000"/>
    <n v="59591"/>
    <m/>
    <m/>
  </r>
  <r>
    <d v="2026-01-01T00:00:00"/>
    <s v="Salary"/>
    <m/>
    <s v="MOONSTONE REALINFRA PRIVATE LIMITED"/>
    <n v="247"/>
    <s v="VICKY SONAWANE"/>
    <s v="Male"/>
    <m/>
    <s v="Nov 02, 2017"/>
    <s v="DUIPS5584N"/>
    <s v="101343066494"/>
    <x v="13"/>
    <s v="ADMIN - EXECUTIVE"/>
    <x v="0"/>
    <s v="TM"/>
    <s v="PF"/>
    <s v="NA"/>
    <s v=""/>
    <s v=""/>
    <s v="556127037647"/>
    <s v="50100225745629"/>
    <s v="HDFC BANK"/>
    <s v="HDFC0000633"/>
    <n v="31"/>
    <n v="0"/>
    <n v="0"/>
    <n v="31"/>
    <n v="31"/>
    <n v="34308"/>
    <n v="34308"/>
    <n v="15439"/>
    <n v="6176"/>
    <n v="1600"/>
    <n v="200"/>
    <n v="1250"/>
    <n v="0"/>
    <n v="0"/>
    <n v="0"/>
    <n v="0"/>
    <n v="0"/>
    <n v="0"/>
    <n v="0"/>
    <n v="1800"/>
    <n v="7843"/>
    <n v="0"/>
    <n v="0"/>
    <n v="4581"/>
    <n v="38889"/>
    <n v="34308"/>
    <n v="0"/>
    <n v="0"/>
    <n v="0"/>
    <n v="200"/>
    <n v="1800"/>
    <n v="0"/>
    <n v="0"/>
    <n v="0"/>
    <n v="0"/>
    <n v="2000"/>
    <n v="36889"/>
    <m/>
    <m/>
  </r>
  <r>
    <d v="2026-01-01T00:00:00"/>
    <s v="Salary"/>
    <m/>
    <s v="MOONSTONE REALINFRA PRIVATE LIMITED"/>
    <n v="1237"/>
    <s v="VISHAL BHAGWAN BHALERAO"/>
    <s v="Male"/>
    <m/>
    <s v="Nov 04, 2022"/>
    <s v="ASCPB5291L"/>
    <s v="101511554357"/>
    <x v="4"/>
    <s v="Site Supervisor"/>
    <x v="0"/>
    <s v="TM"/>
    <s v="PF"/>
    <s v="NA"/>
    <s v=""/>
    <s v=""/>
    <s v="959686301184"/>
    <s v="50100317490351"/>
    <s v="HDFC BANK"/>
    <s v="HDFC0000007"/>
    <n v="31"/>
    <n v="0"/>
    <n v="3"/>
    <n v="28"/>
    <n v="28"/>
    <n v="31644"/>
    <n v="31644"/>
    <n v="12862"/>
    <n v="5145"/>
    <n v="1445"/>
    <n v="181"/>
    <n v="1129"/>
    <n v="0"/>
    <n v="0"/>
    <n v="0"/>
    <n v="0"/>
    <n v="0"/>
    <n v="0"/>
    <n v="0"/>
    <n v="1543"/>
    <n v="6277"/>
    <n v="0"/>
    <n v="0"/>
    <m/>
    <n v="28582"/>
    <n v="28582"/>
    <n v="0"/>
    <n v="0"/>
    <n v="0"/>
    <n v="200"/>
    <n v="1543"/>
    <n v="0"/>
    <n v="0"/>
    <n v="0"/>
    <n v="0"/>
    <n v="1743"/>
    <n v="26839"/>
    <m/>
    <m/>
  </r>
  <r>
    <d v="2026-01-01T00:00:00"/>
    <s v="Salary"/>
    <m/>
    <s v="MOONSTONE REALINFRA PRIVATE LIMITED"/>
    <n v="1941"/>
    <s v="VISHAL BHAUSAHEB KHAMGAL"/>
    <s v="Male"/>
    <m/>
    <s v="Dec 02, 2024"/>
    <s v="JMIPK9231A"/>
    <s v="101949409807"/>
    <x v="33"/>
    <s v="JUNIOR ENGINEER"/>
    <x v="0"/>
    <s v="TM"/>
    <s v="PF"/>
    <s v="NA"/>
    <s v=""/>
    <s v=""/>
    <s v="664943149815"/>
    <s v="50100390573599"/>
    <s v="HDFC BANK"/>
    <s v="HDFC0000794"/>
    <n v="31"/>
    <n v="0"/>
    <n v="1"/>
    <n v="16"/>
    <n v="16"/>
    <n v="43800"/>
    <n v="43800"/>
    <n v="10173"/>
    <n v="4069"/>
    <n v="826"/>
    <n v="194"/>
    <n v="645"/>
    <n v="847"/>
    <n v="2035"/>
    <n v="1526"/>
    <n v="102"/>
    <n v="356"/>
    <n v="203"/>
    <n v="51"/>
    <n v="1221"/>
    <n v="358"/>
    <n v="0"/>
    <n v="0"/>
    <m/>
    <n v="22606"/>
    <n v="22606"/>
    <n v="0"/>
    <n v="0"/>
    <n v="0"/>
    <n v="200"/>
    <n v="1221"/>
    <n v="0"/>
    <n v="0"/>
    <n v="0"/>
    <n v="0"/>
    <n v="1421"/>
    <n v="21185"/>
    <m/>
    <m/>
  </r>
  <r>
    <d v="2026-01-01T00:00:00"/>
    <s v="Salary"/>
    <m/>
    <s v="MOONSTONE REALINFRA PRIVATE LIMITED"/>
    <n v="1950"/>
    <s v="VISHAL DILIP GAIKWAD"/>
    <s v="Male"/>
    <m/>
    <s v="Dec 12, 2024"/>
    <s v="AQIPG9250G"/>
    <s v="101589191488"/>
    <x v="4"/>
    <s v="SITE SUPERVISOR"/>
    <x v="0"/>
    <s v="SS"/>
    <s v="PF"/>
    <s v="NA"/>
    <s v=""/>
    <s v=""/>
    <s v="501229058284"/>
    <s v="0607104000125031"/>
    <s v="IDBI BANK"/>
    <s v="IBKL0000607"/>
    <n v="31"/>
    <n v="0"/>
    <n v="0"/>
    <n v="31"/>
    <n v="31"/>
    <n v="35283"/>
    <n v="35283"/>
    <n v="15877"/>
    <n v="6351"/>
    <n v="1600"/>
    <n v="200"/>
    <n v="1250"/>
    <n v="0"/>
    <n v="0"/>
    <n v="0"/>
    <n v="0"/>
    <n v="0"/>
    <n v="0"/>
    <n v="0"/>
    <n v="1800"/>
    <n v="8205"/>
    <n v="0"/>
    <n v="0"/>
    <m/>
    <n v="35283"/>
    <n v="35283"/>
    <n v="0"/>
    <n v="0"/>
    <n v="0"/>
    <n v="200"/>
    <n v="1800"/>
    <n v="0"/>
    <n v="0"/>
    <n v="0"/>
    <n v="0"/>
    <n v="2000"/>
    <n v="33283"/>
    <m/>
    <m/>
  </r>
  <r>
    <d v="2026-01-01T00:00:00"/>
    <s v="Salary"/>
    <m/>
    <s v="MOONSTONE REALINFRA PRIVATE LIMITED"/>
    <n v="1370"/>
    <s v="VISHAL SHANTARAM KORADE"/>
    <s v="Male"/>
    <m/>
    <s v="Apr 10, 2023"/>
    <s v="BLYPK5831K"/>
    <s v="101150007330"/>
    <x v="21"/>
    <s v="EXECUTIVE - ADMIN"/>
    <x v="2"/>
    <s v="TM"/>
    <s v="PF"/>
    <s v="NA"/>
    <s v=""/>
    <s v=""/>
    <s v="491390366032"/>
    <s v="50100624533367"/>
    <s v="HDFC BANK"/>
    <s v="HDFC0000007"/>
    <n v="31"/>
    <n v="0"/>
    <n v="0"/>
    <n v="31"/>
    <n v="31"/>
    <n v="33000"/>
    <n v="33000"/>
    <n v="14850"/>
    <n v="5940"/>
    <n v="1600"/>
    <n v="200"/>
    <n v="1250"/>
    <n v="0"/>
    <n v="0"/>
    <n v="0"/>
    <n v="0"/>
    <n v="0"/>
    <n v="0"/>
    <n v="0"/>
    <n v="1782"/>
    <n v="7378"/>
    <n v="0"/>
    <n v="0"/>
    <m/>
    <n v="33000"/>
    <n v="33000"/>
    <n v="0"/>
    <n v="0"/>
    <n v="0"/>
    <n v="200"/>
    <n v="1782"/>
    <n v="0"/>
    <n v="0"/>
    <n v="0"/>
    <n v="0"/>
    <n v="1982"/>
    <n v="31018"/>
    <m/>
    <m/>
  </r>
  <r>
    <d v="2026-01-01T00:00:00"/>
    <s v="Salary"/>
    <m/>
    <s v="MOONSTONE REALINFRA PRIVATE LIMITED"/>
    <n v="2049"/>
    <s v="VIVEK VILAS BHOSALE"/>
    <s v="Male"/>
    <m/>
    <s v="Mar 13, 2025"/>
    <s v="EXDPB6825C"/>
    <s v="102055428527"/>
    <x v="6"/>
    <s v="MANAGEMENT TRAINEE"/>
    <x v="0"/>
    <s v="MT"/>
    <s v="PF"/>
    <s v="NA"/>
    <s v=""/>
    <s v=""/>
    <s v="826110651139"/>
    <s v="50100808789342"/>
    <s v="HDFC BANK"/>
    <s v="HDFC0001210"/>
    <n v="31"/>
    <n v="0"/>
    <n v="1"/>
    <n v="30"/>
    <n v="30"/>
    <n v="27713"/>
    <n v="27713"/>
    <n v="12069"/>
    <n v="4828"/>
    <n v="1548"/>
    <n v="194"/>
    <n v="1210"/>
    <n v="0"/>
    <n v="0"/>
    <n v="0"/>
    <n v="0"/>
    <n v="0"/>
    <n v="0"/>
    <n v="0"/>
    <n v="1448"/>
    <n v="5522"/>
    <n v="0"/>
    <n v="0"/>
    <n v="341"/>
    <n v="27160"/>
    <n v="26819"/>
    <n v="0"/>
    <n v="0"/>
    <n v="0"/>
    <n v="200"/>
    <n v="1448"/>
    <n v="0"/>
    <n v="0"/>
    <n v="0"/>
    <n v="0"/>
    <n v="1648"/>
    <n v="25512"/>
    <m/>
    <m/>
  </r>
  <r>
    <d v="2026-01-01T00:00:00"/>
    <s v="Salary"/>
    <m/>
    <s v="MOONSTONE REALINFRA PRIVATE LIMITED"/>
    <n v="1121"/>
    <s v="YASH HARESH DAGHA"/>
    <s v="Male"/>
    <m/>
    <s v="Jun 15, 2022"/>
    <s v="ASJPD7716K"/>
    <s v="101459690850"/>
    <x v="36"/>
    <s v="GENERAL MANAGER"/>
    <x v="6"/>
    <s v="TL"/>
    <s v="PF"/>
    <s v="NA"/>
    <s v=""/>
    <s v=""/>
    <s v="975613704897"/>
    <s v="50100489634680"/>
    <s v="HDFC BANK"/>
    <s v="HDFC0000163"/>
    <n v="31"/>
    <n v="0"/>
    <n v="0"/>
    <n v="31"/>
    <n v="31"/>
    <n v="206500"/>
    <n v="206500"/>
    <n v="92925"/>
    <n v="37170"/>
    <n v="1600"/>
    <n v="200"/>
    <n v="1250"/>
    <n v="7741"/>
    <n v="18585"/>
    <n v="13939"/>
    <n v="929"/>
    <n v="3252"/>
    <n v="1859"/>
    <n v="465"/>
    <n v="1800"/>
    <n v="24785"/>
    <n v="0"/>
    <n v="0"/>
    <n v="18192"/>
    <n v="224692"/>
    <n v="206500"/>
    <n v="0"/>
    <n v="0"/>
    <n v="44254"/>
    <n v="200"/>
    <n v="1800"/>
    <n v="0"/>
    <n v="0"/>
    <n v="0"/>
    <n v="0"/>
    <n v="46254"/>
    <n v="178438"/>
    <m/>
    <m/>
  </r>
  <r>
    <d v="2026-01-01T00:00:00"/>
    <s v="Salary"/>
    <m/>
    <s v="MOONSTONE REALINFRA PRIVATE LIMITED"/>
    <n v="2264"/>
    <s v="YASHWANT HANUMANT WADKAR"/>
    <s v="Male"/>
    <m/>
    <s v="Nov 07, 2025"/>
    <s v="AFVPW2119Q"/>
    <s v="102060208625"/>
    <x v="30"/>
    <s v="SENIOR  EXECUTIVE - ACCOUNTS"/>
    <x v="5"/>
    <s v="TM"/>
    <s v="PF"/>
    <s v="NA"/>
    <s v=""/>
    <s v=""/>
    <s v="982600635271"/>
    <s v="50100846852161"/>
    <s v="HDFC BANK"/>
    <s v="HDFC0000437"/>
    <n v="31"/>
    <n v="0"/>
    <n v="6.5"/>
    <n v="24.5"/>
    <n v="24.5"/>
    <n v="54867"/>
    <n v="54867"/>
    <n v="19513"/>
    <n v="7805"/>
    <n v="1265"/>
    <n v="158"/>
    <n v="988"/>
    <n v="1625"/>
    <n v="3903"/>
    <n v="2927"/>
    <n v="195"/>
    <n v="683"/>
    <n v="390"/>
    <n v="98"/>
    <n v="1800"/>
    <n v="2013"/>
    <n v="0"/>
    <n v="0"/>
    <m/>
    <n v="43363"/>
    <n v="43363"/>
    <n v="0"/>
    <n v="0"/>
    <n v="0"/>
    <n v="200"/>
    <n v="1800"/>
    <n v="0"/>
    <n v="0"/>
    <n v="0"/>
    <n v="0"/>
    <n v="2000"/>
    <n v="41363"/>
    <m/>
    <m/>
  </r>
  <r>
    <d v="2026-01-01T00:00:00"/>
    <s v="Salary"/>
    <m/>
    <s v="MOONSTONE REALINFRA PRIVATE LIMITED"/>
    <n v="1496"/>
    <s v="YOGESH KALIDAS PAWAR"/>
    <s v="Male"/>
    <m/>
    <s v="Aug 01, 2023"/>
    <s v="ASXPP0952H"/>
    <s v="101235805115"/>
    <x v="9"/>
    <s v="SENIOR ENGINEER"/>
    <x v="0"/>
    <s v="TM"/>
    <s v="PF"/>
    <s v="NA"/>
    <s v=""/>
    <s v=""/>
    <s v="487287182825"/>
    <s v="50100505734101"/>
    <s v="HDFC BANK"/>
    <s v="HDFC0000039"/>
    <n v="31"/>
    <n v="0"/>
    <n v="0.5"/>
    <n v="30.5"/>
    <n v="30.5"/>
    <n v="55383"/>
    <n v="55383"/>
    <n v="24521"/>
    <n v="9808"/>
    <n v="1574"/>
    <n v="197"/>
    <n v="1230"/>
    <n v="2043"/>
    <n v="4904"/>
    <n v="3678"/>
    <n v="245"/>
    <n v="858"/>
    <n v="490"/>
    <n v="123"/>
    <n v="1800"/>
    <n v="3019"/>
    <n v="0"/>
    <n v="0"/>
    <m/>
    <n v="54490"/>
    <n v="54490"/>
    <n v="0"/>
    <n v="0"/>
    <n v="0"/>
    <n v="200"/>
    <n v="1800"/>
    <n v="0"/>
    <n v="0"/>
    <n v="0"/>
    <n v="0"/>
    <n v="2000"/>
    <n v="52490"/>
    <m/>
    <m/>
  </r>
  <r>
    <d v="2026-01-01T00:00:00"/>
    <s v="Salary"/>
    <m/>
    <s v="MOONSTONE REALINFRA PRIVATE LIMITED"/>
    <n v="734"/>
    <s v="YOGITA BAFNA"/>
    <s v="Female"/>
    <m/>
    <s v="Dec 01, 2020"/>
    <s v="AMHPB6910F"/>
    <s v="101139292859"/>
    <x v="66"/>
    <s v="HEAD LIAISIONING"/>
    <x v="3"/>
    <s v="TM"/>
    <s v="PF"/>
    <s v="NA"/>
    <s v=""/>
    <s v=""/>
    <s v="321961356560"/>
    <s v="50100317492410"/>
    <s v="HDFC BANK"/>
    <s v="HDFC0000007"/>
    <n v="31"/>
    <n v="0"/>
    <n v="0"/>
    <n v="31"/>
    <n v="31"/>
    <n v="103609"/>
    <n v="103609"/>
    <n v="46624"/>
    <n v="18650"/>
    <n v="1600"/>
    <n v="200"/>
    <n v="1250"/>
    <n v="3884"/>
    <n v="9325"/>
    <n v="6994"/>
    <n v="466"/>
    <n v="1632"/>
    <n v="932"/>
    <n v="233"/>
    <n v="1800"/>
    <n v="10019"/>
    <n v="0"/>
    <n v="0"/>
    <m/>
    <n v="103609"/>
    <n v="103609"/>
    <n v="0"/>
    <n v="0"/>
    <n v="0"/>
    <n v="200"/>
    <n v="1800"/>
    <n v="0"/>
    <n v="0"/>
    <n v="0"/>
    <n v="0"/>
    <n v="2000"/>
    <n v="101609"/>
    <m/>
    <m/>
  </r>
  <r>
    <d v="2026-02-01T00:00:00"/>
    <s v="Salary"/>
    <m/>
    <s v="MOONSTONE REALINFRA PRIVATE LIMITED"/>
    <n v="2163"/>
    <s v="AJAY ANIRUDDHA VAIDYA"/>
    <s v="Male"/>
    <s v=""/>
    <s v="Jul 08, 2025"/>
    <s v="AFVPV5692P"/>
    <s v="102185382695"/>
    <x v="38"/>
    <s v="GENERAL MANAGER"/>
    <x v="0"/>
    <s v="GL"/>
    <s v="PF"/>
    <s v="NA"/>
    <s v=""/>
    <s v=""/>
    <s v="806537391280"/>
    <s v="50100582779333"/>
    <s v="HDFC BANK"/>
    <s v="HDFC0001445"/>
    <n v="28"/>
    <n v="0"/>
    <n v="1"/>
    <n v="27"/>
    <n v="27"/>
    <n v="235700"/>
    <n v="235700"/>
    <n v="102277"/>
    <n v="40911"/>
    <n v="1543"/>
    <n v="193"/>
    <n v="1205"/>
    <n v="8520"/>
    <n v="20455"/>
    <n v="15342"/>
    <n v="1023"/>
    <n v="3580"/>
    <n v="2046"/>
    <n v="511"/>
    <n v="1800"/>
    <n v="27876"/>
    <n v="0"/>
    <n v="0"/>
    <n v="2399"/>
    <n v="229681"/>
    <n v="227282"/>
    <m/>
    <n v="0"/>
    <n v="19708"/>
    <n v="300"/>
    <n v="1800"/>
    <n v="0"/>
    <n v="0"/>
    <n v="0"/>
    <n v="0"/>
    <n v="21808"/>
    <n v="207873"/>
    <m/>
    <m/>
  </r>
  <r>
    <d v="2026-02-01T00:00:00"/>
    <s v="Salary"/>
    <m/>
    <s v="MOONSTONE REALINFRA PRIVATE LIMITED"/>
    <n v="2020"/>
    <s v="AJAY KUMAR GUPTA"/>
    <s v="Male"/>
    <s v=""/>
    <s v="Feb 24, 2025"/>
    <s v="ASQPG3376F"/>
    <s v="102171897914"/>
    <x v="2"/>
    <s v="DEPUTY MANAGER"/>
    <x v="1"/>
    <s v="TM"/>
    <s v="PF"/>
    <s v="NA"/>
    <s v=""/>
    <s v=""/>
    <s v="877766770711"/>
    <s v="50100732468640"/>
    <s v="HDFC BANK"/>
    <s v="HDFC0000007"/>
    <n v="28"/>
    <n v="0"/>
    <n v="0"/>
    <n v="28"/>
    <n v="28"/>
    <n v="68450"/>
    <n v="68450"/>
    <n v="30803"/>
    <n v="12321"/>
    <n v="1600"/>
    <n v="200"/>
    <n v="1250"/>
    <n v="2566"/>
    <n v="6161"/>
    <n v="4620"/>
    <n v="308"/>
    <n v="1078"/>
    <n v="616"/>
    <n v="154"/>
    <n v="1800"/>
    <n v="4973"/>
    <n v="0"/>
    <n v="0"/>
    <n v="1900"/>
    <n v="70350"/>
    <n v="68450"/>
    <m/>
    <n v="0"/>
    <n v="0"/>
    <n v="300"/>
    <n v="1800"/>
    <n v="0"/>
    <n v="0"/>
    <n v="0"/>
    <n v="0"/>
    <n v="2100"/>
    <n v="68250"/>
    <m/>
    <m/>
  </r>
  <r>
    <d v="2026-02-01T00:00:00"/>
    <s v="Salary"/>
    <m/>
    <s v="MOONSTONE REALINFRA PRIVATE LIMITED"/>
    <n v="2307"/>
    <s v="AMIT KUMAR"/>
    <s v="Male"/>
    <s v=""/>
    <s v="Dec 15, 2025"/>
    <s v="AULPK0803G"/>
    <s v="101599373063"/>
    <x v="20"/>
    <s v="ASSISTANT GENERAN MANAGER - RES. SALES"/>
    <x v="6"/>
    <s v="TL"/>
    <s v="PF"/>
    <s v="NA"/>
    <s v=""/>
    <s v=""/>
    <s v="897330270549"/>
    <s v="50100313981270"/>
    <s v="HDFC BANK"/>
    <s v="HDFC0009453"/>
    <n v="28"/>
    <n v="0"/>
    <n v="0"/>
    <n v="28"/>
    <n v="28"/>
    <n v="148200"/>
    <n v="148200"/>
    <n v="66690"/>
    <n v="26676"/>
    <n v="1600"/>
    <n v="200"/>
    <n v="1250"/>
    <n v="5555"/>
    <n v="13338"/>
    <n v="10004"/>
    <n v="667"/>
    <n v="2334"/>
    <n v="1334"/>
    <n v="333"/>
    <n v="1800"/>
    <n v="16419"/>
    <n v="0"/>
    <n v="4781"/>
    <n v="10145"/>
    <n v="163126"/>
    <n v="152981"/>
    <m/>
    <n v="0"/>
    <n v="0"/>
    <n v="300"/>
    <n v="1800"/>
    <n v="0"/>
    <n v="0"/>
    <n v="0"/>
    <n v="0"/>
    <n v="2100"/>
    <n v="161026"/>
    <m/>
    <m/>
  </r>
  <r>
    <d v="2026-02-01T00:00:00"/>
    <s v="Salary"/>
    <m/>
    <s v="MOONSTONE REALINFRA PRIVATE LIMITED"/>
    <n v="2072"/>
    <s v="AMIT VILASRAO MALWADE"/>
    <s v="Male"/>
    <s v=""/>
    <s v="Apr 01, 2025"/>
    <s v="BYWPM1111R"/>
    <s v="100098825740"/>
    <x v="3"/>
    <s v="SENIOR MANAGER - MEP"/>
    <x v="0"/>
    <s v="TL"/>
    <s v="PF"/>
    <s v="NA"/>
    <s v=""/>
    <s v=""/>
    <s v="572207945645"/>
    <s v="50100288775748"/>
    <s v="HDFC BANK"/>
    <s v="HDFC0001578"/>
    <n v="28"/>
    <n v="0"/>
    <n v="1"/>
    <n v="27"/>
    <n v="27"/>
    <n v="123200"/>
    <n v="123200"/>
    <n v="53460"/>
    <n v="21384"/>
    <n v="1543"/>
    <n v="193"/>
    <n v="1205"/>
    <n v="4453"/>
    <n v="10692"/>
    <n v="8019"/>
    <n v="535"/>
    <n v="1871"/>
    <n v="1069"/>
    <n v="267"/>
    <n v="1800"/>
    <n v="12309"/>
    <n v="0"/>
    <n v="0"/>
    <n v="0"/>
    <n v="118800"/>
    <n v="118800"/>
    <m/>
    <n v="0"/>
    <n v="5018"/>
    <n v="300"/>
    <n v="1800"/>
    <n v="0"/>
    <n v="0"/>
    <n v="0"/>
    <n v="0"/>
    <n v="7118"/>
    <n v="111682"/>
    <m/>
    <m/>
  </r>
  <r>
    <d v="2026-02-01T00:00:00"/>
    <s v="Salary"/>
    <m/>
    <s v="MOONSTONE REALINFRA PRIVATE LIMITED"/>
    <n v="1440"/>
    <s v="AMOL BHANUDAS LOKHANDE"/>
    <s v="Male"/>
    <s v=""/>
    <s v="Jun 07, 2023"/>
    <s v="AFPPL3898F"/>
    <s v="101428013109"/>
    <x v="4"/>
    <s v="Site Supervisor"/>
    <x v="0"/>
    <s v="TM"/>
    <s v="PF"/>
    <s v="NA"/>
    <s v=""/>
    <s v=""/>
    <s v="311191516453"/>
    <s v="50100317873701"/>
    <s v="HDFC BANK"/>
    <s v="HDFC0000007"/>
    <n v="28"/>
    <n v="0"/>
    <n v="0"/>
    <n v="28"/>
    <n v="28"/>
    <n v="38617"/>
    <n v="38617"/>
    <n v="17378"/>
    <n v="6951"/>
    <n v="1600"/>
    <n v="200"/>
    <n v="1250"/>
    <n v="0"/>
    <n v="0"/>
    <n v="0"/>
    <n v="0"/>
    <n v="0"/>
    <n v="0"/>
    <n v="0"/>
    <n v="1800"/>
    <n v="9438"/>
    <n v="0"/>
    <n v="0"/>
    <m/>
    <n v="38617"/>
    <n v="38617"/>
    <m/>
    <n v="0"/>
    <n v="0"/>
    <n v="300"/>
    <n v="1800"/>
    <n v="0"/>
    <n v="0"/>
    <n v="0"/>
    <n v="0"/>
    <n v="2100"/>
    <n v="36517"/>
    <m/>
    <m/>
  </r>
  <r>
    <d v="2026-02-01T00:00:00"/>
    <s v="Salary"/>
    <m/>
    <s v="MOONSTONE REALINFRA PRIVATE LIMITED"/>
    <n v="2275"/>
    <s v="ANJUSHREE MALAKAR"/>
    <s v="Female"/>
    <s v=""/>
    <s v="Nov 17, 2025"/>
    <s v="HTIPM6513C"/>
    <s v="102267032395"/>
    <x v="6"/>
    <s v="MANAGEMENT TRAINEE"/>
    <x v="6"/>
    <s v="MT"/>
    <s v="PF"/>
    <s v="NA"/>
    <s v=""/>
    <s v=""/>
    <s v="439111071354"/>
    <s v="50100847876972"/>
    <s v="HDFC BANK"/>
    <s v="HDFC0000437"/>
    <n v="28"/>
    <n v="0"/>
    <n v="0.5"/>
    <n v="27.5"/>
    <n v="27.5"/>
    <n v="44033"/>
    <n v="44033"/>
    <n v="19461"/>
    <n v="7784"/>
    <n v="1571"/>
    <n v="196"/>
    <n v="1228"/>
    <n v="1621"/>
    <n v="3892"/>
    <n v="2919"/>
    <n v="195"/>
    <n v="681"/>
    <n v="389"/>
    <n v="97"/>
    <n v="1800"/>
    <n v="1413"/>
    <n v="0"/>
    <n v="0"/>
    <m/>
    <n v="43247"/>
    <n v="43247"/>
    <m/>
    <n v="0"/>
    <n v="0"/>
    <n v="300"/>
    <n v="1800"/>
    <n v="0"/>
    <n v="0"/>
    <n v="0"/>
    <n v="0"/>
    <n v="2100"/>
    <n v="41147"/>
    <m/>
    <m/>
  </r>
  <r>
    <d v="2026-02-01T00:00:00"/>
    <s v="Salary"/>
    <m/>
    <s v="MOONSTONE REALINFRA PRIVATE LIMITED"/>
    <n v="2291"/>
    <s v="ATISH HARISHCHANDRA PAWAR"/>
    <s v="Male"/>
    <s v=""/>
    <s v="Dec 01, 2025"/>
    <s v="DPJPP4164K"/>
    <s v="102272485329"/>
    <x v="64"/>
    <s v="ASSISTANT MANAGER"/>
    <x v="1"/>
    <s v="TM"/>
    <s v="PF"/>
    <s v="NA"/>
    <s v=""/>
    <s v=""/>
    <s v="715363363050"/>
    <s v="50100845758240"/>
    <s v="HDFC BANK"/>
    <s v="HDFC0000007"/>
    <n v="28"/>
    <n v="0"/>
    <n v="0"/>
    <n v="28"/>
    <n v="28"/>
    <n v="85700"/>
    <n v="85700"/>
    <n v="38565"/>
    <n v="15426"/>
    <n v="1600"/>
    <n v="200"/>
    <n v="1250"/>
    <n v="3212"/>
    <n v="7713"/>
    <n v="5785"/>
    <n v="386"/>
    <n v="1350"/>
    <n v="771"/>
    <n v="193"/>
    <n v="1800"/>
    <n v="7449"/>
    <n v="0"/>
    <n v="0"/>
    <m/>
    <n v="85700"/>
    <n v="85700"/>
    <m/>
    <n v="0"/>
    <n v="0"/>
    <n v="300"/>
    <n v="1800"/>
    <n v="0"/>
    <n v="0"/>
    <n v="0"/>
    <n v="0"/>
    <n v="2100"/>
    <n v="83600"/>
    <m/>
    <m/>
  </r>
  <r>
    <d v="2026-02-01T00:00:00"/>
    <s v="Salary"/>
    <m/>
    <s v="MOONSTONE REALINFRA PRIVATE LIMITED"/>
    <n v="2271"/>
    <s v="AVANISH KUMAR"/>
    <s v="Male"/>
    <s v=""/>
    <s v="Nov 17, 2025"/>
    <s v="JXXPK8257E"/>
    <s v="102267048375"/>
    <x v="6"/>
    <s v="MANAGEMENT TRAINEE"/>
    <x v="6"/>
    <s v="MT"/>
    <s v="PF"/>
    <s v="NA"/>
    <s v=""/>
    <s v=""/>
    <s v="411849541395"/>
    <s v="50100847876548"/>
    <s v="HDFC BANK"/>
    <s v="HDFC0000437"/>
    <n v="28"/>
    <n v="0"/>
    <n v="1"/>
    <n v="27"/>
    <n v="27"/>
    <n v="44033"/>
    <n v="44033"/>
    <n v="19107"/>
    <n v="7643"/>
    <n v="1543"/>
    <n v="193"/>
    <n v="1205"/>
    <n v="1592"/>
    <n v="3821"/>
    <n v="2866"/>
    <n v="191"/>
    <n v="669"/>
    <n v="382"/>
    <n v="96"/>
    <n v="1800"/>
    <n v="1352"/>
    <n v="0"/>
    <n v="0"/>
    <n v="1575"/>
    <n v="44035"/>
    <n v="42460"/>
    <m/>
    <n v="0"/>
    <n v="0"/>
    <n v="300"/>
    <n v="1800"/>
    <n v="0"/>
    <n v="0"/>
    <n v="0"/>
    <n v="0"/>
    <n v="2100"/>
    <n v="41935"/>
    <m/>
    <m/>
  </r>
  <r>
    <d v="2026-02-01T00:00:00"/>
    <s v="Salary"/>
    <m/>
    <s v="MOONSTONE REALINFRA PRIVATE LIMITED"/>
    <n v="2247"/>
    <s v="BAJARANG V CHAUGULE"/>
    <s v="Male"/>
    <s v=""/>
    <s v="Oct 07, 2025"/>
    <s v="ANJPC4768M"/>
    <s v="102257230707"/>
    <x v="43"/>
    <s v="MANAGER"/>
    <x v="0"/>
    <s v="TM"/>
    <s v="PF"/>
    <s v="NA"/>
    <s v=""/>
    <s v=""/>
    <s v="222947030647"/>
    <s v="50100216811030"/>
    <s v="HDFC BANK"/>
    <s v="HDFC0001783"/>
    <n v="28"/>
    <n v="0"/>
    <n v="1"/>
    <n v="27"/>
    <n v="27"/>
    <n v="88200"/>
    <n v="88200"/>
    <n v="38273"/>
    <n v="15309"/>
    <n v="1543"/>
    <n v="193"/>
    <n v="1205"/>
    <n v="3188"/>
    <n v="7655"/>
    <n v="5741"/>
    <n v="383"/>
    <n v="1340"/>
    <n v="765"/>
    <n v="191"/>
    <n v="1800"/>
    <n v="7464"/>
    <n v="0"/>
    <n v="800"/>
    <m/>
    <n v="85850"/>
    <n v="85850"/>
    <m/>
    <n v="0"/>
    <n v="0"/>
    <n v="300"/>
    <n v="1800"/>
    <n v="0"/>
    <n v="0"/>
    <n v="0"/>
    <n v="0"/>
    <n v="2100"/>
    <n v="83750"/>
    <m/>
    <m/>
  </r>
  <r>
    <d v="2026-02-01T00:00:00"/>
    <s v="Salary"/>
    <m/>
    <s v="MOONSTONE REALINFRA PRIVATE LIMITED"/>
    <n v="1599"/>
    <s v="BHAVESH SHANKAR WANI"/>
    <s v="Male"/>
    <s v=""/>
    <s v="Jan 09, 2024"/>
    <s v="AGNPW7537K"/>
    <s v="102034237231"/>
    <x v="54"/>
    <s v="ASSISTANT MANAGER - RESI. SALES"/>
    <x v="6"/>
    <s v="TM"/>
    <s v="PF"/>
    <s v="NA"/>
    <s v=""/>
    <s v=""/>
    <s v="467176812861"/>
    <s v="50100394142702"/>
    <s v="HDFC BANK"/>
    <s v="HDFC0001785"/>
    <n v="28"/>
    <n v="0"/>
    <n v="0"/>
    <n v="28"/>
    <n v="28"/>
    <n v="51640"/>
    <n v="51640"/>
    <n v="23238"/>
    <n v="9295"/>
    <n v="1600"/>
    <n v="200"/>
    <n v="1250"/>
    <n v="1936"/>
    <n v="4648"/>
    <n v="3486"/>
    <n v="232"/>
    <n v="813"/>
    <n v="465"/>
    <n v="116"/>
    <n v="1800"/>
    <n v="2561"/>
    <n v="0"/>
    <n v="0"/>
    <n v="4062"/>
    <n v="55702"/>
    <n v="51640"/>
    <m/>
    <n v="0"/>
    <n v="0"/>
    <n v="300"/>
    <n v="1800"/>
    <n v="0"/>
    <n v="0"/>
    <n v="0"/>
    <n v="0"/>
    <n v="2100"/>
    <n v="53602"/>
    <m/>
    <m/>
  </r>
  <r>
    <d v="2026-02-01T00:00:00"/>
    <s v="Salary"/>
    <m/>
    <s v="MOONSTONE REALINFRA PRIVATE LIMITED"/>
    <n v="1180"/>
    <s v="BHUJBAL SAGAR DNYANESHWAR"/>
    <s v="Male"/>
    <s v=""/>
    <s v="Sep 12, 2022"/>
    <s v="DQJPB2913K"/>
    <s v="101457017133"/>
    <x v="7"/>
    <s v="EXECUTIVE - POSSESSION"/>
    <x v="2"/>
    <s v="TM"/>
    <s v="PF"/>
    <s v="NA"/>
    <s v=""/>
    <s v=""/>
    <s v="241411121642"/>
    <s v="0600104000093754"/>
    <s v="IDBI BANK"/>
    <s v="IBKL0000600"/>
    <n v="28"/>
    <n v="0"/>
    <n v="0"/>
    <n v="28"/>
    <n v="28"/>
    <n v="28042"/>
    <n v="28042"/>
    <n v="12619"/>
    <n v="5048"/>
    <n v="1600"/>
    <n v="200"/>
    <n v="1250"/>
    <n v="0"/>
    <n v="0"/>
    <n v="0"/>
    <n v="0"/>
    <n v="0"/>
    <n v="0"/>
    <n v="0"/>
    <n v="1514"/>
    <n v="5811"/>
    <n v="0"/>
    <n v="0"/>
    <n v="122"/>
    <n v="28164"/>
    <n v="28042"/>
    <m/>
    <n v="0"/>
    <n v="0"/>
    <n v="300"/>
    <n v="1514"/>
    <n v="0"/>
    <n v="0"/>
    <n v="0"/>
    <n v="0"/>
    <n v="1814"/>
    <n v="26350"/>
    <m/>
    <m/>
  </r>
  <r>
    <d v="2026-02-01T00:00:00"/>
    <s v="Salary"/>
    <m/>
    <s v="MOONSTONE REALINFRA PRIVATE LIMITED"/>
    <n v="48"/>
    <s v="BHUSHAN MADANLAL LUNKAD"/>
    <s v="Male"/>
    <s v=""/>
    <s v="Sep 05, 2015"/>
    <s v="ADTPL6823A"/>
    <s v="101487437414"/>
    <x v="8"/>
    <s v="MANAGER - A &amp; O"/>
    <x v="6"/>
    <s v="TL"/>
    <s v="PF"/>
    <s v="NA"/>
    <s v=""/>
    <s v=""/>
    <s v="991187937886"/>
    <s v="00521050124966"/>
    <s v="HDFC BANK"/>
    <s v="HDFC0000052"/>
    <n v="28"/>
    <n v="0"/>
    <n v="0"/>
    <n v="28"/>
    <n v="28"/>
    <n v="107967"/>
    <n v="107967"/>
    <n v="48585"/>
    <n v="19434"/>
    <n v="1600"/>
    <n v="200"/>
    <n v="1250"/>
    <n v="4047"/>
    <n v="9717"/>
    <n v="7288"/>
    <n v="486"/>
    <n v="1700"/>
    <n v="972"/>
    <n v="243"/>
    <n v="1800"/>
    <n v="10645"/>
    <n v="0"/>
    <n v="0"/>
    <m/>
    <n v="107967"/>
    <n v="107967"/>
    <m/>
    <n v="0"/>
    <n v="15226"/>
    <n v="300"/>
    <n v="1800"/>
    <n v="0"/>
    <n v="0"/>
    <n v="0"/>
    <n v="15000"/>
    <n v="32326"/>
    <n v="75641"/>
    <m/>
    <m/>
  </r>
  <r>
    <d v="2026-02-01T00:00:00"/>
    <s v="Salary"/>
    <m/>
    <s v="MOONSTONE REALINFRA PRIVATE LIMITED"/>
    <n v="2246"/>
    <s v="BHUSHAN SATISH DESHPANDE"/>
    <s v="Male"/>
    <s v=""/>
    <s v="Oct 14, 2025"/>
    <s v="AHUPD7618N"/>
    <s v="101156996356"/>
    <x v="60"/>
    <s v="SENIOR MANAGER"/>
    <x v="0"/>
    <s v="TL"/>
    <s v="PF"/>
    <s v="NA"/>
    <s v=""/>
    <s v=""/>
    <s v="225825367425"/>
    <s v="01031050120083"/>
    <s v="HDFC BANK"/>
    <s v="HDFC0000103"/>
    <n v="28"/>
    <n v="0"/>
    <n v="3"/>
    <n v="25"/>
    <n v="25"/>
    <n v="123200"/>
    <n v="123200"/>
    <n v="49500"/>
    <n v="19800"/>
    <n v="1429"/>
    <n v="179"/>
    <n v="1116"/>
    <n v="4123"/>
    <n v="9900"/>
    <n v="7425"/>
    <n v="495"/>
    <n v="1733"/>
    <n v="990"/>
    <n v="248"/>
    <n v="1800"/>
    <n v="11262"/>
    <n v="0"/>
    <n v="0"/>
    <m/>
    <n v="110000"/>
    <n v="110000"/>
    <m/>
    <n v="0"/>
    <n v="0"/>
    <n v="300"/>
    <n v="1800"/>
    <n v="0"/>
    <n v="0"/>
    <n v="0"/>
    <n v="0"/>
    <n v="2100"/>
    <n v="107900"/>
    <m/>
    <m/>
  </r>
  <r>
    <d v="2026-02-01T00:00:00"/>
    <s v="Salary"/>
    <m/>
    <s v="MOONSTONE REALINFRA PRIVATE LIMITED"/>
    <n v="2276"/>
    <s v="BIDIPTA DEY SARKAR"/>
    <s v="Female"/>
    <s v=""/>
    <s v="Nov 17, 2025"/>
    <s v="PGOPS8165P"/>
    <s v="102187952261"/>
    <x v="6"/>
    <s v="MANAGEMENT TRAINEE"/>
    <x v="6"/>
    <s v="MT"/>
    <s v="PF"/>
    <s v="NA"/>
    <s v=""/>
    <s v=""/>
    <s v="800708836063"/>
    <s v="50100847878732"/>
    <s v="HDFC BANK"/>
    <s v="HDFC0000437"/>
    <n v="28"/>
    <n v="0"/>
    <n v="0"/>
    <n v="28"/>
    <n v="28"/>
    <n v="44033"/>
    <n v="44033"/>
    <n v="19815"/>
    <n v="7926"/>
    <n v="1600"/>
    <n v="200"/>
    <n v="1250"/>
    <n v="1651"/>
    <n v="3963"/>
    <n v="2972"/>
    <n v="198"/>
    <n v="694"/>
    <n v="396"/>
    <n v="99"/>
    <n v="1800"/>
    <n v="1469"/>
    <n v="0"/>
    <n v="0"/>
    <m/>
    <n v="44033"/>
    <n v="44033"/>
    <m/>
    <n v="0"/>
    <n v="0"/>
    <n v="300"/>
    <n v="1800"/>
    <n v="0"/>
    <n v="0"/>
    <n v="0"/>
    <n v="0"/>
    <n v="2100"/>
    <n v="41933"/>
    <m/>
    <m/>
  </r>
  <r>
    <d v="2026-02-01T00:00:00"/>
    <s v="Salary"/>
    <m/>
    <s v="MOONSTONE REALINFRA PRIVATE LIMITED"/>
    <n v="2017"/>
    <s v="DHAIRYA PRASAD"/>
    <s v="Male"/>
    <s v=""/>
    <s v="Feb 17, 2025"/>
    <s v="EPBPP8390Q"/>
    <s v="102171851924"/>
    <x v="54"/>
    <s v="ASSISTANT MANAGER - RESI. SALES"/>
    <x v="6"/>
    <s v="TM"/>
    <s v="PF"/>
    <s v="NA"/>
    <s v=""/>
    <s v=""/>
    <s v="851362488850"/>
    <s v="50100731565504"/>
    <s v="HDFC BANK"/>
    <s v="HDFC0000007"/>
    <n v="28"/>
    <n v="0"/>
    <n v="0"/>
    <n v="28"/>
    <n v="28"/>
    <n v="56533"/>
    <n v="56533"/>
    <n v="25440"/>
    <n v="10176"/>
    <n v="1600"/>
    <n v="200"/>
    <n v="1250"/>
    <n v="2119"/>
    <n v="5088"/>
    <n v="3816"/>
    <n v="254"/>
    <n v="890"/>
    <n v="509"/>
    <n v="127"/>
    <n v="1800"/>
    <n v="3264"/>
    <n v="0"/>
    <n v="0"/>
    <n v="667"/>
    <n v="57200"/>
    <n v="56533"/>
    <m/>
    <n v="0"/>
    <n v="0"/>
    <n v="300"/>
    <n v="1800"/>
    <n v="0"/>
    <n v="0"/>
    <n v="0"/>
    <n v="0"/>
    <n v="2100"/>
    <n v="55100"/>
    <m/>
    <m/>
  </r>
  <r>
    <d v="2026-02-01T00:00:00"/>
    <s v="Salary"/>
    <m/>
    <s v="MOONSTONE REALINFRA PRIVATE LIMITED"/>
    <n v="1914"/>
    <s v="DHANAJI ARJUN MALI"/>
    <s v="Male"/>
    <s v=""/>
    <s v="Nov 11, 2024"/>
    <s v="DBNPM8263C"/>
    <s v="101816559661"/>
    <x v="9"/>
    <s v="SENIOR ENGINEER"/>
    <x v="0"/>
    <s v="TM"/>
    <s v="PF"/>
    <s v="NA"/>
    <s v=""/>
    <s v=""/>
    <s v="450862785164"/>
    <s v="50100769916547"/>
    <s v="HDFC BANK"/>
    <s v="HDFC0001210"/>
    <n v="28"/>
    <n v="0"/>
    <n v="1"/>
    <n v="0"/>
    <n v="0"/>
    <n v="74033"/>
    <n v="74033"/>
    <n v="0"/>
    <n v="0"/>
    <n v="0"/>
    <n v="193"/>
    <n v="0"/>
    <n v="0"/>
    <n v="0"/>
    <n v="0"/>
    <n v="0"/>
    <n v="0"/>
    <n v="0"/>
    <n v="0"/>
    <n v="0"/>
    <n v="-193"/>
    <n v="0"/>
    <n v="0"/>
    <m/>
    <n v="0"/>
    <n v="0"/>
    <m/>
    <n v="0"/>
    <n v="0"/>
    <n v="0"/>
    <n v="0"/>
    <n v="0"/>
    <n v="0"/>
    <n v="0"/>
    <n v="0"/>
    <n v="0"/>
    <n v="0"/>
    <m/>
    <m/>
  </r>
  <r>
    <d v="2026-02-01T00:00:00"/>
    <s v="Salary"/>
    <m/>
    <s v="MOONSTONE REALINFRA PRIVATE LIMITED"/>
    <n v="2186"/>
    <s v="DIPAK MAGAN KHAJURE"/>
    <s v="Male"/>
    <s v=""/>
    <s v="Aug 11, 2025"/>
    <s v="HZWPK8086G"/>
    <s v="101305133627"/>
    <x v="39"/>
    <s v="SENIOR EXECUTIVE - MIS"/>
    <x v="6"/>
    <s v="TM"/>
    <s v="PF"/>
    <s v="NA"/>
    <s v=""/>
    <s v=""/>
    <s v="620286516208"/>
    <s v="50100820320194"/>
    <s v="HDFC BANK"/>
    <s v="HDFC0000007"/>
    <n v="28"/>
    <n v="0"/>
    <n v="3"/>
    <n v="25"/>
    <n v="25"/>
    <n v="63200"/>
    <n v="63200"/>
    <n v="25393"/>
    <n v="10157"/>
    <n v="1429"/>
    <n v="179"/>
    <n v="1116"/>
    <n v="2115"/>
    <n v="5079"/>
    <n v="3809"/>
    <n v="254"/>
    <n v="889"/>
    <n v="508"/>
    <n v="127"/>
    <n v="1800"/>
    <n v="3574"/>
    <n v="0"/>
    <n v="0"/>
    <m/>
    <n v="56429"/>
    <n v="56429"/>
    <m/>
    <n v="0"/>
    <n v="0"/>
    <n v="300"/>
    <n v="1800"/>
    <n v="0"/>
    <n v="0"/>
    <n v="0"/>
    <n v="0"/>
    <n v="2100"/>
    <n v="54329"/>
    <m/>
    <m/>
  </r>
  <r>
    <d v="2026-02-01T00:00:00"/>
    <s v="Salary"/>
    <m/>
    <s v="MOONSTONE REALINFRA PRIVATE LIMITED"/>
    <n v="1209"/>
    <s v="DUNDAPPA MALLAPPA SANKPAL"/>
    <s v="Male"/>
    <s v=""/>
    <s v="Sep 03, 2022"/>
    <s v="CVOPS6863E"/>
    <s v="100379494874"/>
    <x v="40"/>
    <s v="MANAGER - HR"/>
    <x v="2"/>
    <s v="TM"/>
    <s v="PF"/>
    <s v="NA"/>
    <s v=""/>
    <s v=""/>
    <s v="818967487034"/>
    <s v="50100188631775"/>
    <s v="HDFC BANK"/>
    <s v="HDFC0000039"/>
    <n v="28"/>
    <n v="0"/>
    <n v="1"/>
    <n v="27"/>
    <n v="27"/>
    <n v="83333"/>
    <n v="83333"/>
    <n v="36161"/>
    <n v="14464"/>
    <n v="1543"/>
    <n v="193"/>
    <n v="1205"/>
    <n v="3012"/>
    <n v="7232"/>
    <n v="5424"/>
    <n v="362"/>
    <n v="1266"/>
    <n v="723"/>
    <n v="181"/>
    <n v="1800"/>
    <n v="6791"/>
    <n v="0"/>
    <n v="0"/>
    <n v="155"/>
    <n v="80512"/>
    <n v="80357"/>
    <m/>
    <n v="0"/>
    <n v="0"/>
    <n v="300"/>
    <n v="1800"/>
    <n v="0"/>
    <n v="0"/>
    <n v="0"/>
    <n v="0"/>
    <n v="2100"/>
    <n v="78412"/>
    <m/>
    <m/>
  </r>
  <r>
    <d v="2026-02-01T00:00:00"/>
    <s v="Salary"/>
    <m/>
    <s v="MOONSTONE REALINFRA PRIVATE LIMITED"/>
    <n v="1517"/>
    <s v="GANESH SURESH PAWAR"/>
    <s v="Male"/>
    <s v=""/>
    <s v="Sep 01, 2023"/>
    <s v="CANPP1627F"/>
    <s v="101292152161"/>
    <x v="12"/>
    <s v="EXECUTIVE - MIS"/>
    <x v="2"/>
    <s v="TM"/>
    <s v="PF"/>
    <s v="NA"/>
    <s v=""/>
    <s v=""/>
    <s v="427581798506"/>
    <s v="50100729824722"/>
    <s v="HDFC BANK"/>
    <s v="HDFC0001210"/>
    <n v="28"/>
    <n v="0"/>
    <n v="0"/>
    <n v="28"/>
    <n v="28"/>
    <n v="47190"/>
    <n v="47190"/>
    <n v="21236"/>
    <n v="8494"/>
    <n v="1600"/>
    <n v="200"/>
    <n v="1250"/>
    <n v="1769"/>
    <n v="4247"/>
    <n v="3185"/>
    <n v="212"/>
    <n v="743"/>
    <n v="425"/>
    <n v="106"/>
    <n v="1800"/>
    <n v="1923"/>
    <n v="0"/>
    <n v="0"/>
    <n v="286"/>
    <n v="47476"/>
    <n v="47190"/>
    <m/>
    <n v="0"/>
    <n v="0"/>
    <n v="300"/>
    <n v="1800"/>
    <n v="0"/>
    <n v="0"/>
    <n v="0"/>
    <n v="0"/>
    <n v="2100"/>
    <n v="45376"/>
    <m/>
    <m/>
  </r>
  <r>
    <d v="2026-02-01T00:00:00"/>
    <s v="Salary"/>
    <m/>
    <s v="MOONSTONE REALINFRA PRIVATE LIMITED"/>
    <n v="1202"/>
    <s v="GAURAV KASHINATH KURANE"/>
    <s v="Male"/>
    <s v=""/>
    <s v="Sep 28, 2022"/>
    <s v="ARVPK8048G"/>
    <s v="100151644732"/>
    <x v="55"/>
    <s v="MANAGER - RESI. SALES"/>
    <x v="6"/>
    <s v="TM"/>
    <s v="PF"/>
    <s v="NA"/>
    <s v=""/>
    <s v=""/>
    <s v="597630357761"/>
    <s v="50100318162255"/>
    <s v="HDFC BANK"/>
    <s v="HDFC0000007"/>
    <n v="28"/>
    <n v="0"/>
    <n v="0"/>
    <n v="28"/>
    <n v="28"/>
    <n v="98333"/>
    <n v="98333"/>
    <n v="44250"/>
    <n v="17700"/>
    <n v="1600"/>
    <n v="200"/>
    <n v="1250"/>
    <n v="3686"/>
    <n v="8850"/>
    <n v="6638"/>
    <n v="443"/>
    <n v="1549"/>
    <n v="885"/>
    <n v="221"/>
    <n v="1800"/>
    <n v="9261"/>
    <n v="0"/>
    <n v="0"/>
    <n v="5164"/>
    <n v="103497"/>
    <n v="98333"/>
    <m/>
    <n v="0"/>
    <n v="3143"/>
    <n v="300"/>
    <n v="1800"/>
    <n v="0"/>
    <n v="0"/>
    <n v="0"/>
    <n v="0"/>
    <n v="5243"/>
    <n v="98254"/>
    <m/>
    <m/>
  </r>
  <r>
    <d v="2026-02-01T00:00:00"/>
    <s v="Salary"/>
    <m/>
    <s v="MOONSTONE REALINFRA PRIVATE LIMITED"/>
    <n v="2234"/>
    <s v="GUNDAREDDY "/>
    <s v="Male"/>
    <s v=""/>
    <s v="Sep 30, 2025"/>
    <s v="BPTPG4400H"/>
    <s v="101276751702"/>
    <x v="56"/>
    <s v="SENIOR EXECUTIVE HR"/>
    <x v="2"/>
    <s v="TM"/>
    <s v="PF"/>
    <s v="NA"/>
    <s v=""/>
    <s v=""/>
    <s v="793955988124"/>
    <s v="50100501671220"/>
    <s v="HDFC BANK"/>
    <s v="HDFC0004884"/>
    <n v="28"/>
    <n v="0"/>
    <n v="0"/>
    <n v="28"/>
    <n v="28"/>
    <n v="52200"/>
    <n v="52200"/>
    <n v="23490"/>
    <n v="9396"/>
    <n v="1600"/>
    <n v="200"/>
    <n v="1250"/>
    <n v="1957"/>
    <n v="4698"/>
    <n v="3524"/>
    <n v="235"/>
    <n v="822"/>
    <n v="470"/>
    <n v="117"/>
    <n v="1800"/>
    <n v="2641"/>
    <n v="0"/>
    <n v="0"/>
    <m/>
    <n v="52200"/>
    <n v="52200"/>
    <m/>
    <n v="0"/>
    <n v="0"/>
    <n v="300"/>
    <n v="1800"/>
    <n v="0"/>
    <n v="0"/>
    <n v="0"/>
    <n v="0"/>
    <n v="2100"/>
    <n v="50100"/>
    <m/>
    <m/>
  </r>
  <r>
    <d v="2026-02-01T00:00:00"/>
    <s v="Salary"/>
    <m/>
    <s v="MOONSTONE REALINFRA PRIVATE LIMITED"/>
    <n v="2273"/>
    <s v="HARSH VIJAY"/>
    <s v="Male"/>
    <s v=""/>
    <s v="Nov 17, 2025"/>
    <s v="CWBPV9777L"/>
    <s v="102267049861"/>
    <x v="6"/>
    <s v="MANAGEMENT TRAINEE"/>
    <x v="6"/>
    <s v="MT"/>
    <s v="PF"/>
    <s v="NA"/>
    <s v=""/>
    <s v=""/>
    <s v="997756624145"/>
    <s v="50100847878811"/>
    <s v="HDFC BANK"/>
    <s v="HDFC0000437"/>
    <n v="28"/>
    <n v="0"/>
    <n v="0"/>
    <n v="28"/>
    <n v="28"/>
    <n v="44033"/>
    <n v="44033"/>
    <n v="19815"/>
    <n v="7926"/>
    <n v="1600"/>
    <n v="200"/>
    <n v="1250"/>
    <n v="1651"/>
    <n v="3963"/>
    <n v="2972"/>
    <n v="198"/>
    <n v="694"/>
    <n v="396"/>
    <n v="99"/>
    <n v="1800"/>
    <n v="1469"/>
    <n v="0"/>
    <n v="0"/>
    <n v="2473"/>
    <n v="46506"/>
    <n v="44033"/>
    <m/>
    <n v="0"/>
    <n v="0"/>
    <n v="300"/>
    <n v="1800"/>
    <n v="0"/>
    <n v="0"/>
    <n v="0"/>
    <n v="0"/>
    <n v="2100"/>
    <n v="44406"/>
    <m/>
    <m/>
  </r>
  <r>
    <d v="2026-02-01T00:00:00"/>
    <s v="Salary"/>
    <m/>
    <s v="MOONSTONE REALINFRA PRIVATE LIMITED"/>
    <n v="748"/>
    <s v="KALPESH KADAM"/>
    <s v="Male"/>
    <s v=""/>
    <s v="Feb 22, 2021"/>
    <s v="DPAPK0829F"/>
    <s v="101173740664"/>
    <x v="41"/>
    <s v="MANAGER - LIAISONING"/>
    <x v="3"/>
    <s v="TM"/>
    <s v="PF"/>
    <s v="NA"/>
    <s v=""/>
    <s v=""/>
    <s v="656902116787"/>
    <s v="50100045505567"/>
    <s v="HDFC BANK"/>
    <s v="HDFC0000794"/>
    <n v="28"/>
    <n v="0"/>
    <n v="0"/>
    <n v="28"/>
    <n v="28"/>
    <n v="62333"/>
    <n v="62333"/>
    <n v="28050"/>
    <n v="11220"/>
    <n v="1600"/>
    <n v="200"/>
    <n v="1250"/>
    <n v="2337"/>
    <n v="5610"/>
    <n v="4208"/>
    <n v="281"/>
    <n v="982"/>
    <n v="561"/>
    <n v="140"/>
    <n v="1800"/>
    <n v="4094"/>
    <n v="0"/>
    <n v="0"/>
    <n v="3254"/>
    <n v="65587"/>
    <n v="62333"/>
    <m/>
    <n v="0"/>
    <n v="0"/>
    <n v="300"/>
    <n v="1800"/>
    <n v="0"/>
    <n v="0"/>
    <n v="0"/>
    <n v="31667"/>
    <n v="33767"/>
    <n v="31820"/>
    <m/>
    <m/>
  </r>
  <r>
    <d v="2026-02-01T00:00:00"/>
    <s v="Salary"/>
    <m/>
    <s v="MOONSTONE REALINFRA PRIVATE LIMITED"/>
    <n v="2214"/>
    <s v="KAMLESH BABULAL RAJPUROHIT"/>
    <s v="Male"/>
    <s v=""/>
    <s v="Sep 15, 2025"/>
    <s v="EMJPR1063R"/>
    <s v="102077336068"/>
    <x v="57"/>
    <s v="EXECUTIVE ASSISTANT"/>
    <x v="5"/>
    <s v="TM"/>
    <s v="PF"/>
    <s v="NA"/>
    <s v=""/>
    <s v=""/>
    <s v="530249989111"/>
    <s v="50100833997330"/>
    <s v="HDFC BANK"/>
    <s v="HDFC0000437"/>
    <n v="28"/>
    <n v="0"/>
    <n v="0"/>
    <n v="28"/>
    <n v="28"/>
    <n v="54867"/>
    <n v="54867"/>
    <n v="24690"/>
    <n v="9876"/>
    <n v="1600"/>
    <n v="200"/>
    <n v="1250"/>
    <n v="2057"/>
    <n v="4938"/>
    <n v="3704"/>
    <n v="247"/>
    <n v="864"/>
    <n v="494"/>
    <n v="123"/>
    <n v="1800"/>
    <n v="3024"/>
    <n v="0"/>
    <n v="0"/>
    <m/>
    <n v="54867"/>
    <n v="54867"/>
    <m/>
    <n v="0"/>
    <n v="0"/>
    <n v="300"/>
    <n v="1800"/>
    <n v="0"/>
    <n v="0"/>
    <n v="0"/>
    <n v="0"/>
    <n v="2100"/>
    <n v="52767"/>
    <m/>
    <m/>
  </r>
  <r>
    <d v="2026-02-01T00:00:00"/>
    <s v="Salary"/>
    <m/>
    <s v="MOONSTONE REALINFRA PRIVATE LIMITED"/>
    <n v="2239"/>
    <s v="KESAVAPATNAM SAI DIVYA"/>
    <s v="Female"/>
    <s v=""/>
    <s v="Oct 07, 2025"/>
    <s v="AXQPK7747R"/>
    <s v="100736813583"/>
    <x v="11"/>
    <s v="DEPUTY MANAGER - HR"/>
    <x v="2"/>
    <s v="TM"/>
    <s v="PF"/>
    <s v="NA"/>
    <s v=""/>
    <s v=""/>
    <s v="544132081350"/>
    <s v="50100713590393"/>
    <s v="HDFC BANK"/>
    <s v="HDFC0001210"/>
    <n v="28"/>
    <n v="0"/>
    <n v="0"/>
    <n v="28"/>
    <n v="28"/>
    <n v="89867"/>
    <n v="89867"/>
    <n v="40440"/>
    <n v="16176"/>
    <n v="1600"/>
    <n v="200"/>
    <n v="1250"/>
    <n v="3369"/>
    <n v="8088"/>
    <n v="6066"/>
    <n v="404"/>
    <n v="1415"/>
    <n v="809"/>
    <n v="202"/>
    <n v="1800"/>
    <n v="8048"/>
    <n v="0"/>
    <n v="0"/>
    <n v="2474"/>
    <n v="92341"/>
    <n v="89867"/>
    <m/>
    <n v="0"/>
    <n v="0"/>
    <n v="300"/>
    <n v="1800"/>
    <n v="0"/>
    <n v="0"/>
    <n v="0"/>
    <n v="0"/>
    <n v="2100"/>
    <n v="90241"/>
    <m/>
    <m/>
  </r>
  <r>
    <d v="2026-02-01T00:00:00"/>
    <s v="Salary"/>
    <m/>
    <s v="MOONSTONE REALINFRA PRIVATE LIMITED"/>
    <n v="2152"/>
    <s v="KEWALRAJ POUDEL"/>
    <s v="Male"/>
    <s v=""/>
    <s v="Jul 01, 2025"/>
    <s v="ETGPP5536R"/>
    <s v="102121019968"/>
    <x v="33"/>
    <s v="JUNIOR ENGINEER"/>
    <x v="0"/>
    <s v="TM"/>
    <s v="PF"/>
    <s v="NA"/>
    <s v=""/>
    <s v=""/>
    <s v="462816190119"/>
    <s v="50100815728426"/>
    <s v="HDFC BANK"/>
    <s v="HDFC0008300"/>
    <n v="28"/>
    <n v="0"/>
    <n v="0"/>
    <n v="28"/>
    <n v="28"/>
    <n v="32760"/>
    <n v="32760"/>
    <n v="14742"/>
    <n v="5897"/>
    <n v="1600"/>
    <n v="200"/>
    <n v="1250"/>
    <n v="0"/>
    <n v="0"/>
    <n v="0"/>
    <n v="0"/>
    <n v="0"/>
    <n v="0"/>
    <n v="0"/>
    <n v="1769"/>
    <n v="7302"/>
    <n v="0"/>
    <n v="0"/>
    <m/>
    <n v="32760"/>
    <n v="32760"/>
    <m/>
    <n v="0"/>
    <n v="0"/>
    <n v="300"/>
    <n v="1769"/>
    <n v="0"/>
    <n v="0"/>
    <n v="0"/>
    <n v="0"/>
    <n v="2069"/>
    <n v="30691"/>
    <m/>
    <m/>
  </r>
  <r>
    <d v="2026-02-01T00:00:00"/>
    <s v="Salary"/>
    <m/>
    <s v="MOONSTONE REALINFRA PRIVATE LIMITED"/>
    <n v="2281"/>
    <s v="KHUSHI SAGAR JOSHI"/>
    <s v="Female"/>
    <s v=""/>
    <s v="Nov 20, 2025"/>
    <s v="CKAPJ8208F"/>
    <s v="101827593005"/>
    <x v="54"/>
    <s v="ASSISTANT MANAGER - RESI. SALES"/>
    <x v="6"/>
    <s v="TM"/>
    <s v="PF"/>
    <s v="NA"/>
    <s v=""/>
    <s v=""/>
    <s v="352779432599"/>
    <s v="50100490342573"/>
    <s v="HDFC BANK"/>
    <s v="HDFC0002503"/>
    <n v="28"/>
    <n v="0"/>
    <n v="0"/>
    <n v="28"/>
    <n v="28"/>
    <n v="81533"/>
    <n v="81533"/>
    <n v="36690"/>
    <n v="14676"/>
    <n v="1600"/>
    <n v="200"/>
    <n v="1250"/>
    <n v="3056"/>
    <n v="7338"/>
    <n v="5504"/>
    <n v="367"/>
    <n v="1284"/>
    <n v="734"/>
    <n v="183"/>
    <n v="1800"/>
    <n v="6851"/>
    <n v="0"/>
    <n v="0"/>
    <m/>
    <n v="81533"/>
    <n v="81533"/>
    <m/>
    <n v="0"/>
    <n v="0"/>
    <n v="300"/>
    <n v="1800"/>
    <n v="0"/>
    <n v="0"/>
    <n v="0"/>
    <n v="0"/>
    <n v="2100"/>
    <n v="79433"/>
    <m/>
    <m/>
  </r>
  <r>
    <d v="2026-02-01T00:00:00"/>
    <s v="Salary"/>
    <m/>
    <s v="MOONSTONE REALINFRA PRIVATE LIMITED"/>
    <n v="1875"/>
    <s v="KRISHNA KUMAR TIWARI"/>
    <s v="Male"/>
    <s v=""/>
    <s v="Sep 09, 2024"/>
    <s v="AGXPT8418N"/>
    <s v="101910507765"/>
    <x v="52"/>
    <s v="DEPUTY MANAGER"/>
    <x v="6"/>
    <s v="TM"/>
    <s v="PF"/>
    <s v="NA"/>
    <s v=""/>
    <s v=""/>
    <s v="375923391923"/>
    <s v="50100755728692"/>
    <s v="HDFC BANK"/>
    <s v="HDFC0001210"/>
    <n v="28"/>
    <n v="0"/>
    <n v="1"/>
    <n v="27"/>
    <n v="27"/>
    <n v="65840"/>
    <n v="65840"/>
    <n v="28570"/>
    <n v="11428"/>
    <n v="1543"/>
    <n v="193"/>
    <n v="1205"/>
    <n v="2380"/>
    <n v="5714"/>
    <n v="4286"/>
    <n v="286"/>
    <n v="1000"/>
    <n v="571"/>
    <n v="143"/>
    <n v="1800"/>
    <n v="4370"/>
    <n v="0"/>
    <n v="0"/>
    <n v="3083"/>
    <n v="66572"/>
    <n v="63489"/>
    <m/>
    <n v="0"/>
    <n v="0"/>
    <n v="300"/>
    <n v="1800"/>
    <n v="0"/>
    <n v="0"/>
    <n v="0"/>
    <n v="0"/>
    <n v="2100"/>
    <n v="64472"/>
    <m/>
    <m/>
  </r>
  <r>
    <d v="2026-02-01T00:00:00"/>
    <s v="Salary"/>
    <m/>
    <s v="MOONSTONE REALINFRA PRIVATE LIMITED"/>
    <n v="1135"/>
    <s v="LAKSHADIP PUNDALIK THAKUR"/>
    <s v="Male"/>
    <s v=""/>
    <s v="Jul 01, 2022"/>
    <s v="AIKPT5980A"/>
    <s v="100202447925"/>
    <x v="36"/>
    <s v="GENERAL MANAGER"/>
    <x v="6"/>
    <s v="TL"/>
    <s v="PF"/>
    <s v="NA"/>
    <s v=""/>
    <s v=""/>
    <s v="332553462353"/>
    <s v="50100224949010"/>
    <s v="HDFC BANK"/>
    <s v="HDFC0003982"/>
    <n v="28"/>
    <n v="0"/>
    <n v="2"/>
    <n v="26"/>
    <n v="26"/>
    <n v="169400"/>
    <n v="169400"/>
    <n v="70785"/>
    <n v="28314"/>
    <n v="1486"/>
    <n v="186"/>
    <n v="1161"/>
    <n v="5896"/>
    <n v="14157"/>
    <n v="10618"/>
    <n v="708"/>
    <n v="2477"/>
    <n v="1416"/>
    <n v="354"/>
    <n v="1800"/>
    <n v="17942"/>
    <n v="0"/>
    <n v="0"/>
    <n v="7879"/>
    <n v="165179"/>
    <n v="157300"/>
    <m/>
    <n v="0"/>
    <n v="15012"/>
    <n v="300"/>
    <n v="1800"/>
    <n v="0"/>
    <n v="0"/>
    <n v="0"/>
    <n v="0"/>
    <n v="17112"/>
    <n v="148067"/>
    <m/>
    <m/>
  </r>
  <r>
    <d v="2026-02-01T00:00:00"/>
    <s v="Salary"/>
    <m/>
    <s v="MOONSTONE REALINFRA PRIVATE LIMITED"/>
    <n v="2272"/>
    <s v="MAHIMA RAWAL"/>
    <s v="Female"/>
    <s v=""/>
    <s v="Nov 17, 2025"/>
    <s v="DVJPR7360M"/>
    <s v="101675947536"/>
    <x v="6"/>
    <s v="MANAGEMENT TRAINEE"/>
    <x v="6"/>
    <s v="MT"/>
    <s v="PF"/>
    <s v="NA"/>
    <s v=""/>
    <s v=""/>
    <s v="707738000576"/>
    <s v="50100289085145"/>
    <s v="HDFC BANK"/>
    <s v="HDFC0001443"/>
    <n v="28"/>
    <n v="0"/>
    <n v="0"/>
    <n v="28"/>
    <n v="28"/>
    <n v="44033"/>
    <n v="44033"/>
    <n v="19815"/>
    <n v="7926"/>
    <n v="1600"/>
    <n v="200"/>
    <n v="1250"/>
    <n v="1651"/>
    <n v="3963"/>
    <n v="2972"/>
    <n v="198"/>
    <n v="694"/>
    <n v="396"/>
    <n v="99"/>
    <n v="1800"/>
    <n v="1469"/>
    <n v="0"/>
    <n v="0"/>
    <n v="937"/>
    <n v="44970"/>
    <n v="44033"/>
    <m/>
    <n v="0"/>
    <n v="0"/>
    <n v="300"/>
    <n v="1800"/>
    <n v="0"/>
    <n v="0"/>
    <n v="0"/>
    <n v="0"/>
    <n v="2100"/>
    <n v="42870"/>
    <m/>
    <m/>
  </r>
  <r>
    <d v="2026-02-01T00:00:00"/>
    <s v="Salary"/>
    <m/>
    <s v="MOONSTONE REALINFRA PRIVATE LIMITED"/>
    <n v="726"/>
    <s v="MAHVEEN SAYYED"/>
    <s v="Female"/>
    <s v=""/>
    <s v="Dec 01, 2020"/>
    <s v="NUMPS3199R"/>
    <s v="101726376057"/>
    <x v="17"/>
    <s v="RECEPTIONIST"/>
    <x v="4"/>
    <s v="TM"/>
    <s v="PF"/>
    <s v="NA"/>
    <s v=""/>
    <s v=""/>
    <s v="677097563942"/>
    <s v="50100317492831"/>
    <s v="HDFC BANK"/>
    <s v="HDFC0000007"/>
    <n v="28"/>
    <n v="0"/>
    <n v="0"/>
    <n v="28"/>
    <n v="28"/>
    <n v="27904"/>
    <n v="27904"/>
    <n v="12557"/>
    <n v="5023"/>
    <n v="1600"/>
    <n v="200"/>
    <n v="1250"/>
    <n v="0"/>
    <n v="0"/>
    <n v="0"/>
    <n v="0"/>
    <n v="0"/>
    <n v="0"/>
    <n v="0"/>
    <n v="1507"/>
    <n v="5767"/>
    <n v="0"/>
    <n v="0"/>
    <m/>
    <n v="27904"/>
    <n v="27904"/>
    <m/>
    <n v="0"/>
    <n v="0"/>
    <n v="300"/>
    <n v="1507"/>
    <n v="0"/>
    <n v="0"/>
    <n v="0"/>
    <n v="0"/>
    <n v="1807"/>
    <n v="26097"/>
    <m/>
    <m/>
  </r>
  <r>
    <d v="2026-02-01T00:00:00"/>
    <s v="Salary"/>
    <m/>
    <s v="MOONSTONE REALINFRA PRIVATE LIMITED"/>
    <n v="1722"/>
    <s v="MANOJ KUMAR VARMA"/>
    <s v="Male"/>
    <s v=""/>
    <s v="May 02, 2024"/>
    <s v="AAEPV3962E"/>
    <s v="101345330257"/>
    <x v="18"/>
    <s v="SENIOR VICE PRESIDENT"/>
    <x v="0"/>
    <s v="TH"/>
    <s v="PF"/>
    <s v="NA"/>
    <s v=""/>
    <s v=""/>
    <s v="768669459723"/>
    <s v="01531050005109"/>
    <s v="HDFC BANK"/>
    <s v="HDFC0000153"/>
    <n v="28"/>
    <n v="0"/>
    <n v="0"/>
    <n v="28"/>
    <n v="28"/>
    <n v="434795"/>
    <n v="434795"/>
    <n v="195658"/>
    <n v="78263"/>
    <n v="1600"/>
    <n v="200"/>
    <n v="1250"/>
    <n v="16298"/>
    <n v="39132"/>
    <n v="29349"/>
    <n v="1957"/>
    <n v="6848"/>
    <n v="3913"/>
    <n v="978"/>
    <n v="1800"/>
    <n v="57549"/>
    <n v="0"/>
    <n v="0"/>
    <m/>
    <n v="434795"/>
    <n v="434795"/>
    <m/>
    <n v="0"/>
    <n v="93999"/>
    <n v="300"/>
    <n v="1800"/>
    <n v="0"/>
    <n v="0"/>
    <n v="0"/>
    <n v="0"/>
    <n v="96099"/>
    <n v="338696"/>
    <m/>
    <m/>
  </r>
  <r>
    <d v="2026-02-01T00:00:00"/>
    <s v="Salary"/>
    <m/>
    <s v="MOONSTONE REALINFRA PRIVATE LIMITED"/>
    <n v="2241"/>
    <s v="MANVI DHRUVRAJ SINGH"/>
    <s v="Female"/>
    <s v=""/>
    <s v="Oct 09, 2025"/>
    <s v="OCSPS6842C"/>
    <s v="101948310999"/>
    <x v="61"/>
    <s v="SENIOR EXECUTIVE - RESI. SALES"/>
    <x v="6"/>
    <s v="TM"/>
    <s v="PF"/>
    <s v="NA"/>
    <s v=""/>
    <s v=""/>
    <s v="395020615512"/>
    <s v="50100774099998"/>
    <s v="HDFC BANK"/>
    <s v="HDFC0002690"/>
    <n v="28"/>
    <n v="0"/>
    <n v="0"/>
    <n v="28"/>
    <n v="28"/>
    <n v="47367"/>
    <n v="47367"/>
    <n v="21315"/>
    <n v="8526"/>
    <n v="1600"/>
    <n v="200"/>
    <n v="1250"/>
    <n v="1776"/>
    <n v="4263"/>
    <n v="3197"/>
    <n v="213"/>
    <n v="746"/>
    <n v="426"/>
    <n v="107"/>
    <n v="1800"/>
    <n v="1948"/>
    <n v="0"/>
    <n v="0"/>
    <m/>
    <n v="47367"/>
    <n v="47367"/>
    <m/>
    <n v="0"/>
    <n v="0"/>
    <n v="300"/>
    <n v="1800"/>
    <n v="0"/>
    <n v="0"/>
    <n v="0"/>
    <n v="0"/>
    <n v="2100"/>
    <n v="45267"/>
    <m/>
    <m/>
  </r>
  <r>
    <d v="2026-02-01T00:00:00"/>
    <s v="Salary"/>
    <m/>
    <s v="MOONSTONE REALINFRA PRIVATE LIMITED"/>
    <n v="382"/>
    <s v="MAYUR RAJAN SALUNKE"/>
    <s v="Male"/>
    <s v=""/>
    <s v="Dec 11, 2018"/>
    <s v="EIWPS6074N"/>
    <s v="101412010976"/>
    <x v="45"/>
    <s v="ASSISTANT MANAGER"/>
    <x v="2"/>
    <s v="TM"/>
    <s v="PF"/>
    <s v="NA"/>
    <s v=""/>
    <s v=""/>
    <s v="202787997088"/>
    <s v="50100624532338"/>
    <s v="HDFC BANK"/>
    <s v="HDFC0000633"/>
    <n v="28"/>
    <n v="0"/>
    <n v="0.5"/>
    <n v="27.5"/>
    <n v="27.5"/>
    <n v="36950"/>
    <n v="36950"/>
    <n v="16331"/>
    <n v="6532"/>
    <n v="1571"/>
    <n v="196"/>
    <n v="1228"/>
    <n v="0"/>
    <n v="0"/>
    <n v="0"/>
    <n v="0"/>
    <n v="0"/>
    <n v="0"/>
    <n v="0"/>
    <n v="1800"/>
    <n v="8632"/>
    <n v="0"/>
    <n v="0"/>
    <n v="5511"/>
    <n v="41801"/>
    <n v="36290"/>
    <m/>
    <n v="0"/>
    <n v="0"/>
    <n v="300"/>
    <n v="1800"/>
    <n v="0"/>
    <n v="0"/>
    <n v="0"/>
    <n v="0"/>
    <n v="2100"/>
    <n v="39701"/>
    <m/>
    <m/>
  </r>
  <r>
    <d v="2026-02-01T00:00:00"/>
    <s v="Salary"/>
    <m/>
    <s v="MOONSTONE REALINFRA PRIVATE LIMITED"/>
    <n v="511"/>
    <s v="MAYURESH LANGOTE"/>
    <s v="Male"/>
    <s v=""/>
    <s v="Aug 01, 2019"/>
    <s v="AEWPL1281L"/>
    <s v="100053793326"/>
    <x v="2"/>
    <s v="DEPUTY MANAGER"/>
    <x v="4"/>
    <s v="TM"/>
    <s v="PF"/>
    <s v="NA"/>
    <s v=""/>
    <s v=""/>
    <s v="250203086491"/>
    <s v="50100231649761"/>
    <s v="HDFC BANK"/>
    <s v="HDFC0000052"/>
    <n v="28"/>
    <n v="0"/>
    <n v="0"/>
    <n v="28"/>
    <n v="28"/>
    <n v="43308"/>
    <n v="43308"/>
    <n v="19489"/>
    <n v="7796"/>
    <n v="1600"/>
    <n v="200"/>
    <n v="1250"/>
    <n v="1623"/>
    <n v="3898"/>
    <n v="2923"/>
    <n v="195"/>
    <n v="682"/>
    <n v="390"/>
    <n v="97"/>
    <n v="1800"/>
    <n v="1365"/>
    <n v="0"/>
    <n v="0"/>
    <n v="2696"/>
    <n v="46004"/>
    <n v="43308"/>
    <m/>
    <n v="0"/>
    <n v="0"/>
    <n v="300"/>
    <n v="1800"/>
    <n v="0"/>
    <n v="0"/>
    <n v="0"/>
    <n v="0"/>
    <n v="2100"/>
    <n v="43904"/>
    <m/>
    <m/>
  </r>
  <r>
    <d v="2026-02-01T00:00:00"/>
    <s v="Salary"/>
    <m/>
    <s v="MOONSTONE REALINFRA PRIVATE LIMITED"/>
    <n v="2062"/>
    <s v="MOHAN SHRIKRISHNA UDGIRI"/>
    <s v="Male"/>
    <s v=""/>
    <s v="Mar 24, 2025"/>
    <s v="AAZPU1282B"/>
    <s v="100242792314"/>
    <x v="20"/>
    <s v="ASSISTANT GENERAL MANAGER"/>
    <x v="0"/>
    <s v="TL"/>
    <s v="PF"/>
    <s v="NA"/>
    <s v=""/>
    <s v=""/>
    <s v="524156423700"/>
    <s v="05421140100824"/>
    <s v="HDFC BANK"/>
    <s v="HDFC0000542"/>
    <n v="28"/>
    <n v="0"/>
    <n v="0"/>
    <n v="28"/>
    <n v="28"/>
    <n v="181533"/>
    <n v="181533"/>
    <n v="81690"/>
    <n v="32676"/>
    <n v="1600"/>
    <n v="200"/>
    <n v="1250"/>
    <n v="6805"/>
    <n v="16338"/>
    <n v="12254"/>
    <n v="817"/>
    <n v="2859"/>
    <n v="1634"/>
    <n v="408"/>
    <n v="1800"/>
    <n v="21202"/>
    <n v="0"/>
    <n v="0"/>
    <n v="787"/>
    <n v="182320"/>
    <n v="181533"/>
    <m/>
    <n v="0"/>
    <n v="14863"/>
    <n v="300"/>
    <n v="1800"/>
    <n v="0"/>
    <n v="0"/>
    <n v="0"/>
    <n v="0"/>
    <n v="16963"/>
    <n v="165357"/>
    <m/>
    <m/>
  </r>
  <r>
    <d v="2026-02-01T00:00:00"/>
    <s v="Salary"/>
    <m/>
    <s v="MOONSTONE REALINFRA PRIVATE LIMITED"/>
    <n v="2300"/>
    <s v="MOHIT SACHAN"/>
    <s v="Male"/>
    <s v=""/>
    <s v="Dec 10, 2025"/>
    <s v="CRQPS3492F"/>
    <s v="101770675103"/>
    <x v="20"/>
    <s v="ASSISTANT GENERAN MANAGER - RES. SALES"/>
    <x v="6"/>
    <s v="TL"/>
    <s v="PF"/>
    <s v="NA"/>
    <s v=""/>
    <s v=""/>
    <s v="570819612739"/>
    <s v="50100041124166"/>
    <s v="HDFC BANK"/>
    <s v="HDFC0000052"/>
    <n v="28"/>
    <n v="0"/>
    <n v="0"/>
    <n v="28"/>
    <n v="28"/>
    <n v="142367"/>
    <n v="142367"/>
    <n v="64065"/>
    <n v="25626"/>
    <n v="1600"/>
    <n v="200"/>
    <n v="1250"/>
    <n v="5337"/>
    <n v="12813"/>
    <n v="9610"/>
    <n v="641"/>
    <n v="2242"/>
    <n v="1281"/>
    <n v="320"/>
    <n v="1800"/>
    <n v="15582"/>
    <n v="0"/>
    <n v="0"/>
    <n v="2618"/>
    <n v="144985"/>
    <n v="142367"/>
    <m/>
    <n v="0"/>
    <n v="0"/>
    <n v="300"/>
    <n v="1800"/>
    <n v="0"/>
    <n v="0"/>
    <n v="0"/>
    <n v="0"/>
    <n v="2100"/>
    <n v="142885"/>
    <m/>
    <m/>
  </r>
  <r>
    <d v="2026-02-01T00:00:00"/>
    <s v="Salary"/>
    <m/>
    <s v="MOONSTONE REALINFRA PRIVATE LIMITED"/>
    <n v="2282"/>
    <s v="MUSKAN GUPTA"/>
    <s v="Female"/>
    <s v=""/>
    <s v="Nov 20, 2025"/>
    <s v="CBLPG6588H"/>
    <s v="101656725733"/>
    <x v="54"/>
    <s v="ASSISTANT MANAGER - SALES"/>
    <x v="6"/>
    <s v="TM"/>
    <s v="PF"/>
    <s v="NA"/>
    <s v=""/>
    <s v=""/>
    <s v="997006836878"/>
    <s v="50100272775380"/>
    <s v="HDFC BANK"/>
    <s v="HDFC0003650"/>
    <n v="28"/>
    <n v="0"/>
    <n v="0"/>
    <n v="28"/>
    <n v="28"/>
    <n v="76500"/>
    <n v="76500"/>
    <n v="34425"/>
    <n v="13770"/>
    <n v="1600"/>
    <n v="200"/>
    <n v="1250"/>
    <n v="2868"/>
    <n v="6885"/>
    <n v="5164"/>
    <n v="344"/>
    <n v="1205"/>
    <n v="689"/>
    <n v="172"/>
    <n v="1800"/>
    <n v="6128"/>
    <n v="0"/>
    <n v="0"/>
    <m/>
    <n v="76500"/>
    <n v="76500"/>
    <m/>
    <n v="0"/>
    <n v="0"/>
    <n v="300"/>
    <n v="1800"/>
    <n v="0"/>
    <n v="0"/>
    <n v="0"/>
    <n v="0"/>
    <n v="2100"/>
    <n v="74400"/>
    <m/>
    <m/>
  </r>
  <r>
    <d v="2026-02-01T00:00:00"/>
    <s v="Salary"/>
    <m/>
    <s v="MOONSTONE REALINFRA PRIVATE LIMITED"/>
    <n v="1092"/>
    <s v="NARENDRA ROHTAS MAHUR"/>
    <s v="Male"/>
    <s v=""/>
    <s v="May 16, 2022"/>
    <s v="EJTPM6853H"/>
    <s v="101646143832"/>
    <x v="54"/>
    <s v="ASSISTANT MANAGER - RESI. SALES"/>
    <x v="6"/>
    <s v="TM"/>
    <s v="PF"/>
    <s v="NA"/>
    <s v=""/>
    <s v=""/>
    <s v="325860489575"/>
    <s v="50100654540599"/>
    <s v="HDFC BANK"/>
    <s v="HDFC0000007"/>
    <n v="28"/>
    <n v="0"/>
    <n v="1"/>
    <n v="27"/>
    <n v="27"/>
    <n v="71927"/>
    <n v="71927"/>
    <n v="31211"/>
    <n v="12484"/>
    <n v="1543"/>
    <n v="193"/>
    <n v="1205"/>
    <n v="2600"/>
    <n v="6242"/>
    <n v="4682"/>
    <n v="312"/>
    <n v="1092"/>
    <n v="624"/>
    <n v="156"/>
    <n v="1800"/>
    <n v="5214"/>
    <n v="0"/>
    <n v="0"/>
    <n v="1419"/>
    <n v="70777"/>
    <n v="69358"/>
    <m/>
    <n v="0"/>
    <n v="0"/>
    <n v="300"/>
    <n v="1800"/>
    <n v="0"/>
    <n v="0"/>
    <n v="0"/>
    <n v="0"/>
    <n v="2100"/>
    <n v="68677"/>
    <m/>
    <m/>
  </r>
  <r>
    <d v="2026-02-01T00:00:00"/>
    <s v="Salary"/>
    <m/>
    <s v="MOONSTONE REALINFRA PRIVATE LIMITED"/>
    <n v="1506"/>
    <s v="NILESH SUDAM DODAKE"/>
    <s v="Male"/>
    <s v=""/>
    <s v="Aug 16, 2023"/>
    <s v="ATZPD2744A"/>
    <s v="101985884549"/>
    <x v="22"/>
    <s v="SUPERVISOR"/>
    <x v="0"/>
    <s v="TM"/>
    <s v="PF"/>
    <s v="NA"/>
    <s v=""/>
    <s v=""/>
    <s v="800783241563"/>
    <s v="50100624533443"/>
    <s v="HDFC BANK"/>
    <s v="HDFC0000007"/>
    <n v="28"/>
    <n v="0"/>
    <n v="0.5"/>
    <n v="27.5"/>
    <n v="27.5"/>
    <n v="49575"/>
    <n v="49575"/>
    <n v="21911"/>
    <n v="8764"/>
    <n v="1571"/>
    <n v="196"/>
    <n v="1228"/>
    <n v="1825"/>
    <n v="4382"/>
    <n v="3287"/>
    <n v="219"/>
    <n v="767"/>
    <n v="438"/>
    <n v="110"/>
    <n v="1800"/>
    <n v="2192"/>
    <n v="0"/>
    <n v="0"/>
    <m/>
    <n v="48690"/>
    <n v="48690"/>
    <m/>
    <n v="0"/>
    <n v="0"/>
    <n v="300"/>
    <n v="1800"/>
    <n v="0"/>
    <n v="0"/>
    <n v="0"/>
    <n v="0"/>
    <n v="2100"/>
    <n v="46590"/>
    <m/>
    <m/>
  </r>
  <r>
    <d v="2026-02-01T00:00:00"/>
    <s v="Salary"/>
    <m/>
    <s v="MOONSTONE REALINFRA PRIVATE LIMITED"/>
    <n v="1700"/>
    <s v="NITEESH SHARMA"/>
    <s v="Male"/>
    <s v=""/>
    <s v="Apr 11, 2024"/>
    <s v="BYHPS8894Q"/>
    <s v="101416879888"/>
    <x v="54"/>
    <s v="ASSISTANT MANAGER - RESI. SALES"/>
    <x v="6"/>
    <s v="TM"/>
    <s v="PF"/>
    <s v="NA"/>
    <s v=""/>
    <s v=""/>
    <s v="461172332390"/>
    <s v="99991911230890"/>
    <s v="HDFC BANK"/>
    <s v="HDFC0001210"/>
    <n v="28"/>
    <n v="0"/>
    <n v="0"/>
    <n v="28"/>
    <n v="28"/>
    <n v="79907"/>
    <n v="79907"/>
    <n v="35958"/>
    <n v="14383"/>
    <n v="1600"/>
    <n v="200"/>
    <n v="1250"/>
    <n v="2995"/>
    <n v="7192"/>
    <n v="5394"/>
    <n v="360"/>
    <n v="1259"/>
    <n v="719"/>
    <n v="180"/>
    <n v="1800"/>
    <n v="6617"/>
    <n v="0"/>
    <n v="0"/>
    <n v="1819"/>
    <n v="81726"/>
    <n v="79907"/>
    <m/>
    <n v="0"/>
    <n v="0"/>
    <n v="300"/>
    <n v="1800"/>
    <n v="0"/>
    <n v="0"/>
    <n v="0"/>
    <n v="0"/>
    <n v="2100"/>
    <n v="79626"/>
    <m/>
    <m/>
  </r>
  <r>
    <d v="2026-02-01T00:00:00"/>
    <s v="Salary"/>
    <m/>
    <s v="MOONSTONE REALINFRA PRIVATE LIMITED"/>
    <n v="2270"/>
    <s v="OM RAJESH MALPE"/>
    <s v="Male"/>
    <s v=""/>
    <s v="Nov 17, 2025"/>
    <s v="GULPM4704E"/>
    <s v="102267032535"/>
    <x v="6"/>
    <s v="MANAGEMENT TRAINEE"/>
    <x v="6"/>
    <s v="MT"/>
    <s v="PF"/>
    <s v="NA"/>
    <s v=""/>
    <s v=""/>
    <s v="457332892501"/>
    <s v="50100847876498"/>
    <s v="HDFC BANK"/>
    <s v="HDFC0000437"/>
    <n v="28"/>
    <n v="0"/>
    <n v="0"/>
    <n v="28"/>
    <n v="28"/>
    <n v="44033"/>
    <n v="44033"/>
    <n v="19815"/>
    <n v="7926"/>
    <n v="1600"/>
    <n v="200"/>
    <n v="1250"/>
    <n v="1651"/>
    <n v="3963"/>
    <n v="2972"/>
    <n v="198"/>
    <n v="694"/>
    <n v="396"/>
    <n v="99"/>
    <n v="1800"/>
    <n v="1469"/>
    <n v="0"/>
    <n v="0"/>
    <m/>
    <n v="44033"/>
    <n v="44033"/>
    <m/>
    <n v="0"/>
    <n v="0"/>
    <n v="300"/>
    <n v="1800"/>
    <n v="0"/>
    <n v="0"/>
    <n v="0"/>
    <n v="0"/>
    <n v="2100"/>
    <n v="41933"/>
    <m/>
    <m/>
  </r>
  <r>
    <d v="2026-02-01T00:00:00"/>
    <s v="Salary"/>
    <m/>
    <s v="MOONSTONE REALINFRA PRIVATE LIMITED"/>
    <n v="2289"/>
    <s v="POOJA MARUTI PASALKAR"/>
    <s v="Female"/>
    <s v=""/>
    <s v="Nov 27, 2025"/>
    <s v="CHLPP6869G"/>
    <s v="101057246841"/>
    <x v="30"/>
    <s v="SENIOR  EXECUTIVE - ACCOUNTS"/>
    <x v="5"/>
    <s v="TM"/>
    <s v="PF"/>
    <s v="NA"/>
    <s v=""/>
    <s v=""/>
    <s v="327110703241"/>
    <s v="50100258660340"/>
    <s v="HDFC BANK"/>
    <s v="HDFC0003649"/>
    <n v="28"/>
    <n v="0"/>
    <n v="0"/>
    <n v="28"/>
    <n v="28"/>
    <n v="52200"/>
    <n v="52200"/>
    <n v="23490"/>
    <n v="9396"/>
    <n v="1600"/>
    <n v="200"/>
    <n v="1250"/>
    <n v="1957"/>
    <n v="4698"/>
    <n v="3524"/>
    <n v="235"/>
    <n v="822"/>
    <n v="470"/>
    <n v="117"/>
    <n v="1800"/>
    <n v="2641"/>
    <n v="0"/>
    <n v="0"/>
    <m/>
    <n v="52200"/>
    <n v="52200"/>
    <m/>
    <n v="0"/>
    <n v="0"/>
    <n v="300"/>
    <n v="1800"/>
    <n v="0"/>
    <n v="0"/>
    <n v="0"/>
    <n v="0"/>
    <n v="2100"/>
    <n v="50100"/>
    <m/>
    <m/>
  </r>
  <r>
    <d v="2026-02-01T00:00:00"/>
    <s v="Salary"/>
    <m/>
    <s v="MOONSTONE REALINFRA PRIVATE LIMITED"/>
    <n v="737"/>
    <s v="PRADIP POFALE"/>
    <s v="Male"/>
    <s v=""/>
    <s v="Jan 05, 2021"/>
    <s v="FJPPP4191E"/>
    <s v="101287262182"/>
    <x v="21"/>
    <s v="EXECUTIVE - ADMIN"/>
    <x v="2"/>
    <s v="TM"/>
    <s v="PF"/>
    <s v="NA"/>
    <s v=""/>
    <s v=""/>
    <s v="348597161366"/>
    <s v="50100624534038"/>
    <s v="HDFC BANK"/>
    <s v="HDFC0000007"/>
    <n v="28"/>
    <n v="0"/>
    <n v="0"/>
    <n v="28"/>
    <n v="28"/>
    <n v="22933"/>
    <n v="22933"/>
    <n v="10320"/>
    <n v="4128"/>
    <n v="1600"/>
    <n v="200"/>
    <n v="1250"/>
    <n v="0"/>
    <n v="0"/>
    <n v="0"/>
    <n v="0"/>
    <n v="0"/>
    <n v="0"/>
    <n v="0"/>
    <n v="1238"/>
    <n v="4197"/>
    <n v="0"/>
    <n v="740"/>
    <n v="3400"/>
    <n v="27073"/>
    <n v="23673"/>
    <m/>
    <n v="0"/>
    <n v="0"/>
    <n v="300"/>
    <n v="1238"/>
    <n v="0"/>
    <n v="0"/>
    <n v="0"/>
    <n v="0"/>
    <n v="1538"/>
    <n v="25535"/>
    <m/>
    <m/>
  </r>
  <r>
    <d v="2026-02-01T00:00:00"/>
    <s v="Salary"/>
    <m/>
    <s v="MOONSTONE REALINFRA PRIVATE LIMITED"/>
    <n v="649"/>
    <s v="PRAJAKTA KULKARNI"/>
    <s v="Female"/>
    <s v=""/>
    <s v="Feb 01, 2020"/>
    <s v="BJHPK2873G"/>
    <s v="101902983475"/>
    <x v="65"/>
    <s v="GENERAL MANAGER"/>
    <x v="2"/>
    <s v="TL"/>
    <s v="PF"/>
    <s v="NA"/>
    <s v=""/>
    <s v=""/>
    <s v="287366904609"/>
    <s v="50100317874269"/>
    <s v="HDFC BANK"/>
    <s v="HDFC0000007"/>
    <n v="28"/>
    <n v="0"/>
    <n v="1"/>
    <n v="27"/>
    <n v="27"/>
    <n v="183333"/>
    <n v="183333"/>
    <n v="79553"/>
    <n v="31821"/>
    <n v="1543"/>
    <n v="193"/>
    <n v="1205"/>
    <n v="6627"/>
    <n v="15911"/>
    <n v="11933"/>
    <n v="796"/>
    <n v="2784"/>
    <n v="1591"/>
    <n v="398"/>
    <n v="1800"/>
    <n v="20630"/>
    <n v="0"/>
    <n v="0"/>
    <m/>
    <n v="184627"/>
    <n v="184627"/>
    <m/>
    <n v="0"/>
    <n v="24745"/>
    <n v="300"/>
    <n v="1800"/>
    <n v="0"/>
    <n v="0"/>
    <n v="0"/>
    <n v="0"/>
    <n v="26845"/>
    <n v="157782"/>
    <m/>
    <m/>
  </r>
  <r>
    <d v="2026-02-01T00:00:00"/>
    <s v="Salary"/>
    <m/>
    <s v="MOONSTONE REALINFRA PRIVATE LIMITED"/>
    <n v="1746"/>
    <s v="PRAMOD HANMANT PAWAR"/>
    <s v="Male"/>
    <s v=""/>
    <s v="May 20, 2024"/>
    <s v="DFHPP2315Q"/>
    <s v="102021330261"/>
    <x v="25"/>
    <s v="PAINTER"/>
    <x v="2"/>
    <s v="SS"/>
    <s v="PF"/>
    <s v="NA"/>
    <s v=""/>
    <s v=""/>
    <s v="464124497454"/>
    <s v="50100317492692"/>
    <s v="HDFC BANK"/>
    <s v="HDFC0000007"/>
    <n v="28"/>
    <n v="0"/>
    <n v="0"/>
    <n v="28"/>
    <n v="28"/>
    <n v="28500"/>
    <n v="28500"/>
    <n v="12825"/>
    <n v="5130"/>
    <n v="1600"/>
    <n v="200"/>
    <n v="1250"/>
    <n v="0"/>
    <n v="0"/>
    <n v="0"/>
    <n v="0"/>
    <n v="0"/>
    <n v="0"/>
    <n v="0"/>
    <n v="1539"/>
    <n v="5956"/>
    <n v="0"/>
    <n v="0"/>
    <n v="3086"/>
    <n v="31586"/>
    <n v="28500"/>
    <m/>
    <n v="0"/>
    <n v="0"/>
    <n v="300"/>
    <n v="1539"/>
    <n v="0"/>
    <n v="0"/>
    <n v="0"/>
    <n v="0"/>
    <n v="1839"/>
    <n v="29747"/>
    <m/>
    <m/>
  </r>
  <r>
    <d v="2026-02-01T00:00:00"/>
    <s v="Salary"/>
    <m/>
    <s v="MOONSTONE REALINFRA PRIVATE LIMITED"/>
    <n v="2252"/>
    <s v="PRANAV DILIP JADHAV"/>
    <s v="Male"/>
    <s v=""/>
    <s v="Oct 27, 2025"/>
    <s v="APIPJ3777J"/>
    <s v="101813329564"/>
    <x v="62"/>
    <s v="SENIOR  EXECUTIVE - ACCOUNTS"/>
    <x v="5"/>
    <s v="TM"/>
    <s v="PF"/>
    <s v="NA"/>
    <s v=""/>
    <s v=""/>
    <s v="384265861977"/>
    <s v="50100382069641"/>
    <s v="HDFC BANK"/>
    <s v="HDFC0000104"/>
    <n v="28"/>
    <n v="0"/>
    <n v="0"/>
    <n v="28"/>
    <n v="28"/>
    <n v="52200"/>
    <n v="52200"/>
    <n v="23490"/>
    <n v="9396"/>
    <n v="1600"/>
    <n v="200"/>
    <n v="1250"/>
    <n v="1957"/>
    <n v="4698"/>
    <n v="3524"/>
    <n v="235"/>
    <n v="822"/>
    <n v="470"/>
    <n v="117"/>
    <n v="1800"/>
    <n v="2641"/>
    <n v="0"/>
    <n v="0"/>
    <m/>
    <n v="52200"/>
    <n v="52200"/>
    <m/>
    <n v="0"/>
    <n v="0"/>
    <n v="300"/>
    <n v="1800"/>
    <n v="0"/>
    <n v="0"/>
    <n v="0"/>
    <n v="0"/>
    <n v="2100"/>
    <n v="50100"/>
    <m/>
    <m/>
  </r>
  <r>
    <d v="2026-02-01T00:00:00"/>
    <s v="Salary"/>
    <m/>
    <s v="MOONSTONE REALINFRA PRIVATE LIMITED"/>
    <n v="1771"/>
    <s v="PRASENJEET TATYARAM RANPISE"/>
    <s v="Male"/>
    <s v=""/>
    <s v="Jun 03, 2024"/>
    <s v="BEAPR4151J"/>
    <s v="101090722152"/>
    <x v="52"/>
    <s v="DEPUTY MANAGER - RESI. SALES"/>
    <x v="6"/>
    <s v="TM"/>
    <s v="PF"/>
    <s v="NA"/>
    <s v=""/>
    <s v=""/>
    <s v="327697944280"/>
    <s v="50100198966720"/>
    <s v="HDFC BANK"/>
    <s v="HDFC0001578"/>
    <n v="28"/>
    <n v="0"/>
    <n v="0"/>
    <n v="28"/>
    <n v="28"/>
    <n v="92504"/>
    <n v="92504"/>
    <n v="41627"/>
    <n v="16651"/>
    <n v="1600"/>
    <n v="200"/>
    <n v="1250"/>
    <n v="3468"/>
    <n v="8325"/>
    <n v="6244"/>
    <n v="416"/>
    <n v="1457"/>
    <n v="833"/>
    <n v="208"/>
    <n v="1800"/>
    <n v="8425"/>
    <n v="0"/>
    <n v="0"/>
    <n v="213"/>
    <n v="92717"/>
    <n v="92504"/>
    <m/>
    <n v="0"/>
    <n v="0"/>
    <n v="300"/>
    <n v="1800"/>
    <n v="0"/>
    <n v="0"/>
    <n v="0"/>
    <n v="0"/>
    <n v="2100"/>
    <n v="90617"/>
    <m/>
    <m/>
  </r>
  <r>
    <d v="2026-02-01T00:00:00"/>
    <s v="Salary"/>
    <m/>
    <s v="MOONSTONE REALINFRA PRIVATE LIMITED"/>
    <n v="1445"/>
    <s v="PRASHANT SUDAM GADRE"/>
    <s v="Male"/>
    <s v=""/>
    <s v="Jun 01, 2023"/>
    <s v="AUVPG5057A"/>
    <s v="101403170926"/>
    <x v="4"/>
    <s v="Site Supervisor"/>
    <x v="0"/>
    <s v="TM"/>
    <s v="PF"/>
    <s v="NA"/>
    <s v=""/>
    <s v=""/>
    <s v="879059513265"/>
    <s v="50100268119865"/>
    <s v="HDFC BANK"/>
    <s v="HDFC0002493"/>
    <n v="28"/>
    <n v="0"/>
    <n v="0"/>
    <n v="28"/>
    <n v="28"/>
    <n v="50225"/>
    <n v="50225"/>
    <n v="22601"/>
    <n v="9040"/>
    <n v="1600"/>
    <n v="200"/>
    <n v="1250"/>
    <n v="1883"/>
    <n v="4520"/>
    <n v="3390"/>
    <n v="226"/>
    <n v="791"/>
    <n v="452"/>
    <n v="113"/>
    <n v="1800"/>
    <n v="2359"/>
    <n v="0"/>
    <n v="0"/>
    <m/>
    <n v="50225"/>
    <n v="50225"/>
    <m/>
    <n v="0"/>
    <n v="0"/>
    <n v="300"/>
    <n v="1800"/>
    <n v="0"/>
    <n v="0"/>
    <n v="0"/>
    <n v="0"/>
    <n v="2100"/>
    <n v="48125"/>
    <m/>
    <m/>
  </r>
  <r>
    <d v="2026-02-01T00:00:00"/>
    <s v="Salary"/>
    <m/>
    <s v="MOONSTONE REALINFRA PRIVATE LIMITED"/>
    <n v="1932"/>
    <s v="PRATHMESH MAKARAND PATWARDHAN"/>
    <s v="Male"/>
    <s v=""/>
    <s v="Nov 21, 2024"/>
    <s v="DIPPP8235N"/>
    <s v="101650676266"/>
    <x v="26"/>
    <s v="ENGINEERING - COORDINATOR"/>
    <x v="0"/>
    <s v="TM"/>
    <s v="PF"/>
    <s v="NA"/>
    <s v=""/>
    <s v=""/>
    <s v="989836806639"/>
    <s v="50100773207162"/>
    <s v="HDFC BANK"/>
    <s v="HDFC0001210"/>
    <n v="28"/>
    <n v="0"/>
    <n v="2"/>
    <n v="26"/>
    <n v="26"/>
    <n v="30700"/>
    <n v="30700"/>
    <n v="12828"/>
    <n v="5131"/>
    <n v="1486"/>
    <n v="186"/>
    <n v="1161"/>
    <n v="0"/>
    <n v="0"/>
    <n v="0"/>
    <n v="0"/>
    <n v="0"/>
    <n v="0"/>
    <n v="0"/>
    <n v="1539"/>
    <n v="6176"/>
    <n v="0"/>
    <n v="0"/>
    <m/>
    <n v="28507"/>
    <n v="28507"/>
    <m/>
    <n v="0"/>
    <n v="0"/>
    <n v="300"/>
    <n v="1539"/>
    <n v="0"/>
    <n v="0"/>
    <n v="0"/>
    <n v="0"/>
    <n v="1839"/>
    <n v="26668"/>
    <m/>
    <m/>
  </r>
  <r>
    <d v="2026-02-01T00:00:00"/>
    <s v="Salary"/>
    <m/>
    <s v="MOONSTONE REALINFRA PRIVATE LIMITED"/>
    <n v="2014"/>
    <s v="RAHUL SANJAY SONAWANE"/>
    <s v="Male"/>
    <s v=""/>
    <s v="Feb 17, 2025"/>
    <s v="COZPS7657L"/>
    <s v="102171897905"/>
    <x v="27"/>
    <s v="EXECUTIVE - POSSESSION SUPPORT"/>
    <x v="2"/>
    <s v="TM"/>
    <s v="PF"/>
    <s v="NA"/>
    <s v=""/>
    <s v=""/>
    <s v="969590676456"/>
    <s v="50100731567322"/>
    <s v="HDFC BANK"/>
    <s v="HDFC0000007"/>
    <n v="28"/>
    <n v="0"/>
    <n v="1"/>
    <n v="27"/>
    <n v="27"/>
    <n v="32033"/>
    <n v="32033"/>
    <n v="13900"/>
    <n v="5560"/>
    <n v="1543"/>
    <n v="193"/>
    <n v="1205"/>
    <n v="0"/>
    <n v="0"/>
    <n v="0"/>
    <n v="0"/>
    <n v="0"/>
    <n v="0"/>
    <n v="0"/>
    <n v="1668"/>
    <n v="6820"/>
    <n v="0"/>
    <n v="0"/>
    <n v="4343"/>
    <n v="35232"/>
    <n v="30889"/>
    <m/>
    <n v="0"/>
    <n v="0"/>
    <n v="300"/>
    <n v="1668"/>
    <n v="0"/>
    <n v="0"/>
    <n v="0"/>
    <n v="0"/>
    <n v="1968"/>
    <n v="33264"/>
    <m/>
    <m/>
  </r>
  <r>
    <d v="2026-02-01T00:00:00"/>
    <s v="Salary"/>
    <m/>
    <s v="MOONSTONE REALINFRA PRIVATE LIMITED"/>
    <n v="2190"/>
    <s v="RAHUL SAYAJI SHETE"/>
    <s v="Male"/>
    <s v=""/>
    <s v="Aug 18, 2025"/>
    <s v="LVGPS7330P"/>
    <s v="102106669268"/>
    <x v="44"/>
    <s v="POSSESSION EXECUTIVE"/>
    <x v="4"/>
    <s v="TM"/>
    <s v="PF"/>
    <s v="NA"/>
    <s v=""/>
    <s v=""/>
    <s v="330583203857"/>
    <s v="50100709895411"/>
    <s v="HDFC BANK"/>
    <s v="HDFC0009332"/>
    <n v="28"/>
    <n v="0"/>
    <n v="0"/>
    <n v="28"/>
    <n v="28"/>
    <n v="24438"/>
    <n v="24438"/>
    <n v="10997"/>
    <n v="4399"/>
    <n v="1600"/>
    <n v="200"/>
    <n v="1250"/>
    <n v="0"/>
    <n v="0"/>
    <n v="0"/>
    <n v="0"/>
    <n v="0"/>
    <n v="0"/>
    <n v="0"/>
    <n v="1320"/>
    <n v="4672"/>
    <n v="0"/>
    <n v="0"/>
    <n v="11174"/>
    <n v="35612"/>
    <n v="24438"/>
    <m/>
    <n v="0"/>
    <n v="0"/>
    <n v="300"/>
    <n v="1320"/>
    <n v="0"/>
    <n v="0"/>
    <n v="0"/>
    <n v="0"/>
    <n v="1620"/>
    <n v="33992"/>
    <m/>
    <m/>
  </r>
  <r>
    <d v="2026-02-01T00:00:00"/>
    <s v="Salary"/>
    <m/>
    <s v="MOONSTONE REALINFRA PRIVATE LIMITED"/>
    <n v="1480"/>
    <s v="RAKESH DNYANOBA SONAWANE"/>
    <s v="Male"/>
    <s v=""/>
    <s v="Jul 19, 2023"/>
    <s v="DJBPS0548N"/>
    <s v="100318745002"/>
    <x v="1"/>
    <s v="ASSISTANT PROJECT MANAGER"/>
    <x v="0"/>
    <s v="TM"/>
    <s v="PF"/>
    <s v="NA"/>
    <s v=""/>
    <s v=""/>
    <s v="815335472494"/>
    <s v="50100098216176"/>
    <s v="HDFC BANK"/>
    <s v="HDFC0000359"/>
    <n v="28"/>
    <n v="0"/>
    <n v="0.5"/>
    <n v="27.5"/>
    <n v="27.5"/>
    <n v="72817"/>
    <n v="72817"/>
    <n v="32183"/>
    <n v="12873"/>
    <n v="1571"/>
    <n v="196"/>
    <n v="1228"/>
    <n v="2681"/>
    <n v="6437"/>
    <n v="4827"/>
    <n v="322"/>
    <n v="1126"/>
    <n v="644"/>
    <n v="161"/>
    <n v="1800"/>
    <n v="5468"/>
    <n v="0"/>
    <n v="1400"/>
    <m/>
    <n v="72917"/>
    <n v="72917"/>
    <m/>
    <n v="0"/>
    <n v="0"/>
    <n v="300"/>
    <n v="1800"/>
    <n v="0"/>
    <n v="0"/>
    <n v="0"/>
    <n v="0"/>
    <n v="2100"/>
    <n v="70817"/>
    <m/>
    <m/>
  </r>
  <r>
    <d v="2026-02-01T00:00:00"/>
    <s v="Salary"/>
    <m/>
    <s v="MOONSTONE REALINFRA PRIVATE LIMITED"/>
    <n v="405"/>
    <s v="RATIKANT RAMA CHANDRA ROUT"/>
    <s v="Male"/>
    <s v=""/>
    <s v="Dec 11, 2018"/>
    <s v="BKMPR1999E"/>
    <s v="101411918080"/>
    <x v="7"/>
    <s v="EXECUTIVE - POSSESSION"/>
    <x v="2"/>
    <s v="TM"/>
    <s v="PF"/>
    <s v="NA"/>
    <s v=""/>
    <s v=""/>
    <s v="516990099788"/>
    <s v="50100317879206"/>
    <s v="HDFC BANK"/>
    <s v="HDFC0000007"/>
    <n v="28"/>
    <n v="0"/>
    <n v="2"/>
    <n v="26"/>
    <n v="26"/>
    <n v="33167"/>
    <n v="33167"/>
    <n v="13859"/>
    <n v="5544"/>
    <n v="1486"/>
    <n v="186"/>
    <n v="1161"/>
    <n v="0"/>
    <n v="0"/>
    <n v="0"/>
    <n v="0"/>
    <n v="0"/>
    <n v="0"/>
    <n v="0"/>
    <n v="1663"/>
    <n v="6899"/>
    <n v="0"/>
    <n v="0"/>
    <n v="366"/>
    <n v="31164"/>
    <n v="30798"/>
    <m/>
    <n v="0"/>
    <n v="0"/>
    <n v="300"/>
    <n v="1663"/>
    <n v="0"/>
    <n v="0"/>
    <n v="0"/>
    <n v="0"/>
    <n v="1963"/>
    <n v="29201"/>
    <m/>
    <m/>
  </r>
  <r>
    <d v="2026-02-01T00:00:00"/>
    <s v="Salary"/>
    <m/>
    <s v="MOONSTONE REALINFRA PRIVATE LIMITED"/>
    <n v="1916"/>
    <s v="RAVI BHARTI"/>
    <s v="Male"/>
    <s v=""/>
    <s v="Nov 11, 2024"/>
    <s v="BKLPB8249J"/>
    <s v="101569634502"/>
    <x v="2"/>
    <s v="DEPUTY MANAGER"/>
    <x v="1"/>
    <s v="TM"/>
    <s v="PF"/>
    <s v="NA"/>
    <s v=""/>
    <s v=""/>
    <s v="844495303708"/>
    <s v="50100585317756"/>
    <s v="HDFC BANK"/>
    <s v="HDFC0000627"/>
    <n v="28"/>
    <n v="0"/>
    <n v="0"/>
    <n v="28"/>
    <n v="28"/>
    <n v="94033"/>
    <n v="94033"/>
    <n v="42315"/>
    <n v="16926"/>
    <n v="1600"/>
    <n v="200"/>
    <n v="1250"/>
    <n v="3525"/>
    <n v="8463"/>
    <n v="6347"/>
    <n v="423"/>
    <n v="1481"/>
    <n v="846"/>
    <n v="212"/>
    <n v="1800"/>
    <n v="8645"/>
    <n v="0"/>
    <n v="0"/>
    <n v="820"/>
    <n v="94853"/>
    <n v="94033"/>
    <m/>
    <n v="0"/>
    <n v="0"/>
    <n v="300"/>
    <n v="1800"/>
    <n v="0"/>
    <n v="0"/>
    <n v="0"/>
    <n v="0"/>
    <n v="2100"/>
    <n v="92753"/>
    <m/>
    <m/>
  </r>
  <r>
    <d v="2026-02-01T00:00:00"/>
    <s v="Salary"/>
    <m/>
    <s v="MOONSTONE REALINFRA PRIVATE LIMITED"/>
    <n v="1093"/>
    <s v="RISHABH CHANDEL"/>
    <s v="Male"/>
    <s v=""/>
    <s v="May 16, 2022"/>
    <s v="BAOPC6525R"/>
    <s v="101633454393"/>
    <x v="53"/>
    <s v="SENIOR MANAGER"/>
    <x v="6"/>
    <s v="TL"/>
    <s v="PF"/>
    <s v="NA"/>
    <s v=""/>
    <s v=""/>
    <s v="821066376289"/>
    <s v="50100312589050"/>
    <s v="HDFC BANK"/>
    <s v="HDFC0009453"/>
    <n v="28"/>
    <n v="0"/>
    <n v="0"/>
    <n v="10"/>
    <n v="10"/>
    <n v="96667"/>
    <n v="96667"/>
    <n v="15536"/>
    <n v="6214"/>
    <n v="571"/>
    <n v="200"/>
    <n v="446"/>
    <n v="1294"/>
    <n v="3107"/>
    <n v="2330"/>
    <n v="155"/>
    <n v="544"/>
    <n v="311"/>
    <n v="78"/>
    <n v="1800"/>
    <n v="1938"/>
    <n v="0"/>
    <n v="0"/>
    <n v="3396"/>
    <n v="37920"/>
    <n v="34524"/>
    <m/>
    <n v="0"/>
    <n v="16281"/>
    <n v="300"/>
    <n v="1800"/>
    <n v="0"/>
    <n v="0"/>
    <n v="0"/>
    <n v="0"/>
    <n v="18381"/>
    <n v="19539"/>
    <m/>
    <m/>
  </r>
  <r>
    <d v="2026-02-01T00:00:00"/>
    <s v="Salary"/>
    <m/>
    <s v="MOONSTONE REALINFRA PRIVATE LIMITED"/>
    <n v="2287"/>
    <s v="RUSHIKESH RAJESH RAUT"/>
    <s v="Male"/>
    <s v=""/>
    <s v="Nov 25, 2025"/>
    <s v="FAQPR4627P"/>
    <s v="102001267668"/>
    <x v="45"/>
    <s v="ASSISTANT MANAGER"/>
    <x v="6"/>
    <s v="TM"/>
    <s v="PF"/>
    <s v="NA"/>
    <s v=""/>
    <s v=""/>
    <s v="837091508388"/>
    <s v="50100730710140"/>
    <s v="HDFC BANK"/>
    <s v="HDFC0000103"/>
    <n v="28"/>
    <n v="0"/>
    <n v="0"/>
    <n v="28"/>
    <n v="28"/>
    <n v="66200"/>
    <n v="66200"/>
    <n v="29790"/>
    <n v="11916"/>
    <n v="1600"/>
    <n v="200"/>
    <n v="1250"/>
    <n v="2482"/>
    <n v="5958"/>
    <n v="4469"/>
    <n v="298"/>
    <n v="1043"/>
    <n v="596"/>
    <n v="149"/>
    <n v="1800"/>
    <n v="4649"/>
    <n v="0"/>
    <n v="0"/>
    <n v="3442"/>
    <n v="69642"/>
    <n v="66200"/>
    <m/>
    <n v="0"/>
    <n v="0"/>
    <n v="300"/>
    <n v="1800"/>
    <n v="0"/>
    <n v="0"/>
    <n v="0"/>
    <n v="0"/>
    <n v="2100"/>
    <n v="67542"/>
    <m/>
    <m/>
  </r>
  <r>
    <d v="2026-02-01T00:00:00"/>
    <s v="Salary"/>
    <m/>
    <s v="MOONSTONE REALINFRA PRIVATE LIMITED"/>
    <n v="2261"/>
    <s v="SACHIN ASHOK PAWAR"/>
    <s v="Male"/>
    <s v=""/>
    <s v="Nov 07, 2025"/>
    <s v="DTMPP4631Q"/>
    <s v="100996638416"/>
    <x v="35"/>
    <s v="OFFICE ASSISTANT"/>
    <x v="2"/>
    <s v="SS"/>
    <s v="PF"/>
    <s v="NA"/>
    <s v=""/>
    <s v=""/>
    <s v="920319128160"/>
    <s v="50100400164872"/>
    <s v="HDFC BANK"/>
    <s v="HDFC0000039"/>
    <n v="28"/>
    <n v="0"/>
    <n v="0"/>
    <n v="28"/>
    <n v="28"/>
    <n v="27519"/>
    <n v="27519"/>
    <n v="12384"/>
    <n v="4954"/>
    <n v="1600"/>
    <n v="200"/>
    <n v="1250"/>
    <n v="0"/>
    <n v="0"/>
    <n v="0"/>
    <n v="0"/>
    <n v="0"/>
    <n v="0"/>
    <n v="0"/>
    <n v="1486"/>
    <n v="5645"/>
    <n v="0"/>
    <n v="238"/>
    <m/>
    <n v="27757"/>
    <n v="27757"/>
    <m/>
    <n v="0"/>
    <n v="0"/>
    <n v="300"/>
    <n v="1486"/>
    <n v="0"/>
    <n v="0"/>
    <n v="0"/>
    <n v="0"/>
    <n v="1786"/>
    <n v="25971"/>
    <m/>
    <m/>
  </r>
  <r>
    <d v="2026-02-01T00:00:00"/>
    <s v="Salary"/>
    <m/>
    <s v="MOONSTONE REALINFRA PRIVATE LIMITED"/>
    <n v="2279"/>
    <s v="SAGAR MAITY"/>
    <s v="Male"/>
    <s v=""/>
    <s v="Nov 17, 2025"/>
    <s v="GSSPM2737N"/>
    <s v="102267033942"/>
    <x v="6"/>
    <s v="MANAGEMENT TRAINEE"/>
    <x v="6"/>
    <s v="MT"/>
    <s v="PF"/>
    <s v="NA"/>
    <s v=""/>
    <s v=""/>
    <s v="428582736571"/>
    <s v="50100847876561"/>
    <s v="HDFC BANK"/>
    <s v="HDFC0000437"/>
    <n v="28"/>
    <n v="0"/>
    <n v="0"/>
    <n v="28"/>
    <n v="28"/>
    <n v="44033"/>
    <n v="44033"/>
    <n v="19815"/>
    <n v="7926"/>
    <n v="1600"/>
    <n v="200"/>
    <n v="1250"/>
    <n v="1651"/>
    <n v="3963"/>
    <n v="2972"/>
    <n v="198"/>
    <n v="694"/>
    <n v="396"/>
    <n v="99"/>
    <n v="1800"/>
    <n v="1469"/>
    <n v="0"/>
    <n v="0"/>
    <n v="1634"/>
    <n v="45667"/>
    <n v="44033"/>
    <m/>
    <n v="0"/>
    <n v="0"/>
    <n v="300"/>
    <n v="1800"/>
    <n v="0"/>
    <n v="0"/>
    <n v="0"/>
    <n v="0"/>
    <n v="2100"/>
    <n v="43567"/>
    <m/>
    <m/>
  </r>
  <r>
    <d v="2026-02-01T00:00:00"/>
    <s v="Salary"/>
    <m/>
    <s v="MOONSTONE REALINFRA PRIVATE LIMITED"/>
    <n v="2274"/>
    <s v="SAKSHI DIPAK PATIL"/>
    <s v="Female"/>
    <s v=""/>
    <s v="Nov 17, 2025"/>
    <s v="HUDPP2758G"/>
    <s v="102267032459"/>
    <x v="6"/>
    <s v="MANAGEMENT TRAINEE"/>
    <x v="6"/>
    <s v="MT"/>
    <s v="PF"/>
    <s v="NA"/>
    <s v=""/>
    <s v=""/>
    <s v="571929796742"/>
    <s v="50100847878784"/>
    <s v="HDFC BANK"/>
    <s v="HDFC0000437"/>
    <n v="28"/>
    <n v="0"/>
    <n v="0.5"/>
    <n v="27.5"/>
    <n v="27.5"/>
    <n v="44033"/>
    <n v="44033"/>
    <n v="19461"/>
    <n v="7784"/>
    <n v="1571"/>
    <n v="196"/>
    <n v="1228"/>
    <n v="1621"/>
    <n v="3892"/>
    <n v="2919"/>
    <n v="195"/>
    <n v="681"/>
    <n v="389"/>
    <n v="97"/>
    <n v="1800"/>
    <n v="1413"/>
    <n v="0"/>
    <n v="0"/>
    <n v="158"/>
    <n v="43405"/>
    <n v="43247"/>
    <m/>
    <n v="0"/>
    <n v="0"/>
    <n v="300"/>
    <n v="1800"/>
    <n v="0"/>
    <n v="0"/>
    <n v="0"/>
    <n v="0"/>
    <n v="2100"/>
    <n v="41305"/>
    <m/>
    <m/>
  </r>
  <r>
    <d v="2026-02-01T00:00:00"/>
    <s v="Salary"/>
    <m/>
    <s v="MOONSTONE REALINFRA PRIVATE LIMITED"/>
    <n v="2277"/>
    <s v="SAMARIDHYA BASAK"/>
    <s v="Male"/>
    <s v=""/>
    <s v="Nov 17, 2025"/>
    <s v="EYPPB5256Q"/>
    <s v="102267034998"/>
    <x v="6"/>
    <s v="MANAGEMENT TRAINEE"/>
    <x v="6"/>
    <s v="MT"/>
    <s v="PF"/>
    <s v="NA"/>
    <s v=""/>
    <s v=""/>
    <s v="601551323382"/>
    <s v="50100847878758"/>
    <s v="HDFC BANK"/>
    <s v="HDFC0000437"/>
    <n v="28"/>
    <n v="0"/>
    <n v="4"/>
    <n v="24"/>
    <n v="24"/>
    <n v="44033"/>
    <n v="44033"/>
    <n v="16984"/>
    <n v="6794"/>
    <n v="1371"/>
    <n v="171"/>
    <n v="1071"/>
    <n v="1415"/>
    <n v="3397"/>
    <n v="2548"/>
    <n v="170"/>
    <n v="594"/>
    <n v="340"/>
    <n v="85"/>
    <n v="1800"/>
    <n v="1003"/>
    <n v="0"/>
    <n v="0"/>
    <n v="1610"/>
    <n v="39353"/>
    <n v="37743"/>
    <m/>
    <n v="0"/>
    <n v="0"/>
    <n v="300"/>
    <n v="1800"/>
    <n v="0"/>
    <n v="0"/>
    <n v="0"/>
    <n v="0"/>
    <n v="2100"/>
    <n v="37253"/>
    <m/>
    <m/>
  </r>
  <r>
    <d v="2026-02-01T00:00:00"/>
    <s v="Salary"/>
    <m/>
    <s v="MOONSTONE REALINFRA PRIVATE LIMITED"/>
    <n v="2156"/>
    <s v="SANDEEP MARUTI SAWANT"/>
    <s v="Male"/>
    <s v=""/>
    <s v="Jul 01, 2025"/>
    <s v="CJDPS9049F"/>
    <s v="101160800602"/>
    <x v="45"/>
    <s v="ASSISTANT MANAGER"/>
    <x v="0"/>
    <s v="TL"/>
    <s v="PF"/>
    <s v="NA"/>
    <s v=""/>
    <s v=""/>
    <s v="396088354849"/>
    <s v="50100815728515"/>
    <s v="HDFC BANK"/>
    <s v="HDFC0008300"/>
    <n v="28"/>
    <n v="0"/>
    <n v="3"/>
    <n v="25"/>
    <n v="25"/>
    <n v="67200"/>
    <n v="67200"/>
    <n v="27000"/>
    <n v="10800"/>
    <n v="1429"/>
    <n v="179"/>
    <n v="1116"/>
    <n v="2249"/>
    <n v="5400"/>
    <n v="4050"/>
    <n v="270"/>
    <n v="945"/>
    <n v="540"/>
    <n v="135"/>
    <n v="1800"/>
    <n v="4087"/>
    <n v="0"/>
    <n v="0"/>
    <n v="700"/>
    <n v="60700"/>
    <n v="60000"/>
    <m/>
    <n v="0"/>
    <n v="0"/>
    <n v="300"/>
    <n v="1800"/>
    <n v="0"/>
    <n v="0"/>
    <n v="0"/>
    <n v="0"/>
    <n v="2100"/>
    <n v="58600"/>
    <m/>
    <m/>
  </r>
  <r>
    <d v="2026-02-01T00:00:00"/>
    <s v="Salary"/>
    <m/>
    <s v="MOONSTONE REALINFRA PRIVATE LIMITED"/>
    <n v="413"/>
    <s v="SANDIP GHANSHAM FAND"/>
    <s v="Male"/>
    <s v=""/>
    <s v="Feb 05, 2019"/>
    <s v="ACBPF9894L"/>
    <s v="101432955213"/>
    <x v="9"/>
    <s v="SENIOR ENGINEER"/>
    <x v="0"/>
    <s v="TM"/>
    <s v="PF"/>
    <s v="NA"/>
    <s v=""/>
    <s v=""/>
    <s v="918983892865"/>
    <s v="50100317492765"/>
    <s v="HDFC BANK"/>
    <s v="HDFC0000007"/>
    <n v="28"/>
    <n v="0"/>
    <n v="0"/>
    <n v="28"/>
    <n v="28"/>
    <n v="52975"/>
    <n v="52975"/>
    <n v="23839"/>
    <n v="9536"/>
    <n v="1600"/>
    <n v="200"/>
    <n v="1250"/>
    <n v="1986"/>
    <n v="4768"/>
    <n v="3576"/>
    <n v="238"/>
    <n v="834"/>
    <n v="477"/>
    <n v="119"/>
    <n v="1800"/>
    <n v="2752"/>
    <n v="0"/>
    <n v="0"/>
    <m/>
    <n v="52975"/>
    <n v="52975"/>
    <m/>
    <n v="0"/>
    <n v="0"/>
    <n v="300"/>
    <n v="1800"/>
    <n v="0"/>
    <n v="0"/>
    <n v="0"/>
    <n v="0"/>
    <n v="2100"/>
    <n v="50875"/>
    <m/>
    <m/>
  </r>
  <r>
    <d v="2026-02-01T00:00:00"/>
    <s v="Salary"/>
    <m/>
    <s v="MOONSTONE REALINFRA PRIVATE LIMITED"/>
    <n v="1389"/>
    <s v="SANDIP RAMESHRAO JAKKALWAD"/>
    <s v="Male"/>
    <s v=""/>
    <s v="Apr 24, 2023"/>
    <s v="AWLPJ2490A"/>
    <s v="101938922335"/>
    <x v="30"/>
    <s v="SENIOR  EXECUTIVE - ACCOUNTS"/>
    <x v="5"/>
    <s v="TM"/>
    <s v="PF"/>
    <s v="NA"/>
    <s v=""/>
    <s v=""/>
    <s v="790987241865"/>
    <s v="50100318162101"/>
    <s v="HDFC BANK"/>
    <s v="HDFC0000007"/>
    <n v="28"/>
    <n v="0"/>
    <n v="0.5"/>
    <n v="27.5"/>
    <n v="27.5"/>
    <n v="60807"/>
    <n v="60807"/>
    <n v="26874"/>
    <n v="10750"/>
    <n v="1571"/>
    <n v="196"/>
    <n v="1228"/>
    <n v="2239"/>
    <n v="5375"/>
    <n v="4031"/>
    <n v="269"/>
    <n v="941"/>
    <n v="537"/>
    <n v="134"/>
    <n v="1800"/>
    <n v="3776"/>
    <n v="0"/>
    <n v="0"/>
    <m/>
    <n v="59721"/>
    <n v="59721"/>
    <m/>
    <n v="0"/>
    <n v="0"/>
    <n v="300"/>
    <n v="1800"/>
    <n v="0"/>
    <n v="0"/>
    <n v="0"/>
    <n v="10000"/>
    <n v="12100"/>
    <n v="47621"/>
    <m/>
    <m/>
  </r>
  <r>
    <d v="2026-02-01T00:00:00"/>
    <s v="Salary"/>
    <m/>
    <s v="MOONSTONE REALINFRA PRIVATE LIMITED"/>
    <n v="1535"/>
    <s v="SANTOSH DAMU MANKAR"/>
    <s v="Male"/>
    <s v=""/>
    <s v="Sep 14, 2023"/>
    <s v="ARVPM8431B"/>
    <s v="101916942878"/>
    <x v="31"/>
    <s v="PROJECT MANAGER"/>
    <x v="0"/>
    <s v="TL"/>
    <s v="PF"/>
    <s v="NA"/>
    <s v=""/>
    <s v=""/>
    <s v="863607704890"/>
    <s v="04861720000752"/>
    <s v="HDFC BANK"/>
    <s v="HDFC0002454"/>
    <n v="28"/>
    <n v="0"/>
    <n v="1.5"/>
    <n v="26.5"/>
    <n v="26.5"/>
    <n v="95900"/>
    <n v="95900"/>
    <n v="40843"/>
    <n v="16337"/>
    <n v="1514"/>
    <n v="189"/>
    <n v="1183"/>
    <n v="3402"/>
    <n v="8169"/>
    <n v="6126"/>
    <n v="408"/>
    <n v="1430"/>
    <n v="817"/>
    <n v="204"/>
    <n v="1800"/>
    <n v="8341"/>
    <n v="0"/>
    <n v="0"/>
    <m/>
    <n v="90763"/>
    <n v="90763"/>
    <m/>
    <n v="0"/>
    <n v="0"/>
    <n v="300"/>
    <n v="1800"/>
    <n v="0"/>
    <n v="0"/>
    <n v="0"/>
    <n v="0"/>
    <n v="2100"/>
    <n v="88663"/>
    <m/>
    <m/>
  </r>
  <r>
    <d v="2026-02-01T00:00:00"/>
    <s v="Salary"/>
    <m/>
    <s v="MOONSTONE REALINFRA PRIVATE LIMITED"/>
    <n v="1409"/>
    <s v="SANTOSH KADAM"/>
    <s v="Male"/>
    <s v=""/>
    <s v="May 10, 2023"/>
    <s v="AZUPK6484F"/>
    <s v="100924255914"/>
    <x v="9"/>
    <s v="SENIOR ENGINEER"/>
    <x v="0"/>
    <s v="TM"/>
    <s v="PF"/>
    <s v="NA"/>
    <s v=""/>
    <s v=""/>
    <s v="333622114009"/>
    <s v="50100502294986"/>
    <s v="HDFC BANK"/>
    <s v="HDFC0001445"/>
    <n v="28"/>
    <n v="0"/>
    <n v="0.5"/>
    <n v="27.5"/>
    <n v="27.5"/>
    <n v="71417"/>
    <n v="71417"/>
    <n v="31564"/>
    <n v="12626"/>
    <n v="1571"/>
    <n v="196"/>
    <n v="1228"/>
    <n v="2629"/>
    <n v="6313"/>
    <n v="4735"/>
    <n v="316"/>
    <n v="1105"/>
    <n v="631"/>
    <n v="158"/>
    <n v="1800"/>
    <n v="5270"/>
    <n v="0"/>
    <n v="200"/>
    <m/>
    <n v="70342"/>
    <n v="70342"/>
    <m/>
    <n v="0"/>
    <n v="0"/>
    <n v="300"/>
    <n v="1800"/>
    <n v="0"/>
    <n v="0"/>
    <n v="0"/>
    <n v="0"/>
    <n v="2100"/>
    <n v="68242"/>
    <m/>
    <m/>
  </r>
  <r>
    <d v="2026-02-01T00:00:00"/>
    <s v="Salary"/>
    <m/>
    <s v="MOONSTONE REALINFRA PRIVATE LIMITED"/>
    <n v="2155"/>
    <s v="SAURABH MININATH NANNAVARE"/>
    <s v="Male"/>
    <s v=""/>
    <s v="Jul 01, 2025"/>
    <s v="BIJPN9700N"/>
    <s v="101177464600"/>
    <x v="46"/>
    <s v="ENGINEER"/>
    <x v="0"/>
    <s v="TM"/>
    <s v="PF"/>
    <s v="NA"/>
    <s v=""/>
    <s v=""/>
    <s v="706192695680"/>
    <s v="50100815728452"/>
    <s v="HDFC BANK"/>
    <s v="HDFC0008300"/>
    <n v="28"/>
    <n v="0"/>
    <n v="0"/>
    <n v="28"/>
    <n v="28"/>
    <n v="53200"/>
    <n v="53200"/>
    <n v="23940"/>
    <n v="9576"/>
    <n v="1600"/>
    <n v="200"/>
    <n v="1250"/>
    <n v="1994"/>
    <n v="4788"/>
    <n v="3591"/>
    <n v="239"/>
    <n v="838"/>
    <n v="479"/>
    <n v="120"/>
    <n v="1800"/>
    <n v="2785"/>
    <n v="0"/>
    <n v="0"/>
    <n v="540"/>
    <n v="53740"/>
    <n v="53200"/>
    <m/>
    <n v="0"/>
    <n v="0"/>
    <n v="300"/>
    <n v="1800"/>
    <n v="0"/>
    <n v="0"/>
    <n v="0"/>
    <n v="0"/>
    <n v="2100"/>
    <n v="51640"/>
    <m/>
    <m/>
  </r>
  <r>
    <d v="2026-02-01T00:00:00"/>
    <s v="Salary"/>
    <m/>
    <s v="MOONSTONE REALINFRA PRIVATE LIMITED"/>
    <n v="2232"/>
    <s v="SAURAV RAJENDRA NANDURKAR"/>
    <s v="Male"/>
    <s v=""/>
    <s v="Sep 30, 2025"/>
    <s v="CESPN7298P"/>
    <s v="101733070912"/>
    <x v="58"/>
    <s v="ASSISTANT MANAGER - PLANNING"/>
    <x v="0"/>
    <s v="TM"/>
    <s v="PF"/>
    <s v="NA"/>
    <s v=""/>
    <s v=""/>
    <s v="204027680041"/>
    <s v="50100860045062"/>
    <s v="HDFC BANK"/>
    <s v="HDFC0001210"/>
    <n v="28"/>
    <n v="0"/>
    <n v="2"/>
    <n v="26"/>
    <n v="26"/>
    <n v="89867"/>
    <n v="89867"/>
    <n v="37552"/>
    <n v="15021"/>
    <n v="1486"/>
    <n v="186"/>
    <n v="1161"/>
    <n v="3128"/>
    <n v="7510"/>
    <n v="5633"/>
    <n v="376"/>
    <n v="1314"/>
    <n v="751"/>
    <n v="188"/>
    <n v="1800"/>
    <n v="7342"/>
    <n v="0"/>
    <n v="0"/>
    <m/>
    <n v="83448"/>
    <n v="83448"/>
    <m/>
    <n v="0"/>
    <n v="0"/>
    <n v="300"/>
    <n v="1800"/>
    <n v="0"/>
    <n v="0"/>
    <n v="0"/>
    <n v="0"/>
    <n v="2100"/>
    <n v="81348"/>
    <m/>
    <m/>
  </r>
  <r>
    <d v="2026-02-01T00:00:00"/>
    <s v="Salary"/>
    <m/>
    <s v="MOONSTONE REALINFRA PRIVATE LIMITED"/>
    <n v="2147"/>
    <s v="SAYALI LAXMAN DHAIGUDE"/>
    <s v="Female"/>
    <s v=""/>
    <s v="Jul 01, 2025"/>
    <s v="IODPD3701L"/>
    <s v="102070661731"/>
    <x v="47"/>
    <s v="GUEST RELATION EXECUTIVE"/>
    <x v="2"/>
    <s v="TM"/>
    <s v="PF"/>
    <s v="NA"/>
    <s v=""/>
    <s v=""/>
    <s v="616621359625"/>
    <s v="50100815728531"/>
    <s v="HDFC BANK"/>
    <s v="HDFC0008300"/>
    <n v="28"/>
    <n v="0"/>
    <n v="0"/>
    <n v="28"/>
    <n v="28"/>
    <n v="28380"/>
    <n v="28380"/>
    <n v="12771"/>
    <n v="5108"/>
    <n v="1600"/>
    <n v="200"/>
    <n v="1250"/>
    <n v="0"/>
    <n v="0"/>
    <n v="0"/>
    <n v="0"/>
    <n v="0"/>
    <n v="0"/>
    <n v="0"/>
    <n v="1533"/>
    <n v="5918"/>
    <n v="0"/>
    <n v="0"/>
    <m/>
    <n v="28380"/>
    <n v="28380"/>
    <m/>
    <n v="0"/>
    <n v="0"/>
    <n v="300"/>
    <n v="1533"/>
    <n v="0"/>
    <n v="0"/>
    <n v="0"/>
    <n v="0"/>
    <n v="1833"/>
    <n v="26547"/>
    <m/>
    <m/>
  </r>
  <r>
    <d v="2026-02-01T00:00:00"/>
    <s v="Salary"/>
    <m/>
    <s v="MOONSTONE REALINFRA PRIVATE LIMITED"/>
    <n v="2278"/>
    <s v="SAYALI SHARAD PAWAR"/>
    <s v="Female"/>
    <s v=""/>
    <s v="Nov 17, 2025"/>
    <s v="GMJPP4299H"/>
    <s v="102267033957"/>
    <x v="6"/>
    <s v="MANAGEMENT TRAINEE"/>
    <x v="6"/>
    <s v="MT"/>
    <s v="PF"/>
    <s v="NA"/>
    <s v=""/>
    <s v=""/>
    <s v="548309932874"/>
    <s v="50100847878771"/>
    <s v="HDFC BANK"/>
    <s v="HDFC0000437"/>
    <n v="28"/>
    <n v="0"/>
    <n v="0"/>
    <n v="28"/>
    <n v="28"/>
    <n v="44033"/>
    <n v="44033"/>
    <n v="19815"/>
    <n v="7926"/>
    <n v="1600"/>
    <n v="200"/>
    <n v="1250"/>
    <n v="1651"/>
    <n v="3963"/>
    <n v="2972"/>
    <n v="198"/>
    <n v="694"/>
    <n v="396"/>
    <n v="99"/>
    <n v="1800"/>
    <n v="1469"/>
    <n v="0"/>
    <n v="0"/>
    <m/>
    <n v="44033"/>
    <n v="44033"/>
    <m/>
    <n v="0"/>
    <n v="0"/>
    <n v="300"/>
    <n v="1800"/>
    <n v="0"/>
    <n v="0"/>
    <n v="0"/>
    <n v="0"/>
    <n v="2100"/>
    <n v="41933"/>
    <m/>
    <m/>
  </r>
  <r>
    <d v="2026-02-01T00:00:00"/>
    <s v="Salary"/>
    <m/>
    <s v="MOONSTONE REALINFRA PRIVATE LIMITED"/>
    <n v="1263"/>
    <s v="SHANKAR BASAPPA GAVI"/>
    <s v="Male"/>
    <s v=""/>
    <s v="Nov 25, 2022"/>
    <s v="BNUPG2416C"/>
    <s v="101450766269"/>
    <x v="45"/>
    <s v="ASSISTANT MANAGER"/>
    <x v="0"/>
    <s v="TM"/>
    <s v="PF"/>
    <s v="NA"/>
    <s v=""/>
    <s v=""/>
    <s v="325630092478"/>
    <s v="50100734599528"/>
    <s v="HDFC BANK"/>
    <s v="HDFC0001210"/>
    <n v="28"/>
    <n v="0"/>
    <n v="0"/>
    <n v="28"/>
    <n v="28"/>
    <n v="55900"/>
    <n v="55900"/>
    <n v="25155"/>
    <n v="10062"/>
    <n v="1600"/>
    <n v="200"/>
    <n v="1250"/>
    <n v="2095"/>
    <n v="5031"/>
    <n v="3773"/>
    <n v="252"/>
    <n v="880"/>
    <n v="503"/>
    <n v="126"/>
    <n v="1800"/>
    <n v="3173"/>
    <n v="0"/>
    <n v="0"/>
    <m/>
    <n v="55900"/>
    <n v="55900"/>
    <m/>
    <n v="0"/>
    <n v="0"/>
    <n v="300"/>
    <n v="1800"/>
    <n v="0"/>
    <n v="0"/>
    <n v="0"/>
    <n v="0"/>
    <n v="2100"/>
    <n v="53800"/>
    <m/>
    <m/>
  </r>
  <r>
    <d v="2026-02-01T00:00:00"/>
    <s v="Salary"/>
    <m/>
    <s v="MOONSTONE REALINFRA PRIVATE LIMITED"/>
    <n v="2218"/>
    <s v="SHANKAR JAGNNATH FARATE"/>
    <s v="Male"/>
    <s v=""/>
    <s v="Sep 15, 2025"/>
    <s v="AATPF9623K"/>
    <s v="102246696731"/>
    <x v="59"/>
    <s v="LISIONING-OFFICER"/>
    <x v="7"/>
    <s v="TM"/>
    <s v="PF"/>
    <s v="NA"/>
    <s v=""/>
    <s v=""/>
    <s v="431958079389"/>
    <s v="50100403586832"/>
    <s v="HDFC BANK"/>
    <s v="HDFC0000103"/>
    <n v="28"/>
    <n v="0"/>
    <n v="0"/>
    <n v="28"/>
    <n v="28"/>
    <n v="53200"/>
    <n v="53200"/>
    <n v="23940"/>
    <n v="9576"/>
    <n v="1600"/>
    <n v="200"/>
    <n v="1250"/>
    <n v="1994"/>
    <n v="4788"/>
    <n v="3591"/>
    <n v="239"/>
    <n v="838"/>
    <n v="479"/>
    <n v="120"/>
    <n v="1800"/>
    <n v="2785"/>
    <n v="0"/>
    <n v="0"/>
    <n v="4605"/>
    <n v="57805"/>
    <n v="53200"/>
    <m/>
    <n v="0"/>
    <n v="0"/>
    <n v="300"/>
    <n v="1800"/>
    <n v="0"/>
    <n v="0"/>
    <n v="0"/>
    <n v="0"/>
    <n v="2100"/>
    <n v="55705"/>
    <m/>
    <m/>
  </r>
  <r>
    <d v="2026-02-01T00:00:00"/>
    <s v="Salary"/>
    <m/>
    <s v="MOONSTONE REALINFRA PRIVATE LIMITED"/>
    <n v="1758"/>
    <s v="SHASHIKANT RAJKUMAR BHASKAR"/>
    <s v="Male"/>
    <s v=""/>
    <s v="May 25, 2024"/>
    <s v="DUVPB0713F"/>
    <s v="101916942813"/>
    <x v="9"/>
    <s v="SENIOR ENGINEER"/>
    <x v="0"/>
    <s v="TM"/>
    <s v="PF"/>
    <s v="NA"/>
    <s v=""/>
    <s v=""/>
    <s v="630621029579"/>
    <s v="50100563889297"/>
    <s v="HDFC BANK"/>
    <s v="HDFC0009526"/>
    <n v="28"/>
    <n v="0"/>
    <n v="0"/>
    <n v="28"/>
    <n v="28"/>
    <n v="68220"/>
    <n v="68220"/>
    <n v="30699"/>
    <n v="12280"/>
    <n v="1600"/>
    <n v="200"/>
    <n v="1250"/>
    <n v="2557"/>
    <n v="6140"/>
    <n v="4605"/>
    <n v="307"/>
    <n v="1074"/>
    <n v="614"/>
    <n v="154"/>
    <n v="1800"/>
    <n v="4940"/>
    <n v="0"/>
    <n v="0"/>
    <n v="1117"/>
    <n v="69337"/>
    <n v="68220"/>
    <m/>
    <n v="0"/>
    <n v="0"/>
    <n v="300"/>
    <n v="1800"/>
    <n v="0"/>
    <n v="0"/>
    <n v="0"/>
    <n v="0"/>
    <n v="2100"/>
    <n v="67237"/>
    <m/>
    <m/>
  </r>
  <r>
    <d v="2026-02-01T00:00:00"/>
    <s v="Salary"/>
    <m/>
    <s v="MOONSTONE REALINFRA PRIVATE LIMITED"/>
    <n v="1624"/>
    <s v="SHRINATH SITARAM KHANDALE"/>
    <s v="Male"/>
    <s v=""/>
    <s v="Jan 23, 2024"/>
    <s v="BIZPK8142F"/>
    <s v="101215605497"/>
    <x v="22"/>
    <s v="SUPERVISOR"/>
    <x v="0"/>
    <s v="TM"/>
    <s v="PF"/>
    <s v="NA"/>
    <s v=""/>
    <s v=""/>
    <s v="740935311886"/>
    <s v="50100647442391"/>
    <s v="HDFC BANK"/>
    <s v="HDFC0008300"/>
    <n v="28"/>
    <n v="0"/>
    <n v="0"/>
    <n v="28"/>
    <n v="28"/>
    <n v="42042"/>
    <n v="42042"/>
    <n v="18919"/>
    <n v="7568"/>
    <n v="1600"/>
    <n v="200"/>
    <n v="1250"/>
    <n v="1576"/>
    <n v="3784"/>
    <n v="2838"/>
    <n v="189"/>
    <n v="662"/>
    <n v="378"/>
    <n v="95"/>
    <n v="1800"/>
    <n v="1183"/>
    <n v="0"/>
    <n v="600"/>
    <m/>
    <n v="42642"/>
    <n v="42642"/>
    <m/>
    <n v="0"/>
    <n v="0"/>
    <n v="300"/>
    <n v="1800"/>
    <n v="0"/>
    <n v="0"/>
    <n v="0"/>
    <n v="0"/>
    <n v="2100"/>
    <n v="40542"/>
    <m/>
    <m/>
  </r>
  <r>
    <d v="2026-02-01T00:00:00"/>
    <s v="Salary"/>
    <m/>
    <s v="MOONSTONE REALINFRA PRIVATE LIMITED"/>
    <n v="1738"/>
    <s v="SHRIVATSA SHRIRANG DESHPANDE"/>
    <s v="Male"/>
    <s v=""/>
    <s v="May 02, 2024"/>
    <s v="CQKPD1013N"/>
    <s v="102074135450"/>
    <x v="33"/>
    <s v="JUNIOR ENGINEER"/>
    <x v="0"/>
    <s v="TM"/>
    <s v="PF"/>
    <s v="NA"/>
    <s v=""/>
    <s v=""/>
    <s v="775752480136"/>
    <s v="50100318176957"/>
    <s v="HDFC BANK"/>
    <s v="HDFC0000007"/>
    <n v="28"/>
    <n v="0"/>
    <n v="0"/>
    <n v="28"/>
    <n v="28"/>
    <n v="35983"/>
    <n v="35983"/>
    <n v="16192"/>
    <n v="6477"/>
    <n v="1600"/>
    <n v="200"/>
    <n v="1250"/>
    <n v="0"/>
    <n v="0"/>
    <n v="0"/>
    <n v="0"/>
    <n v="0"/>
    <n v="0"/>
    <n v="0"/>
    <n v="1800"/>
    <n v="8464"/>
    <n v="0"/>
    <n v="400"/>
    <m/>
    <n v="36383"/>
    <n v="36383"/>
    <m/>
    <n v="0"/>
    <n v="0"/>
    <n v="300"/>
    <n v="1800"/>
    <n v="0"/>
    <n v="0"/>
    <n v="0"/>
    <n v="0"/>
    <n v="2100"/>
    <n v="34283"/>
    <m/>
    <m/>
  </r>
  <r>
    <d v="2026-02-01T00:00:00"/>
    <s v="Salary"/>
    <m/>
    <s v="MOONSTONE REALINFRA PRIVATE LIMITED"/>
    <n v="2175"/>
    <s v="SNEHAL PRASHANT WALE"/>
    <s v="Female"/>
    <s v=""/>
    <s v="Jul 15, 2025"/>
    <s v="CHLPK4878N"/>
    <s v="102226028536"/>
    <x v="48"/>
    <s v="MANAGER"/>
    <x v="0"/>
    <s v="TL"/>
    <s v="PF"/>
    <s v="NA"/>
    <s v=""/>
    <s v=""/>
    <s v="499534600849"/>
    <s v="99997798677300"/>
    <s v="HDFC BANK"/>
    <s v="HDFC0001795"/>
    <n v="28"/>
    <n v="0"/>
    <n v="0.5"/>
    <n v="27.5"/>
    <n v="27.5"/>
    <n v="137785"/>
    <n v="137785"/>
    <n v="60896"/>
    <n v="24358"/>
    <n v="1571"/>
    <n v="196"/>
    <n v="1228"/>
    <n v="5073"/>
    <n v="12179"/>
    <n v="9134"/>
    <n v="609"/>
    <n v="2131"/>
    <n v="1218"/>
    <n v="304"/>
    <n v="1800"/>
    <n v="14628"/>
    <n v="0"/>
    <n v="0"/>
    <m/>
    <n v="135325"/>
    <n v="135325"/>
    <m/>
    <n v="0"/>
    <n v="0"/>
    <n v="300"/>
    <n v="1800"/>
    <n v="0"/>
    <n v="0"/>
    <n v="0"/>
    <n v="0"/>
    <n v="2100"/>
    <n v="133225"/>
    <m/>
    <m/>
  </r>
  <r>
    <d v="2026-02-01T00:00:00"/>
    <s v="Salary"/>
    <m/>
    <s v="MOONSTONE REALINFRA PRIVATE LIMITED"/>
    <n v="1589"/>
    <s v="TAUKEEL RASHID JAMADAR"/>
    <s v="Male"/>
    <s v=""/>
    <s v="Jan 02, 2024"/>
    <s v="CGPPJ6786D"/>
    <s v="102034245800"/>
    <x v="0"/>
    <s v="FIELD ENGINEER"/>
    <x v="0"/>
    <s v="TM"/>
    <s v="PF"/>
    <s v="NA"/>
    <s v=""/>
    <s v=""/>
    <s v="477762356796"/>
    <s v="50100624533482"/>
    <s v="HDFC BANK"/>
    <s v="HDFC0000007"/>
    <n v="28"/>
    <n v="0"/>
    <n v="0"/>
    <n v="28"/>
    <n v="28"/>
    <n v="34250"/>
    <n v="34250"/>
    <n v="15413"/>
    <n v="6165"/>
    <n v="1600"/>
    <n v="200"/>
    <n v="1250"/>
    <n v="0"/>
    <n v="0"/>
    <n v="0"/>
    <n v="0"/>
    <n v="0"/>
    <n v="0"/>
    <n v="0"/>
    <n v="1800"/>
    <n v="7822"/>
    <n v="0"/>
    <n v="0"/>
    <m/>
    <n v="34250"/>
    <n v="34250"/>
    <m/>
    <n v="0"/>
    <n v="0"/>
    <n v="300"/>
    <n v="1800"/>
    <n v="0"/>
    <n v="0"/>
    <n v="0"/>
    <n v="0"/>
    <n v="2100"/>
    <n v="32150"/>
    <m/>
    <m/>
  </r>
  <r>
    <d v="2026-02-01T00:00:00"/>
    <s v="Salary"/>
    <m/>
    <s v="MOONSTONE REALINFRA PRIVATE LIMITED"/>
    <n v="2069"/>
    <s v="TIPPUSULATAN ABDUL NADAF"/>
    <s v="Male"/>
    <s v=""/>
    <s v="Mar 25, 2025"/>
    <s v="ATNPN5727D"/>
    <s v="102119999896"/>
    <x v="1"/>
    <s v="ASSISTANT PROJECT MANAGER"/>
    <x v="0"/>
    <s v="TL"/>
    <s v="PF"/>
    <s v="NA"/>
    <s v=""/>
    <s v=""/>
    <s v="308508124099"/>
    <s v="50100090742768"/>
    <s v="HDFC BANK"/>
    <s v="HDFC0005554"/>
    <n v="28"/>
    <n v="0"/>
    <n v="0"/>
    <n v="28"/>
    <n v="28"/>
    <n v="70000"/>
    <n v="70000"/>
    <n v="31500"/>
    <n v="12600"/>
    <n v="1600"/>
    <n v="200"/>
    <n v="1250"/>
    <n v="2624"/>
    <n v="6300"/>
    <n v="4725"/>
    <n v="315"/>
    <n v="1103"/>
    <n v="630"/>
    <n v="158"/>
    <n v="1800"/>
    <n v="5195"/>
    <n v="0"/>
    <n v="200"/>
    <m/>
    <n v="70200"/>
    <n v="70200"/>
    <m/>
    <n v="0"/>
    <n v="0"/>
    <n v="300"/>
    <n v="1800"/>
    <n v="0"/>
    <n v="0"/>
    <n v="0"/>
    <n v="0"/>
    <n v="2100"/>
    <n v="68100"/>
    <m/>
    <m/>
  </r>
  <r>
    <d v="2026-02-01T00:00:00"/>
    <s v="Salary"/>
    <m/>
    <s v="MOONSTONE REALINFRA PRIVATE LIMITED"/>
    <n v="2015"/>
    <s v="VAIJNATH KIRAN DHURVE"/>
    <s v="Male"/>
    <s v=""/>
    <s v="Feb 17, 2025"/>
    <s v="FFEPD0662H"/>
    <s v="102171851953"/>
    <x v="54"/>
    <s v="ASSISTANT MANAGER - RESI. SALES"/>
    <x v="6"/>
    <s v="TM"/>
    <s v="PF"/>
    <s v="NA"/>
    <s v=""/>
    <s v=""/>
    <s v="264600892806"/>
    <s v="50100731565520"/>
    <s v="HDFC BANK"/>
    <s v="HDFC0000007"/>
    <n v="28"/>
    <n v="0"/>
    <n v="0"/>
    <n v="28"/>
    <n v="28"/>
    <n v="56533"/>
    <n v="56533"/>
    <n v="25440"/>
    <n v="10176"/>
    <n v="1600"/>
    <n v="200"/>
    <n v="1250"/>
    <n v="2119"/>
    <n v="5088"/>
    <n v="3816"/>
    <n v="254"/>
    <n v="890"/>
    <n v="509"/>
    <n v="127"/>
    <n v="1800"/>
    <n v="3264"/>
    <n v="0"/>
    <n v="0"/>
    <n v="4796"/>
    <n v="61329"/>
    <n v="56533"/>
    <m/>
    <n v="0"/>
    <n v="0"/>
    <n v="300"/>
    <n v="1800"/>
    <n v="0"/>
    <n v="0"/>
    <n v="0"/>
    <n v="0"/>
    <n v="2100"/>
    <n v="59229"/>
    <m/>
    <m/>
  </r>
  <r>
    <d v="2026-02-01T00:00:00"/>
    <s v="Salary"/>
    <m/>
    <s v="MOONSTONE REALINFRA PRIVATE LIMITED"/>
    <n v="1166"/>
    <s v="VENKATESH AGASAR"/>
    <s v="Male"/>
    <s v=""/>
    <s v="Aug 01, 2022"/>
    <s v="BVSPA7273D"/>
    <s v="101852002045"/>
    <x v="50"/>
    <s v="SENIOR EXECUTIVE"/>
    <x v="0"/>
    <s v="TM"/>
    <s v="PF"/>
    <s v="NA"/>
    <s v=""/>
    <s v=""/>
    <s v="225161825284"/>
    <s v="50100744366803"/>
    <s v="HDFC BANK"/>
    <s v="HDFC0001210"/>
    <n v="28"/>
    <n v="0"/>
    <n v="3"/>
    <n v="25"/>
    <n v="25"/>
    <n v="59983"/>
    <n v="59983"/>
    <n v="24100"/>
    <n v="9640"/>
    <n v="1429"/>
    <n v="179"/>
    <n v="1116"/>
    <n v="2008"/>
    <n v="4820"/>
    <n v="3615"/>
    <n v="241"/>
    <n v="844"/>
    <n v="482"/>
    <n v="121"/>
    <n v="1800"/>
    <n v="3161"/>
    <n v="0"/>
    <n v="400"/>
    <m/>
    <n v="53956"/>
    <n v="53956"/>
    <m/>
    <n v="0"/>
    <n v="0"/>
    <n v="300"/>
    <n v="1800"/>
    <n v="0"/>
    <n v="0"/>
    <n v="0"/>
    <n v="0"/>
    <n v="2100"/>
    <n v="51856"/>
    <m/>
    <m/>
  </r>
  <r>
    <d v="2026-02-01T00:00:00"/>
    <s v="Salary"/>
    <m/>
    <s v="MOONSTONE REALINFRA PRIVATE LIMITED"/>
    <n v="247"/>
    <s v="VICKY SONAWANE"/>
    <s v="Male"/>
    <s v=""/>
    <s v="Nov 02, 2017"/>
    <s v="DUIPS5584N"/>
    <s v="101343066494"/>
    <x v="13"/>
    <s v="ADMIN - EXECUTIVE"/>
    <x v="0"/>
    <s v="TM"/>
    <s v="PF"/>
    <s v="NA"/>
    <s v=""/>
    <s v=""/>
    <s v="556127037647"/>
    <s v="50100225745629"/>
    <s v="HDFC BANK"/>
    <s v="HDFC0000633"/>
    <n v="28"/>
    <n v="0"/>
    <n v="0"/>
    <n v="28"/>
    <n v="28"/>
    <n v="34308"/>
    <n v="34308"/>
    <n v="15439"/>
    <n v="6176"/>
    <n v="1600"/>
    <n v="200"/>
    <n v="1250"/>
    <n v="0"/>
    <n v="0"/>
    <n v="0"/>
    <n v="0"/>
    <n v="0"/>
    <n v="0"/>
    <n v="0"/>
    <n v="1800"/>
    <n v="7843"/>
    <n v="0"/>
    <n v="400"/>
    <n v="4815"/>
    <n v="39523"/>
    <n v="34708"/>
    <m/>
    <n v="0"/>
    <n v="0"/>
    <n v="300"/>
    <n v="1800"/>
    <n v="0"/>
    <n v="0"/>
    <n v="0"/>
    <n v="0"/>
    <n v="2100"/>
    <n v="37423"/>
    <m/>
    <m/>
  </r>
  <r>
    <d v="2026-02-01T00:00:00"/>
    <s v="Salary"/>
    <m/>
    <s v="MOONSTONE REALINFRA PRIVATE LIMITED"/>
    <n v="1237"/>
    <s v="VISHAL BHAGWAN BHALERAO"/>
    <s v="Male"/>
    <s v=""/>
    <s v="Nov 04, 2022"/>
    <s v="ASCPB5291L"/>
    <s v="101511554357"/>
    <x v="4"/>
    <s v="Site Supervisor"/>
    <x v="0"/>
    <s v="TM"/>
    <s v="PF"/>
    <s v="NA"/>
    <s v=""/>
    <s v=""/>
    <s v="959686301184"/>
    <s v="50100317490351"/>
    <s v="HDFC BANK"/>
    <s v="HDFC0000007"/>
    <n v="28"/>
    <n v="0"/>
    <n v="6"/>
    <n v="22"/>
    <n v="22"/>
    <n v="31644"/>
    <n v="31644"/>
    <n v="11188"/>
    <n v="4475"/>
    <n v="1257"/>
    <n v="157"/>
    <n v="982"/>
    <n v="0"/>
    <n v="0"/>
    <n v="0"/>
    <n v="0"/>
    <n v="0"/>
    <n v="0"/>
    <n v="0"/>
    <n v="1343"/>
    <n v="5461"/>
    <n v="0"/>
    <n v="0"/>
    <m/>
    <n v="24863"/>
    <n v="24863"/>
    <m/>
    <n v="0"/>
    <n v="0"/>
    <n v="300"/>
    <n v="1343"/>
    <n v="0"/>
    <n v="0"/>
    <n v="0"/>
    <n v="0"/>
    <n v="1643"/>
    <n v="23220"/>
    <m/>
    <m/>
  </r>
  <r>
    <d v="2026-02-01T00:00:00"/>
    <s v="Salary"/>
    <m/>
    <s v="MOONSTONE REALINFRA PRIVATE LIMITED"/>
    <n v="1950"/>
    <s v="VISHAL DILIP GAIKWAD"/>
    <s v="Male"/>
    <s v=""/>
    <s v="Dec 12, 2024"/>
    <s v="AQIPG9250G"/>
    <s v="101589191488"/>
    <x v="4"/>
    <s v="SITE SUPERVISOR"/>
    <x v="0"/>
    <s v="SS"/>
    <s v="PF"/>
    <s v="NA"/>
    <s v=""/>
    <s v=""/>
    <s v="501229058284"/>
    <s v="0607104000125031"/>
    <s v="IDBI BANK"/>
    <s v="IBKL0000607"/>
    <n v="28"/>
    <n v="0"/>
    <n v="0"/>
    <n v="28"/>
    <n v="28"/>
    <n v="35283"/>
    <n v="35283"/>
    <n v="15877"/>
    <n v="6351"/>
    <n v="1600"/>
    <n v="200"/>
    <n v="1250"/>
    <n v="0"/>
    <n v="0"/>
    <n v="0"/>
    <n v="0"/>
    <n v="0"/>
    <n v="0"/>
    <n v="0"/>
    <n v="1800"/>
    <n v="8205"/>
    <n v="0"/>
    <n v="0"/>
    <n v="1072"/>
    <n v="36355"/>
    <n v="35283"/>
    <m/>
    <n v="0"/>
    <n v="0"/>
    <n v="300"/>
    <n v="1800"/>
    <n v="0"/>
    <n v="0"/>
    <n v="0"/>
    <n v="0"/>
    <n v="2100"/>
    <n v="34255"/>
    <m/>
    <m/>
  </r>
  <r>
    <d v="2026-02-01T00:00:00"/>
    <s v="Salary"/>
    <m/>
    <s v="MOONSTONE REALINFRA PRIVATE LIMITED"/>
    <n v="1370"/>
    <s v="VISHAL SHANTARAM KORADE"/>
    <s v="Male"/>
    <s v=""/>
    <s v="Apr 10, 2023"/>
    <s v="BLYPK5831K"/>
    <s v="101150007330"/>
    <x v="21"/>
    <s v="EXECUTIVE - ADMIN"/>
    <x v="2"/>
    <s v="TM"/>
    <s v="PF"/>
    <s v="NA"/>
    <s v=""/>
    <s v=""/>
    <s v="491390366032"/>
    <s v="50100624533367"/>
    <s v="HDFC BANK"/>
    <s v="HDFC0000007"/>
    <n v="28"/>
    <n v="0"/>
    <n v="0"/>
    <n v="28"/>
    <n v="28"/>
    <n v="33000"/>
    <n v="33000"/>
    <n v="14850"/>
    <n v="5940"/>
    <n v="1600"/>
    <n v="200"/>
    <n v="1250"/>
    <n v="0"/>
    <n v="0"/>
    <n v="0"/>
    <n v="0"/>
    <n v="0"/>
    <n v="0"/>
    <n v="0"/>
    <n v="1782"/>
    <n v="7378"/>
    <n v="0"/>
    <n v="0"/>
    <m/>
    <n v="33000"/>
    <n v="33000"/>
    <m/>
    <n v="0"/>
    <n v="0"/>
    <n v="300"/>
    <n v="1782"/>
    <n v="0"/>
    <n v="0"/>
    <n v="0"/>
    <n v="0"/>
    <n v="2082"/>
    <n v="30918"/>
    <m/>
    <m/>
  </r>
  <r>
    <d v="2026-02-01T00:00:00"/>
    <s v="Salary"/>
    <m/>
    <s v="MOONSTONE REALINFRA PRIVATE LIMITED"/>
    <n v="2049"/>
    <s v="VIVEK VILAS BHOSALE"/>
    <s v="Male"/>
    <s v=""/>
    <s v="Mar 13, 2025"/>
    <s v="EXDPB6825C"/>
    <s v="102055428527"/>
    <x v="6"/>
    <s v="MANAGEMENT TRAINEE"/>
    <x v="0"/>
    <s v="MT"/>
    <s v="PF"/>
    <s v="NA"/>
    <s v=""/>
    <s v=""/>
    <s v="826110651139"/>
    <s v="50100808789342"/>
    <s v="HDFC BANK"/>
    <s v="HDFC0001210"/>
    <n v="28"/>
    <n v="0"/>
    <n v="0.5"/>
    <n v="27.5"/>
    <n v="27.5"/>
    <n v="27713"/>
    <n v="27713"/>
    <n v="12248"/>
    <n v="4899"/>
    <n v="1571"/>
    <n v="196"/>
    <n v="1228"/>
    <n v="0"/>
    <n v="0"/>
    <n v="0"/>
    <n v="0"/>
    <n v="0"/>
    <n v="0"/>
    <n v="0"/>
    <n v="1470"/>
    <n v="5606"/>
    <n v="0"/>
    <n v="0"/>
    <m/>
    <n v="27218"/>
    <n v="27218"/>
    <m/>
    <n v="0"/>
    <n v="0"/>
    <n v="300"/>
    <n v="1470"/>
    <n v="0"/>
    <n v="0"/>
    <n v="0"/>
    <n v="0"/>
    <n v="1770"/>
    <n v="25448"/>
    <m/>
    <m/>
  </r>
  <r>
    <d v="2026-02-01T00:00:00"/>
    <s v="Salary"/>
    <m/>
    <s v="MOONSTONE REALINFRA PRIVATE LIMITED"/>
    <n v="1121"/>
    <s v="YASH HARESH DAGHA"/>
    <s v="Male"/>
    <s v=""/>
    <s v="Jun 15, 2022"/>
    <s v="ASJPD7716K"/>
    <s v="101459690850"/>
    <x v="36"/>
    <s v="GENERAL MANAGER"/>
    <x v="6"/>
    <s v="TL"/>
    <s v="PF"/>
    <s v="NA"/>
    <s v=""/>
    <s v=""/>
    <s v="975613704897"/>
    <s v="50100489634680"/>
    <s v="HDFC BANK"/>
    <s v="HDFC0000163"/>
    <n v="28"/>
    <n v="0"/>
    <n v="1"/>
    <n v="27"/>
    <n v="27"/>
    <n v="206500"/>
    <n v="206500"/>
    <n v="89606"/>
    <n v="35842"/>
    <n v="1543"/>
    <n v="193"/>
    <n v="1205"/>
    <n v="7464"/>
    <n v="17921"/>
    <n v="13441"/>
    <n v="896"/>
    <n v="3136"/>
    <n v="1792"/>
    <n v="448"/>
    <n v="1800"/>
    <n v="23838"/>
    <n v="0"/>
    <n v="0"/>
    <n v="16521"/>
    <n v="215646"/>
    <n v="199125"/>
    <m/>
    <n v="0"/>
    <n v="21255"/>
    <n v="300"/>
    <n v="1800"/>
    <n v="0"/>
    <n v="0"/>
    <n v="0"/>
    <n v="0"/>
    <n v="23355"/>
    <n v="192291"/>
    <m/>
    <m/>
  </r>
  <r>
    <d v="2026-02-01T00:00:00"/>
    <s v="Salary"/>
    <m/>
    <s v="MOONSTONE REALINFRA PRIVATE LIMITED"/>
    <n v="2264"/>
    <s v="YASHWANT HANUMANT WADKAR"/>
    <s v="Male"/>
    <s v=""/>
    <s v="Nov 07, 2025"/>
    <s v="AFVPW2119Q"/>
    <s v="102060208625"/>
    <x v="30"/>
    <s v="SENIOR  EXECUTIVE - ACCOUNTS"/>
    <x v="5"/>
    <s v="TM"/>
    <s v="PF"/>
    <s v="NA"/>
    <s v=""/>
    <s v=""/>
    <s v="982600635271"/>
    <s v="50100846852161"/>
    <s v="HDFC BANK"/>
    <s v="HDFC0000437"/>
    <n v="28"/>
    <n v="0"/>
    <n v="1"/>
    <n v="27"/>
    <n v="27"/>
    <n v="54867"/>
    <n v="54867"/>
    <n v="23808"/>
    <n v="9523"/>
    <n v="1543"/>
    <n v="193"/>
    <n v="1205"/>
    <n v="1983"/>
    <n v="4762"/>
    <n v="3571"/>
    <n v="238"/>
    <n v="833"/>
    <n v="476"/>
    <n v="119"/>
    <n v="1800"/>
    <n v="2853"/>
    <n v="0"/>
    <n v="0"/>
    <m/>
    <n v="52907"/>
    <n v="52907"/>
    <m/>
    <n v="0"/>
    <n v="0"/>
    <n v="300"/>
    <n v="1800"/>
    <n v="0"/>
    <n v="0"/>
    <n v="0"/>
    <n v="0"/>
    <n v="2100"/>
    <n v="50807"/>
    <m/>
    <m/>
  </r>
  <r>
    <d v="2026-02-01T00:00:00"/>
    <s v="Salary"/>
    <m/>
    <s v="MOONSTONE REALINFRA PRIVATE LIMITED"/>
    <n v="1496"/>
    <s v="YOGESH KALIDAS PAWAR"/>
    <s v="Male"/>
    <s v=""/>
    <s v="Aug 01, 2023"/>
    <s v="ASXPP0952H"/>
    <s v="101235805115"/>
    <x v="9"/>
    <s v="SENIOR ENGINEER"/>
    <x v="0"/>
    <s v="TM"/>
    <s v="PF"/>
    <s v="NA"/>
    <s v=""/>
    <s v=""/>
    <s v="487287182825"/>
    <s v="50100505734101"/>
    <s v="HDFC BANK"/>
    <s v="HDFC0000039"/>
    <n v="28"/>
    <n v="0"/>
    <n v="0"/>
    <n v="28"/>
    <n v="28"/>
    <n v="55383"/>
    <n v="55383"/>
    <n v="24922"/>
    <n v="9969"/>
    <n v="1600"/>
    <n v="200"/>
    <n v="1250"/>
    <n v="2076"/>
    <n v="4984"/>
    <n v="3738"/>
    <n v="249"/>
    <n v="872"/>
    <n v="498"/>
    <n v="125"/>
    <n v="1800"/>
    <n v="3100"/>
    <n v="0"/>
    <n v="0"/>
    <m/>
    <n v="55383"/>
    <n v="55383"/>
    <m/>
    <n v="0"/>
    <n v="0"/>
    <n v="300"/>
    <n v="1800"/>
    <n v="0"/>
    <n v="0"/>
    <n v="0"/>
    <n v="0"/>
    <n v="2100"/>
    <n v="53283"/>
    <m/>
    <m/>
  </r>
  <r>
    <d v="2026-02-01T00:00:00"/>
    <s v="Salary"/>
    <m/>
    <s v="MOONSTONE REALINFRA PRIVATE LIMITED"/>
    <n v="734"/>
    <s v="YOGITA BAFNA"/>
    <s v="Female"/>
    <s v=""/>
    <s v="Dec 01, 2020"/>
    <s v="AMHPB6910F"/>
    <s v="101139292859"/>
    <x v="66"/>
    <s v="HEAD LIAISIONING"/>
    <x v="3"/>
    <s v="TM"/>
    <s v="PF"/>
    <s v="NA"/>
    <s v=""/>
    <s v=""/>
    <s v="321961356560"/>
    <s v="50100317492410"/>
    <s v="HDFC BANK"/>
    <s v="HDFC0000007"/>
    <n v="28"/>
    <n v="0"/>
    <n v="0"/>
    <n v="28"/>
    <n v="28"/>
    <n v="103609"/>
    <n v="103609"/>
    <n v="46624"/>
    <n v="18650"/>
    <n v="1600"/>
    <n v="200"/>
    <n v="1250"/>
    <n v="3884"/>
    <n v="9325"/>
    <n v="6994"/>
    <n v="466"/>
    <n v="1632"/>
    <n v="932"/>
    <n v="233"/>
    <n v="1800"/>
    <n v="10019"/>
    <n v="0"/>
    <n v="0"/>
    <m/>
    <n v="103609"/>
    <n v="103609"/>
    <m/>
    <n v="0"/>
    <n v="0"/>
    <n v="300"/>
    <n v="1800"/>
    <n v="0"/>
    <n v="0"/>
    <n v="0"/>
    <n v="0"/>
    <n v="2100"/>
    <n v="101509"/>
    <m/>
    <m/>
  </r>
  <r>
    <d v="2025-06-01T00:00:00"/>
    <s v="Salary"/>
    <s v="S19014J001"/>
    <s v="MOONSTONE REALINFRA PRIVATE LIMITED"/>
    <n v="1488"/>
    <s v="AAKASH ARVIND SHELAR"/>
    <s v="Male"/>
    <m/>
    <s v="Jul 28, 2023"/>
    <s v="CKIPS7322F"/>
    <s v="101208002832"/>
    <x v="0"/>
    <s v="FIELD ENGINEER"/>
    <x v="0"/>
    <m/>
    <m/>
    <m/>
    <m/>
    <m/>
    <m/>
    <m/>
    <m/>
    <m/>
    <m/>
    <m/>
    <m/>
    <m/>
    <m/>
    <m/>
    <m/>
    <m/>
    <m/>
    <m/>
    <m/>
    <m/>
    <m/>
    <m/>
    <m/>
    <m/>
    <m/>
    <m/>
    <m/>
    <m/>
    <m/>
    <m/>
    <m/>
    <m/>
    <m/>
    <n v="1989"/>
    <m/>
    <m/>
    <m/>
    <m/>
    <m/>
    <m/>
    <m/>
    <m/>
    <m/>
    <m/>
    <n v="1989"/>
    <m/>
    <s v="New Entry Updated"/>
  </r>
  <r>
    <d v="2025-06-01T00:00:00"/>
    <s v="Salary"/>
    <s v="S19014J001"/>
    <s v="MOONSTONE REALINFRA PRIVATE LIMITED"/>
    <n v="1237"/>
    <s v="VISHAL BHAGWAN BHALERAO"/>
    <s v="Male"/>
    <m/>
    <s v="Nov 04, 2022"/>
    <s v="ASCPB5291L"/>
    <s v="101511554357"/>
    <x v="4"/>
    <s v="Site Supervisor"/>
    <x v="0"/>
    <m/>
    <m/>
    <m/>
    <m/>
    <m/>
    <m/>
    <m/>
    <m/>
    <m/>
    <m/>
    <m/>
    <m/>
    <m/>
    <m/>
    <m/>
    <m/>
    <m/>
    <m/>
    <m/>
    <m/>
    <m/>
    <m/>
    <m/>
    <m/>
    <m/>
    <m/>
    <m/>
    <m/>
    <m/>
    <m/>
    <m/>
    <m/>
    <m/>
    <m/>
    <n v="1644"/>
    <m/>
    <m/>
    <m/>
    <m/>
    <m/>
    <m/>
    <m/>
    <m/>
    <m/>
    <m/>
    <n v="1644"/>
    <m/>
    <s v="New Entry Updated"/>
  </r>
  <r>
    <d v="2025-06-01T00:00:00"/>
    <s v="Salary"/>
    <s v="S19014J001"/>
    <s v="MOONSTONE REALINFRA PRIVATE LIMITED"/>
    <n v="1445"/>
    <s v="PRASHANT SUDAM GADRE"/>
    <s v="Male"/>
    <m/>
    <s v="Jun 01, 2023"/>
    <s v="AUVPG5057A"/>
    <s v="101403170926"/>
    <x v="4"/>
    <s v="Site Supervisor"/>
    <x v="0"/>
    <m/>
    <m/>
    <m/>
    <m/>
    <m/>
    <m/>
    <m/>
    <m/>
    <m/>
    <m/>
    <m/>
    <m/>
    <m/>
    <m/>
    <m/>
    <m/>
    <m/>
    <m/>
    <m/>
    <m/>
    <m/>
    <m/>
    <m/>
    <m/>
    <m/>
    <m/>
    <m/>
    <m/>
    <m/>
    <m/>
    <m/>
    <m/>
    <m/>
    <m/>
    <n v="9905"/>
    <m/>
    <m/>
    <m/>
    <m/>
    <m/>
    <m/>
    <m/>
    <m/>
    <m/>
    <m/>
    <n v="9905"/>
    <m/>
    <s v="New Entry Updated"/>
  </r>
  <r>
    <d v="2025-10-01T00:00:00"/>
    <s v="Incentive"/>
    <s v="S19014J001"/>
    <s v="MOONSTONE REALINFRA PRIVATE LIMITED"/>
    <n v="1370"/>
    <s v="VISHAL SHANTARAM KORADE"/>
    <s v="Male"/>
    <m/>
    <s v="Apr 10, 2023"/>
    <s v="BLYPK5831K"/>
    <s v="101150007330"/>
    <x v="21"/>
    <s v="EXECUTIVE - ADMIN"/>
    <x v="2"/>
    <m/>
    <m/>
    <m/>
    <m/>
    <m/>
    <m/>
    <m/>
    <m/>
    <m/>
    <m/>
    <m/>
    <m/>
    <m/>
    <m/>
    <m/>
    <m/>
    <m/>
    <m/>
    <m/>
    <m/>
    <m/>
    <m/>
    <m/>
    <m/>
    <m/>
    <m/>
    <m/>
    <m/>
    <m/>
    <m/>
    <m/>
    <m/>
    <m/>
    <m/>
    <n v="33000"/>
    <m/>
    <m/>
    <m/>
    <m/>
    <m/>
    <m/>
    <m/>
    <m/>
    <m/>
    <m/>
    <n v="33000"/>
    <m/>
    <s v="New Entry Updated"/>
  </r>
  <r>
    <d v="2025-10-01T00:00:00"/>
    <s v="Incentive"/>
    <s v="S19014J001"/>
    <s v="MOONSTONE REALINFRA PRIVATE LIMITED"/>
    <n v="1746"/>
    <s v="PRAMOD HANMANT PAWAR"/>
    <s v="Male"/>
    <m/>
    <s v="May 20, 2024"/>
    <s v="DFHPP2315Q"/>
    <s v="102021330261"/>
    <x v="25"/>
    <s v="PAINTER"/>
    <x v="2"/>
    <m/>
    <m/>
    <m/>
    <m/>
    <m/>
    <m/>
    <m/>
    <m/>
    <m/>
    <m/>
    <m/>
    <m/>
    <m/>
    <m/>
    <m/>
    <m/>
    <m/>
    <m/>
    <m/>
    <m/>
    <m/>
    <m/>
    <m/>
    <m/>
    <m/>
    <m/>
    <m/>
    <m/>
    <m/>
    <m/>
    <m/>
    <m/>
    <m/>
    <m/>
    <n v="38000"/>
    <m/>
    <m/>
    <m/>
    <m/>
    <m/>
    <m/>
    <m/>
    <m/>
    <m/>
    <m/>
    <n v="38000"/>
    <m/>
    <s v="New Entry Updated"/>
  </r>
  <r>
    <d v="2025-10-01T00:00:00"/>
    <s v="Incentive"/>
    <s v="S19014J001"/>
    <s v="MOONSTONE REALINFRA PRIVATE LIMITED"/>
    <n v="1950"/>
    <s v="VISHAL DILIP GAIKWAD"/>
    <s v="Male"/>
    <m/>
    <s v="Dec 12, 2024"/>
    <s v="AQIPG9250G"/>
    <s v="101589191488"/>
    <x v="4"/>
    <s v="SITE SUPERVISOR"/>
    <x v="0"/>
    <m/>
    <m/>
    <m/>
    <m/>
    <m/>
    <m/>
    <m/>
    <m/>
    <m/>
    <m/>
    <m/>
    <m/>
    <m/>
    <m/>
    <m/>
    <m/>
    <m/>
    <m/>
    <m/>
    <m/>
    <m/>
    <m/>
    <m/>
    <m/>
    <m/>
    <m/>
    <m/>
    <m/>
    <m/>
    <m/>
    <m/>
    <m/>
    <m/>
    <m/>
    <n v="29403"/>
    <m/>
    <m/>
    <m/>
    <m/>
    <m/>
    <m/>
    <m/>
    <m/>
    <m/>
    <m/>
    <n v="29403"/>
    <m/>
    <s v="New Entry Updated"/>
  </r>
  <r>
    <d v="2025-10-01T00:00:00"/>
    <s v="Incentive"/>
    <s v="S19014J001"/>
    <s v="MOONSTONE REALINFRA PRIVATE LIMITED"/>
    <n v="241"/>
    <s v="ABHIJIT SHEWALE"/>
    <s v="Male"/>
    <m/>
    <s v="May 17, 2016"/>
    <s v="BDYPS3411D"/>
    <s v="101411999470"/>
    <x v="1"/>
    <s v="ASSITANT PROJECT MANAGER"/>
    <x v="0"/>
    <m/>
    <m/>
    <m/>
    <m/>
    <m/>
    <m/>
    <m/>
    <m/>
    <m/>
    <m/>
    <m/>
    <m/>
    <m/>
    <m/>
    <m/>
    <m/>
    <m/>
    <m/>
    <m/>
    <m/>
    <m/>
    <m/>
    <m/>
    <m/>
    <m/>
    <m/>
    <m/>
    <m/>
    <m/>
    <m/>
    <m/>
    <m/>
    <m/>
    <m/>
    <n v="50400"/>
    <m/>
    <m/>
    <m/>
    <m/>
    <m/>
    <m/>
    <m/>
    <m/>
    <m/>
    <m/>
    <n v="50400"/>
    <m/>
    <s v="New Entry Updated"/>
  </r>
  <r>
    <d v="2025-10-01T00:00:00"/>
    <s v="Incentive"/>
    <s v="S19014J001"/>
    <s v="MOONSTONE REALINFRA PRIVATE LIMITED"/>
    <n v="1409"/>
    <s v="SANTOSH KADAM"/>
    <s v="Male"/>
    <m/>
    <s v="May 10, 2023"/>
    <s v="AZUPK6484F"/>
    <s v="100924255914"/>
    <x v="9"/>
    <s v="SENIOR ENGINEER"/>
    <x v="0"/>
    <m/>
    <m/>
    <m/>
    <m/>
    <m/>
    <m/>
    <m/>
    <m/>
    <m/>
    <m/>
    <m/>
    <m/>
    <m/>
    <m/>
    <m/>
    <m/>
    <m/>
    <m/>
    <m/>
    <m/>
    <m/>
    <m/>
    <m/>
    <m/>
    <m/>
    <m/>
    <m/>
    <m/>
    <m/>
    <m/>
    <m/>
    <m/>
    <m/>
    <m/>
    <n v="14200"/>
    <m/>
    <m/>
    <m/>
    <m/>
    <m/>
    <m/>
    <m/>
    <m/>
    <m/>
    <m/>
    <n v="14200"/>
    <m/>
    <s v="New Entry Updated"/>
  </r>
  <r>
    <d v="2025-10-01T00:00:00"/>
    <s v="Incentive"/>
    <s v="S19014J001"/>
    <s v="MOONSTONE REALINFRA PRIVATE LIMITED"/>
    <n v="1440"/>
    <s v="AMOL BHANUDAS LOKHANDE"/>
    <s v="Male"/>
    <m/>
    <s v="Jun 07, 2023"/>
    <s v="AFPPL3898F"/>
    <s v="101428013109"/>
    <x v="4"/>
    <s v="Site Supervisor"/>
    <x v="0"/>
    <m/>
    <m/>
    <m/>
    <m/>
    <m/>
    <m/>
    <m/>
    <m/>
    <m/>
    <m/>
    <m/>
    <m/>
    <m/>
    <m/>
    <m/>
    <m/>
    <m/>
    <m/>
    <m/>
    <m/>
    <m/>
    <m/>
    <m/>
    <m/>
    <m/>
    <m/>
    <m/>
    <m/>
    <m/>
    <m/>
    <m/>
    <m/>
    <m/>
    <m/>
    <n v="10900"/>
    <m/>
    <m/>
    <m/>
    <m/>
    <m/>
    <m/>
    <m/>
    <m/>
    <m/>
    <m/>
    <n v="10900"/>
    <m/>
    <s v="New Entry Updated"/>
  </r>
  <r>
    <d v="2025-10-01T00:00:00"/>
    <s v="Incentive"/>
    <s v="S19014J001"/>
    <s v="MOONSTONE REALINFRA PRIVATE LIMITED"/>
    <n v="1445"/>
    <s v="PRASHANT SUDAM GADRE"/>
    <s v="Male"/>
    <m/>
    <s v="Jun 01, 2023"/>
    <s v="AUVPG5057A"/>
    <s v="101403170926"/>
    <x v="4"/>
    <s v="Site Supervisor"/>
    <x v="0"/>
    <m/>
    <m/>
    <m/>
    <m/>
    <m/>
    <m/>
    <m/>
    <m/>
    <m/>
    <m/>
    <m/>
    <m/>
    <m/>
    <m/>
    <m/>
    <m/>
    <m/>
    <m/>
    <m/>
    <m/>
    <m/>
    <m/>
    <m/>
    <m/>
    <m/>
    <m/>
    <m/>
    <m/>
    <m/>
    <m/>
    <m/>
    <m/>
    <m/>
    <m/>
    <n v="23200"/>
    <m/>
    <m/>
    <m/>
    <m/>
    <m/>
    <m/>
    <m/>
    <m/>
    <m/>
    <m/>
    <n v="23200"/>
    <m/>
    <s v="New Entry Updated"/>
  </r>
  <r>
    <d v="2025-10-01T00:00:00"/>
    <s v="Incentive"/>
    <s v="S19014J001"/>
    <s v="MOONSTONE REALINFRA PRIVATE LIMITED"/>
    <n v="1480"/>
    <s v="RAKESH DNYANOBA SONAWANE"/>
    <s v="Male"/>
    <m/>
    <s v="Jul 19, 2023"/>
    <s v="DJBPS0548N"/>
    <s v="100318745002"/>
    <x v="1"/>
    <s v="ASSISTANT PROJECT MANAGER"/>
    <x v="0"/>
    <m/>
    <m/>
    <m/>
    <m/>
    <m/>
    <m/>
    <m/>
    <m/>
    <m/>
    <m/>
    <m/>
    <m/>
    <m/>
    <m/>
    <m/>
    <m/>
    <m/>
    <m/>
    <m/>
    <m/>
    <m/>
    <m/>
    <m/>
    <m/>
    <m/>
    <m/>
    <m/>
    <m/>
    <m/>
    <m/>
    <m/>
    <m/>
    <m/>
    <m/>
    <n v="23000"/>
    <m/>
    <m/>
    <m/>
    <m/>
    <m/>
    <m/>
    <m/>
    <m/>
    <m/>
    <m/>
    <n v="23000"/>
    <m/>
    <s v="New Entry Updated"/>
  </r>
  <r>
    <d v="2025-10-01T00:00:00"/>
    <s v="Incentive"/>
    <s v="S19014J001"/>
    <s v="MOONSTONE REALINFRA PRIVATE LIMITED"/>
    <n v="1488"/>
    <s v="AAKASH ARVIND SHELAR"/>
    <s v="Male"/>
    <m/>
    <s v="Jul 28, 2023"/>
    <s v="CKIPS7322F"/>
    <s v="101208002832"/>
    <x v="0"/>
    <s v="FIELD ENGINEER"/>
    <x v="0"/>
    <m/>
    <m/>
    <m/>
    <m/>
    <m/>
    <m/>
    <m/>
    <m/>
    <m/>
    <m/>
    <m/>
    <m/>
    <m/>
    <m/>
    <m/>
    <m/>
    <m/>
    <m/>
    <m/>
    <m/>
    <m/>
    <m/>
    <m/>
    <m/>
    <m/>
    <m/>
    <m/>
    <m/>
    <m/>
    <m/>
    <m/>
    <m/>
    <m/>
    <m/>
    <n v="5300"/>
    <m/>
    <m/>
    <m/>
    <m/>
    <m/>
    <m/>
    <m/>
    <m/>
    <m/>
    <m/>
    <n v="5300"/>
    <m/>
    <s v="New Entry Updated"/>
  </r>
  <r>
    <d v="2025-10-01T00:00:00"/>
    <s v="Incentive"/>
    <s v="S19014J001"/>
    <s v="MOONSTONE REALINFRA PRIVATE LIMITED"/>
    <n v="1496"/>
    <s v="YOGESH KALIDAS PAWAR"/>
    <s v="Male"/>
    <m/>
    <s v="Aug 01, 2023"/>
    <s v="ASXPP0952H"/>
    <s v="101235805115"/>
    <x v="9"/>
    <s v="SENIOR ENGINEER"/>
    <x v="0"/>
    <m/>
    <m/>
    <m/>
    <m/>
    <m/>
    <m/>
    <m/>
    <m/>
    <m/>
    <m/>
    <m/>
    <m/>
    <m/>
    <m/>
    <m/>
    <m/>
    <m/>
    <m/>
    <m/>
    <m/>
    <m/>
    <m/>
    <m/>
    <m/>
    <m/>
    <m/>
    <m/>
    <m/>
    <m/>
    <m/>
    <m/>
    <m/>
    <m/>
    <m/>
    <n v="25800"/>
    <m/>
    <m/>
    <m/>
    <m/>
    <m/>
    <m/>
    <m/>
    <m/>
    <m/>
    <m/>
    <n v="25800"/>
    <m/>
    <s v="New Entry Updated"/>
  </r>
  <r>
    <d v="2025-10-01T00:00:00"/>
    <s v="Incentive"/>
    <s v="S19014J001"/>
    <s v="MOONSTONE REALINFRA PRIVATE LIMITED"/>
    <n v="1506"/>
    <s v="NILESH SUDAM DODAKE"/>
    <s v="Male"/>
    <m/>
    <s v="Aug 16, 2023"/>
    <s v="ATZPD2744A"/>
    <s v="101985884549"/>
    <x v="22"/>
    <s v="SUPERVISOR"/>
    <x v="0"/>
    <m/>
    <m/>
    <m/>
    <m/>
    <m/>
    <m/>
    <m/>
    <m/>
    <m/>
    <m/>
    <m/>
    <m/>
    <m/>
    <m/>
    <m/>
    <m/>
    <m/>
    <m/>
    <m/>
    <m/>
    <m/>
    <m/>
    <m/>
    <m/>
    <m/>
    <m/>
    <m/>
    <m/>
    <m/>
    <m/>
    <m/>
    <m/>
    <m/>
    <m/>
    <n v="9600"/>
    <m/>
    <m/>
    <m/>
    <m/>
    <m/>
    <m/>
    <m/>
    <m/>
    <m/>
    <m/>
    <n v="9600"/>
    <m/>
    <s v="New Entry Updated"/>
  </r>
  <r>
    <d v="2025-10-01T00:00:00"/>
    <s v="Incentive"/>
    <s v="S19014J001"/>
    <s v="MOONSTONE REALINFRA PRIVATE LIMITED"/>
    <n v="1535"/>
    <s v="SANTOSH DAMU MANKAR"/>
    <s v="Male"/>
    <m/>
    <s v="Sep 14, 2023"/>
    <s v="ARVPM8431B"/>
    <s v="101916942878"/>
    <x v="31"/>
    <s v="PROJECT MANAGER"/>
    <x v="0"/>
    <m/>
    <m/>
    <m/>
    <m/>
    <m/>
    <m/>
    <m/>
    <m/>
    <m/>
    <m/>
    <m/>
    <m/>
    <m/>
    <m/>
    <m/>
    <m/>
    <m/>
    <m/>
    <m/>
    <m/>
    <m/>
    <m/>
    <m/>
    <m/>
    <m/>
    <m/>
    <m/>
    <m/>
    <m/>
    <m/>
    <m/>
    <m/>
    <m/>
    <m/>
    <n v="19900"/>
    <m/>
    <m/>
    <m/>
    <m/>
    <m/>
    <m/>
    <m/>
    <m/>
    <m/>
    <m/>
    <n v="19900"/>
    <m/>
    <s v="New Entry Updated"/>
  </r>
  <r>
    <d v="2025-10-01T00:00:00"/>
    <s v="Incentive"/>
    <s v="S19014J001"/>
    <s v="MOONSTONE REALINFRA PRIVATE LIMITED"/>
    <n v="1589"/>
    <s v="TAUKEEL RASHID JAMADAR"/>
    <s v="Male"/>
    <m/>
    <s v="Jan 02, 2024"/>
    <s v="CGPPJ6786D"/>
    <s v="102034245800"/>
    <x v="0"/>
    <s v="FIELD ENGINEER"/>
    <x v="0"/>
    <m/>
    <m/>
    <m/>
    <m/>
    <m/>
    <m/>
    <m/>
    <m/>
    <m/>
    <m/>
    <m/>
    <m/>
    <m/>
    <m/>
    <m/>
    <m/>
    <m/>
    <m/>
    <m/>
    <m/>
    <m/>
    <m/>
    <m/>
    <m/>
    <m/>
    <m/>
    <m/>
    <m/>
    <m/>
    <m/>
    <m/>
    <m/>
    <m/>
    <m/>
    <n v="8600"/>
    <m/>
    <m/>
    <m/>
    <m/>
    <m/>
    <m/>
    <m/>
    <m/>
    <m/>
    <m/>
    <n v="8600"/>
    <m/>
    <s v="New Entry Updated"/>
  </r>
  <r>
    <d v="2026-03-01T00:00:00"/>
    <s v="Salary"/>
    <m/>
    <s v="MOONSTONE REALINFRA PRIVATE LIMITED"/>
    <n v="2163"/>
    <s v="AJAY ANIRUDDHA VAIDYA"/>
    <s v="Male"/>
    <m/>
    <s v="Jul 08, 2025"/>
    <s v="AFVPV5692P"/>
    <s v="102185382695"/>
    <x v="38"/>
    <s v="GENERAL MANAGER"/>
    <x v="0"/>
    <s v="GL"/>
    <s v="PF"/>
    <s v="NA"/>
    <s v=""/>
    <s v=""/>
    <s v="806537391280"/>
    <s v="50100582779333"/>
    <s v="HDFC BANK"/>
    <s v="HDFC0001445"/>
    <n v="31"/>
    <n v="0"/>
    <n v="0"/>
    <n v="31"/>
    <n v="31"/>
    <n v="235700"/>
    <n v="235700"/>
    <n v="106065"/>
    <n v="42426"/>
    <n v="1600"/>
    <n v="200"/>
    <n v="1250"/>
    <n v="8835"/>
    <n v="21213"/>
    <n v="15910"/>
    <n v="1061"/>
    <n v="3712"/>
    <n v="2121"/>
    <n v="530"/>
    <n v="1800"/>
    <n v="28977"/>
    <n v="0"/>
    <n v="0"/>
    <n v="1422"/>
    <n v="237122"/>
    <n v="235700"/>
    <n v="0"/>
    <n v="0"/>
    <n v="19538"/>
    <n v="200"/>
    <n v="1800"/>
    <n v="0"/>
    <n v="0"/>
    <n v="0"/>
    <n v="0"/>
    <n v="21538"/>
    <n v="215584"/>
    <m/>
    <m/>
  </r>
  <r>
    <d v="2026-03-01T00:00:00"/>
    <s v="Salary"/>
    <m/>
    <s v="MOONSTONE REALINFRA PRIVATE LIMITED"/>
    <n v="2020"/>
    <s v="AJAY KUMAR GUPTA"/>
    <s v="Male"/>
    <m/>
    <s v="Feb 24, 2025"/>
    <s v="ASQPG3376F"/>
    <s v="102171897914"/>
    <x v="2"/>
    <s v="DEPUTY MANAGER"/>
    <x v="1"/>
    <s v="TM"/>
    <s v="PF"/>
    <s v="NA"/>
    <s v=""/>
    <s v=""/>
    <s v="877766770711"/>
    <s v="50100732468640"/>
    <s v="HDFC BANK"/>
    <s v="HDFC0000007"/>
    <n v="31"/>
    <n v="0"/>
    <n v="0"/>
    <n v="31"/>
    <n v="31"/>
    <n v="68450"/>
    <n v="68450"/>
    <n v="30803"/>
    <n v="12321"/>
    <n v="1600"/>
    <n v="200"/>
    <n v="1250"/>
    <n v="2566"/>
    <n v="6161"/>
    <n v="4620"/>
    <n v="308"/>
    <n v="1078"/>
    <n v="616"/>
    <n v="154"/>
    <n v="1800"/>
    <n v="4973"/>
    <n v="0"/>
    <n v="0"/>
    <n v="1357"/>
    <n v="69807"/>
    <n v="68450"/>
    <n v="0"/>
    <n v="0"/>
    <n v="0"/>
    <n v="200"/>
    <n v="1800"/>
    <n v="0"/>
    <n v="0"/>
    <n v="0"/>
    <n v="0"/>
    <n v="2000"/>
    <n v="67807"/>
    <m/>
    <m/>
  </r>
  <r>
    <d v="2026-03-01T00:00:00"/>
    <s v="Salary"/>
    <m/>
    <s v="MOONSTONE REALINFRA PRIVATE LIMITED"/>
    <n v="2307"/>
    <s v="AMIT KUMAR"/>
    <s v="Male"/>
    <m/>
    <s v="Dec 15, 2025"/>
    <s v="AULPK0803G"/>
    <s v="101599373063"/>
    <x v="20"/>
    <s v="ASSISTANT GENERAN MANAGER - RES. SALES"/>
    <x v="6"/>
    <s v="TL"/>
    <s v="PF"/>
    <s v="NA"/>
    <s v=""/>
    <s v=""/>
    <s v="897330270549"/>
    <s v="50100313981270"/>
    <s v="HDFC BANK"/>
    <s v="HDFC0009453"/>
    <n v="31"/>
    <n v="0"/>
    <n v="1"/>
    <n v="30"/>
    <n v="30"/>
    <n v="148200"/>
    <n v="148200"/>
    <n v="64539"/>
    <n v="25816"/>
    <n v="1548"/>
    <n v="194"/>
    <n v="1210"/>
    <n v="5376"/>
    <n v="12908"/>
    <n v="9681"/>
    <n v="645"/>
    <n v="2259"/>
    <n v="1291"/>
    <n v="323"/>
    <n v="1800"/>
    <n v="15829"/>
    <n v="0"/>
    <n v="0"/>
    <n v="11445"/>
    <n v="154864"/>
    <n v="143419"/>
    <n v="0"/>
    <n v="0"/>
    <n v="0"/>
    <n v="200"/>
    <n v="1800"/>
    <n v="0"/>
    <n v="0"/>
    <n v="0"/>
    <n v="0"/>
    <n v="2000"/>
    <n v="152864"/>
    <m/>
    <m/>
  </r>
  <r>
    <d v="2026-03-01T00:00:00"/>
    <s v="Salary"/>
    <m/>
    <s v="MOONSTONE REALINFRA PRIVATE LIMITED"/>
    <n v="2072"/>
    <s v="AMIT VILASRAO MALWADE"/>
    <s v="Male"/>
    <m/>
    <s v="Apr 01, 2025"/>
    <s v="BYWPM1111R"/>
    <s v="100098825740"/>
    <x v="3"/>
    <s v="SENIOR MANAGER - MEP"/>
    <x v="0"/>
    <s v="TL"/>
    <s v="PF"/>
    <s v="NA"/>
    <s v=""/>
    <s v=""/>
    <s v="572207945645"/>
    <s v="50100288775748"/>
    <s v="HDFC BANK"/>
    <s v="HDFC0001578"/>
    <n v="31"/>
    <n v="0"/>
    <n v="0"/>
    <n v="18"/>
    <n v="18"/>
    <n v="123200"/>
    <n v="123200"/>
    <n v="32191"/>
    <n v="12876"/>
    <n v="929"/>
    <n v="200"/>
    <n v="726"/>
    <n v="2682"/>
    <n v="6438"/>
    <n v="4829"/>
    <n v="322"/>
    <n v="1127"/>
    <n v="644"/>
    <n v="161"/>
    <n v="1800"/>
    <n v="6610"/>
    <n v="0"/>
    <n v="0"/>
    <m/>
    <n v="71535"/>
    <n v="71535"/>
    <n v="0"/>
    <n v="0"/>
    <n v="0"/>
    <n v="200"/>
    <n v="1800"/>
    <n v="0"/>
    <n v="0"/>
    <n v="0"/>
    <n v="0"/>
    <n v="2000"/>
    <n v="69535"/>
    <m/>
    <m/>
  </r>
  <r>
    <d v="2026-03-01T00:00:00"/>
    <s v="Salary"/>
    <m/>
    <s v="MOONSTONE REALINFRA PRIVATE LIMITED"/>
    <n v="1440"/>
    <s v="AMOL BHANUDAS LOKHANDE"/>
    <s v="Male"/>
    <m/>
    <s v="Jun 07, 2023"/>
    <s v="AFPPL3898F"/>
    <s v="101428013109"/>
    <x v="4"/>
    <s v="Site Supervisor"/>
    <x v="0"/>
    <s v="TM"/>
    <s v="PF"/>
    <s v="NA"/>
    <s v=""/>
    <s v=""/>
    <s v="311191516453"/>
    <s v="50100317873701"/>
    <s v="HDFC BANK"/>
    <s v="HDFC0000007"/>
    <n v="31"/>
    <n v="0"/>
    <n v="0"/>
    <n v="31"/>
    <n v="31"/>
    <n v="38617"/>
    <n v="38617"/>
    <n v="17378"/>
    <n v="6951"/>
    <n v="1600"/>
    <n v="200"/>
    <n v="1250"/>
    <n v="0"/>
    <n v="0"/>
    <n v="0"/>
    <n v="0"/>
    <n v="0"/>
    <n v="0"/>
    <n v="0"/>
    <n v="1800"/>
    <n v="9438"/>
    <n v="0"/>
    <n v="200"/>
    <m/>
    <n v="38817"/>
    <n v="38817"/>
    <n v="0"/>
    <n v="0"/>
    <n v="0"/>
    <n v="200"/>
    <n v="1800"/>
    <n v="0"/>
    <n v="0"/>
    <n v="0"/>
    <n v="0"/>
    <n v="2000"/>
    <n v="36817"/>
    <m/>
    <m/>
  </r>
  <r>
    <d v="2026-03-01T00:00:00"/>
    <s v="Salary"/>
    <m/>
    <s v="MOONSTONE REALINFRA PRIVATE LIMITED"/>
    <n v="2275"/>
    <s v="ANJUSHREE MALAKAR"/>
    <s v="Female"/>
    <m/>
    <s v="Nov 17, 2025"/>
    <s v="HTIPM6513C"/>
    <s v="102267032395"/>
    <x v="6"/>
    <s v="MANAGEMENT TRAINEE"/>
    <x v="6"/>
    <s v="MT"/>
    <s v="PF"/>
    <s v="NA"/>
    <s v=""/>
    <s v=""/>
    <s v="439111071354"/>
    <s v="50100847876972"/>
    <s v="HDFC BANK"/>
    <s v="HDFC0000437"/>
    <n v="31"/>
    <n v="0"/>
    <n v="2"/>
    <n v="29"/>
    <n v="29"/>
    <n v="44033"/>
    <n v="44033"/>
    <n v="18536"/>
    <n v="7414"/>
    <n v="1497"/>
    <n v="187"/>
    <n v="1169"/>
    <n v="1544"/>
    <n v="3707"/>
    <n v="2780"/>
    <n v="185"/>
    <n v="649"/>
    <n v="371"/>
    <n v="93"/>
    <n v="1800"/>
    <n v="1260"/>
    <n v="0"/>
    <n v="0"/>
    <m/>
    <n v="41192"/>
    <n v="41192"/>
    <n v="0"/>
    <n v="0"/>
    <n v="0"/>
    <n v="200"/>
    <n v="1800"/>
    <n v="0"/>
    <n v="0"/>
    <n v="0"/>
    <n v="0"/>
    <n v="2000"/>
    <n v="39192"/>
    <m/>
    <m/>
  </r>
  <r>
    <d v="2026-03-01T00:00:00"/>
    <s v="Salary"/>
    <m/>
    <s v="MOONSTONE REALINFRA PRIVATE LIMITED"/>
    <n v="2291"/>
    <s v="ATISH HARISHCHANDRA PAWAR"/>
    <s v="Male"/>
    <m/>
    <s v="Dec 01, 2025"/>
    <s v="DPJPP4164K"/>
    <s v="102272485329"/>
    <x v="64"/>
    <s v="ASSISTANT MANAGER"/>
    <x v="1"/>
    <s v="TM"/>
    <s v="PF"/>
    <s v="NA"/>
    <s v=""/>
    <s v=""/>
    <s v="715363363050"/>
    <s v="50100845758240"/>
    <s v="HDFC BANK"/>
    <s v="HDFC0000007"/>
    <n v="31"/>
    <n v="0"/>
    <n v="0"/>
    <n v="31"/>
    <n v="31"/>
    <n v="85700"/>
    <n v="85700"/>
    <n v="38565"/>
    <n v="15426"/>
    <n v="1600"/>
    <n v="200"/>
    <n v="1250"/>
    <n v="3212"/>
    <n v="7713"/>
    <n v="5785"/>
    <n v="386"/>
    <n v="1350"/>
    <n v="771"/>
    <n v="193"/>
    <n v="1800"/>
    <n v="7449"/>
    <n v="0"/>
    <n v="0"/>
    <m/>
    <n v="85700"/>
    <n v="85700"/>
    <n v="0"/>
    <n v="0"/>
    <n v="0"/>
    <n v="200"/>
    <n v="1800"/>
    <n v="0"/>
    <n v="0"/>
    <n v="0"/>
    <n v="0"/>
    <n v="2000"/>
    <n v="83700"/>
    <m/>
    <m/>
  </r>
  <r>
    <d v="2026-03-01T00:00:00"/>
    <s v="Salary"/>
    <m/>
    <s v="MOONSTONE REALINFRA PRIVATE LIMITED"/>
    <n v="2271"/>
    <s v="AVANISH KUMAR"/>
    <s v="Male"/>
    <m/>
    <s v="Nov 17, 2025"/>
    <s v="JXXPK8257E"/>
    <s v="102267048375"/>
    <x v="6"/>
    <s v="MANAGEMENT TRAINEE"/>
    <x v="6"/>
    <s v="MT"/>
    <s v="PF"/>
    <s v="NA"/>
    <s v=""/>
    <s v=""/>
    <s v="411849541395"/>
    <s v="50100847876548"/>
    <s v="HDFC BANK"/>
    <s v="HDFC0000437"/>
    <n v="31"/>
    <n v="0"/>
    <n v="0"/>
    <n v="31"/>
    <n v="31"/>
    <n v="44033"/>
    <n v="44033"/>
    <n v="19815"/>
    <n v="7926"/>
    <n v="1600"/>
    <n v="200"/>
    <n v="1250"/>
    <n v="1651"/>
    <n v="3963"/>
    <n v="2972"/>
    <n v="198"/>
    <n v="694"/>
    <n v="396"/>
    <n v="99"/>
    <n v="1800"/>
    <n v="1469"/>
    <n v="0"/>
    <n v="0"/>
    <n v="1913"/>
    <n v="45946"/>
    <n v="44033"/>
    <n v="0"/>
    <n v="0"/>
    <n v="0"/>
    <n v="200"/>
    <n v="1800"/>
    <n v="0"/>
    <n v="0"/>
    <n v="0"/>
    <n v="0"/>
    <n v="2000"/>
    <n v="43946"/>
    <m/>
    <m/>
  </r>
  <r>
    <d v="2026-03-01T00:00:00"/>
    <s v="Salary"/>
    <m/>
    <s v="MOONSTONE REALINFRA PRIVATE LIMITED"/>
    <n v="2247"/>
    <s v="BAJARANG V CHAUGULE"/>
    <s v="Male"/>
    <m/>
    <s v="Oct 07, 2025"/>
    <s v="ANJPC4768M"/>
    <s v="102257230707"/>
    <x v="43"/>
    <s v="MANAGER"/>
    <x v="0"/>
    <s v="TM"/>
    <s v="PF"/>
    <s v="NA"/>
    <s v=""/>
    <s v=""/>
    <s v="222947030647"/>
    <s v="50100216811030"/>
    <s v="HDFC BANK"/>
    <s v="HDFC0001783"/>
    <n v="31"/>
    <n v="0"/>
    <n v="2"/>
    <n v="29"/>
    <n v="29"/>
    <n v="88200"/>
    <n v="88200"/>
    <n v="37130"/>
    <n v="14852"/>
    <n v="1497"/>
    <n v="187"/>
    <n v="1169"/>
    <n v="3093"/>
    <n v="7426"/>
    <n v="5570"/>
    <n v="371"/>
    <n v="1300"/>
    <n v="743"/>
    <n v="186"/>
    <n v="1800"/>
    <n v="7186"/>
    <n v="0"/>
    <n v="0"/>
    <m/>
    <n v="82510"/>
    <n v="82510"/>
    <n v="0"/>
    <n v="0"/>
    <n v="0"/>
    <n v="200"/>
    <n v="1800"/>
    <n v="0"/>
    <n v="0"/>
    <n v="0"/>
    <n v="0"/>
    <n v="2000"/>
    <n v="80510"/>
    <m/>
    <m/>
  </r>
  <r>
    <d v="2026-03-01T00:00:00"/>
    <s v="Salary"/>
    <m/>
    <s v="MOONSTONE REALINFRA PRIVATE LIMITED"/>
    <n v="1599"/>
    <s v="BHAVESH SHANKAR WANI"/>
    <s v="Male"/>
    <m/>
    <s v="Jan 09, 2024"/>
    <s v="AGNPW7537K"/>
    <s v="102034237231"/>
    <x v="54"/>
    <s v="ASSISTANT MANAGER - RESI. SALES"/>
    <x v="6"/>
    <s v="TM"/>
    <s v="PF"/>
    <s v="NA"/>
    <s v=""/>
    <s v=""/>
    <s v="467176812861"/>
    <s v="50100394142702"/>
    <s v="HDFC BANK"/>
    <s v="HDFC0001785"/>
    <n v="31"/>
    <n v="0"/>
    <n v="0"/>
    <n v="31"/>
    <n v="31"/>
    <n v="51640"/>
    <n v="51640"/>
    <n v="23238"/>
    <n v="9295"/>
    <n v="1600"/>
    <n v="200"/>
    <n v="1250"/>
    <n v="1936"/>
    <n v="4648"/>
    <n v="3486"/>
    <n v="232"/>
    <n v="813"/>
    <n v="465"/>
    <n v="116"/>
    <n v="1800"/>
    <n v="2561"/>
    <n v="0"/>
    <n v="0"/>
    <n v="2787"/>
    <n v="54427"/>
    <n v="51640"/>
    <n v="0"/>
    <n v="0"/>
    <n v="0"/>
    <n v="200"/>
    <n v="1800"/>
    <n v="0"/>
    <n v="0"/>
    <n v="0"/>
    <n v="0"/>
    <n v="2000"/>
    <n v="52427"/>
    <m/>
    <m/>
  </r>
  <r>
    <d v="2026-03-01T00:00:00"/>
    <s v="Salary"/>
    <m/>
    <s v="MOONSTONE REALINFRA PRIVATE LIMITED"/>
    <n v="1180"/>
    <s v="BHUJBAL SAGAR DNYANESHWAR"/>
    <s v="Male"/>
    <m/>
    <s v="Sep 12, 2022"/>
    <s v="DQJPB2913K"/>
    <s v="101457017133"/>
    <x v="7"/>
    <s v="EXECUTIVE - POSSESSION"/>
    <x v="2"/>
    <s v="TM"/>
    <s v="PF"/>
    <s v="NA"/>
    <s v=""/>
    <s v=""/>
    <s v="241411121642"/>
    <s v="0600104000093754"/>
    <s v="IDBI BANK"/>
    <s v="IBKL0000600"/>
    <n v="31"/>
    <n v="0"/>
    <n v="0"/>
    <n v="31"/>
    <n v="31"/>
    <n v="28042"/>
    <n v="28042"/>
    <n v="12619"/>
    <n v="5048"/>
    <n v="1600"/>
    <n v="200"/>
    <n v="1250"/>
    <n v="0"/>
    <n v="0"/>
    <n v="0"/>
    <n v="0"/>
    <n v="0"/>
    <n v="0"/>
    <n v="0"/>
    <n v="1514"/>
    <n v="5811"/>
    <n v="0"/>
    <n v="0"/>
    <n v="2858"/>
    <n v="30900"/>
    <n v="28042"/>
    <n v="0"/>
    <n v="0"/>
    <n v="0"/>
    <n v="200"/>
    <n v="1514"/>
    <n v="0"/>
    <n v="0"/>
    <n v="0"/>
    <n v="0"/>
    <n v="1714"/>
    <n v="29186"/>
    <m/>
    <m/>
  </r>
  <r>
    <d v="2026-03-01T00:00:00"/>
    <s v="Salary"/>
    <m/>
    <s v="MOONSTONE REALINFRA PRIVATE LIMITED"/>
    <n v="48"/>
    <s v="BHUSHAN MADANLAL LUNKAD"/>
    <s v="Male"/>
    <m/>
    <s v="Sep 05, 2015"/>
    <s v="ADTPL6823A"/>
    <s v="101487437414"/>
    <x v="8"/>
    <s v="MANAGER - A &amp; O"/>
    <x v="6"/>
    <s v="TL"/>
    <s v="PF"/>
    <s v="NA"/>
    <s v=""/>
    <s v=""/>
    <s v="991187937886"/>
    <s v="00521050124966"/>
    <s v="HDFC BANK"/>
    <s v="HDFC0000052"/>
    <n v="31"/>
    <n v="0"/>
    <n v="0"/>
    <n v="31"/>
    <n v="31"/>
    <n v="107967"/>
    <n v="107967"/>
    <n v="48585"/>
    <n v="19434"/>
    <n v="1600"/>
    <n v="200"/>
    <n v="1250"/>
    <n v="4047"/>
    <n v="9717"/>
    <n v="7288"/>
    <n v="486"/>
    <n v="1700"/>
    <n v="972"/>
    <n v="243"/>
    <n v="1800"/>
    <n v="10645"/>
    <n v="0"/>
    <n v="0"/>
    <m/>
    <n v="107967"/>
    <n v="107967"/>
    <n v="0"/>
    <n v="0"/>
    <n v="16855"/>
    <n v="200"/>
    <n v="1800"/>
    <n v="0"/>
    <n v="0"/>
    <n v="0"/>
    <n v="15000"/>
    <n v="33855"/>
    <n v="74112"/>
    <m/>
    <m/>
  </r>
  <r>
    <d v="2026-03-01T00:00:00"/>
    <s v="Salary"/>
    <m/>
    <s v="MOONSTONE REALINFRA PRIVATE LIMITED"/>
    <n v="2246"/>
    <s v="BHUSHAN SATISH DESHPANDE"/>
    <s v="Male"/>
    <m/>
    <s v="Oct 14, 2025"/>
    <s v="AHUPD7618N"/>
    <s v="101156996356"/>
    <x v="60"/>
    <s v="SENIOR MANAGER"/>
    <x v="0"/>
    <s v="TL"/>
    <s v="PF"/>
    <s v="NA"/>
    <s v=""/>
    <s v=""/>
    <s v="225825367425"/>
    <s v="01031050120083"/>
    <s v="HDFC BANK"/>
    <s v="HDFC0000103"/>
    <n v="31"/>
    <n v="0"/>
    <n v="3"/>
    <n v="28"/>
    <n v="28"/>
    <n v="123200"/>
    <n v="123200"/>
    <n v="50075"/>
    <n v="20030"/>
    <n v="1445"/>
    <n v="181"/>
    <n v="1129"/>
    <n v="4171"/>
    <n v="10015"/>
    <n v="7511"/>
    <n v="501"/>
    <n v="1753"/>
    <n v="1002"/>
    <n v="250"/>
    <n v="1800"/>
    <n v="11414"/>
    <n v="0"/>
    <n v="13200"/>
    <m/>
    <n v="124477"/>
    <n v="124477"/>
    <n v="0"/>
    <n v="0"/>
    <n v="0"/>
    <n v="200"/>
    <n v="1800"/>
    <n v="0"/>
    <n v="0"/>
    <n v="0"/>
    <n v="0"/>
    <n v="2000"/>
    <n v="122477"/>
    <m/>
    <m/>
  </r>
  <r>
    <d v="2026-03-01T00:00:00"/>
    <s v="Salary"/>
    <m/>
    <s v="MOONSTONE REALINFRA PRIVATE LIMITED"/>
    <n v="2276"/>
    <s v="BIDIPTA DEY SARKAR"/>
    <s v="Female"/>
    <m/>
    <s v="Nov 17, 2025"/>
    <s v="PGOPS8165P"/>
    <s v="102187952261"/>
    <x v="6"/>
    <s v="MANAGEMENT TRAINEE"/>
    <x v="6"/>
    <s v="MT"/>
    <s v="PF"/>
    <s v="NA"/>
    <s v=""/>
    <s v=""/>
    <s v="800708836063"/>
    <s v="50100847878732"/>
    <s v="HDFC BANK"/>
    <s v="HDFC0000437"/>
    <n v="31"/>
    <n v="0"/>
    <n v="1.5"/>
    <n v="29.5"/>
    <n v="29.5"/>
    <n v="44033"/>
    <n v="44033"/>
    <n v="18856"/>
    <n v="7542"/>
    <n v="1523"/>
    <n v="190"/>
    <n v="1190"/>
    <n v="1571"/>
    <n v="3771"/>
    <n v="2828"/>
    <n v="189"/>
    <n v="660"/>
    <n v="377"/>
    <n v="94"/>
    <n v="1800"/>
    <n v="1311"/>
    <n v="0"/>
    <n v="0"/>
    <m/>
    <n v="41902"/>
    <n v="41902"/>
    <n v="0"/>
    <n v="0"/>
    <n v="0"/>
    <n v="200"/>
    <n v="1800"/>
    <n v="0"/>
    <n v="0"/>
    <n v="0"/>
    <n v="0"/>
    <n v="2000"/>
    <n v="39902"/>
    <m/>
    <m/>
  </r>
  <r>
    <d v="2026-03-01T00:00:00"/>
    <s v="Salary"/>
    <m/>
    <s v="MOONSTONE REALINFRA PRIVATE LIMITED"/>
    <n v="2017"/>
    <s v="DHAIRYA PRASAD"/>
    <s v="Male"/>
    <m/>
    <s v="Feb 17, 2025"/>
    <s v="EPBPP8390Q"/>
    <s v="102171851924"/>
    <x v="54"/>
    <s v="ASSISTANT MANAGER - RESI. SALES"/>
    <x v="6"/>
    <s v="TM"/>
    <s v="PF"/>
    <s v="NA"/>
    <s v=""/>
    <s v=""/>
    <s v="851362488850"/>
    <s v="50100731565504"/>
    <s v="HDFC BANK"/>
    <s v="HDFC0000007"/>
    <n v="31"/>
    <n v="0"/>
    <n v="0"/>
    <n v="31"/>
    <n v="31"/>
    <n v="56533"/>
    <n v="56533"/>
    <n v="25440"/>
    <n v="10176"/>
    <n v="1600"/>
    <n v="200"/>
    <n v="1250"/>
    <n v="2119"/>
    <n v="5088"/>
    <n v="3816"/>
    <n v="254"/>
    <n v="890"/>
    <n v="509"/>
    <n v="127"/>
    <n v="1800"/>
    <n v="3264"/>
    <n v="0"/>
    <n v="0"/>
    <n v="399"/>
    <n v="56932"/>
    <n v="56533"/>
    <n v="0"/>
    <n v="0"/>
    <n v="0"/>
    <n v="200"/>
    <n v="1800"/>
    <n v="0"/>
    <n v="0"/>
    <n v="0"/>
    <n v="0"/>
    <n v="2000"/>
    <n v="54932"/>
    <m/>
    <m/>
  </r>
  <r>
    <d v="2026-03-01T00:00:00"/>
    <s v="Salary"/>
    <m/>
    <s v="MOONSTONE REALINFRA PRIVATE LIMITED"/>
    <n v="2186"/>
    <s v="DIPAK MAGAN KHAJURE"/>
    <s v="Male"/>
    <m/>
    <s v="Aug 11, 2025"/>
    <s v="HZWPK8086G"/>
    <s v="101305133627"/>
    <x v="39"/>
    <s v="SENIOR EXECUTIVE - MIS"/>
    <x v="6"/>
    <s v="TM"/>
    <s v="PF"/>
    <s v="NA"/>
    <s v=""/>
    <s v=""/>
    <s v="620286516208"/>
    <s v="50100820320194"/>
    <s v="HDFC BANK"/>
    <s v="HDFC0000007"/>
    <n v="31"/>
    <n v="0"/>
    <n v="2.5"/>
    <n v="28.5"/>
    <n v="28.5"/>
    <n v="63200"/>
    <n v="63200"/>
    <n v="26146"/>
    <n v="10458"/>
    <n v="1471"/>
    <n v="184"/>
    <n v="1149"/>
    <n v="2178"/>
    <n v="5229"/>
    <n v="3922"/>
    <n v="261"/>
    <n v="915"/>
    <n v="523"/>
    <n v="131"/>
    <n v="1800"/>
    <n v="3736"/>
    <n v="0"/>
    <n v="0"/>
    <m/>
    <n v="58103"/>
    <n v="58103"/>
    <n v="0"/>
    <n v="0"/>
    <n v="0"/>
    <n v="200"/>
    <n v="1800"/>
    <n v="0"/>
    <n v="0"/>
    <n v="0"/>
    <n v="0"/>
    <n v="2000"/>
    <n v="56103"/>
    <m/>
    <m/>
  </r>
  <r>
    <d v="2026-03-01T00:00:00"/>
    <s v="Salary"/>
    <m/>
    <s v="MOONSTONE REALINFRA PRIVATE LIMITED"/>
    <n v="1209"/>
    <s v="DUNDAPPA MALLAPPA SANKPAL"/>
    <s v="Male"/>
    <m/>
    <s v="Sep 03, 2022"/>
    <s v="CVOPS6863E"/>
    <s v="100379494874"/>
    <x v="40"/>
    <s v="MANAGER - HR"/>
    <x v="2"/>
    <s v="TM"/>
    <s v="PF"/>
    <s v="NA"/>
    <s v=""/>
    <s v=""/>
    <s v="818967487034"/>
    <s v="50100188631775"/>
    <s v="HDFC BANK"/>
    <s v="HDFC0000039"/>
    <n v="31"/>
    <n v="0"/>
    <n v="0"/>
    <n v="31"/>
    <n v="31"/>
    <n v="83333"/>
    <n v="83333"/>
    <n v="37500"/>
    <n v="15000"/>
    <n v="1600"/>
    <n v="200"/>
    <n v="1250"/>
    <n v="3124"/>
    <n v="7500"/>
    <n v="5625"/>
    <n v="375"/>
    <n v="1313"/>
    <n v="750"/>
    <n v="188"/>
    <n v="1800"/>
    <n v="7108"/>
    <n v="0"/>
    <n v="0"/>
    <n v="414"/>
    <n v="83747"/>
    <n v="83333"/>
    <n v="0"/>
    <n v="0"/>
    <n v="0"/>
    <n v="200"/>
    <n v="1800"/>
    <n v="0"/>
    <n v="0"/>
    <n v="0"/>
    <n v="0"/>
    <n v="2000"/>
    <n v="81747"/>
    <m/>
    <m/>
  </r>
  <r>
    <d v="2026-03-01T00:00:00"/>
    <s v="Salary"/>
    <m/>
    <s v="MOONSTONE REALINFRA PRIVATE LIMITED"/>
    <n v="1517"/>
    <s v="GANESH SURESH PAWAR"/>
    <s v="Male"/>
    <m/>
    <s v="Sep 01, 2023"/>
    <s v="CANPP1627F"/>
    <s v="101292152161"/>
    <x v="12"/>
    <s v="EXECUTIVE - MIS"/>
    <x v="2"/>
    <s v="TM"/>
    <s v="PF"/>
    <s v="NA"/>
    <s v=""/>
    <s v=""/>
    <s v="427581798506"/>
    <s v="50100729824722"/>
    <s v="HDFC BANK"/>
    <s v="HDFC0001210"/>
    <n v="31"/>
    <n v="0"/>
    <n v="1.5"/>
    <n v="29.5"/>
    <n v="29.5"/>
    <n v="47190"/>
    <n v="47190"/>
    <n v="20208"/>
    <n v="8083"/>
    <n v="1523"/>
    <n v="190"/>
    <n v="1190"/>
    <n v="1683"/>
    <n v="4042"/>
    <n v="3031"/>
    <n v="202"/>
    <n v="707"/>
    <n v="404"/>
    <n v="101"/>
    <n v="1800"/>
    <n v="1743"/>
    <n v="0"/>
    <n v="0"/>
    <m/>
    <n v="44907"/>
    <n v="44907"/>
    <n v="0"/>
    <n v="0"/>
    <n v="0"/>
    <n v="200"/>
    <n v="1800"/>
    <n v="0"/>
    <n v="0"/>
    <n v="0"/>
    <n v="0"/>
    <n v="2000"/>
    <n v="42907"/>
    <m/>
    <m/>
  </r>
  <r>
    <d v="2026-03-01T00:00:00"/>
    <s v="Salary"/>
    <m/>
    <s v="MOONSTONE REALINFRA PRIVATE LIMITED"/>
    <n v="1202"/>
    <s v="GAURAV KASHINATH KURANE"/>
    <s v="Male"/>
    <m/>
    <s v="Sep 28, 2022"/>
    <s v="ARVPK8048G"/>
    <s v="100151644732"/>
    <x v="55"/>
    <s v="MANAGER - RESI. SALES"/>
    <x v="6"/>
    <s v="TM"/>
    <s v="PF"/>
    <s v="NA"/>
    <s v=""/>
    <s v=""/>
    <s v="597630357761"/>
    <s v="50100318162255"/>
    <s v="HDFC BANK"/>
    <s v="HDFC0000007"/>
    <n v="31"/>
    <n v="0"/>
    <n v="0"/>
    <n v="31"/>
    <n v="31"/>
    <n v="98333"/>
    <n v="98333"/>
    <n v="44250"/>
    <n v="17700"/>
    <n v="1600"/>
    <n v="200"/>
    <n v="1250"/>
    <n v="3686"/>
    <n v="8850"/>
    <n v="6638"/>
    <n v="443"/>
    <n v="1549"/>
    <n v="885"/>
    <n v="221"/>
    <n v="1800"/>
    <n v="9261"/>
    <n v="0"/>
    <n v="0"/>
    <n v="4186"/>
    <n v="102519"/>
    <n v="98333"/>
    <n v="0"/>
    <n v="0"/>
    <n v="0"/>
    <n v="200"/>
    <n v="1800"/>
    <n v="0"/>
    <n v="0"/>
    <n v="0"/>
    <n v="0"/>
    <n v="2000"/>
    <n v="100519"/>
    <m/>
    <m/>
  </r>
  <r>
    <d v="2026-03-01T00:00:00"/>
    <s v="Salary"/>
    <m/>
    <s v="MOONSTONE REALINFRA PRIVATE LIMITED"/>
    <n v="2234"/>
    <s v="GUNDAREDDY "/>
    <s v="Male"/>
    <m/>
    <s v="Sep 30, 2025"/>
    <s v="BPTPG4400H"/>
    <s v="101276751702"/>
    <x v="56"/>
    <s v="SENIOR EXECUTIVE HR"/>
    <x v="2"/>
    <s v="TM"/>
    <s v="PF"/>
    <s v="NA"/>
    <s v=""/>
    <s v=""/>
    <s v="793955988124"/>
    <s v="50100501671220"/>
    <s v="HDFC BANK"/>
    <s v="HDFC0004884"/>
    <n v="31"/>
    <n v="0"/>
    <n v="0.5"/>
    <n v="30.5"/>
    <n v="30.5"/>
    <n v="52200"/>
    <n v="52200"/>
    <n v="23111"/>
    <n v="9244"/>
    <n v="1574"/>
    <n v="197"/>
    <n v="1230"/>
    <n v="1925"/>
    <n v="4622"/>
    <n v="3467"/>
    <n v="231"/>
    <n v="809"/>
    <n v="462"/>
    <n v="116"/>
    <n v="1800"/>
    <n v="2570"/>
    <n v="0"/>
    <n v="0"/>
    <n v="776"/>
    <n v="52134"/>
    <n v="51358"/>
    <n v="0"/>
    <n v="0"/>
    <n v="0"/>
    <n v="200"/>
    <n v="1800"/>
    <n v="0"/>
    <n v="0"/>
    <n v="0"/>
    <n v="0"/>
    <n v="2000"/>
    <n v="50134"/>
    <m/>
    <m/>
  </r>
  <r>
    <d v="2026-03-01T00:00:00"/>
    <s v="Salary"/>
    <m/>
    <s v="MOONSTONE REALINFRA PRIVATE LIMITED"/>
    <n v="2273"/>
    <s v="HARSH VIJAY"/>
    <s v="Male"/>
    <m/>
    <s v="Nov 17, 2025"/>
    <s v="CWBPV9777L"/>
    <s v="102267049861"/>
    <x v="6"/>
    <s v="MANAGEMENT TRAINEE"/>
    <x v="6"/>
    <s v="MT"/>
    <s v="PF"/>
    <s v="NA"/>
    <s v=""/>
    <s v=""/>
    <s v="997756624145"/>
    <s v="50100847878811"/>
    <s v="HDFC BANK"/>
    <s v="HDFC0000437"/>
    <n v="31"/>
    <n v="0"/>
    <n v="0"/>
    <n v="31"/>
    <n v="31"/>
    <n v="44033"/>
    <n v="44033"/>
    <n v="19815"/>
    <n v="7926"/>
    <n v="1600"/>
    <n v="200"/>
    <n v="1250"/>
    <n v="1651"/>
    <n v="3963"/>
    <n v="2972"/>
    <n v="198"/>
    <n v="694"/>
    <n v="396"/>
    <n v="99"/>
    <n v="1800"/>
    <n v="1469"/>
    <n v="0"/>
    <n v="0"/>
    <n v="1367"/>
    <n v="45400"/>
    <n v="44033"/>
    <n v="0"/>
    <n v="0"/>
    <n v="0"/>
    <n v="200"/>
    <n v="1800"/>
    <n v="0"/>
    <n v="0"/>
    <n v="0"/>
    <n v="0"/>
    <n v="2000"/>
    <n v="43400"/>
    <m/>
    <m/>
  </r>
  <r>
    <d v="2026-03-01T00:00:00"/>
    <s v="Salary"/>
    <m/>
    <s v="MOONSTONE REALINFRA PRIVATE LIMITED"/>
    <n v="748"/>
    <s v="KALPESH KADAM"/>
    <s v="Male"/>
    <m/>
    <s v="Feb 22, 2021"/>
    <s v="DPAPK0829F"/>
    <s v="101173740664"/>
    <x v="41"/>
    <s v="MANAGER - LIAISONING"/>
    <x v="3"/>
    <s v="TM"/>
    <s v="PF"/>
    <s v="NA"/>
    <s v=""/>
    <s v=""/>
    <s v="656902116787"/>
    <s v="50100045505567"/>
    <s v="HDFC BANK"/>
    <s v="HDFC0000794"/>
    <n v="31"/>
    <n v="0"/>
    <n v="0"/>
    <n v="31"/>
    <n v="31"/>
    <n v="62333"/>
    <n v="62333"/>
    <n v="28050"/>
    <n v="11220"/>
    <n v="1600"/>
    <n v="200"/>
    <n v="1250"/>
    <n v="2337"/>
    <n v="5610"/>
    <n v="4208"/>
    <n v="281"/>
    <n v="982"/>
    <n v="561"/>
    <n v="140"/>
    <n v="1800"/>
    <n v="4094"/>
    <n v="0"/>
    <n v="0"/>
    <n v="1992"/>
    <n v="64325"/>
    <n v="62333"/>
    <n v="0"/>
    <n v="0"/>
    <n v="0"/>
    <n v="200"/>
    <n v="1800"/>
    <n v="0"/>
    <n v="0"/>
    <n v="0"/>
    <n v="15000"/>
    <n v="17000"/>
    <n v="47325"/>
    <m/>
    <m/>
  </r>
  <r>
    <d v="2026-03-01T00:00:00"/>
    <s v="Salary"/>
    <m/>
    <s v="MOONSTONE REALINFRA PRIVATE LIMITED"/>
    <n v="2214"/>
    <s v="KAMLESH BABULAL RAJPUROHIT"/>
    <s v="Male"/>
    <m/>
    <s v="Sep 15, 2025"/>
    <s v="EMJPR1063R"/>
    <s v="102077336068"/>
    <x v="57"/>
    <s v="EXECUTIVE ASSISTANT"/>
    <x v="5"/>
    <s v="TM"/>
    <s v="PF"/>
    <s v="NA"/>
    <s v=""/>
    <s v=""/>
    <s v="530249989111"/>
    <s v="50100833997330"/>
    <s v="HDFC BANK"/>
    <s v="HDFC0000437"/>
    <n v="31"/>
    <n v="0"/>
    <n v="0"/>
    <n v="31"/>
    <n v="31"/>
    <n v="54867"/>
    <n v="54867"/>
    <n v="24690"/>
    <n v="9876"/>
    <n v="1600"/>
    <n v="200"/>
    <n v="1250"/>
    <n v="2057"/>
    <n v="4938"/>
    <n v="3704"/>
    <n v="247"/>
    <n v="864"/>
    <n v="494"/>
    <n v="123"/>
    <n v="1800"/>
    <n v="3024"/>
    <n v="0"/>
    <n v="0"/>
    <m/>
    <n v="54867"/>
    <n v="54867"/>
    <n v="0"/>
    <n v="0"/>
    <n v="0"/>
    <n v="200"/>
    <n v="1800"/>
    <n v="0"/>
    <n v="0"/>
    <n v="0"/>
    <n v="0"/>
    <n v="2000"/>
    <n v="52867"/>
    <m/>
    <m/>
  </r>
  <r>
    <d v="2026-03-01T00:00:00"/>
    <s v="Salary"/>
    <m/>
    <s v="MOONSTONE REALINFRA PRIVATE LIMITED"/>
    <n v="2239"/>
    <s v="KESAVAPATNAM SAI DIVYA"/>
    <s v="Female"/>
    <m/>
    <s v="Oct 07, 2025"/>
    <s v="AXQPK7747R"/>
    <s v="100736813583"/>
    <x v="11"/>
    <s v="DEPUTY MANAGER - HR"/>
    <x v="2"/>
    <s v="TM"/>
    <s v="PF"/>
    <s v="NA"/>
    <s v=""/>
    <s v=""/>
    <s v="544132081350"/>
    <s v="50100713590393"/>
    <s v="HDFC BANK"/>
    <s v="HDFC0001210"/>
    <n v="31"/>
    <n v="0"/>
    <n v="0"/>
    <n v="31"/>
    <n v="31"/>
    <n v="89867"/>
    <n v="89867"/>
    <n v="40440"/>
    <n v="16176"/>
    <n v="1600"/>
    <n v="200"/>
    <n v="1250"/>
    <n v="3369"/>
    <n v="8088"/>
    <n v="6066"/>
    <n v="404"/>
    <n v="1415"/>
    <n v="809"/>
    <n v="202"/>
    <n v="1800"/>
    <n v="8048"/>
    <n v="0"/>
    <n v="6474"/>
    <n v="2448"/>
    <n v="98789"/>
    <n v="96341"/>
    <n v="0"/>
    <n v="0"/>
    <n v="0"/>
    <n v="200"/>
    <n v="1800"/>
    <n v="0"/>
    <n v="0"/>
    <n v="0"/>
    <n v="0"/>
    <n v="2000"/>
    <n v="96789"/>
    <m/>
    <m/>
  </r>
  <r>
    <d v="2026-03-01T00:00:00"/>
    <s v="Salary"/>
    <m/>
    <s v="MOONSTONE REALINFRA PRIVATE LIMITED"/>
    <n v="2152"/>
    <s v="KEWALRAJ POUDEL"/>
    <s v="Male"/>
    <m/>
    <s v="Jul 01, 2025"/>
    <s v="ETGPP5536R"/>
    <s v="102121019968"/>
    <x v="33"/>
    <s v="JUNIOR ENGINEER"/>
    <x v="0"/>
    <s v="TM"/>
    <s v="PF"/>
    <s v="NA"/>
    <s v=""/>
    <s v=""/>
    <s v="462816190119"/>
    <s v="50100815728426"/>
    <s v="HDFC BANK"/>
    <s v="HDFC0008300"/>
    <n v="31"/>
    <n v="0"/>
    <n v="0"/>
    <n v="31"/>
    <n v="31"/>
    <n v="32760"/>
    <n v="32760"/>
    <n v="14742"/>
    <n v="5897"/>
    <n v="1600"/>
    <n v="200"/>
    <n v="1250"/>
    <n v="0"/>
    <n v="0"/>
    <n v="0"/>
    <n v="0"/>
    <n v="0"/>
    <n v="0"/>
    <n v="0"/>
    <n v="1769"/>
    <n v="7302"/>
    <n v="0"/>
    <n v="0"/>
    <m/>
    <n v="32760"/>
    <n v="32760"/>
    <n v="0"/>
    <n v="0"/>
    <n v="0"/>
    <n v="200"/>
    <n v="1769"/>
    <n v="0"/>
    <n v="0"/>
    <n v="0"/>
    <n v="0"/>
    <n v="1969"/>
    <n v="30791"/>
    <m/>
    <m/>
  </r>
  <r>
    <d v="2026-03-01T00:00:00"/>
    <s v="Salary"/>
    <m/>
    <s v="MOONSTONE REALINFRA PRIVATE LIMITED"/>
    <n v="1875"/>
    <s v="KRISHNA KUMAR TIWARI"/>
    <s v="Male"/>
    <m/>
    <s v="Sep 09, 2024"/>
    <s v="AGXPT8418N"/>
    <s v="101910507765"/>
    <x v="52"/>
    <s v="DEPUTY MANAGER"/>
    <x v="6"/>
    <s v="TM"/>
    <s v="PF"/>
    <s v="NA"/>
    <s v=""/>
    <s v=""/>
    <s v="375923391923"/>
    <s v="50100755728692"/>
    <s v="HDFC BANK"/>
    <s v="HDFC0001210"/>
    <n v="31"/>
    <n v="0"/>
    <n v="0"/>
    <n v="31"/>
    <n v="31"/>
    <n v="65840"/>
    <n v="65840"/>
    <n v="29628"/>
    <n v="11851"/>
    <n v="1600"/>
    <n v="200"/>
    <n v="1250"/>
    <n v="2468"/>
    <n v="5926"/>
    <n v="4444"/>
    <n v="296"/>
    <n v="1037"/>
    <n v="593"/>
    <n v="148"/>
    <n v="1800"/>
    <n v="4599"/>
    <n v="0"/>
    <n v="2351"/>
    <n v="2710"/>
    <n v="70901"/>
    <n v="68191"/>
    <n v="0"/>
    <n v="0"/>
    <n v="0"/>
    <n v="200"/>
    <n v="1800"/>
    <n v="0"/>
    <n v="0"/>
    <n v="0"/>
    <n v="0"/>
    <n v="2000"/>
    <n v="68901"/>
    <m/>
    <m/>
  </r>
  <r>
    <d v="2026-03-01T00:00:00"/>
    <s v="Salary"/>
    <m/>
    <s v="MOONSTONE REALINFRA PRIVATE LIMITED"/>
    <n v="1135"/>
    <s v="LAKSHADIP PUNDALIK THAKUR"/>
    <s v="Male"/>
    <m/>
    <s v="Jul 01, 2022"/>
    <s v="AIKPT5980A"/>
    <s v="100202447925"/>
    <x v="36"/>
    <s v="GENERAL MANAGER"/>
    <x v="6"/>
    <s v="TL"/>
    <s v="PF"/>
    <s v="NA"/>
    <s v=""/>
    <s v=""/>
    <s v="332553462353"/>
    <s v="50100224949010"/>
    <s v="HDFC BANK"/>
    <s v="HDFC0003982"/>
    <n v="31"/>
    <n v="0"/>
    <n v="0"/>
    <n v="31"/>
    <n v="31"/>
    <n v="169400"/>
    <n v="169400"/>
    <n v="76230"/>
    <n v="30492"/>
    <n v="1600"/>
    <n v="200"/>
    <n v="1250"/>
    <n v="6350"/>
    <n v="15246"/>
    <n v="11435"/>
    <n v="762"/>
    <n v="2668"/>
    <n v="1525"/>
    <n v="381"/>
    <n v="1800"/>
    <n v="19461"/>
    <n v="0"/>
    <n v="0"/>
    <n v="8668"/>
    <n v="178068"/>
    <n v="169400"/>
    <n v="0"/>
    <n v="0"/>
    <n v="12155"/>
    <n v="200"/>
    <n v="1800"/>
    <n v="0"/>
    <n v="0"/>
    <n v="0"/>
    <n v="0"/>
    <n v="14155"/>
    <n v="163913"/>
    <m/>
    <m/>
  </r>
  <r>
    <d v="2026-03-01T00:00:00"/>
    <s v="Salary"/>
    <m/>
    <s v="MOONSTONE REALINFRA PRIVATE LIMITED"/>
    <n v="2272"/>
    <s v="MAHIMA RAWAL"/>
    <s v="Female"/>
    <m/>
    <s v="Nov 17, 2025"/>
    <s v="DVJPR7360M"/>
    <s v="101675947536"/>
    <x v="6"/>
    <s v="MANAGEMENT TRAINEE"/>
    <x v="6"/>
    <s v="MT"/>
    <s v="PF"/>
    <s v="NA"/>
    <s v=""/>
    <s v=""/>
    <s v="707738000576"/>
    <s v="50100289085145"/>
    <s v="HDFC BANK"/>
    <s v="HDFC0001443"/>
    <n v="31"/>
    <n v="0"/>
    <n v="0.5"/>
    <n v="30.5"/>
    <n v="30.5"/>
    <n v="44033"/>
    <n v="44033"/>
    <n v="19495"/>
    <n v="7798"/>
    <n v="1574"/>
    <n v="197"/>
    <n v="1230"/>
    <n v="1624"/>
    <n v="3899"/>
    <n v="2924"/>
    <n v="195"/>
    <n v="682"/>
    <n v="390"/>
    <n v="97"/>
    <n v="1800"/>
    <n v="1418"/>
    <n v="0"/>
    <n v="0"/>
    <n v="1479"/>
    <n v="44802"/>
    <n v="43323"/>
    <n v="0"/>
    <n v="0"/>
    <n v="0"/>
    <n v="200"/>
    <n v="1800"/>
    <n v="0"/>
    <n v="0"/>
    <n v="0"/>
    <n v="0"/>
    <n v="2000"/>
    <n v="42802"/>
    <m/>
    <m/>
  </r>
  <r>
    <d v="2026-03-01T00:00:00"/>
    <s v="Salary"/>
    <m/>
    <s v="MOONSTONE REALINFRA PRIVATE LIMITED"/>
    <n v="726"/>
    <s v="MAHVEEN SAYYED"/>
    <s v="Female"/>
    <m/>
    <s v="Dec 01, 2020"/>
    <s v="NUMPS3199R"/>
    <s v="101726376057"/>
    <x v="17"/>
    <s v="RECEPTIONIST"/>
    <x v="4"/>
    <s v="TM"/>
    <s v="PF"/>
    <s v="NA"/>
    <s v=""/>
    <s v=""/>
    <s v="677097563942"/>
    <s v="50100317492831"/>
    <s v="HDFC BANK"/>
    <s v="HDFC0000007"/>
    <n v="31"/>
    <n v="0"/>
    <n v="0"/>
    <n v="31"/>
    <n v="31"/>
    <n v="27904"/>
    <n v="27904"/>
    <n v="12557"/>
    <n v="5023"/>
    <n v="1600"/>
    <n v="200"/>
    <n v="1250"/>
    <n v="0"/>
    <n v="0"/>
    <n v="0"/>
    <n v="0"/>
    <n v="0"/>
    <n v="0"/>
    <n v="0"/>
    <n v="1507"/>
    <n v="5767"/>
    <n v="0"/>
    <n v="0"/>
    <m/>
    <n v="27904"/>
    <n v="27904"/>
    <n v="0"/>
    <n v="0"/>
    <n v="0"/>
    <n v="200"/>
    <n v="1507"/>
    <n v="0"/>
    <n v="0"/>
    <n v="0"/>
    <n v="0"/>
    <n v="1707"/>
    <n v="26197"/>
    <m/>
    <m/>
  </r>
  <r>
    <d v="2026-03-01T00:00:00"/>
    <s v="Salary"/>
    <m/>
    <s v="MOONSTONE REALINFRA PRIVATE LIMITED"/>
    <n v="1722"/>
    <s v="MANOJ KUMAR VARMA"/>
    <s v="Male"/>
    <m/>
    <s v="May 02, 2024"/>
    <s v="AAEPV3962E"/>
    <s v="101345330257"/>
    <x v="18"/>
    <s v="SENIOR VICE PRESIDENT"/>
    <x v="0"/>
    <s v="TH"/>
    <s v="PF"/>
    <s v="NA"/>
    <s v=""/>
    <s v=""/>
    <s v="768669459723"/>
    <s v="01531050005109"/>
    <s v="HDFC BANK"/>
    <s v="HDFC0000153"/>
    <n v="31"/>
    <n v="0"/>
    <n v="0"/>
    <n v="31"/>
    <n v="31"/>
    <n v="434795"/>
    <n v="434795"/>
    <n v="195658"/>
    <n v="78263"/>
    <n v="1600"/>
    <n v="200"/>
    <n v="1250"/>
    <n v="16298"/>
    <n v="39132"/>
    <n v="29349"/>
    <n v="1957"/>
    <n v="6848"/>
    <n v="3913"/>
    <n v="978"/>
    <n v="1800"/>
    <n v="57549"/>
    <n v="0"/>
    <n v="0"/>
    <n v="3036"/>
    <n v="437831"/>
    <n v="434795"/>
    <n v="0"/>
    <n v="0"/>
    <n v="236998"/>
    <n v="200"/>
    <n v="1800"/>
    <n v="0"/>
    <n v="0"/>
    <n v="0"/>
    <n v="0"/>
    <n v="238998"/>
    <n v="195797"/>
    <m/>
    <m/>
  </r>
  <r>
    <d v="2026-03-01T00:00:00"/>
    <s v="Salary"/>
    <m/>
    <s v="MOONSTONE REALINFRA PRIVATE LIMITED"/>
    <n v="2241"/>
    <s v="MANVI DHRUVRAJ SINGH"/>
    <s v="Female"/>
    <m/>
    <s v="Oct 09, 2025"/>
    <s v="OCSPS6842C"/>
    <s v="101948310999"/>
    <x v="61"/>
    <s v="SENIOR EXECUTIVE - RESI. SALES"/>
    <x v="6"/>
    <s v="TM"/>
    <s v="PF"/>
    <s v="NA"/>
    <s v=""/>
    <s v=""/>
    <s v="395020615512"/>
    <s v="50100774099998"/>
    <s v="HDFC BANK"/>
    <s v="HDFC0002690"/>
    <n v="31"/>
    <n v="0"/>
    <n v="0"/>
    <n v="31"/>
    <n v="31"/>
    <n v="47367"/>
    <n v="47367"/>
    <n v="21315"/>
    <n v="8526"/>
    <n v="1600"/>
    <n v="200"/>
    <n v="1250"/>
    <n v="1776"/>
    <n v="4263"/>
    <n v="3197"/>
    <n v="213"/>
    <n v="746"/>
    <n v="426"/>
    <n v="107"/>
    <n v="1800"/>
    <n v="1948"/>
    <n v="0"/>
    <n v="0"/>
    <m/>
    <n v="47367"/>
    <n v="47367"/>
    <n v="0"/>
    <n v="0"/>
    <n v="0"/>
    <n v="200"/>
    <n v="1800"/>
    <n v="0"/>
    <n v="0"/>
    <n v="0"/>
    <n v="0"/>
    <n v="2000"/>
    <n v="45367"/>
    <m/>
    <m/>
  </r>
  <r>
    <d v="2026-03-01T00:00:00"/>
    <s v="Salary"/>
    <m/>
    <s v="MOONSTONE REALINFRA PRIVATE LIMITED"/>
    <n v="382"/>
    <s v="MAYUR RAJAN SALUNKE"/>
    <s v="Male"/>
    <m/>
    <s v="Dec 11, 2018"/>
    <s v="EIWPS6074N"/>
    <s v="101412010976"/>
    <x v="45"/>
    <s v="ASSISTANT MANAGER"/>
    <x v="2"/>
    <s v="TM"/>
    <s v="PF"/>
    <s v="NA"/>
    <s v=""/>
    <s v=""/>
    <s v="202787997088"/>
    <s v="50100624532338"/>
    <s v="HDFC BANK"/>
    <s v="HDFC0000633"/>
    <n v="31"/>
    <n v="0"/>
    <n v="0"/>
    <n v="31"/>
    <n v="31"/>
    <n v="36950"/>
    <n v="36950"/>
    <n v="16628"/>
    <n v="6651"/>
    <n v="1600"/>
    <n v="200"/>
    <n v="1250"/>
    <n v="0"/>
    <n v="0"/>
    <n v="0"/>
    <n v="0"/>
    <n v="0"/>
    <n v="0"/>
    <n v="0"/>
    <n v="1800"/>
    <n v="8821"/>
    <n v="0"/>
    <n v="660"/>
    <n v="6165"/>
    <n v="43775"/>
    <n v="37610"/>
    <n v="0"/>
    <n v="0"/>
    <n v="0"/>
    <n v="200"/>
    <n v="1800"/>
    <n v="0"/>
    <n v="0"/>
    <n v="0"/>
    <n v="0"/>
    <n v="2000"/>
    <n v="41775"/>
    <m/>
    <m/>
  </r>
  <r>
    <d v="2026-03-01T00:00:00"/>
    <s v="Salary"/>
    <m/>
    <s v="MOONSTONE REALINFRA PRIVATE LIMITED"/>
    <n v="511"/>
    <s v="MAYURESH LANGOTE"/>
    <s v="Male"/>
    <m/>
    <s v="Aug 01, 2019"/>
    <s v="AEWPL1281L"/>
    <s v="100053793326"/>
    <x v="2"/>
    <s v="DEPUTY MANAGER"/>
    <x v="4"/>
    <s v="TM"/>
    <s v="PF"/>
    <s v="NA"/>
    <s v=""/>
    <s v=""/>
    <s v="250203086491"/>
    <s v="50100231649761"/>
    <s v="HDFC BANK"/>
    <s v="HDFC0000052"/>
    <n v="31"/>
    <n v="0"/>
    <n v="0"/>
    <n v="31"/>
    <n v="31"/>
    <n v="43308"/>
    <n v="43308"/>
    <n v="19489"/>
    <n v="7796"/>
    <n v="1600"/>
    <n v="200"/>
    <n v="1250"/>
    <n v="1623"/>
    <n v="3898"/>
    <n v="2923"/>
    <n v="195"/>
    <n v="682"/>
    <n v="390"/>
    <n v="97"/>
    <n v="1800"/>
    <n v="1365"/>
    <n v="0"/>
    <n v="0"/>
    <n v="3988"/>
    <n v="47296"/>
    <n v="43308"/>
    <n v="0"/>
    <n v="0"/>
    <n v="0"/>
    <n v="200"/>
    <n v="1800"/>
    <n v="0"/>
    <n v="0"/>
    <n v="0"/>
    <n v="0"/>
    <n v="2000"/>
    <n v="45296"/>
    <m/>
    <m/>
  </r>
  <r>
    <d v="2026-03-01T00:00:00"/>
    <s v="Salary"/>
    <m/>
    <s v="MOONSTONE REALINFRA PRIVATE LIMITED"/>
    <n v="2062"/>
    <s v="MOHAN SHRIKRISHNA UDGIRI"/>
    <s v="Male"/>
    <m/>
    <s v="Mar 24, 2025"/>
    <s v="AAZPU1282B"/>
    <s v="100242792314"/>
    <x v="20"/>
    <s v="ASSISTANT GENERAL MANAGER"/>
    <x v="0"/>
    <s v="TL"/>
    <s v="PF"/>
    <s v="NA"/>
    <s v=""/>
    <s v=""/>
    <s v="524156423700"/>
    <s v="05421140100824"/>
    <s v="HDFC BANK"/>
    <s v="HDFC0000542"/>
    <n v="31"/>
    <n v="0"/>
    <n v="3"/>
    <n v="28"/>
    <n v="28"/>
    <n v="181533"/>
    <n v="181533"/>
    <n v="73784"/>
    <n v="29514"/>
    <n v="1445"/>
    <n v="181"/>
    <n v="1129"/>
    <n v="6146"/>
    <n v="14757"/>
    <n v="11068"/>
    <n v="738"/>
    <n v="2582"/>
    <n v="1476"/>
    <n v="369"/>
    <n v="1800"/>
    <n v="18976"/>
    <n v="0"/>
    <n v="0"/>
    <n v="3"/>
    <n v="163968"/>
    <n v="163965"/>
    <n v="0"/>
    <n v="0"/>
    <n v="11817"/>
    <n v="200"/>
    <n v="1800"/>
    <n v="0"/>
    <n v="0"/>
    <n v="0"/>
    <n v="0"/>
    <n v="13817"/>
    <n v="150151"/>
    <m/>
    <m/>
  </r>
  <r>
    <d v="2026-03-01T00:00:00"/>
    <s v="Salary"/>
    <m/>
    <s v="MOONSTONE REALINFRA PRIVATE LIMITED"/>
    <n v="2300"/>
    <s v="MOHIT SACHAN"/>
    <s v="Male"/>
    <m/>
    <s v="Dec 10, 2025"/>
    <s v="CRQPS3492F"/>
    <s v="101770675103"/>
    <x v="20"/>
    <s v="ASSISTANT GENERAN MANAGER - RES. SALES"/>
    <x v="6"/>
    <s v="TL"/>
    <s v="PF"/>
    <s v="NA"/>
    <s v=""/>
    <s v=""/>
    <s v="570819612739"/>
    <s v="50100041124166"/>
    <s v="HDFC BANK"/>
    <s v="HDFC0000052"/>
    <n v="31"/>
    <n v="0"/>
    <n v="5"/>
    <n v="26"/>
    <n v="26"/>
    <n v="142367"/>
    <n v="142367"/>
    <n v="53732"/>
    <n v="21493"/>
    <n v="1342"/>
    <n v="168"/>
    <n v="1048"/>
    <n v="4476"/>
    <n v="10746"/>
    <n v="8060"/>
    <n v="537"/>
    <n v="1881"/>
    <n v="1075"/>
    <n v="269"/>
    <n v="1800"/>
    <n v="12778"/>
    <n v="0"/>
    <n v="0"/>
    <n v="6757"/>
    <n v="126162"/>
    <n v="119405"/>
    <n v="0"/>
    <n v="0"/>
    <n v="0"/>
    <n v="200"/>
    <n v="1800"/>
    <n v="0"/>
    <n v="0"/>
    <n v="0"/>
    <n v="0"/>
    <n v="2000"/>
    <n v="124162"/>
    <m/>
    <m/>
  </r>
  <r>
    <d v="2026-03-01T00:00:00"/>
    <s v="Salary"/>
    <m/>
    <s v="MOONSTONE REALINFRA PRIVATE LIMITED"/>
    <n v="2282"/>
    <s v="MUSKAN GUPTA"/>
    <s v="Female"/>
    <m/>
    <s v="Nov 20, 2025"/>
    <s v="CBLPG6588H"/>
    <s v="101656725733"/>
    <x v="54"/>
    <s v="ASSISTANT MANAGER - SALES"/>
    <x v="6"/>
    <s v="TM"/>
    <s v="PF"/>
    <s v="NA"/>
    <s v=""/>
    <s v=""/>
    <s v="997006836878"/>
    <s v="50100272775380"/>
    <s v="HDFC BANK"/>
    <s v="HDFC0003650"/>
    <n v="31"/>
    <n v="0"/>
    <n v="0"/>
    <n v="31"/>
    <n v="31"/>
    <n v="76500"/>
    <n v="76500"/>
    <n v="34425"/>
    <n v="13770"/>
    <n v="1600"/>
    <n v="200"/>
    <n v="1250"/>
    <n v="2868"/>
    <n v="6885"/>
    <n v="5164"/>
    <n v="344"/>
    <n v="1205"/>
    <n v="689"/>
    <n v="172"/>
    <n v="1800"/>
    <n v="6128"/>
    <n v="0"/>
    <n v="0"/>
    <m/>
    <n v="76500"/>
    <n v="76500"/>
    <n v="0"/>
    <n v="0"/>
    <n v="0"/>
    <n v="200"/>
    <n v="1800"/>
    <n v="0"/>
    <n v="0"/>
    <n v="0"/>
    <n v="0"/>
    <n v="2000"/>
    <n v="74500"/>
    <m/>
    <m/>
  </r>
  <r>
    <d v="2026-03-01T00:00:00"/>
    <s v="Salary"/>
    <m/>
    <s v="MOONSTONE REALINFRA PRIVATE LIMITED"/>
    <n v="1092"/>
    <s v="NARENDRA ROHTAS MAHUR"/>
    <s v="Male"/>
    <m/>
    <s v="May 16, 2022"/>
    <s v="EJTPM6853H"/>
    <s v="101646143832"/>
    <x v="54"/>
    <s v="ASSISTANT MANAGER - RESI. SALES"/>
    <x v="6"/>
    <s v="TM"/>
    <s v="PF"/>
    <s v="NA"/>
    <s v=""/>
    <s v=""/>
    <s v="325860489575"/>
    <s v="50100654540599"/>
    <s v="HDFC BANK"/>
    <s v="HDFC0000007"/>
    <n v="31"/>
    <n v="0"/>
    <n v="0"/>
    <n v="31"/>
    <n v="31"/>
    <n v="71927"/>
    <n v="71927"/>
    <n v="32367"/>
    <n v="12947"/>
    <n v="1600"/>
    <n v="200"/>
    <n v="1250"/>
    <n v="2696"/>
    <n v="6473"/>
    <n v="4855"/>
    <n v="324"/>
    <n v="1133"/>
    <n v="647"/>
    <n v="162"/>
    <n v="1800"/>
    <n v="5473"/>
    <n v="0"/>
    <n v="2569"/>
    <n v="2794"/>
    <n v="77290"/>
    <n v="74496"/>
    <n v="0"/>
    <n v="0"/>
    <n v="0"/>
    <n v="200"/>
    <n v="1800"/>
    <n v="0"/>
    <n v="0"/>
    <n v="0"/>
    <n v="0"/>
    <n v="2000"/>
    <n v="75290"/>
    <m/>
    <m/>
  </r>
  <r>
    <d v="2026-03-01T00:00:00"/>
    <s v="Salary"/>
    <m/>
    <s v="MOONSTONE REALINFRA PRIVATE LIMITED"/>
    <n v="1506"/>
    <s v="NILESH SUDAM DODAKE"/>
    <s v="Male"/>
    <m/>
    <s v="Aug 16, 2023"/>
    <s v="ATZPD2744A"/>
    <s v="101985884549"/>
    <x v="22"/>
    <s v="SUPERVISOR"/>
    <x v="0"/>
    <s v="TM"/>
    <s v="PF"/>
    <s v="NA"/>
    <s v=""/>
    <s v=""/>
    <s v="800783241563"/>
    <s v="50100624533443"/>
    <s v="HDFC BANK"/>
    <s v="HDFC0000007"/>
    <n v="31"/>
    <n v="0"/>
    <n v="0"/>
    <n v="31"/>
    <n v="31"/>
    <n v="49575"/>
    <n v="49575"/>
    <n v="22309"/>
    <n v="8924"/>
    <n v="1600"/>
    <n v="200"/>
    <n v="1250"/>
    <n v="1858"/>
    <n v="4462"/>
    <n v="3346"/>
    <n v="223"/>
    <n v="781"/>
    <n v="446"/>
    <n v="112"/>
    <n v="1800"/>
    <n v="2264"/>
    <n v="0"/>
    <n v="0"/>
    <m/>
    <n v="49575"/>
    <n v="49575"/>
    <n v="0"/>
    <n v="160"/>
    <n v="0"/>
    <n v="200"/>
    <n v="1800"/>
    <n v="0"/>
    <n v="0"/>
    <n v="0"/>
    <n v="0"/>
    <n v="2160"/>
    <n v="47415"/>
    <m/>
    <m/>
  </r>
  <r>
    <d v="2026-03-01T00:00:00"/>
    <s v="Salary"/>
    <m/>
    <s v="MOONSTONE REALINFRA PRIVATE LIMITED"/>
    <n v="1700"/>
    <s v="NITEESH SHARMA"/>
    <s v="Male"/>
    <m/>
    <s v="Apr 11, 2024"/>
    <s v="BYHPS8894Q"/>
    <s v="101416879888"/>
    <x v="54"/>
    <s v="ASSISTANT MANAGER - RESI. SALES"/>
    <x v="6"/>
    <s v="TM"/>
    <s v="PF"/>
    <s v="NA"/>
    <s v=""/>
    <s v=""/>
    <s v="461172332390"/>
    <s v="99991911230890"/>
    <s v="HDFC BANK"/>
    <s v="HDFC0001210"/>
    <n v="31"/>
    <n v="0"/>
    <n v="0"/>
    <n v="31"/>
    <n v="31"/>
    <n v="79907"/>
    <n v="79907"/>
    <n v="35958"/>
    <n v="14383"/>
    <n v="1600"/>
    <n v="200"/>
    <n v="1250"/>
    <n v="2995"/>
    <n v="7192"/>
    <n v="5394"/>
    <n v="360"/>
    <n v="1259"/>
    <n v="719"/>
    <n v="180"/>
    <n v="1800"/>
    <n v="6617"/>
    <n v="0"/>
    <n v="0"/>
    <n v="665"/>
    <n v="80572"/>
    <n v="79907"/>
    <n v="0"/>
    <n v="160"/>
    <n v="0"/>
    <n v="200"/>
    <n v="1800"/>
    <n v="0"/>
    <n v="0"/>
    <n v="0"/>
    <n v="0"/>
    <n v="2160"/>
    <n v="78412"/>
    <m/>
    <m/>
  </r>
  <r>
    <d v="2026-03-01T00:00:00"/>
    <s v="Salary"/>
    <m/>
    <s v="MOONSTONE REALINFRA PRIVATE LIMITED"/>
    <n v="2270"/>
    <s v="OM RAJESH MALPE"/>
    <s v="Male"/>
    <m/>
    <s v="Nov 17, 2025"/>
    <s v="GULPM4704E"/>
    <s v="102267032535"/>
    <x v="6"/>
    <s v="MANAGEMENT TRAINEE"/>
    <x v="6"/>
    <s v="MT"/>
    <s v="PF"/>
    <s v="NA"/>
    <s v=""/>
    <s v=""/>
    <s v="457332892501"/>
    <s v="50100847876498"/>
    <s v="HDFC BANK"/>
    <s v="HDFC0000437"/>
    <n v="31"/>
    <n v="0"/>
    <n v="0"/>
    <n v="31"/>
    <n v="31"/>
    <n v="44033"/>
    <n v="44033"/>
    <n v="19815"/>
    <n v="7926"/>
    <n v="1600"/>
    <n v="200"/>
    <n v="1250"/>
    <n v="1651"/>
    <n v="3963"/>
    <n v="2972"/>
    <n v="198"/>
    <n v="694"/>
    <n v="396"/>
    <n v="99"/>
    <n v="1800"/>
    <n v="1469"/>
    <n v="0"/>
    <n v="0"/>
    <m/>
    <n v="44033"/>
    <n v="44033"/>
    <n v="0"/>
    <n v="0"/>
    <n v="0"/>
    <n v="200"/>
    <n v="1800"/>
    <n v="0"/>
    <n v="0"/>
    <n v="0"/>
    <n v="0"/>
    <n v="2000"/>
    <n v="42033"/>
    <m/>
    <m/>
  </r>
  <r>
    <d v="2026-03-01T00:00:00"/>
    <s v="Salary"/>
    <m/>
    <s v="MOONSTONE REALINFRA PRIVATE LIMITED"/>
    <n v="2289"/>
    <s v="POOJA MARUTI PASALKAR"/>
    <s v="Female"/>
    <m/>
    <s v="Nov 27, 2025"/>
    <s v="CHLPP6869G"/>
    <s v="101057246841"/>
    <x v="30"/>
    <s v="SENIOR  EXECUTIVE - ACCOUNTS"/>
    <x v="5"/>
    <s v="TM"/>
    <s v="PF"/>
    <s v="NA"/>
    <s v=""/>
    <s v=""/>
    <s v="327110703241"/>
    <s v="50100258660340"/>
    <s v="HDFC BANK"/>
    <s v="HDFC0003649"/>
    <n v="31"/>
    <n v="0"/>
    <n v="0.5"/>
    <n v="17.5"/>
    <n v="17.5"/>
    <n v="52200"/>
    <n v="52200"/>
    <n v="13261"/>
    <n v="5304"/>
    <n v="903"/>
    <n v="197"/>
    <n v="706"/>
    <n v="1105"/>
    <n v="2652"/>
    <n v="1989"/>
    <n v="133"/>
    <n v="464"/>
    <n v="265"/>
    <n v="66"/>
    <n v="1591"/>
    <n v="832"/>
    <n v="0"/>
    <n v="0"/>
    <m/>
    <n v="29468"/>
    <n v="29468"/>
    <n v="0"/>
    <n v="0"/>
    <n v="0"/>
    <n v="200"/>
    <n v="1591"/>
    <n v="0"/>
    <n v="0"/>
    <n v="0"/>
    <n v="0"/>
    <n v="1791"/>
    <n v="27677"/>
    <m/>
    <m/>
  </r>
  <r>
    <d v="2026-03-01T00:00:00"/>
    <s v="Salary"/>
    <m/>
    <s v="MOONSTONE REALINFRA PRIVATE LIMITED"/>
    <n v="737"/>
    <s v="PRADIP POFALE"/>
    <s v="Male"/>
    <m/>
    <s v="Jan 05, 2021"/>
    <s v="FJPPP4191E"/>
    <s v="101287262182"/>
    <x v="21"/>
    <s v="EXECUTIVE - ADMIN"/>
    <x v="2"/>
    <s v="TM"/>
    <s v="PF"/>
    <s v="NA"/>
    <s v=""/>
    <s v=""/>
    <s v="348597161366"/>
    <s v="50100624534038"/>
    <s v="HDFC BANK"/>
    <s v="HDFC0000007"/>
    <n v="31"/>
    <n v="0"/>
    <n v="0"/>
    <n v="31"/>
    <n v="31"/>
    <n v="22933"/>
    <n v="22933"/>
    <n v="10320"/>
    <n v="4128"/>
    <n v="1600"/>
    <n v="200"/>
    <n v="1250"/>
    <n v="0"/>
    <n v="0"/>
    <n v="0"/>
    <n v="0"/>
    <n v="0"/>
    <n v="0"/>
    <n v="0"/>
    <n v="1238"/>
    <n v="4197"/>
    <n v="0"/>
    <n v="0"/>
    <n v="2694"/>
    <n v="25627"/>
    <n v="22933"/>
    <n v="0"/>
    <n v="0"/>
    <n v="0"/>
    <n v="200"/>
    <n v="1238"/>
    <n v="0"/>
    <n v="0"/>
    <n v="0"/>
    <n v="0"/>
    <n v="1438"/>
    <n v="24189"/>
    <m/>
    <m/>
  </r>
  <r>
    <d v="2026-03-01T00:00:00"/>
    <s v="Salary"/>
    <m/>
    <s v="MOONSTONE REALINFRA PRIVATE LIMITED"/>
    <n v="649"/>
    <s v="PRAJAKTA KULKARNI"/>
    <s v="Female"/>
    <m/>
    <s v="Feb 01, 2020"/>
    <s v="BJHPK2873G"/>
    <s v="101902983475"/>
    <x v="65"/>
    <s v="GENERAL MANAGER"/>
    <x v="2"/>
    <s v="TL"/>
    <s v="PF"/>
    <s v="NA"/>
    <s v=""/>
    <s v=""/>
    <s v="287366904609"/>
    <s v="50100317874269"/>
    <s v="HDFC BANK"/>
    <s v="HDFC0000007"/>
    <n v="31"/>
    <n v="0"/>
    <n v="0"/>
    <n v="31"/>
    <n v="31"/>
    <n v="183333"/>
    <n v="183333"/>
    <n v="82500"/>
    <n v="33000"/>
    <n v="1600"/>
    <n v="200"/>
    <n v="1250"/>
    <n v="6872"/>
    <n v="16500"/>
    <n v="12375"/>
    <n v="825"/>
    <n v="2888"/>
    <n v="1650"/>
    <n v="413"/>
    <n v="1800"/>
    <n v="21460"/>
    <n v="0"/>
    <n v="0"/>
    <m/>
    <n v="183333"/>
    <n v="183333"/>
    <n v="0"/>
    <n v="0"/>
    <n v="34307"/>
    <n v="200"/>
    <n v="1800"/>
    <n v="0"/>
    <n v="0"/>
    <n v="0"/>
    <n v="0"/>
    <n v="36307"/>
    <n v="147026"/>
    <m/>
    <m/>
  </r>
  <r>
    <d v="2026-03-01T00:00:00"/>
    <s v="Salary"/>
    <m/>
    <s v="MOONSTONE REALINFRA PRIVATE LIMITED"/>
    <n v="1746"/>
    <s v="PRAMOD HANMANT PAWAR"/>
    <s v="Male"/>
    <m/>
    <s v="May 20, 2024"/>
    <s v="DFHPP2315Q"/>
    <s v="102021330261"/>
    <x v="25"/>
    <s v="PAINTER"/>
    <x v="2"/>
    <s v="SS"/>
    <s v="PF"/>
    <s v="NA"/>
    <s v=""/>
    <s v=""/>
    <s v="464124497454"/>
    <s v="50100317492692"/>
    <s v="HDFC BANK"/>
    <s v="HDFC0000007"/>
    <n v="31"/>
    <n v="0"/>
    <n v="0"/>
    <n v="31"/>
    <n v="31"/>
    <n v="28500"/>
    <n v="28500"/>
    <n v="12825"/>
    <n v="5130"/>
    <n v="1600"/>
    <n v="200"/>
    <n v="1250"/>
    <n v="0"/>
    <n v="0"/>
    <n v="0"/>
    <n v="0"/>
    <n v="0"/>
    <n v="0"/>
    <n v="0"/>
    <n v="1539"/>
    <n v="5956"/>
    <n v="0"/>
    <n v="0"/>
    <n v="4735"/>
    <n v="33235"/>
    <n v="28500"/>
    <n v="0"/>
    <n v="0"/>
    <n v="0"/>
    <n v="200"/>
    <n v="1539"/>
    <n v="0"/>
    <n v="0"/>
    <n v="0"/>
    <n v="0"/>
    <n v="1739"/>
    <n v="31496"/>
    <m/>
    <m/>
  </r>
  <r>
    <d v="2026-03-01T00:00:00"/>
    <s v="Salary"/>
    <m/>
    <s v="MOONSTONE REALINFRA PRIVATE LIMITED"/>
    <n v="2252"/>
    <s v="PRANAV DILIP JADHAV"/>
    <s v="Male"/>
    <m/>
    <s v="Oct 27, 2025"/>
    <s v="APIPJ3777J"/>
    <s v="101813329564"/>
    <x v="62"/>
    <s v="SENIOR  EXECUTIVE - ACCOUNTS"/>
    <x v="5"/>
    <s v="TM"/>
    <s v="PF"/>
    <s v="NA"/>
    <s v=""/>
    <s v=""/>
    <s v="384265861977"/>
    <s v="50100382069641"/>
    <s v="HDFC BANK"/>
    <s v="HDFC0000104"/>
    <n v="31"/>
    <n v="0"/>
    <n v="3.5"/>
    <n v="27.5"/>
    <n v="27.5"/>
    <n v="52200"/>
    <n v="52200"/>
    <n v="20838"/>
    <n v="8335"/>
    <n v="1419"/>
    <n v="177"/>
    <n v="1109"/>
    <n v="1736"/>
    <n v="4168"/>
    <n v="3126"/>
    <n v="208"/>
    <n v="729"/>
    <n v="417"/>
    <n v="104"/>
    <n v="1800"/>
    <n v="2140"/>
    <n v="0"/>
    <n v="0"/>
    <m/>
    <n v="46306"/>
    <n v="46306"/>
    <n v="0"/>
    <n v="0"/>
    <n v="0"/>
    <n v="200"/>
    <n v="1800"/>
    <n v="0"/>
    <n v="0"/>
    <n v="0"/>
    <n v="0"/>
    <n v="2000"/>
    <n v="44306"/>
    <m/>
    <m/>
  </r>
  <r>
    <d v="2026-03-01T00:00:00"/>
    <s v="Salary"/>
    <m/>
    <s v="MOONSTONE REALINFRA PRIVATE LIMITED"/>
    <n v="1771"/>
    <s v="PRASENJEET TATYARAM RANPISE"/>
    <s v="Male"/>
    <m/>
    <s v="Jun 03, 2024"/>
    <s v="BEAPR4151J"/>
    <s v="101090722152"/>
    <x v="52"/>
    <s v="DEPUTY MANAGER - RESI. SALES"/>
    <x v="6"/>
    <s v="TM"/>
    <s v="PF"/>
    <s v="NA"/>
    <s v=""/>
    <s v=""/>
    <s v="327697944280"/>
    <s v="50100198966720"/>
    <s v="HDFC BANK"/>
    <s v="HDFC0001578"/>
    <n v="31"/>
    <n v="0"/>
    <n v="0"/>
    <n v="31"/>
    <n v="31"/>
    <n v="92504"/>
    <n v="92504"/>
    <n v="41627"/>
    <n v="16651"/>
    <n v="1600"/>
    <n v="200"/>
    <n v="1250"/>
    <n v="3468"/>
    <n v="8325"/>
    <n v="6244"/>
    <n v="416"/>
    <n v="1457"/>
    <n v="833"/>
    <n v="208"/>
    <n v="1800"/>
    <n v="8425"/>
    <n v="0"/>
    <n v="0"/>
    <n v="378"/>
    <n v="92882"/>
    <n v="92504"/>
    <n v="0"/>
    <n v="0"/>
    <n v="0"/>
    <n v="200"/>
    <n v="1800"/>
    <n v="0"/>
    <n v="0"/>
    <n v="0"/>
    <n v="0"/>
    <n v="2000"/>
    <n v="90882"/>
    <m/>
    <m/>
  </r>
  <r>
    <d v="2026-03-01T00:00:00"/>
    <s v="Salary"/>
    <m/>
    <s v="MOONSTONE REALINFRA PRIVATE LIMITED"/>
    <n v="1445"/>
    <s v="PRASHANT SUDAM GADRE"/>
    <s v="Male"/>
    <m/>
    <s v="Jun 01, 2023"/>
    <s v="AUVPG5057A"/>
    <s v="101403170926"/>
    <x v="4"/>
    <s v="Site Supervisor"/>
    <x v="0"/>
    <s v="TM"/>
    <s v="PF"/>
    <s v="NA"/>
    <s v=""/>
    <s v=""/>
    <s v="879059513265"/>
    <s v="50100268119865"/>
    <s v="HDFC BANK"/>
    <s v="HDFC0002493"/>
    <n v="31"/>
    <n v="0"/>
    <n v="0.5"/>
    <n v="30.5"/>
    <n v="30.5"/>
    <n v="50225"/>
    <n v="50225"/>
    <n v="22237"/>
    <n v="8895"/>
    <n v="1574"/>
    <n v="197"/>
    <n v="1230"/>
    <n v="1852"/>
    <n v="4447"/>
    <n v="3336"/>
    <n v="222"/>
    <n v="778"/>
    <n v="445"/>
    <n v="111"/>
    <n v="1800"/>
    <n v="2291"/>
    <n v="0"/>
    <n v="0"/>
    <m/>
    <n v="49415"/>
    <n v="49415"/>
    <n v="0"/>
    <n v="0"/>
    <n v="0"/>
    <n v="200"/>
    <n v="1800"/>
    <n v="0"/>
    <n v="0"/>
    <n v="0"/>
    <n v="0"/>
    <n v="2000"/>
    <n v="47415"/>
    <m/>
    <m/>
  </r>
  <r>
    <d v="2026-03-01T00:00:00"/>
    <s v="Salary"/>
    <m/>
    <s v="MOONSTONE REALINFRA PRIVATE LIMITED"/>
    <n v="1932"/>
    <s v="PRATHMESH MAKARAND PATWARDHAN"/>
    <s v="Male"/>
    <m/>
    <s v="Nov 21, 2024"/>
    <s v="DIPPP8235N"/>
    <s v="101650676266"/>
    <x v="26"/>
    <s v="ENGINEERING - COORDINATOR"/>
    <x v="0"/>
    <s v="TM"/>
    <s v="PF"/>
    <s v="NA"/>
    <s v=""/>
    <s v=""/>
    <s v="989836806639"/>
    <s v="50100773207162"/>
    <s v="HDFC BANK"/>
    <s v="HDFC0001210"/>
    <n v="31"/>
    <n v="0"/>
    <n v="0"/>
    <n v="31"/>
    <n v="31"/>
    <n v="30700"/>
    <n v="30700"/>
    <n v="13815"/>
    <n v="5526"/>
    <n v="1600"/>
    <n v="200"/>
    <n v="1250"/>
    <n v="0"/>
    <n v="0"/>
    <n v="0"/>
    <n v="0"/>
    <n v="0"/>
    <n v="0"/>
    <n v="0"/>
    <n v="1658"/>
    <n v="6651"/>
    <n v="0"/>
    <n v="0"/>
    <m/>
    <n v="30700"/>
    <n v="30700"/>
    <n v="0"/>
    <n v="0"/>
    <n v="0"/>
    <n v="200"/>
    <n v="1658"/>
    <n v="0"/>
    <n v="0"/>
    <n v="0"/>
    <n v="0"/>
    <n v="1858"/>
    <n v="28842"/>
    <m/>
    <m/>
  </r>
  <r>
    <d v="2026-03-01T00:00:00"/>
    <s v="Salary"/>
    <m/>
    <s v="MOONSTONE REALINFRA PRIVATE LIMITED"/>
    <n v="2014"/>
    <s v="RAHUL SANJAY SONAWANE"/>
    <s v="Male"/>
    <m/>
    <s v="Feb 17, 2025"/>
    <s v="COZPS7657L"/>
    <s v="102171897905"/>
    <x v="27"/>
    <s v="EXECUTIVE - POSSESSION SUPPORT"/>
    <x v="2"/>
    <s v="TM"/>
    <s v="PF"/>
    <s v="NA"/>
    <s v=""/>
    <s v=""/>
    <s v="969590676456"/>
    <s v="50100731567322"/>
    <s v="HDFC BANK"/>
    <s v="HDFC0000007"/>
    <n v="31"/>
    <n v="0"/>
    <n v="0"/>
    <n v="31"/>
    <n v="31"/>
    <n v="32033"/>
    <n v="32033"/>
    <n v="14415"/>
    <n v="5766"/>
    <n v="1600"/>
    <n v="200"/>
    <n v="1250"/>
    <n v="0"/>
    <n v="0"/>
    <n v="0"/>
    <n v="0"/>
    <n v="0"/>
    <n v="0"/>
    <n v="0"/>
    <n v="1730"/>
    <n v="7072"/>
    <n v="0"/>
    <n v="0"/>
    <n v="4623"/>
    <n v="36656"/>
    <n v="32033"/>
    <n v="0"/>
    <n v="0"/>
    <n v="0"/>
    <n v="200"/>
    <n v="1730"/>
    <n v="0"/>
    <n v="0"/>
    <n v="0"/>
    <n v="0"/>
    <n v="1930"/>
    <n v="34726"/>
    <m/>
    <m/>
  </r>
  <r>
    <d v="2026-03-01T00:00:00"/>
    <s v="Salary"/>
    <m/>
    <s v="MOONSTONE REALINFRA PRIVATE LIMITED"/>
    <n v="2190"/>
    <s v="RAHUL SAYAJI SHETE"/>
    <s v="Male"/>
    <m/>
    <s v="Aug 18, 2025"/>
    <s v="LVGPS7330P"/>
    <s v="102106669268"/>
    <x v="44"/>
    <s v="POSSESSION EXECUTIVE"/>
    <x v="4"/>
    <s v="TM"/>
    <s v="PF"/>
    <s v="NA"/>
    <s v=""/>
    <s v=""/>
    <s v="330583203857"/>
    <s v="50100709895411"/>
    <s v="HDFC BANK"/>
    <s v="HDFC0009332"/>
    <n v="31"/>
    <n v="0"/>
    <n v="0"/>
    <n v="31"/>
    <n v="31"/>
    <n v="24438"/>
    <n v="24438"/>
    <n v="10997"/>
    <n v="4399"/>
    <n v="1600"/>
    <n v="200"/>
    <n v="1250"/>
    <n v="0"/>
    <n v="0"/>
    <n v="0"/>
    <n v="0"/>
    <n v="0"/>
    <n v="0"/>
    <n v="0"/>
    <n v="1320"/>
    <n v="4672"/>
    <n v="0"/>
    <n v="0"/>
    <n v="3862"/>
    <n v="28300"/>
    <n v="24438"/>
    <n v="0"/>
    <n v="0"/>
    <n v="0"/>
    <n v="200"/>
    <n v="1320"/>
    <n v="0"/>
    <n v="0"/>
    <n v="0"/>
    <n v="0"/>
    <n v="1520"/>
    <n v="26780"/>
    <m/>
    <m/>
  </r>
  <r>
    <d v="2026-03-01T00:00:00"/>
    <s v="Salary"/>
    <m/>
    <s v="MOONSTONE REALINFRA PRIVATE LIMITED"/>
    <n v="1480"/>
    <s v="RAKESH DNYANOBA SONAWANE"/>
    <s v="Male"/>
    <m/>
    <s v="Jul 19, 2023"/>
    <s v="DJBPS0548N"/>
    <s v="100318745002"/>
    <x v="1"/>
    <s v="ASSISTANT PROJECT MANAGER"/>
    <x v="0"/>
    <s v="TM"/>
    <s v="PF"/>
    <s v="NA"/>
    <s v=""/>
    <s v=""/>
    <s v="815335472494"/>
    <s v="50100098216176"/>
    <s v="HDFC BANK"/>
    <s v="HDFC0000359"/>
    <n v="31"/>
    <n v="0"/>
    <n v="0"/>
    <n v="31"/>
    <n v="31"/>
    <n v="72817"/>
    <n v="72817"/>
    <n v="32768"/>
    <n v="13107"/>
    <n v="1600"/>
    <n v="200"/>
    <n v="1250"/>
    <n v="2730"/>
    <n v="6554"/>
    <n v="4915"/>
    <n v="328"/>
    <n v="1147"/>
    <n v="655"/>
    <n v="164"/>
    <n v="1800"/>
    <n v="5599"/>
    <n v="0"/>
    <n v="1600"/>
    <m/>
    <n v="74417"/>
    <n v="74417"/>
    <n v="0"/>
    <n v="0"/>
    <n v="0"/>
    <n v="200"/>
    <n v="1800"/>
    <n v="0"/>
    <n v="0"/>
    <n v="0"/>
    <n v="0"/>
    <n v="2000"/>
    <n v="72417"/>
    <m/>
    <m/>
  </r>
  <r>
    <d v="2026-03-01T00:00:00"/>
    <s v="Salary"/>
    <m/>
    <s v="MOONSTONE REALINFRA PRIVATE LIMITED"/>
    <n v="405"/>
    <s v="RATIKANT RAMA CHANDRA ROUT"/>
    <s v="Male"/>
    <m/>
    <s v="Dec 11, 2018"/>
    <s v="BKMPR1999E"/>
    <s v="101411918080"/>
    <x v="7"/>
    <s v="EXECUTIVE - POSSESSION"/>
    <x v="2"/>
    <s v="TM"/>
    <s v="PF"/>
    <s v="NA"/>
    <s v=""/>
    <s v=""/>
    <s v="516990099788"/>
    <s v="50100317879206"/>
    <s v="HDFC BANK"/>
    <s v="HDFC0000007"/>
    <n v="31"/>
    <n v="0"/>
    <n v="0"/>
    <n v="31"/>
    <n v="31"/>
    <n v="33167"/>
    <n v="33167"/>
    <n v="14925"/>
    <n v="5970"/>
    <n v="1600"/>
    <n v="200"/>
    <n v="1250"/>
    <n v="0"/>
    <n v="0"/>
    <n v="0"/>
    <n v="0"/>
    <n v="0"/>
    <n v="0"/>
    <n v="0"/>
    <n v="1791"/>
    <n v="7431"/>
    <n v="0"/>
    <n v="0"/>
    <n v="1950"/>
    <n v="35117"/>
    <n v="33167"/>
    <n v="0"/>
    <n v="0"/>
    <n v="0"/>
    <n v="200"/>
    <n v="1791"/>
    <n v="0"/>
    <n v="0"/>
    <n v="0"/>
    <n v="0"/>
    <n v="1991"/>
    <n v="33126"/>
    <m/>
    <m/>
  </r>
  <r>
    <d v="2026-03-01T00:00:00"/>
    <s v="Salary"/>
    <m/>
    <s v="MOONSTONE REALINFRA PRIVATE LIMITED"/>
    <n v="1916"/>
    <s v="RAVI BHARTI"/>
    <s v="Male"/>
    <m/>
    <s v="Nov 11, 2024"/>
    <s v="BKLPB8249J"/>
    <s v="101569634502"/>
    <x v="2"/>
    <s v="DEPUTY MANAGER"/>
    <x v="1"/>
    <s v="TM"/>
    <s v="PF"/>
    <s v="NA"/>
    <s v=""/>
    <s v=""/>
    <s v="844495303708"/>
    <s v="50100585317756"/>
    <s v="HDFC BANK"/>
    <s v="HDFC0000627"/>
    <n v="31"/>
    <n v="0"/>
    <n v="0"/>
    <n v="31"/>
    <n v="31"/>
    <n v="94033"/>
    <n v="94033"/>
    <n v="42315"/>
    <n v="16926"/>
    <n v="1600"/>
    <n v="200"/>
    <n v="1250"/>
    <n v="3525"/>
    <n v="8463"/>
    <n v="6347"/>
    <n v="423"/>
    <n v="1481"/>
    <n v="846"/>
    <n v="212"/>
    <n v="1800"/>
    <n v="8645"/>
    <n v="0"/>
    <n v="0"/>
    <n v="213"/>
    <n v="94246"/>
    <n v="94033"/>
    <n v="0"/>
    <n v="0"/>
    <n v="0"/>
    <n v="200"/>
    <n v="1800"/>
    <n v="0"/>
    <n v="0"/>
    <n v="0"/>
    <n v="0"/>
    <n v="2000"/>
    <n v="92246"/>
    <m/>
    <m/>
  </r>
  <r>
    <d v="2026-03-01T00:00:00"/>
    <s v="Salary"/>
    <m/>
    <s v="MOONSTONE REALINFRA PRIVATE LIMITED"/>
    <n v="2287"/>
    <s v="RUSHIKESH RAJESH RAUT"/>
    <s v="Male"/>
    <m/>
    <s v="Nov 25, 2025"/>
    <s v="FAQPR4627P"/>
    <s v="102001267668"/>
    <x v="45"/>
    <s v="ASSISTANT MANAGER"/>
    <x v="6"/>
    <s v="TM"/>
    <s v="PF"/>
    <s v="NA"/>
    <s v=""/>
    <s v=""/>
    <s v="837091508388"/>
    <s v="50100730710140"/>
    <s v="HDFC BANK"/>
    <s v="HDFC0000103"/>
    <n v="31"/>
    <n v="0"/>
    <n v="0.5"/>
    <n v="30.5"/>
    <n v="30.5"/>
    <n v="66200"/>
    <n v="66200"/>
    <n v="29309"/>
    <n v="11724"/>
    <n v="1574"/>
    <n v="197"/>
    <n v="1230"/>
    <n v="2441"/>
    <n v="5862"/>
    <n v="4396"/>
    <n v="293"/>
    <n v="1026"/>
    <n v="586"/>
    <n v="147"/>
    <n v="1800"/>
    <n v="4547"/>
    <n v="0"/>
    <n v="0"/>
    <n v="4189"/>
    <n v="69321"/>
    <n v="65132"/>
    <n v="0"/>
    <n v="160"/>
    <n v="0"/>
    <n v="200"/>
    <n v="1800"/>
    <n v="0"/>
    <n v="0"/>
    <n v="0"/>
    <n v="0"/>
    <n v="2160"/>
    <n v="67161"/>
    <m/>
    <m/>
  </r>
  <r>
    <d v="2026-03-01T00:00:00"/>
    <s v="Salary"/>
    <m/>
    <s v="MOONSTONE REALINFRA PRIVATE LIMITED"/>
    <n v="2261"/>
    <s v="SACHIN ASHOK PAWAR"/>
    <s v="Male"/>
    <m/>
    <s v="Nov 07, 2025"/>
    <s v="DTMPP4631Q"/>
    <s v="100996638416"/>
    <x v="35"/>
    <s v="OFFICE ASSISTANT"/>
    <x v="2"/>
    <s v="SS"/>
    <s v="PF"/>
    <s v="NA"/>
    <s v=""/>
    <s v=""/>
    <s v="920319128160"/>
    <s v="50100400164872"/>
    <s v="HDFC BANK"/>
    <s v="HDFC0000039"/>
    <n v="31"/>
    <n v="0"/>
    <n v="0"/>
    <n v="31"/>
    <n v="31"/>
    <n v="27519"/>
    <n v="27519"/>
    <n v="12384"/>
    <n v="4954"/>
    <n v="1600"/>
    <n v="200"/>
    <n v="1250"/>
    <n v="0"/>
    <n v="0"/>
    <n v="0"/>
    <n v="0"/>
    <n v="0"/>
    <n v="0"/>
    <n v="0"/>
    <n v="1486"/>
    <n v="5645"/>
    <n v="0"/>
    <n v="0"/>
    <n v="1142"/>
    <n v="28661"/>
    <n v="27519"/>
    <n v="0"/>
    <n v="0"/>
    <n v="0"/>
    <n v="200"/>
    <n v="1486"/>
    <n v="0"/>
    <n v="0"/>
    <n v="0"/>
    <n v="0"/>
    <n v="1686"/>
    <n v="26975"/>
    <m/>
    <m/>
  </r>
  <r>
    <d v="2026-03-01T00:00:00"/>
    <s v="Salary"/>
    <m/>
    <s v="MOONSTONE REALINFRA PRIVATE LIMITED"/>
    <n v="2279"/>
    <s v="SAGAR MAITY"/>
    <s v="Male"/>
    <m/>
    <s v="Nov 17, 2025"/>
    <s v="GSSPM2737N"/>
    <s v="102267033942"/>
    <x v="6"/>
    <s v="MANAGEMENT TRAINEE"/>
    <x v="6"/>
    <s v="MT"/>
    <s v="PF"/>
    <s v="NA"/>
    <s v=""/>
    <s v=""/>
    <s v="428582736571"/>
    <s v="50100847876561"/>
    <s v="HDFC BANK"/>
    <s v="HDFC0000437"/>
    <n v="31"/>
    <n v="0"/>
    <n v="2"/>
    <n v="29"/>
    <n v="29"/>
    <n v="44033"/>
    <n v="44033"/>
    <n v="18536"/>
    <n v="7414"/>
    <n v="1497"/>
    <n v="187"/>
    <n v="1169"/>
    <n v="1544"/>
    <n v="3707"/>
    <n v="2780"/>
    <n v="185"/>
    <n v="649"/>
    <n v="371"/>
    <n v="93"/>
    <n v="1800"/>
    <n v="1260"/>
    <n v="0"/>
    <n v="0"/>
    <n v="1583"/>
    <n v="42775"/>
    <n v="41192"/>
    <n v="0"/>
    <n v="0"/>
    <n v="0"/>
    <n v="200"/>
    <n v="1800"/>
    <n v="0"/>
    <n v="0"/>
    <n v="0"/>
    <n v="0"/>
    <n v="2000"/>
    <n v="40775"/>
    <m/>
    <m/>
  </r>
  <r>
    <d v="2026-03-01T00:00:00"/>
    <s v="Salary"/>
    <m/>
    <s v="MOONSTONE REALINFRA PRIVATE LIMITED"/>
    <n v="2274"/>
    <s v="SAKSHI DIPAK PATIL"/>
    <s v="Female"/>
    <m/>
    <s v="Nov 17, 2025"/>
    <s v="HUDPP2758G"/>
    <s v="102267032459"/>
    <x v="6"/>
    <s v="MANAGEMENT TRAINEE"/>
    <x v="6"/>
    <s v="MT"/>
    <s v="PF"/>
    <s v="NA"/>
    <s v=""/>
    <s v=""/>
    <s v="571929796742"/>
    <s v="50100847878784"/>
    <s v="HDFC BANK"/>
    <s v="HDFC0000437"/>
    <n v="31"/>
    <n v="0"/>
    <n v="0"/>
    <n v="31"/>
    <n v="31"/>
    <n v="44033"/>
    <n v="44033"/>
    <n v="19815"/>
    <n v="7926"/>
    <n v="1600"/>
    <n v="200"/>
    <n v="1250"/>
    <n v="1651"/>
    <n v="3963"/>
    <n v="2972"/>
    <n v="198"/>
    <n v="694"/>
    <n v="396"/>
    <n v="99"/>
    <n v="1800"/>
    <n v="1469"/>
    <n v="0"/>
    <n v="0"/>
    <n v="165"/>
    <n v="44198"/>
    <n v="44033"/>
    <n v="0"/>
    <n v="0"/>
    <n v="0"/>
    <n v="200"/>
    <n v="1800"/>
    <n v="0"/>
    <n v="0"/>
    <n v="0"/>
    <n v="0"/>
    <n v="2000"/>
    <n v="42198"/>
    <m/>
    <m/>
  </r>
  <r>
    <d v="2026-03-01T00:00:00"/>
    <s v="Salary"/>
    <m/>
    <s v="MOONSTONE REALINFRA PRIVATE LIMITED"/>
    <n v="2277"/>
    <s v="SAMARIDHYA BASAK"/>
    <s v="Male"/>
    <m/>
    <s v="Nov 17, 2025"/>
    <s v="EYPPB5256Q"/>
    <s v="102267034998"/>
    <x v="6"/>
    <s v="MANAGEMENT TRAINEE"/>
    <x v="6"/>
    <s v="MT"/>
    <s v="PF"/>
    <s v="NA"/>
    <s v=""/>
    <s v=""/>
    <s v="601551323382"/>
    <s v="50100847878758"/>
    <s v="HDFC BANK"/>
    <s v="HDFC0000437"/>
    <n v="31"/>
    <n v="0"/>
    <n v="1"/>
    <n v="30"/>
    <n v="30"/>
    <n v="44033"/>
    <n v="44033"/>
    <n v="19176"/>
    <n v="7670"/>
    <n v="1548"/>
    <n v="194"/>
    <n v="1210"/>
    <n v="1597"/>
    <n v="3835"/>
    <n v="2876"/>
    <n v="192"/>
    <n v="671"/>
    <n v="384"/>
    <n v="96"/>
    <n v="1800"/>
    <n v="1364"/>
    <n v="0"/>
    <n v="0"/>
    <n v="1290"/>
    <n v="43903"/>
    <n v="42613"/>
    <n v="0"/>
    <n v="0"/>
    <n v="0"/>
    <n v="200"/>
    <n v="1800"/>
    <n v="0"/>
    <n v="0"/>
    <n v="0"/>
    <n v="0"/>
    <n v="2000"/>
    <n v="41903"/>
    <m/>
    <m/>
  </r>
  <r>
    <d v="2026-03-01T00:00:00"/>
    <s v="Salary"/>
    <m/>
    <s v="MOONSTONE REALINFRA PRIVATE LIMITED"/>
    <n v="2156"/>
    <s v="SANDEEP MARUTI SAWANT"/>
    <s v="Male"/>
    <m/>
    <s v="Jul 01, 2025"/>
    <s v="CJDPS9049F"/>
    <s v="101160800602"/>
    <x v="45"/>
    <s v="ASSISTANT MANAGER"/>
    <x v="0"/>
    <s v="TL"/>
    <s v="PF"/>
    <s v="NA"/>
    <s v=""/>
    <s v=""/>
    <s v="396088354849"/>
    <s v="50100815728515"/>
    <s v="HDFC BANK"/>
    <s v="HDFC0008300"/>
    <n v="31"/>
    <n v="0"/>
    <n v="1"/>
    <n v="30"/>
    <n v="30"/>
    <n v="67200"/>
    <n v="67200"/>
    <n v="29264"/>
    <n v="11706"/>
    <n v="1548"/>
    <n v="194"/>
    <n v="1210"/>
    <n v="2438"/>
    <n v="5853"/>
    <n v="4390"/>
    <n v="293"/>
    <n v="1024"/>
    <n v="585"/>
    <n v="146"/>
    <n v="1800"/>
    <n v="4581"/>
    <n v="0"/>
    <n v="0"/>
    <m/>
    <n v="65032"/>
    <n v="65032"/>
    <n v="0"/>
    <n v="0"/>
    <n v="0"/>
    <n v="200"/>
    <n v="1800"/>
    <n v="0"/>
    <n v="0"/>
    <n v="0"/>
    <n v="0"/>
    <n v="2000"/>
    <n v="63032"/>
    <m/>
    <m/>
  </r>
  <r>
    <d v="2026-03-01T00:00:00"/>
    <s v="Salary"/>
    <m/>
    <s v="MOONSTONE REALINFRA PRIVATE LIMITED"/>
    <n v="413"/>
    <s v="SANDIP GHANSHAM FAND"/>
    <s v="Male"/>
    <m/>
    <s v="Feb 05, 2019"/>
    <s v="ACBPF9894L"/>
    <s v="101432955213"/>
    <x v="9"/>
    <s v="SENIOR ENGINEER"/>
    <x v="0"/>
    <s v="TM"/>
    <s v="PF"/>
    <s v="NA"/>
    <s v=""/>
    <s v=""/>
    <s v="918983892865"/>
    <s v="50100317492765"/>
    <s v="HDFC BANK"/>
    <s v="HDFC0000007"/>
    <n v="31"/>
    <n v="0"/>
    <n v="0"/>
    <n v="31"/>
    <n v="31"/>
    <n v="52975"/>
    <n v="52975"/>
    <n v="23839"/>
    <n v="9536"/>
    <n v="1600"/>
    <n v="200"/>
    <n v="1250"/>
    <n v="1986"/>
    <n v="4768"/>
    <n v="3576"/>
    <n v="238"/>
    <n v="834"/>
    <n v="477"/>
    <n v="119"/>
    <n v="1800"/>
    <n v="2752"/>
    <n v="0"/>
    <n v="200"/>
    <m/>
    <n v="53175"/>
    <n v="53175"/>
    <n v="0"/>
    <n v="160"/>
    <n v="0"/>
    <n v="200"/>
    <n v="1800"/>
    <n v="0"/>
    <n v="0"/>
    <n v="0"/>
    <n v="0"/>
    <n v="2160"/>
    <n v="51015"/>
    <m/>
    <m/>
  </r>
  <r>
    <d v="2026-03-01T00:00:00"/>
    <s v="Salary"/>
    <m/>
    <s v="MOONSTONE REALINFRA PRIVATE LIMITED"/>
    <n v="1389"/>
    <s v="SANDIP RAMESHRAO JAKKALWAD"/>
    <s v="Male"/>
    <m/>
    <s v="Apr 24, 2023"/>
    <s v="AWLPJ2490A"/>
    <s v="101938922335"/>
    <x v="30"/>
    <s v="SENIOR  EXECUTIVE - ACCOUNTS"/>
    <x v="5"/>
    <s v="TM"/>
    <s v="PF"/>
    <s v="NA"/>
    <s v=""/>
    <s v=""/>
    <s v="790987241865"/>
    <s v="50100318162101"/>
    <s v="HDFC BANK"/>
    <s v="HDFC0000007"/>
    <n v="31"/>
    <n v="0"/>
    <n v="0.5"/>
    <n v="30.5"/>
    <n v="30.5"/>
    <n v="60807"/>
    <n v="60807"/>
    <n v="26922"/>
    <n v="10769"/>
    <n v="1574"/>
    <n v="197"/>
    <n v="1230"/>
    <n v="2243"/>
    <n v="5384"/>
    <n v="4038"/>
    <n v="269"/>
    <n v="942"/>
    <n v="538"/>
    <n v="135"/>
    <n v="1800"/>
    <n v="3785"/>
    <n v="0"/>
    <n v="1086"/>
    <m/>
    <n v="60912"/>
    <n v="60912"/>
    <n v="0"/>
    <n v="0"/>
    <n v="0"/>
    <n v="200"/>
    <n v="1800"/>
    <n v="0"/>
    <n v="0"/>
    <n v="0"/>
    <n v="10000"/>
    <n v="12000"/>
    <n v="48912"/>
    <m/>
    <m/>
  </r>
  <r>
    <d v="2026-03-01T00:00:00"/>
    <s v="Salary"/>
    <m/>
    <s v="MOONSTONE REALINFRA PRIVATE LIMITED"/>
    <n v="1535"/>
    <s v="SANTOSH DAMU MANKAR"/>
    <s v="Male"/>
    <m/>
    <s v="Sep 14, 2023"/>
    <s v="ARVPM8431B"/>
    <s v="101916942878"/>
    <x v="31"/>
    <s v="PROJECT MANAGER"/>
    <x v="0"/>
    <s v="TL"/>
    <s v="PF"/>
    <s v="NA"/>
    <s v=""/>
    <s v=""/>
    <s v="863607704890"/>
    <s v="04861720000752"/>
    <s v="HDFC BANK"/>
    <s v="HDFC0002454"/>
    <n v="31"/>
    <n v="0"/>
    <n v="2"/>
    <n v="29"/>
    <n v="29"/>
    <n v="95900"/>
    <n v="95900"/>
    <n v="40371"/>
    <n v="16148"/>
    <n v="1497"/>
    <n v="187"/>
    <n v="1169"/>
    <n v="3363"/>
    <n v="8074"/>
    <n v="6056"/>
    <n v="404"/>
    <n v="1413"/>
    <n v="807"/>
    <n v="202"/>
    <n v="1800"/>
    <n v="8222"/>
    <n v="0"/>
    <n v="0"/>
    <m/>
    <n v="89713"/>
    <n v="89713"/>
    <n v="0"/>
    <n v="0"/>
    <n v="0"/>
    <n v="200"/>
    <n v="1800"/>
    <n v="0"/>
    <n v="0"/>
    <n v="0"/>
    <n v="0"/>
    <n v="2000"/>
    <n v="87713"/>
    <m/>
    <m/>
  </r>
  <r>
    <d v="2026-03-01T00:00:00"/>
    <s v="Salary"/>
    <m/>
    <s v="MOONSTONE REALINFRA PRIVATE LIMITED"/>
    <n v="1409"/>
    <s v="SANTOSH KADAM"/>
    <s v="Male"/>
    <m/>
    <s v="May 10, 2023"/>
    <s v="AZUPK6484F"/>
    <s v="100924255914"/>
    <x v="9"/>
    <s v="SENIOR ENGINEER"/>
    <x v="0"/>
    <s v="TM"/>
    <s v="PF"/>
    <s v="NA"/>
    <s v=""/>
    <s v=""/>
    <s v="333622114009"/>
    <s v="50100502294986"/>
    <s v="HDFC BANK"/>
    <s v="HDFC0001445"/>
    <n v="31"/>
    <n v="0"/>
    <n v="0.5"/>
    <n v="30.5"/>
    <n v="30.5"/>
    <n v="71417"/>
    <n v="71417"/>
    <n v="31619"/>
    <n v="12648"/>
    <n v="1574"/>
    <n v="197"/>
    <n v="1230"/>
    <n v="2634"/>
    <n v="6324"/>
    <n v="4743"/>
    <n v="316"/>
    <n v="1107"/>
    <n v="632"/>
    <n v="158"/>
    <n v="1800"/>
    <n v="5283"/>
    <n v="0"/>
    <n v="0"/>
    <m/>
    <n v="70265"/>
    <n v="70265"/>
    <n v="0"/>
    <n v="0"/>
    <n v="0"/>
    <n v="200"/>
    <n v="1800"/>
    <n v="0"/>
    <n v="0"/>
    <n v="0"/>
    <n v="0"/>
    <n v="2000"/>
    <n v="68265"/>
    <m/>
    <m/>
  </r>
  <r>
    <d v="2026-03-01T00:00:00"/>
    <s v="Salary"/>
    <m/>
    <s v="MOONSTONE REALINFRA PRIVATE LIMITED"/>
    <n v="2155"/>
    <s v="SAURABH MININATH NANNAVARE"/>
    <s v="Male"/>
    <m/>
    <s v="Jul 01, 2025"/>
    <s v="BIJPN9700N"/>
    <s v="101177464600"/>
    <x v="46"/>
    <s v="ENGINEER"/>
    <x v="0"/>
    <s v="TM"/>
    <s v="PF"/>
    <s v="NA"/>
    <s v=""/>
    <s v=""/>
    <s v="706192695680"/>
    <s v="50100815728452"/>
    <s v="HDFC BANK"/>
    <s v="HDFC0008300"/>
    <n v="31"/>
    <n v="0"/>
    <n v="0"/>
    <n v="31"/>
    <n v="31"/>
    <n v="53200"/>
    <n v="53200"/>
    <n v="23940"/>
    <n v="9576"/>
    <n v="1600"/>
    <n v="200"/>
    <n v="1250"/>
    <n v="1994"/>
    <n v="4788"/>
    <n v="3591"/>
    <n v="239"/>
    <n v="838"/>
    <n v="479"/>
    <n v="120"/>
    <n v="1800"/>
    <n v="2785"/>
    <n v="0"/>
    <n v="0"/>
    <n v="225"/>
    <n v="53425"/>
    <n v="53200"/>
    <n v="0"/>
    <n v="0"/>
    <n v="0"/>
    <n v="200"/>
    <n v="1800"/>
    <n v="0"/>
    <n v="0"/>
    <n v="0"/>
    <n v="0"/>
    <n v="2000"/>
    <n v="51425"/>
    <m/>
    <m/>
  </r>
  <r>
    <d v="2026-03-01T00:00:00"/>
    <s v="Salary"/>
    <m/>
    <s v="MOONSTONE REALINFRA PRIVATE LIMITED"/>
    <n v="2232"/>
    <s v="SAURAV RAJENDRA NANDURKAR"/>
    <s v="Male"/>
    <m/>
    <s v="Sep 30, 2025"/>
    <s v="CESPN7298P"/>
    <s v="101733070912"/>
    <x v="58"/>
    <s v="ASSISTANT MANAGER - PLANNING"/>
    <x v="0"/>
    <s v="TM"/>
    <s v="PF"/>
    <s v="NA"/>
    <s v=""/>
    <s v=""/>
    <s v="204027680041"/>
    <s v="50100860045062"/>
    <s v="HDFC BANK"/>
    <s v="HDFC0001210"/>
    <n v="31"/>
    <n v="0"/>
    <n v="0.5"/>
    <n v="30.5"/>
    <n v="30.5"/>
    <n v="89867"/>
    <n v="89867"/>
    <n v="39788"/>
    <n v="15915"/>
    <n v="1574"/>
    <n v="197"/>
    <n v="1230"/>
    <n v="3314"/>
    <n v="7958"/>
    <n v="5968"/>
    <n v="398"/>
    <n v="1393"/>
    <n v="796"/>
    <n v="199"/>
    <n v="1800"/>
    <n v="7888"/>
    <n v="0"/>
    <n v="0"/>
    <m/>
    <n v="88418"/>
    <n v="88418"/>
    <n v="0"/>
    <n v="0"/>
    <n v="0"/>
    <n v="200"/>
    <n v="1800"/>
    <n v="0"/>
    <n v="0"/>
    <n v="0"/>
    <n v="0"/>
    <n v="2000"/>
    <n v="86418"/>
    <m/>
    <m/>
  </r>
  <r>
    <d v="2026-03-01T00:00:00"/>
    <s v="Salary"/>
    <m/>
    <s v="MOONSTONE REALINFRA PRIVATE LIMITED"/>
    <n v="2147"/>
    <s v="SAYALI LAXMAN DHAIGUDE"/>
    <s v="Female"/>
    <m/>
    <s v="Jul 01, 2025"/>
    <s v="IODPD3701L"/>
    <s v="102070661731"/>
    <x v="47"/>
    <s v="GUEST RELATION EXECUTIVE"/>
    <x v="2"/>
    <s v="TM"/>
    <s v="PF"/>
    <s v="NA"/>
    <s v=""/>
    <s v=""/>
    <s v="616621359625"/>
    <s v="50100815728531"/>
    <s v="HDFC BANK"/>
    <s v="HDFC0008300"/>
    <n v="31"/>
    <n v="0"/>
    <n v="0.5"/>
    <n v="30.5"/>
    <n v="30.5"/>
    <n v="28380"/>
    <n v="28380"/>
    <n v="12565"/>
    <n v="5026"/>
    <n v="1574"/>
    <n v="197"/>
    <n v="1230"/>
    <n v="0"/>
    <n v="0"/>
    <n v="0"/>
    <n v="0"/>
    <n v="0"/>
    <n v="0"/>
    <n v="0"/>
    <n v="1508"/>
    <n v="5822"/>
    <n v="0"/>
    <n v="0"/>
    <m/>
    <n v="27922"/>
    <n v="27922"/>
    <n v="0"/>
    <n v="0"/>
    <n v="0"/>
    <n v="200"/>
    <n v="1508"/>
    <n v="0"/>
    <n v="0"/>
    <n v="0"/>
    <n v="0"/>
    <n v="1708"/>
    <n v="26214"/>
    <m/>
    <m/>
  </r>
  <r>
    <d v="2026-03-01T00:00:00"/>
    <s v="Salary"/>
    <m/>
    <s v="MOONSTONE REALINFRA PRIVATE LIMITED"/>
    <n v="2278"/>
    <s v="SAYALI SHARAD PAWAR"/>
    <s v="Female"/>
    <m/>
    <s v="Nov 17, 2025"/>
    <s v="GMJPP4299H"/>
    <s v="102267033957"/>
    <x v="6"/>
    <s v="MANAGEMENT TRAINEE"/>
    <x v="6"/>
    <s v="MT"/>
    <s v="PF"/>
    <s v="NA"/>
    <s v=""/>
    <s v=""/>
    <s v="548309932874"/>
    <s v="50100847878771"/>
    <s v="HDFC BANK"/>
    <s v="HDFC0000437"/>
    <n v="31"/>
    <n v="0"/>
    <n v="0"/>
    <n v="31"/>
    <n v="31"/>
    <n v="44033"/>
    <n v="44033"/>
    <n v="19815"/>
    <n v="7926"/>
    <n v="1600"/>
    <n v="200"/>
    <n v="1250"/>
    <n v="1651"/>
    <n v="3963"/>
    <n v="2972"/>
    <n v="198"/>
    <n v="694"/>
    <n v="396"/>
    <n v="99"/>
    <n v="1800"/>
    <n v="1469"/>
    <n v="0"/>
    <n v="0"/>
    <m/>
    <n v="44033"/>
    <n v="44033"/>
    <n v="0"/>
    <n v="0"/>
    <n v="0"/>
    <n v="200"/>
    <n v="1800"/>
    <n v="0"/>
    <n v="0"/>
    <n v="0"/>
    <n v="0"/>
    <n v="2000"/>
    <n v="42033"/>
    <m/>
    <m/>
  </r>
  <r>
    <d v="2026-03-01T00:00:00"/>
    <s v="Salary"/>
    <m/>
    <s v="MOONSTONE REALINFRA PRIVATE LIMITED"/>
    <n v="1263"/>
    <s v="SHANKAR BASAPPA GAVI"/>
    <s v="Male"/>
    <m/>
    <s v="Nov 25, 2022"/>
    <s v="BNUPG2416C"/>
    <s v="101450766269"/>
    <x v="45"/>
    <s v="ASSISTANT MANAGER"/>
    <x v="0"/>
    <s v="TM"/>
    <s v="PF"/>
    <s v="NA"/>
    <s v=""/>
    <s v=""/>
    <s v="325630092478"/>
    <s v="50100734599528"/>
    <s v="HDFC BANK"/>
    <s v="HDFC0001210"/>
    <n v="31"/>
    <n v="0"/>
    <n v="0"/>
    <n v="31"/>
    <n v="31"/>
    <n v="55900"/>
    <n v="55900"/>
    <n v="25155"/>
    <n v="10062"/>
    <n v="1600"/>
    <n v="200"/>
    <n v="1250"/>
    <n v="2095"/>
    <n v="5031"/>
    <n v="3773"/>
    <n v="252"/>
    <n v="880"/>
    <n v="503"/>
    <n v="126"/>
    <n v="1800"/>
    <n v="3173"/>
    <n v="0"/>
    <n v="0"/>
    <m/>
    <n v="55900"/>
    <n v="55900"/>
    <n v="0"/>
    <n v="0"/>
    <n v="0"/>
    <n v="200"/>
    <n v="1800"/>
    <n v="0"/>
    <n v="0"/>
    <n v="0"/>
    <n v="0"/>
    <n v="2000"/>
    <n v="53900"/>
    <m/>
    <m/>
  </r>
  <r>
    <d v="2026-03-01T00:00:00"/>
    <s v="Salary"/>
    <m/>
    <s v="MOONSTONE REALINFRA PRIVATE LIMITED"/>
    <n v="2218"/>
    <s v="SHANKAR JAGNNATH FARATE"/>
    <s v="Male"/>
    <m/>
    <s v="Sep 15, 2025"/>
    <s v="AATPF9623K"/>
    <s v="102246696731"/>
    <x v="59"/>
    <s v="LISIONING-OFFICER"/>
    <x v="7"/>
    <s v="TM"/>
    <s v="PF"/>
    <s v="NA"/>
    <s v=""/>
    <s v=""/>
    <s v="431958079389"/>
    <s v="50100403586832"/>
    <s v="HDFC BANK"/>
    <s v="HDFC0000103"/>
    <n v="31"/>
    <n v="0"/>
    <n v="0"/>
    <n v="31"/>
    <n v="31"/>
    <n v="53200"/>
    <n v="53200"/>
    <n v="23940"/>
    <n v="9576"/>
    <n v="1600"/>
    <n v="200"/>
    <n v="1250"/>
    <n v="1994"/>
    <n v="4788"/>
    <n v="3591"/>
    <n v="239"/>
    <n v="838"/>
    <n v="479"/>
    <n v="120"/>
    <n v="1800"/>
    <n v="2785"/>
    <n v="0"/>
    <n v="0"/>
    <n v="6356"/>
    <n v="59556"/>
    <n v="53200"/>
    <n v="0"/>
    <n v="0"/>
    <n v="0"/>
    <n v="200"/>
    <n v="1800"/>
    <n v="0"/>
    <n v="0"/>
    <n v="0"/>
    <n v="0"/>
    <n v="2000"/>
    <n v="57556"/>
    <m/>
    <m/>
  </r>
  <r>
    <d v="2026-03-01T00:00:00"/>
    <s v="Salary"/>
    <m/>
    <s v="MOONSTONE REALINFRA PRIVATE LIMITED"/>
    <n v="1758"/>
    <s v="SHASHIKANT RAJKUMAR BHASKAR"/>
    <s v="Male"/>
    <m/>
    <s v="May 25, 2024"/>
    <s v="DUVPB0713F"/>
    <s v="101916942813"/>
    <x v="9"/>
    <s v="SENIOR ENGINEER"/>
    <x v="0"/>
    <s v="TM"/>
    <s v="PF"/>
    <s v="NA"/>
    <s v=""/>
    <s v=""/>
    <s v="630621029579"/>
    <s v="50100563889297"/>
    <s v="HDFC BANK"/>
    <s v="HDFC0009526"/>
    <n v="31"/>
    <n v="0"/>
    <n v="1"/>
    <n v="30"/>
    <n v="30"/>
    <n v="68220"/>
    <n v="68220"/>
    <n v="29709"/>
    <n v="11884"/>
    <n v="1548"/>
    <n v="194"/>
    <n v="1210"/>
    <n v="2475"/>
    <n v="5942"/>
    <n v="4456"/>
    <n v="297"/>
    <n v="1040"/>
    <n v="594"/>
    <n v="149"/>
    <n v="1800"/>
    <n v="4721"/>
    <n v="0"/>
    <n v="0"/>
    <n v="810"/>
    <n v="66829"/>
    <n v="66019"/>
    <n v="0"/>
    <n v="0"/>
    <n v="0"/>
    <n v="200"/>
    <n v="1800"/>
    <n v="0"/>
    <n v="0"/>
    <n v="0"/>
    <n v="0"/>
    <n v="2000"/>
    <n v="64829"/>
    <m/>
    <m/>
  </r>
  <r>
    <d v="2026-03-01T00:00:00"/>
    <s v="Salary"/>
    <m/>
    <s v="MOONSTONE REALINFRA PRIVATE LIMITED"/>
    <n v="1624"/>
    <s v="SHRINATH SITARAM KHANDALE"/>
    <s v="Male"/>
    <m/>
    <s v="Jan 23, 2024"/>
    <s v="BIZPK8142F"/>
    <s v="101215605497"/>
    <x v="22"/>
    <s v="SUPERVISOR"/>
    <x v="0"/>
    <s v="TM"/>
    <s v="PF"/>
    <s v="NA"/>
    <s v=""/>
    <s v=""/>
    <s v="740935311886"/>
    <s v="50100647442391"/>
    <s v="HDFC BANK"/>
    <s v="HDFC0008300"/>
    <n v="31"/>
    <n v="0"/>
    <n v="0"/>
    <n v="31"/>
    <n v="31"/>
    <n v="42042"/>
    <n v="42042"/>
    <n v="18919"/>
    <n v="7568"/>
    <n v="1600"/>
    <n v="200"/>
    <n v="1250"/>
    <n v="1576"/>
    <n v="3784"/>
    <n v="2838"/>
    <n v="189"/>
    <n v="662"/>
    <n v="378"/>
    <n v="95"/>
    <n v="1800"/>
    <n v="1183"/>
    <n v="0"/>
    <n v="0"/>
    <m/>
    <n v="42042"/>
    <n v="42042"/>
    <n v="0"/>
    <n v="0"/>
    <n v="0"/>
    <n v="200"/>
    <n v="1800"/>
    <n v="0"/>
    <n v="0"/>
    <n v="0"/>
    <n v="0"/>
    <n v="2000"/>
    <n v="40042"/>
    <m/>
    <m/>
  </r>
  <r>
    <d v="2026-03-01T00:00:00"/>
    <s v="Salary"/>
    <m/>
    <s v="MOONSTONE REALINFRA PRIVATE LIMITED"/>
    <n v="1738"/>
    <s v="SHRIVATSA SHRIRANG DESHPANDE"/>
    <s v="Male"/>
    <m/>
    <s v="May 02, 2024"/>
    <s v="CQKPD1013N"/>
    <s v="102074135450"/>
    <x v="33"/>
    <s v="JUNIOR ENGINEER"/>
    <x v="0"/>
    <s v="TM"/>
    <s v="PF"/>
    <s v="NA"/>
    <s v=""/>
    <s v=""/>
    <s v="775752480136"/>
    <s v="50100318176957"/>
    <s v="HDFC BANK"/>
    <s v="HDFC0000007"/>
    <n v="31"/>
    <n v="0"/>
    <n v="0"/>
    <n v="31"/>
    <n v="31"/>
    <n v="35983"/>
    <n v="35983"/>
    <n v="16192"/>
    <n v="6477"/>
    <n v="1600"/>
    <n v="200"/>
    <n v="1250"/>
    <n v="0"/>
    <n v="0"/>
    <n v="0"/>
    <n v="0"/>
    <n v="0"/>
    <n v="0"/>
    <n v="0"/>
    <n v="1800"/>
    <n v="8464"/>
    <n v="0"/>
    <n v="200"/>
    <m/>
    <n v="36183"/>
    <n v="36183"/>
    <n v="0"/>
    <n v="0"/>
    <n v="0"/>
    <n v="200"/>
    <n v="1800"/>
    <n v="0"/>
    <n v="0"/>
    <n v="0"/>
    <n v="0"/>
    <n v="2000"/>
    <n v="34183"/>
    <m/>
    <m/>
  </r>
  <r>
    <d v="2026-03-01T00:00:00"/>
    <s v="Salary"/>
    <m/>
    <s v="MOONSTONE REALINFRA PRIVATE LIMITED"/>
    <n v="2175"/>
    <s v="SNEHAL PRASHANT WALE"/>
    <s v="Female"/>
    <m/>
    <s v="Jul 15, 2025"/>
    <s v="CHLPK4878N"/>
    <s v="102226028536"/>
    <x v="48"/>
    <s v="MANAGER"/>
    <x v="0"/>
    <s v="TL"/>
    <s v="PF"/>
    <s v="NA"/>
    <s v=""/>
    <s v=""/>
    <s v="499534600849"/>
    <s v="99997798677300"/>
    <s v="HDFC BANK"/>
    <s v="HDFC0001795"/>
    <n v="31"/>
    <n v="0"/>
    <n v="0.5"/>
    <n v="30.5"/>
    <n v="30.5"/>
    <n v="137785"/>
    <n v="137785"/>
    <n v="61003"/>
    <n v="24401"/>
    <n v="1574"/>
    <n v="197"/>
    <n v="1230"/>
    <n v="5082"/>
    <n v="12201"/>
    <n v="9150"/>
    <n v="610"/>
    <n v="2135"/>
    <n v="1220"/>
    <n v="305"/>
    <n v="1800"/>
    <n v="14655"/>
    <n v="0"/>
    <n v="0"/>
    <m/>
    <n v="135563"/>
    <n v="135563"/>
    <n v="0"/>
    <n v="0"/>
    <n v="0"/>
    <n v="200"/>
    <n v="1800"/>
    <n v="0"/>
    <n v="0"/>
    <n v="0"/>
    <n v="0"/>
    <n v="2000"/>
    <n v="133563"/>
    <m/>
    <m/>
  </r>
  <r>
    <d v="2026-03-01T00:00:00"/>
    <s v="Salary"/>
    <m/>
    <s v="MOONSTONE REALINFRA PRIVATE LIMITED"/>
    <n v="1589"/>
    <s v="TAUKEEL RASHID JAMADAR"/>
    <s v="Male"/>
    <m/>
    <s v="Jan 02, 2024"/>
    <s v="CGPPJ6786D"/>
    <s v="102034245800"/>
    <x v="0"/>
    <s v="FIELD ENGINEER"/>
    <x v="0"/>
    <s v="TM"/>
    <s v="PF"/>
    <s v="NA"/>
    <s v=""/>
    <s v=""/>
    <s v="477762356796"/>
    <s v="50100624533482"/>
    <s v="HDFC BANK"/>
    <s v="HDFC0000007"/>
    <n v="31"/>
    <n v="0"/>
    <n v="1"/>
    <n v="30"/>
    <n v="30"/>
    <n v="34250"/>
    <n v="34250"/>
    <n v="14915"/>
    <n v="5966"/>
    <n v="1548"/>
    <n v="194"/>
    <n v="1210"/>
    <n v="0"/>
    <n v="0"/>
    <n v="0"/>
    <n v="0"/>
    <n v="0"/>
    <n v="0"/>
    <n v="0"/>
    <n v="1790"/>
    <n v="7522"/>
    <n v="0"/>
    <n v="0"/>
    <m/>
    <n v="33145"/>
    <n v="33145"/>
    <n v="0"/>
    <n v="0"/>
    <n v="0"/>
    <n v="200"/>
    <n v="1790"/>
    <n v="0"/>
    <n v="0"/>
    <n v="0"/>
    <n v="0"/>
    <n v="1990"/>
    <n v="31155"/>
    <m/>
    <m/>
  </r>
  <r>
    <d v="2026-03-01T00:00:00"/>
    <s v="Salary"/>
    <m/>
    <s v="MOONSTONE REALINFRA PRIVATE LIMITED"/>
    <n v="2069"/>
    <s v="TIPPUSULATAN ABDUL NADAF"/>
    <s v="Male"/>
    <m/>
    <s v="Mar 25, 2025"/>
    <s v="ATNPN5727D"/>
    <s v="102119999896"/>
    <x v="1"/>
    <s v="ASSISTANT PROJECT MANAGER"/>
    <x v="0"/>
    <s v="TL"/>
    <s v="PF"/>
    <s v="NA"/>
    <s v=""/>
    <s v=""/>
    <s v="308508124099"/>
    <s v="50100090742768"/>
    <s v="HDFC BANK"/>
    <s v="HDFC0005554"/>
    <n v="31"/>
    <n v="0"/>
    <n v="0"/>
    <n v="31"/>
    <n v="31"/>
    <n v="70000"/>
    <n v="70000"/>
    <n v="31500"/>
    <n v="12600"/>
    <n v="1600"/>
    <n v="200"/>
    <n v="1250"/>
    <n v="2624"/>
    <n v="6300"/>
    <n v="4725"/>
    <n v="315"/>
    <n v="1103"/>
    <n v="630"/>
    <n v="158"/>
    <n v="1800"/>
    <n v="5195"/>
    <n v="0"/>
    <n v="0"/>
    <m/>
    <n v="70000"/>
    <n v="70000"/>
    <n v="0"/>
    <n v="0"/>
    <n v="0"/>
    <n v="200"/>
    <n v="1800"/>
    <n v="0"/>
    <n v="0"/>
    <n v="0"/>
    <n v="0"/>
    <n v="2000"/>
    <n v="68000"/>
    <m/>
    <m/>
  </r>
  <r>
    <d v="2026-03-01T00:00:00"/>
    <s v="Salary"/>
    <m/>
    <s v="MOONSTONE REALINFRA PRIVATE LIMITED"/>
    <n v="2015"/>
    <s v="VAIJNATH KIRAN DHURVE"/>
    <s v="Male"/>
    <m/>
    <s v="Feb 17, 2025"/>
    <s v="FFEPD0662H"/>
    <s v="102171851953"/>
    <x v="54"/>
    <s v="ASSISTANT MANAGER - RESI. SALES"/>
    <x v="6"/>
    <s v="TM"/>
    <s v="PF"/>
    <s v="NA"/>
    <s v=""/>
    <s v=""/>
    <s v="264600892806"/>
    <s v="50100731565520"/>
    <s v="HDFC BANK"/>
    <s v="HDFC0000007"/>
    <n v="31"/>
    <n v="0"/>
    <n v="0"/>
    <n v="31"/>
    <n v="31"/>
    <n v="56533"/>
    <n v="56533"/>
    <n v="25440"/>
    <n v="10176"/>
    <n v="1600"/>
    <n v="200"/>
    <n v="1250"/>
    <n v="2119"/>
    <n v="5088"/>
    <n v="3816"/>
    <n v="254"/>
    <n v="890"/>
    <n v="509"/>
    <n v="127"/>
    <n v="1800"/>
    <n v="3264"/>
    <n v="0"/>
    <n v="0"/>
    <n v="4947"/>
    <n v="61480"/>
    <n v="56533"/>
    <n v="0"/>
    <n v="160"/>
    <n v="0"/>
    <n v="200"/>
    <n v="1800"/>
    <n v="0"/>
    <n v="0"/>
    <n v="0"/>
    <n v="0"/>
    <n v="2160"/>
    <n v="59320"/>
    <m/>
    <m/>
  </r>
  <r>
    <d v="2026-03-01T00:00:00"/>
    <s v="Salary"/>
    <m/>
    <s v="MOONSTONE REALINFRA PRIVATE LIMITED"/>
    <n v="1166"/>
    <s v="VENKATESH AGASAR"/>
    <s v="Male"/>
    <m/>
    <s v="Aug 01, 2022"/>
    <s v="BVSPA7273D"/>
    <s v="101852002045"/>
    <x v="50"/>
    <s v="SENIOR EXECUTIVE"/>
    <x v="0"/>
    <s v="TM"/>
    <s v="PF"/>
    <s v="NA"/>
    <s v=""/>
    <s v=""/>
    <s v="225161825284"/>
    <s v="50100744366803"/>
    <s v="HDFC BANK"/>
    <s v="HDFC0001210"/>
    <n v="31"/>
    <n v="0"/>
    <n v="1"/>
    <n v="30"/>
    <n v="30"/>
    <n v="59983"/>
    <n v="59983"/>
    <n v="26122"/>
    <n v="10449"/>
    <n v="1548"/>
    <n v="194"/>
    <n v="1210"/>
    <n v="2176"/>
    <n v="5224"/>
    <n v="3918"/>
    <n v="261"/>
    <n v="914"/>
    <n v="522"/>
    <n v="131"/>
    <n v="1800"/>
    <n v="3579"/>
    <n v="0"/>
    <n v="1000"/>
    <m/>
    <n v="59048"/>
    <n v="59048"/>
    <n v="0"/>
    <n v="0"/>
    <n v="0"/>
    <n v="200"/>
    <n v="1800"/>
    <n v="0"/>
    <n v="0"/>
    <n v="0"/>
    <n v="0"/>
    <n v="2000"/>
    <n v="57048"/>
    <m/>
    <m/>
  </r>
  <r>
    <d v="2026-03-01T00:00:00"/>
    <s v="Salary"/>
    <m/>
    <s v="MOONSTONE REALINFRA PRIVATE LIMITED"/>
    <n v="247"/>
    <s v="VICKY SONAWANE"/>
    <s v="Male"/>
    <m/>
    <s v="Nov 02, 2017"/>
    <s v="DUIPS5584N"/>
    <s v="101343066494"/>
    <x v="13"/>
    <s v="ADMIN - EXECUTIVE"/>
    <x v="0"/>
    <s v="TM"/>
    <s v="PF"/>
    <s v="NA"/>
    <s v=""/>
    <s v=""/>
    <s v="556127037647"/>
    <s v="50100225745629"/>
    <s v="HDFC BANK"/>
    <s v="HDFC0000633"/>
    <n v="31"/>
    <n v="0"/>
    <n v="0"/>
    <n v="31"/>
    <n v="31"/>
    <n v="34308"/>
    <n v="34308"/>
    <n v="15439"/>
    <n v="6176"/>
    <n v="1600"/>
    <n v="200"/>
    <n v="1250"/>
    <n v="0"/>
    <n v="0"/>
    <n v="0"/>
    <n v="0"/>
    <n v="0"/>
    <n v="0"/>
    <n v="0"/>
    <n v="1800"/>
    <n v="7843"/>
    <n v="0"/>
    <n v="0"/>
    <n v="4117.5"/>
    <n v="38425.5"/>
    <n v="34308"/>
    <n v="0"/>
    <n v="0"/>
    <n v="0"/>
    <n v="200"/>
    <n v="1800"/>
    <n v="0"/>
    <n v="0"/>
    <n v="0"/>
    <n v="0"/>
    <n v="2000"/>
    <n v="36426"/>
    <m/>
    <m/>
  </r>
  <r>
    <d v="2026-03-01T00:00:00"/>
    <s v="Salary"/>
    <m/>
    <s v="MOONSTONE REALINFRA PRIVATE LIMITED"/>
    <n v="1237"/>
    <s v="VISHAL BHAGWAN BHALERAO"/>
    <s v="Male"/>
    <m/>
    <s v="Nov 04, 2022"/>
    <s v="ASCPB5291L"/>
    <s v="101511554357"/>
    <x v="4"/>
    <s v="Site Supervisor"/>
    <x v="0"/>
    <s v="TM"/>
    <s v="PF"/>
    <s v="NA"/>
    <s v=""/>
    <s v=""/>
    <s v="959686301184"/>
    <s v="50100317490351"/>
    <s v="HDFC BANK"/>
    <s v="HDFC0000007"/>
    <n v="31"/>
    <n v="0"/>
    <n v="0.5"/>
    <n v="30.5"/>
    <n v="30.5"/>
    <n v="31644"/>
    <n v="31644"/>
    <n v="14010"/>
    <n v="5604"/>
    <n v="1574"/>
    <n v="197"/>
    <n v="1230"/>
    <n v="0"/>
    <n v="0"/>
    <n v="0"/>
    <n v="0"/>
    <n v="0"/>
    <n v="0"/>
    <n v="0"/>
    <n v="1681"/>
    <n v="6838"/>
    <n v="0"/>
    <n v="0"/>
    <m/>
    <n v="31134"/>
    <n v="31134"/>
    <n v="0"/>
    <n v="0"/>
    <n v="0"/>
    <n v="200"/>
    <n v="1681"/>
    <n v="0"/>
    <n v="0"/>
    <n v="0"/>
    <n v="0"/>
    <n v="1881"/>
    <n v="29253"/>
    <m/>
    <m/>
  </r>
  <r>
    <d v="2026-03-01T00:00:00"/>
    <s v="Salary"/>
    <m/>
    <s v="MOONSTONE REALINFRA PRIVATE LIMITED"/>
    <n v="1950"/>
    <s v="VISHAL DILIP GAIKWAD"/>
    <s v="Male"/>
    <m/>
    <s v="Dec 12, 2024"/>
    <s v="AQIPG9250G"/>
    <s v="101589191488"/>
    <x v="4"/>
    <s v="SITE SUPERVISOR"/>
    <x v="0"/>
    <s v="SS"/>
    <s v="PF"/>
    <s v="NA"/>
    <s v=""/>
    <s v=""/>
    <s v="501229058284"/>
    <s v="0607104000125031"/>
    <s v="IDBI BANK"/>
    <s v="IBKL0000607"/>
    <n v="31"/>
    <n v="0"/>
    <n v="0"/>
    <n v="31"/>
    <n v="31"/>
    <n v="35283"/>
    <n v="35283"/>
    <n v="15877"/>
    <n v="6351"/>
    <n v="1600"/>
    <n v="200"/>
    <n v="1250"/>
    <n v="0"/>
    <n v="0"/>
    <n v="0"/>
    <n v="0"/>
    <n v="0"/>
    <n v="0"/>
    <n v="0"/>
    <n v="1800"/>
    <n v="8205"/>
    <n v="0"/>
    <n v="0"/>
    <n v="3551"/>
    <n v="38834"/>
    <n v="35283"/>
    <n v="0"/>
    <n v="0"/>
    <n v="0"/>
    <n v="200"/>
    <n v="1800"/>
    <n v="0"/>
    <n v="0"/>
    <n v="0"/>
    <n v="0"/>
    <n v="2000"/>
    <n v="36834"/>
    <m/>
    <m/>
  </r>
  <r>
    <d v="2026-03-01T00:00:00"/>
    <s v="Salary"/>
    <m/>
    <s v="MOONSTONE REALINFRA PRIVATE LIMITED"/>
    <n v="1370"/>
    <s v="VISHAL SHANTARAM KORADE"/>
    <s v="Male"/>
    <m/>
    <s v="Apr 10, 2023"/>
    <s v="BLYPK5831K"/>
    <s v="101150007330"/>
    <x v="21"/>
    <s v="EXECUTIVE - ADMIN"/>
    <x v="2"/>
    <s v="TM"/>
    <s v="PF"/>
    <s v="NA"/>
    <s v=""/>
    <s v=""/>
    <s v="491390366032"/>
    <s v="50100624533367"/>
    <s v="HDFC BANK"/>
    <s v="HDFC0000007"/>
    <n v="31"/>
    <n v="0"/>
    <n v="0"/>
    <n v="31"/>
    <n v="31"/>
    <n v="33000"/>
    <n v="33000"/>
    <n v="14850"/>
    <n v="5940"/>
    <n v="1600"/>
    <n v="200"/>
    <n v="1250"/>
    <n v="0"/>
    <n v="0"/>
    <n v="0"/>
    <n v="0"/>
    <n v="0"/>
    <n v="0"/>
    <n v="0"/>
    <n v="1782"/>
    <n v="7378"/>
    <n v="0"/>
    <n v="0"/>
    <m/>
    <n v="33000"/>
    <n v="33000"/>
    <n v="0"/>
    <n v="0"/>
    <n v="0"/>
    <n v="200"/>
    <n v="1782"/>
    <n v="0"/>
    <n v="0"/>
    <n v="0"/>
    <n v="0"/>
    <n v="1982"/>
    <n v="31018"/>
    <m/>
    <m/>
  </r>
  <r>
    <d v="2026-03-01T00:00:00"/>
    <s v="Salary"/>
    <m/>
    <s v="MOONSTONE REALINFRA PRIVATE LIMITED"/>
    <n v="2049"/>
    <s v="VIVEK VILAS BHOSALE"/>
    <s v="Male"/>
    <m/>
    <s v="Mar 13, 2025"/>
    <s v="EXDPB6825C"/>
    <s v="102055428527"/>
    <x v="6"/>
    <s v="JUNIOR ENGINEER"/>
    <x v="0"/>
    <s v="MT"/>
    <s v="PF"/>
    <s v="NA"/>
    <s v=""/>
    <s v=""/>
    <s v="826110651139"/>
    <s v="50100808789342"/>
    <s v="HDFC BANK"/>
    <s v="HDFC0001210"/>
    <n v="31"/>
    <n v="0"/>
    <n v="0.5"/>
    <n v="30.5"/>
    <n v="30.5"/>
    <n v="27713"/>
    <n v="27713"/>
    <n v="12270"/>
    <n v="4908"/>
    <n v="1574"/>
    <n v="197"/>
    <n v="1230"/>
    <n v="0"/>
    <n v="0"/>
    <n v="0"/>
    <n v="0"/>
    <n v="0"/>
    <n v="0"/>
    <n v="0"/>
    <n v="1472"/>
    <n v="5615"/>
    <n v="0"/>
    <n v="0"/>
    <n v="308"/>
    <n v="27574"/>
    <n v="27266"/>
    <n v="0"/>
    <n v="0"/>
    <n v="0"/>
    <n v="200"/>
    <n v="1472"/>
    <n v="0"/>
    <n v="0"/>
    <n v="0"/>
    <n v="0"/>
    <n v="1672"/>
    <n v="25902"/>
    <m/>
    <m/>
  </r>
  <r>
    <d v="2026-03-01T00:00:00"/>
    <s v="Salary"/>
    <m/>
    <s v="MOONSTONE REALINFRA PRIVATE LIMITED"/>
    <n v="1121"/>
    <s v="YASH HARESH DAGHA"/>
    <s v="Male"/>
    <m/>
    <s v="Jun 15, 2022"/>
    <s v="ASJPD7716K"/>
    <s v="101459690850"/>
    <x v="36"/>
    <s v="GENERAL MANAGER"/>
    <x v="6"/>
    <s v="TL"/>
    <s v="PF"/>
    <s v="NA"/>
    <s v=""/>
    <s v=""/>
    <s v="975613704897"/>
    <s v="50100489634680"/>
    <s v="HDFC BANK"/>
    <s v="HDFC0000163"/>
    <n v="31"/>
    <n v="0"/>
    <n v="0"/>
    <n v="31"/>
    <n v="31"/>
    <n v="206500"/>
    <n v="206500"/>
    <n v="92925"/>
    <n v="37170"/>
    <n v="1600"/>
    <n v="200"/>
    <n v="1250"/>
    <n v="7741"/>
    <n v="18585"/>
    <n v="13939"/>
    <n v="929"/>
    <n v="3252"/>
    <n v="1859"/>
    <n v="465"/>
    <n v="1800"/>
    <n v="24785"/>
    <n v="0"/>
    <n v="7375"/>
    <n v="21415"/>
    <n v="235290"/>
    <n v="213875"/>
    <n v="0"/>
    <n v="0"/>
    <n v="21254"/>
    <n v="200"/>
    <n v="1800"/>
    <n v="0"/>
    <n v="0"/>
    <n v="0"/>
    <n v="0"/>
    <n v="23254"/>
    <n v="212036"/>
    <m/>
    <m/>
  </r>
  <r>
    <d v="2026-03-01T00:00:00"/>
    <s v="Salary"/>
    <m/>
    <s v="MOONSTONE REALINFRA PRIVATE LIMITED"/>
    <n v="2264"/>
    <s v="YASHWANT HANUMANT WADKAR"/>
    <s v="Male"/>
    <m/>
    <s v="Nov 07, 2025"/>
    <s v="AFVPW2119Q"/>
    <s v="102060208625"/>
    <x v="30"/>
    <s v="SENIOR  EXECUTIVE - ACCOUNTS"/>
    <x v="5"/>
    <s v="TM"/>
    <s v="PF"/>
    <s v="NA"/>
    <s v=""/>
    <s v=""/>
    <s v="982600635271"/>
    <s v="50100846852161"/>
    <s v="HDFC BANK"/>
    <s v="HDFC0000437"/>
    <n v="31"/>
    <n v="0"/>
    <n v="1"/>
    <n v="30"/>
    <n v="30"/>
    <n v="54867"/>
    <n v="54867"/>
    <n v="23894"/>
    <n v="9558"/>
    <n v="1548"/>
    <n v="194"/>
    <n v="1210"/>
    <n v="1990"/>
    <n v="4779"/>
    <n v="3584"/>
    <n v="239"/>
    <n v="836"/>
    <n v="478"/>
    <n v="119"/>
    <n v="1800"/>
    <n v="2868"/>
    <n v="0"/>
    <n v="0"/>
    <m/>
    <n v="53097"/>
    <n v="53097"/>
    <n v="0"/>
    <n v="0"/>
    <n v="0"/>
    <n v="200"/>
    <n v="1800"/>
    <n v="0"/>
    <n v="0"/>
    <n v="0"/>
    <n v="0"/>
    <n v="2000"/>
    <n v="51097"/>
    <m/>
    <m/>
  </r>
  <r>
    <d v="2026-03-01T00:00:00"/>
    <s v="Salary"/>
    <m/>
    <s v="MOONSTONE REALINFRA PRIVATE LIMITED"/>
    <n v="1496"/>
    <s v="YOGESH KALIDAS PAWAR"/>
    <s v="Male"/>
    <m/>
    <s v="Aug 01, 2023"/>
    <s v="ASXPP0952H"/>
    <s v="101235805115"/>
    <x v="9"/>
    <s v="SENIOR ENGINEER"/>
    <x v="0"/>
    <s v="TM"/>
    <s v="PF"/>
    <s v="NA"/>
    <s v=""/>
    <s v=""/>
    <s v="487287182825"/>
    <s v="50100505734101"/>
    <s v="HDFC BANK"/>
    <s v="HDFC0000039"/>
    <n v="31"/>
    <n v="0"/>
    <n v="2"/>
    <n v="29"/>
    <n v="29"/>
    <n v="55383"/>
    <n v="55383"/>
    <n v="23315"/>
    <n v="9326"/>
    <n v="1497"/>
    <n v="187"/>
    <n v="1169"/>
    <n v="1942"/>
    <n v="4663"/>
    <n v="3497"/>
    <n v="233"/>
    <n v="816"/>
    <n v="466"/>
    <n v="117"/>
    <n v="1800"/>
    <n v="2782"/>
    <n v="0"/>
    <n v="0"/>
    <m/>
    <n v="51810"/>
    <n v="51810"/>
    <n v="0"/>
    <n v="0"/>
    <n v="0"/>
    <n v="200"/>
    <n v="1800"/>
    <n v="0"/>
    <n v="0"/>
    <n v="0"/>
    <n v="0"/>
    <n v="2000"/>
    <n v="49810"/>
    <m/>
    <m/>
  </r>
  <r>
    <d v="2026-03-01T00:00:00"/>
    <s v="Salary"/>
    <m/>
    <s v="MOONSTONE REALINFRA PRIVATE LIMITED"/>
    <n v="734"/>
    <s v="YOGITA BAFNA"/>
    <s v="Female"/>
    <m/>
    <s v="Dec 01, 2020"/>
    <s v="AMHPB6910F"/>
    <s v="101139292859"/>
    <x v="66"/>
    <s v="HEAD LIAISIONING"/>
    <x v="3"/>
    <s v="TM"/>
    <s v="PF"/>
    <s v="NA"/>
    <s v=""/>
    <s v=""/>
    <s v="321961356560"/>
    <s v="50100317492410"/>
    <s v="HDFC BANK"/>
    <s v="HDFC0000007"/>
    <n v="31"/>
    <n v="0"/>
    <n v="0"/>
    <n v="31"/>
    <n v="31"/>
    <n v="103609"/>
    <n v="103609"/>
    <n v="46624"/>
    <n v="18650"/>
    <n v="1600"/>
    <n v="200"/>
    <n v="1250"/>
    <n v="3884"/>
    <n v="9325"/>
    <n v="6994"/>
    <n v="466"/>
    <n v="1632"/>
    <n v="932"/>
    <n v="233"/>
    <n v="1800"/>
    <n v="10019"/>
    <n v="0"/>
    <n v="0"/>
    <m/>
    <n v="103609"/>
    <n v="103609"/>
    <n v="0"/>
    <n v="0"/>
    <n v="0"/>
    <n v="200"/>
    <n v="1800"/>
    <n v="0"/>
    <n v="0"/>
    <n v="0"/>
    <n v="0"/>
    <n v="2000"/>
    <n v="101609"/>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83:C293" firstHeaderRow="0" firstDataRow="1" firstDataCol="1"/>
  <pivotFields count="62">
    <pivotField numFmtId="175" showAll="0"/>
    <pivotField showAll="0"/>
    <pivotField showAll="0"/>
    <pivotField showAll="0"/>
    <pivotField numFmtId="4" showAll="0"/>
    <pivotField showAll="0"/>
    <pivotField showAll="0"/>
    <pivotField showAll="0"/>
    <pivotField showAll="0"/>
    <pivotField showAll="0"/>
    <pivotField showAll="0"/>
    <pivotField showAll="0"/>
    <pivotField showAll="0"/>
    <pivotField axis="axisRow" showAll="0">
      <items count="10">
        <item x="5"/>
        <item x="2"/>
        <item x="3"/>
        <item x="7"/>
        <item x="8"/>
        <item x="6"/>
        <item x="1"/>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8" showAll="0"/>
    <pivotField showAll="0"/>
    <pivotField dataField="1" showAll="0"/>
    <pivotField showAll="0"/>
    <pivotField showAll="0"/>
    <pivotField showAll="0"/>
    <pivotField showAll="0"/>
    <pivotField showAll="0"/>
    <pivotField showAll="0"/>
    <pivotField showAll="0"/>
    <pivotField showAll="0"/>
    <pivotField numFmtId="168" showAll="0"/>
    <pivotField showAll="0"/>
    <pivotField showAll="0"/>
  </pivotFields>
  <rowFields count="1">
    <field x="13"/>
  </rowFields>
  <rowItems count="10">
    <i>
      <x/>
    </i>
    <i>
      <x v="1"/>
    </i>
    <i>
      <x v="2"/>
    </i>
    <i>
      <x v="3"/>
    </i>
    <i>
      <x v="4"/>
    </i>
    <i>
      <x v="5"/>
    </i>
    <i>
      <x v="6"/>
    </i>
    <i>
      <x v="7"/>
    </i>
    <i>
      <x v="8"/>
    </i>
    <i t="grand">
      <x/>
    </i>
  </rowItems>
  <colFields count="1">
    <field x="-2"/>
  </colFields>
  <colItems count="2">
    <i>
      <x/>
    </i>
    <i i="1">
      <x v="1"/>
    </i>
  </colItems>
  <dataFields count="2">
    <dataField name="Sum of Taxable Income" fld="48" baseField="0" baseItem="0" numFmtId="4"/>
    <dataField name="Sum of OTHER DEDUCTION" fld="50" baseField="13" baseItem="0" numFmtId="168"/>
  </dataFields>
  <formats count="2">
    <format dxfId="28">
      <pivotArea outline="0" collapsedLevelsAreSubtotals="1" fieldPosition="0">
        <references count="1">
          <reference field="4294967294" count="1" selected="0">
            <x v="1"/>
          </reference>
        </references>
      </pivotArea>
    </format>
    <format dxfId="27">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0" firstHeaderRow="1" firstDataRow="1" firstDataCol="1"/>
  <pivotFields count="8">
    <pivotField showAll="0"/>
    <pivotField showAll="0"/>
    <pivotField axis="axisRow" showAll="0">
      <items count="6">
        <item x="0"/>
        <item x="3"/>
        <item x="2"/>
        <item x="1"/>
        <item x="4"/>
        <item t="default"/>
      </items>
    </pivotField>
    <pivotField showAll="0"/>
    <pivotField numFmtId="4" showAll="0"/>
    <pivotField numFmtId="4" showAll="0"/>
    <pivotField numFmtId="4" showAll="0"/>
    <pivotField dataField="1" numFmtId="4" showAll="0"/>
  </pivotFields>
  <rowFields count="1">
    <field x="2"/>
  </rowFields>
  <rowItems count="6">
    <i>
      <x/>
    </i>
    <i>
      <x v="1"/>
    </i>
    <i>
      <x v="2"/>
    </i>
    <i>
      <x v="3"/>
    </i>
    <i>
      <x v="4"/>
    </i>
    <i t="grand">
      <x/>
    </i>
  </rowItems>
  <colItems count="1">
    <i/>
  </colItems>
  <dataFields count="1">
    <dataField name="Sum of Accumulated Balance" fld="7" baseField="0" baseItem="0" numFmtId="3"/>
  </dataFields>
  <formats count="18">
    <format dxfId="17">
      <pivotArea type="all" dataOnly="0" outline="0" fieldPosition="0"/>
    </format>
    <format dxfId="16">
      <pivotArea outline="0" collapsedLevelsAreSubtotals="1" fieldPosition="0"/>
    </format>
    <format dxfId="15">
      <pivotArea field="2" type="button" dataOnly="0" labelOnly="1" outline="0" axis="axisRow" fieldPosition="0"/>
    </format>
    <format dxfId="14">
      <pivotArea dataOnly="0" labelOnly="1" fieldPosition="0">
        <references count="1">
          <reference field="2" count="0"/>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fieldPosition="0">
        <references count="1">
          <reference field="2"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4" Type="http://schemas.openxmlformats.org/officeDocument/2006/relationships/printerSettings" Target="../printerSettings/printerSettings8.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ivotTable" Target="../pivotTables/pivotTable1.xml"/><Relationship Id="rId5" Type="http://schemas.openxmlformats.org/officeDocument/2006/relationships/printerSettings" Target="../printerSettings/printerSettings13.bin"/><Relationship Id="rId4" Type="http://schemas.openxmlformats.org/officeDocument/2006/relationships/printerSettings" Target="../printerSettings/printerSettings12.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 Id="rId4" Type="http://schemas.openxmlformats.org/officeDocument/2006/relationships/printerSettings" Target="../printerSettings/printerSettings1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 Id="rId4" Type="http://schemas.openxmlformats.org/officeDocument/2006/relationships/printerSettings" Target="../printerSettings/printerSettings2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 Id="rId4" Type="http://schemas.openxmlformats.org/officeDocument/2006/relationships/printerSettings" Target="../printerSettings/printerSettings2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printerSettings" Target="../printerSettings/printerSettings29.bin"/><Relationship Id="rId1" Type="http://schemas.openxmlformats.org/officeDocument/2006/relationships/printerSettings" Target="../printerSettings/printerSettings28.bin"/><Relationship Id="rId4" Type="http://schemas.openxmlformats.org/officeDocument/2006/relationships/printerSettings" Target="../printerSettings/printerSettings31.bin"/></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 Id="rId4"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3:F16"/>
  <sheetViews>
    <sheetView zoomScale="70" zoomScaleNormal="70" workbookViewId="0">
      <selection activeCell="A2" sqref="A2"/>
    </sheetView>
  </sheetViews>
  <sheetFormatPr defaultRowHeight="15"/>
  <cols>
    <col min="1" max="1" width="13.28515625" bestFit="1" customWidth="1"/>
    <col min="2" max="2" width="27" bestFit="1" customWidth="1"/>
    <col min="3" max="3" width="16.28515625" bestFit="1" customWidth="1"/>
    <col min="4" max="4" width="16.7109375" customWidth="1"/>
    <col min="5" max="5" width="20.42578125" customWidth="1"/>
    <col min="6" max="6" width="16" bestFit="1" customWidth="1"/>
    <col min="9" max="9" width="9.7109375" bestFit="1" customWidth="1"/>
  </cols>
  <sheetData>
    <row r="3" spans="1:6">
      <c r="D3" s="275"/>
      <c r="E3" s="275"/>
    </row>
    <row r="4" spans="1:6">
      <c r="A4" s="274"/>
    </row>
    <row r="5" spans="1:6">
      <c r="A5" s="274"/>
      <c r="D5" s="286"/>
      <c r="E5" s="286"/>
      <c r="F5" s="286"/>
    </row>
    <row r="6" spans="1:6">
      <c r="A6" s="274" t="s">
        <v>432</v>
      </c>
      <c r="B6" t="s">
        <v>433</v>
      </c>
      <c r="D6" s="286"/>
      <c r="E6" s="286"/>
      <c r="F6" s="286"/>
    </row>
    <row r="7" spans="1:6">
      <c r="A7" s="274" t="s">
        <v>438</v>
      </c>
      <c r="B7">
        <v>3209182458.9699998</v>
      </c>
      <c r="D7" s="285">
        <f>BS!F55</f>
        <v>2997638531.6490135</v>
      </c>
      <c r="E7" s="286">
        <f>D7-B7</f>
        <v>-211543927.32098627</v>
      </c>
      <c r="F7" s="286"/>
    </row>
    <row r="8" spans="1:6">
      <c r="A8" s="274" t="s">
        <v>449</v>
      </c>
      <c r="B8">
        <v>-3490629098.4099998</v>
      </c>
      <c r="C8">
        <f>B8+B9</f>
        <v>-3209182458.9699998</v>
      </c>
      <c r="D8">
        <f>BS!F32</f>
        <v>2997638531.1890135</v>
      </c>
      <c r="E8">
        <f>D8+C8</f>
        <v>-211543927.78098631</v>
      </c>
      <c r="F8">
        <f>E8-E7</f>
        <v>-0.46000003814697266</v>
      </c>
    </row>
    <row r="9" spans="1:6">
      <c r="A9" s="274" t="s">
        <v>453</v>
      </c>
      <c r="B9">
        <v>281446639.43999994</v>
      </c>
      <c r="D9">
        <f>PL!G33</f>
        <v>120321694.04650384</v>
      </c>
      <c r="E9">
        <f>D9+B9</f>
        <v>401768333.48650378</v>
      </c>
    </row>
    <row r="10" spans="1:6">
      <c r="A10" s="274" t="s">
        <v>96</v>
      </c>
      <c r="B10">
        <v>-1.1920928955078125E-7</v>
      </c>
    </row>
    <row r="16" spans="1:6">
      <c r="C16" s="748"/>
      <c r="D16" s="748"/>
      <c r="E16" s="748"/>
    </row>
  </sheetData>
  <customSheetViews>
    <customSheetView guid="{B8A679C5-B961-4392-BACF-6DDFA7297AAE}" scale="70">
      <selection activeCell="K59" sqref="K59"/>
      <pageMargins left="0.7" right="0.7" top="0.75" bottom="0.75" header="0.3" footer="0.3"/>
    </customSheetView>
    <customSheetView guid="{DEA14913-9729-4C6C-B479-A92A59FB4580}" scale="70">
      <selection activeCell="K59" sqref="K59"/>
      <pageMargins left="0.7" right="0.7" top="0.75" bottom="0.75" header="0.3" footer="0.3"/>
    </customSheetView>
    <customSheetView guid="{8C4DF1F4-EAB1-489E-8362-1E2D3E732D13}" scale="70">
      <selection activeCell="K59" sqref="K59"/>
      <pageMargins left="0.7" right="0.7" top="0.75" bottom="0.75" header="0.3" footer="0.3"/>
    </customSheetView>
  </customSheetViews>
  <mergeCells count="1">
    <mergeCell ref="C16:E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2:L70"/>
  <sheetViews>
    <sheetView showGridLines="0" showWhiteSpace="0" zoomScale="106" zoomScaleNormal="106" zoomScaleSheetLayoutView="35" workbookViewId="0">
      <pane ySplit="7" topLeftCell="A14" activePane="bottomLeft" state="frozen"/>
      <selection pane="bottomLeft" activeCell="H19" sqref="H19"/>
    </sheetView>
  </sheetViews>
  <sheetFormatPr defaultColWidth="9.28515625" defaultRowHeight="12.75"/>
  <cols>
    <col min="1" max="1" width="51.7109375" style="1" customWidth="1"/>
    <col min="2" max="2" width="6.5703125" style="1" bestFit="1" customWidth="1"/>
    <col min="3" max="3" width="9" style="1" bestFit="1" customWidth="1"/>
    <col min="4" max="4" width="24.7109375" style="1" hidden="1" customWidth="1"/>
    <col min="5" max="5" width="22.7109375" style="1" hidden="1" customWidth="1"/>
    <col min="6" max="6" width="21.7109375" style="1" hidden="1" customWidth="1"/>
    <col min="7" max="7" width="21.7109375" style="2" hidden="1" customWidth="1"/>
    <col min="8" max="8" width="26.5703125" style="2" customWidth="1"/>
    <col min="9" max="9" width="26" style="1" customWidth="1"/>
    <col min="10" max="11" width="16" style="1" bestFit="1" customWidth="1"/>
    <col min="12" max="12" width="14.5703125" style="1" bestFit="1" customWidth="1"/>
    <col min="13" max="16384" width="9.28515625" style="1"/>
  </cols>
  <sheetData>
    <row r="2" spans="1:10" ht="24.75" customHeight="1">
      <c r="A2" s="755" t="s">
        <v>5954</v>
      </c>
      <c r="B2" s="755"/>
      <c r="C2" s="755"/>
      <c r="D2" s="755"/>
      <c r="E2" s="755"/>
      <c r="F2" s="755"/>
      <c r="G2" s="755"/>
      <c r="H2" s="755"/>
      <c r="I2" s="755"/>
    </row>
    <row r="3" spans="1:10" s="433" customFormat="1" ht="14.25">
      <c r="A3" s="756" t="s">
        <v>1</v>
      </c>
      <c r="B3" s="757"/>
      <c r="C3" s="757"/>
      <c r="D3" s="757"/>
      <c r="E3" s="757"/>
      <c r="F3" s="757"/>
      <c r="G3" s="757"/>
      <c r="H3" s="757"/>
      <c r="I3" s="758"/>
    </row>
    <row r="4" spans="1:10" ht="14.25">
      <c r="A4" s="759" t="s">
        <v>2</v>
      </c>
      <c r="B4" s="760"/>
      <c r="C4" s="760"/>
      <c r="D4" s="760"/>
      <c r="E4" s="760"/>
      <c r="F4" s="760"/>
      <c r="G4" s="760"/>
      <c r="H4" s="760"/>
      <c r="I4" s="761"/>
    </row>
    <row r="5" spans="1:10" ht="17.25" customHeight="1">
      <c r="A5" s="762" t="s">
        <v>435</v>
      </c>
      <c r="B5" s="763"/>
      <c r="C5" s="763"/>
      <c r="D5" s="763"/>
      <c r="E5" s="763"/>
      <c r="F5" s="763"/>
      <c r="G5" s="763"/>
      <c r="H5" s="763"/>
      <c r="I5" s="764"/>
    </row>
    <row r="6" spans="1:10" ht="15.75">
      <c r="A6" s="765" t="s">
        <v>3</v>
      </c>
      <c r="B6" s="765"/>
      <c r="C6" s="766" t="s">
        <v>4</v>
      </c>
      <c r="D6" s="767" t="s">
        <v>5</v>
      </c>
      <c r="E6" s="768"/>
      <c r="F6" s="767" t="s">
        <v>6</v>
      </c>
      <c r="G6" s="768"/>
      <c r="H6" s="765" t="s">
        <v>7</v>
      </c>
      <c r="I6" s="765"/>
    </row>
    <row r="7" spans="1:10" ht="54.75" customHeight="1">
      <c r="A7" s="765"/>
      <c r="B7" s="765"/>
      <c r="C7" s="766"/>
      <c r="D7" s="271" t="str">
        <f>H7</f>
        <v>Figures as at the end of 31.03.2026</v>
      </c>
      <c r="E7" s="3" t="s">
        <v>8</v>
      </c>
      <c r="F7" s="4" t="str">
        <f>H7</f>
        <v>Figures as at the end of 31.03.2026</v>
      </c>
      <c r="G7" s="4" t="s">
        <v>8</v>
      </c>
      <c r="H7" s="4" t="s">
        <v>383</v>
      </c>
      <c r="I7" s="4" t="s">
        <v>8</v>
      </c>
    </row>
    <row r="8" spans="1:10" ht="16.899999999999999" customHeight="1">
      <c r="A8" s="7"/>
      <c r="B8" s="6"/>
      <c r="C8" s="635"/>
      <c r="D8" s="7"/>
      <c r="E8" s="8"/>
      <c r="F8" s="8"/>
      <c r="G8" s="9"/>
      <c r="H8" s="9"/>
      <c r="I8" s="685"/>
    </row>
    <row r="9" spans="1:10" ht="14.25">
      <c r="A9" s="11" t="s">
        <v>9</v>
      </c>
      <c r="B9" s="356"/>
      <c r="C9" s="12"/>
      <c r="D9" s="11"/>
      <c r="E9" s="12"/>
      <c r="F9" s="12"/>
      <c r="G9" s="13"/>
      <c r="H9" s="14"/>
      <c r="I9" s="15"/>
    </row>
    <row r="10" spans="1:10" ht="14.25">
      <c r="A10" s="17"/>
      <c r="B10" s="356"/>
      <c r="C10" s="18"/>
      <c r="D10" s="17"/>
      <c r="E10" s="18"/>
      <c r="F10" s="18"/>
      <c r="G10" s="14"/>
      <c r="H10" s="14"/>
      <c r="I10" s="15"/>
    </row>
    <row r="11" spans="1:10" ht="14.25">
      <c r="A11" s="11" t="s">
        <v>5982</v>
      </c>
      <c r="B11" s="356"/>
      <c r="C11" s="12"/>
      <c r="D11" s="11"/>
      <c r="E11" s="12"/>
      <c r="F11" s="12"/>
      <c r="G11" s="19"/>
      <c r="H11" s="15"/>
      <c r="I11" s="15"/>
    </row>
    <row r="12" spans="1:10" ht="14.25">
      <c r="A12" s="686" t="s">
        <v>10</v>
      </c>
      <c r="B12" s="356"/>
      <c r="C12" s="18" t="s">
        <v>5969</v>
      </c>
      <c r="D12" s="22">
        <v>0</v>
      </c>
      <c r="E12" s="22">
        <v>0</v>
      </c>
      <c r="F12" s="23">
        <f>ESC!C18</f>
        <v>100000</v>
      </c>
      <c r="G12" s="23">
        <v>100000</v>
      </c>
      <c r="H12" s="24">
        <f>ESC!C18</f>
        <v>100000</v>
      </c>
      <c r="I12" s="24">
        <f>ESC!E18</f>
        <v>100000</v>
      </c>
      <c r="J12" s="661"/>
    </row>
    <row r="13" spans="1:10" ht="14.25">
      <c r="A13" s="17" t="s">
        <v>5989</v>
      </c>
      <c r="B13" s="356"/>
      <c r="C13" s="18" t="s">
        <v>5968</v>
      </c>
      <c r="D13" s="22">
        <f>+Notes!B10</f>
        <v>-30616.78</v>
      </c>
      <c r="E13" s="22">
        <f>Notes!C10</f>
        <v>-30616.78</v>
      </c>
      <c r="F13" s="23">
        <f>Notes!D10</f>
        <v>87831217.36901401</v>
      </c>
      <c r="G13" s="23">
        <f>Notes!E10</f>
        <v>-83426.209000210001</v>
      </c>
      <c r="H13" s="24">
        <f>Notes!F10</f>
        <v>87800600.589014009</v>
      </c>
      <c r="I13" s="24">
        <f>Notes!G10</f>
        <v>-114042.98900021</v>
      </c>
    </row>
    <row r="14" spans="1:10" ht="14.25">
      <c r="A14" s="17" t="s">
        <v>11</v>
      </c>
      <c r="B14" s="356"/>
      <c r="C14" s="18" t="s">
        <v>12</v>
      </c>
      <c r="D14" s="21"/>
      <c r="E14" s="22"/>
      <c r="F14" s="22"/>
      <c r="G14" s="23">
        <v>0</v>
      </c>
      <c r="H14" s="24">
        <f>D14+F14</f>
        <v>0</v>
      </c>
      <c r="I14" s="24">
        <f>E14+G14</f>
        <v>0</v>
      </c>
    </row>
    <row r="15" spans="1:10" ht="14.25">
      <c r="A15" s="17" t="s">
        <v>12</v>
      </c>
      <c r="B15" s="356"/>
      <c r="C15" s="18"/>
      <c r="D15" s="7"/>
      <c r="E15" s="22"/>
      <c r="F15" s="22"/>
      <c r="G15" s="25"/>
      <c r="H15" s="24"/>
      <c r="I15" s="24"/>
    </row>
    <row r="16" spans="1:10" ht="14.25">
      <c r="A16" s="11" t="s">
        <v>13</v>
      </c>
      <c r="B16" s="356"/>
      <c r="C16" s="18" t="s">
        <v>12</v>
      </c>
      <c r="D16" s="21"/>
      <c r="E16" s="22">
        <f>Notes!C23</f>
        <v>0</v>
      </c>
      <c r="F16" s="22"/>
      <c r="G16" s="23">
        <v>0</v>
      </c>
      <c r="H16" s="24">
        <f>D16+F16</f>
        <v>0</v>
      </c>
      <c r="I16" s="24">
        <f>E16+G16</f>
        <v>0</v>
      </c>
    </row>
    <row r="17" spans="1:12" ht="14.25">
      <c r="A17" s="17" t="s">
        <v>12</v>
      </c>
      <c r="B17" s="357"/>
      <c r="C17" s="18"/>
      <c r="D17" s="7"/>
      <c r="E17" s="22"/>
      <c r="F17" s="22"/>
      <c r="G17" s="25"/>
      <c r="H17" s="24"/>
      <c r="I17" s="24"/>
    </row>
    <row r="18" spans="1:12" ht="14.25">
      <c r="A18" s="11" t="s">
        <v>14</v>
      </c>
      <c r="B18" s="356"/>
      <c r="C18" s="18"/>
      <c r="D18" s="7"/>
      <c r="E18" s="22"/>
      <c r="F18" s="22"/>
      <c r="G18" s="25"/>
      <c r="H18" s="24"/>
      <c r="I18" s="24"/>
    </row>
    <row r="19" spans="1:12" ht="14.25">
      <c r="A19" s="687" t="s">
        <v>15</v>
      </c>
      <c r="B19" s="356"/>
      <c r="C19" s="18"/>
      <c r="D19" s="23">
        <v>0</v>
      </c>
      <c r="E19" s="23">
        <v>0</v>
      </c>
      <c r="F19" s="23">
        <f>Notes!F19</f>
        <v>385332498.52999997</v>
      </c>
      <c r="G19" s="23">
        <f>Notes!G19</f>
        <v>0</v>
      </c>
      <c r="H19" s="24">
        <f>Notes!F19</f>
        <v>385332498.52999997</v>
      </c>
      <c r="I19" s="24">
        <f>Notes!G19</f>
        <v>0</v>
      </c>
      <c r="K19" s="510"/>
      <c r="L19" s="510"/>
    </row>
    <row r="20" spans="1:12" ht="14.25">
      <c r="A20" s="687" t="s">
        <v>16</v>
      </c>
      <c r="B20" s="356"/>
      <c r="C20" s="18" t="s">
        <v>12</v>
      </c>
      <c r="D20" s="23">
        <v>0</v>
      </c>
      <c r="E20" s="23">
        <v>0</v>
      </c>
      <c r="F20" s="23">
        <v>0</v>
      </c>
      <c r="G20" s="23">
        <v>0</v>
      </c>
      <c r="H20" s="24">
        <f t="shared" ref="H20:I22" si="0">D20+F20</f>
        <v>0</v>
      </c>
      <c r="I20" s="24">
        <f t="shared" si="0"/>
        <v>0</v>
      </c>
    </row>
    <row r="21" spans="1:12" ht="14.25">
      <c r="A21" s="687" t="s">
        <v>17</v>
      </c>
      <c r="B21" s="356"/>
      <c r="C21" s="18" t="s">
        <v>12</v>
      </c>
      <c r="D21" s="23">
        <v>0</v>
      </c>
      <c r="E21" s="23">
        <v>0</v>
      </c>
      <c r="F21" s="23">
        <v>0</v>
      </c>
      <c r="G21" s="23">
        <v>0</v>
      </c>
      <c r="H21" s="27">
        <f t="shared" si="0"/>
        <v>0</v>
      </c>
      <c r="I21" s="27">
        <f t="shared" si="0"/>
        <v>0</v>
      </c>
    </row>
    <row r="22" spans="1:12" ht="14.25">
      <c r="A22" s="687" t="s">
        <v>18</v>
      </c>
      <c r="B22" s="356"/>
      <c r="C22" s="18" t="s">
        <v>12</v>
      </c>
      <c r="D22" s="23">
        <v>0</v>
      </c>
      <c r="E22" s="23">
        <v>0</v>
      </c>
      <c r="F22" s="23">
        <v>0</v>
      </c>
      <c r="G22" s="23">
        <v>0</v>
      </c>
      <c r="H22" s="24">
        <f t="shared" si="0"/>
        <v>0</v>
      </c>
      <c r="I22" s="24">
        <f t="shared" si="0"/>
        <v>0</v>
      </c>
    </row>
    <row r="23" spans="1:12" ht="14.25">
      <c r="A23" s="687"/>
      <c r="B23" s="356"/>
      <c r="C23" s="18"/>
      <c r="D23" s="21"/>
      <c r="E23" s="22"/>
      <c r="F23" s="22"/>
      <c r="G23" s="23"/>
      <c r="H23" s="24"/>
      <c r="I23" s="24"/>
    </row>
    <row r="24" spans="1:12" ht="14.25">
      <c r="A24" s="11" t="s">
        <v>19</v>
      </c>
      <c r="B24" s="356"/>
      <c r="C24" s="18"/>
      <c r="D24" s="21"/>
      <c r="E24" s="22"/>
      <c r="F24" s="22"/>
      <c r="G24" s="23"/>
      <c r="H24" s="24"/>
      <c r="I24" s="24"/>
    </row>
    <row r="25" spans="1:12" ht="14.25">
      <c r="A25" s="687" t="s">
        <v>20</v>
      </c>
      <c r="B25" s="356"/>
      <c r="C25" s="18" t="s">
        <v>97</v>
      </c>
      <c r="D25" s="22">
        <f>Notes!B42</f>
        <v>258260000</v>
      </c>
      <c r="E25" s="22">
        <f>Notes!C42</f>
        <v>552110000</v>
      </c>
      <c r="F25" s="23">
        <f>Notes!D42</f>
        <v>404336825.44</v>
      </c>
      <c r="G25" s="23">
        <f>Notes!E42</f>
        <v>-15907480</v>
      </c>
      <c r="H25" s="24">
        <f>Notes!F42</f>
        <v>662596825.44000006</v>
      </c>
      <c r="I25" s="24">
        <f>Notes!G42</f>
        <v>536202520</v>
      </c>
      <c r="J25" s="661"/>
      <c r="K25" s="661"/>
    </row>
    <row r="26" spans="1:12" ht="14.25">
      <c r="A26" s="687" t="s">
        <v>21</v>
      </c>
      <c r="B26" s="356"/>
      <c r="C26" s="18" t="s">
        <v>481</v>
      </c>
      <c r="D26" s="22"/>
      <c r="E26" s="22"/>
      <c r="F26" s="23"/>
      <c r="G26" s="23"/>
      <c r="H26" s="24"/>
      <c r="I26" s="24"/>
    </row>
    <row r="27" spans="1:12" s="497" customFormat="1" ht="28.9" customHeight="1">
      <c r="A27" s="749" t="s">
        <v>22</v>
      </c>
      <c r="B27" s="750"/>
      <c r="C27" s="18"/>
      <c r="D27" s="496">
        <v>0</v>
      </c>
      <c r="E27" s="496">
        <v>0</v>
      </c>
      <c r="F27" s="496">
        <f>'Note-4'!F8</f>
        <v>16500</v>
      </c>
      <c r="G27" s="496">
        <f>'Note-4'!F17</f>
        <v>543846.53</v>
      </c>
      <c r="H27" s="496">
        <f>'Note-4'!F8</f>
        <v>16500</v>
      </c>
      <c r="I27" s="496">
        <f>'Note-4'!F17</f>
        <v>543846.53</v>
      </c>
      <c r="K27" s="679"/>
    </row>
    <row r="28" spans="1:12" s="499" customFormat="1" ht="27.6" customHeight="1">
      <c r="A28" s="751" t="s">
        <v>5983</v>
      </c>
      <c r="B28" s="752"/>
      <c r="C28" s="638"/>
      <c r="D28" s="498">
        <v>0</v>
      </c>
      <c r="E28" s="498">
        <v>0</v>
      </c>
      <c r="F28" s="498">
        <f>'Note-4'!F9</f>
        <v>338667700.5</v>
      </c>
      <c r="G28" s="498">
        <f>'Note-4'!F18</f>
        <v>571075829.549999</v>
      </c>
      <c r="H28" s="684">
        <f>'Note-4'!F9</f>
        <v>338667700.5</v>
      </c>
      <c r="I28" s="684">
        <f>'Note-4'!F18</f>
        <v>571075829.549999</v>
      </c>
    </row>
    <row r="29" spans="1:12" ht="14.25">
      <c r="A29" s="687" t="s">
        <v>23</v>
      </c>
      <c r="B29" s="356"/>
      <c r="C29" s="18" t="s">
        <v>120</v>
      </c>
      <c r="D29" s="22">
        <f>+Notes!B61</f>
        <v>-273204438.79000002</v>
      </c>
      <c r="E29" s="22">
        <f>Notes!C61</f>
        <v>-561742389.13</v>
      </c>
      <c r="F29" s="23">
        <f>Notes!D61</f>
        <v>1736631096.8999999</v>
      </c>
      <c r="G29" s="23">
        <f>Notes!E61</f>
        <v>2287780375</v>
      </c>
      <c r="H29" s="24">
        <f>Notes!F61</f>
        <v>1463426658.1099999</v>
      </c>
      <c r="I29" s="24">
        <f>Notes!G61</f>
        <v>1726037985.8700001</v>
      </c>
    </row>
    <row r="30" spans="1:12" ht="14.25">
      <c r="A30" s="687" t="s">
        <v>24</v>
      </c>
      <c r="B30" s="356"/>
      <c r="C30" s="18" t="s">
        <v>127</v>
      </c>
      <c r="D30" s="22">
        <f>+Notes!B102</f>
        <v>21789349</v>
      </c>
      <c r="E30" s="22">
        <f>Notes!C102</f>
        <v>16919070</v>
      </c>
      <c r="F30" s="23">
        <f>Notes!D102</f>
        <v>44722692.450000003</v>
      </c>
      <c r="G30" s="23">
        <f>Notes!E102</f>
        <v>1854156.9</v>
      </c>
      <c r="H30" s="24">
        <f>Notes!F102</f>
        <v>66512041.450000003</v>
      </c>
      <c r="I30" s="24">
        <f>Notes!G102</f>
        <v>18773226.900000002</v>
      </c>
    </row>
    <row r="31" spans="1:12" ht="14.25">
      <c r="A31" s="17" t="s">
        <v>12</v>
      </c>
      <c r="B31" s="356"/>
      <c r="C31" s="639"/>
      <c r="D31" s="28"/>
      <c r="E31" s="29"/>
      <c r="F31" s="22"/>
      <c r="G31" s="30">
        <v>0</v>
      </c>
      <c r="H31" s="31"/>
      <c r="I31" s="688"/>
    </row>
    <row r="32" spans="1:12" ht="14.25">
      <c r="A32" s="689" t="s">
        <v>12</v>
      </c>
      <c r="B32" s="32" t="s">
        <v>7</v>
      </c>
      <c r="C32" s="640"/>
      <c r="D32" s="33">
        <f t="shared" ref="D32:I32" si="1">SUM(D12:D30)</f>
        <v>6814293.4299999774</v>
      </c>
      <c r="E32" s="33">
        <f t="shared" si="1"/>
        <v>7256064.0900000334</v>
      </c>
      <c r="F32" s="33">
        <f t="shared" si="1"/>
        <v>2997638531.1890135</v>
      </c>
      <c r="G32" s="33">
        <f t="shared" si="1"/>
        <v>2845363301.770999</v>
      </c>
      <c r="H32" s="34">
        <f t="shared" si="1"/>
        <v>3004452824.6190138</v>
      </c>
      <c r="I32" s="690">
        <f t="shared" si="1"/>
        <v>2852619365.8609986</v>
      </c>
      <c r="L32" s="486"/>
    </row>
    <row r="33" spans="1:12" ht="14.25">
      <c r="A33" s="17"/>
      <c r="B33" s="691"/>
      <c r="C33" s="641"/>
      <c r="D33" s="20"/>
      <c r="E33" s="35"/>
      <c r="F33" s="36"/>
      <c r="G33" s="36"/>
      <c r="H33" s="37"/>
      <c r="I33" s="692"/>
      <c r="L33" s="486"/>
    </row>
    <row r="34" spans="1:12" ht="14.25">
      <c r="A34" s="11" t="s">
        <v>25</v>
      </c>
      <c r="B34" s="356"/>
      <c r="C34" s="18"/>
      <c r="D34" s="20"/>
      <c r="E34" s="35"/>
      <c r="F34" s="38"/>
      <c r="G34" s="38"/>
      <c r="H34" s="39"/>
      <c r="I34" s="40"/>
      <c r="L34" s="486"/>
    </row>
    <row r="35" spans="1:12" ht="14.25">
      <c r="A35" s="11"/>
      <c r="B35" s="356"/>
      <c r="C35" s="18"/>
      <c r="D35" s="20"/>
      <c r="E35" s="35"/>
      <c r="F35" s="38"/>
      <c r="G35" s="38"/>
      <c r="H35" s="40"/>
      <c r="I35" s="40"/>
      <c r="L35" s="486"/>
    </row>
    <row r="36" spans="1:12" ht="14.25">
      <c r="A36" s="11" t="s">
        <v>26</v>
      </c>
      <c r="B36" s="356"/>
      <c r="C36" s="18"/>
      <c r="D36" s="20"/>
      <c r="E36" s="41"/>
      <c r="F36" s="38"/>
      <c r="G36" s="38"/>
      <c r="H36" s="40"/>
      <c r="I36" s="40"/>
      <c r="L36" s="486"/>
    </row>
    <row r="37" spans="1:12" ht="14.25">
      <c r="A37" s="687" t="s">
        <v>27</v>
      </c>
      <c r="B37" s="356"/>
      <c r="C37" s="18"/>
      <c r="D37" s="20"/>
      <c r="E37" s="41"/>
      <c r="F37" s="38"/>
      <c r="G37" s="38"/>
      <c r="H37" s="40"/>
      <c r="I37" s="40"/>
    </row>
    <row r="38" spans="1:12" ht="14.25">
      <c r="A38" s="693" t="s">
        <v>28</v>
      </c>
      <c r="B38" s="356"/>
      <c r="C38" s="18" t="s">
        <v>150</v>
      </c>
      <c r="D38" s="42">
        <v>0</v>
      </c>
      <c r="E38" s="42">
        <v>0</v>
      </c>
      <c r="F38" s="41">
        <f>'Dep &amp; DTA DTL'!M9</f>
        <v>17765.344671966894</v>
      </c>
      <c r="G38" s="41">
        <f>'Dep &amp; DTA DTL'!D9</f>
        <v>32341.13</v>
      </c>
      <c r="H38" s="43">
        <f>'Dep &amp; DTA DTL'!M12</f>
        <v>17765.344671966894</v>
      </c>
      <c r="I38" s="43">
        <f>'Dep &amp; DTA DTL'!D12</f>
        <v>32341.13</v>
      </c>
    </row>
    <row r="39" spans="1:12" ht="14.25">
      <c r="A39" s="693" t="s">
        <v>29</v>
      </c>
      <c r="B39" s="356"/>
      <c r="C39" s="18"/>
      <c r="D39" s="42">
        <v>0</v>
      </c>
      <c r="E39" s="42">
        <v>0</v>
      </c>
      <c r="F39" s="42">
        <v>0</v>
      </c>
      <c r="G39" s="42">
        <v>0</v>
      </c>
      <c r="H39" s="43">
        <f t="shared" ref="H39:I45" si="2">D39+F39</f>
        <v>0</v>
      </c>
      <c r="I39" s="43">
        <f t="shared" si="2"/>
        <v>0</v>
      </c>
    </row>
    <row r="40" spans="1:12" ht="14.25">
      <c r="A40" s="693" t="s">
        <v>30</v>
      </c>
      <c r="B40" s="356"/>
      <c r="C40" s="18"/>
      <c r="D40" s="42">
        <v>0</v>
      </c>
      <c r="E40" s="42">
        <v>0</v>
      </c>
      <c r="F40" s="42">
        <v>0</v>
      </c>
      <c r="G40" s="42">
        <v>0</v>
      </c>
      <c r="H40" s="43">
        <f t="shared" si="2"/>
        <v>0</v>
      </c>
      <c r="I40" s="43">
        <f t="shared" si="2"/>
        <v>0</v>
      </c>
    </row>
    <row r="41" spans="1:12" ht="14.25">
      <c r="A41" s="693" t="s">
        <v>31</v>
      </c>
      <c r="B41" s="356"/>
      <c r="C41" s="18"/>
      <c r="D41" s="42">
        <v>0</v>
      </c>
      <c r="E41" s="42">
        <v>0</v>
      </c>
      <c r="F41" s="42">
        <v>0</v>
      </c>
      <c r="G41" s="42">
        <v>0</v>
      </c>
      <c r="H41" s="43">
        <f t="shared" si="2"/>
        <v>0</v>
      </c>
      <c r="I41" s="43">
        <f t="shared" si="2"/>
        <v>0</v>
      </c>
    </row>
    <row r="42" spans="1:12" ht="14.25">
      <c r="A42" s="687" t="s">
        <v>32</v>
      </c>
      <c r="B42" s="356"/>
      <c r="C42" s="18"/>
      <c r="D42" s="20"/>
      <c r="E42" s="41"/>
      <c r="F42" s="38"/>
      <c r="G42" s="38"/>
      <c r="H42" s="43">
        <f t="shared" si="2"/>
        <v>0</v>
      </c>
      <c r="I42" s="43">
        <f t="shared" si="2"/>
        <v>0</v>
      </c>
    </row>
    <row r="43" spans="1:12" ht="14.25">
      <c r="A43" s="687" t="s">
        <v>33</v>
      </c>
      <c r="B43" s="356"/>
      <c r="C43" s="18" t="str">
        <f>'Dep &amp; DTA DTL'!B17</f>
        <v>Note 8</v>
      </c>
      <c r="D43" s="42">
        <v>0</v>
      </c>
      <c r="E43" s="42">
        <v>0</v>
      </c>
      <c r="F43" s="41">
        <f>'Dep &amp; DTA DTL'!C35+G43</f>
        <v>5495.592510159373</v>
      </c>
      <c r="G43" s="41">
        <v>3586</v>
      </c>
      <c r="H43" s="43">
        <f>G43+'Dep &amp; DTA DTL'!C35</f>
        <v>5495.592510159373</v>
      </c>
      <c r="I43" s="43">
        <f>'Dep &amp; DTA DTL'!C36</f>
        <v>3586</v>
      </c>
    </row>
    <row r="44" spans="1:12" ht="14.25">
      <c r="A44" s="687" t="s">
        <v>34</v>
      </c>
      <c r="B44" s="356"/>
      <c r="C44" s="18"/>
      <c r="D44" s="20"/>
      <c r="E44" s="41"/>
      <c r="F44" s="38"/>
      <c r="G44" s="38"/>
      <c r="H44" s="43">
        <f t="shared" si="2"/>
        <v>0</v>
      </c>
      <c r="I44" s="43">
        <f t="shared" si="2"/>
        <v>0</v>
      </c>
    </row>
    <row r="45" spans="1:12" ht="14.25">
      <c r="A45" s="687" t="s">
        <v>35</v>
      </c>
      <c r="B45" s="356"/>
      <c r="C45" s="18"/>
      <c r="D45" s="20"/>
      <c r="E45" s="41"/>
      <c r="F45" s="38"/>
      <c r="G45" s="38"/>
      <c r="H45" s="43">
        <f t="shared" si="2"/>
        <v>0</v>
      </c>
      <c r="I45" s="43">
        <f t="shared" si="2"/>
        <v>0</v>
      </c>
    </row>
    <row r="46" spans="1:12" ht="14.25">
      <c r="A46" s="11"/>
      <c r="B46" s="356"/>
      <c r="C46" s="18"/>
      <c r="D46" s="20"/>
      <c r="E46" s="41"/>
      <c r="F46" s="38"/>
      <c r="G46" s="38"/>
      <c r="H46" s="43"/>
      <c r="I46" s="43"/>
    </row>
    <row r="47" spans="1:12" ht="14.25">
      <c r="A47" s="11" t="s">
        <v>36</v>
      </c>
      <c r="B47" s="356"/>
      <c r="C47" s="18"/>
      <c r="D47" s="61"/>
      <c r="E47" s="41"/>
      <c r="F47" s="38"/>
      <c r="G47" s="38"/>
      <c r="H47" s="43"/>
      <c r="I47" s="43"/>
    </row>
    <row r="48" spans="1:12" ht="14.25">
      <c r="A48" s="687" t="s">
        <v>37</v>
      </c>
      <c r="B48" s="356"/>
      <c r="C48" s="18" t="s">
        <v>168</v>
      </c>
      <c r="D48" s="42">
        <v>0</v>
      </c>
      <c r="E48" s="42">
        <v>0</v>
      </c>
      <c r="F48" s="41">
        <f>Notes!D111</f>
        <v>37338046.210000001</v>
      </c>
      <c r="G48" s="41">
        <f>Notes!E111</f>
        <v>1055980</v>
      </c>
      <c r="H48" s="43">
        <f>Notes!F111</f>
        <v>37338046.210000001</v>
      </c>
      <c r="I48" s="43">
        <f>Notes!G111</f>
        <v>1055980</v>
      </c>
      <c r="J48" s="510"/>
      <c r="K48" s="510"/>
    </row>
    <row r="49" spans="1:11" ht="14.25">
      <c r="A49" s="687" t="s">
        <v>38</v>
      </c>
      <c r="B49" s="356"/>
      <c r="C49" s="18" t="s">
        <v>179</v>
      </c>
      <c r="D49" s="42">
        <f>Notes!B120</f>
        <v>0</v>
      </c>
      <c r="E49" s="42">
        <f>Notes!C120</f>
        <v>0</v>
      </c>
      <c r="F49" s="41">
        <f>Notes!D120</f>
        <v>2913976089.2618318</v>
      </c>
      <c r="G49" s="41">
        <f>Notes!E120</f>
        <v>2812765648.8299999</v>
      </c>
      <c r="H49" s="43">
        <f>Notes!F120</f>
        <v>2913976089.2618318</v>
      </c>
      <c r="I49" s="43">
        <f>Notes!G120</f>
        <v>2812765648.8299999</v>
      </c>
    </row>
    <row r="50" spans="1:11" ht="14.25">
      <c r="A50" s="687" t="s">
        <v>39</v>
      </c>
      <c r="B50" s="356"/>
      <c r="C50" s="18" t="s">
        <v>12</v>
      </c>
      <c r="D50" s="42">
        <v>0</v>
      </c>
      <c r="E50" s="42">
        <v>0</v>
      </c>
      <c r="F50" s="42">
        <v>0</v>
      </c>
      <c r="G50" s="42">
        <v>0</v>
      </c>
      <c r="H50" s="43">
        <f t="shared" ref="H50:I50" si="3">D50+F50</f>
        <v>0</v>
      </c>
      <c r="I50" s="43">
        <f t="shared" si="3"/>
        <v>0</v>
      </c>
    </row>
    <row r="51" spans="1:11" ht="14.25">
      <c r="A51" s="687" t="s">
        <v>40</v>
      </c>
      <c r="B51" s="356"/>
      <c r="C51" s="18" t="s">
        <v>188</v>
      </c>
      <c r="D51" s="41">
        <f>+Notes!B140</f>
        <v>4359293.43</v>
      </c>
      <c r="E51" s="41">
        <f>Notes!C140</f>
        <v>4815080.09</v>
      </c>
      <c r="F51" s="41">
        <f>Notes!D140</f>
        <v>6525890.9700000007</v>
      </c>
      <c r="G51" s="41">
        <f>Notes!E140</f>
        <v>2075181.9000000006</v>
      </c>
      <c r="H51" s="43">
        <f>Notes!F140</f>
        <v>10885184.4</v>
      </c>
      <c r="I51" s="43">
        <f>Notes!G140</f>
        <v>6890261.9900000002</v>
      </c>
    </row>
    <row r="52" spans="1:11" ht="14.25">
      <c r="A52" s="687" t="s">
        <v>41</v>
      </c>
      <c r="B52" s="356"/>
      <c r="C52" s="18" t="s">
        <v>194</v>
      </c>
      <c r="D52" s="41">
        <f>+Notes!B157</f>
        <v>2440000</v>
      </c>
      <c r="E52" s="41">
        <f>Notes!C157</f>
        <v>2440000</v>
      </c>
      <c r="F52" s="41">
        <f>Notes!D157</f>
        <v>218082</v>
      </c>
      <c r="G52" s="41">
        <f>Notes!E157</f>
        <v>41467</v>
      </c>
      <c r="H52" s="43">
        <f>Notes!F157</f>
        <v>2658082</v>
      </c>
      <c r="I52" s="43">
        <f>Notes!G157</f>
        <v>2481467</v>
      </c>
    </row>
    <row r="53" spans="1:11" ht="14.25">
      <c r="A53" s="687" t="s">
        <v>42</v>
      </c>
      <c r="B53" s="356"/>
      <c r="C53" s="18" t="s">
        <v>197</v>
      </c>
      <c r="D53" s="42">
        <f>+Notes!B173</f>
        <v>15000</v>
      </c>
      <c r="E53" s="42">
        <f>Notes!C173</f>
        <v>984</v>
      </c>
      <c r="F53" s="41">
        <f>Notes!D173</f>
        <v>39557162.270000003</v>
      </c>
      <c r="G53" s="41">
        <f>Notes!E173</f>
        <v>29389096.859999999</v>
      </c>
      <c r="H53" s="43">
        <f>Notes!F173</f>
        <v>39572162.270000003</v>
      </c>
      <c r="I53" s="43">
        <f>Notes!G173</f>
        <v>29390080.859999999</v>
      </c>
    </row>
    <row r="54" spans="1:11" ht="15" thickBot="1">
      <c r="A54" s="17" t="s">
        <v>43</v>
      </c>
      <c r="B54" s="356"/>
      <c r="C54" s="642"/>
      <c r="D54" s="270"/>
      <c r="E54" s="46"/>
      <c r="F54" s="47"/>
      <c r="G54" s="47"/>
      <c r="H54" s="48"/>
      <c r="I54" s="694"/>
    </row>
    <row r="55" spans="1:11" ht="15" thickBot="1">
      <c r="A55" s="643"/>
      <c r="B55" s="523" t="s">
        <v>7</v>
      </c>
      <c r="C55" s="643" t="s">
        <v>43</v>
      </c>
      <c r="D55" s="524">
        <f>SUM(D47:D53)</f>
        <v>6814293.4299999997</v>
      </c>
      <c r="E55" s="524">
        <f>SUM(E47:E53)</f>
        <v>7256064.0899999999</v>
      </c>
      <c r="F55" s="524">
        <f>SUM(F38:F53)</f>
        <v>2997638531.6490135</v>
      </c>
      <c r="G55" s="524">
        <f>SUM(G38:G53)</f>
        <v>2845363301.7200003</v>
      </c>
      <c r="H55" s="525">
        <f>SUM(H38:H53)</f>
        <v>3004452825.0790138</v>
      </c>
      <c r="I55" s="525">
        <f>SUM(I38:I53)</f>
        <v>2852619365.8099999</v>
      </c>
      <c r="J55" s="510">
        <f>H55-H32</f>
        <v>0.46000003814697266</v>
      </c>
      <c r="K55" s="510">
        <f>I55-I32</f>
        <v>-5.0998687744140625E-2</v>
      </c>
    </row>
    <row r="56" spans="1:11" ht="14.25">
      <c r="A56" s="753" t="s">
        <v>44</v>
      </c>
      <c r="B56" s="754"/>
      <c r="C56" s="644"/>
      <c r="D56" s="511">
        <f t="shared" ref="D56:F56" si="4">D55-D32</f>
        <v>2.2351741790771484E-8</v>
      </c>
      <c r="E56" s="511">
        <f t="shared" si="4"/>
        <v>-3.3527612686157227E-8</v>
      </c>
      <c r="F56" s="511">
        <f t="shared" si="4"/>
        <v>0.46000003814697266</v>
      </c>
      <c r="G56" s="511">
        <f>G55-G32</f>
        <v>-5.0998687744140625E-2</v>
      </c>
      <c r="H56" s="511"/>
      <c r="I56" s="696"/>
    </row>
    <row r="57" spans="1:11" ht="14.25">
      <c r="A57" s="695"/>
      <c r="B57" s="512"/>
      <c r="C57" s="644"/>
      <c r="D57" s="511"/>
      <c r="E57" s="511"/>
      <c r="F57" s="513"/>
      <c r="G57" s="511"/>
      <c r="H57" s="513"/>
      <c r="I57" s="696"/>
    </row>
    <row r="58" spans="1:11" ht="14.25">
      <c r="A58" s="11" t="s">
        <v>45</v>
      </c>
      <c r="B58" s="357"/>
      <c r="C58" s="357"/>
      <c r="D58" s="357"/>
      <c r="E58" s="357"/>
      <c r="F58" s="357"/>
      <c r="G58" s="514" t="s">
        <v>43</v>
      </c>
      <c r="H58" s="697"/>
      <c r="I58" s="698"/>
    </row>
    <row r="59" spans="1:11" ht="14.25">
      <c r="A59" s="699" t="s">
        <v>46</v>
      </c>
      <c r="B59" s="700"/>
      <c r="C59" s="516"/>
      <c r="D59" s="515"/>
      <c r="E59" s="515"/>
      <c r="G59" s="701" t="s">
        <v>86</v>
      </c>
      <c r="H59" s="702"/>
      <c r="I59" s="703"/>
    </row>
    <row r="60" spans="1:11" ht="14.25">
      <c r="A60" s="11" t="s">
        <v>47</v>
      </c>
      <c r="B60" s="700"/>
      <c r="C60" s="516"/>
      <c r="D60" s="515"/>
      <c r="E60" s="515"/>
      <c r="G60" s="516" t="s">
        <v>0</v>
      </c>
      <c r="H60" s="516"/>
      <c r="I60" s="703"/>
    </row>
    <row r="61" spans="1:11" ht="15" customHeight="1">
      <c r="A61" s="704" t="s">
        <v>48</v>
      </c>
      <c r="B61" s="357" t="s">
        <v>43</v>
      </c>
      <c r="C61" s="357"/>
      <c r="D61" s="518"/>
      <c r="E61" s="518"/>
      <c r="F61" s="518"/>
      <c r="G61" s="518"/>
      <c r="H61" s="705"/>
      <c r="I61" s="698"/>
    </row>
    <row r="62" spans="1:11" ht="14.25">
      <c r="A62" s="11" t="s">
        <v>49</v>
      </c>
      <c r="B62" s="357" t="s">
        <v>49</v>
      </c>
      <c r="C62" s="357" t="s">
        <v>49</v>
      </c>
      <c r="D62" s="357"/>
      <c r="E62" s="357"/>
      <c r="F62" s="357"/>
      <c r="G62" s="357" t="s">
        <v>49</v>
      </c>
      <c r="H62" s="357"/>
      <c r="I62" s="698"/>
    </row>
    <row r="63" spans="1:11" ht="14.25">
      <c r="A63" s="11" t="s">
        <v>49</v>
      </c>
      <c r="B63" s="357" t="s">
        <v>49</v>
      </c>
      <c r="C63" s="357" t="s">
        <v>49</v>
      </c>
      <c r="D63" s="357"/>
      <c r="E63" s="357"/>
      <c r="F63" s="357"/>
      <c r="G63" s="357" t="s">
        <v>49</v>
      </c>
      <c r="H63" s="357"/>
      <c r="I63" s="698"/>
    </row>
    <row r="64" spans="1:11" ht="14.25">
      <c r="A64" s="699" t="s">
        <v>50</v>
      </c>
      <c r="C64" s="357"/>
      <c r="D64" s="518"/>
      <c r="E64" s="518"/>
      <c r="G64" s="512" t="s">
        <v>51</v>
      </c>
      <c r="H64" s="512" t="s">
        <v>51</v>
      </c>
      <c r="I64" s="706" t="s">
        <v>52</v>
      </c>
    </row>
    <row r="65" spans="1:9" ht="15" customHeight="1">
      <c r="A65" s="699" t="s">
        <v>53</v>
      </c>
      <c r="C65" s="357"/>
      <c r="D65" s="518"/>
      <c r="E65" s="518"/>
      <c r="G65" s="512" t="s">
        <v>54</v>
      </c>
      <c r="H65" s="512" t="s">
        <v>54</v>
      </c>
      <c r="I65" s="706" t="s">
        <v>54</v>
      </c>
    </row>
    <row r="66" spans="1:9" ht="15" customHeight="1">
      <c r="A66" s="704" t="s">
        <v>55</v>
      </c>
      <c r="C66" s="357"/>
      <c r="D66" s="518"/>
      <c r="E66" s="518"/>
      <c r="G66" s="512" t="s">
        <v>56</v>
      </c>
      <c r="H66" s="512" t="s">
        <v>56</v>
      </c>
      <c r="I66" s="706" t="s">
        <v>57</v>
      </c>
    </row>
    <row r="67" spans="1:9" ht="21.6" customHeight="1">
      <c r="A67" s="707" t="s">
        <v>58</v>
      </c>
      <c r="B67" s="519"/>
      <c r="C67" s="357"/>
      <c r="D67" s="518"/>
      <c r="E67" s="518"/>
      <c r="F67" s="518"/>
      <c r="G67" s="519"/>
      <c r="H67" s="519"/>
      <c r="I67" s="698"/>
    </row>
    <row r="68" spans="1:9" ht="14.25">
      <c r="A68" s="704" t="s">
        <v>59</v>
      </c>
      <c r="B68" s="520"/>
      <c r="C68" s="357"/>
      <c r="D68" s="521"/>
      <c r="E68" s="521"/>
      <c r="F68" s="521"/>
      <c r="G68" s="521"/>
      <c r="H68" s="522"/>
      <c r="I68" s="698"/>
    </row>
    <row r="69" spans="1:9" ht="14.25">
      <c r="A69" s="708" t="s">
        <v>60</v>
      </c>
      <c r="B69" s="709"/>
      <c r="C69" s="710"/>
      <c r="D69" s="711"/>
      <c r="E69" s="711"/>
      <c r="F69" s="711"/>
      <c r="G69" s="711"/>
      <c r="H69" s="712"/>
      <c r="I69" s="713"/>
    </row>
    <row r="70" spans="1:9" ht="14.25">
      <c r="A70" s="517"/>
      <c r="B70" s="520"/>
      <c r="C70" s="357"/>
      <c r="D70" s="521"/>
      <c r="E70" s="521"/>
      <c r="F70" s="521"/>
      <c r="G70" s="521"/>
      <c r="H70" s="522"/>
    </row>
  </sheetData>
  <customSheetViews>
    <customSheetView guid="{B8A679C5-B961-4392-BACF-6DDFA7297AAE}" scale="70" showPageBreaks="1" showGridLines="0" fitToPage="1" printArea="1">
      <pane ySplit="7" topLeftCell="A17" activePane="bottomLeft" state="frozen"/>
      <selection pane="bottomLeft" activeCell="E57" sqref="E57"/>
      <pageMargins left="0.3" right="5.0000000000000001E-3" top="0.25" bottom="0.25" header="0.3" footer="0.3"/>
      <printOptions horizontalCentered="1" verticalCentered="1"/>
      <pageSetup paperSize="9" scale="48" orientation="portrait" r:id="rId1"/>
    </customSheetView>
    <customSheetView guid="{DEA14913-9729-4C6C-B479-A92A59FB4580}" scale="70" showGridLines="0" fitToPage="1" printArea="1">
      <pane ySplit="7" topLeftCell="A48" activePane="bottomLeft" state="frozen"/>
      <selection pane="bottomLeft" activeCell="I53" sqref="I53"/>
      <pageMargins left="0.3" right="5.0000000000000001E-3" top="0.25" bottom="0.25" header="0.3" footer="0.3"/>
      <printOptions horizontalCentered="1" verticalCentered="1"/>
      <pageSetup paperSize="9" scale="48" orientation="portrait" r:id="rId2"/>
    </customSheetView>
    <customSheetView guid="{8C4DF1F4-EAB1-489E-8362-1E2D3E732D13}" scale="70" showGridLines="0" fitToPage="1">
      <pane ySplit="7" topLeftCell="A32" activePane="bottomLeft" state="frozen"/>
      <selection pane="bottomLeft" activeCell="O68" sqref="O68"/>
      <pageMargins left="0.3" right="5.0000000000000001E-3" top="0.25" bottom="0.25" header="0.3" footer="0.3"/>
      <printOptions horizontalCentered="1" verticalCentered="1"/>
      <pageSetup paperSize="9" scale="48" orientation="portrait" r:id="rId3"/>
    </customSheetView>
  </customSheetViews>
  <mergeCells count="12">
    <mergeCell ref="A27:B27"/>
    <mergeCell ref="A28:B28"/>
    <mergeCell ref="A56:B56"/>
    <mergeCell ref="A2:I2"/>
    <mergeCell ref="A3:I3"/>
    <mergeCell ref="A4:I4"/>
    <mergeCell ref="A5:I5"/>
    <mergeCell ref="A6:B7"/>
    <mergeCell ref="C6:C7"/>
    <mergeCell ref="F6:G6"/>
    <mergeCell ref="H6:I6"/>
    <mergeCell ref="D6:E6"/>
  </mergeCells>
  <printOptions horizontalCentered="1" verticalCentered="1"/>
  <pageMargins left="0.11811023622047245" right="0" top="0.82677165354330717" bottom="0.78740157480314965" header="0.31496062992125984" footer="0.31496062992125984"/>
  <pageSetup paperSize="9" scale="68"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67"/>
  <sheetViews>
    <sheetView showGridLines="0" topLeftCell="A15" zoomScale="70" zoomScaleNormal="70" zoomScaleSheetLayoutView="40" workbookViewId="0">
      <selection activeCell="J23" sqref="J23"/>
    </sheetView>
  </sheetViews>
  <sheetFormatPr defaultRowHeight="12.75"/>
  <cols>
    <col min="1" max="1" width="63.28515625" style="58" customWidth="1"/>
    <col min="2" max="2" width="3.7109375" style="58" customWidth="1"/>
    <col min="3" max="3" width="11.5703125" style="58" customWidth="1"/>
    <col min="4" max="4" width="16.28515625" style="636" customWidth="1"/>
    <col min="5" max="5" width="26" style="58" hidden="1" customWidth="1"/>
    <col min="6" max="7" width="24.28515625" style="58" hidden="1" customWidth="1"/>
    <col min="8" max="8" width="24.28515625" style="59" hidden="1" customWidth="1"/>
    <col min="9" max="9" width="24.28515625" style="60" customWidth="1"/>
    <col min="10" max="10" width="24" style="58" customWidth="1"/>
    <col min="11" max="11" width="9.28515625" style="58"/>
    <col min="12" max="12" width="12.85546875" style="58" bestFit="1" customWidth="1"/>
    <col min="13" max="13" width="9.28515625" style="58"/>
    <col min="14" max="14" width="13.85546875" style="58" bestFit="1" customWidth="1"/>
    <col min="15" max="243" width="9.28515625" style="58"/>
    <col min="244" max="244" width="0.28515625" style="58" customWidth="1"/>
    <col min="245" max="245" width="25.7109375" style="58" customWidth="1"/>
    <col min="246" max="246" width="18.7109375" style="58" customWidth="1"/>
    <col min="247" max="247" width="14.7109375" style="58" customWidth="1"/>
    <col min="248" max="248" width="16.7109375" style="58" bestFit="1" customWidth="1"/>
    <col min="249" max="249" width="18.5703125" style="58" customWidth="1"/>
    <col min="250" max="250" width="17.42578125" style="58" customWidth="1"/>
    <col min="251" max="251" width="0.28515625" style="58" customWidth="1"/>
    <col min="252" max="252" width="16" style="58" bestFit="1" customWidth="1"/>
    <col min="253" max="253" width="16" style="58" customWidth="1"/>
    <col min="254" max="254" width="14.28515625" style="58" customWidth="1"/>
    <col min="255" max="255" width="11.7109375" style="58" customWidth="1"/>
    <col min="256" max="256" width="14.28515625" style="58" customWidth="1"/>
    <col min="257" max="258" width="11.7109375" style="58" customWidth="1"/>
    <col min="259" max="499" width="9.28515625" style="58"/>
    <col min="500" max="500" width="0.28515625" style="58" customWidth="1"/>
    <col min="501" max="501" width="25.7109375" style="58" customWidth="1"/>
    <col min="502" max="502" width="18.7109375" style="58" customWidth="1"/>
    <col min="503" max="503" width="14.7109375" style="58" customWidth="1"/>
    <col min="504" max="504" width="16.7109375" style="58" bestFit="1" customWidth="1"/>
    <col min="505" max="505" width="18.5703125" style="58" customWidth="1"/>
    <col min="506" max="506" width="17.42578125" style="58" customWidth="1"/>
    <col min="507" max="507" width="0.28515625" style="58" customWidth="1"/>
    <col min="508" max="508" width="16" style="58" bestFit="1" customWidth="1"/>
    <col min="509" max="509" width="16" style="58" customWidth="1"/>
    <col min="510" max="510" width="14.28515625" style="58" customWidth="1"/>
    <col min="511" max="511" width="11.7109375" style="58" customWidth="1"/>
    <col min="512" max="512" width="14.28515625" style="58" customWidth="1"/>
    <col min="513" max="514" width="11.7109375" style="58" customWidth="1"/>
    <col min="515" max="755" width="9.28515625" style="58"/>
    <col min="756" max="756" width="0.28515625" style="58" customWidth="1"/>
    <col min="757" max="757" width="25.7109375" style="58" customWidth="1"/>
    <col min="758" max="758" width="18.7109375" style="58" customWidth="1"/>
    <col min="759" max="759" width="14.7109375" style="58" customWidth="1"/>
    <col min="760" max="760" width="16.7109375" style="58" bestFit="1" customWidth="1"/>
    <col min="761" max="761" width="18.5703125" style="58" customWidth="1"/>
    <col min="762" max="762" width="17.42578125" style="58" customWidth="1"/>
    <col min="763" max="763" width="0.28515625" style="58" customWidth="1"/>
    <col min="764" max="764" width="16" style="58" bestFit="1" customWidth="1"/>
    <col min="765" max="765" width="16" style="58" customWidth="1"/>
    <col min="766" max="766" width="14.28515625" style="58" customWidth="1"/>
    <col min="767" max="767" width="11.7109375" style="58" customWidth="1"/>
    <col min="768" max="768" width="14.28515625" style="58" customWidth="1"/>
    <col min="769" max="770" width="11.7109375" style="58" customWidth="1"/>
    <col min="771" max="1011" width="9.28515625" style="58"/>
    <col min="1012" max="1012" width="0.28515625" style="58" customWidth="1"/>
    <col min="1013" max="1013" width="25.7109375" style="58" customWidth="1"/>
    <col min="1014" max="1014" width="18.7109375" style="58" customWidth="1"/>
    <col min="1015" max="1015" width="14.7109375" style="58" customWidth="1"/>
    <col min="1016" max="1016" width="16.7109375" style="58" bestFit="1" customWidth="1"/>
    <col min="1017" max="1017" width="18.5703125" style="58" customWidth="1"/>
    <col min="1018" max="1018" width="17.42578125" style="58" customWidth="1"/>
    <col min="1019" max="1019" width="0.28515625" style="58" customWidth="1"/>
    <col min="1020" max="1020" width="16" style="58" bestFit="1" customWidth="1"/>
    <col min="1021" max="1021" width="16" style="58" customWidth="1"/>
    <col min="1022" max="1022" width="14.28515625" style="58" customWidth="1"/>
    <col min="1023" max="1023" width="11.7109375" style="58" customWidth="1"/>
    <col min="1024" max="1024" width="14.28515625" style="58" customWidth="1"/>
    <col min="1025" max="1026" width="11.7109375" style="58" customWidth="1"/>
    <col min="1027" max="1267" width="9.28515625" style="58"/>
    <col min="1268" max="1268" width="0.28515625" style="58" customWidth="1"/>
    <col min="1269" max="1269" width="25.7109375" style="58" customWidth="1"/>
    <col min="1270" max="1270" width="18.7109375" style="58" customWidth="1"/>
    <col min="1271" max="1271" width="14.7109375" style="58" customWidth="1"/>
    <col min="1272" max="1272" width="16.7109375" style="58" bestFit="1" customWidth="1"/>
    <col min="1273" max="1273" width="18.5703125" style="58" customWidth="1"/>
    <col min="1274" max="1274" width="17.42578125" style="58" customWidth="1"/>
    <col min="1275" max="1275" width="0.28515625" style="58" customWidth="1"/>
    <col min="1276" max="1276" width="16" style="58" bestFit="1" customWidth="1"/>
    <col min="1277" max="1277" width="16" style="58" customWidth="1"/>
    <col min="1278" max="1278" width="14.28515625" style="58" customWidth="1"/>
    <col min="1279" max="1279" width="11.7109375" style="58" customWidth="1"/>
    <col min="1280" max="1280" width="14.28515625" style="58" customWidth="1"/>
    <col min="1281" max="1282" width="11.7109375" style="58" customWidth="1"/>
    <col min="1283" max="1523" width="9.28515625" style="58"/>
    <col min="1524" max="1524" width="0.28515625" style="58" customWidth="1"/>
    <col min="1525" max="1525" width="25.7109375" style="58" customWidth="1"/>
    <col min="1526" max="1526" width="18.7109375" style="58" customWidth="1"/>
    <col min="1527" max="1527" width="14.7109375" style="58" customWidth="1"/>
    <col min="1528" max="1528" width="16.7109375" style="58" bestFit="1" customWidth="1"/>
    <col min="1529" max="1529" width="18.5703125" style="58" customWidth="1"/>
    <col min="1530" max="1530" width="17.42578125" style="58" customWidth="1"/>
    <col min="1531" max="1531" width="0.28515625" style="58" customWidth="1"/>
    <col min="1532" max="1532" width="16" style="58" bestFit="1" customWidth="1"/>
    <col min="1533" max="1533" width="16" style="58" customWidth="1"/>
    <col min="1534" max="1534" width="14.28515625" style="58" customWidth="1"/>
    <col min="1535" max="1535" width="11.7109375" style="58" customWidth="1"/>
    <col min="1536" max="1536" width="14.28515625" style="58" customWidth="1"/>
    <col min="1537" max="1538" width="11.7109375" style="58" customWidth="1"/>
    <col min="1539" max="1779" width="9.28515625" style="58"/>
    <col min="1780" max="1780" width="0.28515625" style="58" customWidth="1"/>
    <col min="1781" max="1781" width="25.7109375" style="58" customWidth="1"/>
    <col min="1782" max="1782" width="18.7109375" style="58" customWidth="1"/>
    <col min="1783" max="1783" width="14.7109375" style="58" customWidth="1"/>
    <col min="1784" max="1784" width="16.7109375" style="58" bestFit="1" customWidth="1"/>
    <col min="1785" max="1785" width="18.5703125" style="58" customWidth="1"/>
    <col min="1786" max="1786" width="17.42578125" style="58" customWidth="1"/>
    <col min="1787" max="1787" width="0.28515625" style="58" customWidth="1"/>
    <col min="1788" max="1788" width="16" style="58" bestFit="1" customWidth="1"/>
    <col min="1789" max="1789" width="16" style="58" customWidth="1"/>
    <col min="1790" max="1790" width="14.28515625" style="58" customWidth="1"/>
    <col min="1791" max="1791" width="11.7109375" style="58" customWidth="1"/>
    <col min="1792" max="1792" width="14.28515625" style="58" customWidth="1"/>
    <col min="1793" max="1794" width="11.7109375" style="58" customWidth="1"/>
    <col min="1795" max="2035" width="9.28515625" style="58"/>
    <col min="2036" max="2036" width="0.28515625" style="58" customWidth="1"/>
    <col min="2037" max="2037" width="25.7109375" style="58" customWidth="1"/>
    <col min="2038" max="2038" width="18.7109375" style="58" customWidth="1"/>
    <col min="2039" max="2039" width="14.7109375" style="58" customWidth="1"/>
    <col min="2040" max="2040" width="16.7109375" style="58" bestFit="1" customWidth="1"/>
    <col min="2041" max="2041" width="18.5703125" style="58" customWidth="1"/>
    <col min="2042" max="2042" width="17.42578125" style="58" customWidth="1"/>
    <col min="2043" max="2043" width="0.28515625" style="58" customWidth="1"/>
    <col min="2044" max="2044" width="16" style="58" bestFit="1" customWidth="1"/>
    <col min="2045" max="2045" width="16" style="58" customWidth="1"/>
    <col min="2046" max="2046" width="14.28515625" style="58" customWidth="1"/>
    <col min="2047" max="2047" width="11.7109375" style="58" customWidth="1"/>
    <col min="2048" max="2048" width="14.28515625" style="58" customWidth="1"/>
    <col min="2049" max="2050" width="11.7109375" style="58" customWidth="1"/>
    <col min="2051" max="2291" width="9.28515625" style="58"/>
    <col min="2292" max="2292" width="0.28515625" style="58" customWidth="1"/>
    <col min="2293" max="2293" width="25.7109375" style="58" customWidth="1"/>
    <col min="2294" max="2294" width="18.7109375" style="58" customWidth="1"/>
    <col min="2295" max="2295" width="14.7109375" style="58" customWidth="1"/>
    <col min="2296" max="2296" width="16.7109375" style="58" bestFit="1" customWidth="1"/>
    <col min="2297" max="2297" width="18.5703125" style="58" customWidth="1"/>
    <col min="2298" max="2298" width="17.42578125" style="58" customWidth="1"/>
    <col min="2299" max="2299" width="0.28515625" style="58" customWidth="1"/>
    <col min="2300" max="2300" width="16" style="58" bestFit="1" customWidth="1"/>
    <col min="2301" max="2301" width="16" style="58" customWidth="1"/>
    <col min="2302" max="2302" width="14.28515625" style="58" customWidth="1"/>
    <col min="2303" max="2303" width="11.7109375" style="58" customWidth="1"/>
    <col min="2304" max="2304" width="14.28515625" style="58" customWidth="1"/>
    <col min="2305" max="2306" width="11.7109375" style="58" customWidth="1"/>
    <col min="2307" max="2547" width="9.28515625" style="58"/>
    <col min="2548" max="2548" width="0.28515625" style="58" customWidth="1"/>
    <col min="2549" max="2549" width="25.7109375" style="58" customWidth="1"/>
    <col min="2550" max="2550" width="18.7109375" style="58" customWidth="1"/>
    <col min="2551" max="2551" width="14.7109375" style="58" customWidth="1"/>
    <col min="2552" max="2552" width="16.7109375" style="58" bestFit="1" customWidth="1"/>
    <col min="2553" max="2553" width="18.5703125" style="58" customWidth="1"/>
    <col min="2554" max="2554" width="17.42578125" style="58" customWidth="1"/>
    <col min="2555" max="2555" width="0.28515625" style="58" customWidth="1"/>
    <col min="2556" max="2556" width="16" style="58" bestFit="1" customWidth="1"/>
    <col min="2557" max="2557" width="16" style="58" customWidth="1"/>
    <col min="2558" max="2558" width="14.28515625" style="58" customWidth="1"/>
    <col min="2559" max="2559" width="11.7109375" style="58" customWidth="1"/>
    <col min="2560" max="2560" width="14.28515625" style="58" customWidth="1"/>
    <col min="2561" max="2562" width="11.7109375" style="58" customWidth="1"/>
    <col min="2563" max="2803" width="9.28515625" style="58"/>
    <col min="2804" max="2804" width="0.28515625" style="58" customWidth="1"/>
    <col min="2805" max="2805" width="25.7109375" style="58" customWidth="1"/>
    <col min="2806" max="2806" width="18.7109375" style="58" customWidth="1"/>
    <col min="2807" max="2807" width="14.7109375" style="58" customWidth="1"/>
    <col min="2808" max="2808" width="16.7109375" style="58" bestFit="1" customWidth="1"/>
    <col min="2809" max="2809" width="18.5703125" style="58" customWidth="1"/>
    <col min="2810" max="2810" width="17.42578125" style="58" customWidth="1"/>
    <col min="2811" max="2811" width="0.28515625" style="58" customWidth="1"/>
    <col min="2812" max="2812" width="16" style="58" bestFit="1" customWidth="1"/>
    <col min="2813" max="2813" width="16" style="58" customWidth="1"/>
    <col min="2814" max="2814" width="14.28515625" style="58" customWidth="1"/>
    <col min="2815" max="2815" width="11.7109375" style="58" customWidth="1"/>
    <col min="2816" max="2816" width="14.28515625" style="58" customWidth="1"/>
    <col min="2817" max="2818" width="11.7109375" style="58" customWidth="1"/>
    <col min="2819" max="3059" width="9.28515625" style="58"/>
    <col min="3060" max="3060" width="0.28515625" style="58" customWidth="1"/>
    <col min="3061" max="3061" width="25.7109375" style="58" customWidth="1"/>
    <col min="3062" max="3062" width="18.7109375" style="58" customWidth="1"/>
    <col min="3063" max="3063" width="14.7109375" style="58" customWidth="1"/>
    <col min="3064" max="3064" width="16.7109375" style="58" bestFit="1" customWidth="1"/>
    <col min="3065" max="3065" width="18.5703125" style="58" customWidth="1"/>
    <col min="3066" max="3066" width="17.42578125" style="58" customWidth="1"/>
    <col min="3067" max="3067" width="0.28515625" style="58" customWidth="1"/>
    <col min="3068" max="3068" width="16" style="58" bestFit="1" customWidth="1"/>
    <col min="3069" max="3069" width="16" style="58" customWidth="1"/>
    <col min="3070" max="3070" width="14.28515625" style="58" customWidth="1"/>
    <col min="3071" max="3071" width="11.7109375" style="58" customWidth="1"/>
    <col min="3072" max="3072" width="14.28515625" style="58" customWidth="1"/>
    <col min="3073" max="3074" width="11.7109375" style="58" customWidth="1"/>
    <col min="3075" max="3315" width="9.28515625" style="58"/>
    <col min="3316" max="3316" width="0.28515625" style="58" customWidth="1"/>
    <col min="3317" max="3317" width="25.7109375" style="58" customWidth="1"/>
    <col min="3318" max="3318" width="18.7109375" style="58" customWidth="1"/>
    <col min="3319" max="3319" width="14.7109375" style="58" customWidth="1"/>
    <col min="3320" max="3320" width="16.7109375" style="58" bestFit="1" customWidth="1"/>
    <col min="3321" max="3321" width="18.5703125" style="58" customWidth="1"/>
    <col min="3322" max="3322" width="17.42578125" style="58" customWidth="1"/>
    <col min="3323" max="3323" width="0.28515625" style="58" customWidth="1"/>
    <col min="3324" max="3324" width="16" style="58" bestFit="1" customWidth="1"/>
    <col min="3325" max="3325" width="16" style="58" customWidth="1"/>
    <col min="3326" max="3326" width="14.28515625" style="58" customWidth="1"/>
    <col min="3327" max="3327" width="11.7109375" style="58" customWidth="1"/>
    <col min="3328" max="3328" width="14.28515625" style="58" customWidth="1"/>
    <col min="3329" max="3330" width="11.7109375" style="58" customWidth="1"/>
    <col min="3331" max="3571" width="9.28515625" style="58"/>
    <col min="3572" max="3572" width="0.28515625" style="58" customWidth="1"/>
    <col min="3573" max="3573" width="25.7109375" style="58" customWidth="1"/>
    <col min="3574" max="3574" width="18.7109375" style="58" customWidth="1"/>
    <col min="3575" max="3575" width="14.7109375" style="58" customWidth="1"/>
    <col min="3576" max="3576" width="16.7109375" style="58" bestFit="1" customWidth="1"/>
    <col min="3577" max="3577" width="18.5703125" style="58" customWidth="1"/>
    <col min="3578" max="3578" width="17.42578125" style="58" customWidth="1"/>
    <col min="3579" max="3579" width="0.28515625" style="58" customWidth="1"/>
    <col min="3580" max="3580" width="16" style="58" bestFit="1" customWidth="1"/>
    <col min="3581" max="3581" width="16" style="58" customWidth="1"/>
    <col min="3582" max="3582" width="14.28515625" style="58" customWidth="1"/>
    <col min="3583" max="3583" width="11.7109375" style="58" customWidth="1"/>
    <col min="3584" max="3584" width="14.28515625" style="58" customWidth="1"/>
    <col min="3585" max="3586" width="11.7109375" style="58" customWidth="1"/>
    <col min="3587" max="3827" width="9.28515625" style="58"/>
    <col min="3828" max="3828" width="0.28515625" style="58" customWidth="1"/>
    <col min="3829" max="3829" width="25.7109375" style="58" customWidth="1"/>
    <col min="3830" max="3830" width="18.7109375" style="58" customWidth="1"/>
    <col min="3831" max="3831" width="14.7109375" style="58" customWidth="1"/>
    <col min="3832" max="3832" width="16.7109375" style="58" bestFit="1" customWidth="1"/>
    <col min="3833" max="3833" width="18.5703125" style="58" customWidth="1"/>
    <col min="3834" max="3834" width="17.42578125" style="58" customWidth="1"/>
    <col min="3835" max="3835" width="0.28515625" style="58" customWidth="1"/>
    <col min="3836" max="3836" width="16" style="58" bestFit="1" customWidth="1"/>
    <col min="3837" max="3837" width="16" style="58" customWidth="1"/>
    <col min="3838" max="3838" width="14.28515625" style="58" customWidth="1"/>
    <col min="3839" max="3839" width="11.7109375" style="58" customWidth="1"/>
    <col min="3840" max="3840" width="14.28515625" style="58" customWidth="1"/>
    <col min="3841" max="3842" width="11.7109375" style="58" customWidth="1"/>
    <col min="3843" max="4083" width="9.28515625" style="58"/>
    <col min="4084" max="4084" width="0.28515625" style="58" customWidth="1"/>
    <col min="4085" max="4085" width="25.7109375" style="58" customWidth="1"/>
    <col min="4086" max="4086" width="18.7109375" style="58" customWidth="1"/>
    <col min="4087" max="4087" width="14.7109375" style="58" customWidth="1"/>
    <col min="4088" max="4088" width="16.7109375" style="58" bestFit="1" customWidth="1"/>
    <col min="4089" max="4089" width="18.5703125" style="58" customWidth="1"/>
    <col min="4090" max="4090" width="17.42578125" style="58" customWidth="1"/>
    <col min="4091" max="4091" width="0.28515625" style="58" customWidth="1"/>
    <col min="4092" max="4092" width="16" style="58" bestFit="1" customWidth="1"/>
    <col min="4093" max="4093" width="16" style="58" customWidth="1"/>
    <col min="4094" max="4094" width="14.28515625" style="58" customWidth="1"/>
    <col min="4095" max="4095" width="11.7109375" style="58" customWidth="1"/>
    <col min="4096" max="4096" width="14.28515625" style="58" customWidth="1"/>
    <col min="4097" max="4098" width="11.7109375" style="58" customWidth="1"/>
    <col min="4099" max="4339" width="9.28515625" style="58"/>
    <col min="4340" max="4340" width="0.28515625" style="58" customWidth="1"/>
    <col min="4341" max="4341" width="25.7109375" style="58" customWidth="1"/>
    <col min="4342" max="4342" width="18.7109375" style="58" customWidth="1"/>
    <col min="4343" max="4343" width="14.7109375" style="58" customWidth="1"/>
    <col min="4344" max="4344" width="16.7109375" style="58" bestFit="1" customWidth="1"/>
    <col min="4345" max="4345" width="18.5703125" style="58" customWidth="1"/>
    <col min="4346" max="4346" width="17.42578125" style="58" customWidth="1"/>
    <col min="4347" max="4347" width="0.28515625" style="58" customWidth="1"/>
    <col min="4348" max="4348" width="16" style="58" bestFit="1" customWidth="1"/>
    <col min="4349" max="4349" width="16" style="58" customWidth="1"/>
    <col min="4350" max="4350" width="14.28515625" style="58" customWidth="1"/>
    <col min="4351" max="4351" width="11.7109375" style="58" customWidth="1"/>
    <col min="4352" max="4352" width="14.28515625" style="58" customWidth="1"/>
    <col min="4353" max="4354" width="11.7109375" style="58" customWidth="1"/>
    <col min="4355" max="4595" width="9.28515625" style="58"/>
    <col min="4596" max="4596" width="0.28515625" style="58" customWidth="1"/>
    <col min="4597" max="4597" width="25.7109375" style="58" customWidth="1"/>
    <col min="4598" max="4598" width="18.7109375" style="58" customWidth="1"/>
    <col min="4599" max="4599" width="14.7109375" style="58" customWidth="1"/>
    <col min="4600" max="4600" width="16.7109375" style="58" bestFit="1" customWidth="1"/>
    <col min="4601" max="4601" width="18.5703125" style="58" customWidth="1"/>
    <col min="4602" max="4602" width="17.42578125" style="58" customWidth="1"/>
    <col min="4603" max="4603" width="0.28515625" style="58" customWidth="1"/>
    <col min="4604" max="4604" width="16" style="58" bestFit="1" customWidth="1"/>
    <col min="4605" max="4605" width="16" style="58" customWidth="1"/>
    <col min="4606" max="4606" width="14.28515625" style="58" customWidth="1"/>
    <col min="4607" max="4607" width="11.7109375" style="58" customWidth="1"/>
    <col min="4608" max="4608" width="14.28515625" style="58" customWidth="1"/>
    <col min="4609" max="4610" width="11.7109375" style="58" customWidth="1"/>
    <col min="4611" max="4851" width="9.28515625" style="58"/>
    <col min="4852" max="4852" width="0.28515625" style="58" customWidth="1"/>
    <col min="4853" max="4853" width="25.7109375" style="58" customWidth="1"/>
    <col min="4854" max="4854" width="18.7109375" style="58" customWidth="1"/>
    <col min="4855" max="4855" width="14.7109375" style="58" customWidth="1"/>
    <col min="4856" max="4856" width="16.7109375" style="58" bestFit="1" customWidth="1"/>
    <col min="4857" max="4857" width="18.5703125" style="58" customWidth="1"/>
    <col min="4858" max="4858" width="17.42578125" style="58" customWidth="1"/>
    <col min="4859" max="4859" width="0.28515625" style="58" customWidth="1"/>
    <col min="4860" max="4860" width="16" style="58" bestFit="1" customWidth="1"/>
    <col min="4861" max="4861" width="16" style="58" customWidth="1"/>
    <col min="4862" max="4862" width="14.28515625" style="58" customWidth="1"/>
    <col min="4863" max="4863" width="11.7109375" style="58" customWidth="1"/>
    <col min="4864" max="4864" width="14.28515625" style="58" customWidth="1"/>
    <col min="4865" max="4866" width="11.7109375" style="58" customWidth="1"/>
    <col min="4867" max="5107" width="9.28515625" style="58"/>
    <col min="5108" max="5108" width="0.28515625" style="58" customWidth="1"/>
    <col min="5109" max="5109" width="25.7109375" style="58" customWidth="1"/>
    <col min="5110" max="5110" width="18.7109375" style="58" customWidth="1"/>
    <col min="5111" max="5111" width="14.7109375" style="58" customWidth="1"/>
    <col min="5112" max="5112" width="16.7109375" style="58" bestFit="1" customWidth="1"/>
    <col min="5113" max="5113" width="18.5703125" style="58" customWidth="1"/>
    <col min="5114" max="5114" width="17.42578125" style="58" customWidth="1"/>
    <col min="5115" max="5115" width="0.28515625" style="58" customWidth="1"/>
    <col min="5116" max="5116" width="16" style="58" bestFit="1" customWidth="1"/>
    <col min="5117" max="5117" width="16" style="58" customWidth="1"/>
    <col min="5118" max="5118" width="14.28515625" style="58" customWidth="1"/>
    <col min="5119" max="5119" width="11.7109375" style="58" customWidth="1"/>
    <col min="5120" max="5120" width="14.28515625" style="58" customWidth="1"/>
    <col min="5121" max="5122" width="11.7109375" style="58" customWidth="1"/>
    <col min="5123" max="5363" width="9.28515625" style="58"/>
    <col min="5364" max="5364" width="0.28515625" style="58" customWidth="1"/>
    <col min="5365" max="5365" width="25.7109375" style="58" customWidth="1"/>
    <col min="5366" max="5366" width="18.7109375" style="58" customWidth="1"/>
    <col min="5367" max="5367" width="14.7109375" style="58" customWidth="1"/>
    <col min="5368" max="5368" width="16.7109375" style="58" bestFit="1" customWidth="1"/>
    <col min="5369" max="5369" width="18.5703125" style="58" customWidth="1"/>
    <col min="5370" max="5370" width="17.42578125" style="58" customWidth="1"/>
    <col min="5371" max="5371" width="0.28515625" style="58" customWidth="1"/>
    <col min="5372" max="5372" width="16" style="58" bestFit="1" customWidth="1"/>
    <col min="5373" max="5373" width="16" style="58" customWidth="1"/>
    <col min="5374" max="5374" width="14.28515625" style="58" customWidth="1"/>
    <col min="5375" max="5375" width="11.7109375" style="58" customWidth="1"/>
    <col min="5376" max="5376" width="14.28515625" style="58" customWidth="1"/>
    <col min="5377" max="5378" width="11.7109375" style="58" customWidth="1"/>
    <col min="5379" max="5619" width="9.28515625" style="58"/>
    <col min="5620" max="5620" width="0.28515625" style="58" customWidth="1"/>
    <col min="5621" max="5621" width="25.7109375" style="58" customWidth="1"/>
    <col min="5622" max="5622" width="18.7109375" style="58" customWidth="1"/>
    <col min="5623" max="5623" width="14.7109375" style="58" customWidth="1"/>
    <col min="5624" max="5624" width="16.7109375" style="58" bestFit="1" customWidth="1"/>
    <col min="5625" max="5625" width="18.5703125" style="58" customWidth="1"/>
    <col min="5626" max="5626" width="17.42578125" style="58" customWidth="1"/>
    <col min="5627" max="5627" width="0.28515625" style="58" customWidth="1"/>
    <col min="5628" max="5628" width="16" style="58" bestFit="1" customWidth="1"/>
    <col min="5629" max="5629" width="16" style="58" customWidth="1"/>
    <col min="5630" max="5630" width="14.28515625" style="58" customWidth="1"/>
    <col min="5631" max="5631" width="11.7109375" style="58" customWidth="1"/>
    <col min="5632" max="5632" width="14.28515625" style="58" customWidth="1"/>
    <col min="5633" max="5634" width="11.7109375" style="58" customWidth="1"/>
    <col min="5635" max="5875" width="9.28515625" style="58"/>
    <col min="5876" max="5876" width="0.28515625" style="58" customWidth="1"/>
    <col min="5877" max="5877" width="25.7109375" style="58" customWidth="1"/>
    <col min="5878" max="5878" width="18.7109375" style="58" customWidth="1"/>
    <col min="5879" max="5879" width="14.7109375" style="58" customWidth="1"/>
    <col min="5880" max="5880" width="16.7109375" style="58" bestFit="1" customWidth="1"/>
    <col min="5881" max="5881" width="18.5703125" style="58" customWidth="1"/>
    <col min="5882" max="5882" width="17.42578125" style="58" customWidth="1"/>
    <col min="5883" max="5883" width="0.28515625" style="58" customWidth="1"/>
    <col min="5884" max="5884" width="16" style="58" bestFit="1" customWidth="1"/>
    <col min="5885" max="5885" width="16" style="58" customWidth="1"/>
    <col min="5886" max="5886" width="14.28515625" style="58" customWidth="1"/>
    <col min="5887" max="5887" width="11.7109375" style="58" customWidth="1"/>
    <col min="5888" max="5888" width="14.28515625" style="58" customWidth="1"/>
    <col min="5889" max="5890" width="11.7109375" style="58" customWidth="1"/>
    <col min="5891" max="6131" width="9.28515625" style="58"/>
    <col min="6132" max="6132" width="0.28515625" style="58" customWidth="1"/>
    <col min="6133" max="6133" width="25.7109375" style="58" customWidth="1"/>
    <col min="6134" max="6134" width="18.7109375" style="58" customWidth="1"/>
    <col min="6135" max="6135" width="14.7109375" style="58" customWidth="1"/>
    <col min="6136" max="6136" width="16.7109375" style="58" bestFit="1" customWidth="1"/>
    <col min="6137" max="6137" width="18.5703125" style="58" customWidth="1"/>
    <col min="6138" max="6138" width="17.42578125" style="58" customWidth="1"/>
    <col min="6139" max="6139" width="0.28515625" style="58" customWidth="1"/>
    <col min="6140" max="6140" width="16" style="58" bestFit="1" customWidth="1"/>
    <col min="6141" max="6141" width="16" style="58" customWidth="1"/>
    <col min="6142" max="6142" width="14.28515625" style="58" customWidth="1"/>
    <col min="6143" max="6143" width="11.7109375" style="58" customWidth="1"/>
    <col min="6144" max="6144" width="14.28515625" style="58" customWidth="1"/>
    <col min="6145" max="6146" width="11.7109375" style="58" customWidth="1"/>
    <col min="6147" max="6387" width="9.28515625" style="58"/>
    <col min="6388" max="6388" width="0.28515625" style="58" customWidth="1"/>
    <col min="6389" max="6389" width="25.7109375" style="58" customWidth="1"/>
    <col min="6390" max="6390" width="18.7109375" style="58" customWidth="1"/>
    <col min="6391" max="6391" width="14.7109375" style="58" customWidth="1"/>
    <col min="6392" max="6392" width="16.7109375" style="58" bestFit="1" customWidth="1"/>
    <col min="6393" max="6393" width="18.5703125" style="58" customWidth="1"/>
    <col min="6394" max="6394" width="17.42578125" style="58" customWidth="1"/>
    <col min="6395" max="6395" width="0.28515625" style="58" customWidth="1"/>
    <col min="6396" max="6396" width="16" style="58" bestFit="1" customWidth="1"/>
    <col min="6397" max="6397" width="16" style="58" customWidth="1"/>
    <col min="6398" max="6398" width="14.28515625" style="58" customWidth="1"/>
    <col min="6399" max="6399" width="11.7109375" style="58" customWidth="1"/>
    <col min="6400" max="6400" width="14.28515625" style="58" customWidth="1"/>
    <col min="6401" max="6402" width="11.7109375" style="58" customWidth="1"/>
    <col min="6403" max="6643" width="9.28515625" style="58"/>
    <col min="6644" max="6644" width="0.28515625" style="58" customWidth="1"/>
    <col min="6645" max="6645" width="25.7109375" style="58" customWidth="1"/>
    <col min="6646" max="6646" width="18.7109375" style="58" customWidth="1"/>
    <col min="6647" max="6647" width="14.7109375" style="58" customWidth="1"/>
    <col min="6648" max="6648" width="16.7109375" style="58" bestFit="1" customWidth="1"/>
    <col min="6649" max="6649" width="18.5703125" style="58" customWidth="1"/>
    <col min="6650" max="6650" width="17.42578125" style="58" customWidth="1"/>
    <col min="6651" max="6651" width="0.28515625" style="58" customWidth="1"/>
    <col min="6652" max="6652" width="16" style="58" bestFit="1" customWidth="1"/>
    <col min="6653" max="6653" width="16" style="58" customWidth="1"/>
    <col min="6654" max="6654" width="14.28515625" style="58" customWidth="1"/>
    <col min="6655" max="6655" width="11.7109375" style="58" customWidth="1"/>
    <col min="6656" max="6656" width="14.28515625" style="58" customWidth="1"/>
    <col min="6657" max="6658" width="11.7109375" style="58" customWidth="1"/>
    <col min="6659" max="6899" width="9.28515625" style="58"/>
    <col min="6900" max="6900" width="0.28515625" style="58" customWidth="1"/>
    <col min="6901" max="6901" width="25.7109375" style="58" customWidth="1"/>
    <col min="6902" max="6902" width="18.7109375" style="58" customWidth="1"/>
    <col min="6903" max="6903" width="14.7109375" style="58" customWidth="1"/>
    <col min="6904" max="6904" width="16.7109375" style="58" bestFit="1" customWidth="1"/>
    <col min="6905" max="6905" width="18.5703125" style="58" customWidth="1"/>
    <col min="6906" max="6906" width="17.42578125" style="58" customWidth="1"/>
    <col min="6907" max="6907" width="0.28515625" style="58" customWidth="1"/>
    <col min="6908" max="6908" width="16" style="58" bestFit="1" customWidth="1"/>
    <col min="6909" max="6909" width="16" style="58" customWidth="1"/>
    <col min="6910" max="6910" width="14.28515625" style="58" customWidth="1"/>
    <col min="6911" max="6911" width="11.7109375" style="58" customWidth="1"/>
    <col min="6912" max="6912" width="14.28515625" style="58" customWidth="1"/>
    <col min="6913" max="6914" width="11.7109375" style="58" customWidth="1"/>
    <col min="6915" max="7155" width="9.28515625" style="58"/>
    <col min="7156" max="7156" width="0.28515625" style="58" customWidth="1"/>
    <col min="7157" max="7157" width="25.7109375" style="58" customWidth="1"/>
    <col min="7158" max="7158" width="18.7109375" style="58" customWidth="1"/>
    <col min="7159" max="7159" width="14.7109375" style="58" customWidth="1"/>
    <col min="7160" max="7160" width="16.7109375" style="58" bestFit="1" customWidth="1"/>
    <col min="7161" max="7161" width="18.5703125" style="58" customWidth="1"/>
    <col min="7162" max="7162" width="17.42578125" style="58" customWidth="1"/>
    <col min="7163" max="7163" width="0.28515625" style="58" customWidth="1"/>
    <col min="7164" max="7164" width="16" style="58" bestFit="1" customWidth="1"/>
    <col min="7165" max="7165" width="16" style="58" customWidth="1"/>
    <col min="7166" max="7166" width="14.28515625" style="58" customWidth="1"/>
    <col min="7167" max="7167" width="11.7109375" style="58" customWidth="1"/>
    <col min="7168" max="7168" width="14.28515625" style="58" customWidth="1"/>
    <col min="7169" max="7170" width="11.7109375" style="58" customWidth="1"/>
    <col min="7171" max="7411" width="9.28515625" style="58"/>
    <col min="7412" max="7412" width="0.28515625" style="58" customWidth="1"/>
    <col min="7413" max="7413" width="25.7109375" style="58" customWidth="1"/>
    <col min="7414" max="7414" width="18.7109375" style="58" customWidth="1"/>
    <col min="7415" max="7415" width="14.7109375" style="58" customWidth="1"/>
    <col min="7416" max="7416" width="16.7109375" style="58" bestFit="1" customWidth="1"/>
    <col min="7417" max="7417" width="18.5703125" style="58" customWidth="1"/>
    <col min="7418" max="7418" width="17.42578125" style="58" customWidth="1"/>
    <col min="7419" max="7419" width="0.28515625" style="58" customWidth="1"/>
    <col min="7420" max="7420" width="16" style="58" bestFit="1" customWidth="1"/>
    <col min="7421" max="7421" width="16" style="58" customWidth="1"/>
    <col min="7422" max="7422" width="14.28515625" style="58" customWidth="1"/>
    <col min="7423" max="7423" width="11.7109375" style="58" customWidth="1"/>
    <col min="7424" max="7424" width="14.28515625" style="58" customWidth="1"/>
    <col min="7425" max="7426" width="11.7109375" style="58" customWidth="1"/>
    <col min="7427" max="7667" width="9.28515625" style="58"/>
    <col min="7668" max="7668" width="0.28515625" style="58" customWidth="1"/>
    <col min="7669" max="7669" width="25.7109375" style="58" customWidth="1"/>
    <col min="7670" max="7670" width="18.7109375" style="58" customWidth="1"/>
    <col min="7671" max="7671" width="14.7109375" style="58" customWidth="1"/>
    <col min="7672" max="7672" width="16.7109375" style="58" bestFit="1" customWidth="1"/>
    <col min="7673" max="7673" width="18.5703125" style="58" customWidth="1"/>
    <col min="7674" max="7674" width="17.42578125" style="58" customWidth="1"/>
    <col min="7675" max="7675" width="0.28515625" style="58" customWidth="1"/>
    <col min="7676" max="7676" width="16" style="58" bestFit="1" customWidth="1"/>
    <col min="7677" max="7677" width="16" style="58" customWidth="1"/>
    <col min="7678" max="7678" width="14.28515625" style="58" customWidth="1"/>
    <col min="7679" max="7679" width="11.7109375" style="58" customWidth="1"/>
    <col min="7680" max="7680" width="14.28515625" style="58" customWidth="1"/>
    <col min="7681" max="7682" width="11.7109375" style="58" customWidth="1"/>
    <col min="7683" max="7923" width="9.28515625" style="58"/>
    <col min="7924" max="7924" width="0.28515625" style="58" customWidth="1"/>
    <col min="7925" max="7925" width="25.7109375" style="58" customWidth="1"/>
    <col min="7926" max="7926" width="18.7109375" style="58" customWidth="1"/>
    <col min="7927" max="7927" width="14.7109375" style="58" customWidth="1"/>
    <col min="7928" max="7928" width="16.7109375" style="58" bestFit="1" customWidth="1"/>
    <col min="7929" max="7929" width="18.5703125" style="58" customWidth="1"/>
    <col min="7930" max="7930" width="17.42578125" style="58" customWidth="1"/>
    <col min="7931" max="7931" width="0.28515625" style="58" customWidth="1"/>
    <col min="7932" max="7932" width="16" style="58" bestFit="1" customWidth="1"/>
    <col min="7933" max="7933" width="16" style="58" customWidth="1"/>
    <col min="7934" max="7934" width="14.28515625" style="58" customWidth="1"/>
    <col min="7935" max="7935" width="11.7109375" style="58" customWidth="1"/>
    <col min="7936" max="7936" width="14.28515625" style="58" customWidth="1"/>
    <col min="7937" max="7938" width="11.7109375" style="58" customWidth="1"/>
    <col min="7939" max="8179" width="9.28515625" style="58"/>
    <col min="8180" max="8180" width="0.28515625" style="58" customWidth="1"/>
    <col min="8181" max="8181" width="25.7109375" style="58" customWidth="1"/>
    <col min="8182" max="8182" width="18.7109375" style="58" customWidth="1"/>
    <col min="8183" max="8183" width="14.7109375" style="58" customWidth="1"/>
    <col min="8184" max="8184" width="16.7109375" style="58" bestFit="1" customWidth="1"/>
    <col min="8185" max="8185" width="18.5703125" style="58" customWidth="1"/>
    <col min="8186" max="8186" width="17.42578125" style="58" customWidth="1"/>
    <col min="8187" max="8187" width="0.28515625" style="58" customWidth="1"/>
    <col min="8188" max="8188" width="16" style="58" bestFit="1" customWidth="1"/>
    <col min="8189" max="8189" width="16" style="58" customWidth="1"/>
    <col min="8190" max="8190" width="14.28515625" style="58" customWidth="1"/>
    <col min="8191" max="8191" width="11.7109375" style="58" customWidth="1"/>
    <col min="8192" max="8192" width="14.28515625" style="58" customWidth="1"/>
    <col min="8193" max="8194" width="11.7109375" style="58" customWidth="1"/>
    <col min="8195" max="8435" width="9.28515625" style="58"/>
    <col min="8436" max="8436" width="0.28515625" style="58" customWidth="1"/>
    <col min="8437" max="8437" width="25.7109375" style="58" customWidth="1"/>
    <col min="8438" max="8438" width="18.7109375" style="58" customWidth="1"/>
    <col min="8439" max="8439" width="14.7109375" style="58" customWidth="1"/>
    <col min="8440" max="8440" width="16.7109375" style="58" bestFit="1" customWidth="1"/>
    <col min="8441" max="8441" width="18.5703125" style="58" customWidth="1"/>
    <col min="8442" max="8442" width="17.42578125" style="58" customWidth="1"/>
    <col min="8443" max="8443" width="0.28515625" style="58" customWidth="1"/>
    <col min="8444" max="8444" width="16" style="58" bestFit="1" customWidth="1"/>
    <col min="8445" max="8445" width="16" style="58" customWidth="1"/>
    <col min="8446" max="8446" width="14.28515625" style="58" customWidth="1"/>
    <col min="8447" max="8447" width="11.7109375" style="58" customWidth="1"/>
    <col min="8448" max="8448" width="14.28515625" style="58" customWidth="1"/>
    <col min="8449" max="8450" width="11.7109375" style="58" customWidth="1"/>
    <col min="8451" max="8691" width="9.28515625" style="58"/>
    <col min="8692" max="8692" width="0.28515625" style="58" customWidth="1"/>
    <col min="8693" max="8693" width="25.7109375" style="58" customWidth="1"/>
    <col min="8694" max="8694" width="18.7109375" style="58" customWidth="1"/>
    <col min="8695" max="8695" width="14.7109375" style="58" customWidth="1"/>
    <col min="8696" max="8696" width="16.7109375" style="58" bestFit="1" customWidth="1"/>
    <col min="8697" max="8697" width="18.5703125" style="58" customWidth="1"/>
    <col min="8698" max="8698" width="17.42578125" style="58" customWidth="1"/>
    <col min="8699" max="8699" width="0.28515625" style="58" customWidth="1"/>
    <col min="8700" max="8700" width="16" style="58" bestFit="1" customWidth="1"/>
    <col min="8701" max="8701" width="16" style="58" customWidth="1"/>
    <col min="8702" max="8702" width="14.28515625" style="58" customWidth="1"/>
    <col min="8703" max="8703" width="11.7109375" style="58" customWidth="1"/>
    <col min="8704" max="8704" width="14.28515625" style="58" customWidth="1"/>
    <col min="8705" max="8706" width="11.7109375" style="58" customWidth="1"/>
    <col min="8707" max="8947" width="9.28515625" style="58"/>
    <col min="8948" max="8948" width="0.28515625" style="58" customWidth="1"/>
    <col min="8949" max="8949" width="25.7109375" style="58" customWidth="1"/>
    <col min="8950" max="8950" width="18.7109375" style="58" customWidth="1"/>
    <col min="8951" max="8951" width="14.7109375" style="58" customWidth="1"/>
    <col min="8952" max="8952" width="16.7109375" style="58" bestFit="1" customWidth="1"/>
    <col min="8953" max="8953" width="18.5703125" style="58" customWidth="1"/>
    <col min="8954" max="8954" width="17.42578125" style="58" customWidth="1"/>
    <col min="8955" max="8955" width="0.28515625" style="58" customWidth="1"/>
    <col min="8956" max="8956" width="16" style="58" bestFit="1" customWidth="1"/>
    <col min="8957" max="8957" width="16" style="58" customWidth="1"/>
    <col min="8958" max="8958" width="14.28515625" style="58" customWidth="1"/>
    <col min="8959" max="8959" width="11.7109375" style="58" customWidth="1"/>
    <col min="8960" max="8960" width="14.28515625" style="58" customWidth="1"/>
    <col min="8961" max="8962" width="11.7109375" style="58" customWidth="1"/>
    <col min="8963" max="9203" width="9.28515625" style="58"/>
    <col min="9204" max="9204" width="0.28515625" style="58" customWidth="1"/>
    <col min="9205" max="9205" width="25.7109375" style="58" customWidth="1"/>
    <col min="9206" max="9206" width="18.7109375" style="58" customWidth="1"/>
    <col min="9207" max="9207" width="14.7109375" style="58" customWidth="1"/>
    <col min="9208" max="9208" width="16.7109375" style="58" bestFit="1" customWidth="1"/>
    <col min="9209" max="9209" width="18.5703125" style="58" customWidth="1"/>
    <col min="9210" max="9210" width="17.42578125" style="58" customWidth="1"/>
    <col min="9211" max="9211" width="0.28515625" style="58" customWidth="1"/>
    <col min="9212" max="9212" width="16" style="58" bestFit="1" customWidth="1"/>
    <col min="9213" max="9213" width="16" style="58" customWidth="1"/>
    <col min="9214" max="9214" width="14.28515625" style="58" customWidth="1"/>
    <col min="9215" max="9215" width="11.7109375" style="58" customWidth="1"/>
    <col min="9216" max="9216" width="14.28515625" style="58" customWidth="1"/>
    <col min="9217" max="9218" width="11.7109375" style="58" customWidth="1"/>
    <col min="9219" max="9459" width="9.28515625" style="58"/>
    <col min="9460" max="9460" width="0.28515625" style="58" customWidth="1"/>
    <col min="9461" max="9461" width="25.7109375" style="58" customWidth="1"/>
    <col min="9462" max="9462" width="18.7109375" style="58" customWidth="1"/>
    <col min="9463" max="9463" width="14.7109375" style="58" customWidth="1"/>
    <col min="9464" max="9464" width="16.7109375" style="58" bestFit="1" customWidth="1"/>
    <col min="9465" max="9465" width="18.5703125" style="58" customWidth="1"/>
    <col min="9466" max="9466" width="17.42578125" style="58" customWidth="1"/>
    <col min="9467" max="9467" width="0.28515625" style="58" customWidth="1"/>
    <col min="9468" max="9468" width="16" style="58" bestFit="1" customWidth="1"/>
    <col min="9469" max="9469" width="16" style="58" customWidth="1"/>
    <col min="9470" max="9470" width="14.28515625" style="58" customWidth="1"/>
    <col min="9471" max="9471" width="11.7109375" style="58" customWidth="1"/>
    <col min="9472" max="9472" width="14.28515625" style="58" customWidth="1"/>
    <col min="9473" max="9474" width="11.7109375" style="58" customWidth="1"/>
    <col min="9475" max="9715" width="9.28515625" style="58"/>
    <col min="9716" max="9716" width="0.28515625" style="58" customWidth="1"/>
    <col min="9717" max="9717" width="25.7109375" style="58" customWidth="1"/>
    <col min="9718" max="9718" width="18.7109375" style="58" customWidth="1"/>
    <col min="9719" max="9719" width="14.7109375" style="58" customWidth="1"/>
    <col min="9720" max="9720" width="16.7109375" style="58" bestFit="1" customWidth="1"/>
    <col min="9721" max="9721" width="18.5703125" style="58" customWidth="1"/>
    <col min="9722" max="9722" width="17.42578125" style="58" customWidth="1"/>
    <col min="9723" max="9723" width="0.28515625" style="58" customWidth="1"/>
    <col min="9724" max="9724" width="16" style="58" bestFit="1" customWidth="1"/>
    <col min="9725" max="9725" width="16" style="58" customWidth="1"/>
    <col min="9726" max="9726" width="14.28515625" style="58" customWidth="1"/>
    <col min="9727" max="9727" width="11.7109375" style="58" customWidth="1"/>
    <col min="9728" max="9728" width="14.28515625" style="58" customWidth="1"/>
    <col min="9729" max="9730" width="11.7109375" style="58" customWidth="1"/>
    <col min="9731" max="9971" width="9.28515625" style="58"/>
    <col min="9972" max="9972" width="0.28515625" style="58" customWidth="1"/>
    <col min="9973" max="9973" width="25.7109375" style="58" customWidth="1"/>
    <col min="9974" max="9974" width="18.7109375" style="58" customWidth="1"/>
    <col min="9975" max="9975" width="14.7109375" style="58" customWidth="1"/>
    <col min="9976" max="9976" width="16.7109375" style="58" bestFit="1" customWidth="1"/>
    <col min="9977" max="9977" width="18.5703125" style="58" customWidth="1"/>
    <col min="9978" max="9978" width="17.42578125" style="58" customWidth="1"/>
    <col min="9979" max="9979" width="0.28515625" style="58" customWidth="1"/>
    <col min="9980" max="9980" width="16" style="58" bestFit="1" customWidth="1"/>
    <col min="9981" max="9981" width="16" style="58" customWidth="1"/>
    <col min="9982" max="9982" width="14.28515625" style="58" customWidth="1"/>
    <col min="9983" max="9983" width="11.7109375" style="58" customWidth="1"/>
    <col min="9984" max="9984" width="14.28515625" style="58" customWidth="1"/>
    <col min="9985" max="9986" width="11.7109375" style="58" customWidth="1"/>
    <col min="9987" max="10227" width="9.28515625" style="58"/>
    <col min="10228" max="10228" width="0.28515625" style="58" customWidth="1"/>
    <col min="10229" max="10229" width="25.7109375" style="58" customWidth="1"/>
    <col min="10230" max="10230" width="18.7109375" style="58" customWidth="1"/>
    <col min="10231" max="10231" width="14.7109375" style="58" customWidth="1"/>
    <col min="10232" max="10232" width="16.7109375" style="58" bestFit="1" customWidth="1"/>
    <col min="10233" max="10233" width="18.5703125" style="58" customWidth="1"/>
    <col min="10234" max="10234" width="17.42578125" style="58" customWidth="1"/>
    <col min="10235" max="10235" width="0.28515625" style="58" customWidth="1"/>
    <col min="10236" max="10236" width="16" style="58" bestFit="1" customWidth="1"/>
    <col min="10237" max="10237" width="16" style="58" customWidth="1"/>
    <col min="10238" max="10238" width="14.28515625" style="58" customWidth="1"/>
    <col min="10239" max="10239" width="11.7109375" style="58" customWidth="1"/>
    <col min="10240" max="10240" width="14.28515625" style="58" customWidth="1"/>
    <col min="10241" max="10242" width="11.7109375" style="58" customWidth="1"/>
    <col min="10243" max="10483" width="9.28515625" style="58"/>
    <col min="10484" max="10484" width="0.28515625" style="58" customWidth="1"/>
    <col min="10485" max="10485" width="25.7109375" style="58" customWidth="1"/>
    <col min="10486" max="10486" width="18.7109375" style="58" customWidth="1"/>
    <col min="10487" max="10487" width="14.7109375" style="58" customWidth="1"/>
    <col min="10488" max="10488" width="16.7109375" style="58" bestFit="1" customWidth="1"/>
    <col min="10489" max="10489" width="18.5703125" style="58" customWidth="1"/>
    <col min="10490" max="10490" width="17.42578125" style="58" customWidth="1"/>
    <col min="10491" max="10491" width="0.28515625" style="58" customWidth="1"/>
    <col min="10492" max="10492" width="16" style="58" bestFit="1" customWidth="1"/>
    <col min="10493" max="10493" width="16" style="58" customWidth="1"/>
    <col min="10494" max="10494" width="14.28515625" style="58" customWidth="1"/>
    <col min="10495" max="10495" width="11.7109375" style="58" customWidth="1"/>
    <col min="10496" max="10496" width="14.28515625" style="58" customWidth="1"/>
    <col min="10497" max="10498" width="11.7109375" style="58" customWidth="1"/>
    <col min="10499" max="10739" width="9.28515625" style="58"/>
    <col min="10740" max="10740" width="0.28515625" style="58" customWidth="1"/>
    <col min="10741" max="10741" width="25.7109375" style="58" customWidth="1"/>
    <col min="10742" max="10742" width="18.7109375" style="58" customWidth="1"/>
    <col min="10743" max="10743" width="14.7109375" style="58" customWidth="1"/>
    <col min="10744" max="10744" width="16.7109375" style="58" bestFit="1" customWidth="1"/>
    <col min="10745" max="10745" width="18.5703125" style="58" customWidth="1"/>
    <col min="10746" max="10746" width="17.42578125" style="58" customWidth="1"/>
    <col min="10747" max="10747" width="0.28515625" style="58" customWidth="1"/>
    <col min="10748" max="10748" width="16" style="58" bestFit="1" customWidth="1"/>
    <col min="10749" max="10749" width="16" style="58" customWidth="1"/>
    <col min="10750" max="10750" width="14.28515625" style="58" customWidth="1"/>
    <col min="10751" max="10751" width="11.7109375" style="58" customWidth="1"/>
    <col min="10752" max="10752" width="14.28515625" style="58" customWidth="1"/>
    <col min="10753" max="10754" width="11.7109375" style="58" customWidth="1"/>
    <col min="10755" max="10995" width="9.28515625" style="58"/>
    <col min="10996" max="10996" width="0.28515625" style="58" customWidth="1"/>
    <col min="10997" max="10997" width="25.7109375" style="58" customWidth="1"/>
    <col min="10998" max="10998" width="18.7109375" style="58" customWidth="1"/>
    <col min="10999" max="10999" width="14.7109375" style="58" customWidth="1"/>
    <col min="11000" max="11000" width="16.7109375" style="58" bestFit="1" customWidth="1"/>
    <col min="11001" max="11001" width="18.5703125" style="58" customWidth="1"/>
    <col min="11002" max="11002" width="17.42578125" style="58" customWidth="1"/>
    <col min="11003" max="11003" width="0.28515625" style="58" customWidth="1"/>
    <col min="11004" max="11004" width="16" style="58" bestFit="1" customWidth="1"/>
    <col min="11005" max="11005" width="16" style="58" customWidth="1"/>
    <col min="11006" max="11006" width="14.28515625" style="58" customWidth="1"/>
    <col min="11007" max="11007" width="11.7109375" style="58" customWidth="1"/>
    <col min="11008" max="11008" width="14.28515625" style="58" customWidth="1"/>
    <col min="11009" max="11010" width="11.7109375" style="58" customWidth="1"/>
    <col min="11011" max="11251" width="9.28515625" style="58"/>
    <col min="11252" max="11252" width="0.28515625" style="58" customWidth="1"/>
    <col min="11253" max="11253" width="25.7109375" style="58" customWidth="1"/>
    <col min="11254" max="11254" width="18.7109375" style="58" customWidth="1"/>
    <col min="11255" max="11255" width="14.7109375" style="58" customWidth="1"/>
    <col min="11256" max="11256" width="16.7109375" style="58" bestFit="1" customWidth="1"/>
    <col min="11257" max="11257" width="18.5703125" style="58" customWidth="1"/>
    <col min="11258" max="11258" width="17.42578125" style="58" customWidth="1"/>
    <col min="11259" max="11259" width="0.28515625" style="58" customWidth="1"/>
    <col min="11260" max="11260" width="16" style="58" bestFit="1" customWidth="1"/>
    <col min="11261" max="11261" width="16" style="58" customWidth="1"/>
    <col min="11262" max="11262" width="14.28515625" style="58" customWidth="1"/>
    <col min="11263" max="11263" width="11.7109375" style="58" customWidth="1"/>
    <col min="11264" max="11264" width="14.28515625" style="58" customWidth="1"/>
    <col min="11265" max="11266" width="11.7109375" style="58" customWidth="1"/>
    <col min="11267" max="11507" width="9.28515625" style="58"/>
    <col min="11508" max="11508" width="0.28515625" style="58" customWidth="1"/>
    <col min="11509" max="11509" width="25.7109375" style="58" customWidth="1"/>
    <col min="11510" max="11510" width="18.7109375" style="58" customWidth="1"/>
    <col min="11511" max="11511" width="14.7109375" style="58" customWidth="1"/>
    <col min="11512" max="11512" width="16.7109375" style="58" bestFit="1" customWidth="1"/>
    <col min="11513" max="11513" width="18.5703125" style="58" customWidth="1"/>
    <col min="11514" max="11514" width="17.42578125" style="58" customWidth="1"/>
    <col min="11515" max="11515" width="0.28515625" style="58" customWidth="1"/>
    <col min="11516" max="11516" width="16" style="58" bestFit="1" customWidth="1"/>
    <col min="11517" max="11517" width="16" style="58" customWidth="1"/>
    <col min="11518" max="11518" width="14.28515625" style="58" customWidth="1"/>
    <col min="11519" max="11519" width="11.7109375" style="58" customWidth="1"/>
    <col min="11520" max="11520" width="14.28515625" style="58" customWidth="1"/>
    <col min="11521" max="11522" width="11.7109375" style="58" customWidth="1"/>
    <col min="11523" max="11763" width="9.28515625" style="58"/>
    <col min="11764" max="11764" width="0.28515625" style="58" customWidth="1"/>
    <col min="11765" max="11765" width="25.7109375" style="58" customWidth="1"/>
    <col min="11766" max="11766" width="18.7109375" style="58" customWidth="1"/>
    <col min="11767" max="11767" width="14.7109375" style="58" customWidth="1"/>
    <col min="11768" max="11768" width="16.7109375" style="58" bestFit="1" customWidth="1"/>
    <col min="11769" max="11769" width="18.5703125" style="58" customWidth="1"/>
    <col min="11770" max="11770" width="17.42578125" style="58" customWidth="1"/>
    <col min="11771" max="11771" width="0.28515625" style="58" customWidth="1"/>
    <col min="11772" max="11772" width="16" style="58" bestFit="1" customWidth="1"/>
    <col min="11773" max="11773" width="16" style="58" customWidth="1"/>
    <col min="11774" max="11774" width="14.28515625" style="58" customWidth="1"/>
    <col min="11775" max="11775" width="11.7109375" style="58" customWidth="1"/>
    <col min="11776" max="11776" width="14.28515625" style="58" customWidth="1"/>
    <col min="11777" max="11778" width="11.7109375" style="58" customWidth="1"/>
    <col min="11779" max="12019" width="9.28515625" style="58"/>
    <col min="12020" max="12020" width="0.28515625" style="58" customWidth="1"/>
    <col min="12021" max="12021" width="25.7109375" style="58" customWidth="1"/>
    <col min="12022" max="12022" width="18.7109375" style="58" customWidth="1"/>
    <col min="12023" max="12023" width="14.7109375" style="58" customWidth="1"/>
    <col min="12024" max="12024" width="16.7109375" style="58" bestFit="1" customWidth="1"/>
    <col min="12025" max="12025" width="18.5703125" style="58" customWidth="1"/>
    <col min="12026" max="12026" width="17.42578125" style="58" customWidth="1"/>
    <col min="12027" max="12027" width="0.28515625" style="58" customWidth="1"/>
    <col min="12028" max="12028" width="16" style="58" bestFit="1" customWidth="1"/>
    <col min="12029" max="12029" width="16" style="58" customWidth="1"/>
    <col min="12030" max="12030" width="14.28515625" style="58" customWidth="1"/>
    <col min="12031" max="12031" width="11.7109375" style="58" customWidth="1"/>
    <col min="12032" max="12032" width="14.28515625" style="58" customWidth="1"/>
    <col min="12033" max="12034" width="11.7109375" style="58" customWidth="1"/>
    <col min="12035" max="12275" width="9.28515625" style="58"/>
    <col min="12276" max="12276" width="0.28515625" style="58" customWidth="1"/>
    <col min="12277" max="12277" width="25.7109375" style="58" customWidth="1"/>
    <col min="12278" max="12278" width="18.7109375" style="58" customWidth="1"/>
    <col min="12279" max="12279" width="14.7109375" style="58" customWidth="1"/>
    <col min="12280" max="12280" width="16.7109375" style="58" bestFit="1" customWidth="1"/>
    <col min="12281" max="12281" width="18.5703125" style="58" customWidth="1"/>
    <col min="12282" max="12282" width="17.42578125" style="58" customWidth="1"/>
    <col min="12283" max="12283" width="0.28515625" style="58" customWidth="1"/>
    <col min="12284" max="12284" width="16" style="58" bestFit="1" customWidth="1"/>
    <col min="12285" max="12285" width="16" style="58" customWidth="1"/>
    <col min="12286" max="12286" width="14.28515625" style="58" customWidth="1"/>
    <col min="12287" max="12287" width="11.7109375" style="58" customWidth="1"/>
    <col min="12288" max="12288" width="14.28515625" style="58" customWidth="1"/>
    <col min="12289" max="12290" width="11.7109375" style="58" customWidth="1"/>
    <col min="12291" max="12531" width="9.28515625" style="58"/>
    <col min="12532" max="12532" width="0.28515625" style="58" customWidth="1"/>
    <col min="12533" max="12533" width="25.7109375" style="58" customWidth="1"/>
    <col min="12534" max="12534" width="18.7109375" style="58" customWidth="1"/>
    <col min="12535" max="12535" width="14.7109375" style="58" customWidth="1"/>
    <col min="12536" max="12536" width="16.7109375" style="58" bestFit="1" customWidth="1"/>
    <col min="12537" max="12537" width="18.5703125" style="58" customWidth="1"/>
    <col min="12538" max="12538" width="17.42578125" style="58" customWidth="1"/>
    <col min="12539" max="12539" width="0.28515625" style="58" customWidth="1"/>
    <col min="12540" max="12540" width="16" style="58" bestFit="1" customWidth="1"/>
    <col min="12541" max="12541" width="16" style="58" customWidth="1"/>
    <col min="12542" max="12542" width="14.28515625" style="58" customWidth="1"/>
    <col min="12543" max="12543" width="11.7109375" style="58" customWidth="1"/>
    <col min="12544" max="12544" width="14.28515625" style="58" customWidth="1"/>
    <col min="12545" max="12546" width="11.7109375" style="58" customWidth="1"/>
    <col min="12547" max="12787" width="9.28515625" style="58"/>
    <col min="12788" max="12788" width="0.28515625" style="58" customWidth="1"/>
    <col min="12789" max="12789" width="25.7109375" style="58" customWidth="1"/>
    <col min="12790" max="12790" width="18.7109375" style="58" customWidth="1"/>
    <col min="12791" max="12791" width="14.7109375" style="58" customWidth="1"/>
    <col min="12792" max="12792" width="16.7109375" style="58" bestFit="1" customWidth="1"/>
    <col min="12793" max="12793" width="18.5703125" style="58" customWidth="1"/>
    <col min="12794" max="12794" width="17.42578125" style="58" customWidth="1"/>
    <col min="12795" max="12795" width="0.28515625" style="58" customWidth="1"/>
    <col min="12796" max="12796" width="16" style="58" bestFit="1" customWidth="1"/>
    <col min="12797" max="12797" width="16" style="58" customWidth="1"/>
    <col min="12798" max="12798" width="14.28515625" style="58" customWidth="1"/>
    <col min="12799" max="12799" width="11.7109375" style="58" customWidth="1"/>
    <col min="12800" max="12800" width="14.28515625" style="58" customWidth="1"/>
    <col min="12801" max="12802" width="11.7109375" style="58" customWidth="1"/>
    <col min="12803" max="13043" width="9.28515625" style="58"/>
    <col min="13044" max="13044" width="0.28515625" style="58" customWidth="1"/>
    <col min="13045" max="13045" width="25.7109375" style="58" customWidth="1"/>
    <col min="13046" max="13046" width="18.7109375" style="58" customWidth="1"/>
    <col min="13047" max="13047" width="14.7109375" style="58" customWidth="1"/>
    <col min="13048" max="13048" width="16.7109375" style="58" bestFit="1" customWidth="1"/>
    <col min="13049" max="13049" width="18.5703125" style="58" customWidth="1"/>
    <col min="13050" max="13050" width="17.42578125" style="58" customWidth="1"/>
    <col min="13051" max="13051" width="0.28515625" style="58" customWidth="1"/>
    <col min="13052" max="13052" width="16" style="58" bestFit="1" customWidth="1"/>
    <col min="13053" max="13053" width="16" style="58" customWidth="1"/>
    <col min="13054" max="13054" width="14.28515625" style="58" customWidth="1"/>
    <col min="13055" max="13055" width="11.7109375" style="58" customWidth="1"/>
    <col min="13056" max="13056" width="14.28515625" style="58" customWidth="1"/>
    <col min="13057" max="13058" width="11.7109375" style="58" customWidth="1"/>
    <col min="13059" max="13299" width="9.28515625" style="58"/>
    <col min="13300" max="13300" width="0.28515625" style="58" customWidth="1"/>
    <col min="13301" max="13301" width="25.7109375" style="58" customWidth="1"/>
    <col min="13302" max="13302" width="18.7109375" style="58" customWidth="1"/>
    <col min="13303" max="13303" width="14.7109375" style="58" customWidth="1"/>
    <col min="13304" max="13304" width="16.7109375" style="58" bestFit="1" customWidth="1"/>
    <col min="13305" max="13305" width="18.5703125" style="58" customWidth="1"/>
    <col min="13306" max="13306" width="17.42578125" style="58" customWidth="1"/>
    <col min="13307" max="13307" width="0.28515625" style="58" customWidth="1"/>
    <col min="13308" max="13308" width="16" style="58" bestFit="1" customWidth="1"/>
    <col min="13309" max="13309" width="16" style="58" customWidth="1"/>
    <col min="13310" max="13310" width="14.28515625" style="58" customWidth="1"/>
    <col min="13311" max="13311" width="11.7109375" style="58" customWidth="1"/>
    <col min="13312" max="13312" width="14.28515625" style="58" customWidth="1"/>
    <col min="13313" max="13314" width="11.7109375" style="58" customWidth="1"/>
    <col min="13315" max="13555" width="9.28515625" style="58"/>
    <col min="13556" max="13556" width="0.28515625" style="58" customWidth="1"/>
    <col min="13557" max="13557" width="25.7109375" style="58" customWidth="1"/>
    <col min="13558" max="13558" width="18.7109375" style="58" customWidth="1"/>
    <col min="13559" max="13559" width="14.7109375" style="58" customWidth="1"/>
    <col min="13560" max="13560" width="16.7109375" style="58" bestFit="1" customWidth="1"/>
    <col min="13561" max="13561" width="18.5703125" style="58" customWidth="1"/>
    <col min="13562" max="13562" width="17.42578125" style="58" customWidth="1"/>
    <col min="13563" max="13563" width="0.28515625" style="58" customWidth="1"/>
    <col min="13564" max="13564" width="16" style="58" bestFit="1" customWidth="1"/>
    <col min="13565" max="13565" width="16" style="58" customWidth="1"/>
    <col min="13566" max="13566" width="14.28515625" style="58" customWidth="1"/>
    <col min="13567" max="13567" width="11.7109375" style="58" customWidth="1"/>
    <col min="13568" max="13568" width="14.28515625" style="58" customWidth="1"/>
    <col min="13569" max="13570" width="11.7109375" style="58" customWidth="1"/>
    <col min="13571" max="13811" width="9.28515625" style="58"/>
    <col min="13812" max="13812" width="0.28515625" style="58" customWidth="1"/>
    <col min="13813" max="13813" width="25.7109375" style="58" customWidth="1"/>
    <col min="13814" max="13814" width="18.7109375" style="58" customWidth="1"/>
    <col min="13815" max="13815" width="14.7109375" style="58" customWidth="1"/>
    <col min="13816" max="13816" width="16.7109375" style="58" bestFit="1" customWidth="1"/>
    <col min="13817" max="13817" width="18.5703125" style="58" customWidth="1"/>
    <col min="13818" max="13818" width="17.42578125" style="58" customWidth="1"/>
    <col min="13819" max="13819" width="0.28515625" style="58" customWidth="1"/>
    <col min="13820" max="13820" width="16" style="58" bestFit="1" customWidth="1"/>
    <col min="13821" max="13821" width="16" style="58" customWidth="1"/>
    <col min="13822" max="13822" width="14.28515625" style="58" customWidth="1"/>
    <col min="13823" max="13823" width="11.7109375" style="58" customWidth="1"/>
    <col min="13824" max="13824" width="14.28515625" style="58" customWidth="1"/>
    <col min="13825" max="13826" width="11.7109375" style="58" customWidth="1"/>
    <col min="13827" max="14067" width="9.28515625" style="58"/>
    <col min="14068" max="14068" width="0.28515625" style="58" customWidth="1"/>
    <col min="14069" max="14069" width="25.7109375" style="58" customWidth="1"/>
    <col min="14070" max="14070" width="18.7109375" style="58" customWidth="1"/>
    <col min="14071" max="14071" width="14.7109375" style="58" customWidth="1"/>
    <col min="14072" max="14072" width="16.7109375" style="58" bestFit="1" customWidth="1"/>
    <col min="14073" max="14073" width="18.5703125" style="58" customWidth="1"/>
    <col min="14074" max="14074" width="17.42578125" style="58" customWidth="1"/>
    <col min="14075" max="14075" width="0.28515625" style="58" customWidth="1"/>
    <col min="14076" max="14076" width="16" style="58" bestFit="1" customWidth="1"/>
    <col min="14077" max="14077" width="16" style="58" customWidth="1"/>
    <col min="14078" max="14078" width="14.28515625" style="58" customWidth="1"/>
    <col min="14079" max="14079" width="11.7109375" style="58" customWidth="1"/>
    <col min="14080" max="14080" width="14.28515625" style="58" customWidth="1"/>
    <col min="14081" max="14082" width="11.7109375" style="58" customWidth="1"/>
    <col min="14083" max="14323" width="9.28515625" style="58"/>
    <col min="14324" max="14324" width="0.28515625" style="58" customWidth="1"/>
    <col min="14325" max="14325" width="25.7109375" style="58" customWidth="1"/>
    <col min="14326" max="14326" width="18.7109375" style="58" customWidth="1"/>
    <col min="14327" max="14327" width="14.7109375" style="58" customWidth="1"/>
    <col min="14328" max="14328" width="16.7109375" style="58" bestFit="1" customWidth="1"/>
    <col min="14329" max="14329" width="18.5703125" style="58" customWidth="1"/>
    <col min="14330" max="14330" width="17.42578125" style="58" customWidth="1"/>
    <col min="14331" max="14331" width="0.28515625" style="58" customWidth="1"/>
    <col min="14332" max="14332" width="16" style="58" bestFit="1" customWidth="1"/>
    <col min="14333" max="14333" width="16" style="58" customWidth="1"/>
    <col min="14334" max="14334" width="14.28515625" style="58" customWidth="1"/>
    <col min="14335" max="14335" width="11.7109375" style="58" customWidth="1"/>
    <col min="14336" max="14336" width="14.28515625" style="58" customWidth="1"/>
    <col min="14337" max="14338" width="11.7109375" style="58" customWidth="1"/>
    <col min="14339" max="14579" width="9.28515625" style="58"/>
    <col min="14580" max="14580" width="0.28515625" style="58" customWidth="1"/>
    <col min="14581" max="14581" width="25.7109375" style="58" customWidth="1"/>
    <col min="14582" max="14582" width="18.7109375" style="58" customWidth="1"/>
    <col min="14583" max="14583" width="14.7109375" style="58" customWidth="1"/>
    <col min="14584" max="14584" width="16.7109375" style="58" bestFit="1" customWidth="1"/>
    <col min="14585" max="14585" width="18.5703125" style="58" customWidth="1"/>
    <col min="14586" max="14586" width="17.42578125" style="58" customWidth="1"/>
    <col min="14587" max="14587" width="0.28515625" style="58" customWidth="1"/>
    <col min="14588" max="14588" width="16" style="58" bestFit="1" customWidth="1"/>
    <col min="14589" max="14589" width="16" style="58" customWidth="1"/>
    <col min="14590" max="14590" width="14.28515625" style="58" customWidth="1"/>
    <col min="14591" max="14591" width="11.7109375" style="58" customWidth="1"/>
    <col min="14592" max="14592" width="14.28515625" style="58" customWidth="1"/>
    <col min="14593" max="14594" width="11.7109375" style="58" customWidth="1"/>
    <col min="14595" max="14835" width="9.28515625" style="58"/>
    <col min="14836" max="14836" width="0.28515625" style="58" customWidth="1"/>
    <col min="14837" max="14837" width="25.7109375" style="58" customWidth="1"/>
    <col min="14838" max="14838" width="18.7109375" style="58" customWidth="1"/>
    <col min="14839" max="14839" width="14.7109375" style="58" customWidth="1"/>
    <col min="14840" max="14840" width="16.7109375" style="58" bestFit="1" customWidth="1"/>
    <col min="14841" max="14841" width="18.5703125" style="58" customWidth="1"/>
    <col min="14842" max="14842" width="17.42578125" style="58" customWidth="1"/>
    <col min="14843" max="14843" width="0.28515625" style="58" customWidth="1"/>
    <col min="14844" max="14844" width="16" style="58" bestFit="1" customWidth="1"/>
    <col min="14845" max="14845" width="16" style="58" customWidth="1"/>
    <col min="14846" max="14846" width="14.28515625" style="58" customWidth="1"/>
    <col min="14847" max="14847" width="11.7109375" style="58" customWidth="1"/>
    <col min="14848" max="14848" width="14.28515625" style="58" customWidth="1"/>
    <col min="14849" max="14850" width="11.7109375" style="58" customWidth="1"/>
    <col min="14851" max="15091" width="9.28515625" style="58"/>
    <col min="15092" max="15092" width="0.28515625" style="58" customWidth="1"/>
    <col min="15093" max="15093" width="25.7109375" style="58" customWidth="1"/>
    <col min="15094" max="15094" width="18.7109375" style="58" customWidth="1"/>
    <col min="15095" max="15095" width="14.7109375" style="58" customWidth="1"/>
    <col min="15096" max="15096" width="16.7109375" style="58" bestFit="1" customWidth="1"/>
    <col min="15097" max="15097" width="18.5703125" style="58" customWidth="1"/>
    <col min="15098" max="15098" width="17.42578125" style="58" customWidth="1"/>
    <col min="15099" max="15099" width="0.28515625" style="58" customWidth="1"/>
    <col min="15100" max="15100" width="16" style="58" bestFit="1" customWidth="1"/>
    <col min="15101" max="15101" width="16" style="58" customWidth="1"/>
    <col min="15102" max="15102" width="14.28515625" style="58" customWidth="1"/>
    <col min="15103" max="15103" width="11.7109375" style="58" customWidth="1"/>
    <col min="15104" max="15104" width="14.28515625" style="58" customWidth="1"/>
    <col min="15105" max="15106" width="11.7109375" style="58" customWidth="1"/>
    <col min="15107" max="15347" width="9.28515625" style="58"/>
    <col min="15348" max="15348" width="0.28515625" style="58" customWidth="1"/>
    <col min="15349" max="15349" width="25.7109375" style="58" customWidth="1"/>
    <col min="15350" max="15350" width="18.7109375" style="58" customWidth="1"/>
    <col min="15351" max="15351" width="14.7109375" style="58" customWidth="1"/>
    <col min="15352" max="15352" width="16.7109375" style="58" bestFit="1" customWidth="1"/>
    <col min="15353" max="15353" width="18.5703125" style="58" customWidth="1"/>
    <col min="15354" max="15354" width="17.42578125" style="58" customWidth="1"/>
    <col min="15355" max="15355" width="0.28515625" style="58" customWidth="1"/>
    <col min="15356" max="15356" width="16" style="58" bestFit="1" customWidth="1"/>
    <col min="15357" max="15357" width="16" style="58" customWidth="1"/>
    <col min="15358" max="15358" width="14.28515625" style="58" customWidth="1"/>
    <col min="15359" max="15359" width="11.7109375" style="58" customWidth="1"/>
    <col min="15360" max="15360" width="14.28515625" style="58" customWidth="1"/>
    <col min="15361" max="15362" width="11.7109375" style="58" customWidth="1"/>
    <col min="15363" max="15603" width="9.28515625" style="58"/>
    <col min="15604" max="15604" width="0.28515625" style="58" customWidth="1"/>
    <col min="15605" max="15605" width="25.7109375" style="58" customWidth="1"/>
    <col min="15606" max="15606" width="18.7109375" style="58" customWidth="1"/>
    <col min="15607" max="15607" width="14.7109375" style="58" customWidth="1"/>
    <col min="15608" max="15608" width="16.7109375" style="58" bestFit="1" customWidth="1"/>
    <col min="15609" max="15609" width="18.5703125" style="58" customWidth="1"/>
    <col min="15610" max="15610" width="17.42578125" style="58" customWidth="1"/>
    <col min="15611" max="15611" width="0.28515625" style="58" customWidth="1"/>
    <col min="15612" max="15612" width="16" style="58" bestFit="1" customWidth="1"/>
    <col min="15613" max="15613" width="16" style="58" customWidth="1"/>
    <col min="15614" max="15614" width="14.28515625" style="58" customWidth="1"/>
    <col min="15615" max="15615" width="11.7109375" style="58" customWidth="1"/>
    <col min="15616" max="15616" width="14.28515625" style="58" customWidth="1"/>
    <col min="15617" max="15618" width="11.7109375" style="58" customWidth="1"/>
    <col min="15619" max="15859" width="9.28515625" style="58"/>
    <col min="15860" max="15860" width="0.28515625" style="58" customWidth="1"/>
    <col min="15861" max="15861" width="25.7109375" style="58" customWidth="1"/>
    <col min="15862" max="15862" width="18.7109375" style="58" customWidth="1"/>
    <col min="15863" max="15863" width="14.7109375" style="58" customWidth="1"/>
    <col min="15864" max="15864" width="16.7109375" style="58" bestFit="1" customWidth="1"/>
    <col min="15865" max="15865" width="18.5703125" style="58" customWidth="1"/>
    <col min="15866" max="15866" width="17.42578125" style="58" customWidth="1"/>
    <col min="15867" max="15867" width="0.28515625" style="58" customWidth="1"/>
    <col min="15868" max="15868" width="16" style="58" bestFit="1" customWidth="1"/>
    <col min="15869" max="15869" width="16" style="58" customWidth="1"/>
    <col min="15870" max="15870" width="14.28515625" style="58" customWidth="1"/>
    <col min="15871" max="15871" width="11.7109375" style="58" customWidth="1"/>
    <col min="15872" max="15872" width="14.28515625" style="58" customWidth="1"/>
    <col min="15873" max="15874" width="11.7109375" style="58" customWidth="1"/>
    <col min="15875" max="16115" width="9.28515625" style="58"/>
    <col min="16116" max="16116" width="0.28515625" style="58" customWidth="1"/>
    <col min="16117" max="16117" width="25.7109375" style="58" customWidth="1"/>
    <col min="16118" max="16118" width="18.7109375" style="58" customWidth="1"/>
    <col min="16119" max="16119" width="14.7109375" style="58" customWidth="1"/>
    <col min="16120" max="16120" width="16.7109375" style="58" bestFit="1" customWidth="1"/>
    <col min="16121" max="16121" width="18.5703125" style="58" customWidth="1"/>
    <col min="16122" max="16122" width="17.42578125" style="58" customWidth="1"/>
    <col min="16123" max="16123" width="0.28515625" style="58" customWidth="1"/>
    <col min="16124" max="16124" width="16" style="58" bestFit="1" customWidth="1"/>
    <col min="16125" max="16125" width="16" style="58" customWidth="1"/>
    <col min="16126" max="16126" width="14.28515625" style="58" customWidth="1"/>
    <col min="16127" max="16127" width="11.7109375" style="58" customWidth="1"/>
    <col min="16128" max="16128" width="14.28515625" style="58" customWidth="1"/>
    <col min="16129" max="16130" width="11.7109375" style="58" customWidth="1"/>
    <col min="16131" max="16381" width="9.28515625" style="58"/>
    <col min="16382" max="16384" width="9.28515625" style="58" customWidth="1"/>
  </cols>
  <sheetData>
    <row r="1" spans="1:14" ht="13.5" thickBot="1"/>
    <row r="2" spans="1:14" ht="17.25" customHeight="1">
      <c r="A2" s="782" t="s">
        <v>5958</v>
      </c>
      <c r="B2" s="783"/>
      <c r="C2" s="783"/>
      <c r="D2" s="783"/>
      <c r="E2" s="783"/>
      <c r="F2" s="783"/>
      <c r="G2" s="783"/>
      <c r="H2" s="783"/>
      <c r="I2" s="783"/>
      <c r="J2" s="784"/>
    </row>
    <row r="3" spans="1:14" ht="15.75">
      <c r="A3" s="785" t="s">
        <v>1</v>
      </c>
      <c r="B3" s="786"/>
      <c r="C3" s="786"/>
      <c r="D3" s="786"/>
      <c r="E3" s="786"/>
      <c r="F3" s="786"/>
      <c r="G3" s="786"/>
      <c r="H3" s="786"/>
      <c r="I3" s="786"/>
      <c r="J3" s="787"/>
    </row>
    <row r="4" spans="1:14" ht="18" customHeight="1">
      <c r="A4" s="788" t="s">
        <v>61</v>
      </c>
      <c r="B4" s="789"/>
      <c r="C4" s="789"/>
      <c r="D4" s="789"/>
      <c r="E4" s="789"/>
      <c r="F4" s="789"/>
      <c r="G4" s="789"/>
      <c r="H4" s="789"/>
      <c r="I4" s="789"/>
      <c r="J4" s="790"/>
    </row>
    <row r="5" spans="1:14" ht="17.25" customHeight="1">
      <c r="A5" s="791" t="s">
        <v>434</v>
      </c>
      <c r="B5" s="792"/>
      <c r="C5" s="792"/>
      <c r="D5" s="792"/>
      <c r="E5" s="792"/>
      <c r="F5" s="792"/>
      <c r="G5" s="792"/>
      <c r="H5" s="792"/>
      <c r="I5" s="792"/>
      <c r="J5" s="793"/>
    </row>
    <row r="6" spans="1:14" ht="15.75">
      <c r="A6" s="794" t="s">
        <v>3</v>
      </c>
      <c r="B6" s="795"/>
      <c r="C6" s="795"/>
      <c r="D6" s="795" t="s">
        <v>4</v>
      </c>
      <c r="E6" s="767" t="s">
        <v>5</v>
      </c>
      <c r="F6" s="768"/>
      <c r="G6" s="767" t="s">
        <v>6</v>
      </c>
      <c r="H6" s="768"/>
      <c r="I6" s="765" t="s">
        <v>7</v>
      </c>
      <c r="J6" s="781"/>
    </row>
    <row r="7" spans="1:14" ht="52.5" customHeight="1">
      <c r="A7" s="794"/>
      <c r="B7" s="795"/>
      <c r="C7" s="795"/>
      <c r="D7" s="795"/>
      <c r="E7" s="4" t="str">
        <f>I7</f>
        <v>Figures as at the end of 31.03.2026</v>
      </c>
      <c r="F7" s="4" t="s">
        <v>8</v>
      </c>
      <c r="G7" s="4" t="str">
        <f>I7</f>
        <v>Figures as at the end of 31.03.2026</v>
      </c>
      <c r="H7" s="4" t="s">
        <v>8</v>
      </c>
      <c r="I7" s="4" t="s">
        <v>383</v>
      </c>
      <c r="J7" s="733" t="s">
        <v>8</v>
      </c>
    </row>
    <row r="8" spans="1:14" ht="14.65" customHeight="1">
      <c r="A8" s="5"/>
      <c r="B8" s="6"/>
      <c r="C8" s="6"/>
      <c r="D8" s="45"/>
      <c r="E8" s="61"/>
      <c r="F8" s="61"/>
      <c r="G8" s="61"/>
      <c r="H8" s="62"/>
      <c r="I8" s="62"/>
      <c r="J8" s="734"/>
    </row>
    <row r="9" spans="1:14" ht="14.25">
      <c r="A9" s="10" t="s">
        <v>62</v>
      </c>
      <c r="B9" s="356"/>
      <c r="C9" s="356"/>
      <c r="D9" s="547" t="str">
        <f>Notes!A175</f>
        <v>Note-14</v>
      </c>
      <c r="E9" s="63"/>
      <c r="F9" s="64">
        <f>Notes!C179</f>
        <v>0</v>
      </c>
      <c r="G9" s="64">
        <f>Notes!D182</f>
        <v>363297223.74000001</v>
      </c>
      <c r="H9" s="64">
        <f>Notes!E182</f>
        <v>534581.34</v>
      </c>
      <c r="I9" s="64">
        <f>Notes!F182</f>
        <v>363297223.74000001</v>
      </c>
      <c r="J9" s="735">
        <f>Notes!G182</f>
        <v>534581.34</v>
      </c>
    </row>
    <row r="10" spans="1:14" ht="14.25">
      <c r="A10" s="10" t="s">
        <v>63</v>
      </c>
      <c r="B10" s="356"/>
      <c r="C10" s="356"/>
      <c r="D10" s="547" t="str">
        <f>Notes!A184</f>
        <v>Note-15</v>
      </c>
      <c r="E10" s="63"/>
      <c r="F10" s="64">
        <f>Notes!C193</f>
        <v>0</v>
      </c>
      <c r="G10" s="64">
        <f>Notes!D193</f>
        <v>2874429.82</v>
      </c>
      <c r="H10" s="64">
        <f>Notes!E193</f>
        <v>98037.001000000004</v>
      </c>
      <c r="I10" s="64">
        <f>Notes!F193</f>
        <v>2874429.82</v>
      </c>
      <c r="J10" s="735">
        <f>Notes!G193</f>
        <v>98037.001000000004</v>
      </c>
      <c r="N10" s="683"/>
    </row>
    <row r="11" spans="1:14" ht="14.25">
      <c r="A11" s="16"/>
      <c r="B11" s="356"/>
      <c r="C11" s="356"/>
      <c r="D11" s="44"/>
      <c r="E11" s="269"/>
      <c r="F11" s="65"/>
      <c r="G11" s="65"/>
      <c r="H11" s="65"/>
      <c r="I11" s="65"/>
      <c r="J11" s="736"/>
    </row>
    <row r="12" spans="1:14" ht="14.25">
      <c r="A12" s="66" t="s">
        <v>64</v>
      </c>
      <c r="B12" s="67"/>
      <c r="C12" s="68"/>
      <c r="D12" s="548"/>
      <c r="E12" s="69"/>
      <c r="F12" s="70"/>
      <c r="G12" s="71">
        <f t="shared" ref="G12:H12" si="0">SUM(G9:G10)</f>
        <v>366171653.56</v>
      </c>
      <c r="H12" s="71">
        <f t="shared" si="0"/>
        <v>632618.34100000001</v>
      </c>
      <c r="I12" s="432">
        <f>SUM(I9:I10)</f>
        <v>366171653.56</v>
      </c>
      <c r="J12" s="737">
        <f>SUM(J9:J10)</f>
        <v>632618.34100000001</v>
      </c>
    </row>
    <row r="13" spans="1:14" ht="14.25">
      <c r="A13" s="72"/>
      <c r="B13" s="356"/>
      <c r="C13" s="356"/>
      <c r="D13" s="547"/>
      <c r="E13" s="63"/>
      <c r="F13" s="73"/>
      <c r="G13" s="73"/>
      <c r="H13" s="74"/>
      <c r="I13" s="278"/>
      <c r="J13" s="738"/>
    </row>
    <row r="14" spans="1:14" ht="14.25">
      <c r="A14" s="10" t="s">
        <v>65</v>
      </c>
      <c r="B14" s="356"/>
      <c r="C14" s="356"/>
      <c r="D14" s="547"/>
      <c r="E14" s="63"/>
      <c r="F14" s="73"/>
      <c r="G14" s="73"/>
      <c r="H14" s="74"/>
      <c r="I14" s="75"/>
      <c r="J14" s="739"/>
    </row>
    <row r="15" spans="1:14" ht="14.25">
      <c r="A15" s="26" t="s">
        <v>66</v>
      </c>
      <c r="B15" s="740"/>
      <c r="C15" s="740"/>
      <c r="D15" s="547" t="str">
        <f>Notes!A195</f>
        <v>Note-16</v>
      </c>
      <c r="E15" s="63"/>
      <c r="F15" s="64">
        <f>Notes!C240</f>
        <v>5834</v>
      </c>
      <c r="G15" s="64">
        <f>Notes!D240</f>
        <v>267382343.90999997</v>
      </c>
      <c r="H15" s="64">
        <f>Notes!E240</f>
        <v>906791744.88000011</v>
      </c>
      <c r="I15" s="64">
        <f>Notes!F240</f>
        <v>267382343.90999997</v>
      </c>
      <c r="J15" s="735">
        <f>Notes!G240</f>
        <v>906797578.88000011</v>
      </c>
    </row>
    <row r="16" spans="1:14" ht="15">
      <c r="A16" s="76" t="s">
        <v>67</v>
      </c>
      <c r="B16" s="740"/>
      <c r="C16" s="740"/>
      <c r="D16" s="547"/>
      <c r="E16" s="276"/>
      <c r="F16" s="65"/>
      <c r="G16" s="65">
        <v>0</v>
      </c>
      <c r="H16" s="65">
        <v>0</v>
      </c>
      <c r="I16" s="87">
        <f>E16+G16</f>
        <v>0</v>
      </c>
      <c r="J16" s="739">
        <f>F16+H16</f>
        <v>0</v>
      </c>
    </row>
    <row r="17" spans="1:10" ht="15.6" customHeight="1">
      <c r="A17" s="769" t="s">
        <v>68</v>
      </c>
      <c r="B17" s="770"/>
      <c r="C17" s="771"/>
      <c r="D17" s="547" t="str">
        <f>Notes!A242</f>
        <v>Note-17</v>
      </c>
      <c r="E17" s="63"/>
      <c r="F17" s="64">
        <f>Notes!C254</f>
        <v>0</v>
      </c>
      <c r="G17" s="64">
        <f>Notes!D254</f>
        <v>-101210440.43183184</v>
      </c>
      <c r="H17" s="64">
        <f>Notes!E254</f>
        <v>-924343636.8499999</v>
      </c>
      <c r="I17" s="64">
        <f>Notes!F254</f>
        <v>-101210440.43183184</v>
      </c>
      <c r="J17" s="735">
        <f>Notes!G254</f>
        <v>-924343636.8499999</v>
      </c>
    </row>
    <row r="18" spans="1:10" ht="13.9" customHeight="1">
      <c r="A18" s="26" t="s">
        <v>5992</v>
      </c>
      <c r="B18" s="740"/>
      <c r="C18" s="740"/>
      <c r="D18" s="547"/>
      <c r="E18" s="63"/>
      <c r="F18" s="64">
        <f>Notes!C255</f>
        <v>0</v>
      </c>
      <c r="G18" s="64">
        <f>Notes!D255</f>
        <v>0</v>
      </c>
      <c r="H18" s="64">
        <f>Notes!E255</f>
        <v>0</v>
      </c>
      <c r="I18" s="87">
        <f>E18+G18</f>
        <v>0</v>
      </c>
      <c r="J18" s="739">
        <f>F18+H18</f>
        <v>0</v>
      </c>
    </row>
    <row r="19" spans="1:10" ht="14.25">
      <c r="A19" s="26" t="s">
        <v>5991</v>
      </c>
      <c r="B19" s="740"/>
      <c r="C19" s="740"/>
      <c r="D19" s="547" t="str">
        <f>Notes!A256</f>
        <v>Note-18</v>
      </c>
      <c r="E19" s="63"/>
      <c r="F19" s="64">
        <f>Notes!C264</f>
        <v>0</v>
      </c>
      <c r="G19" s="65">
        <f>Notes!D264</f>
        <v>62874802.399999999</v>
      </c>
      <c r="H19" s="65">
        <f>Notes!E264</f>
        <v>16021317</v>
      </c>
      <c r="I19" s="87">
        <f>Notes!F264</f>
        <v>62874802.399999999</v>
      </c>
      <c r="J19" s="739">
        <f>Notes!G264</f>
        <v>16021317</v>
      </c>
    </row>
    <row r="20" spans="1:10" ht="14.25">
      <c r="A20" s="26" t="s">
        <v>5986</v>
      </c>
      <c r="B20" s="740"/>
      <c r="C20" s="740"/>
      <c r="D20" s="547" t="str">
        <f>'Dep &amp; DTA DTL'!B4</f>
        <v>Note-7</v>
      </c>
      <c r="E20" s="63"/>
      <c r="F20" s="64">
        <f>Notes!C265</f>
        <v>0</v>
      </c>
      <c r="G20" s="277">
        <f>'Dep &amp; DTA DTL'!L12</f>
        <v>14575.785328033107</v>
      </c>
      <c r="H20" s="65">
        <v>22469.87</v>
      </c>
      <c r="I20" s="87">
        <f>'Dep &amp; DTA DTL'!L12</f>
        <v>14575.785328033107</v>
      </c>
      <c r="J20" s="739">
        <f>F20+H20</f>
        <v>22469.87</v>
      </c>
    </row>
    <row r="21" spans="1:10" ht="14.25">
      <c r="A21" s="77" t="s">
        <v>69</v>
      </c>
      <c r="B21" s="740"/>
      <c r="C21" s="740"/>
      <c r="D21" s="547" t="str">
        <f>Notes!A266</f>
        <v>Note-19</v>
      </c>
      <c r="E21" s="276"/>
      <c r="F21" s="65">
        <f>Notes!C297</f>
        <v>24782.78</v>
      </c>
      <c r="G21" s="65">
        <f>Notes!D297</f>
        <v>16788677.850000001</v>
      </c>
      <c r="H21" s="65">
        <f>Notes!E297</f>
        <v>2224845.1</v>
      </c>
      <c r="I21" s="87">
        <f>Notes!F297</f>
        <v>16788677.850000001</v>
      </c>
      <c r="J21" s="739">
        <f>Notes!G297</f>
        <v>2249627.88</v>
      </c>
    </row>
    <row r="22" spans="1:10" ht="14.25">
      <c r="A22" s="72"/>
      <c r="B22" s="356"/>
      <c r="C22" s="356"/>
      <c r="D22" s="547"/>
      <c r="E22" s="63"/>
      <c r="F22" s="73"/>
      <c r="G22" s="73"/>
      <c r="H22" s="74"/>
      <c r="I22" s="279"/>
      <c r="J22" s="736"/>
    </row>
    <row r="23" spans="1:10" ht="14.25">
      <c r="A23" s="66" t="s">
        <v>70</v>
      </c>
      <c r="B23" s="67"/>
      <c r="C23" s="68"/>
      <c r="D23" s="548"/>
      <c r="E23" s="69"/>
      <c r="F23" s="78">
        <f>SUM(F15:F21)</f>
        <v>30616.78</v>
      </c>
      <c r="G23" s="78">
        <f t="shared" ref="G23:H23" si="1">SUM(G15:G21)</f>
        <v>245849959.51349616</v>
      </c>
      <c r="H23" s="78">
        <f t="shared" si="1"/>
        <v>716740.00000021001</v>
      </c>
      <c r="I23" s="78">
        <f>SUM(I15:I21)</f>
        <v>245849959.51349616</v>
      </c>
      <c r="J23" s="741">
        <f>SUM(J15:J21)</f>
        <v>747356.78000020981</v>
      </c>
    </row>
    <row r="24" spans="1:10" ht="15" customHeight="1">
      <c r="A24" s="772" t="s">
        <v>5987</v>
      </c>
      <c r="B24" s="773"/>
      <c r="C24" s="774"/>
      <c r="D24" s="547" t="s">
        <v>12</v>
      </c>
      <c r="E24" s="63"/>
      <c r="F24" s="73"/>
      <c r="G24" s="73"/>
      <c r="H24" s="79"/>
      <c r="I24" s="80"/>
      <c r="J24" s="742"/>
    </row>
    <row r="25" spans="1:10" ht="14.25">
      <c r="A25" s="775"/>
      <c r="B25" s="776"/>
      <c r="C25" s="777"/>
      <c r="D25" s="547"/>
      <c r="E25" s="63"/>
      <c r="F25" s="64">
        <f>F12-F23</f>
        <v>-30616.78</v>
      </c>
      <c r="G25" s="64">
        <f>+G12-G23</f>
        <v>120321694.04650384</v>
      </c>
      <c r="H25" s="64">
        <f>+H12-H23</f>
        <v>-84121.659000209998</v>
      </c>
      <c r="I25" s="64">
        <f>+I12-I23</f>
        <v>120321694.04650384</v>
      </c>
      <c r="J25" s="735">
        <f>+J12-J23</f>
        <v>-114738.43900020979</v>
      </c>
    </row>
    <row r="26" spans="1:10" ht="14.25">
      <c r="A26" s="16"/>
      <c r="B26" s="356"/>
      <c r="C26" s="356"/>
      <c r="D26" s="547"/>
      <c r="E26" s="63"/>
      <c r="F26" s="64"/>
      <c r="G26" s="64"/>
      <c r="H26" s="64"/>
      <c r="I26" s="64"/>
      <c r="J26" s="735"/>
    </row>
    <row r="27" spans="1:10" ht="14.25">
      <c r="A27" s="10" t="s">
        <v>71</v>
      </c>
      <c r="B27" s="356"/>
      <c r="C27" s="356"/>
      <c r="D27" s="547"/>
      <c r="E27" s="63"/>
      <c r="F27" s="64">
        <v>0</v>
      </c>
      <c r="G27" s="64">
        <v>0</v>
      </c>
      <c r="H27" s="64">
        <v>0</v>
      </c>
      <c r="I27" s="64">
        <f>E27+G27</f>
        <v>0</v>
      </c>
      <c r="J27" s="735">
        <f>F27+H27</f>
        <v>0</v>
      </c>
    </row>
    <row r="28" spans="1:10" ht="14.25">
      <c r="A28" s="16"/>
      <c r="B28" s="356"/>
      <c r="C28" s="356"/>
      <c r="D28" s="547"/>
      <c r="E28" s="63"/>
      <c r="F28" s="64"/>
      <c r="G28" s="64"/>
      <c r="H28" s="64"/>
      <c r="I28" s="64"/>
      <c r="J28" s="735"/>
    </row>
    <row r="29" spans="1:10" ht="14.25">
      <c r="A29" s="10" t="s">
        <v>5988</v>
      </c>
      <c r="B29" s="356"/>
      <c r="C29" s="356"/>
      <c r="D29" s="547"/>
      <c r="E29" s="63"/>
      <c r="F29" s="64">
        <f t="shared" ref="F29:J29" si="2">F25-F27</f>
        <v>-30616.78</v>
      </c>
      <c r="G29" s="64">
        <f t="shared" si="2"/>
        <v>120321694.04650384</v>
      </c>
      <c r="H29" s="64">
        <f t="shared" si="2"/>
        <v>-84121.659000209998</v>
      </c>
      <c r="I29" s="64">
        <f t="shared" si="2"/>
        <v>120321694.04650384</v>
      </c>
      <c r="J29" s="735">
        <f t="shared" si="2"/>
        <v>-114738.43900020979</v>
      </c>
    </row>
    <row r="30" spans="1:10" ht="14.25">
      <c r="A30" s="16"/>
      <c r="B30" s="356"/>
      <c r="C30" s="356"/>
      <c r="D30" s="547"/>
      <c r="E30" s="63"/>
      <c r="F30" s="64"/>
      <c r="G30" s="64"/>
      <c r="H30" s="64"/>
      <c r="I30" s="64"/>
      <c r="J30" s="735"/>
    </row>
    <row r="31" spans="1:10" ht="14.25">
      <c r="A31" s="81" t="s">
        <v>72</v>
      </c>
      <c r="B31" s="356"/>
      <c r="C31" s="356"/>
      <c r="D31" s="547"/>
      <c r="E31" s="63"/>
      <c r="F31" s="64">
        <v>0</v>
      </c>
      <c r="G31" s="64">
        <v>0</v>
      </c>
      <c r="H31" s="64">
        <v>0</v>
      </c>
      <c r="I31" s="64">
        <f>E31+G31</f>
        <v>0</v>
      </c>
      <c r="J31" s="735">
        <f>F31+H31</f>
        <v>0</v>
      </c>
    </row>
    <row r="32" spans="1:10" ht="14.25">
      <c r="A32" s="16"/>
      <c r="B32" s="356"/>
      <c r="C32" s="356"/>
      <c r="D32" s="547"/>
      <c r="E32" s="63"/>
      <c r="F32" s="64"/>
      <c r="G32" s="64"/>
      <c r="H32" s="64"/>
      <c r="I32" s="64"/>
      <c r="J32" s="735"/>
    </row>
    <row r="33" spans="1:10" ht="14.25">
      <c r="A33" s="10" t="s">
        <v>73</v>
      </c>
      <c r="B33" s="356"/>
      <c r="C33" s="356"/>
      <c r="D33" s="547"/>
      <c r="E33" s="63"/>
      <c r="F33" s="64">
        <f t="shared" ref="F33:J33" si="3">F29-F31</f>
        <v>-30616.78</v>
      </c>
      <c r="G33" s="64">
        <f t="shared" si="3"/>
        <v>120321694.04650384</v>
      </c>
      <c r="H33" s="64">
        <f t="shared" si="3"/>
        <v>-84121.659000209998</v>
      </c>
      <c r="I33" s="64">
        <f t="shared" si="3"/>
        <v>120321694.04650384</v>
      </c>
      <c r="J33" s="735">
        <f t="shared" si="3"/>
        <v>-114738.43900020979</v>
      </c>
    </row>
    <row r="34" spans="1:10" ht="14.25">
      <c r="A34" s="16"/>
      <c r="B34" s="356"/>
      <c r="C34" s="356"/>
      <c r="D34" s="547"/>
      <c r="E34" s="63"/>
      <c r="F34" s="64"/>
      <c r="G34" s="64"/>
      <c r="H34" s="64"/>
      <c r="I34" s="64"/>
      <c r="J34" s="735"/>
    </row>
    <row r="35" spans="1:10" ht="14.25">
      <c r="A35" s="10" t="s">
        <v>74</v>
      </c>
      <c r="B35" s="356"/>
      <c r="C35" s="356"/>
      <c r="D35" s="547"/>
      <c r="E35" s="63"/>
      <c r="F35" s="64"/>
      <c r="G35" s="64"/>
      <c r="H35" s="64"/>
      <c r="I35" s="64"/>
      <c r="J35" s="735"/>
    </row>
    <row r="36" spans="1:10" ht="14.25">
      <c r="A36" s="16" t="s">
        <v>75</v>
      </c>
      <c r="B36" s="356"/>
      <c r="C36" s="356"/>
      <c r="D36" s="82"/>
      <c r="E36" s="82"/>
      <c r="F36" s="64">
        <v>0</v>
      </c>
      <c r="G36" s="64"/>
      <c r="H36" s="64"/>
      <c r="I36" s="743">
        <f>30532486+1876474</f>
        <v>32408960</v>
      </c>
      <c r="J36" s="735">
        <f>F36+H36</f>
        <v>0</v>
      </c>
    </row>
    <row r="37" spans="1:10" ht="14.25">
      <c r="A37" s="16" t="s">
        <v>76</v>
      </c>
      <c r="B37" s="356"/>
      <c r="C37" s="356"/>
      <c r="D37" s="547" t="str">
        <f>'Dep &amp; DTA DTL'!B17</f>
        <v>Note 8</v>
      </c>
      <c r="E37" s="83"/>
      <c r="F37" s="64">
        <v>0</v>
      </c>
      <c r="G37" s="64">
        <f>-'Dep &amp; DTA DTL'!C35</f>
        <v>-1909.5925101593728</v>
      </c>
      <c r="H37" s="64">
        <v>-3586</v>
      </c>
      <c r="I37" s="64">
        <f>-'Dep &amp; DTA DTL'!C35</f>
        <v>-1909.5925101593728</v>
      </c>
      <c r="J37" s="735">
        <f>F37+H37</f>
        <v>-3586</v>
      </c>
    </row>
    <row r="38" spans="1:10" ht="14.25">
      <c r="A38" s="16" t="s">
        <v>77</v>
      </c>
      <c r="B38" s="356"/>
      <c r="C38" s="356"/>
      <c r="D38" s="547"/>
      <c r="E38" s="63"/>
      <c r="F38" s="64">
        <v>0</v>
      </c>
      <c r="G38" s="64"/>
      <c r="H38" s="64">
        <v>0</v>
      </c>
      <c r="I38" s="64">
        <f>E38+G38</f>
        <v>0</v>
      </c>
      <c r="J38" s="735">
        <f>F38+H38</f>
        <v>0</v>
      </c>
    </row>
    <row r="39" spans="1:10" ht="15" customHeight="1">
      <c r="A39" s="16"/>
      <c r="B39" s="356"/>
      <c r="C39" s="356"/>
      <c r="D39" s="547"/>
      <c r="E39" s="63"/>
      <c r="F39" s="73"/>
      <c r="G39" s="73"/>
      <c r="H39" s="79"/>
      <c r="I39" s="80"/>
      <c r="J39" s="736"/>
    </row>
    <row r="40" spans="1:10" ht="14.25" customHeight="1">
      <c r="A40" s="10" t="s">
        <v>78</v>
      </c>
      <c r="B40" s="356"/>
      <c r="C40" s="356"/>
      <c r="D40" s="548"/>
      <c r="E40" s="69"/>
      <c r="F40" s="84">
        <f t="shared" ref="F40:J40" si="4">F33-F36-F37-F38</f>
        <v>-30616.78</v>
      </c>
      <c r="G40" s="84">
        <f>G33-G36-G37-G38</f>
        <v>120323603.63901401</v>
      </c>
      <c r="H40" s="84">
        <f>H33-H36-H37-H38</f>
        <v>-80535.659000209998</v>
      </c>
      <c r="I40" s="84">
        <f>I33-I36-I37-I38</f>
        <v>87914643.639014006</v>
      </c>
      <c r="J40" s="744">
        <f t="shared" si="4"/>
        <v>-111152.43900020979</v>
      </c>
    </row>
    <row r="41" spans="1:10" ht="14.25">
      <c r="A41" s="16"/>
      <c r="B41" s="356"/>
      <c r="C41" s="356"/>
      <c r="D41" s="547"/>
      <c r="E41" s="63"/>
      <c r="F41" s="73"/>
      <c r="G41" s="73"/>
      <c r="H41" s="79"/>
      <c r="I41" s="80"/>
      <c r="J41" s="738"/>
    </row>
    <row r="42" spans="1:10" ht="14.25">
      <c r="A42" s="10" t="s">
        <v>79</v>
      </c>
      <c r="B42" s="356"/>
      <c r="C42" s="356"/>
      <c r="D42" s="547"/>
      <c r="E42" s="63"/>
      <c r="F42" s="85">
        <v>0</v>
      </c>
      <c r="G42" s="85"/>
      <c r="H42" s="64">
        <v>0</v>
      </c>
      <c r="I42" s="64">
        <f>E42+G42</f>
        <v>0</v>
      </c>
      <c r="J42" s="735">
        <f>F42+H42</f>
        <v>0</v>
      </c>
    </row>
    <row r="43" spans="1:10" ht="14.25">
      <c r="A43" s="10" t="s">
        <v>80</v>
      </c>
      <c r="B43" s="356"/>
      <c r="C43" s="356"/>
      <c r="D43" s="547"/>
      <c r="E43" s="63"/>
      <c r="F43" s="85">
        <v>0</v>
      </c>
      <c r="G43" s="85"/>
      <c r="H43" s="64">
        <v>0</v>
      </c>
      <c r="I43" s="64">
        <f>E43+G43</f>
        <v>0</v>
      </c>
      <c r="J43" s="735">
        <f>F43+H43</f>
        <v>0</v>
      </c>
    </row>
    <row r="44" spans="1:10" ht="14.25">
      <c r="A44" s="86"/>
      <c r="B44" s="356"/>
      <c r="C44" s="356"/>
      <c r="D44" s="547"/>
      <c r="E44" s="63"/>
      <c r="F44" s="85"/>
      <c r="G44" s="85"/>
      <c r="H44" s="64"/>
      <c r="I44" s="64"/>
      <c r="J44" s="735"/>
    </row>
    <row r="45" spans="1:10" ht="14.25">
      <c r="A45" s="10" t="s">
        <v>81</v>
      </c>
      <c r="B45" s="356"/>
      <c r="C45" s="356"/>
      <c r="D45" s="547"/>
      <c r="E45" s="63"/>
      <c r="F45" s="85">
        <v>0</v>
      </c>
      <c r="G45" s="85"/>
      <c r="H45" s="64">
        <f>H42-H43</f>
        <v>0</v>
      </c>
      <c r="I45" s="64">
        <f>E45+G45</f>
        <v>0</v>
      </c>
      <c r="J45" s="735">
        <f>F45+H45</f>
        <v>0</v>
      </c>
    </row>
    <row r="46" spans="1:10" ht="14.25">
      <c r="A46" s="16"/>
      <c r="B46" s="356"/>
      <c r="C46" s="356"/>
      <c r="D46" s="547"/>
      <c r="E46" s="63"/>
      <c r="F46" s="85"/>
      <c r="G46" s="85"/>
      <c r="H46" s="79"/>
      <c r="I46" s="87"/>
      <c r="J46" s="739"/>
    </row>
    <row r="47" spans="1:10" ht="14.25">
      <c r="A47" s="81" t="s">
        <v>82</v>
      </c>
      <c r="B47" s="356"/>
      <c r="C47" s="356"/>
      <c r="D47" s="547"/>
      <c r="E47" s="63"/>
      <c r="F47" s="64">
        <f t="shared" ref="F47:J47" si="5">F40+F45</f>
        <v>-30616.78</v>
      </c>
      <c r="G47" s="64">
        <f t="shared" si="5"/>
        <v>120323603.63901401</v>
      </c>
      <c r="H47" s="64">
        <f t="shared" si="5"/>
        <v>-80535.659000209998</v>
      </c>
      <c r="I47" s="64">
        <f t="shared" si="5"/>
        <v>87914643.639014006</v>
      </c>
      <c r="J47" s="735">
        <f t="shared" si="5"/>
        <v>-111152.43900020979</v>
      </c>
    </row>
    <row r="48" spans="1:10" ht="14.25">
      <c r="A48" s="16"/>
      <c r="B48" s="356"/>
      <c r="C48" s="356"/>
      <c r="D48" s="547"/>
      <c r="E48" s="63"/>
      <c r="F48" s="64"/>
      <c r="G48" s="64"/>
      <c r="H48" s="64"/>
      <c r="I48" s="64"/>
      <c r="J48" s="735"/>
    </row>
    <row r="49" spans="1:10" ht="14.25">
      <c r="A49" s="81" t="s">
        <v>83</v>
      </c>
      <c r="B49" s="356"/>
      <c r="C49" s="356"/>
      <c r="D49" s="83"/>
      <c r="E49" s="83"/>
      <c r="F49" s="64"/>
      <c r="G49" s="64"/>
      <c r="H49" s="64"/>
      <c r="I49" s="64"/>
      <c r="J49" s="735"/>
    </row>
    <row r="50" spans="1:10" ht="14.25">
      <c r="A50" s="16" t="s">
        <v>84</v>
      </c>
      <c r="B50" s="356"/>
      <c r="C50" s="356"/>
      <c r="D50" s="83"/>
      <c r="E50" s="64">
        <f t="shared" ref="E50:J50" si="6">E47/10000</f>
        <v>0</v>
      </c>
      <c r="F50" s="64">
        <f t="shared" si="6"/>
        <v>-3.0616779999999997</v>
      </c>
      <c r="G50" s="64">
        <f t="shared" si="6"/>
        <v>12032.3603639014</v>
      </c>
      <c r="H50" s="64">
        <f t="shared" si="6"/>
        <v>-8.0535659000210007</v>
      </c>
      <c r="I50" s="64">
        <f>I47/10000</f>
        <v>8791.4643639014012</v>
      </c>
      <c r="J50" s="735">
        <f t="shared" si="6"/>
        <v>-11.11524390002098</v>
      </c>
    </row>
    <row r="51" spans="1:10" ht="14.25">
      <c r="A51" s="16" t="s">
        <v>85</v>
      </c>
      <c r="B51" s="356"/>
      <c r="C51" s="356"/>
      <c r="D51" s="83"/>
      <c r="E51" s="64">
        <f t="shared" ref="E51:J51" si="7">E47/10000</f>
        <v>0</v>
      </c>
      <c r="F51" s="64">
        <f t="shared" si="7"/>
        <v>-3.0616779999999997</v>
      </c>
      <c r="G51" s="64">
        <f t="shared" si="7"/>
        <v>12032.3603639014</v>
      </c>
      <c r="H51" s="64">
        <f t="shared" si="7"/>
        <v>-8.0535659000210007</v>
      </c>
      <c r="I51" s="64">
        <f t="shared" si="7"/>
        <v>8791.4643639014012</v>
      </c>
      <c r="J51" s="735">
        <f t="shared" si="7"/>
        <v>-11.11524390002098</v>
      </c>
    </row>
    <row r="52" spans="1:10" s="88" customFormat="1" ht="18" customHeight="1" thickBot="1">
      <c r="A52" s="778" t="s">
        <v>44</v>
      </c>
      <c r="B52" s="779"/>
      <c r="C52" s="780"/>
      <c r="D52" s="535"/>
      <c r="E52" s="535"/>
      <c r="F52" s="535"/>
      <c r="G52" s="536"/>
      <c r="H52" s="537"/>
      <c r="I52" s="537"/>
      <c r="J52" s="745"/>
    </row>
    <row r="53" spans="1:10" s="88" customFormat="1" ht="14.25">
      <c r="A53" s="531" t="s">
        <v>43</v>
      </c>
      <c r="B53" s="532" t="s">
        <v>43</v>
      </c>
      <c r="C53" s="532"/>
      <c r="D53" s="518"/>
      <c r="E53" s="518"/>
      <c r="F53" s="518"/>
      <c r="G53" s="518"/>
      <c r="H53" s="533" t="s">
        <v>43</v>
      </c>
      <c r="I53" s="534"/>
      <c r="J53" s="89"/>
    </row>
    <row r="54" spans="1:10" s="88" customFormat="1" ht="14.25">
      <c r="A54" s="10" t="s">
        <v>45</v>
      </c>
      <c r="B54" s="357" t="s">
        <v>43</v>
      </c>
      <c r="C54" s="518"/>
      <c r="D54" s="518" t="s">
        <v>43</v>
      </c>
      <c r="E54" s="357"/>
      <c r="F54" s="357"/>
      <c r="G54" s="357"/>
      <c r="H54" s="514" t="s">
        <v>43</v>
      </c>
      <c r="I54" s="526"/>
      <c r="J54" s="527"/>
    </row>
    <row r="55" spans="1:10" s="88" customFormat="1" ht="14.25">
      <c r="A55" s="49" t="s">
        <v>46</v>
      </c>
      <c r="D55" s="515"/>
      <c r="E55" s="516"/>
      <c r="F55" s="516"/>
      <c r="G55" s="516"/>
      <c r="I55" s="516" t="s">
        <v>86</v>
      </c>
      <c r="J55" s="287"/>
    </row>
    <row r="56" spans="1:10" s="88" customFormat="1" ht="14.25">
      <c r="A56" s="10" t="s">
        <v>47</v>
      </c>
      <c r="D56" s="515"/>
      <c r="E56" s="516"/>
      <c r="F56" s="516"/>
      <c r="G56" s="516"/>
      <c r="I56" s="516" t="s">
        <v>87</v>
      </c>
      <c r="J56" s="287"/>
    </row>
    <row r="57" spans="1:10" s="88" customFormat="1" ht="14.25">
      <c r="A57" s="50" t="s">
        <v>48</v>
      </c>
      <c r="B57" s="357"/>
      <c r="C57" s="518"/>
      <c r="D57" s="518"/>
      <c r="E57" s="357"/>
      <c r="F57" s="357"/>
      <c r="G57" s="357"/>
      <c r="H57" s="357"/>
      <c r="J57" s="89"/>
    </row>
    <row r="58" spans="1:10" s="88" customFormat="1" ht="14.25">
      <c r="A58" s="10" t="s">
        <v>43</v>
      </c>
      <c r="B58" s="357"/>
      <c r="C58" s="357"/>
      <c r="D58" s="518"/>
      <c r="E58" s="357"/>
      <c r="F58" s="357"/>
      <c r="G58" s="357"/>
      <c r="H58" s="528"/>
      <c r="J58" s="89"/>
    </row>
    <row r="59" spans="1:10" s="88" customFormat="1" ht="14.25">
      <c r="A59" s="10" t="s">
        <v>43</v>
      </c>
      <c r="B59" s="357"/>
      <c r="C59" s="357"/>
      <c r="D59" s="518"/>
      <c r="E59" s="357"/>
      <c r="F59" s="357"/>
      <c r="G59" s="357"/>
      <c r="H59" s="528"/>
      <c r="I59" s="529"/>
      <c r="J59" s="89"/>
    </row>
    <row r="60" spans="1:10" s="88" customFormat="1" ht="14.25">
      <c r="A60" s="10" t="s">
        <v>43</v>
      </c>
      <c r="B60" s="357"/>
      <c r="C60" s="357"/>
      <c r="D60" s="518"/>
      <c r="E60" s="357"/>
      <c r="F60" s="357"/>
      <c r="G60" s="357"/>
      <c r="H60" s="516" t="s">
        <v>43</v>
      </c>
      <c r="I60" s="529"/>
      <c r="J60" s="89"/>
    </row>
    <row r="61" spans="1:10" s="88" customFormat="1" ht="15" customHeight="1">
      <c r="A61" s="49" t="s">
        <v>88</v>
      </c>
      <c r="D61" s="518" t="s">
        <v>49</v>
      </c>
      <c r="E61" s="357"/>
      <c r="F61" s="357"/>
      <c r="G61" s="357"/>
      <c r="I61" s="512" t="s">
        <v>51</v>
      </c>
      <c r="J61" s="51" t="s">
        <v>52</v>
      </c>
    </row>
    <row r="62" spans="1:10" s="88" customFormat="1" ht="15" customHeight="1">
      <c r="A62" s="49" t="s">
        <v>53</v>
      </c>
      <c r="D62" s="518"/>
      <c r="E62" s="518"/>
      <c r="F62" s="518"/>
      <c r="G62" s="518"/>
      <c r="I62" s="512" t="s">
        <v>54</v>
      </c>
      <c r="J62" s="51" t="s">
        <v>54</v>
      </c>
    </row>
    <row r="63" spans="1:10" s="88" customFormat="1" ht="15" customHeight="1">
      <c r="A63" s="50" t="s">
        <v>55</v>
      </c>
      <c r="D63" s="518"/>
      <c r="E63" s="518"/>
      <c r="F63" s="518"/>
      <c r="G63" s="518"/>
      <c r="I63" s="512" t="s">
        <v>56</v>
      </c>
      <c r="J63" s="52" t="s">
        <v>57</v>
      </c>
    </row>
    <row r="64" spans="1:10" s="88" customFormat="1" ht="16.5" customHeight="1">
      <c r="A64" s="53" t="s">
        <v>89</v>
      </c>
      <c r="D64" s="518"/>
      <c r="E64" s="518"/>
      <c r="F64" s="518"/>
      <c r="G64" s="518"/>
      <c r="I64" s="519"/>
      <c r="J64" s="90"/>
    </row>
    <row r="65" spans="1:10" s="88" customFormat="1" ht="14.25">
      <c r="A65" s="50" t="s">
        <v>90</v>
      </c>
      <c r="B65" s="520"/>
      <c r="C65" s="518"/>
      <c r="D65" s="518"/>
      <c r="E65" s="518"/>
      <c r="F65" s="518"/>
      <c r="G65" s="518"/>
      <c r="H65" s="526"/>
      <c r="I65" s="530"/>
      <c r="J65" s="89"/>
    </row>
    <row r="66" spans="1:10" s="88" customFormat="1" ht="14.25">
      <c r="A66" s="50" t="s">
        <v>60</v>
      </c>
      <c r="B66" s="520"/>
      <c r="C66" s="357"/>
      <c r="D66" s="518"/>
      <c r="E66" s="521"/>
      <c r="F66" s="521"/>
      <c r="G66" s="521"/>
      <c r="H66" s="521"/>
      <c r="I66" s="522"/>
      <c r="J66" s="89"/>
    </row>
    <row r="67" spans="1:10" s="88" customFormat="1" ht="15" thickBot="1">
      <c r="A67" s="91"/>
      <c r="B67" s="54"/>
      <c r="C67" s="55"/>
      <c r="D67" s="637"/>
      <c r="E67" s="56"/>
      <c r="F67" s="56"/>
      <c r="G67" s="56"/>
      <c r="H67" s="56"/>
      <c r="I67" s="57"/>
      <c r="J67" s="92"/>
    </row>
  </sheetData>
  <customSheetViews>
    <customSheetView guid="{B8A679C5-B961-4392-BACF-6DDFA7297AAE}" scale="70" showPageBreaks="1" showGridLines="0" fitToPage="1" printArea="1" hiddenColumns="1">
      <selection activeCell="F25" sqref="F25:F34"/>
      <pageMargins left="0.25" right="2.9999999999999997E-4" top="0.25" bottom="0.25" header="0.3" footer="0.3"/>
      <printOptions horizontalCentered="1" verticalCentered="1"/>
      <pageSetup paperSize="9" scale="44" orientation="portrait" r:id="rId1"/>
    </customSheetView>
    <customSheetView guid="{DEA14913-9729-4C6C-B479-A92A59FB4580}" scale="70" showGridLines="0" fitToPage="1" printArea="1" hiddenColumns="1" topLeftCell="A6">
      <selection activeCell="A13" sqref="A13"/>
      <pageMargins left="0.25" right="2.9999999999999997E-4" top="0.25" bottom="0.25" header="0.3" footer="0.3"/>
      <printOptions horizontalCentered="1" verticalCentered="1"/>
      <pageSetup paperSize="9" scale="44" orientation="portrait" r:id="rId2"/>
    </customSheetView>
    <customSheetView guid="{8C4DF1F4-EAB1-489E-8362-1E2D3E732D13}" scale="70" showGridLines="0" fitToPage="1" hiddenColumns="1" topLeftCell="A4">
      <selection activeCell="I36" sqref="I36"/>
      <pageMargins left="0.25" right="2.9999999999999997E-4" top="0.25" bottom="0.25" header="0.3" footer="0.3"/>
      <printOptions horizontalCentered="1" verticalCentered="1"/>
      <pageSetup paperSize="9" scale="44" orientation="portrait" r:id="rId3"/>
    </customSheetView>
  </customSheetViews>
  <mergeCells count="12">
    <mergeCell ref="I6:J6"/>
    <mergeCell ref="A2:J2"/>
    <mergeCell ref="A3:J3"/>
    <mergeCell ref="A4:J4"/>
    <mergeCell ref="A5:J5"/>
    <mergeCell ref="A6:C7"/>
    <mergeCell ref="D6:D7"/>
    <mergeCell ref="A17:C17"/>
    <mergeCell ref="A24:C25"/>
    <mergeCell ref="A52:C52"/>
    <mergeCell ref="E6:F6"/>
    <mergeCell ref="G6:H6"/>
  </mergeCells>
  <printOptions horizontalCentered="1" verticalCentered="1"/>
  <pageMargins left="0.62992125984251968" right="0.59055118110236227" top="0" bottom="0.23622047244094491" header="0.31496062992125984" footer="0.31496062992125984"/>
  <pageSetup paperSize="9" scale="62"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6"/>
  <sheetViews>
    <sheetView showGridLines="0" topLeftCell="A52" workbookViewId="0">
      <selection sqref="A1:D66"/>
    </sheetView>
  </sheetViews>
  <sheetFormatPr defaultRowHeight="15"/>
  <cols>
    <col min="1" max="1" width="8.7109375" customWidth="1"/>
    <col min="2" max="2" width="64.7109375" bestFit="1" customWidth="1"/>
    <col min="3" max="3" width="21.5703125" style="285" customWidth="1"/>
    <col min="4" max="4" width="22.140625" style="285" customWidth="1"/>
    <col min="5" max="5" width="13.7109375" bestFit="1" customWidth="1"/>
    <col min="6" max="6" width="13.5703125" bestFit="1" customWidth="1"/>
    <col min="7" max="7" width="14.28515625" bestFit="1" customWidth="1"/>
  </cols>
  <sheetData>
    <row r="1" spans="1:4" ht="18">
      <c r="A1" s="796" t="s">
        <v>0</v>
      </c>
      <c r="B1" s="797"/>
      <c r="C1" s="797"/>
      <c r="D1" s="798"/>
    </row>
    <row r="2" spans="1:4" ht="18">
      <c r="A2" s="799" t="str">
        <f>[1]Balancesheet!A3</f>
        <v>CIN :- U45201PN2022PTC207521</v>
      </c>
      <c r="B2" s="800"/>
      <c r="C2" s="800"/>
      <c r="D2" s="801"/>
    </row>
    <row r="3" spans="1:4" ht="18">
      <c r="A3" s="799" t="s">
        <v>1565</v>
      </c>
      <c r="B3" s="800"/>
      <c r="C3" s="800"/>
      <c r="D3" s="801"/>
    </row>
    <row r="4" spans="1:4" ht="54">
      <c r="A4" s="720" t="s">
        <v>1566</v>
      </c>
      <c r="B4" s="615" t="s">
        <v>3</v>
      </c>
      <c r="C4" s="616" t="s">
        <v>1608</v>
      </c>
      <c r="D4" s="721" t="s">
        <v>1607</v>
      </c>
    </row>
    <row r="5" spans="1:4" ht="18">
      <c r="A5" s="608" t="s">
        <v>1567</v>
      </c>
      <c r="B5" s="538" t="s">
        <v>1568</v>
      </c>
      <c r="C5" s="589"/>
      <c r="D5" s="609"/>
    </row>
    <row r="6" spans="1:4" ht="18">
      <c r="A6" s="608"/>
      <c r="B6" s="539" t="s">
        <v>1569</v>
      </c>
      <c r="C6" s="590">
        <f>PL!I33</f>
        <v>120321694.04650384</v>
      </c>
      <c r="D6" s="610">
        <f>PL!J33</f>
        <v>-114738.43900020979</v>
      </c>
    </row>
    <row r="7" spans="1:4" ht="18">
      <c r="A7" s="608"/>
      <c r="B7" s="538" t="s">
        <v>1570</v>
      </c>
      <c r="C7" s="589"/>
      <c r="D7" s="611"/>
    </row>
    <row r="8" spans="1:4" ht="18">
      <c r="A8" s="608"/>
      <c r="B8" s="540" t="s">
        <v>275</v>
      </c>
      <c r="C8" s="590">
        <f>PL!I20</f>
        <v>14575.785328033107</v>
      </c>
      <c r="D8" s="611">
        <f>PL!J20</f>
        <v>22469.87</v>
      </c>
    </row>
    <row r="9" spans="1:4" ht="18">
      <c r="A9" s="608"/>
      <c r="B9" s="540" t="s">
        <v>225</v>
      </c>
      <c r="C9" s="590">
        <f>PL!I19</f>
        <v>62874802.399999999</v>
      </c>
      <c r="D9" s="611">
        <f>PL!J19</f>
        <v>16021317</v>
      </c>
    </row>
    <row r="10" spans="1:4" ht="18">
      <c r="A10" s="608"/>
      <c r="B10" s="541" t="s">
        <v>1571</v>
      </c>
      <c r="C10" s="591">
        <f>SUM(C6:C9)</f>
        <v>183211072.23183188</v>
      </c>
      <c r="D10" s="612">
        <f>SUM(D6:D9)</f>
        <v>15929048.430999789</v>
      </c>
    </row>
    <row r="11" spans="1:4" ht="18">
      <c r="A11" s="608"/>
      <c r="B11" s="543" t="s">
        <v>12</v>
      </c>
      <c r="C11" s="592"/>
      <c r="D11" s="611"/>
    </row>
    <row r="12" spans="1:4" ht="18">
      <c r="A12" s="608"/>
      <c r="B12" s="544" t="s">
        <v>1572</v>
      </c>
      <c r="C12" s="589"/>
      <c r="D12" s="611"/>
    </row>
    <row r="13" spans="1:4" ht="18">
      <c r="A13" s="608"/>
      <c r="B13" s="545" t="s">
        <v>1573</v>
      </c>
      <c r="C13" s="546">
        <f>BS!H50-BS!I50</f>
        <v>0</v>
      </c>
      <c r="D13" s="611">
        <f>BS!I50</f>
        <v>0</v>
      </c>
    </row>
    <row r="14" spans="1:4" ht="18">
      <c r="A14" s="608"/>
      <c r="B14" s="545" t="s">
        <v>1574</v>
      </c>
      <c r="C14" s="594">
        <f>-(BS!H53-BS!I53)</f>
        <v>-10182081.410000004</v>
      </c>
      <c r="D14" s="610">
        <f>-BS!I53</f>
        <v>-29390080.859999999</v>
      </c>
    </row>
    <row r="15" spans="1:4" ht="18">
      <c r="A15" s="608"/>
      <c r="B15" s="718" t="s">
        <v>1575</v>
      </c>
      <c r="C15" s="546">
        <f>BS!H45-BS!I45</f>
        <v>0</v>
      </c>
      <c r="D15" s="611">
        <f>BS!I45</f>
        <v>0</v>
      </c>
    </row>
    <row r="16" spans="1:4" ht="18">
      <c r="A16" s="608"/>
      <c r="B16" s="545" t="s">
        <v>1576</v>
      </c>
      <c r="C16" s="546">
        <f>BS!H21-BS!I21</f>
        <v>0</v>
      </c>
      <c r="D16" s="611">
        <f>BS!I21</f>
        <v>0</v>
      </c>
    </row>
    <row r="17" spans="1:4" ht="18">
      <c r="A17" s="608"/>
      <c r="B17" s="545" t="s">
        <v>1577</v>
      </c>
      <c r="C17" s="594">
        <f>BS!H27+BS!H28-BS!I27-BS!I28</f>
        <v>-232935475.57999897</v>
      </c>
      <c r="D17" s="611">
        <v>518850051.07999897</v>
      </c>
    </row>
    <row r="18" spans="1:4" ht="18">
      <c r="A18" s="608"/>
      <c r="B18" s="545" t="s">
        <v>1578</v>
      </c>
      <c r="C18" s="594">
        <f>BS!H29-BS!I29</f>
        <v>-262611327.76000023</v>
      </c>
      <c r="D18" s="611">
        <v>1062683141.8699989</v>
      </c>
    </row>
    <row r="19" spans="1:4" ht="18">
      <c r="A19" s="608"/>
      <c r="B19" s="545" t="s">
        <v>1579</v>
      </c>
      <c r="C19" s="546">
        <f>BS!H22-BS!I22</f>
        <v>0</v>
      </c>
      <c r="D19" s="611">
        <f>[1]Balancesheet!I21-[1]Balancesheet!J21</f>
        <v>0</v>
      </c>
    </row>
    <row r="20" spans="1:4" ht="18">
      <c r="A20" s="608"/>
      <c r="B20" s="545" t="s">
        <v>1580</v>
      </c>
      <c r="C20" s="546">
        <f>BS!H30-BS!I30</f>
        <v>47738814.549999997</v>
      </c>
      <c r="D20" s="611">
        <v>767510.00000013411</v>
      </c>
    </row>
    <row r="21" spans="1:4" ht="18">
      <c r="A21" s="608"/>
      <c r="B21" s="545" t="s">
        <v>1581</v>
      </c>
      <c r="C21" s="594">
        <f>-(BS!H49-BS!I49)</f>
        <v>-101210440.43183184</v>
      </c>
      <c r="D21" s="610">
        <v>-924343636.8499999</v>
      </c>
    </row>
    <row r="22" spans="1:4" ht="18">
      <c r="A22" s="608"/>
      <c r="B22" s="545" t="s">
        <v>12</v>
      </c>
      <c r="C22" s="546"/>
      <c r="D22" s="611"/>
    </row>
    <row r="23" spans="1:4" ht="18">
      <c r="A23" s="608"/>
      <c r="B23" s="543" t="s">
        <v>1582</v>
      </c>
      <c r="C23" s="594">
        <f>C10+SUM(C13:C22)</f>
        <v>-375989438.39999902</v>
      </c>
      <c r="D23" s="611">
        <f>D10+SUM(D13:D22)</f>
        <v>644496033.67099786</v>
      </c>
    </row>
    <row r="24" spans="1:4" ht="18">
      <c r="A24" s="608"/>
      <c r="B24" s="545" t="s">
        <v>1583</v>
      </c>
      <c r="C24" s="593">
        <f>PL!I36+PL!I38</f>
        <v>32408960</v>
      </c>
      <c r="D24" s="611">
        <f>[1]PL!I35</f>
        <v>0</v>
      </c>
    </row>
    <row r="25" spans="1:4" ht="36">
      <c r="A25" s="608"/>
      <c r="B25" s="617" t="s">
        <v>1584</v>
      </c>
      <c r="C25" s="595">
        <f>C23-C24</f>
        <v>-408398398.39999902</v>
      </c>
      <c r="D25" s="612">
        <f>D23-D24</f>
        <v>644496033.67099786</v>
      </c>
    </row>
    <row r="26" spans="1:4" ht="18">
      <c r="A26" s="608"/>
      <c r="B26" s="545" t="s">
        <v>12</v>
      </c>
      <c r="C26" s="619"/>
      <c r="D26" s="722"/>
    </row>
    <row r="27" spans="1:4" ht="18">
      <c r="A27" s="608" t="s">
        <v>1585</v>
      </c>
      <c r="B27" s="544" t="s">
        <v>1586</v>
      </c>
      <c r="C27" s="589"/>
      <c r="D27" s="611"/>
    </row>
    <row r="28" spans="1:4" ht="18">
      <c r="A28" s="608"/>
      <c r="B28" s="545" t="s">
        <v>1587</v>
      </c>
      <c r="C28" s="546">
        <f>SUM(BS!H38:H41)+PL!I20-BS!I38</f>
        <v>0</v>
      </c>
      <c r="D28" s="610">
        <v>-54811</v>
      </c>
    </row>
    <row r="29" spans="1:4" ht="18">
      <c r="A29" s="608"/>
      <c r="B29" s="545" t="s">
        <v>1588</v>
      </c>
      <c r="C29" s="594">
        <f>-(BS!H52-BS!I52)</f>
        <v>-176615</v>
      </c>
      <c r="D29" s="610">
        <v>-41467</v>
      </c>
    </row>
    <row r="30" spans="1:4" ht="18">
      <c r="A30" s="608"/>
      <c r="B30" s="545" t="s">
        <v>1589</v>
      </c>
      <c r="C30" s="546">
        <f>BS!H44-BS!I44</f>
        <v>0</v>
      </c>
      <c r="D30" s="611">
        <v>0</v>
      </c>
    </row>
    <row r="31" spans="1:4" ht="18">
      <c r="A31" s="608"/>
      <c r="B31" s="718" t="s">
        <v>1590</v>
      </c>
      <c r="C31" s="546">
        <f>BS!H45-BS!I45</f>
        <v>0</v>
      </c>
      <c r="D31" s="611">
        <v>0</v>
      </c>
    </row>
    <row r="32" spans="1:4" ht="18">
      <c r="A32" s="608"/>
      <c r="B32" s="718" t="s">
        <v>1591</v>
      </c>
      <c r="C32" s="618">
        <f>-(BS!H48-BS!I48)</f>
        <v>-36282066.210000001</v>
      </c>
      <c r="D32" s="723">
        <v>-1055980</v>
      </c>
    </row>
    <row r="33" spans="1:4" ht="18">
      <c r="A33" s="608"/>
      <c r="B33" s="541" t="s">
        <v>1592</v>
      </c>
      <c r="C33" s="595">
        <f>SUM(C28:C32)</f>
        <v>-36458681.210000001</v>
      </c>
      <c r="D33" s="613">
        <f>SUM(D28:D32)</f>
        <v>-1152258</v>
      </c>
    </row>
    <row r="34" spans="1:4" ht="18">
      <c r="A34" s="608"/>
      <c r="B34" s="545" t="s">
        <v>12</v>
      </c>
      <c r="C34" s="619"/>
      <c r="D34" s="722"/>
    </row>
    <row r="35" spans="1:4" ht="18">
      <c r="A35" s="608" t="s">
        <v>1593</v>
      </c>
      <c r="B35" s="544" t="s">
        <v>1594</v>
      </c>
      <c r="C35" s="589"/>
      <c r="D35" s="611"/>
    </row>
    <row r="36" spans="1:4" ht="18">
      <c r="A36" s="608"/>
      <c r="B36" s="718" t="s">
        <v>1595</v>
      </c>
      <c r="C36" s="546">
        <f>BS!H19-BS!I19</f>
        <v>385332498.52999997</v>
      </c>
      <c r="D36" s="609"/>
    </row>
    <row r="37" spans="1:4" ht="18">
      <c r="A37" s="608"/>
      <c r="B37" s="718" t="s">
        <v>1596</v>
      </c>
      <c r="C37" s="546">
        <f>(BS!H25-BS!I25)</f>
        <v>126394305.44000006</v>
      </c>
      <c r="D37" s="610">
        <v>-649291480</v>
      </c>
    </row>
    <row r="38" spans="1:4" ht="18">
      <c r="A38" s="608"/>
      <c r="B38" s="545" t="s">
        <v>1597</v>
      </c>
      <c r="C38" s="590">
        <f>[1]Balancesheet!F11-[1]Balancesheet!G11</f>
        <v>0</v>
      </c>
      <c r="D38" s="611">
        <f>[1]Balancesheet!G11-[1]Balancesheet!H11</f>
        <v>0</v>
      </c>
    </row>
    <row r="39" spans="1:4" ht="18">
      <c r="A39" s="608"/>
      <c r="B39" s="545" t="s">
        <v>1598</v>
      </c>
      <c r="C39" s="594">
        <f>(C9)*-1</f>
        <v>-62874802.399999999</v>
      </c>
      <c r="D39" s="610">
        <f>(D9)*-1</f>
        <v>-16021317</v>
      </c>
    </row>
    <row r="40" spans="1:4" ht="18">
      <c r="A40" s="608"/>
      <c r="B40" s="718" t="s">
        <v>1599</v>
      </c>
      <c r="C40" s="593"/>
      <c r="D40" s="724">
        <f>([1]Balancesheet!I12-[1]Balancesheet!J12)-[1]PL!I46</f>
        <v>0</v>
      </c>
    </row>
    <row r="41" spans="1:4" ht="18">
      <c r="A41" s="608"/>
      <c r="B41" s="541" t="s">
        <v>1600</v>
      </c>
      <c r="C41" s="591">
        <f>SUM(C36:C40)</f>
        <v>448852001.57000005</v>
      </c>
      <c r="D41" s="613">
        <f>SUM(D36:D40)</f>
        <v>-665312797</v>
      </c>
    </row>
    <row r="42" spans="1:4" ht="18">
      <c r="A42" s="608"/>
      <c r="B42" s="539" t="s">
        <v>12</v>
      </c>
      <c r="C42" s="546"/>
      <c r="D42" s="611"/>
    </row>
    <row r="43" spans="1:4" ht="18">
      <c r="A43" s="608" t="s">
        <v>1601</v>
      </c>
      <c r="B43" s="542" t="s">
        <v>1602</v>
      </c>
      <c r="C43" s="590">
        <f>C25+C33+C41</f>
        <v>3994921.9600010514</v>
      </c>
      <c r="D43" s="610">
        <f>D25+D33+D41</f>
        <v>-21969021.329002142</v>
      </c>
    </row>
    <row r="44" spans="1:4" ht="18">
      <c r="A44" s="608"/>
      <c r="B44" s="539" t="s">
        <v>1603</v>
      </c>
      <c r="C44" s="546">
        <f>BS!I51</f>
        <v>6890261.9900000002</v>
      </c>
      <c r="D44" s="611">
        <v>28859283.670000002</v>
      </c>
    </row>
    <row r="45" spans="1:4" ht="18">
      <c r="A45" s="608"/>
      <c r="B45" s="539" t="s">
        <v>12</v>
      </c>
      <c r="C45" s="546"/>
      <c r="D45" s="611"/>
    </row>
    <row r="46" spans="1:4" ht="18">
      <c r="A46" s="608"/>
      <c r="B46" s="541" t="s">
        <v>1604</v>
      </c>
      <c r="C46" s="591">
        <f>SUM(C43:C44)</f>
        <v>10885183.950001052</v>
      </c>
      <c r="D46" s="612">
        <f>SUM(D43:D44)</f>
        <v>6890262.3409978598</v>
      </c>
    </row>
    <row r="47" spans="1:4" ht="18">
      <c r="A47" s="608"/>
      <c r="B47" s="539" t="s">
        <v>12</v>
      </c>
      <c r="C47" s="546"/>
      <c r="D47" s="611"/>
    </row>
    <row r="48" spans="1:4" ht="18">
      <c r="A48" s="608"/>
      <c r="B48" s="542" t="s">
        <v>1605</v>
      </c>
      <c r="C48" s="588"/>
      <c r="D48" s="611"/>
    </row>
    <row r="49" spans="1:6" ht="18">
      <c r="A49" s="608"/>
      <c r="B49" s="542" t="s">
        <v>169</v>
      </c>
      <c r="C49" s="588"/>
      <c r="D49" s="611"/>
    </row>
    <row r="50" spans="1:6" ht="18">
      <c r="A50" s="608"/>
      <c r="B50" s="542" t="s">
        <v>154</v>
      </c>
      <c r="C50" s="588"/>
      <c r="D50" s="611"/>
    </row>
    <row r="51" spans="1:6" ht="18">
      <c r="A51" s="608"/>
      <c r="B51" s="542" t="s">
        <v>1606</v>
      </c>
      <c r="C51" s="588">
        <f>BS!H51</f>
        <v>10885184.4</v>
      </c>
      <c r="D51" s="614">
        <f>BS!I51</f>
        <v>6890261.9900000002</v>
      </c>
      <c r="E51" s="285"/>
      <c r="F51" s="285"/>
    </row>
    <row r="52" spans="1:6" ht="18">
      <c r="A52" s="725"/>
      <c r="B52" s="719"/>
      <c r="C52" s="593"/>
      <c r="D52" s="724"/>
    </row>
    <row r="53" spans="1:6" ht="18">
      <c r="A53" s="714"/>
      <c r="B53" s="715"/>
      <c r="C53" s="716"/>
      <c r="D53" s="717"/>
    </row>
    <row r="54" spans="1:6" ht="18">
      <c r="A54" s="802" t="s">
        <v>45</v>
      </c>
      <c r="B54" s="803"/>
      <c r="C54" s="596"/>
      <c r="D54" s="599"/>
    </row>
    <row r="55" spans="1:6" ht="18">
      <c r="A55" s="804" t="str">
        <f>[1]Balancesheet!A59</f>
        <v>As per our report of even date</v>
      </c>
      <c r="B55" s="805"/>
      <c r="C55" s="746" t="s">
        <v>86</v>
      </c>
      <c r="D55" s="600"/>
    </row>
    <row r="56" spans="1:6" ht="18">
      <c r="A56" s="802" t="s">
        <v>47</v>
      </c>
      <c r="B56" s="803"/>
      <c r="C56" s="746" t="s">
        <v>0</v>
      </c>
      <c r="D56" s="600"/>
    </row>
    <row r="57" spans="1:6" ht="18">
      <c r="A57" s="804" t="s">
        <v>48</v>
      </c>
      <c r="B57" s="805"/>
      <c r="C57" s="596"/>
      <c r="D57" s="599"/>
    </row>
    <row r="58" spans="1:6" ht="18">
      <c r="A58" s="601"/>
      <c r="B58" s="726"/>
      <c r="C58" s="597"/>
      <c r="D58" s="602"/>
    </row>
    <row r="59" spans="1:6" ht="18">
      <c r="A59" s="804" t="s">
        <v>88</v>
      </c>
      <c r="B59" s="805"/>
      <c r="C59" s="731" t="s">
        <v>51</v>
      </c>
      <c r="D59" s="732" t="s">
        <v>52</v>
      </c>
    </row>
    <row r="60" spans="1:6" ht="18">
      <c r="A60" s="804" t="s">
        <v>53</v>
      </c>
      <c r="B60" s="805"/>
      <c r="C60" s="731" t="s">
        <v>54</v>
      </c>
      <c r="D60" s="732" t="s">
        <v>54</v>
      </c>
    </row>
    <row r="61" spans="1:6" ht="18">
      <c r="A61" s="804" t="s">
        <v>55</v>
      </c>
      <c r="B61" s="805"/>
      <c r="C61" s="731" t="str">
        <f>BS!H66</f>
        <v>DIN  :- 00516086</v>
      </c>
      <c r="D61" s="732" t="str">
        <f>BS!I66</f>
        <v>DIN  :- 02305167</v>
      </c>
    </row>
    <row r="62" spans="1:6" ht="18">
      <c r="A62" s="804" t="s">
        <v>89</v>
      </c>
      <c r="B62" s="805"/>
      <c r="C62" s="598"/>
      <c r="D62" s="599"/>
    </row>
    <row r="63" spans="1:6" ht="18">
      <c r="A63" s="603"/>
      <c r="B63" s="727"/>
      <c r="C63" s="598"/>
      <c r="D63" s="599"/>
    </row>
    <row r="64" spans="1:6" ht="18">
      <c r="A64" s="804" t="s">
        <v>90</v>
      </c>
      <c r="B64" s="805"/>
      <c r="C64" s="598"/>
      <c r="D64" s="602"/>
    </row>
    <row r="65" spans="1:4" ht="18">
      <c r="A65" s="804" t="s">
        <v>60</v>
      </c>
      <c r="B65" s="805"/>
      <c r="C65" s="598"/>
      <c r="D65" s="602"/>
    </row>
    <row r="66" spans="1:4" ht="18.75" thickBot="1">
      <c r="A66" s="604"/>
      <c r="B66" s="605"/>
      <c r="C66" s="606"/>
      <c r="D66" s="607"/>
    </row>
  </sheetData>
  <mergeCells count="13">
    <mergeCell ref="A64:B64"/>
    <mergeCell ref="A65:B65"/>
    <mergeCell ref="A55:B55"/>
    <mergeCell ref="A56:B56"/>
    <mergeCell ref="A57:B57"/>
    <mergeCell ref="A59:B59"/>
    <mergeCell ref="A60:B60"/>
    <mergeCell ref="A61:B61"/>
    <mergeCell ref="A1:D1"/>
    <mergeCell ref="A2:D2"/>
    <mergeCell ref="A3:D3"/>
    <mergeCell ref="A54:B54"/>
    <mergeCell ref="A62:B62"/>
  </mergeCells>
  <pageMargins left="1.299212598425197" right="0.11811023622047245" top="0.74803149606299213" bottom="0.74803149606299213" header="0.31496062992125984" footer="0.31496062992125984"/>
  <pageSetup scale="5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customSheetViews>
    <customSheetView guid="{B8A679C5-B961-4392-BACF-6DDFA7297AAE}" state="hidden">
      <pageMargins left="0.7" right="0.7" top="0.75" bottom="0.75" header="0.3" footer="0.3"/>
    </customSheetView>
    <customSheetView guid="{DEA14913-9729-4C6C-B479-A92A59FB4580}">
      <pageMargins left="0.7" right="0.7" top="0.75" bottom="0.75" header="0.3" footer="0.3"/>
    </customSheetView>
    <customSheetView guid="{8C4DF1F4-EAB1-489E-8362-1E2D3E732D13}" state="hidden">
      <pageMargins left="0.7" right="0.7" top="0.75" bottom="0.75" header="0.3" footer="0.3"/>
    </customSheetView>
  </customSheetView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fitToPage="1"/>
  </sheetPr>
  <dimension ref="A1:BJ1171"/>
  <sheetViews>
    <sheetView showGridLines="0" zoomScale="66" zoomScaleNormal="66" workbookViewId="0">
      <pane ySplit="1" topLeftCell="A186" activePane="bottomLeft" state="frozen"/>
      <selection pane="bottomLeft" activeCell="B203" sqref="B203"/>
    </sheetView>
  </sheetViews>
  <sheetFormatPr defaultRowHeight="15"/>
  <cols>
    <col min="1" max="1" width="49.7109375" customWidth="1"/>
    <col min="2" max="2" width="21.7109375" customWidth="1"/>
    <col min="3" max="3" width="27.42578125" style="285" customWidth="1"/>
    <col min="4" max="4" width="24" style="335" bestFit="1" customWidth="1"/>
    <col min="5" max="6" width="26.28515625" style="335" bestFit="1" customWidth="1"/>
    <col min="7" max="7" width="30" style="335" bestFit="1" customWidth="1"/>
    <col min="8" max="8" width="22.28515625" customWidth="1"/>
    <col min="9" max="9" width="19" bestFit="1" customWidth="1"/>
    <col min="10" max="10" width="16.140625" bestFit="1" customWidth="1"/>
    <col min="11" max="11" width="19.7109375" bestFit="1" customWidth="1"/>
    <col min="12" max="12" width="22.28515625" customWidth="1"/>
    <col min="13" max="13" width="21.42578125" customWidth="1"/>
    <col min="14" max="16" width="21.7109375" bestFit="1" customWidth="1"/>
    <col min="17" max="17" width="17.7109375" bestFit="1" customWidth="1"/>
    <col min="18" max="18" width="18.7109375" bestFit="1" customWidth="1"/>
    <col min="19" max="19" width="15.42578125" bestFit="1" customWidth="1"/>
    <col min="20" max="20" width="19.28515625" bestFit="1" customWidth="1"/>
  </cols>
  <sheetData>
    <row r="1" spans="1:14" ht="18.75">
      <c r="A1" s="341" t="s">
        <v>492</v>
      </c>
    </row>
    <row r="3" spans="1:14" ht="18.75">
      <c r="A3" s="364" t="s">
        <v>519</v>
      </c>
      <c r="B3" s="341"/>
      <c r="D3" s="364"/>
      <c r="E3" s="363"/>
      <c r="F3" s="363"/>
    </row>
    <row r="4" spans="1:14" ht="30">
      <c r="A4" s="354" t="s">
        <v>511</v>
      </c>
      <c r="B4" s="354" t="s">
        <v>546</v>
      </c>
      <c r="C4" s="503" t="s">
        <v>547</v>
      </c>
      <c r="D4" s="354" t="s">
        <v>557</v>
      </c>
      <c r="E4" s="354" t="s">
        <v>555</v>
      </c>
      <c r="F4" s="354" t="s">
        <v>556</v>
      </c>
      <c r="G4" s="354" t="s">
        <v>558</v>
      </c>
      <c r="H4" s="354" t="s">
        <v>559</v>
      </c>
      <c r="I4" s="354" t="s">
        <v>560</v>
      </c>
      <c r="J4" s="354" t="s">
        <v>549</v>
      </c>
      <c r="K4" s="354" t="s">
        <v>680</v>
      </c>
      <c r="N4" s="333" t="s">
        <v>544</v>
      </c>
    </row>
    <row r="5" spans="1:14" ht="15.75">
      <c r="A5" s="461" t="s">
        <v>515</v>
      </c>
      <c r="B5" s="394">
        <v>0.49</v>
      </c>
      <c r="C5" s="366">
        <f>+B5*10000</f>
        <v>4900</v>
      </c>
      <c r="D5" s="367">
        <f>88673100</f>
        <v>88673100</v>
      </c>
      <c r="E5" s="334">
        <f>5352923.6</f>
        <v>5352923.5999999996</v>
      </c>
      <c r="F5" s="334">
        <v>0</v>
      </c>
      <c r="G5" s="334">
        <f>+SUM(D5:F5)</f>
        <v>94026023.599999994</v>
      </c>
      <c r="H5" s="334">
        <v>273000</v>
      </c>
      <c r="I5" s="395" t="s">
        <v>561</v>
      </c>
      <c r="J5" s="330">
        <f t="shared" ref="J5:J10" si="0">+G5*$C$145</f>
        <v>13261265.85009652</v>
      </c>
      <c r="K5" s="330">
        <f t="shared" ref="K5:K10" si="1">G5*$C$146</f>
        <v>80764757.749903485</v>
      </c>
      <c r="N5" s="333" t="s">
        <v>389</v>
      </c>
    </row>
    <row r="6" spans="1:14" ht="15.75">
      <c r="A6" s="461" t="s">
        <v>512</v>
      </c>
      <c r="B6" s="394">
        <f>+(0.28+0.6+0.29+0.28)</f>
        <v>1.45</v>
      </c>
      <c r="C6" s="366">
        <f t="shared" ref="C6:C10" si="2">+B6*10000</f>
        <v>14500</v>
      </c>
      <c r="D6" s="367">
        <f>205595682</f>
        <v>205595682</v>
      </c>
      <c r="E6" s="334">
        <v>14424800</v>
      </c>
      <c r="F6" s="334">
        <v>0</v>
      </c>
      <c r="G6" s="334">
        <f>+SUM(D6:F6)</f>
        <v>220020482</v>
      </c>
      <c r="H6" s="334"/>
      <c r="I6" s="395" t="s">
        <v>562</v>
      </c>
      <c r="J6" s="330">
        <f t="shared" si="0"/>
        <v>31031303.808835924</v>
      </c>
      <c r="K6" s="330">
        <f t="shared" si="1"/>
        <v>188989178.19116408</v>
      </c>
      <c r="N6" s="333" t="s">
        <v>396</v>
      </c>
    </row>
    <row r="7" spans="1:14" ht="15.75">
      <c r="A7" s="461" t="s">
        <v>513</v>
      </c>
      <c r="B7" s="394">
        <f>+(1.65+0.895+1)</f>
        <v>3.5449999999999999</v>
      </c>
      <c r="C7" s="366">
        <f t="shared" si="2"/>
        <v>35450</v>
      </c>
      <c r="D7" s="367">
        <f>473340000</f>
        <v>473340000</v>
      </c>
      <c r="E7" s="334">
        <v>33170900</v>
      </c>
      <c r="F7" s="334">
        <v>0</v>
      </c>
      <c r="G7" s="334">
        <f t="shared" ref="G7:G10" si="3">+SUM(D7:F7)</f>
        <v>506510900</v>
      </c>
      <c r="H7" s="334"/>
      <c r="I7" s="395" t="s">
        <v>562</v>
      </c>
      <c r="J7" s="330">
        <f t="shared" si="0"/>
        <v>71437411.087877318</v>
      </c>
      <c r="K7" s="330">
        <f t="shared" si="1"/>
        <v>435073488.91212273</v>
      </c>
      <c r="N7" s="333" t="s">
        <v>395</v>
      </c>
    </row>
    <row r="8" spans="1:14" ht="15.75">
      <c r="A8" s="461" t="s">
        <v>514</v>
      </c>
      <c r="B8" s="394">
        <v>0.89500000000000002</v>
      </c>
      <c r="C8" s="366">
        <f t="shared" si="2"/>
        <v>8950</v>
      </c>
      <c r="D8" s="367">
        <f>135000000</f>
        <v>135000000</v>
      </c>
      <c r="E8" s="334">
        <v>9480000</v>
      </c>
      <c r="F8" s="334">
        <v>0</v>
      </c>
      <c r="G8" s="334">
        <f t="shared" si="3"/>
        <v>144480000</v>
      </c>
      <c r="H8" s="334"/>
      <c r="I8" s="395" t="s">
        <v>562</v>
      </c>
      <c r="J8" s="330">
        <f t="shared" si="0"/>
        <v>20377206.401632253</v>
      </c>
      <c r="K8" s="330">
        <f t="shared" si="1"/>
        <v>124102793.59836775</v>
      </c>
      <c r="N8" s="333" t="s">
        <v>394</v>
      </c>
    </row>
    <row r="9" spans="1:14" ht="15.75">
      <c r="A9" s="368" t="s">
        <v>517</v>
      </c>
      <c r="B9" s="394">
        <v>0.85529999999999995</v>
      </c>
      <c r="C9" s="366">
        <f t="shared" si="2"/>
        <v>8553</v>
      </c>
      <c r="D9" s="369">
        <f>225000000</f>
        <v>225000000</v>
      </c>
      <c r="E9" s="334">
        <f>15750000+30000</f>
        <v>15780000</v>
      </c>
      <c r="F9" s="334">
        <v>2500000</v>
      </c>
      <c r="G9" s="334">
        <f t="shared" si="3"/>
        <v>243280000</v>
      </c>
      <c r="H9" s="334">
        <v>3250257.42</v>
      </c>
      <c r="I9" s="395" t="s">
        <v>563</v>
      </c>
      <c r="J9" s="330">
        <f t="shared" si="0"/>
        <v>34311785.530101709</v>
      </c>
      <c r="K9" s="330">
        <f t="shared" si="1"/>
        <v>208968214.46989831</v>
      </c>
      <c r="N9" s="333" t="s">
        <v>393</v>
      </c>
    </row>
    <row r="10" spans="1:14" ht="15.75">
      <c r="A10" s="368" t="s">
        <v>518</v>
      </c>
      <c r="B10" s="394">
        <f>0.8533+0.002</f>
        <v>0.85529999999999995</v>
      </c>
      <c r="C10" s="366">
        <f t="shared" si="2"/>
        <v>8553</v>
      </c>
      <c r="D10" s="369">
        <f>225000000</f>
        <v>225000000</v>
      </c>
      <c r="E10" s="334">
        <f>15750000+30000</f>
        <v>15780000</v>
      </c>
      <c r="F10" s="334">
        <v>2500000</v>
      </c>
      <c r="G10" s="334">
        <f t="shared" si="3"/>
        <v>243280000</v>
      </c>
      <c r="H10" s="334">
        <v>3250257</v>
      </c>
      <c r="I10" s="395" t="s">
        <v>563</v>
      </c>
      <c r="J10" s="330">
        <f t="shared" si="0"/>
        <v>34311785.530101709</v>
      </c>
      <c r="K10" s="330">
        <f t="shared" si="1"/>
        <v>208968214.46989831</v>
      </c>
      <c r="N10" s="333" t="s">
        <v>392</v>
      </c>
    </row>
    <row r="11" spans="1:14" ht="15.75">
      <c r="A11" s="354" t="s">
        <v>516</v>
      </c>
      <c r="B11" s="388">
        <f>SUM(B5:B10)</f>
        <v>8.0905999999999985</v>
      </c>
      <c r="C11" s="389">
        <f t="shared" ref="C11:G11" si="4">SUBTOTAL(9,C5:C10)</f>
        <v>80906</v>
      </c>
      <c r="D11" s="389">
        <f t="shared" si="4"/>
        <v>1352608782</v>
      </c>
      <c r="E11" s="389">
        <f t="shared" si="4"/>
        <v>93988623.599999994</v>
      </c>
      <c r="F11" s="389">
        <f t="shared" si="4"/>
        <v>5000000</v>
      </c>
      <c r="G11" s="389">
        <f t="shared" si="4"/>
        <v>1451597405.5999999</v>
      </c>
      <c r="H11" s="389">
        <f>SUBTOTAL(9,H5:H10)</f>
        <v>6773514.4199999999</v>
      </c>
      <c r="I11" s="389"/>
      <c r="J11" s="389">
        <f>SUBTOTAL(9,J5:J10)</f>
        <v>204730758.20864546</v>
      </c>
      <c r="K11" s="389">
        <f>SUBTOTAL(9,K5:K10)</f>
        <v>1246866647.3913548</v>
      </c>
      <c r="N11" s="333" t="s">
        <v>391</v>
      </c>
    </row>
    <row r="12" spans="1:14" ht="15.75">
      <c r="A12" s="387"/>
      <c r="B12" s="370"/>
      <c r="C12" s="370"/>
      <c r="D12" s="364"/>
      <c r="E12" s="363"/>
      <c r="F12" s="363"/>
      <c r="N12" s="333" t="s">
        <v>239</v>
      </c>
    </row>
    <row r="13" spans="1:14" ht="15.75">
      <c r="A13" s="387"/>
      <c r="B13" s="370"/>
      <c r="C13" s="370"/>
      <c r="D13" s="364"/>
      <c r="E13" s="363"/>
      <c r="F13" s="363"/>
      <c r="N13" s="333" t="s">
        <v>390</v>
      </c>
    </row>
    <row r="14" spans="1:14" ht="18.75">
      <c r="A14" s="399" t="s">
        <v>564</v>
      </c>
      <c r="B14" s="341"/>
      <c r="D14" s="364"/>
      <c r="E14" s="363"/>
      <c r="F14" s="363"/>
      <c r="N14" s="333" t="s">
        <v>456</v>
      </c>
    </row>
    <row r="15" spans="1:14" ht="18.75">
      <c r="A15" s="399" t="s">
        <v>431</v>
      </c>
      <c r="B15" s="341"/>
      <c r="D15" s="364"/>
      <c r="E15" s="363"/>
      <c r="F15" s="363"/>
      <c r="N15" s="333" t="s">
        <v>377</v>
      </c>
    </row>
    <row r="16" spans="1:14">
      <c r="A16" s="354" t="s">
        <v>3</v>
      </c>
      <c r="B16" s="354" t="s">
        <v>280</v>
      </c>
      <c r="C16" s="503" t="s">
        <v>549</v>
      </c>
      <c r="D16" s="354" t="s">
        <v>680</v>
      </c>
      <c r="E16" s="354" t="s">
        <v>589</v>
      </c>
      <c r="N16" s="333" t="s">
        <v>235</v>
      </c>
    </row>
    <row r="17" spans="1:14">
      <c r="A17" s="365" t="s">
        <v>549</v>
      </c>
      <c r="B17" s="371">
        <f>+G5</f>
        <v>94026023.599999994</v>
      </c>
      <c r="C17" s="371">
        <f>+B17*$C$145</f>
        <v>13261265.85009652</v>
      </c>
      <c r="D17" s="371">
        <f>+B17*$C$146</f>
        <v>80764757.749903485</v>
      </c>
      <c r="E17" s="330" t="s">
        <v>684</v>
      </c>
      <c r="N17" s="333" t="s">
        <v>233</v>
      </c>
    </row>
    <row r="18" spans="1:14">
      <c r="A18" s="365" t="s">
        <v>588</v>
      </c>
      <c r="B18" s="371">
        <v>273000</v>
      </c>
      <c r="C18" s="371">
        <f>+B18*$C$145</f>
        <v>38503.442328665595</v>
      </c>
      <c r="D18" s="371">
        <f>+B18*$C$146</f>
        <v>234496.55767133442</v>
      </c>
      <c r="E18" s="330" t="s">
        <v>684</v>
      </c>
      <c r="N18" s="333" t="s">
        <v>231</v>
      </c>
    </row>
    <row r="19" spans="1:14">
      <c r="A19" s="365" t="s">
        <v>230</v>
      </c>
      <c r="B19" s="371">
        <v>29.5</v>
      </c>
      <c r="C19" s="371">
        <f>+B19*$C$145</f>
        <v>4.1606283835004945</v>
      </c>
      <c r="D19" s="371">
        <f>+B19*$C$146</f>
        <v>25.339371616499506</v>
      </c>
      <c r="E19" s="330" t="s">
        <v>684</v>
      </c>
      <c r="N19" s="333" t="s">
        <v>236</v>
      </c>
    </row>
    <row r="20" spans="1:14" ht="15.75">
      <c r="A20" s="354" t="s">
        <v>7</v>
      </c>
      <c r="B20" s="389">
        <f>SUM(B17:B19)</f>
        <v>94299053.099999994</v>
      </c>
      <c r="C20" s="389">
        <f t="shared" ref="C20:D20" si="5">SUM(C17:C19)</f>
        <v>13299773.453053569</v>
      </c>
      <c r="D20" s="389">
        <f t="shared" si="5"/>
        <v>80999279.646946445</v>
      </c>
      <c r="E20" s="389"/>
      <c r="F20" s="335">
        <f>+B20-C20-D20</f>
        <v>0</v>
      </c>
      <c r="N20" s="333" t="s">
        <v>388</v>
      </c>
    </row>
    <row r="21" spans="1:14" ht="15.75">
      <c r="A21" s="387"/>
      <c r="B21" s="370"/>
      <c r="C21" s="370"/>
      <c r="D21" s="364"/>
      <c r="E21" s="363"/>
      <c r="F21" s="363"/>
      <c r="N21" s="333" t="s">
        <v>230</v>
      </c>
    </row>
    <row r="22" spans="1:14" ht="15.75">
      <c r="A22" s="387"/>
      <c r="B22" s="370"/>
      <c r="C22" s="370"/>
      <c r="D22" s="364"/>
      <c r="E22" s="363"/>
      <c r="F22" s="363"/>
      <c r="N22" s="333" t="s">
        <v>385</v>
      </c>
    </row>
    <row r="23" spans="1:14" ht="18.75">
      <c r="A23" s="399" t="s">
        <v>565</v>
      </c>
      <c r="B23" s="341"/>
      <c r="D23" s="364"/>
      <c r="E23" s="363"/>
      <c r="F23" s="363"/>
      <c r="N23" s="333" t="s">
        <v>469</v>
      </c>
    </row>
    <row r="24" spans="1:14" ht="18.75">
      <c r="A24" s="399" t="s">
        <v>431</v>
      </c>
      <c r="B24" s="341"/>
      <c r="D24" s="364"/>
      <c r="E24" s="363"/>
      <c r="F24" s="363"/>
      <c r="N24" s="333" t="s">
        <v>485</v>
      </c>
    </row>
    <row r="25" spans="1:14">
      <c r="A25" s="354" t="s">
        <v>3</v>
      </c>
      <c r="B25" s="354" t="s">
        <v>280</v>
      </c>
      <c r="C25" s="503" t="s">
        <v>549</v>
      </c>
      <c r="D25" s="354" t="s">
        <v>680</v>
      </c>
      <c r="E25" s="354" t="s">
        <v>589</v>
      </c>
      <c r="N25" s="333" t="s">
        <v>486</v>
      </c>
    </row>
    <row r="26" spans="1:14">
      <c r="A26" s="365" t="s">
        <v>685</v>
      </c>
      <c r="B26" s="371">
        <f>+B20</f>
        <v>94299053.099999994</v>
      </c>
      <c r="C26" s="371">
        <f>+C20</f>
        <v>13299773.453053569</v>
      </c>
      <c r="D26" s="371">
        <f>+D20</f>
        <v>80999279.646946445</v>
      </c>
      <c r="E26" s="330"/>
      <c r="N26" s="333" t="s">
        <v>545</v>
      </c>
    </row>
    <row r="27" spans="1:14">
      <c r="A27" s="365" t="s">
        <v>549</v>
      </c>
      <c r="B27" s="371">
        <f>+SUM(G6:G8)</f>
        <v>871011382</v>
      </c>
      <c r="C27" s="371">
        <f t="shared" ref="C27:C47" si="6">+B27*$C$145</f>
        <v>122845921.29834549</v>
      </c>
      <c r="D27" s="371">
        <f t="shared" ref="D27:D47" si="7">+B27*$C$146</f>
        <v>748165460.70165455</v>
      </c>
      <c r="E27" s="330" t="s">
        <v>684</v>
      </c>
      <c r="N27" s="333" t="s">
        <v>1550</v>
      </c>
    </row>
    <row r="28" spans="1:14">
      <c r="A28" s="365" t="s">
        <v>572</v>
      </c>
      <c r="B28" s="371">
        <v>11075368</v>
      </c>
      <c r="C28" s="371">
        <f t="shared" si="6"/>
        <v>1562050.5240173936</v>
      </c>
      <c r="D28" s="371">
        <f t="shared" si="7"/>
        <v>9513317.4759826064</v>
      </c>
      <c r="E28" s="330" t="s">
        <v>684</v>
      </c>
    </row>
    <row r="29" spans="1:14">
      <c r="A29" s="365" t="s">
        <v>573</v>
      </c>
      <c r="B29" s="371">
        <v>27153746</v>
      </c>
      <c r="C29" s="371">
        <f t="shared" si="6"/>
        <v>3829716.824608916</v>
      </c>
      <c r="D29" s="371">
        <f t="shared" si="7"/>
        <v>23324029.175391085</v>
      </c>
      <c r="E29" s="330" t="s">
        <v>684</v>
      </c>
    </row>
    <row r="30" spans="1:14">
      <c r="A30" s="365" t="s">
        <v>574</v>
      </c>
      <c r="B30" s="371">
        <v>16639975</v>
      </c>
      <c r="C30" s="371">
        <f t="shared" si="6"/>
        <v>2346872.9588385983</v>
      </c>
      <c r="D30" s="371">
        <f t="shared" si="7"/>
        <v>14293102.041161403</v>
      </c>
      <c r="E30" s="330" t="s">
        <v>684</v>
      </c>
    </row>
    <row r="31" spans="1:14">
      <c r="A31" s="365" t="s">
        <v>575</v>
      </c>
      <c r="B31" s="371">
        <v>8030711</v>
      </c>
      <c r="C31" s="371">
        <f t="shared" si="6"/>
        <v>1132637.4280098183</v>
      </c>
      <c r="D31" s="371">
        <f t="shared" si="7"/>
        <v>6898073.5719901817</v>
      </c>
      <c r="E31" s="330" t="s">
        <v>684</v>
      </c>
    </row>
    <row r="32" spans="1:14">
      <c r="A32" s="365" t="s">
        <v>576</v>
      </c>
      <c r="B32" s="371">
        <v>2696074</v>
      </c>
      <c r="C32" s="371">
        <f t="shared" si="6"/>
        <v>380249.55960738013</v>
      </c>
      <c r="D32" s="371">
        <f t="shared" si="7"/>
        <v>2315824.4403926199</v>
      </c>
      <c r="E32" s="330" t="s">
        <v>684</v>
      </c>
    </row>
    <row r="33" spans="1:6">
      <c r="A33" s="365" t="s">
        <v>577</v>
      </c>
      <c r="B33" s="371">
        <v>6610029</v>
      </c>
      <c r="C33" s="371">
        <f t="shared" si="6"/>
        <v>932266.92451394547</v>
      </c>
      <c r="D33" s="371">
        <f t="shared" si="7"/>
        <v>5677762.0754860546</v>
      </c>
      <c r="E33" s="330" t="s">
        <v>684</v>
      </c>
    </row>
    <row r="34" spans="1:6">
      <c r="A34" s="365" t="s">
        <v>578</v>
      </c>
      <c r="B34" s="371">
        <v>1664128</v>
      </c>
      <c r="C34" s="371">
        <f t="shared" si="6"/>
        <v>234705.70137552242</v>
      </c>
      <c r="D34" s="371">
        <f t="shared" si="7"/>
        <v>1429422.2986244776</v>
      </c>
      <c r="E34" s="330" t="s">
        <v>684</v>
      </c>
    </row>
    <row r="35" spans="1:6">
      <c r="A35" s="365" t="s">
        <v>579</v>
      </c>
      <c r="B35" s="371">
        <v>911086</v>
      </c>
      <c r="C35" s="371">
        <f t="shared" si="6"/>
        <v>128497.97530203158</v>
      </c>
      <c r="D35" s="371">
        <f t="shared" si="7"/>
        <v>782588.0246979685</v>
      </c>
      <c r="E35" s="330" t="s">
        <v>684</v>
      </c>
    </row>
    <row r="36" spans="1:6">
      <c r="A36" s="365" t="s">
        <v>580</v>
      </c>
      <c r="B36" s="371">
        <v>772100</v>
      </c>
      <c r="C36" s="371">
        <f t="shared" si="6"/>
        <v>108895.63304748244</v>
      </c>
      <c r="D36" s="371">
        <f t="shared" si="7"/>
        <v>663204.36695251765</v>
      </c>
      <c r="E36" s="330" t="s">
        <v>684</v>
      </c>
    </row>
    <row r="37" spans="1:6">
      <c r="A37" s="365" t="s">
        <v>581</v>
      </c>
      <c r="B37" s="371">
        <v>772100</v>
      </c>
      <c r="C37" s="371">
        <f t="shared" si="6"/>
        <v>108895.63304748244</v>
      </c>
      <c r="D37" s="371">
        <f t="shared" si="7"/>
        <v>663204.36695251765</v>
      </c>
      <c r="E37" s="330" t="s">
        <v>684</v>
      </c>
    </row>
    <row r="38" spans="1:6">
      <c r="A38" s="365" t="s">
        <v>582</v>
      </c>
      <c r="B38" s="371">
        <v>4737500</v>
      </c>
      <c r="C38" s="371">
        <f t="shared" si="6"/>
        <v>668168.7107401219</v>
      </c>
      <c r="D38" s="371">
        <f t="shared" si="7"/>
        <v>4069331.2892598785</v>
      </c>
      <c r="E38" s="330" t="s">
        <v>684</v>
      </c>
    </row>
    <row r="39" spans="1:6">
      <c r="A39" s="365" t="s">
        <v>583</v>
      </c>
      <c r="B39" s="371">
        <v>16800</v>
      </c>
      <c r="C39" s="371">
        <f t="shared" si="6"/>
        <v>2369.4426048409596</v>
      </c>
      <c r="D39" s="371">
        <f t="shared" si="7"/>
        <v>14430.557395159041</v>
      </c>
      <c r="E39" s="330" t="s">
        <v>684</v>
      </c>
    </row>
    <row r="40" spans="1:6">
      <c r="A40" s="365" t="s">
        <v>568</v>
      </c>
      <c r="B40" s="371">
        <v>77399</v>
      </c>
      <c r="C40" s="371">
        <f t="shared" si="6"/>
        <v>10916.219534052705</v>
      </c>
      <c r="D40" s="371">
        <f t="shared" si="7"/>
        <v>66482.780465947304</v>
      </c>
      <c r="E40" s="330" t="s">
        <v>684</v>
      </c>
    </row>
    <row r="41" spans="1:6">
      <c r="A41" s="365" t="s">
        <v>569</v>
      </c>
      <c r="B41" s="371">
        <v>189760</v>
      </c>
      <c r="C41" s="371">
        <f t="shared" si="6"/>
        <v>26763.418374679793</v>
      </c>
      <c r="D41" s="371">
        <f t="shared" si="7"/>
        <v>162996.58162532022</v>
      </c>
      <c r="E41" s="330" t="s">
        <v>684</v>
      </c>
    </row>
    <row r="42" spans="1:6">
      <c r="A42" s="365" t="s">
        <v>570</v>
      </c>
      <c r="B42" s="371">
        <v>47774</v>
      </c>
      <c r="C42" s="371">
        <f t="shared" si="6"/>
        <v>6737.9613692661915</v>
      </c>
      <c r="D42" s="371">
        <f t="shared" si="7"/>
        <v>41036.038630733812</v>
      </c>
      <c r="E42" s="330" t="s">
        <v>684</v>
      </c>
    </row>
    <row r="43" spans="1:6">
      <c r="A43" s="365" t="s">
        <v>571</v>
      </c>
      <c r="B43" s="371">
        <v>26155</v>
      </c>
      <c r="C43" s="371">
        <f t="shared" si="6"/>
        <v>3688.8554362866253</v>
      </c>
      <c r="D43" s="371">
        <f t="shared" si="7"/>
        <v>22466.144563713377</v>
      </c>
      <c r="E43" s="330" t="s">
        <v>684</v>
      </c>
    </row>
    <row r="44" spans="1:6">
      <c r="A44" s="365" t="s">
        <v>584</v>
      </c>
      <c r="B44" s="371">
        <v>44362</v>
      </c>
      <c r="C44" s="371">
        <f t="shared" si="6"/>
        <v>6256.7388592830157</v>
      </c>
      <c r="D44" s="371">
        <f t="shared" si="7"/>
        <v>38105.26114071699</v>
      </c>
      <c r="E44" s="330" t="s">
        <v>684</v>
      </c>
    </row>
    <row r="45" spans="1:6">
      <c r="A45" s="365" t="s">
        <v>585</v>
      </c>
      <c r="B45" s="371">
        <v>108764</v>
      </c>
      <c r="C45" s="371">
        <f t="shared" si="6"/>
        <v>15339.884254340604</v>
      </c>
      <c r="D45" s="371">
        <f t="shared" si="7"/>
        <v>93424.115745659408</v>
      </c>
      <c r="E45" s="330" t="s">
        <v>684</v>
      </c>
    </row>
    <row r="46" spans="1:6">
      <c r="A46" s="365" t="s">
        <v>586</v>
      </c>
      <c r="B46" s="371">
        <v>27382</v>
      </c>
      <c r="C46" s="371">
        <f t="shared" si="6"/>
        <v>3861.9093693901882</v>
      </c>
      <c r="D46" s="371">
        <f t="shared" si="7"/>
        <v>23520.090630609815</v>
      </c>
      <c r="E46" s="330" t="s">
        <v>684</v>
      </c>
    </row>
    <row r="47" spans="1:6">
      <c r="A47" s="365" t="s">
        <v>587</v>
      </c>
      <c r="B47" s="371">
        <v>14992</v>
      </c>
      <c r="C47" s="371">
        <f t="shared" si="6"/>
        <v>2114.4454483199802</v>
      </c>
      <c r="D47" s="371">
        <f t="shared" si="7"/>
        <v>12877.554551680021</v>
      </c>
      <c r="E47" s="330" t="s">
        <v>684</v>
      </c>
    </row>
    <row r="48" spans="1:6" ht="15.75">
      <c r="A48" s="354" t="s">
        <v>7</v>
      </c>
      <c r="B48" s="389">
        <f>SUM(B26:B47)</f>
        <v>1046926640.1</v>
      </c>
      <c r="C48" s="389">
        <f>SUM(C26:C47)</f>
        <v>147656701.49975824</v>
      </c>
      <c r="D48" s="389">
        <f>SUM(D26:D47)</f>
        <v>899269938.6002419</v>
      </c>
      <c r="E48" s="389"/>
      <c r="F48" s="335">
        <f>+B48-C48-D48</f>
        <v>0</v>
      </c>
    </row>
    <row r="49" spans="1:6" ht="15.75">
      <c r="A49" s="387"/>
      <c r="B49" s="370"/>
      <c r="C49" s="370"/>
      <c r="D49" s="364"/>
      <c r="E49" s="363"/>
      <c r="F49" s="363"/>
    </row>
    <row r="50" spans="1:6" ht="18.75">
      <c r="A50" s="399" t="s">
        <v>566</v>
      </c>
      <c r="B50" s="341"/>
      <c r="D50" s="364"/>
      <c r="E50" s="363"/>
      <c r="F50" s="363"/>
    </row>
    <row r="51" spans="1:6" ht="18.75">
      <c r="A51" s="399" t="s">
        <v>431</v>
      </c>
      <c r="B51" s="341"/>
      <c r="D51" s="364"/>
      <c r="E51" s="363"/>
      <c r="F51" s="363"/>
    </row>
    <row r="52" spans="1:6">
      <c r="A52" s="354" t="s">
        <v>3</v>
      </c>
      <c r="B52" s="354" t="s">
        <v>280</v>
      </c>
      <c r="C52" s="503" t="s">
        <v>549</v>
      </c>
      <c r="D52" s="354" t="s">
        <v>680</v>
      </c>
      <c r="E52" s="354" t="s">
        <v>589</v>
      </c>
      <c r="F52" s="363"/>
    </row>
    <row r="53" spans="1:6">
      <c r="A53" s="365" t="s">
        <v>685</v>
      </c>
      <c r="B53" s="371">
        <f>+B48</f>
        <v>1046926640.1</v>
      </c>
      <c r="C53" s="371">
        <f>+C48</f>
        <v>147656701.49975824</v>
      </c>
      <c r="D53" s="371">
        <f>+D48</f>
        <v>899269938.6002419</v>
      </c>
      <c r="E53" s="330"/>
      <c r="F53" s="363"/>
    </row>
    <row r="54" spans="1:6">
      <c r="A54" s="365" t="s">
        <v>549</v>
      </c>
      <c r="B54" s="371">
        <f>+SUM(G9:G10)</f>
        <v>486560000</v>
      </c>
      <c r="C54" s="371">
        <f>+B54*$C$145</f>
        <v>68623571.060203418</v>
      </c>
      <c r="D54" s="371">
        <f>+B54*$C$146</f>
        <v>417936428.93979663</v>
      </c>
      <c r="E54" s="330" t="s">
        <v>684</v>
      </c>
      <c r="F54" s="363"/>
    </row>
    <row r="55" spans="1:6">
      <c r="A55" s="365" t="s">
        <v>520</v>
      </c>
      <c r="B55" s="371">
        <f>8800000+206700+88005</f>
        <v>9094705</v>
      </c>
      <c r="C55" s="371"/>
      <c r="D55" s="371">
        <f>+B55</f>
        <v>9094705</v>
      </c>
      <c r="E55" s="330" t="s">
        <v>615</v>
      </c>
      <c r="F55" s="363"/>
    </row>
    <row r="56" spans="1:6">
      <c r="A56" s="365" t="s">
        <v>521</v>
      </c>
      <c r="B56" s="371">
        <f>8000000+270600</f>
        <v>8270600</v>
      </c>
      <c r="C56" s="371"/>
      <c r="D56" s="371">
        <f t="shared" ref="D56:D61" si="8">+B56</f>
        <v>8270600</v>
      </c>
      <c r="E56" s="330" t="s">
        <v>615</v>
      </c>
      <c r="F56" s="363"/>
    </row>
    <row r="57" spans="1:6">
      <c r="A57" s="365" t="s">
        <v>522</v>
      </c>
      <c r="B57" s="371">
        <f>4800000+174600</f>
        <v>4974600</v>
      </c>
      <c r="C57" s="371"/>
      <c r="D57" s="371">
        <f t="shared" si="8"/>
        <v>4974600</v>
      </c>
      <c r="E57" s="330" t="s">
        <v>615</v>
      </c>
      <c r="F57" s="363"/>
    </row>
    <row r="58" spans="1:6">
      <c r="A58" s="365" t="s">
        <v>523</v>
      </c>
      <c r="B58" s="371">
        <v>7381500</v>
      </c>
      <c r="C58" s="371"/>
      <c r="D58" s="371">
        <f t="shared" si="8"/>
        <v>7381500</v>
      </c>
      <c r="E58" s="330" t="s">
        <v>615</v>
      </c>
      <c r="F58" s="363"/>
    </row>
    <row r="59" spans="1:6">
      <c r="A59" s="365" t="s">
        <v>524</v>
      </c>
      <c r="B59" s="371">
        <f>4000000+252100+150600+600</f>
        <v>4403300</v>
      </c>
      <c r="C59" s="371"/>
      <c r="D59" s="371">
        <f t="shared" si="8"/>
        <v>4403300</v>
      </c>
      <c r="E59" s="330" t="s">
        <v>615</v>
      </c>
      <c r="F59" s="363"/>
    </row>
    <row r="60" spans="1:6">
      <c r="A60" s="365" t="s">
        <v>525</v>
      </c>
      <c r="B60" s="371">
        <f>28500000+885600</f>
        <v>29385600</v>
      </c>
      <c r="C60" s="371"/>
      <c r="D60" s="371">
        <f t="shared" si="8"/>
        <v>29385600</v>
      </c>
      <c r="E60" s="330" t="s">
        <v>615</v>
      </c>
      <c r="F60" s="363"/>
    </row>
    <row r="61" spans="1:6" ht="18.75">
      <c r="A61" s="372" t="s">
        <v>204</v>
      </c>
      <c r="B61" s="371">
        <f>82848400+2517100</f>
        <v>85365500</v>
      </c>
      <c r="C61" s="371"/>
      <c r="D61" s="371">
        <f t="shared" si="8"/>
        <v>85365500</v>
      </c>
      <c r="E61" s="330" t="s">
        <v>615</v>
      </c>
      <c r="F61" s="363"/>
    </row>
    <row r="62" spans="1:6">
      <c r="A62" s="365" t="s">
        <v>590</v>
      </c>
      <c r="B62" s="371">
        <v>100477300</v>
      </c>
      <c r="C62" s="371"/>
      <c r="D62" s="371">
        <f t="shared" ref="D62:D75" si="9">+B62</f>
        <v>100477300</v>
      </c>
      <c r="E62" s="330" t="s">
        <v>615</v>
      </c>
      <c r="F62" s="363"/>
    </row>
    <row r="63" spans="1:6">
      <c r="A63" s="365" t="s">
        <v>591</v>
      </c>
      <c r="B63" s="371">
        <v>2973000</v>
      </c>
      <c r="C63" s="371"/>
      <c r="D63" s="371">
        <f t="shared" si="9"/>
        <v>2973000</v>
      </c>
      <c r="E63" s="330" t="s">
        <v>615</v>
      </c>
      <c r="F63" s="363"/>
    </row>
    <row r="64" spans="1:6">
      <c r="A64" s="365" t="s">
        <v>217</v>
      </c>
      <c r="B64" s="371">
        <v>40413100</v>
      </c>
      <c r="C64" s="371"/>
      <c r="D64" s="371">
        <f t="shared" si="9"/>
        <v>40413100</v>
      </c>
      <c r="E64" s="330" t="s">
        <v>615</v>
      </c>
      <c r="F64" s="363"/>
    </row>
    <row r="65" spans="1:6">
      <c r="A65" s="365" t="s">
        <v>593</v>
      </c>
      <c r="B65" s="371">
        <v>10000</v>
      </c>
      <c r="C65" s="371"/>
      <c r="D65" s="371">
        <f t="shared" si="9"/>
        <v>10000</v>
      </c>
      <c r="E65" s="330" t="s">
        <v>615</v>
      </c>
      <c r="F65" s="363"/>
    </row>
    <row r="66" spans="1:6">
      <c r="A66" s="365" t="s">
        <v>594</v>
      </c>
      <c r="B66" s="371">
        <v>1394080</v>
      </c>
      <c r="C66" s="371"/>
      <c r="D66" s="371">
        <f t="shared" si="9"/>
        <v>1394080</v>
      </c>
      <c r="E66" s="330" t="s">
        <v>615</v>
      </c>
      <c r="F66" s="363"/>
    </row>
    <row r="67" spans="1:6">
      <c r="A67" s="365" t="s">
        <v>595</v>
      </c>
      <c r="B67" s="371">
        <v>23683672</v>
      </c>
      <c r="C67" s="371"/>
      <c r="D67" s="371">
        <f t="shared" si="9"/>
        <v>23683672</v>
      </c>
      <c r="E67" s="330" t="s">
        <v>615</v>
      </c>
      <c r="F67" s="363"/>
    </row>
    <row r="68" spans="1:6">
      <c r="A68" s="365" t="s">
        <v>596</v>
      </c>
      <c r="B68" s="371">
        <v>5020</v>
      </c>
      <c r="C68" s="371"/>
      <c r="D68" s="371">
        <f t="shared" si="9"/>
        <v>5020</v>
      </c>
      <c r="E68" s="330" t="s">
        <v>615</v>
      </c>
      <c r="F68" s="363"/>
    </row>
    <row r="69" spans="1:6">
      <c r="A69" s="365" t="s">
        <v>238</v>
      </c>
      <c r="B69" s="371">
        <v>320860.90000000002</v>
      </c>
      <c r="C69" s="371"/>
      <c r="D69" s="371">
        <f t="shared" si="9"/>
        <v>320860.90000000002</v>
      </c>
      <c r="E69" s="330" t="s">
        <v>615</v>
      </c>
      <c r="F69" s="363"/>
    </row>
    <row r="70" spans="1:6">
      <c r="A70" s="365" t="s">
        <v>597</v>
      </c>
      <c r="B70" s="371">
        <v>3403100</v>
      </c>
      <c r="C70" s="371"/>
      <c r="D70" s="371">
        <f t="shared" si="9"/>
        <v>3403100</v>
      </c>
      <c r="E70" s="330" t="s">
        <v>615</v>
      </c>
      <c r="F70" s="363"/>
    </row>
    <row r="71" spans="1:6">
      <c r="A71" s="365" t="s">
        <v>601</v>
      </c>
      <c r="B71" s="371">
        <v>60000</v>
      </c>
      <c r="C71" s="371"/>
      <c r="D71" s="371">
        <f t="shared" si="9"/>
        <v>60000</v>
      </c>
      <c r="E71" s="330" t="s">
        <v>615</v>
      </c>
      <c r="F71" s="363"/>
    </row>
    <row r="72" spans="1:6">
      <c r="A72" s="365" t="s">
        <v>598</v>
      </c>
      <c r="B72" s="371">
        <v>138000</v>
      </c>
      <c r="C72" s="371"/>
      <c r="D72" s="371">
        <f t="shared" si="9"/>
        <v>138000</v>
      </c>
      <c r="E72" s="330" t="s">
        <v>615</v>
      </c>
      <c r="F72" s="363"/>
    </row>
    <row r="73" spans="1:6">
      <c r="A73" s="365" t="s">
        <v>592</v>
      </c>
      <c r="B73" s="371">
        <v>2672203</v>
      </c>
      <c r="C73" s="371"/>
      <c r="D73" s="371">
        <f t="shared" si="9"/>
        <v>2672203</v>
      </c>
      <c r="E73" s="330" t="s">
        <v>615</v>
      </c>
      <c r="F73" s="363"/>
    </row>
    <row r="74" spans="1:6">
      <c r="A74" s="365" t="s">
        <v>599</v>
      </c>
      <c r="B74" s="371">
        <v>2672203</v>
      </c>
      <c r="C74" s="371"/>
      <c r="D74" s="371">
        <f t="shared" si="9"/>
        <v>2672203</v>
      </c>
      <c r="E74" s="330" t="s">
        <v>615</v>
      </c>
      <c r="F74" s="363"/>
    </row>
    <row r="75" spans="1:6">
      <c r="A75" s="365" t="s">
        <v>600</v>
      </c>
      <c r="B75" s="371">
        <v>20000</v>
      </c>
      <c r="C75" s="371"/>
      <c r="D75" s="371">
        <f t="shared" si="9"/>
        <v>20000</v>
      </c>
      <c r="E75" s="330" t="s">
        <v>615</v>
      </c>
      <c r="F75" s="363"/>
    </row>
    <row r="76" spans="1:6">
      <c r="A76" s="365" t="s">
        <v>612</v>
      </c>
      <c r="B76" s="371">
        <v>4173392</v>
      </c>
      <c r="C76" s="371"/>
      <c r="D76" s="371">
        <f t="shared" ref="D76:D84" si="10">+B76</f>
        <v>4173392</v>
      </c>
      <c r="E76" s="330" t="s">
        <v>616</v>
      </c>
      <c r="F76" s="363"/>
    </row>
    <row r="77" spans="1:6">
      <c r="A77" s="365" t="s">
        <v>602</v>
      </c>
      <c r="B77" s="371">
        <f>6062000-F9-F10</f>
        <v>1062000</v>
      </c>
      <c r="C77" s="371"/>
      <c r="D77" s="371">
        <f t="shared" si="10"/>
        <v>1062000</v>
      </c>
      <c r="E77" s="330" t="s">
        <v>616</v>
      </c>
      <c r="F77" s="363"/>
    </row>
    <row r="78" spans="1:6">
      <c r="A78" s="365" t="s">
        <v>604</v>
      </c>
      <c r="B78" s="371">
        <v>61250</v>
      </c>
      <c r="C78" s="371"/>
      <c r="D78" s="371">
        <f t="shared" si="10"/>
        <v>61250</v>
      </c>
      <c r="E78" s="330" t="s">
        <v>616</v>
      </c>
      <c r="F78" s="363"/>
    </row>
    <row r="79" spans="1:6">
      <c r="A79" s="365" t="s">
        <v>605</v>
      </c>
      <c r="B79" s="371">
        <v>687855</v>
      </c>
      <c r="C79" s="371"/>
      <c r="D79" s="371">
        <f t="shared" si="10"/>
        <v>687855</v>
      </c>
      <c r="E79" s="330" t="s">
        <v>616</v>
      </c>
      <c r="F79" s="363"/>
    </row>
    <row r="80" spans="1:6">
      <c r="A80" s="365" t="s">
        <v>608</v>
      </c>
      <c r="B80" s="371">
        <v>316248</v>
      </c>
      <c r="C80" s="371"/>
      <c r="D80" s="371">
        <f t="shared" si="10"/>
        <v>316248</v>
      </c>
      <c r="E80" s="330" t="s">
        <v>616</v>
      </c>
      <c r="F80" s="363"/>
    </row>
    <row r="81" spans="1:6">
      <c r="A81" s="365" t="s">
        <v>609</v>
      </c>
      <c r="B81" s="371">
        <v>6782775</v>
      </c>
      <c r="C81" s="371"/>
      <c r="D81" s="371">
        <f t="shared" si="10"/>
        <v>6782775</v>
      </c>
      <c r="E81" s="330" t="s">
        <v>616</v>
      </c>
      <c r="F81" s="363"/>
    </row>
    <row r="82" spans="1:6">
      <c r="A82" s="365" t="s">
        <v>603</v>
      </c>
      <c r="B82" s="371">
        <v>2396201</v>
      </c>
      <c r="C82" s="371"/>
      <c r="D82" s="371">
        <f t="shared" si="10"/>
        <v>2396201</v>
      </c>
      <c r="E82" s="330" t="s">
        <v>616</v>
      </c>
      <c r="F82" s="363"/>
    </row>
    <row r="83" spans="1:6">
      <c r="A83" s="365" t="s">
        <v>613</v>
      </c>
      <c r="B83" s="371">
        <v>2396201</v>
      </c>
      <c r="C83" s="371"/>
      <c r="D83" s="371">
        <f t="shared" si="10"/>
        <v>2396201</v>
      </c>
      <c r="E83" s="330" t="s">
        <v>616</v>
      </c>
      <c r="F83" s="363"/>
    </row>
    <row r="84" spans="1:6">
      <c r="A84" s="365" t="s">
        <v>247</v>
      </c>
      <c r="B84" s="371">
        <v>28800</v>
      </c>
      <c r="C84" s="371"/>
      <c r="D84" s="371">
        <f t="shared" si="10"/>
        <v>28800</v>
      </c>
      <c r="E84" s="330" t="s">
        <v>616</v>
      </c>
      <c r="F84" s="363"/>
    </row>
    <row r="85" spans="1:6">
      <c r="A85" s="365" t="s">
        <v>236</v>
      </c>
      <c r="B85" s="371">
        <v>50000</v>
      </c>
      <c r="C85" s="371">
        <f t="shared" ref="C85:C94" si="11">+B85*$C$145</f>
        <v>7051.9125144076188</v>
      </c>
      <c r="D85" s="371">
        <f t="shared" ref="D85:D94" si="12">+B85*$C$146</f>
        <v>42948.087485592383</v>
      </c>
      <c r="E85" s="330" t="s">
        <v>683</v>
      </c>
      <c r="F85" s="363"/>
    </row>
    <row r="86" spans="1:6">
      <c r="A86" s="365" t="s">
        <v>230</v>
      </c>
      <c r="B86" s="371">
        <v>363094.96</v>
      </c>
      <c r="C86" s="371">
        <f t="shared" si="11"/>
        <v>51210.277846846679</v>
      </c>
      <c r="D86" s="371">
        <f t="shared" si="12"/>
        <v>311884.68215315335</v>
      </c>
      <c r="E86" s="330" t="s">
        <v>683</v>
      </c>
      <c r="F86" s="363"/>
    </row>
    <row r="87" spans="1:6">
      <c r="A87" s="365" t="s">
        <v>246</v>
      </c>
      <c r="B87" s="371">
        <v>3996</v>
      </c>
      <c r="C87" s="371">
        <f t="shared" si="11"/>
        <v>563.58884815145689</v>
      </c>
      <c r="D87" s="371">
        <f t="shared" si="12"/>
        <v>3432.4111518485433</v>
      </c>
      <c r="E87" s="330" t="s">
        <v>683</v>
      </c>
      <c r="F87" s="363"/>
    </row>
    <row r="88" spans="1:6">
      <c r="A88" s="365" t="s">
        <v>606</v>
      </c>
      <c r="B88" s="371">
        <v>7391079</v>
      </c>
      <c r="C88" s="371">
        <f t="shared" si="11"/>
        <v>1042424.8499015069</v>
      </c>
      <c r="D88" s="371">
        <f t="shared" si="12"/>
        <v>6348654.1500984933</v>
      </c>
      <c r="E88" s="330" t="s">
        <v>683</v>
      </c>
      <c r="F88" s="363"/>
    </row>
    <row r="89" spans="1:6">
      <c r="A89" s="365" t="s">
        <v>607</v>
      </c>
      <c r="B89" s="371">
        <v>1871000</v>
      </c>
      <c r="C89" s="371">
        <f t="shared" si="11"/>
        <v>263882.5662891331</v>
      </c>
      <c r="D89" s="371">
        <f t="shared" si="12"/>
        <v>1607117.4337108671</v>
      </c>
      <c r="E89" s="330" t="s">
        <v>683</v>
      </c>
      <c r="F89" s="363"/>
    </row>
    <row r="90" spans="1:6">
      <c r="A90" s="365" t="s">
        <v>610</v>
      </c>
      <c r="B90" s="371">
        <v>20000</v>
      </c>
      <c r="C90" s="371">
        <f t="shared" si="11"/>
        <v>2820.7650057630472</v>
      </c>
      <c r="D90" s="371">
        <f t="shared" si="12"/>
        <v>17179.234994236955</v>
      </c>
      <c r="E90" s="330" t="s">
        <v>683</v>
      </c>
      <c r="F90" s="363"/>
    </row>
    <row r="91" spans="1:6">
      <c r="A91" s="365" t="s">
        <v>235</v>
      </c>
      <c r="B91" s="371">
        <v>162000</v>
      </c>
      <c r="C91" s="371">
        <f t="shared" si="11"/>
        <v>22848.196546680683</v>
      </c>
      <c r="D91" s="371">
        <f t="shared" si="12"/>
        <v>139151.80345331933</v>
      </c>
      <c r="E91" s="330" t="s">
        <v>683</v>
      </c>
      <c r="F91" s="363"/>
    </row>
    <row r="92" spans="1:6">
      <c r="A92" s="365" t="s">
        <v>237</v>
      </c>
      <c r="B92" s="371">
        <v>1304</v>
      </c>
      <c r="C92" s="371">
        <f t="shared" si="11"/>
        <v>183.9138783757507</v>
      </c>
      <c r="D92" s="371">
        <f t="shared" si="12"/>
        <v>1120.0861216242495</v>
      </c>
      <c r="E92" s="330" t="s">
        <v>683</v>
      </c>
      <c r="F92" s="363"/>
    </row>
    <row r="93" spans="1:6">
      <c r="A93" s="365" t="s">
        <v>611</v>
      </c>
      <c r="B93" s="371">
        <v>-167.98</v>
      </c>
      <c r="C93" s="371">
        <f t="shared" si="11"/>
        <v>-23.691605283403835</v>
      </c>
      <c r="D93" s="371">
        <f t="shared" si="12"/>
        <v>-144.28839471659617</v>
      </c>
      <c r="E93" s="330" t="s">
        <v>683</v>
      </c>
      <c r="F93" s="363"/>
    </row>
    <row r="94" spans="1:6">
      <c r="A94" s="365" t="s">
        <v>614</v>
      </c>
      <c r="B94" s="371">
        <v>50000</v>
      </c>
      <c r="C94" s="371">
        <f t="shared" si="11"/>
        <v>7051.9125144076188</v>
      </c>
      <c r="D94" s="371">
        <f t="shared" si="12"/>
        <v>42948.087485592383</v>
      </c>
      <c r="E94" s="330" t="s">
        <v>683</v>
      </c>
      <c r="F94" s="363"/>
    </row>
    <row r="95" spans="1:6" ht="15.75">
      <c r="A95" s="354" t="s">
        <v>7</v>
      </c>
      <c r="B95" s="389">
        <f>SUBTOTAL(9,B53:B94)</f>
        <v>1888422011.98</v>
      </c>
      <c r="C95" s="389">
        <f t="shared" ref="C95:D95" si="13">SUBTOTAL(9,C53:C94)</f>
        <v>217678286.85170168</v>
      </c>
      <c r="D95" s="389">
        <f t="shared" si="13"/>
        <v>1670743725.1282985</v>
      </c>
      <c r="E95" s="389"/>
      <c r="F95" s="335">
        <f>+B95-C95-D95</f>
        <v>0</v>
      </c>
    </row>
    <row r="96" spans="1:6" ht="15.75">
      <c r="A96" s="387"/>
      <c r="B96" s="370"/>
      <c r="C96" s="370"/>
      <c r="D96" s="364"/>
      <c r="E96" s="363"/>
      <c r="F96" s="363"/>
    </row>
    <row r="97" spans="1:6" ht="18.75">
      <c r="A97" s="399" t="s">
        <v>567</v>
      </c>
      <c r="B97" s="341"/>
      <c r="D97" s="364"/>
      <c r="E97" s="363"/>
      <c r="F97" s="363"/>
    </row>
    <row r="98" spans="1:6" ht="18.75">
      <c r="A98" s="399" t="s">
        <v>431</v>
      </c>
      <c r="B98" s="341"/>
      <c r="D98" s="364"/>
      <c r="E98" s="363"/>
      <c r="F98" s="363"/>
    </row>
    <row r="99" spans="1:6">
      <c r="A99" s="354" t="s">
        <v>3</v>
      </c>
      <c r="B99" s="354" t="s">
        <v>280</v>
      </c>
      <c r="C99" s="503" t="s">
        <v>549</v>
      </c>
      <c r="D99" s="354" t="s">
        <v>680</v>
      </c>
      <c r="E99" s="354" t="s">
        <v>589</v>
      </c>
    </row>
    <row r="100" spans="1:6">
      <c r="A100" s="365" t="s">
        <v>685</v>
      </c>
      <c r="B100" s="371">
        <f>+B95</f>
        <v>1888422011.98</v>
      </c>
      <c r="C100" s="371">
        <f>+C95</f>
        <v>217678286.85170168</v>
      </c>
      <c r="D100" s="371">
        <f>+D95</f>
        <v>1670743725.1282985</v>
      </c>
      <c r="E100" s="330"/>
    </row>
    <row r="101" spans="1:6" ht="18.75">
      <c r="A101" s="372" t="s">
        <v>548</v>
      </c>
      <c r="B101" s="371">
        <v>32026700</v>
      </c>
      <c r="C101" s="371"/>
      <c r="D101" s="371">
        <f>+B101</f>
        <v>32026700</v>
      </c>
      <c r="E101" s="330" t="s">
        <v>615</v>
      </c>
    </row>
    <row r="102" spans="1:6">
      <c r="A102" s="365" t="s">
        <v>617</v>
      </c>
      <c r="B102" s="371">
        <v>400138553.14999998</v>
      </c>
      <c r="C102" s="371"/>
      <c r="D102" s="371">
        <f>+B102</f>
        <v>400138553.14999998</v>
      </c>
      <c r="E102" s="330" t="s">
        <v>615</v>
      </c>
    </row>
    <row r="103" spans="1:6">
      <c r="A103" s="365" t="s">
        <v>621</v>
      </c>
      <c r="B103" s="371">
        <v>30032191.129999999</v>
      </c>
      <c r="C103" s="371"/>
      <c r="D103" s="371">
        <f t="shared" ref="D103:D121" si="14">+B103</f>
        <v>30032191.129999999</v>
      </c>
      <c r="E103" s="330" t="s">
        <v>615</v>
      </c>
    </row>
    <row r="104" spans="1:6">
      <c r="A104" s="365" t="s">
        <v>625</v>
      </c>
      <c r="B104" s="371">
        <v>11628000</v>
      </c>
      <c r="C104" s="371"/>
      <c r="D104" s="371">
        <f t="shared" si="14"/>
        <v>11628000</v>
      </c>
      <c r="E104" s="330" t="s">
        <v>615</v>
      </c>
    </row>
    <row r="105" spans="1:6">
      <c r="A105" s="365" t="s">
        <v>619</v>
      </c>
      <c r="B105" s="371">
        <v>60441166.07</v>
      </c>
      <c r="C105" s="371"/>
      <c r="D105" s="371">
        <f t="shared" si="14"/>
        <v>60441166.07</v>
      </c>
      <c r="E105" s="330" t="s">
        <v>615</v>
      </c>
    </row>
    <row r="106" spans="1:6">
      <c r="A106" s="365" t="s">
        <v>630</v>
      </c>
      <c r="B106" s="371">
        <v>2326406.0699999998</v>
      </c>
      <c r="C106" s="371"/>
      <c r="D106" s="371">
        <f t="shared" si="14"/>
        <v>2326406.0699999998</v>
      </c>
      <c r="E106" s="330" t="s">
        <v>615</v>
      </c>
    </row>
    <row r="107" spans="1:6">
      <c r="A107" s="365" t="s">
        <v>631</v>
      </c>
      <c r="B107" s="371">
        <v>2086848</v>
      </c>
      <c r="C107" s="371"/>
      <c r="D107" s="371">
        <f t="shared" si="14"/>
        <v>2086848</v>
      </c>
      <c r="E107" s="330" t="s">
        <v>615</v>
      </c>
    </row>
    <row r="108" spans="1:6">
      <c r="A108" s="365" t="s">
        <v>628</v>
      </c>
      <c r="B108" s="371">
        <v>2930492</v>
      </c>
      <c r="C108" s="371"/>
      <c r="D108" s="371">
        <f t="shared" si="14"/>
        <v>2930492</v>
      </c>
      <c r="E108" s="330" t="s">
        <v>615</v>
      </c>
    </row>
    <row r="109" spans="1:6">
      <c r="A109" s="365" t="s">
        <v>218</v>
      </c>
      <c r="B109" s="371">
        <v>1479902</v>
      </c>
      <c r="C109" s="371"/>
      <c r="D109" s="371">
        <f t="shared" si="14"/>
        <v>1479902</v>
      </c>
      <c r="E109" s="330" t="s">
        <v>615</v>
      </c>
    </row>
    <row r="110" spans="1:6">
      <c r="A110" s="365" t="s">
        <v>632</v>
      </c>
      <c r="B110" s="371">
        <v>938100</v>
      </c>
      <c r="C110" s="371"/>
      <c r="D110" s="371">
        <f t="shared" si="14"/>
        <v>938100</v>
      </c>
      <c r="E110" s="330" t="s">
        <v>615</v>
      </c>
    </row>
    <row r="111" spans="1:6">
      <c r="A111" s="365" t="s">
        <v>640</v>
      </c>
      <c r="B111" s="371">
        <v>46641.05</v>
      </c>
      <c r="C111" s="371"/>
      <c r="D111" s="371">
        <f t="shared" si="14"/>
        <v>46641.05</v>
      </c>
      <c r="E111" s="330" t="s">
        <v>615</v>
      </c>
    </row>
    <row r="112" spans="1:6">
      <c r="A112" s="365" t="s">
        <v>641</v>
      </c>
      <c r="B112" s="371">
        <v>43215</v>
      </c>
      <c r="C112" s="371"/>
      <c r="D112" s="371">
        <f t="shared" si="14"/>
        <v>43215</v>
      </c>
      <c r="E112" s="330" t="s">
        <v>615</v>
      </c>
    </row>
    <row r="113" spans="1:5">
      <c r="A113" s="365" t="s">
        <v>638</v>
      </c>
      <c r="B113" s="371">
        <v>339200</v>
      </c>
      <c r="C113" s="371"/>
      <c r="D113" s="371">
        <f t="shared" si="14"/>
        <v>339200</v>
      </c>
      <c r="E113" s="330" t="s">
        <v>615</v>
      </c>
    </row>
    <row r="114" spans="1:5">
      <c r="A114" s="365" t="s">
        <v>634</v>
      </c>
      <c r="B114" s="371">
        <v>11500</v>
      </c>
      <c r="C114" s="371"/>
      <c r="D114" s="371">
        <f t="shared" si="14"/>
        <v>11500</v>
      </c>
      <c r="E114" s="330" t="s">
        <v>615</v>
      </c>
    </row>
    <row r="115" spans="1:5">
      <c r="A115" s="365" t="s">
        <v>633</v>
      </c>
      <c r="B115" s="371">
        <v>732600</v>
      </c>
      <c r="C115" s="371"/>
      <c r="D115" s="371">
        <f t="shared" si="14"/>
        <v>732600</v>
      </c>
      <c r="E115" s="330" t="s">
        <v>615</v>
      </c>
    </row>
    <row r="116" spans="1:5">
      <c r="A116" s="365" t="s">
        <v>636</v>
      </c>
      <c r="B116" s="371">
        <v>618332.05000000005</v>
      </c>
      <c r="C116" s="371"/>
      <c r="D116" s="371">
        <f t="shared" si="14"/>
        <v>618332.05000000005</v>
      </c>
      <c r="E116" s="330" t="s">
        <v>615</v>
      </c>
    </row>
    <row r="117" spans="1:5">
      <c r="A117" s="365" t="s">
        <v>635</v>
      </c>
      <c r="B117" s="371">
        <v>693879.68</v>
      </c>
      <c r="C117" s="371"/>
      <c r="D117" s="371">
        <f t="shared" si="14"/>
        <v>693879.68</v>
      </c>
      <c r="E117" s="330" t="s">
        <v>615</v>
      </c>
    </row>
    <row r="118" spans="1:5">
      <c r="A118" s="365" t="s">
        <v>219</v>
      </c>
      <c r="B118" s="371">
        <v>47264337.200000003</v>
      </c>
      <c r="C118" s="371"/>
      <c r="D118" s="371">
        <f t="shared" si="14"/>
        <v>47264337.200000003</v>
      </c>
      <c r="E118" s="330" t="s">
        <v>615</v>
      </c>
    </row>
    <row r="119" spans="1:5">
      <c r="A119" s="365" t="s">
        <v>220</v>
      </c>
      <c r="B119" s="371">
        <v>47264337.200000003</v>
      </c>
      <c r="C119" s="371"/>
      <c r="D119" s="371">
        <f t="shared" si="14"/>
        <v>47264337.200000003</v>
      </c>
      <c r="E119" s="330" t="s">
        <v>615</v>
      </c>
    </row>
    <row r="120" spans="1:5">
      <c r="A120" s="365" t="s">
        <v>643</v>
      </c>
      <c r="B120" s="371">
        <v>4956</v>
      </c>
      <c r="C120" s="371"/>
      <c r="D120" s="371">
        <f t="shared" si="14"/>
        <v>4956</v>
      </c>
      <c r="E120" s="330" t="s">
        <v>615</v>
      </c>
    </row>
    <row r="121" spans="1:5">
      <c r="A121" s="365" t="s">
        <v>618</v>
      </c>
      <c r="B121" s="371">
        <v>148295399.19</v>
      </c>
      <c r="C121" s="371"/>
      <c r="D121" s="371">
        <f t="shared" si="14"/>
        <v>148295399.19</v>
      </c>
      <c r="E121" s="330" t="s">
        <v>616</v>
      </c>
    </row>
    <row r="122" spans="1:5">
      <c r="A122" s="365" t="s">
        <v>620</v>
      </c>
      <c r="B122" s="371">
        <v>34843749</v>
      </c>
      <c r="C122" s="371"/>
      <c r="D122" s="371">
        <f t="shared" ref="D122:D129" si="15">+B122</f>
        <v>34843749</v>
      </c>
      <c r="E122" s="330" t="s">
        <v>616</v>
      </c>
    </row>
    <row r="123" spans="1:5">
      <c r="A123" s="365" t="s">
        <v>622</v>
      </c>
      <c r="B123" s="371">
        <v>27138382.300000001</v>
      </c>
      <c r="C123" s="371"/>
      <c r="D123" s="371">
        <f t="shared" si="15"/>
        <v>27138382.300000001</v>
      </c>
      <c r="E123" s="330" t="s">
        <v>616</v>
      </c>
    </row>
    <row r="124" spans="1:5">
      <c r="A124" s="365" t="s">
        <v>627</v>
      </c>
      <c r="B124" s="371">
        <v>9060442.1199999992</v>
      </c>
      <c r="C124" s="371"/>
      <c r="D124" s="371">
        <f t="shared" si="15"/>
        <v>9060442.1199999992</v>
      </c>
      <c r="E124" s="330" t="s">
        <v>616</v>
      </c>
    </row>
    <row r="125" spans="1:5">
      <c r="A125" s="365" t="s">
        <v>254</v>
      </c>
      <c r="B125" s="371">
        <v>2014500</v>
      </c>
      <c r="C125" s="371"/>
      <c r="D125" s="371">
        <f t="shared" si="15"/>
        <v>2014500</v>
      </c>
      <c r="E125" s="330" t="s">
        <v>616</v>
      </c>
    </row>
    <row r="126" spans="1:5">
      <c r="A126" s="365" t="s">
        <v>250</v>
      </c>
      <c r="B126" s="371">
        <v>8950906.8499999996</v>
      </c>
      <c r="C126" s="371"/>
      <c r="D126" s="371">
        <f t="shared" si="15"/>
        <v>8950906.8499999996</v>
      </c>
      <c r="E126" s="330" t="s">
        <v>616</v>
      </c>
    </row>
    <row r="127" spans="1:5">
      <c r="A127" s="365" t="s">
        <v>623</v>
      </c>
      <c r="B127" s="371">
        <v>16228346.66</v>
      </c>
      <c r="C127" s="371"/>
      <c r="D127" s="371">
        <f t="shared" si="15"/>
        <v>16228346.66</v>
      </c>
      <c r="E127" s="330" t="s">
        <v>616</v>
      </c>
    </row>
    <row r="128" spans="1:5">
      <c r="A128" s="365" t="s">
        <v>624</v>
      </c>
      <c r="B128" s="371">
        <v>16228346.66</v>
      </c>
      <c r="C128" s="371"/>
      <c r="D128" s="371">
        <f t="shared" si="15"/>
        <v>16228346.66</v>
      </c>
      <c r="E128" s="330" t="s">
        <v>616</v>
      </c>
    </row>
    <row r="129" spans="1:6">
      <c r="A129" s="365" t="s">
        <v>629</v>
      </c>
      <c r="B129" s="371">
        <v>2805791.05</v>
      </c>
      <c r="C129" s="371"/>
      <c r="D129" s="371">
        <f t="shared" si="15"/>
        <v>2805791.05</v>
      </c>
      <c r="E129" s="330" t="s">
        <v>616</v>
      </c>
    </row>
    <row r="130" spans="1:6">
      <c r="A130" s="365" t="s">
        <v>626</v>
      </c>
      <c r="B130" s="371">
        <v>16021317</v>
      </c>
      <c r="C130" s="371">
        <f t="shared" ref="C130:C137" si="16">+B130*$C$145</f>
        <v>2259618.5169918304</v>
      </c>
      <c r="D130" s="371">
        <f t="shared" ref="D130:D137" si="17">+B130*$C$146</f>
        <v>13761698.483008171</v>
      </c>
      <c r="E130" s="330" t="s">
        <v>683</v>
      </c>
    </row>
    <row r="131" spans="1:6">
      <c r="A131" s="365" t="s">
        <v>230</v>
      </c>
      <c r="B131" s="371">
        <v>797541.66</v>
      </c>
      <c r="C131" s="371">
        <f t="shared" si="16"/>
        <v>112483.88025830852</v>
      </c>
      <c r="D131" s="371">
        <f t="shared" si="17"/>
        <v>685057.77974169154</v>
      </c>
      <c r="E131" s="330" t="s">
        <v>683</v>
      </c>
    </row>
    <row r="132" spans="1:6">
      <c r="A132" s="365" t="s">
        <v>637</v>
      </c>
      <c r="B132" s="371">
        <v>497200</v>
      </c>
      <c r="C132" s="371">
        <f t="shared" si="16"/>
        <v>70124.218043269357</v>
      </c>
      <c r="D132" s="371">
        <f t="shared" si="17"/>
        <v>427075.78195673064</v>
      </c>
      <c r="E132" s="330" t="s">
        <v>683</v>
      </c>
    </row>
    <row r="133" spans="1:6">
      <c r="A133" s="365" t="s">
        <v>251</v>
      </c>
      <c r="B133" s="371">
        <v>190024.45</v>
      </c>
      <c r="C133" s="371">
        <f t="shared" si="16"/>
        <v>26800.715939968497</v>
      </c>
      <c r="D133" s="371">
        <f t="shared" si="17"/>
        <v>163223.73406003154</v>
      </c>
      <c r="E133" s="330" t="s">
        <v>683</v>
      </c>
    </row>
    <row r="134" spans="1:6">
      <c r="A134" s="365" t="s">
        <v>639</v>
      </c>
      <c r="B134" s="371">
        <v>178649.44</v>
      </c>
      <c r="C134" s="371">
        <f t="shared" si="16"/>
        <v>25196.404432558258</v>
      </c>
      <c r="D134" s="371">
        <f t="shared" si="17"/>
        <v>153453.03556744175</v>
      </c>
      <c r="E134" s="330" t="s">
        <v>683</v>
      </c>
    </row>
    <row r="135" spans="1:6">
      <c r="A135" s="365" t="s">
        <v>642</v>
      </c>
      <c r="B135" s="371">
        <v>22469.87</v>
      </c>
      <c r="C135" s="371">
        <f t="shared" si="16"/>
        <v>3169.1111490022463</v>
      </c>
      <c r="D135" s="371">
        <f t="shared" si="17"/>
        <v>19300.758850997754</v>
      </c>
      <c r="E135" s="330" t="s">
        <v>683</v>
      </c>
    </row>
    <row r="136" spans="1:6">
      <c r="A136" s="365" t="s">
        <v>232</v>
      </c>
      <c r="B136" s="371">
        <v>20714</v>
      </c>
      <c r="C136" s="371">
        <f t="shared" si="16"/>
        <v>2921.4663164687881</v>
      </c>
      <c r="D136" s="371">
        <f t="shared" si="17"/>
        <v>17792.533683531212</v>
      </c>
      <c r="E136" s="330" t="s">
        <v>683</v>
      </c>
    </row>
    <row r="137" spans="1:6">
      <c r="A137" s="365" t="s">
        <v>644</v>
      </c>
      <c r="B137" s="371">
        <v>2500</v>
      </c>
      <c r="C137" s="371">
        <f t="shared" si="16"/>
        <v>352.59562572038089</v>
      </c>
      <c r="D137" s="371">
        <f t="shared" si="17"/>
        <v>2147.4043742796193</v>
      </c>
      <c r="E137" s="330" t="s">
        <v>683</v>
      </c>
    </row>
    <row r="138" spans="1:6" ht="15.75">
      <c r="A138" s="354" t="s">
        <v>7</v>
      </c>
      <c r="B138" s="389">
        <f>SUBTOTAL(9,B100:B137)</f>
        <v>2812765648.8299999</v>
      </c>
      <c r="C138" s="389">
        <f>SUBTOTAL(9,C100:C137)</f>
        <v>220178953.76045883</v>
      </c>
      <c r="D138" s="389">
        <f>SUBTOTAL(9,D100:D137)</f>
        <v>2592586695.069541</v>
      </c>
      <c r="E138" s="389"/>
      <c r="F138" s="335">
        <f>+B138-C138-D138</f>
        <v>0</v>
      </c>
    </row>
    <row r="139" spans="1:6" ht="15.75">
      <c r="A139" s="387"/>
      <c r="B139" s="370"/>
      <c r="C139" s="370"/>
      <c r="D139" s="364"/>
      <c r="E139" s="363"/>
      <c r="F139" s="363"/>
    </row>
    <row r="140" spans="1:6">
      <c r="A140" s="342"/>
      <c r="B140" s="342"/>
      <c r="D140" s="363"/>
      <c r="E140" s="363"/>
      <c r="F140" s="363"/>
    </row>
    <row r="141" spans="1:6">
      <c r="A141" s="354" t="s">
        <v>650</v>
      </c>
      <c r="B141" s="354" t="s">
        <v>651</v>
      </c>
      <c r="D141" s="363"/>
      <c r="E141" s="363"/>
      <c r="F141" s="363"/>
    </row>
    <row r="142" spans="1:6">
      <c r="A142" s="365" t="s">
        <v>645</v>
      </c>
      <c r="B142" s="397">
        <f>+C11</f>
        <v>80906</v>
      </c>
      <c r="D142" s="363"/>
      <c r="E142" s="363"/>
      <c r="F142" s="363"/>
    </row>
    <row r="143" spans="1:6">
      <c r="A143" s="365" t="s">
        <v>646</v>
      </c>
      <c r="B143" s="397">
        <f>28.3966*100</f>
        <v>2839.66</v>
      </c>
      <c r="D143" s="363"/>
      <c r="E143" s="363"/>
      <c r="F143" s="363"/>
    </row>
    <row r="144" spans="1:6" ht="15.75">
      <c r="A144" s="354" t="s">
        <v>647</v>
      </c>
      <c r="B144" s="398">
        <f>+B142-B143</f>
        <v>78066.34</v>
      </c>
      <c r="D144" s="363"/>
      <c r="E144" s="400"/>
      <c r="F144" s="400"/>
    </row>
    <row r="145" spans="1:6">
      <c r="A145" s="365" t="s">
        <v>648</v>
      </c>
      <c r="B145" s="397">
        <f>(11.011+99.0924)*100</f>
        <v>11010.34</v>
      </c>
      <c r="C145" s="285">
        <f>+B145/$B$144</f>
        <v>0.14103825028815237</v>
      </c>
      <c r="D145" s="363"/>
      <c r="E145" s="363"/>
      <c r="F145" s="363"/>
    </row>
    <row r="146" spans="1:6" ht="15.75">
      <c r="A146" s="354" t="s">
        <v>649</v>
      </c>
      <c r="B146" s="398">
        <f>+B144-B145</f>
        <v>67056</v>
      </c>
      <c r="C146" s="285">
        <f>+B146/$B$144</f>
        <v>0.85896174971184769</v>
      </c>
      <c r="D146" s="363"/>
      <c r="E146" s="363"/>
      <c r="F146" s="363"/>
    </row>
    <row r="147" spans="1:6">
      <c r="A147" s="342"/>
      <c r="B147" s="342"/>
      <c r="D147" s="363"/>
      <c r="E147" s="363"/>
      <c r="F147" s="363"/>
    </row>
    <row r="148" spans="1:6">
      <c r="A148" s="509" t="s">
        <v>1564</v>
      </c>
      <c r="B148" s="342"/>
      <c r="D148" s="363"/>
      <c r="E148" s="363"/>
      <c r="F148" s="363"/>
    </row>
    <row r="149" spans="1:6">
      <c r="A149" s="342"/>
      <c r="B149" s="342"/>
      <c r="D149" s="363"/>
      <c r="E149" s="363"/>
      <c r="F149" s="363"/>
    </row>
    <row r="150" spans="1:6">
      <c r="A150" s="354" t="s">
        <v>3</v>
      </c>
      <c r="B150" s="355" t="s">
        <v>1563</v>
      </c>
      <c r="C150" s="503" t="s">
        <v>549</v>
      </c>
      <c r="D150" s="354" t="s">
        <v>680</v>
      </c>
    </row>
    <row r="151" spans="1:6">
      <c r="A151" s="361" t="s">
        <v>550</v>
      </c>
      <c r="B151" s="391">
        <f>(11.011+99.0924)*100</f>
        <v>11010.34</v>
      </c>
      <c r="C151" s="333">
        <f>B151</f>
        <v>11010.34</v>
      </c>
      <c r="D151" s="334"/>
    </row>
    <row r="152" spans="1:6">
      <c r="A152" s="360" t="s">
        <v>506</v>
      </c>
      <c r="B152" s="391">
        <f>+Notes!D180</f>
        <v>362900000</v>
      </c>
      <c r="C152" s="333">
        <f>B152</f>
        <v>362900000</v>
      </c>
      <c r="D152" s="334"/>
    </row>
    <row r="153" spans="1:6">
      <c r="A153" s="360" t="s">
        <v>507</v>
      </c>
      <c r="B153" s="391">
        <f>+C138</f>
        <v>220178953.76045883</v>
      </c>
      <c r="C153" s="333">
        <f>B153</f>
        <v>220178953.76045883</v>
      </c>
      <c r="D153" s="334"/>
    </row>
    <row r="154" spans="1:6">
      <c r="A154" s="392" t="s">
        <v>508</v>
      </c>
      <c r="B154" s="390">
        <f>+B152-B153</f>
        <v>142721046.23954117</v>
      </c>
      <c r="C154" s="390">
        <f>B154</f>
        <v>142721046.23954117</v>
      </c>
      <c r="D154" s="502"/>
    </row>
    <row r="155" spans="1:6">
      <c r="A155" s="360"/>
      <c r="B155" s="343"/>
      <c r="C155" s="333"/>
      <c r="D155" s="334"/>
    </row>
    <row r="156" spans="1:6">
      <c r="A156" s="362" t="s">
        <v>509</v>
      </c>
      <c r="B156" s="343"/>
      <c r="C156" s="333"/>
      <c r="D156" s="334"/>
    </row>
    <row r="157" spans="1:6">
      <c r="A157" s="344" t="s">
        <v>493</v>
      </c>
      <c r="B157" s="345">
        <f>-'WIP Final'!G214</f>
        <v>2867899.82</v>
      </c>
      <c r="C157" s="333"/>
      <c r="D157" s="334">
        <f>B157</f>
        <v>2867899.82</v>
      </c>
    </row>
    <row r="158" spans="1:6">
      <c r="A158" s="344" t="s">
        <v>200</v>
      </c>
      <c r="B158" s="345">
        <v>0</v>
      </c>
      <c r="C158" s="333"/>
      <c r="D158" s="334">
        <f t="shared" ref="D158:D159" si="18">B158</f>
        <v>0</v>
      </c>
    </row>
    <row r="159" spans="1:6">
      <c r="A159" s="344" t="s">
        <v>494</v>
      </c>
      <c r="B159" s="345">
        <f>-G212</f>
        <v>397223.74</v>
      </c>
      <c r="C159" s="333"/>
      <c r="D159" s="334">
        <f t="shared" si="18"/>
        <v>397223.74</v>
      </c>
    </row>
    <row r="160" spans="1:6">
      <c r="A160" s="346" t="s">
        <v>510</v>
      </c>
      <c r="B160" s="347">
        <f>+B157+B158+B159</f>
        <v>3265123.5599999996</v>
      </c>
      <c r="C160" s="504"/>
      <c r="D160" s="334">
        <f>B160</f>
        <v>3265123.5599999996</v>
      </c>
    </row>
    <row r="161" spans="1:6">
      <c r="A161" s="344"/>
      <c r="B161" s="344"/>
      <c r="C161" s="333"/>
      <c r="D161" s="334"/>
    </row>
    <row r="162" spans="1:6">
      <c r="A162" s="344" t="s">
        <v>495</v>
      </c>
      <c r="B162" s="345">
        <f>+D206</f>
        <v>25669096.117709324</v>
      </c>
      <c r="C162" s="333"/>
      <c r="D162" s="334">
        <f>B162</f>
        <v>25669096.117709324</v>
      </c>
    </row>
    <row r="163" spans="1:6">
      <c r="A163" s="346"/>
      <c r="B163" s="346"/>
      <c r="C163" s="333"/>
      <c r="D163" s="334"/>
    </row>
    <row r="164" spans="1:6">
      <c r="A164" s="348" t="s">
        <v>496</v>
      </c>
      <c r="B164" s="349">
        <f>B154+B160-B162</f>
        <v>120317073.68183185</v>
      </c>
      <c r="C164" s="333"/>
      <c r="D164" s="350">
        <f>B164</f>
        <v>120317073.68183185</v>
      </c>
      <c r="F164"/>
    </row>
    <row r="165" spans="1:6">
      <c r="A165" s="346"/>
      <c r="B165" s="350"/>
      <c r="C165" s="333"/>
      <c r="D165" s="334"/>
    </row>
    <row r="166" spans="1:6">
      <c r="A166" s="346"/>
      <c r="B166" s="350"/>
      <c r="C166" s="333"/>
      <c r="D166" s="334"/>
    </row>
    <row r="167" spans="1:6">
      <c r="A167" s="346" t="s">
        <v>497</v>
      </c>
      <c r="B167" s="350">
        <v>-82426</v>
      </c>
      <c r="C167" s="350"/>
      <c r="D167" s="350">
        <f>B167</f>
        <v>-82426</v>
      </c>
    </row>
    <row r="168" spans="1:6">
      <c r="A168" s="351" t="s">
        <v>498</v>
      </c>
      <c r="B168" s="169">
        <f>'Dep &amp; DTA DTL'!C31</f>
        <v>14575.785328033107</v>
      </c>
      <c r="C168" s="333"/>
      <c r="D168" s="333">
        <f>B168</f>
        <v>14575.785328033107</v>
      </c>
    </row>
    <row r="169" spans="1:6">
      <c r="A169" s="351" t="s">
        <v>554</v>
      </c>
      <c r="B169" s="169">
        <f>+Notes!D292</f>
        <v>1000000</v>
      </c>
      <c r="C169" s="333"/>
      <c r="D169" s="333">
        <f t="shared" ref="D169:D172" si="19">B169</f>
        <v>1000000</v>
      </c>
    </row>
    <row r="170" spans="1:6">
      <c r="A170" s="351" t="s">
        <v>1559</v>
      </c>
      <c r="B170" s="169">
        <f>+G271</f>
        <v>88645</v>
      </c>
      <c r="C170" s="333"/>
      <c r="D170" s="333">
        <f t="shared" si="19"/>
        <v>88645</v>
      </c>
    </row>
    <row r="171" spans="1:6">
      <c r="A171" s="351" t="s">
        <v>653</v>
      </c>
      <c r="B171" s="393">
        <f>+G270</f>
        <v>-1910</v>
      </c>
      <c r="C171" s="393"/>
      <c r="D171" s="393">
        <f t="shared" si="19"/>
        <v>-1910</v>
      </c>
    </row>
    <row r="172" spans="1:6">
      <c r="A172" s="351" t="s">
        <v>499</v>
      </c>
      <c r="B172" s="393">
        <f>-'Dep &amp; DTA DTL'!C32</f>
        <v>-6988.4024999999992</v>
      </c>
      <c r="C172" s="393"/>
      <c r="D172" s="393">
        <f t="shared" si="19"/>
        <v>-6988.4024999999992</v>
      </c>
    </row>
    <row r="173" spans="1:6">
      <c r="A173" s="351"/>
      <c r="B173" s="344"/>
      <c r="C173" s="333"/>
      <c r="D173" s="334"/>
    </row>
    <row r="174" spans="1:6">
      <c r="A174" s="351" t="s">
        <v>500</v>
      </c>
      <c r="B174" s="352">
        <f>+SUM(B164:B172)</f>
        <v>121328970.06465988</v>
      </c>
      <c r="C174" s="333"/>
      <c r="D174" s="334">
        <f>B174</f>
        <v>121328970.06465988</v>
      </c>
    </row>
    <row r="175" spans="1:6">
      <c r="A175" s="344"/>
      <c r="B175" s="352"/>
      <c r="C175" s="333"/>
      <c r="D175" s="334"/>
    </row>
    <row r="176" spans="1:6">
      <c r="A176" s="351" t="s">
        <v>654</v>
      </c>
      <c r="B176" s="352">
        <v>20792</v>
      </c>
      <c r="C176" s="333"/>
      <c r="D176" s="333">
        <f>B176</f>
        <v>20792</v>
      </c>
    </row>
    <row r="177" spans="1:11">
      <c r="A177" s="351"/>
      <c r="B177" s="352"/>
      <c r="C177" s="333"/>
      <c r="D177" s="334"/>
    </row>
    <row r="178" spans="1:11">
      <c r="A178" s="351" t="s">
        <v>655</v>
      </c>
      <c r="B178" s="352">
        <f>+B174-B176</f>
        <v>121308178.06465988</v>
      </c>
      <c r="C178" s="333"/>
      <c r="D178" s="334">
        <f>B178</f>
        <v>121308178.06465988</v>
      </c>
    </row>
    <row r="179" spans="1:11">
      <c r="A179" s="344"/>
      <c r="B179" s="344"/>
      <c r="C179" s="333"/>
      <c r="D179" s="334"/>
    </row>
    <row r="180" spans="1:11">
      <c r="A180" s="346" t="s">
        <v>501</v>
      </c>
      <c r="B180" s="347">
        <f>IF(B178&lt;0,0,(ROUND(B178*0.25168,0)))</f>
        <v>30530842</v>
      </c>
      <c r="C180" s="333"/>
      <c r="D180" s="334">
        <f>B180</f>
        <v>30530842</v>
      </c>
    </row>
    <row r="181" spans="1:11">
      <c r="A181" s="346"/>
      <c r="B181" s="346"/>
      <c r="C181" s="333"/>
      <c r="D181" s="334"/>
    </row>
    <row r="182" spans="1:11">
      <c r="A182" s="346" t="s">
        <v>553</v>
      </c>
      <c r="B182" s="347">
        <f>B157*0.1</f>
        <v>286789.98200000002</v>
      </c>
      <c r="C182" s="333"/>
      <c r="D182" s="334">
        <f>B182</f>
        <v>286789.98200000002</v>
      </c>
    </row>
    <row r="183" spans="1:11">
      <c r="A183" s="346" t="s">
        <v>551</v>
      </c>
      <c r="B183" s="347">
        <f>+B152*0.01</f>
        <v>3629000</v>
      </c>
      <c r="C183" s="333"/>
      <c r="D183" s="334">
        <f>B183</f>
        <v>3629000</v>
      </c>
    </row>
    <row r="184" spans="1:11">
      <c r="A184" s="346" t="s">
        <v>502</v>
      </c>
      <c r="B184" s="347">
        <v>0</v>
      </c>
      <c r="C184" s="333">
        <f>B184</f>
        <v>0</v>
      </c>
      <c r="D184" s="334">
        <f>B184</f>
        <v>0</v>
      </c>
    </row>
    <row r="185" spans="1:11">
      <c r="A185" s="346"/>
      <c r="B185" s="347"/>
      <c r="C185" s="333"/>
      <c r="D185" s="334"/>
    </row>
    <row r="186" spans="1:11">
      <c r="A186" s="346" t="s">
        <v>552</v>
      </c>
      <c r="B186" s="347"/>
      <c r="C186" s="333"/>
      <c r="D186" s="334"/>
    </row>
    <row r="187" spans="1:11">
      <c r="A187" s="346"/>
      <c r="B187" s="346"/>
      <c r="C187" s="333"/>
      <c r="D187" s="334"/>
    </row>
    <row r="188" spans="1:11">
      <c r="A188" s="348" t="s">
        <v>503</v>
      </c>
      <c r="B188" s="349">
        <f>ROUND(B180-B182-B183-B184,0)</f>
        <v>26615052</v>
      </c>
      <c r="C188" s="333"/>
      <c r="D188" s="334">
        <f>B188</f>
        <v>26615052</v>
      </c>
      <c r="E188" s="404"/>
    </row>
    <row r="189" spans="1:11">
      <c r="A189" s="344"/>
      <c r="B189" s="344"/>
      <c r="C189" s="333"/>
      <c r="D189" s="334"/>
    </row>
    <row r="190" spans="1:11">
      <c r="A190" s="346" t="s">
        <v>504</v>
      </c>
      <c r="B190" s="353">
        <f>+B138</f>
        <v>2812765648.8299999</v>
      </c>
      <c r="C190" s="504">
        <f>C138</f>
        <v>220178953.76045883</v>
      </c>
      <c r="D190" s="502">
        <f>D138</f>
        <v>2592586695.069541</v>
      </c>
    </row>
    <row r="191" spans="1:11">
      <c r="A191" s="344"/>
      <c r="B191" s="344"/>
      <c r="C191" s="333"/>
      <c r="D191" s="334"/>
    </row>
    <row r="192" spans="1:11">
      <c r="A192" s="344" t="s">
        <v>505</v>
      </c>
      <c r="B192" s="345">
        <f>+C206</f>
        <v>321389394.19229066</v>
      </c>
      <c r="C192" s="333"/>
      <c r="D192" s="334">
        <f>B192</f>
        <v>321389394.19229066</v>
      </c>
      <c r="G192"/>
      <c r="J192" s="335"/>
      <c r="K192" s="335"/>
    </row>
    <row r="193" spans="1:11">
      <c r="A193" s="346" t="s">
        <v>7</v>
      </c>
      <c r="B193" s="353">
        <f>SUM(B190:B192)</f>
        <v>3134155043.0222907</v>
      </c>
      <c r="C193" s="504">
        <f>SUM(C190:C192)</f>
        <v>220178953.76045883</v>
      </c>
      <c r="D193" s="353">
        <f>SUM(D190:D192)</f>
        <v>2913976089.2618318</v>
      </c>
      <c r="G193"/>
      <c r="J193" s="335"/>
      <c r="K193" s="335"/>
    </row>
    <row r="194" spans="1:11">
      <c r="A194" s="346"/>
      <c r="B194" s="353"/>
      <c r="C194" s="333"/>
      <c r="D194" s="334"/>
    </row>
    <row r="195" spans="1:11">
      <c r="A195" s="346" t="s">
        <v>507</v>
      </c>
      <c r="B195" s="353">
        <f>B153</f>
        <v>220178953.76045883</v>
      </c>
      <c r="C195" s="353">
        <f>B195</f>
        <v>220178953.76045883</v>
      </c>
      <c r="D195" s="334">
        <v>0</v>
      </c>
    </row>
    <row r="196" spans="1:11">
      <c r="A196" s="346"/>
      <c r="B196" s="353"/>
      <c r="C196" s="333"/>
      <c r="D196" s="334"/>
    </row>
    <row r="197" spans="1:11">
      <c r="A197" s="353" t="s">
        <v>1562</v>
      </c>
      <c r="B197" s="353">
        <f>+B193-B195</f>
        <v>2913976089.2618318</v>
      </c>
      <c r="C197" s="504">
        <f>+C193-C195</f>
        <v>0</v>
      </c>
      <c r="D197" s="353">
        <f>+D193-D195</f>
        <v>2913976089.2618318</v>
      </c>
    </row>
    <row r="199" spans="1:11">
      <c r="F199" s="676" t="s">
        <v>5974</v>
      </c>
    </row>
    <row r="200" spans="1:11" ht="30">
      <c r="A200" s="401" t="s">
        <v>3</v>
      </c>
      <c r="B200" s="402" t="s">
        <v>280</v>
      </c>
      <c r="C200" s="403" t="s">
        <v>1556</v>
      </c>
      <c r="D200" s="403" t="s">
        <v>652</v>
      </c>
      <c r="F200" s="674" t="s">
        <v>3</v>
      </c>
      <c r="G200" s="675" t="s">
        <v>280</v>
      </c>
    </row>
    <row r="201" spans="1:11" ht="30">
      <c r="A201" s="339" t="s">
        <v>615</v>
      </c>
      <c r="B201" s="333">
        <f>SUMIF(H:H,A201,G:G)</f>
        <v>240448439.34999999</v>
      </c>
      <c r="C201" s="333">
        <f>+B201</f>
        <v>240448439.34999999</v>
      </c>
      <c r="D201" s="333"/>
      <c r="F201" s="645" t="s">
        <v>5971</v>
      </c>
      <c r="G201" s="333">
        <f>B204</f>
        <v>15714609</v>
      </c>
    </row>
    <row r="202" spans="1:11">
      <c r="A202" s="339" t="s">
        <v>616</v>
      </c>
      <c r="B202" s="333">
        <f>SUMIF(H:H,A202,G:G)</f>
        <v>26933904.560000002</v>
      </c>
      <c r="C202" s="333">
        <f>+B202</f>
        <v>26933904.560000002</v>
      </c>
      <c r="D202" s="333"/>
      <c r="F202" s="334" t="s">
        <v>5972</v>
      </c>
      <c r="G202" s="334">
        <f>B205</f>
        <v>1086735</v>
      </c>
    </row>
    <row r="203" spans="1:11" ht="17.25">
      <c r="A203" s="340" t="s">
        <v>683</v>
      </c>
      <c r="B203" s="333">
        <f>SUMIF(H:H,A203,G:G)</f>
        <v>62874802.399999999</v>
      </c>
      <c r="C203" s="333">
        <f>+$B$203*$C$146</f>
        <v>54007050.282290682</v>
      </c>
      <c r="D203" s="333">
        <f>+$B$203*$C$145</f>
        <v>8867752.1177093238</v>
      </c>
      <c r="F203" s="334"/>
      <c r="G203" s="672">
        <f>SUBTOTAL(9,G201:G202)</f>
        <v>16801344</v>
      </c>
    </row>
    <row r="204" spans="1:11" ht="30">
      <c r="A204" s="339" t="s">
        <v>489</v>
      </c>
      <c r="B204" s="333">
        <f>SUMIF(H:H,A204,G:G)</f>
        <v>15714609</v>
      </c>
      <c r="C204" s="333"/>
      <c r="D204" s="333">
        <f>+B204</f>
        <v>15714609</v>
      </c>
      <c r="F204" s="334" t="s">
        <v>5973</v>
      </c>
      <c r="G204" s="333">
        <f>Notes!F297+'Dep &amp; DTA DTL'!L12+PL!I37</f>
        <v>16801344.042817876</v>
      </c>
    </row>
    <row r="205" spans="1:11" ht="17.25">
      <c r="A205" s="340" t="s">
        <v>490</v>
      </c>
      <c r="B205" s="333">
        <f>SUMIF(H:H,A205,G:G)</f>
        <v>1086735</v>
      </c>
      <c r="C205" s="333"/>
      <c r="D205" s="333">
        <f>+B205</f>
        <v>1086735</v>
      </c>
      <c r="F205" s="672" t="s">
        <v>477</v>
      </c>
      <c r="G205" s="673">
        <f>G204-G203</f>
        <v>4.2817875742912292E-2</v>
      </c>
    </row>
    <row r="206" spans="1:11">
      <c r="A206" s="338" t="s">
        <v>7</v>
      </c>
      <c r="B206" s="332">
        <f>SUM(B201:B205)</f>
        <v>347058490.31</v>
      </c>
      <c r="C206" s="332">
        <f>SUM(C201:C205)</f>
        <v>321389394.19229066</v>
      </c>
      <c r="D206" s="332">
        <f>SUM(D201:D205)</f>
        <v>25669096.117709324</v>
      </c>
    </row>
    <row r="207" spans="1:11">
      <c r="A207" s="272"/>
      <c r="B207" s="313"/>
    </row>
    <row r="209" spans="1:12">
      <c r="D209" s="335">
        <f t="shared" ref="D209:F209" si="20">SUBTOTAL(9,D211:D272)</f>
        <v>0</v>
      </c>
      <c r="E209" s="335">
        <f t="shared" si="20"/>
        <v>69290031.400000006</v>
      </c>
      <c r="F209" s="335">
        <f t="shared" si="20"/>
        <v>6415229</v>
      </c>
      <c r="G209" s="335">
        <f>SUBTOTAL(9,G211:G273)</f>
        <v>62874802.399999999</v>
      </c>
    </row>
    <row r="210" spans="1:12" ht="30">
      <c r="A210" s="336" t="s">
        <v>459</v>
      </c>
      <c r="B210" s="336" t="s">
        <v>460</v>
      </c>
      <c r="C210" s="505" t="s">
        <v>320</v>
      </c>
      <c r="D210" s="337" t="s">
        <v>321</v>
      </c>
      <c r="E210" s="337" t="s">
        <v>322</v>
      </c>
      <c r="F210" s="337" t="s">
        <v>323</v>
      </c>
      <c r="G210" s="337" t="s">
        <v>324</v>
      </c>
      <c r="H210" s="337" t="s">
        <v>491</v>
      </c>
    </row>
    <row r="211" spans="1:12" hidden="1">
      <c r="A211" s="331" t="s">
        <v>384</v>
      </c>
      <c r="B211" s="331">
        <v>30000072</v>
      </c>
      <c r="C211" s="330" t="s">
        <v>543</v>
      </c>
      <c r="D211" s="334"/>
      <c r="E211" s="334">
        <v>0</v>
      </c>
      <c r="F211" s="334">
        <v>362900000</v>
      </c>
      <c r="G211" s="334">
        <v>-362900000</v>
      </c>
      <c r="H211" s="330"/>
    </row>
    <row r="212" spans="1:12" hidden="1">
      <c r="A212" s="331">
        <v>1900</v>
      </c>
      <c r="B212" s="331">
        <v>30100003</v>
      </c>
      <c r="C212" s="330" t="s">
        <v>196</v>
      </c>
      <c r="D212" s="334">
        <v>0</v>
      </c>
      <c r="E212" s="334">
        <v>35593.18</v>
      </c>
      <c r="F212" s="334">
        <v>432816.92</v>
      </c>
      <c r="G212" s="334">
        <v>-397223.74</v>
      </c>
      <c r="H212" s="330"/>
    </row>
    <row r="213" spans="1:12" hidden="1">
      <c r="A213" s="331">
        <v>1900</v>
      </c>
      <c r="B213" s="331">
        <v>30100201</v>
      </c>
      <c r="C213" s="330" t="s">
        <v>400</v>
      </c>
      <c r="D213" s="334">
        <v>0</v>
      </c>
      <c r="E213" s="334">
        <v>21120</v>
      </c>
      <c r="F213" s="334">
        <v>21120</v>
      </c>
      <c r="G213" s="334">
        <v>0</v>
      </c>
      <c r="H213" s="330"/>
    </row>
    <row r="214" spans="1:12" hidden="1">
      <c r="A214" s="331">
        <v>1900</v>
      </c>
      <c r="B214" s="331">
        <v>30101002</v>
      </c>
      <c r="C214" s="330" t="s">
        <v>373</v>
      </c>
      <c r="D214" s="334">
        <v>0</v>
      </c>
      <c r="E214" s="334">
        <v>0</v>
      </c>
      <c r="F214" s="334">
        <v>2867899.82</v>
      </c>
      <c r="G214" s="645">
        <v>-2867899.82</v>
      </c>
      <c r="H214" s="330"/>
    </row>
    <row r="215" spans="1:12" hidden="1">
      <c r="A215" s="331">
        <v>1900</v>
      </c>
      <c r="B215" s="331">
        <v>40100003</v>
      </c>
      <c r="C215" s="330" t="s">
        <v>209</v>
      </c>
      <c r="D215" s="334">
        <v>0</v>
      </c>
      <c r="E215" s="334">
        <v>134580</v>
      </c>
      <c r="F215" s="334">
        <v>0</v>
      </c>
      <c r="G215" s="645">
        <v>134580</v>
      </c>
      <c r="H215" s="330" t="s">
        <v>615</v>
      </c>
      <c r="I215">
        <f>VLOOKUP(B215,'Raw TB_26.04.2026 (SAP Paste)'!B:J,9,0)</f>
        <v>134580</v>
      </c>
      <c r="J215">
        <f>+G215-I215</f>
        <v>0</v>
      </c>
    </row>
    <row r="216" spans="1:12" hidden="1">
      <c r="A216" s="331">
        <v>1900</v>
      </c>
      <c r="B216" s="331">
        <v>40100004</v>
      </c>
      <c r="C216" s="330" t="s">
        <v>210</v>
      </c>
      <c r="D216" s="334">
        <v>0</v>
      </c>
      <c r="E216" s="334">
        <v>1530094</v>
      </c>
      <c r="F216" s="334">
        <v>0</v>
      </c>
      <c r="G216" s="645">
        <v>1530094</v>
      </c>
      <c r="H216" s="330" t="s">
        <v>615</v>
      </c>
      <c r="I216">
        <f>VLOOKUP(B216,'Raw TB_26.04.2026 (SAP Paste)'!B:J,9,0)</f>
        <v>1530094</v>
      </c>
      <c r="J216">
        <f t="shared" ref="J216:J268" si="21">+G216-I216</f>
        <v>0</v>
      </c>
    </row>
    <row r="217" spans="1:12" hidden="1">
      <c r="A217" s="331">
        <v>1900</v>
      </c>
      <c r="B217" s="331">
        <v>40100005</v>
      </c>
      <c r="C217" s="330" t="s">
        <v>211</v>
      </c>
      <c r="D217" s="334">
        <v>0</v>
      </c>
      <c r="E217" s="334">
        <v>147188</v>
      </c>
      <c r="F217" s="334">
        <v>0</v>
      </c>
      <c r="G217" s="645">
        <v>147188</v>
      </c>
      <c r="H217" s="330" t="s">
        <v>615</v>
      </c>
      <c r="I217">
        <f>VLOOKUP(B217,'Raw TB_26.04.2026 (SAP Paste)'!B:J,9,0)</f>
        <v>147188</v>
      </c>
      <c r="J217">
        <f t="shared" si="21"/>
        <v>0</v>
      </c>
    </row>
    <row r="218" spans="1:12" hidden="1">
      <c r="A218" s="331">
        <v>1900</v>
      </c>
      <c r="B218" s="331">
        <v>40100007</v>
      </c>
      <c r="C218" s="330" t="s">
        <v>212</v>
      </c>
      <c r="D218" s="334">
        <v>0</v>
      </c>
      <c r="E218" s="334">
        <v>1599995.4</v>
      </c>
      <c r="F218" s="334">
        <v>200000</v>
      </c>
      <c r="G218" s="645">
        <v>1399995.4</v>
      </c>
      <c r="H218" s="330" t="s">
        <v>615</v>
      </c>
      <c r="I218">
        <f>VLOOKUP(B218,'Raw TB_26.04.2026 (SAP Paste)'!B:J,9,0)</f>
        <v>1399995.4</v>
      </c>
      <c r="J218">
        <f t="shared" si="21"/>
        <v>0</v>
      </c>
    </row>
    <row r="219" spans="1:12" hidden="1">
      <c r="A219" s="331">
        <v>1900</v>
      </c>
      <c r="B219" s="331">
        <v>40100008</v>
      </c>
      <c r="C219" s="330" t="s">
        <v>213</v>
      </c>
      <c r="D219" s="334">
        <v>0</v>
      </c>
      <c r="E219" s="334">
        <v>1196639</v>
      </c>
      <c r="F219" s="334">
        <v>3000</v>
      </c>
      <c r="G219" s="645">
        <v>1193639</v>
      </c>
      <c r="H219" s="330" t="s">
        <v>615</v>
      </c>
      <c r="I219">
        <f>VLOOKUP(B219,'Raw TB_26.04.2026 (SAP Paste)'!B:J,9,0)</f>
        <v>1193639</v>
      </c>
      <c r="J219">
        <f t="shared" si="21"/>
        <v>0</v>
      </c>
    </row>
    <row r="220" spans="1:12" hidden="1">
      <c r="A220" s="331">
        <v>1900</v>
      </c>
      <c r="B220" s="331">
        <v>40200002</v>
      </c>
      <c r="C220" s="330" t="s">
        <v>217</v>
      </c>
      <c r="D220" s="334">
        <v>0</v>
      </c>
      <c r="E220" s="334">
        <v>6640637</v>
      </c>
      <c r="F220" s="334">
        <f>50360+6566277</f>
        <v>6616637</v>
      </c>
      <c r="G220" s="645">
        <f>+E220-F220</f>
        <v>24000</v>
      </c>
      <c r="H220" s="330" t="s">
        <v>615</v>
      </c>
      <c r="I220">
        <f>VLOOKUP(B220,'Raw TB_26.04.2026 (SAP Paste)'!B:J,9,0)</f>
        <v>24000</v>
      </c>
      <c r="J220">
        <f t="shared" si="21"/>
        <v>0</v>
      </c>
      <c r="L220">
        <v>6566277</v>
      </c>
    </row>
    <row r="221" spans="1:12" hidden="1">
      <c r="A221" s="331">
        <v>1900</v>
      </c>
      <c r="B221" s="331">
        <v>40200004</v>
      </c>
      <c r="C221" s="330" t="s">
        <v>399</v>
      </c>
      <c r="D221" s="334">
        <v>0</v>
      </c>
      <c r="E221" s="334">
        <v>671500</v>
      </c>
      <c r="F221" s="334">
        <v>0</v>
      </c>
      <c r="G221" s="645">
        <v>671500</v>
      </c>
      <c r="H221" s="330" t="s">
        <v>615</v>
      </c>
      <c r="I221">
        <f>VLOOKUP(B221,'Raw TB_26.04.2026 (SAP Paste)'!B:J,9,0)</f>
        <v>671500</v>
      </c>
      <c r="J221">
        <f t="shared" si="21"/>
        <v>0</v>
      </c>
    </row>
    <row r="222" spans="1:12" hidden="1">
      <c r="A222" s="331">
        <v>1900</v>
      </c>
      <c r="B222" s="331">
        <v>40200005</v>
      </c>
      <c r="C222" s="330" t="s">
        <v>218</v>
      </c>
      <c r="D222" s="334">
        <v>0</v>
      </c>
      <c r="E222" s="334">
        <v>764422</v>
      </c>
      <c r="F222" s="334">
        <v>0</v>
      </c>
      <c r="G222" s="645">
        <v>764422</v>
      </c>
      <c r="H222" s="330" t="s">
        <v>615</v>
      </c>
      <c r="I222">
        <f>VLOOKUP(B222,'Raw TB_26.04.2026 (SAP Paste)'!B:J,9,0)</f>
        <v>764422</v>
      </c>
      <c r="J222">
        <f t="shared" si="21"/>
        <v>0</v>
      </c>
    </row>
    <row r="223" spans="1:12" hidden="1">
      <c r="A223" s="331">
        <v>1900</v>
      </c>
      <c r="B223" s="331">
        <v>40200032</v>
      </c>
      <c r="C223" s="330" t="s">
        <v>374</v>
      </c>
      <c r="D223" s="334">
        <v>0</v>
      </c>
      <c r="E223" s="334">
        <v>20106.04</v>
      </c>
      <c r="F223" s="334">
        <v>0</v>
      </c>
      <c r="G223" s="645">
        <v>20106.04</v>
      </c>
      <c r="H223" s="330" t="s">
        <v>615</v>
      </c>
      <c r="I223">
        <f>VLOOKUP(B223,'Raw TB_26.04.2026 (SAP Paste)'!B:J,9,0)</f>
        <v>20106.04</v>
      </c>
      <c r="J223">
        <f t="shared" si="21"/>
        <v>0</v>
      </c>
    </row>
    <row r="224" spans="1:12" hidden="1">
      <c r="A224" s="331">
        <v>1900</v>
      </c>
      <c r="B224" s="331">
        <v>40300003</v>
      </c>
      <c r="C224" s="330" t="s">
        <v>205</v>
      </c>
      <c r="D224" s="334">
        <v>0</v>
      </c>
      <c r="E224" s="334">
        <v>3267147.7</v>
      </c>
      <c r="F224" s="334">
        <v>164262.75</v>
      </c>
      <c r="G224" s="645">
        <v>3102884.95</v>
      </c>
      <c r="H224" s="330" t="s">
        <v>615</v>
      </c>
      <c r="I224">
        <f>VLOOKUP(B224,'Raw TB_26.04.2026 (SAP Paste)'!B:J,9,0)</f>
        <v>3102884.95</v>
      </c>
      <c r="J224">
        <f t="shared" si="21"/>
        <v>0</v>
      </c>
    </row>
    <row r="225" spans="1:10" hidden="1">
      <c r="A225" s="331">
        <v>1900</v>
      </c>
      <c r="B225" s="331">
        <v>40300006</v>
      </c>
      <c r="C225" s="330" t="s">
        <v>375</v>
      </c>
      <c r="D225" s="334">
        <v>0</v>
      </c>
      <c r="E225" s="334">
        <v>29135</v>
      </c>
      <c r="F225" s="334">
        <v>29135</v>
      </c>
      <c r="G225" s="645">
        <v>0</v>
      </c>
      <c r="H225" s="330" t="s">
        <v>615</v>
      </c>
      <c r="I225">
        <f>VLOOKUP(B225,'Raw TB_26.04.2026 (SAP Paste)'!B:J,9,0)</f>
        <v>0</v>
      </c>
      <c r="J225">
        <f t="shared" si="21"/>
        <v>0</v>
      </c>
    </row>
    <row r="226" spans="1:10" hidden="1">
      <c r="A226" s="331">
        <v>1900</v>
      </c>
      <c r="B226" s="331">
        <v>40300008</v>
      </c>
      <c r="C226" s="330" t="s">
        <v>454</v>
      </c>
      <c r="D226" s="334">
        <v>0</v>
      </c>
      <c r="E226" s="334">
        <v>801105.77</v>
      </c>
      <c r="F226" s="334">
        <v>0</v>
      </c>
      <c r="G226" s="645">
        <v>801105.77</v>
      </c>
      <c r="H226" s="330" t="s">
        <v>615</v>
      </c>
      <c r="I226">
        <f>VLOOKUP(B226,'Raw TB_26.04.2026 (SAP Paste)'!B:J,9,0)</f>
        <v>801105.77</v>
      </c>
      <c r="J226">
        <f t="shared" si="21"/>
        <v>0</v>
      </c>
    </row>
    <row r="227" spans="1:10" hidden="1">
      <c r="A227" s="331">
        <v>1900</v>
      </c>
      <c r="B227" s="331">
        <v>40300009</v>
      </c>
      <c r="C227" s="330" t="s">
        <v>455</v>
      </c>
      <c r="D227" s="334">
        <v>0</v>
      </c>
      <c r="E227" s="334">
        <v>1809</v>
      </c>
      <c r="F227" s="334">
        <v>1809</v>
      </c>
      <c r="G227" s="645">
        <v>0</v>
      </c>
      <c r="H227" s="330" t="s">
        <v>615</v>
      </c>
      <c r="I227">
        <f>VLOOKUP(B227,'Raw TB_26.04.2026 (SAP Paste)'!B:J,9,0)</f>
        <v>0</v>
      </c>
      <c r="J227">
        <f t="shared" si="21"/>
        <v>0</v>
      </c>
    </row>
    <row r="228" spans="1:10" hidden="1">
      <c r="A228" s="331">
        <v>1900</v>
      </c>
      <c r="B228" s="331">
        <v>40300010</v>
      </c>
      <c r="C228" s="330" t="s">
        <v>376</v>
      </c>
      <c r="D228" s="334">
        <v>0</v>
      </c>
      <c r="E228" s="334">
        <v>270626.59000000003</v>
      </c>
      <c r="F228" s="334">
        <v>270626.59000000003</v>
      </c>
      <c r="G228" s="645">
        <v>0</v>
      </c>
      <c r="H228" s="330" t="s">
        <v>615</v>
      </c>
      <c r="I228">
        <f>VLOOKUP(B228,'Raw TB_26.04.2026 (SAP Paste)'!B:J,9,0)</f>
        <v>0</v>
      </c>
      <c r="J228">
        <f t="shared" si="21"/>
        <v>0</v>
      </c>
    </row>
    <row r="229" spans="1:10" hidden="1">
      <c r="A229" s="331">
        <v>1900</v>
      </c>
      <c r="B229" s="331">
        <v>40400002</v>
      </c>
      <c r="C229" s="330" t="s">
        <v>206</v>
      </c>
      <c r="D229" s="334">
        <v>0</v>
      </c>
      <c r="E229" s="334">
        <v>331055703.76999998</v>
      </c>
      <c r="F229" s="334">
        <v>189899193.96000001</v>
      </c>
      <c r="G229" s="645">
        <v>141156509.81</v>
      </c>
      <c r="H229" s="330" t="s">
        <v>615</v>
      </c>
      <c r="I229">
        <f>VLOOKUP(B229,'Raw TB_26.04.2026 (SAP Paste)'!B:J,9,0)</f>
        <v>141156509.81</v>
      </c>
      <c r="J229">
        <f t="shared" si="21"/>
        <v>0</v>
      </c>
    </row>
    <row r="230" spans="1:10" hidden="1">
      <c r="A230" s="331">
        <v>1900</v>
      </c>
      <c r="B230" s="331">
        <v>40400003</v>
      </c>
      <c r="C230" s="330" t="s">
        <v>207</v>
      </c>
      <c r="D230" s="334">
        <v>0</v>
      </c>
      <c r="E230" s="334">
        <v>781859</v>
      </c>
      <c r="F230" s="334">
        <v>0</v>
      </c>
      <c r="G230" s="645">
        <v>781859</v>
      </c>
      <c r="H230" s="330" t="s">
        <v>615</v>
      </c>
      <c r="I230">
        <f>VLOOKUP(B230,'Raw TB_26.04.2026 (SAP Paste)'!B:J,9,0)</f>
        <v>781859</v>
      </c>
      <c r="J230">
        <f t="shared" si="21"/>
        <v>0</v>
      </c>
    </row>
    <row r="231" spans="1:10" hidden="1">
      <c r="A231" s="331">
        <v>1900</v>
      </c>
      <c r="B231" s="331">
        <v>40400004</v>
      </c>
      <c r="C231" s="330" t="s">
        <v>208</v>
      </c>
      <c r="D231" s="334">
        <v>0</v>
      </c>
      <c r="E231" s="334">
        <v>4261.12</v>
      </c>
      <c r="F231" s="334">
        <v>0</v>
      </c>
      <c r="G231" s="645">
        <v>4261.12</v>
      </c>
      <c r="H231" s="330" t="s">
        <v>615</v>
      </c>
      <c r="I231">
        <f>VLOOKUP(B231,'Raw TB_26.04.2026 (SAP Paste)'!B:J,9,0)</f>
        <v>4261.12</v>
      </c>
      <c r="J231">
        <f t="shared" si="21"/>
        <v>0</v>
      </c>
    </row>
    <row r="232" spans="1:10" hidden="1">
      <c r="A232" s="331">
        <v>1900</v>
      </c>
      <c r="B232" s="331">
        <v>40500001</v>
      </c>
      <c r="C232" s="330" t="s">
        <v>216</v>
      </c>
      <c r="D232" s="334">
        <v>0</v>
      </c>
      <c r="E232" s="334">
        <v>11628000</v>
      </c>
      <c r="F232" s="334">
        <v>0</v>
      </c>
      <c r="G232" s="645">
        <v>11628000</v>
      </c>
      <c r="H232" s="330" t="s">
        <v>615</v>
      </c>
      <c r="I232">
        <f>VLOOKUP(B232,'Raw TB_26.04.2026 (SAP Paste)'!B:J,9,0)</f>
        <v>11628000</v>
      </c>
      <c r="J232">
        <f t="shared" si="21"/>
        <v>0</v>
      </c>
    </row>
    <row r="233" spans="1:10" hidden="1">
      <c r="A233" s="331">
        <v>1900</v>
      </c>
      <c r="B233" s="331">
        <v>40700001</v>
      </c>
      <c r="C233" s="330" t="s">
        <v>219</v>
      </c>
      <c r="D233" s="334">
        <v>0</v>
      </c>
      <c r="E233" s="334">
        <v>14214357.970000001</v>
      </c>
      <c r="F233" s="334">
        <v>0</v>
      </c>
      <c r="G233" s="645">
        <v>14214357.970000001</v>
      </c>
      <c r="H233" s="330" t="s">
        <v>615</v>
      </c>
      <c r="I233">
        <f>VLOOKUP(B233,'Raw TB_26.04.2026 (SAP Paste)'!B:J,9,0)</f>
        <v>14214357.970000001</v>
      </c>
      <c r="J233">
        <f t="shared" si="21"/>
        <v>0</v>
      </c>
    </row>
    <row r="234" spans="1:10" hidden="1">
      <c r="A234" s="331">
        <v>1900</v>
      </c>
      <c r="B234" s="331">
        <v>40700002</v>
      </c>
      <c r="C234" s="330" t="s">
        <v>220</v>
      </c>
      <c r="D234" s="334">
        <v>0</v>
      </c>
      <c r="E234" s="334">
        <v>14214357.970000001</v>
      </c>
      <c r="F234" s="334">
        <v>0</v>
      </c>
      <c r="G234" s="645">
        <v>14214357.970000001</v>
      </c>
      <c r="H234" s="330" t="s">
        <v>615</v>
      </c>
      <c r="I234">
        <f>VLOOKUP(B234,'Raw TB_26.04.2026 (SAP Paste)'!B:J,9,0)</f>
        <v>14214357.970000001</v>
      </c>
      <c r="J234">
        <f t="shared" si="21"/>
        <v>0</v>
      </c>
    </row>
    <row r="235" spans="1:10" hidden="1">
      <c r="A235" s="331">
        <v>1900</v>
      </c>
      <c r="B235" s="331">
        <v>40800052</v>
      </c>
      <c r="C235" s="330" t="s">
        <v>215</v>
      </c>
      <c r="D235" s="334">
        <v>0</v>
      </c>
      <c r="E235" s="334">
        <v>904090.32</v>
      </c>
      <c r="F235" s="334">
        <v>156780</v>
      </c>
      <c r="G235" s="645">
        <v>747310.32</v>
      </c>
      <c r="H235" s="330" t="s">
        <v>615</v>
      </c>
      <c r="I235">
        <f>VLOOKUP(B235,'Raw TB_26.04.2026 (SAP Paste)'!B:J,9,0)</f>
        <v>747310.32</v>
      </c>
      <c r="J235">
        <f t="shared" si="21"/>
        <v>0</v>
      </c>
    </row>
    <row r="236" spans="1:10" hidden="1">
      <c r="A236" s="331">
        <v>1900</v>
      </c>
      <c r="B236" s="331">
        <v>45200007</v>
      </c>
      <c r="C236" s="330" t="s">
        <v>214</v>
      </c>
      <c r="D236" s="334">
        <v>0</v>
      </c>
      <c r="E236" s="334">
        <v>372851.06</v>
      </c>
      <c r="F236" s="334">
        <v>16271.18</v>
      </c>
      <c r="G236" s="645">
        <v>356579.88</v>
      </c>
      <c r="H236" s="330" t="s">
        <v>616</v>
      </c>
      <c r="I236">
        <f>VLOOKUP(B236,'Raw TB_26.04.2026 (SAP Paste)'!B:J,9,0)</f>
        <v>356579.88</v>
      </c>
      <c r="J236">
        <f>+G236-I236</f>
        <v>0</v>
      </c>
    </row>
    <row r="237" spans="1:10" hidden="1">
      <c r="A237" s="331" t="s">
        <v>384</v>
      </c>
      <c r="B237" s="331">
        <v>40900201</v>
      </c>
      <c r="C237" s="333" t="s">
        <v>544</v>
      </c>
      <c r="D237" s="334"/>
      <c r="E237" s="334">
        <v>300000</v>
      </c>
      <c r="F237" s="334">
        <v>0</v>
      </c>
      <c r="G237" s="645">
        <v>300000</v>
      </c>
      <c r="H237" s="330" t="s">
        <v>489</v>
      </c>
    </row>
    <row r="238" spans="1:10" hidden="1">
      <c r="A238" s="331">
        <v>1900</v>
      </c>
      <c r="B238" s="331">
        <v>45400018</v>
      </c>
      <c r="C238" s="330" t="s">
        <v>484</v>
      </c>
      <c r="D238" s="334"/>
      <c r="E238" s="334">
        <f>15360+14400</f>
        <v>29760</v>
      </c>
      <c r="F238" s="334">
        <v>0</v>
      </c>
      <c r="G238" s="645">
        <f>+E238-F238</f>
        <v>29760</v>
      </c>
      <c r="H238" s="330" t="s">
        <v>616</v>
      </c>
      <c r="I238">
        <f>VLOOKUP(B238,'Raw TB_26.04.2026 (SAP Paste)'!B:J,9,0)</f>
        <v>29760</v>
      </c>
      <c r="J238">
        <f t="shared" ref="J238:J248" si="22">+G238-I238</f>
        <v>0</v>
      </c>
    </row>
    <row r="239" spans="1:10" hidden="1">
      <c r="A239" s="331">
        <v>1900</v>
      </c>
      <c r="B239" s="331">
        <v>45400001</v>
      </c>
      <c r="C239" s="330" t="s">
        <v>248</v>
      </c>
      <c r="D239" s="334">
        <v>0</v>
      </c>
      <c r="E239" s="334">
        <v>16427281.98</v>
      </c>
      <c r="F239" s="334">
        <v>721799</v>
      </c>
      <c r="G239" s="645">
        <v>15705482.98</v>
      </c>
      <c r="H239" s="330" t="s">
        <v>616</v>
      </c>
      <c r="I239">
        <f>VLOOKUP(B239,'Raw TB_26.04.2026 (SAP Paste)'!B:J,9,0)</f>
        <v>15705482.98</v>
      </c>
      <c r="J239">
        <f t="shared" si="22"/>
        <v>0</v>
      </c>
    </row>
    <row r="240" spans="1:10" hidden="1">
      <c r="A240" s="331">
        <v>1900</v>
      </c>
      <c r="B240" s="331">
        <v>45300001</v>
      </c>
      <c r="C240" s="330" t="s">
        <v>243</v>
      </c>
      <c r="D240" s="334">
        <v>0</v>
      </c>
      <c r="E240" s="334">
        <f>2134629.03+360</f>
        <v>2134989.0299999998</v>
      </c>
      <c r="F240" s="334">
        <v>239957.07</v>
      </c>
      <c r="G240" s="645">
        <f>+E240-F240</f>
        <v>1895031.9599999997</v>
      </c>
      <c r="H240" s="330" t="s">
        <v>616</v>
      </c>
      <c r="I240">
        <f>VLOOKUP(B240,'Raw TB_26.04.2026 (SAP Paste)'!B:J,9,0)</f>
        <v>1895031.9599999997</v>
      </c>
      <c r="J240">
        <f t="shared" si="22"/>
        <v>0</v>
      </c>
    </row>
    <row r="241" spans="1:10" hidden="1">
      <c r="A241" s="331">
        <v>1900</v>
      </c>
      <c r="B241" s="331">
        <v>45300002</v>
      </c>
      <c r="C241" s="330" t="s">
        <v>244</v>
      </c>
      <c r="D241" s="334">
        <v>0</v>
      </c>
      <c r="E241" s="334">
        <f>2134629.03+360</f>
        <v>2134989.0299999998</v>
      </c>
      <c r="F241" s="334">
        <v>239957.07</v>
      </c>
      <c r="G241" s="645">
        <f>+E241-F241</f>
        <v>1895031.9599999997</v>
      </c>
      <c r="H241" s="330" t="s">
        <v>616</v>
      </c>
      <c r="I241">
        <f>VLOOKUP(B241,'Raw TB_26.04.2026 (SAP Paste)'!B:J,9,0)</f>
        <v>1895031.9599999997</v>
      </c>
      <c r="J241">
        <f t="shared" si="22"/>
        <v>0</v>
      </c>
    </row>
    <row r="242" spans="1:10" hidden="1">
      <c r="A242" s="331">
        <v>1900</v>
      </c>
      <c r="B242" s="331">
        <v>45300003</v>
      </c>
      <c r="C242" s="330" t="s">
        <v>245</v>
      </c>
      <c r="D242" s="334">
        <v>0</v>
      </c>
      <c r="E242" s="334">
        <v>64028.52</v>
      </c>
      <c r="F242" s="334">
        <v>64028.52</v>
      </c>
      <c r="G242" s="645">
        <v>0</v>
      </c>
      <c r="H242" s="330" t="s">
        <v>616</v>
      </c>
      <c r="I242">
        <f>VLOOKUP(B242,'Raw TB_26.04.2026 (SAP Paste)'!B:J,9,0)</f>
        <v>0</v>
      </c>
      <c r="J242">
        <f t="shared" si="22"/>
        <v>0</v>
      </c>
    </row>
    <row r="243" spans="1:10" hidden="1">
      <c r="A243" s="331">
        <v>1900</v>
      </c>
      <c r="B243" s="331">
        <v>45400002</v>
      </c>
      <c r="C243" s="330" t="s">
        <v>387</v>
      </c>
      <c r="D243" s="334">
        <v>0</v>
      </c>
      <c r="E243" s="334">
        <v>1344000</v>
      </c>
      <c r="F243" s="334">
        <v>0</v>
      </c>
      <c r="G243" s="645">
        <v>1344000</v>
      </c>
      <c r="H243" s="330" t="s">
        <v>616</v>
      </c>
      <c r="I243">
        <f>VLOOKUP(B243,'Raw TB_26.04.2026 (SAP Paste)'!B:J,9,0)</f>
        <v>1344000</v>
      </c>
      <c r="J243">
        <f t="shared" si="22"/>
        <v>0</v>
      </c>
    </row>
    <row r="244" spans="1:10" hidden="1">
      <c r="A244" s="331">
        <v>1900</v>
      </c>
      <c r="B244" s="331">
        <v>45400011</v>
      </c>
      <c r="C244" s="330" t="s">
        <v>250</v>
      </c>
      <c r="D244" s="334">
        <v>0</v>
      </c>
      <c r="E244" s="334">
        <v>1886929.64</v>
      </c>
      <c r="F244" s="334">
        <v>0</v>
      </c>
      <c r="G244" s="645">
        <v>1886929.64</v>
      </c>
      <c r="H244" s="330" t="s">
        <v>616</v>
      </c>
      <c r="I244">
        <f>VLOOKUP(B244,'Raw TB_26.04.2026 (SAP Paste)'!B:J,9,0)</f>
        <v>1886929.64</v>
      </c>
      <c r="J244">
        <f t="shared" si="22"/>
        <v>0</v>
      </c>
    </row>
    <row r="245" spans="1:10" hidden="1">
      <c r="A245" s="331">
        <v>1900</v>
      </c>
      <c r="B245" s="331">
        <v>45400014</v>
      </c>
      <c r="C245" s="330" t="s">
        <v>252</v>
      </c>
      <c r="D245" s="334">
        <v>0</v>
      </c>
      <c r="E245" s="334">
        <v>2490972.88</v>
      </c>
      <c r="F245" s="334">
        <v>0</v>
      </c>
      <c r="G245" s="645">
        <v>2490972.88</v>
      </c>
      <c r="H245" s="330" t="s">
        <v>616</v>
      </c>
      <c r="I245">
        <f>VLOOKUP(B245,'Raw TB_26.04.2026 (SAP Paste)'!B:J,9,0)</f>
        <v>2490972.88</v>
      </c>
      <c r="J245">
        <f t="shared" si="22"/>
        <v>0</v>
      </c>
    </row>
    <row r="246" spans="1:10" hidden="1">
      <c r="A246" s="331">
        <v>1900</v>
      </c>
      <c r="B246" s="331">
        <v>45400016</v>
      </c>
      <c r="C246" s="330" t="s">
        <v>253</v>
      </c>
      <c r="D246" s="334">
        <v>0</v>
      </c>
      <c r="E246" s="334">
        <v>1080115.26</v>
      </c>
      <c r="F246" s="334">
        <v>0</v>
      </c>
      <c r="G246" s="645">
        <v>1080115.26</v>
      </c>
      <c r="H246" s="330" t="s">
        <v>616</v>
      </c>
      <c r="I246">
        <f>VLOOKUP(B246,'Raw TB_26.04.2026 (SAP Paste)'!B:J,9,0)</f>
        <v>1080115.26</v>
      </c>
      <c r="J246">
        <f t="shared" si="22"/>
        <v>0</v>
      </c>
    </row>
    <row r="247" spans="1:10" hidden="1">
      <c r="A247" s="331">
        <v>1900</v>
      </c>
      <c r="B247" s="331">
        <v>45200023</v>
      </c>
      <c r="C247" s="333" t="s">
        <v>389</v>
      </c>
      <c r="D247" s="334">
        <v>0</v>
      </c>
      <c r="E247" s="334">
        <v>6562</v>
      </c>
      <c r="F247" s="334">
        <v>0</v>
      </c>
      <c r="G247" s="645">
        <v>6562</v>
      </c>
      <c r="H247" s="330" t="s">
        <v>489</v>
      </c>
      <c r="I247">
        <f>VLOOKUP(B247,'Raw TB_26.04.2026 (SAP Paste)'!B:J,9,0)</f>
        <v>6562</v>
      </c>
      <c r="J247">
        <f t="shared" si="22"/>
        <v>0</v>
      </c>
    </row>
    <row r="248" spans="1:10" hidden="1">
      <c r="A248" s="331">
        <v>1900</v>
      </c>
      <c r="B248" s="331">
        <v>45400020</v>
      </c>
      <c r="C248" s="330" t="s">
        <v>254</v>
      </c>
      <c r="D248" s="334">
        <v>0</v>
      </c>
      <c r="E248" s="334">
        <v>300000</v>
      </c>
      <c r="F248" s="334">
        <v>50000</v>
      </c>
      <c r="G248" s="645">
        <v>250000</v>
      </c>
      <c r="H248" s="330" t="s">
        <v>616</v>
      </c>
      <c r="I248">
        <f>VLOOKUP(B248,'Raw TB_26.04.2026 (SAP Paste)'!B:J,9,0)</f>
        <v>250000</v>
      </c>
      <c r="J248">
        <f t="shared" si="22"/>
        <v>0</v>
      </c>
    </row>
    <row r="249" spans="1:10">
      <c r="A249" s="331">
        <v>1900</v>
      </c>
      <c r="B249" s="331">
        <v>45520001</v>
      </c>
      <c r="C249" s="333" t="s">
        <v>226</v>
      </c>
      <c r="D249" s="334"/>
      <c r="E249" s="334">
        <v>67296060.400000006</v>
      </c>
      <c r="F249" s="334">
        <v>6415229</v>
      </c>
      <c r="G249" s="645">
        <v>60880831.399999999</v>
      </c>
      <c r="H249" s="340" t="s">
        <v>683</v>
      </c>
      <c r="I249">
        <f>VLOOKUP(B249,'Raw TB_26.04.2026 (SAP Paste)'!B:J,9,0)</f>
        <v>60880831.399999999</v>
      </c>
      <c r="J249">
        <f t="shared" ref="J249" si="23">+G249-I249</f>
        <v>0</v>
      </c>
    </row>
    <row r="250" spans="1:10">
      <c r="A250" s="331">
        <v>1900</v>
      </c>
      <c r="B250" s="331">
        <v>45510008</v>
      </c>
      <c r="C250" s="333" t="s">
        <v>386</v>
      </c>
      <c r="D250" s="334">
        <v>0</v>
      </c>
      <c r="E250" s="334">
        <v>1993971</v>
      </c>
      <c r="F250" s="334">
        <v>0</v>
      </c>
      <c r="G250" s="645">
        <v>1993971</v>
      </c>
      <c r="H250" s="340" t="s">
        <v>683</v>
      </c>
      <c r="I250">
        <f>VLOOKUP(B250,'Raw TB_26.04.2026 (SAP Paste)'!B:J,9,0)</f>
        <v>1993971</v>
      </c>
      <c r="J250">
        <f>+G250-I250</f>
        <v>0</v>
      </c>
    </row>
    <row r="251" spans="1:10" hidden="1">
      <c r="A251" s="331">
        <v>1900</v>
      </c>
      <c r="B251" s="331">
        <v>45100021</v>
      </c>
      <c r="C251" s="333" t="s">
        <v>396</v>
      </c>
      <c r="D251" s="334">
        <v>0</v>
      </c>
      <c r="E251" s="334">
        <v>1510470</v>
      </c>
      <c r="F251" s="334">
        <v>0</v>
      </c>
      <c r="G251" s="645">
        <v>1510470</v>
      </c>
      <c r="H251" s="339" t="s">
        <v>489</v>
      </c>
      <c r="I251">
        <f>VLOOKUP(B251,'Raw TB_26.04.2026 (SAP Paste)'!B:J,9,0)</f>
        <v>1510470</v>
      </c>
      <c r="J251">
        <f t="shared" si="21"/>
        <v>0</v>
      </c>
    </row>
    <row r="252" spans="1:10" hidden="1">
      <c r="A252" s="331">
        <v>1900</v>
      </c>
      <c r="B252" s="331">
        <v>45100052</v>
      </c>
      <c r="C252" s="333" t="s">
        <v>395</v>
      </c>
      <c r="D252" s="334">
        <v>0</v>
      </c>
      <c r="E252" s="334">
        <v>1450574</v>
      </c>
      <c r="F252" s="334">
        <v>0</v>
      </c>
      <c r="G252" s="645">
        <v>1450574</v>
      </c>
      <c r="H252" s="339" t="s">
        <v>489</v>
      </c>
      <c r="I252">
        <f>VLOOKUP(B252,'Raw TB_26.04.2026 (SAP Paste)'!B:J,9,0)</f>
        <v>1450574</v>
      </c>
      <c r="J252">
        <f t="shared" si="21"/>
        <v>0</v>
      </c>
    </row>
    <row r="253" spans="1:10" hidden="1">
      <c r="A253" s="331">
        <v>1900</v>
      </c>
      <c r="B253" s="331">
        <v>45100053</v>
      </c>
      <c r="C253" s="333" t="s">
        <v>394</v>
      </c>
      <c r="D253" s="334">
        <v>0</v>
      </c>
      <c r="E253" s="334">
        <v>60446</v>
      </c>
      <c r="F253" s="334">
        <v>0</v>
      </c>
      <c r="G253" s="645">
        <v>60446</v>
      </c>
      <c r="H253" s="339" t="s">
        <v>489</v>
      </c>
      <c r="I253">
        <f>VLOOKUP(B253,'Raw TB_26.04.2026 (SAP Paste)'!B:J,9,0)</f>
        <v>60446</v>
      </c>
      <c r="J253">
        <f t="shared" si="21"/>
        <v>0</v>
      </c>
    </row>
    <row r="254" spans="1:10" hidden="1">
      <c r="A254" s="331">
        <v>1900</v>
      </c>
      <c r="B254" s="331">
        <v>45100054</v>
      </c>
      <c r="C254" s="333" t="s">
        <v>393</v>
      </c>
      <c r="D254" s="334">
        <v>0</v>
      </c>
      <c r="E254" s="334">
        <v>60440</v>
      </c>
      <c r="F254" s="334">
        <v>0</v>
      </c>
      <c r="G254" s="645">
        <v>60440</v>
      </c>
      <c r="H254" s="339" t="s">
        <v>489</v>
      </c>
      <c r="I254">
        <f>VLOOKUP(B254,'Raw TB_26.04.2026 (SAP Paste)'!B:J,9,0)</f>
        <v>60440</v>
      </c>
      <c r="J254">
        <f t="shared" si="21"/>
        <v>0</v>
      </c>
    </row>
    <row r="255" spans="1:10" hidden="1">
      <c r="A255" s="331">
        <v>1900</v>
      </c>
      <c r="B255" s="331">
        <v>45100055</v>
      </c>
      <c r="C255" s="333" t="s">
        <v>392</v>
      </c>
      <c r="D255" s="334">
        <v>0</v>
      </c>
      <c r="E255" s="334">
        <v>23678</v>
      </c>
      <c r="F255" s="334">
        <v>23678</v>
      </c>
      <c r="G255" s="645">
        <v>0</v>
      </c>
      <c r="H255" s="339" t="s">
        <v>489</v>
      </c>
      <c r="I255">
        <f>VLOOKUP(B255,'Raw TB_26.04.2026 (SAP Paste)'!B:J,9,0)</f>
        <v>0</v>
      </c>
      <c r="J255">
        <f t="shared" si="21"/>
        <v>0</v>
      </c>
    </row>
    <row r="256" spans="1:10" hidden="1">
      <c r="A256" s="331">
        <v>1900</v>
      </c>
      <c r="B256" s="331">
        <v>45100056</v>
      </c>
      <c r="C256" s="333" t="s">
        <v>391</v>
      </c>
      <c r="D256" s="334">
        <v>0</v>
      </c>
      <c r="E256" s="334">
        <v>13502</v>
      </c>
      <c r="F256" s="334">
        <v>13502</v>
      </c>
      <c r="G256" s="645">
        <v>0</v>
      </c>
      <c r="H256" s="339" t="s">
        <v>489</v>
      </c>
      <c r="I256">
        <f>VLOOKUP(B256,'Raw TB_26.04.2026 (SAP Paste)'!B:J,9,0)</f>
        <v>0</v>
      </c>
      <c r="J256">
        <f t="shared" si="21"/>
        <v>0</v>
      </c>
    </row>
    <row r="257" spans="1:10" hidden="1">
      <c r="A257" s="331">
        <v>1900</v>
      </c>
      <c r="B257" s="331">
        <v>45100057</v>
      </c>
      <c r="C257" s="333" t="s">
        <v>239</v>
      </c>
      <c r="D257" s="334">
        <v>0</v>
      </c>
      <c r="E257" s="334">
        <v>5000</v>
      </c>
      <c r="F257" s="334">
        <v>2500</v>
      </c>
      <c r="G257" s="645">
        <v>2500</v>
      </c>
      <c r="H257" s="330" t="s">
        <v>489</v>
      </c>
      <c r="I257">
        <f>VLOOKUP(B257,'Raw TB_26.04.2026 (SAP Paste)'!B:J,9,0)</f>
        <v>2500</v>
      </c>
      <c r="J257">
        <f t="shared" si="21"/>
        <v>0</v>
      </c>
    </row>
    <row r="258" spans="1:10" hidden="1">
      <c r="A258" s="331">
        <v>1900</v>
      </c>
      <c r="B258" s="331">
        <v>45100059</v>
      </c>
      <c r="C258" s="333" t="s">
        <v>390</v>
      </c>
      <c r="D258" s="334">
        <v>0</v>
      </c>
      <c r="E258" s="334">
        <v>12525</v>
      </c>
      <c r="F258" s="334">
        <v>0</v>
      </c>
      <c r="G258" s="645">
        <v>12525</v>
      </c>
      <c r="H258" s="330" t="s">
        <v>489</v>
      </c>
      <c r="I258">
        <f>VLOOKUP(B258,'Raw TB_26.04.2026 (SAP Paste)'!B:J,9,0)</f>
        <v>12525</v>
      </c>
      <c r="J258">
        <f t="shared" si="21"/>
        <v>0</v>
      </c>
    </row>
    <row r="259" spans="1:10" hidden="1">
      <c r="A259" s="331">
        <v>1900</v>
      </c>
      <c r="B259" s="331">
        <v>45200001</v>
      </c>
      <c r="C259" s="333" t="s">
        <v>456</v>
      </c>
      <c r="D259" s="334">
        <v>0</v>
      </c>
      <c r="E259" s="334">
        <v>816666.94</v>
      </c>
      <c r="F259" s="334">
        <v>391553</v>
      </c>
      <c r="G259" s="645">
        <v>425113.94</v>
      </c>
      <c r="H259" s="330" t="s">
        <v>489</v>
      </c>
      <c r="I259">
        <f>VLOOKUP(B259,'Raw TB_26.04.2026 (SAP Paste)'!B:J,9,0)</f>
        <v>425113.94</v>
      </c>
      <c r="J259">
        <f t="shared" si="21"/>
        <v>0</v>
      </c>
    </row>
    <row r="260" spans="1:10" hidden="1">
      <c r="A260" s="331">
        <v>1900</v>
      </c>
      <c r="B260" s="331">
        <v>45200003</v>
      </c>
      <c r="C260" s="333" t="s">
        <v>377</v>
      </c>
      <c r="D260" s="334">
        <v>0</v>
      </c>
      <c r="E260" s="334">
        <v>64593.2</v>
      </c>
      <c r="F260" s="334">
        <v>14451</v>
      </c>
      <c r="G260" s="645">
        <v>50142.2</v>
      </c>
      <c r="H260" s="330" t="s">
        <v>489</v>
      </c>
      <c r="I260">
        <f>VLOOKUP(B260,'Raw TB_26.04.2026 (SAP Paste)'!B:J,9,0)</f>
        <v>50142.2</v>
      </c>
      <c r="J260">
        <f t="shared" si="21"/>
        <v>0</v>
      </c>
    </row>
    <row r="261" spans="1:10" hidden="1">
      <c r="A261" s="331">
        <v>1900</v>
      </c>
      <c r="B261" s="331">
        <v>45200004</v>
      </c>
      <c r="C261" s="333" t="s">
        <v>235</v>
      </c>
      <c r="D261" s="334">
        <v>0</v>
      </c>
      <c r="E261" s="334">
        <v>765000</v>
      </c>
      <c r="F261" s="334">
        <v>380000</v>
      </c>
      <c r="G261" s="645">
        <v>385000</v>
      </c>
      <c r="H261" s="330" t="s">
        <v>489</v>
      </c>
      <c r="I261">
        <f>VLOOKUP(B261,'Raw TB_26.04.2026 (SAP Paste)'!B:J,9,0)</f>
        <v>385000</v>
      </c>
      <c r="J261">
        <f t="shared" si="21"/>
        <v>0</v>
      </c>
    </row>
    <row r="262" spans="1:10" hidden="1">
      <c r="A262" s="331">
        <v>1900</v>
      </c>
      <c r="B262" s="331">
        <v>45200005</v>
      </c>
      <c r="C262" s="333" t="s">
        <v>233</v>
      </c>
      <c r="D262" s="334">
        <v>0</v>
      </c>
      <c r="E262" s="334">
        <v>451548.28</v>
      </c>
      <c r="F262" s="334">
        <v>50974.99</v>
      </c>
      <c r="G262" s="645">
        <v>400573.29</v>
      </c>
      <c r="H262" s="330" t="s">
        <v>489</v>
      </c>
      <c r="I262">
        <f>VLOOKUP(B262,'Raw TB_26.04.2026 (SAP Paste)'!B:J,9,0)</f>
        <v>400573.29</v>
      </c>
      <c r="J262">
        <f t="shared" si="21"/>
        <v>0</v>
      </c>
    </row>
    <row r="263" spans="1:10" hidden="1">
      <c r="A263" s="331">
        <v>1900</v>
      </c>
      <c r="B263" s="331">
        <v>45200006</v>
      </c>
      <c r="C263" s="333" t="s">
        <v>231</v>
      </c>
      <c r="D263" s="334">
        <v>0</v>
      </c>
      <c r="E263" s="334">
        <v>34.36</v>
      </c>
      <c r="F263" s="334">
        <v>13.04</v>
      </c>
      <c r="G263" s="645">
        <v>21.32</v>
      </c>
      <c r="H263" s="330" t="s">
        <v>489</v>
      </c>
      <c r="I263">
        <f>VLOOKUP(B263,'Raw TB_26.04.2026 (SAP Paste)'!B:J,9,0)</f>
        <v>21.32</v>
      </c>
      <c r="J263">
        <f t="shared" si="21"/>
        <v>0</v>
      </c>
    </row>
    <row r="264" spans="1:10" hidden="1">
      <c r="A264" s="331">
        <v>1900</v>
      </c>
      <c r="B264" s="331">
        <v>45200029</v>
      </c>
      <c r="C264" s="333" t="s">
        <v>236</v>
      </c>
      <c r="D264" s="334">
        <v>0</v>
      </c>
      <c r="E264" s="334">
        <v>580000</v>
      </c>
      <c r="F264" s="334">
        <v>380000</v>
      </c>
      <c r="G264" s="645">
        <v>200000</v>
      </c>
      <c r="H264" s="330" t="s">
        <v>489</v>
      </c>
      <c r="I264">
        <f>VLOOKUP(B264,'Raw TB_26.04.2026 (SAP Paste)'!B:J,9,0)</f>
        <v>200000</v>
      </c>
      <c r="J264">
        <f t="shared" si="21"/>
        <v>0</v>
      </c>
    </row>
    <row r="265" spans="1:10" hidden="1">
      <c r="A265" s="331">
        <v>1900</v>
      </c>
      <c r="B265" s="331">
        <v>45300021</v>
      </c>
      <c r="C265" s="333" t="s">
        <v>388</v>
      </c>
      <c r="D265" s="334">
        <v>0</v>
      </c>
      <c r="E265" s="334">
        <v>305998</v>
      </c>
      <c r="F265" s="334">
        <v>0</v>
      </c>
      <c r="G265" s="645">
        <v>305998</v>
      </c>
      <c r="H265" s="330" t="s">
        <v>489</v>
      </c>
      <c r="I265">
        <f>VLOOKUP(B265,'Raw TB_26.04.2026 (SAP Paste)'!B:J,9,0)</f>
        <v>305998</v>
      </c>
      <c r="J265">
        <f t="shared" si="21"/>
        <v>0</v>
      </c>
    </row>
    <row r="266" spans="1:10" hidden="1">
      <c r="A266" s="331">
        <v>1900</v>
      </c>
      <c r="B266" s="331">
        <v>45510051</v>
      </c>
      <c r="C266" s="333" t="s">
        <v>230</v>
      </c>
      <c r="D266" s="334">
        <v>0</v>
      </c>
      <c r="E266" s="334">
        <v>1040410.66</v>
      </c>
      <c r="F266" s="334">
        <v>1005926.56</v>
      </c>
      <c r="G266" s="645">
        <v>34484.1</v>
      </c>
      <c r="H266" s="330" t="s">
        <v>489</v>
      </c>
      <c r="I266">
        <f>VLOOKUP(B266,'Raw TB_26.04.2026 (SAP Paste)'!B:J,9,0)</f>
        <v>34484.1</v>
      </c>
      <c r="J266">
        <f t="shared" si="21"/>
        <v>0</v>
      </c>
    </row>
    <row r="267" spans="1:10" hidden="1">
      <c r="A267" s="331">
        <v>1900</v>
      </c>
      <c r="B267" s="331">
        <v>45520023</v>
      </c>
      <c r="C267" s="333" t="s">
        <v>385</v>
      </c>
      <c r="D267" s="334">
        <v>0</v>
      </c>
      <c r="E267" s="334">
        <v>17875</v>
      </c>
      <c r="F267" s="334">
        <v>0</v>
      </c>
      <c r="G267" s="645">
        <v>17875</v>
      </c>
      <c r="H267" s="330" t="s">
        <v>489</v>
      </c>
      <c r="I267">
        <f>VLOOKUP(B267,'Raw TB_26.04.2026 (SAP Paste)'!B:J,9,0)</f>
        <v>17875</v>
      </c>
      <c r="J267">
        <f t="shared" si="21"/>
        <v>0</v>
      </c>
    </row>
    <row r="268" spans="1:10" hidden="1">
      <c r="A268" s="331">
        <v>1900</v>
      </c>
      <c r="B268" s="331">
        <v>45600006</v>
      </c>
      <c r="C268" s="333" t="s">
        <v>469</v>
      </c>
      <c r="D268" s="334">
        <v>0</v>
      </c>
      <c r="E268" s="334">
        <v>14576.15</v>
      </c>
      <c r="F268" s="334">
        <v>0</v>
      </c>
      <c r="G268" s="645">
        <v>14576.15</v>
      </c>
      <c r="H268" s="330" t="s">
        <v>489</v>
      </c>
      <c r="I268">
        <f>VLOOKUP(B268,'Raw TB_26.04.2026 (SAP Paste)'!B:J,9,0)</f>
        <v>14576.15</v>
      </c>
      <c r="J268">
        <f t="shared" si="21"/>
        <v>0</v>
      </c>
    </row>
    <row r="269" spans="1:10" hidden="1">
      <c r="A269" s="331">
        <v>1900</v>
      </c>
      <c r="B269" s="331">
        <v>45510053</v>
      </c>
      <c r="C269" s="333" t="s">
        <v>485</v>
      </c>
      <c r="D269" s="334"/>
      <c r="E269" s="334">
        <v>1000000</v>
      </c>
      <c r="F269" s="334">
        <v>0</v>
      </c>
      <c r="G269" s="645">
        <v>1000000</v>
      </c>
      <c r="H269" s="330" t="s">
        <v>490</v>
      </c>
      <c r="I269">
        <f>VLOOKUP(B269,'Raw TB_26.04.2026 (SAP Paste)'!B:J,9,0)</f>
        <v>1000000</v>
      </c>
      <c r="J269">
        <f>+G269-I269</f>
        <v>0</v>
      </c>
    </row>
    <row r="270" spans="1:10" hidden="1">
      <c r="A270" s="331">
        <v>1900</v>
      </c>
      <c r="B270" s="331">
        <v>45520026</v>
      </c>
      <c r="C270" s="333" t="s">
        <v>486</v>
      </c>
      <c r="D270" s="334"/>
      <c r="E270" s="334">
        <v>0</v>
      </c>
      <c r="F270" s="334">
        <v>1910</v>
      </c>
      <c r="G270" s="645">
        <v>-1910</v>
      </c>
      <c r="H270" s="330" t="s">
        <v>490</v>
      </c>
      <c r="I270">
        <f>VLOOKUP(B270,'Raw TB_26.04.2026 (SAP Paste)'!B:J,9,0)</f>
        <v>-1910</v>
      </c>
      <c r="J270">
        <f>+G270-I270</f>
        <v>0</v>
      </c>
    </row>
    <row r="271" spans="1:10" hidden="1">
      <c r="A271" s="331" t="s">
        <v>384</v>
      </c>
      <c r="B271" s="331">
        <v>45520021</v>
      </c>
      <c r="C271" s="333" t="s">
        <v>545</v>
      </c>
      <c r="D271" s="334"/>
      <c r="E271" s="334">
        <f>86645+2000</f>
        <v>88645</v>
      </c>
      <c r="F271" s="334">
        <v>0</v>
      </c>
      <c r="G271" s="645">
        <f>+E271+F271</f>
        <v>88645</v>
      </c>
      <c r="H271" s="330" t="s">
        <v>490</v>
      </c>
      <c r="I271">
        <f>VLOOKUP(B271,'Raw TB_26.04.2026 (SAP Paste)'!B:J,9,0)</f>
        <v>88645</v>
      </c>
      <c r="J271">
        <f t="shared" ref="J271:J273" si="24">+G271-I271</f>
        <v>0</v>
      </c>
    </row>
    <row r="272" spans="1:10" hidden="1">
      <c r="A272" s="330"/>
      <c r="B272" s="330"/>
      <c r="C272" s="330" t="s">
        <v>1549</v>
      </c>
      <c r="D272" s="334"/>
      <c r="E272" s="334"/>
      <c r="F272" s="334"/>
      <c r="G272" s="645">
        <f>+(G277+G278)-G273</f>
        <v>47912268</v>
      </c>
      <c r="H272" s="330" t="s">
        <v>615</v>
      </c>
      <c r="I272" t="e">
        <f>VLOOKUP(B272,'Raw TB_26.04.2026 (SAP Paste)'!B:J,9,0)</f>
        <v>#N/A</v>
      </c>
      <c r="J272" t="e">
        <f t="shared" si="24"/>
        <v>#N/A</v>
      </c>
    </row>
    <row r="273" spans="1:11" hidden="1">
      <c r="A273" s="330"/>
      <c r="B273" s="330"/>
      <c r="C273" s="333" t="s">
        <v>1550</v>
      </c>
      <c r="D273" s="334"/>
      <c r="E273" s="334"/>
      <c r="F273" s="334"/>
      <c r="G273" s="645">
        <f>+SUMIF($E$284:$E$292,C273,$D$284:$D$292)</f>
        <v>10477308</v>
      </c>
      <c r="H273" s="330" t="s">
        <v>489</v>
      </c>
      <c r="I273" t="e">
        <f>VLOOKUP(B273,'Raw TB_26.04.2026 (SAP Paste)'!B:J,9,0)</f>
        <v>#N/A</v>
      </c>
      <c r="J273" t="e">
        <f t="shared" si="24"/>
        <v>#N/A</v>
      </c>
    </row>
    <row r="274" spans="1:11">
      <c r="C274" s="506"/>
    </row>
    <row r="275" spans="1:11">
      <c r="C275" s="506"/>
    </row>
    <row r="276" spans="1:11">
      <c r="C276" s="506"/>
    </row>
    <row r="277" spans="1:11" s="485" customFormat="1">
      <c r="A277" s="483">
        <v>1900</v>
      </c>
      <c r="B277" s="483">
        <v>45100001</v>
      </c>
      <c r="C277" s="507" t="s">
        <v>398</v>
      </c>
      <c r="D277" s="484">
        <v>0</v>
      </c>
      <c r="E277" s="484">
        <v>58040948</v>
      </c>
      <c r="F277" s="484">
        <v>34210</v>
      </c>
      <c r="G277" s="484">
        <v>58006738</v>
      </c>
      <c r="I277" s="485">
        <f>VLOOKUP(B277,'Raw TB_26.04.2026 (SAP Paste)'!B:J,9,0)</f>
        <v>58006738</v>
      </c>
      <c r="J277" s="485">
        <f>+G277-I277</f>
        <v>0</v>
      </c>
      <c r="K277" s="485" t="s">
        <v>1555</v>
      </c>
    </row>
    <row r="278" spans="1:11" s="485" customFormat="1">
      <c r="A278" s="483">
        <v>1900</v>
      </c>
      <c r="B278" s="483">
        <v>45100005</v>
      </c>
      <c r="C278" s="507" t="s">
        <v>397</v>
      </c>
      <c r="D278" s="484">
        <v>0</v>
      </c>
      <c r="E278" s="484">
        <v>402674</v>
      </c>
      <c r="F278" s="484">
        <v>19836</v>
      </c>
      <c r="G278" s="484">
        <v>382838</v>
      </c>
      <c r="I278" s="485">
        <f>VLOOKUP(B278,'Raw TB_26.04.2026 (SAP Paste)'!B:J,9,0)</f>
        <v>382838</v>
      </c>
      <c r="J278" s="485">
        <f>+G278-I278</f>
        <v>0</v>
      </c>
      <c r="K278" s="485" t="s">
        <v>1555</v>
      </c>
    </row>
    <row r="283" spans="1:11">
      <c r="A283" s="482" t="s">
        <v>432</v>
      </c>
      <c r="B283" t="s">
        <v>1551</v>
      </c>
      <c r="C283" s="285" t="s">
        <v>1552</v>
      </c>
      <c r="D283" s="354" t="s">
        <v>1553</v>
      </c>
      <c r="E283" s="354" t="s">
        <v>1554</v>
      </c>
    </row>
    <row r="284" spans="1:11">
      <c r="A284" s="274" t="s">
        <v>1108</v>
      </c>
      <c r="B284">
        <v>2287022</v>
      </c>
      <c r="C284" s="285">
        <v>160</v>
      </c>
      <c r="D284" s="334">
        <f>+B284-C284</f>
        <v>2286862</v>
      </c>
      <c r="E284" s="334" t="s">
        <v>1550</v>
      </c>
    </row>
    <row r="285" spans="1:11">
      <c r="A285" s="274" t="s">
        <v>833</v>
      </c>
      <c r="B285">
        <v>6808437</v>
      </c>
      <c r="C285" s="285">
        <v>320</v>
      </c>
      <c r="D285" s="334">
        <f t="shared" ref="D285:D292" si="25">+B285-C285</f>
        <v>6808117</v>
      </c>
      <c r="E285" s="334" t="s">
        <v>1550</v>
      </c>
    </row>
    <row r="286" spans="1:11">
      <c r="A286" s="274" t="s">
        <v>904</v>
      </c>
      <c r="B286">
        <v>1038188</v>
      </c>
      <c r="C286" s="285">
        <v>0</v>
      </c>
      <c r="D286" s="334">
        <f t="shared" si="25"/>
        <v>1038188</v>
      </c>
      <c r="E286" s="334" t="s">
        <v>1550</v>
      </c>
    </row>
    <row r="287" spans="1:11">
      <c r="A287" s="274" t="s">
        <v>1384</v>
      </c>
      <c r="B287">
        <v>344141</v>
      </c>
      <c r="C287" s="285">
        <v>0</v>
      </c>
      <c r="D287" s="334">
        <f t="shared" si="25"/>
        <v>344141</v>
      </c>
      <c r="E287" s="334" t="s">
        <v>1550</v>
      </c>
    </row>
    <row r="288" spans="1:11">
      <c r="A288" s="274" t="s">
        <v>1544</v>
      </c>
      <c r="B288">
        <v>47875</v>
      </c>
      <c r="D288" s="334">
        <f t="shared" si="25"/>
        <v>47875</v>
      </c>
      <c r="E288" s="334" t="s">
        <v>1549</v>
      </c>
    </row>
    <row r="289" spans="1:62">
      <c r="A289" s="274" t="s">
        <v>1275</v>
      </c>
      <c r="B289">
        <v>14972431</v>
      </c>
      <c r="C289" s="285">
        <v>20160</v>
      </c>
      <c r="D289" s="334">
        <f t="shared" si="25"/>
        <v>14952271</v>
      </c>
      <c r="E289" s="334" t="s">
        <v>1549</v>
      </c>
    </row>
    <row r="290" spans="1:62">
      <c r="A290" s="274" t="s">
        <v>777</v>
      </c>
      <c r="B290">
        <v>6831487</v>
      </c>
      <c r="C290" s="285">
        <v>0</v>
      </c>
      <c r="D290" s="334">
        <f t="shared" si="25"/>
        <v>6831487</v>
      </c>
      <c r="E290" s="334" t="s">
        <v>1549</v>
      </c>
    </row>
    <row r="291" spans="1:62">
      <c r="A291" s="274" t="s">
        <v>1075</v>
      </c>
      <c r="B291">
        <v>757700</v>
      </c>
      <c r="C291" s="285">
        <v>160</v>
      </c>
      <c r="D291" s="334">
        <f t="shared" si="25"/>
        <v>757540</v>
      </c>
      <c r="E291" s="334" t="s">
        <v>1549</v>
      </c>
    </row>
    <row r="292" spans="1:62">
      <c r="A292" s="274" t="s">
        <v>756</v>
      </c>
      <c r="B292">
        <v>25340003</v>
      </c>
      <c r="C292" s="285">
        <v>9512</v>
      </c>
      <c r="D292" s="334">
        <f t="shared" si="25"/>
        <v>25330491</v>
      </c>
      <c r="E292" s="334" t="s">
        <v>1549</v>
      </c>
    </row>
    <row r="293" spans="1:62">
      <c r="A293" s="274" t="s">
        <v>96</v>
      </c>
      <c r="B293">
        <v>58427284</v>
      </c>
      <c r="C293" s="285">
        <v>30312</v>
      </c>
    </row>
    <row r="299" spans="1:62">
      <c r="A299" s="462" t="s">
        <v>686</v>
      </c>
      <c r="B299" s="462" t="s">
        <v>687</v>
      </c>
      <c r="C299" s="465" t="s">
        <v>670</v>
      </c>
      <c r="D299" s="463" t="s">
        <v>688</v>
      </c>
      <c r="E299" s="464" t="s">
        <v>689</v>
      </c>
      <c r="F299" s="463" t="s">
        <v>690</v>
      </c>
      <c r="G299" s="463" t="s">
        <v>691</v>
      </c>
      <c r="H299" s="463" t="s">
        <v>692</v>
      </c>
      <c r="I299" s="463" t="s">
        <v>693</v>
      </c>
      <c r="J299" s="463" t="s">
        <v>694</v>
      </c>
      <c r="K299" s="463" t="s">
        <v>695</v>
      </c>
      <c r="L299" s="463" t="s">
        <v>696</v>
      </c>
      <c r="M299" s="463" t="s">
        <v>697</v>
      </c>
      <c r="N299" s="463" t="s">
        <v>698</v>
      </c>
      <c r="O299" s="463" t="s">
        <v>699</v>
      </c>
      <c r="P299" s="463" t="s">
        <v>700</v>
      </c>
      <c r="Q299" s="463" t="s">
        <v>701</v>
      </c>
      <c r="R299" s="463" t="s">
        <v>702</v>
      </c>
      <c r="S299" s="463" t="s">
        <v>703</v>
      </c>
      <c r="T299" s="463" t="s">
        <v>704</v>
      </c>
      <c r="U299" s="463" t="s">
        <v>705</v>
      </c>
      <c r="V299" s="463" t="s">
        <v>706</v>
      </c>
      <c r="W299" s="463" t="s">
        <v>707</v>
      </c>
      <c r="X299" s="463" t="s">
        <v>708</v>
      </c>
      <c r="Y299" s="463" t="s">
        <v>709</v>
      </c>
      <c r="Z299" s="463" t="s">
        <v>710</v>
      </c>
      <c r="AA299" s="463" t="s">
        <v>711</v>
      </c>
      <c r="AB299" s="463" t="s">
        <v>712</v>
      </c>
      <c r="AC299" s="465" t="s">
        <v>713</v>
      </c>
      <c r="AD299" s="465" t="s">
        <v>714</v>
      </c>
      <c r="AE299" s="465" t="s">
        <v>715</v>
      </c>
      <c r="AF299" s="465" t="s">
        <v>716</v>
      </c>
      <c r="AG299" s="465" t="s">
        <v>717</v>
      </c>
      <c r="AH299" s="465" t="s">
        <v>718</v>
      </c>
      <c r="AI299" s="465" t="s">
        <v>719</v>
      </c>
      <c r="AJ299" s="465" t="s">
        <v>720</v>
      </c>
      <c r="AK299" s="465" t="s">
        <v>721</v>
      </c>
      <c r="AL299" s="465" t="s">
        <v>722</v>
      </c>
      <c r="AM299" s="465" t="s">
        <v>723</v>
      </c>
      <c r="AN299" s="465" t="s">
        <v>724</v>
      </c>
      <c r="AO299" s="465" t="s">
        <v>725</v>
      </c>
      <c r="AP299" s="465" t="s">
        <v>726</v>
      </c>
      <c r="AQ299" s="465" t="s">
        <v>727</v>
      </c>
      <c r="AR299" s="465" t="s">
        <v>728</v>
      </c>
      <c r="AS299" s="465" t="s">
        <v>729</v>
      </c>
      <c r="AT299" s="465" t="s">
        <v>730</v>
      </c>
      <c r="AU299" s="465" t="s">
        <v>731</v>
      </c>
      <c r="AV299" s="465" t="s">
        <v>732</v>
      </c>
      <c r="AW299" s="466" t="s">
        <v>733</v>
      </c>
      <c r="AX299" s="465" t="s">
        <v>734</v>
      </c>
      <c r="AY299" s="465" t="s">
        <v>735</v>
      </c>
      <c r="AZ299" s="465" t="s">
        <v>736</v>
      </c>
      <c r="BA299" s="465" t="s">
        <v>737</v>
      </c>
      <c r="BB299" s="465" t="s">
        <v>738</v>
      </c>
      <c r="BC299" s="465" t="s">
        <v>739</v>
      </c>
      <c r="BD299" s="465" t="s">
        <v>740</v>
      </c>
      <c r="BE299" s="465" t="s">
        <v>741</v>
      </c>
      <c r="BF299" s="465" t="s">
        <v>742</v>
      </c>
      <c r="BG299" s="465" t="s">
        <v>743</v>
      </c>
      <c r="BH299" s="465" t="s">
        <v>744</v>
      </c>
      <c r="BI299" s="467" t="s">
        <v>745</v>
      </c>
      <c r="BJ299" s="468" t="s">
        <v>746</v>
      </c>
    </row>
    <row r="300" spans="1:62">
      <c r="A300" s="469">
        <v>45809</v>
      </c>
      <c r="B300" s="469" t="s">
        <v>747</v>
      </c>
      <c r="C300" s="508" t="s">
        <v>748</v>
      </c>
      <c r="D300" s="470" t="s">
        <v>749</v>
      </c>
      <c r="E300" s="471">
        <v>1488</v>
      </c>
      <c r="F300" s="470" t="s">
        <v>750</v>
      </c>
      <c r="G300" s="470" t="s">
        <v>751</v>
      </c>
      <c r="H300" s="470" t="s">
        <v>12</v>
      </c>
      <c r="I300" s="470" t="s">
        <v>752</v>
      </c>
      <c r="J300" s="472" t="s">
        <v>753</v>
      </c>
      <c r="K300" s="470" t="s">
        <v>754</v>
      </c>
      <c r="L300" s="470" t="s">
        <v>755</v>
      </c>
      <c r="M300" s="470" t="s">
        <v>755</v>
      </c>
      <c r="N300" s="470" t="s">
        <v>756</v>
      </c>
      <c r="O300" s="472" t="s">
        <v>757</v>
      </c>
      <c r="P300" s="472" t="s">
        <v>738</v>
      </c>
      <c r="Q300" s="472" t="s">
        <v>758</v>
      </c>
      <c r="R300" s="472" t="s">
        <v>12</v>
      </c>
      <c r="S300" s="472" t="s">
        <v>12</v>
      </c>
      <c r="T300" s="472" t="s">
        <v>759</v>
      </c>
      <c r="U300" s="470" t="s">
        <v>760</v>
      </c>
      <c r="V300" s="470" t="s">
        <v>761</v>
      </c>
      <c r="W300" s="470" t="s">
        <v>762</v>
      </c>
      <c r="X300" s="470">
        <v>30</v>
      </c>
      <c r="Y300" s="470">
        <v>0</v>
      </c>
      <c r="Z300" s="470">
        <v>3</v>
      </c>
      <c r="AA300" s="470">
        <v>27</v>
      </c>
      <c r="AB300" s="470">
        <v>27</v>
      </c>
      <c r="AC300" s="473">
        <v>41000</v>
      </c>
      <c r="AD300" s="473">
        <v>41000</v>
      </c>
      <c r="AE300" s="473">
        <v>16605</v>
      </c>
      <c r="AF300" s="473">
        <v>6642</v>
      </c>
      <c r="AG300" s="473">
        <v>1440</v>
      </c>
      <c r="AH300" s="473">
        <v>180</v>
      </c>
      <c r="AI300" s="473">
        <v>1125</v>
      </c>
      <c r="AJ300" s="473">
        <v>0</v>
      </c>
      <c r="AK300" s="473">
        <v>0</v>
      </c>
      <c r="AL300" s="473">
        <v>0</v>
      </c>
      <c r="AM300" s="473">
        <v>0</v>
      </c>
      <c r="AN300" s="473">
        <v>0</v>
      </c>
      <c r="AO300" s="473">
        <v>0</v>
      </c>
      <c r="AP300" s="473">
        <v>0</v>
      </c>
      <c r="AQ300" s="473">
        <v>1800</v>
      </c>
      <c r="AR300" s="473">
        <v>9108</v>
      </c>
      <c r="AS300" s="473">
        <v>0</v>
      </c>
      <c r="AT300" s="473">
        <v>3000</v>
      </c>
      <c r="AU300" s="473">
        <v>0</v>
      </c>
      <c r="AV300" s="473">
        <v>39900</v>
      </c>
      <c r="AW300" s="474">
        <v>39900</v>
      </c>
      <c r="AX300" s="473">
        <v>0</v>
      </c>
      <c r="AY300" s="473">
        <v>0</v>
      </c>
      <c r="AZ300" s="475">
        <v>0</v>
      </c>
      <c r="BA300" s="475">
        <v>200</v>
      </c>
      <c r="BB300" s="475">
        <v>1800</v>
      </c>
      <c r="BC300" s="475">
        <v>0</v>
      </c>
      <c r="BD300" s="475">
        <v>0</v>
      </c>
      <c r="BE300" s="475">
        <v>25</v>
      </c>
      <c r="BF300" s="475">
        <v>0</v>
      </c>
      <c r="BG300" s="475">
        <v>2025</v>
      </c>
      <c r="BH300" s="476">
        <v>37875</v>
      </c>
      <c r="BI300" s="467"/>
      <c r="BJ300" s="468"/>
    </row>
    <row r="301" spans="1:62">
      <c r="A301" s="469">
        <v>45809</v>
      </c>
      <c r="B301" s="469" t="s">
        <v>747</v>
      </c>
      <c r="C301" s="508" t="s">
        <v>748</v>
      </c>
      <c r="D301" s="470" t="s">
        <v>749</v>
      </c>
      <c r="E301" s="471">
        <v>241</v>
      </c>
      <c r="F301" s="470" t="s">
        <v>763</v>
      </c>
      <c r="G301" s="470" t="s">
        <v>751</v>
      </c>
      <c r="H301" s="470" t="s">
        <v>12</v>
      </c>
      <c r="I301" s="470" t="s">
        <v>764</v>
      </c>
      <c r="J301" s="472" t="s">
        <v>765</v>
      </c>
      <c r="K301" s="470" t="s">
        <v>766</v>
      </c>
      <c r="L301" s="470" t="s">
        <v>767</v>
      </c>
      <c r="M301" s="470" t="s">
        <v>768</v>
      </c>
      <c r="N301" s="470" t="s">
        <v>756</v>
      </c>
      <c r="O301" s="472" t="s">
        <v>757</v>
      </c>
      <c r="P301" s="472" t="s">
        <v>738</v>
      </c>
      <c r="Q301" s="472" t="s">
        <v>758</v>
      </c>
      <c r="R301" s="472" t="s">
        <v>12</v>
      </c>
      <c r="S301" s="472" t="s">
        <v>12</v>
      </c>
      <c r="T301" s="472" t="s">
        <v>769</v>
      </c>
      <c r="U301" s="470" t="s">
        <v>770</v>
      </c>
      <c r="V301" s="470" t="s">
        <v>761</v>
      </c>
      <c r="W301" s="470" t="s">
        <v>771</v>
      </c>
      <c r="X301" s="470">
        <v>30</v>
      </c>
      <c r="Y301" s="470">
        <v>0</v>
      </c>
      <c r="Z301" s="470">
        <v>0</v>
      </c>
      <c r="AA301" s="470">
        <v>30</v>
      </c>
      <c r="AB301" s="470">
        <v>30</v>
      </c>
      <c r="AC301" s="473">
        <v>66833</v>
      </c>
      <c r="AD301" s="473">
        <v>66833</v>
      </c>
      <c r="AE301" s="473">
        <v>30075</v>
      </c>
      <c r="AF301" s="473">
        <v>12030</v>
      </c>
      <c r="AG301" s="473">
        <v>1600</v>
      </c>
      <c r="AH301" s="473">
        <v>200</v>
      </c>
      <c r="AI301" s="473">
        <v>1250</v>
      </c>
      <c r="AJ301" s="473">
        <v>2505</v>
      </c>
      <c r="AK301" s="473">
        <v>6015</v>
      </c>
      <c r="AL301" s="473">
        <v>4511</v>
      </c>
      <c r="AM301" s="473">
        <v>301</v>
      </c>
      <c r="AN301" s="473">
        <v>1053</v>
      </c>
      <c r="AO301" s="473">
        <v>602</v>
      </c>
      <c r="AP301" s="473">
        <v>150</v>
      </c>
      <c r="AQ301" s="473">
        <v>1800</v>
      </c>
      <c r="AR301" s="473">
        <v>4741</v>
      </c>
      <c r="AS301" s="473">
        <v>0</v>
      </c>
      <c r="AT301" s="473">
        <v>1200</v>
      </c>
      <c r="AU301" s="473">
        <v>0</v>
      </c>
      <c r="AV301" s="473">
        <v>68033</v>
      </c>
      <c r="AW301" s="474">
        <v>68033</v>
      </c>
      <c r="AX301" s="473">
        <v>0</v>
      </c>
      <c r="AY301" s="473">
        <v>0</v>
      </c>
      <c r="AZ301" s="475">
        <v>0</v>
      </c>
      <c r="BA301" s="475">
        <v>200</v>
      </c>
      <c r="BB301" s="475">
        <v>1800</v>
      </c>
      <c r="BC301" s="475">
        <v>0</v>
      </c>
      <c r="BD301" s="475">
        <v>0</v>
      </c>
      <c r="BE301" s="475">
        <v>25</v>
      </c>
      <c r="BF301" s="475">
        <v>0</v>
      </c>
      <c r="BG301" s="475">
        <v>2025</v>
      </c>
      <c r="BH301" s="476">
        <v>66008</v>
      </c>
      <c r="BI301" s="467"/>
      <c r="BJ301" s="468"/>
    </row>
    <row r="302" spans="1:62">
      <c r="A302" s="469">
        <v>45809</v>
      </c>
      <c r="B302" s="469" t="s">
        <v>747</v>
      </c>
      <c r="C302" s="508" t="s">
        <v>748</v>
      </c>
      <c r="D302" s="470" t="s">
        <v>749</v>
      </c>
      <c r="E302" s="471">
        <v>2020</v>
      </c>
      <c r="F302" s="470" t="s">
        <v>772</v>
      </c>
      <c r="G302" s="470" t="s">
        <v>751</v>
      </c>
      <c r="H302" s="470" t="s">
        <v>12</v>
      </c>
      <c r="I302" s="470" t="s">
        <v>773</v>
      </c>
      <c r="J302" s="472" t="s">
        <v>774</v>
      </c>
      <c r="K302" s="470" t="s">
        <v>775</v>
      </c>
      <c r="L302" s="470" t="s">
        <v>776</v>
      </c>
      <c r="M302" s="470" t="s">
        <v>776</v>
      </c>
      <c r="N302" s="470" t="s">
        <v>777</v>
      </c>
      <c r="O302" s="472" t="s">
        <v>757</v>
      </c>
      <c r="P302" s="472" t="s">
        <v>738</v>
      </c>
      <c r="Q302" s="472" t="s">
        <v>758</v>
      </c>
      <c r="R302" s="472" t="s">
        <v>12</v>
      </c>
      <c r="S302" s="472" t="s">
        <v>12</v>
      </c>
      <c r="T302" s="472" t="s">
        <v>778</v>
      </c>
      <c r="U302" s="470" t="s">
        <v>779</v>
      </c>
      <c r="V302" s="470" t="s">
        <v>761</v>
      </c>
      <c r="W302" s="470" t="s">
        <v>762</v>
      </c>
      <c r="X302" s="470">
        <v>30</v>
      </c>
      <c r="Y302" s="470">
        <v>0</v>
      </c>
      <c r="Z302" s="470">
        <v>0</v>
      </c>
      <c r="AA302" s="470">
        <v>30</v>
      </c>
      <c r="AB302" s="470">
        <v>30</v>
      </c>
      <c r="AC302" s="473">
        <v>68450</v>
      </c>
      <c r="AD302" s="473">
        <v>68450</v>
      </c>
      <c r="AE302" s="473">
        <v>30803</v>
      </c>
      <c r="AF302" s="473">
        <v>12321</v>
      </c>
      <c r="AG302" s="473">
        <v>1600</v>
      </c>
      <c r="AH302" s="473">
        <v>200</v>
      </c>
      <c r="AI302" s="473">
        <v>1250</v>
      </c>
      <c r="AJ302" s="473">
        <v>2566</v>
      </c>
      <c r="AK302" s="473">
        <v>6161</v>
      </c>
      <c r="AL302" s="473">
        <v>4620</v>
      </c>
      <c r="AM302" s="473">
        <v>308</v>
      </c>
      <c r="AN302" s="473">
        <v>1078</v>
      </c>
      <c r="AO302" s="473">
        <v>616</v>
      </c>
      <c r="AP302" s="473">
        <v>154</v>
      </c>
      <c r="AQ302" s="473">
        <v>1800</v>
      </c>
      <c r="AR302" s="473">
        <v>4973</v>
      </c>
      <c r="AS302" s="473">
        <v>0</v>
      </c>
      <c r="AT302" s="473">
        <v>4416</v>
      </c>
      <c r="AU302" s="473">
        <v>4097</v>
      </c>
      <c r="AV302" s="473">
        <v>76963</v>
      </c>
      <c r="AW302" s="474">
        <v>72866</v>
      </c>
      <c r="AX302" s="473">
        <v>0</v>
      </c>
      <c r="AY302" s="473">
        <v>0</v>
      </c>
      <c r="AZ302" s="475">
        <v>0</v>
      </c>
      <c r="BA302" s="475">
        <v>200</v>
      </c>
      <c r="BB302" s="475">
        <v>1800</v>
      </c>
      <c r="BC302" s="475">
        <v>0</v>
      </c>
      <c r="BD302" s="475">
        <v>0</v>
      </c>
      <c r="BE302" s="475">
        <v>25</v>
      </c>
      <c r="BF302" s="475">
        <v>0</v>
      </c>
      <c r="BG302" s="475">
        <v>2025</v>
      </c>
      <c r="BH302" s="476">
        <v>74938</v>
      </c>
      <c r="BI302" s="467"/>
      <c r="BJ302" s="468"/>
    </row>
    <row r="303" spans="1:62">
      <c r="A303" s="469">
        <v>45809</v>
      </c>
      <c r="B303" s="469" t="s">
        <v>747</v>
      </c>
      <c r="C303" s="508" t="s">
        <v>748</v>
      </c>
      <c r="D303" s="470" t="s">
        <v>749</v>
      </c>
      <c r="E303" s="471">
        <v>1770</v>
      </c>
      <c r="F303" s="470" t="s">
        <v>780</v>
      </c>
      <c r="G303" s="470" t="s">
        <v>751</v>
      </c>
      <c r="H303" s="470" t="s">
        <v>12</v>
      </c>
      <c r="I303" s="470" t="s">
        <v>781</v>
      </c>
      <c r="J303" s="472" t="s">
        <v>782</v>
      </c>
      <c r="K303" s="470" t="s">
        <v>783</v>
      </c>
      <c r="L303" s="470" t="s">
        <v>776</v>
      </c>
      <c r="M303" s="470" t="s">
        <v>776</v>
      </c>
      <c r="N303" s="470" t="s">
        <v>777</v>
      </c>
      <c r="O303" s="472" t="s">
        <v>757</v>
      </c>
      <c r="P303" s="472" t="s">
        <v>738</v>
      </c>
      <c r="Q303" s="472" t="s">
        <v>758</v>
      </c>
      <c r="R303" s="472" t="s">
        <v>12</v>
      </c>
      <c r="S303" s="472" t="s">
        <v>12</v>
      </c>
      <c r="T303" s="472" t="s">
        <v>784</v>
      </c>
      <c r="U303" s="470" t="s">
        <v>785</v>
      </c>
      <c r="V303" s="470" t="s">
        <v>761</v>
      </c>
      <c r="W303" s="470" t="s">
        <v>786</v>
      </c>
      <c r="X303" s="470">
        <v>30</v>
      </c>
      <c r="Y303" s="470">
        <v>0</v>
      </c>
      <c r="Z303" s="470">
        <v>0</v>
      </c>
      <c r="AA303" s="470">
        <v>30</v>
      </c>
      <c r="AB303" s="470">
        <v>30</v>
      </c>
      <c r="AC303" s="473">
        <v>109350</v>
      </c>
      <c r="AD303" s="473">
        <v>109350</v>
      </c>
      <c r="AE303" s="473">
        <v>49208</v>
      </c>
      <c r="AF303" s="473">
        <v>19683</v>
      </c>
      <c r="AG303" s="473">
        <v>1600</v>
      </c>
      <c r="AH303" s="473">
        <v>200</v>
      </c>
      <c r="AI303" s="473">
        <v>1250</v>
      </c>
      <c r="AJ303" s="473">
        <v>4099</v>
      </c>
      <c r="AK303" s="473">
        <v>9842</v>
      </c>
      <c r="AL303" s="473">
        <v>7381</v>
      </c>
      <c r="AM303" s="473">
        <v>492</v>
      </c>
      <c r="AN303" s="473">
        <v>1722</v>
      </c>
      <c r="AO303" s="473">
        <v>984</v>
      </c>
      <c r="AP303" s="473">
        <v>246</v>
      </c>
      <c r="AQ303" s="473">
        <v>1800</v>
      </c>
      <c r="AR303" s="473">
        <v>10843</v>
      </c>
      <c r="AS303" s="473">
        <v>0</v>
      </c>
      <c r="AT303" s="473">
        <v>2500</v>
      </c>
      <c r="AU303" s="473">
        <v>0</v>
      </c>
      <c r="AV303" s="473">
        <v>111850</v>
      </c>
      <c r="AW303" s="474">
        <v>111850</v>
      </c>
      <c r="AX303" s="473">
        <v>0</v>
      </c>
      <c r="AY303" s="473">
        <v>0</v>
      </c>
      <c r="AZ303" s="475">
        <v>7548</v>
      </c>
      <c r="BA303" s="475">
        <v>200</v>
      </c>
      <c r="BB303" s="475">
        <v>1800</v>
      </c>
      <c r="BC303" s="475">
        <v>0</v>
      </c>
      <c r="BD303" s="475">
        <v>0</v>
      </c>
      <c r="BE303" s="475">
        <v>25</v>
      </c>
      <c r="BF303" s="475">
        <v>0</v>
      </c>
      <c r="BG303" s="475">
        <v>9573</v>
      </c>
      <c r="BH303" s="476">
        <v>102277</v>
      </c>
      <c r="BI303" s="467"/>
      <c r="BJ303" s="468"/>
    </row>
    <row r="304" spans="1:62">
      <c r="A304" s="469">
        <v>45809</v>
      </c>
      <c r="B304" s="469" t="s">
        <v>747</v>
      </c>
      <c r="C304" s="508" t="s">
        <v>748</v>
      </c>
      <c r="D304" s="470" t="s">
        <v>749</v>
      </c>
      <c r="E304" s="471">
        <v>2072</v>
      </c>
      <c r="F304" s="470" t="s">
        <v>787</v>
      </c>
      <c r="G304" s="470" t="s">
        <v>751</v>
      </c>
      <c r="H304" s="470" t="s">
        <v>12</v>
      </c>
      <c r="I304" s="470" t="s">
        <v>788</v>
      </c>
      <c r="J304" s="472" t="s">
        <v>789</v>
      </c>
      <c r="K304" s="470" t="s">
        <v>790</v>
      </c>
      <c r="L304" s="470" t="s">
        <v>791</v>
      </c>
      <c r="M304" s="470" t="s">
        <v>791</v>
      </c>
      <c r="N304" s="470" t="s">
        <v>756</v>
      </c>
      <c r="O304" s="472" t="s">
        <v>792</v>
      </c>
      <c r="P304" s="472" t="s">
        <v>738</v>
      </c>
      <c r="Q304" s="472" t="s">
        <v>758</v>
      </c>
      <c r="R304" s="472" t="s">
        <v>12</v>
      </c>
      <c r="S304" s="472" t="s">
        <v>12</v>
      </c>
      <c r="T304" s="472" t="s">
        <v>793</v>
      </c>
      <c r="U304" s="470" t="s">
        <v>794</v>
      </c>
      <c r="V304" s="470" t="s">
        <v>761</v>
      </c>
      <c r="W304" s="470" t="s">
        <v>795</v>
      </c>
      <c r="X304" s="470">
        <v>30</v>
      </c>
      <c r="Y304" s="470">
        <v>0</v>
      </c>
      <c r="Z304" s="470">
        <v>2</v>
      </c>
      <c r="AA304" s="470">
        <v>28</v>
      </c>
      <c r="AB304" s="470">
        <v>28</v>
      </c>
      <c r="AC304" s="473">
        <v>123200</v>
      </c>
      <c r="AD304" s="473">
        <v>123200</v>
      </c>
      <c r="AE304" s="473">
        <v>51744</v>
      </c>
      <c r="AF304" s="473">
        <v>20698</v>
      </c>
      <c r="AG304" s="473">
        <v>1493</v>
      </c>
      <c r="AH304" s="473">
        <v>187</v>
      </c>
      <c r="AI304" s="473">
        <v>1167</v>
      </c>
      <c r="AJ304" s="473">
        <v>4310</v>
      </c>
      <c r="AK304" s="473">
        <v>10349</v>
      </c>
      <c r="AL304" s="473">
        <v>7762</v>
      </c>
      <c r="AM304" s="473">
        <v>517</v>
      </c>
      <c r="AN304" s="473">
        <v>1811</v>
      </c>
      <c r="AO304" s="473">
        <v>1035</v>
      </c>
      <c r="AP304" s="473">
        <v>259</v>
      </c>
      <c r="AQ304" s="473">
        <v>1800</v>
      </c>
      <c r="AR304" s="473">
        <v>11855</v>
      </c>
      <c r="AS304" s="473">
        <v>0</v>
      </c>
      <c r="AT304" s="473">
        <v>0</v>
      </c>
      <c r="AU304" s="473">
        <v>598</v>
      </c>
      <c r="AV304" s="473">
        <v>115585</v>
      </c>
      <c r="AW304" s="474">
        <v>114987</v>
      </c>
      <c r="AX304" s="473">
        <v>0</v>
      </c>
      <c r="AY304" s="473">
        <v>0</v>
      </c>
      <c r="AZ304" s="475">
        <v>7356</v>
      </c>
      <c r="BA304" s="475">
        <v>200</v>
      </c>
      <c r="BB304" s="475">
        <v>1800</v>
      </c>
      <c r="BC304" s="475">
        <v>0</v>
      </c>
      <c r="BD304" s="475">
        <v>0</v>
      </c>
      <c r="BE304" s="475">
        <v>25</v>
      </c>
      <c r="BF304" s="475">
        <v>0</v>
      </c>
      <c r="BG304" s="475">
        <v>9381</v>
      </c>
      <c r="BH304" s="476">
        <v>106204</v>
      </c>
      <c r="BI304" s="467"/>
      <c r="BJ304" s="468"/>
    </row>
    <row r="305" spans="1:62">
      <c r="A305" s="469">
        <v>45809</v>
      </c>
      <c r="B305" s="469" t="s">
        <v>747</v>
      </c>
      <c r="C305" s="508" t="s">
        <v>748</v>
      </c>
      <c r="D305" s="470" t="s">
        <v>749</v>
      </c>
      <c r="E305" s="471">
        <v>1440</v>
      </c>
      <c r="F305" s="470" t="s">
        <v>796</v>
      </c>
      <c r="G305" s="470" t="s">
        <v>751</v>
      </c>
      <c r="H305" s="470" t="s">
        <v>12</v>
      </c>
      <c r="I305" s="470" t="s">
        <v>797</v>
      </c>
      <c r="J305" s="472" t="s">
        <v>798</v>
      </c>
      <c r="K305" s="470" t="s">
        <v>799</v>
      </c>
      <c r="L305" s="470" t="s">
        <v>800</v>
      </c>
      <c r="M305" s="470" t="s">
        <v>801</v>
      </c>
      <c r="N305" s="470" t="s">
        <v>756</v>
      </c>
      <c r="O305" s="472" t="s">
        <v>757</v>
      </c>
      <c r="P305" s="472" t="s">
        <v>738</v>
      </c>
      <c r="Q305" s="472" t="s">
        <v>758</v>
      </c>
      <c r="R305" s="472" t="s">
        <v>12</v>
      </c>
      <c r="S305" s="472" t="s">
        <v>12</v>
      </c>
      <c r="T305" s="472" t="s">
        <v>802</v>
      </c>
      <c r="U305" s="470" t="s">
        <v>803</v>
      </c>
      <c r="V305" s="470" t="s">
        <v>761</v>
      </c>
      <c r="W305" s="470" t="s">
        <v>762</v>
      </c>
      <c r="X305" s="470">
        <v>30</v>
      </c>
      <c r="Y305" s="470">
        <v>0</v>
      </c>
      <c r="Z305" s="470">
        <v>0.5</v>
      </c>
      <c r="AA305" s="470">
        <v>29.5</v>
      </c>
      <c r="AB305" s="470">
        <v>29.5</v>
      </c>
      <c r="AC305" s="473">
        <v>38617</v>
      </c>
      <c r="AD305" s="473">
        <v>38617</v>
      </c>
      <c r="AE305" s="473">
        <v>17088</v>
      </c>
      <c r="AF305" s="473">
        <v>6835</v>
      </c>
      <c r="AG305" s="473">
        <v>1573</v>
      </c>
      <c r="AH305" s="473">
        <v>197</v>
      </c>
      <c r="AI305" s="473">
        <v>1229</v>
      </c>
      <c r="AJ305" s="473">
        <v>0</v>
      </c>
      <c r="AK305" s="473">
        <v>0</v>
      </c>
      <c r="AL305" s="473">
        <v>0</v>
      </c>
      <c r="AM305" s="473">
        <v>0</v>
      </c>
      <c r="AN305" s="473">
        <v>0</v>
      </c>
      <c r="AO305" s="473">
        <v>0</v>
      </c>
      <c r="AP305" s="473">
        <v>0</v>
      </c>
      <c r="AQ305" s="473">
        <v>1800</v>
      </c>
      <c r="AR305" s="473">
        <v>9251</v>
      </c>
      <c r="AS305" s="473">
        <v>0</v>
      </c>
      <c r="AT305" s="473">
        <v>0</v>
      </c>
      <c r="AU305" s="473">
        <v>0</v>
      </c>
      <c r="AV305" s="473">
        <v>37973</v>
      </c>
      <c r="AW305" s="474">
        <v>37973</v>
      </c>
      <c r="AX305" s="473">
        <v>0</v>
      </c>
      <c r="AY305" s="473">
        <v>0</v>
      </c>
      <c r="AZ305" s="475">
        <v>0</v>
      </c>
      <c r="BA305" s="475">
        <v>200</v>
      </c>
      <c r="BB305" s="475">
        <v>1800</v>
      </c>
      <c r="BC305" s="475">
        <v>0</v>
      </c>
      <c r="BD305" s="475">
        <v>0</v>
      </c>
      <c r="BE305" s="475">
        <v>25</v>
      </c>
      <c r="BF305" s="475">
        <v>0</v>
      </c>
      <c r="BG305" s="475">
        <v>2025</v>
      </c>
      <c r="BH305" s="476">
        <v>35948</v>
      </c>
      <c r="BI305" s="467"/>
      <c r="BJ305" s="468"/>
    </row>
    <row r="306" spans="1:62">
      <c r="A306" s="469">
        <v>45809</v>
      </c>
      <c r="B306" s="469" t="s">
        <v>747</v>
      </c>
      <c r="C306" s="508" t="s">
        <v>748</v>
      </c>
      <c r="D306" s="470" t="s">
        <v>749</v>
      </c>
      <c r="E306" s="471">
        <v>1803</v>
      </c>
      <c r="F306" s="470" t="s">
        <v>804</v>
      </c>
      <c r="G306" s="470" t="s">
        <v>751</v>
      </c>
      <c r="H306" s="470" t="s">
        <v>12</v>
      </c>
      <c r="I306" s="470" t="s">
        <v>805</v>
      </c>
      <c r="J306" s="472" t="s">
        <v>806</v>
      </c>
      <c r="K306" s="470" t="s">
        <v>807</v>
      </c>
      <c r="L306" s="470" t="s">
        <v>800</v>
      </c>
      <c r="M306" s="470" t="s">
        <v>801</v>
      </c>
      <c r="N306" s="470" t="s">
        <v>756</v>
      </c>
      <c r="O306" s="472" t="s">
        <v>757</v>
      </c>
      <c r="P306" s="472" t="s">
        <v>738</v>
      </c>
      <c r="Q306" s="472" t="s">
        <v>758</v>
      </c>
      <c r="R306" s="472" t="s">
        <v>12</v>
      </c>
      <c r="S306" s="472" t="s">
        <v>12</v>
      </c>
      <c r="T306" s="472" t="s">
        <v>808</v>
      </c>
      <c r="U306" s="470" t="s">
        <v>809</v>
      </c>
      <c r="V306" s="470" t="s">
        <v>761</v>
      </c>
      <c r="W306" s="470" t="s">
        <v>810</v>
      </c>
      <c r="X306" s="470">
        <v>30</v>
      </c>
      <c r="Y306" s="470">
        <v>0</v>
      </c>
      <c r="Z306" s="470">
        <v>0</v>
      </c>
      <c r="AA306" s="470">
        <v>30</v>
      </c>
      <c r="AB306" s="470">
        <v>30</v>
      </c>
      <c r="AC306" s="473">
        <v>40000</v>
      </c>
      <c r="AD306" s="473">
        <v>40000</v>
      </c>
      <c r="AE306" s="473">
        <v>18000</v>
      </c>
      <c r="AF306" s="473">
        <v>7200</v>
      </c>
      <c r="AG306" s="473">
        <v>1600</v>
      </c>
      <c r="AH306" s="473">
        <v>200</v>
      </c>
      <c r="AI306" s="473">
        <v>1250</v>
      </c>
      <c r="AJ306" s="473">
        <v>0</v>
      </c>
      <c r="AK306" s="473">
        <v>0</v>
      </c>
      <c r="AL306" s="473">
        <v>0</v>
      </c>
      <c r="AM306" s="473">
        <v>0</v>
      </c>
      <c r="AN306" s="473">
        <v>0</v>
      </c>
      <c r="AO306" s="473">
        <v>0</v>
      </c>
      <c r="AP306" s="473">
        <v>0</v>
      </c>
      <c r="AQ306" s="473">
        <v>1800</v>
      </c>
      <c r="AR306" s="473">
        <v>9950</v>
      </c>
      <c r="AS306" s="473">
        <v>0</v>
      </c>
      <c r="AT306" s="473">
        <v>0</v>
      </c>
      <c r="AU306" s="473">
        <v>0</v>
      </c>
      <c r="AV306" s="473">
        <v>40000</v>
      </c>
      <c r="AW306" s="474">
        <v>40000</v>
      </c>
      <c r="AX306" s="473">
        <v>0</v>
      </c>
      <c r="AY306" s="473">
        <v>0</v>
      </c>
      <c r="AZ306" s="475">
        <v>0</v>
      </c>
      <c r="BA306" s="475">
        <v>200</v>
      </c>
      <c r="BB306" s="475">
        <v>1800</v>
      </c>
      <c r="BC306" s="475">
        <v>0</v>
      </c>
      <c r="BD306" s="475">
        <v>0</v>
      </c>
      <c r="BE306" s="475">
        <v>25</v>
      </c>
      <c r="BF306" s="475">
        <v>0</v>
      </c>
      <c r="BG306" s="475">
        <v>2025</v>
      </c>
      <c r="BH306" s="476">
        <v>37975</v>
      </c>
      <c r="BI306" s="467"/>
      <c r="BJ306" s="468"/>
    </row>
    <row r="307" spans="1:62">
      <c r="A307" s="469">
        <v>45809</v>
      </c>
      <c r="B307" s="469" t="s">
        <v>747</v>
      </c>
      <c r="C307" s="508" t="s">
        <v>748</v>
      </c>
      <c r="D307" s="470" t="s">
        <v>749</v>
      </c>
      <c r="E307" s="471">
        <v>1484</v>
      </c>
      <c r="F307" s="470" t="s">
        <v>811</v>
      </c>
      <c r="G307" s="470" t="s">
        <v>812</v>
      </c>
      <c r="H307" s="470" t="s">
        <v>12</v>
      </c>
      <c r="I307" s="470" t="s">
        <v>813</v>
      </c>
      <c r="J307" s="472" t="s">
        <v>814</v>
      </c>
      <c r="K307" s="470" t="s">
        <v>815</v>
      </c>
      <c r="L307" s="470" t="s">
        <v>816</v>
      </c>
      <c r="M307" s="470" t="s">
        <v>817</v>
      </c>
      <c r="N307" s="470" t="s">
        <v>777</v>
      </c>
      <c r="O307" s="472" t="s">
        <v>792</v>
      </c>
      <c r="P307" s="472" t="s">
        <v>738</v>
      </c>
      <c r="Q307" s="472" t="s">
        <v>758</v>
      </c>
      <c r="R307" s="472" t="s">
        <v>12</v>
      </c>
      <c r="S307" s="472" t="s">
        <v>12</v>
      </c>
      <c r="T307" s="472" t="s">
        <v>818</v>
      </c>
      <c r="U307" s="470" t="s">
        <v>819</v>
      </c>
      <c r="V307" s="470" t="s">
        <v>761</v>
      </c>
      <c r="W307" s="470" t="s">
        <v>762</v>
      </c>
      <c r="X307" s="470">
        <v>30</v>
      </c>
      <c r="Y307" s="470">
        <v>0</v>
      </c>
      <c r="Z307" s="470">
        <v>0</v>
      </c>
      <c r="AA307" s="470">
        <v>30</v>
      </c>
      <c r="AB307" s="470">
        <v>30</v>
      </c>
      <c r="AC307" s="473">
        <v>111343</v>
      </c>
      <c r="AD307" s="473">
        <v>111343</v>
      </c>
      <c r="AE307" s="473">
        <v>50104</v>
      </c>
      <c r="AF307" s="473">
        <v>20042</v>
      </c>
      <c r="AG307" s="473">
        <v>1600</v>
      </c>
      <c r="AH307" s="473">
        <v>200</v>
      </c>
      <c r="AI307" s="473">
        <v>1250</v>
      </c>
      <c r="AJ307" s="473">
        <v>4174</v>
      </c>
      <c r="AK307" s="473">
        <v>10021</v>
      </c>
      <c r="AL307" s="473">
        <v>7516</v>
      </c>
      <c r="AM307" s="473">
        <v>501</v>
      </c>
      <c r="AN307" s="473">
        <v>1754</v>
      </c>
      <c r="AO307" s="473">
        <v>1002</v>
      </c>
      <c r="AP307" s="473">
        <v>251</v>
      </c>
      <c r="AQ307" s="473">
        <v>1800</v>
      </c>
      <c r="AR307" s="473">
        <v>11128</v>
      </c>
      <c r="AS307" s="473">
        <v>0</v>
      </c>
      <c r="AT307" s="473">
        <v>0</v>
      </c>
      <c r="AU307" s="473">
        <v>2507</v>
      </c>
      <c r="AV307" s="473">
        <v>113850</v>
      </c>
      <c r="AW307" s="474">
        <v>111343</v>
      </c>
      <c r="AX307" s="473">
        <v>0</v>
      </c>
      <c r="AY307" s="473">
        <v>0</v>
      </c>
      <c r="AZ307" s="475">
        <v>8741</v>
      </c>
      <c r="BA307" s="475">
        <v>200</v>
      </c>
      <c r="BB307" s="475">
        <v>1800</v>
      </c>
      <c r="BC307" s="475">
        <v>0</v>
      </c>
      <c r="BD307" s="475">
        <v>0</v>
      </c>
      <c r="BE307" s="475">
        <v>25</v>
      </c>
      <c r="BF307" s="475">
        <v>0</v>
      </c>
      <c r="BG307" s="475">
        <v>10766</v>
      </c>
      <c r="BH307" s="476">
        <v>103084</v>
      </c>
      <c r="BI307" s="467"/>
      <c r="BJ307" s="468"/>
    </row>
    <row r="308" spans="1:62">
      <c r="A308" s="469">
        <v>45809</v>
      </c>
      <c r="B308" s="469" t="s">
        <v>747</v>
      </c>
      <c r="C308" s="508" t="s">
        <v>748</v>
      </c>
      <c r="D308" s="470" t="s">
        <v>749</v>
      </c>
      <c r="E308" s="471">
        <v>1599</v>
      </c>
      <c r="F308" s="470" t="s">
        <v>820</v>
      </c>
      <c r="G308" s="470" t="s">
        <v>751</v>
      </c>
      <c r="H308" s="470" t="s">
        <v>12</v>
      </c>
      <c r="I308" s="470" t="s">
        <v>821</v>
      </c>
      <c r="J308" s="472" t="s">
        <v>822</v>
      </c>
      <c r="K308" s="470" t="s">
        <v>823</v>
      </c>
      <c r="L308" s="470" t="s">
        <v>824</v>
      </c>
      <c r="M308" s="470" t="s">
        <v>824</v>
      </c>
      <c r="N308" s="470" t="s">
        <v>777</v>
      </c>
      <c r="O308" s="472" t="s">
        <v>757</v>
      </c>
      <c r="P308" s="472" t="s">
        <v>738</v>
      </c>
      <c r="Q308" s="472" t="s">
        <v>758</v>
      </c>
      <c r="R308" s="472" t="s">
        <v>12</v>
      </c>
      <c r="S308" s="472" t="s">
        <v>12</v>
      </c>
      <c r="T308" s="472" t="s">
        <v>825</v>
      </c>
      <c r="U308" s="470" t="s">
        <v>826</v>
      </c>
      <c r="V308" s="470" t="s">
        <v>761</v>
      </c>
      <c r="W308" s="470" t="s">
        <v>827</v>
      </c>
      <c r="X308" s="470">
        <v>30</v>
      </c>
      <c r="Y308" s="470">
        <v>0</v>
      </c>
      <c r="Z308" s="470">
        <v>0</v>
      </c>
      <c r="AA308" s="470">
        <v>30</v>
      </c>
      <c r="AB308" s="470">
        <v>30</v>
      </c>
      <c r="AC308" s="473">
        <v>51640</v>
      </c>
      <c r="AD308" s="473">
        <v>51640</v>
      </c>
      <c r="AE308" s="473">
        <v>23238</v>
      </c>
      <c r="AF308" s="473">
        <v>9295</v>
      </c>
      <c r="AG308" s="473">
        <v>1600</v>
      </c>
      <c r="AH308" s="473">
        <v>200</v>
      </c>
      <c r="AI308" s="473">
        <v>1250</v>
      </c>
      <c r="AJ308" s="473">
        <v>1936</v>
      </c>
      <c r="AK308" s="473">
        <v>4648</v>
      </c>
      <c r="AL308" s="473">
        <v>3486</v>
      </c>
      <c r="AM308" s="473">
        <v>232</v>
      </c>
      <c r="AN308" s="473">
        <v>813</v>
      </c>
      <c r="AO308" s="473">
        <v>465</v>
      </c>
      <c r="AP308" s="473">
        <v>116</v>
      </c>
      <c r="AQ308" s="473">
        <v>1800</v>
      </c>
      <c r="AR308" s="473">
        <v>2561</v>
      </c>
      <c r="AS308" s="473">
        <v>0</v>
      </c>
      <c r="AT308" s="473">
        <v>0</v>
      </c>
      <c r="AU308" s="473">
        <v>4568</v>
      </c>
      <c r="AV308" s="473">
        <v>56208</v>
      </c>
      <c r="AW308" s="474">
        <v>51640</v>
      </c>
      <c r="AX308" s="473">
        <v>0</v>
      </c>
      <c r="AY308" s="473">
        <v>0</v>
      </c>
      <c r="AZ308" s="475">
        <v>0</v>
      </c>
      <c r="BA308" s="475">
        <v>200</v>
      </c>
      <c r="BB308" s="475">
        <v>1800</v>
      </c>
      <c r="BC308" s="475">
        <v>0</v>
      </c>
      <c r="BD308" s="475">
        <v>0</v>
      </c>
      <c r="BE308" s="475">
        <v>25</v>
      </c>
      <c r="BF308" s="475">
        <v>0</v>
      </c>
      <c r="BG308" s="475">
        <v>2025</v>
      </c>
      <c r="BH308" s="476">
        <v>54183</v>
      </c>
      <c r="BI308" s="467"/>
      <c r="BJ308" s="468"/>
    </row>
    <row r="309" spans="1:62">
      <c r="A309" s="469">
        <v>45809</v>
      </c>
      <c r="B309" s="469" t="s">
        <v>747</v>
      </c>
      <c r="C309" s="508" t="s">
        <v>748</v>
      </c>
      <c r="D309" s="470" t="s">
        <v>749</v>
      </c>
      <c r="E309" s="471">
        <v>1180</v>
      </c>
      <c r="F309" s="470" t="s">
        <v>828</v>
      </c>
      <c r="G309" s="470" t="s">
        <v>751</v>
      </c>
      <c r="H309" s="470" t="s">
        <v>12</v>
      </c>
      <c r="I309" s="470" t="s">
        <v>829</v>
      </c>
      <c r="J309" s="472" t="s">
        <v>830</v>
      </c>
      <c r="K309" s="470" t="s">
        <v>831</v>
      </c>
      <c r="L309" s="470" t="s">
        <v>832</v>
      </c>
      <c r="M309" s="470" t="s">
        <v>832</v>
      </c>
      <c r="N309" s="470" t="s">
        <v>833</v>
      </c>
      <c r="O309" s="472" t="s">
        <v>757</v>
      </c>
      <c r="P309" s="472" t="s">
        <v>738</v>
      </c>
      <c r="Q309" s="472" t="s">
        <v>758</v>
      </c>
      <c r="R309" s="472" t="s">
        <v>12</v>
      </c>
      <c r="S309" s="472" t="s">
        <v>12</v>
      </c>
      <c r="T309" s="472" t="s">
        <v>834</v>
      </c>
      <c r="U309" s="470" t="s">
        <v>835</v>
      </c>
      <c r="V309" s="470" t="s">
        <v>836</v>
      </c>
      <c r="W309" s="470" t="s">
        <v>837</v>
      </c>
      <c r="X309" s="470">
        <v>30</v>
      </c>
      <c r="Y309" s="470">
        <v>0</v>
      </c>
      <c r="Z309" s="470">
        <v>15</v>
      </c>
      <c r="AA309" s="470">
        <v>15</v>
      </c>
      <c r="AB309" s="470">
        <v>15</v>
      </c>
      <c r="AC309" s="473">
        <v>28042</v>
      </c>
      <c r="AD309" s="473">
        <v>28042</v>
      </c>
      <c r="AE309" s="473">
        <v>6309</v>
      </c>
      <c r="AF309" s="473">
        <v>2524</v>
      </c>
      <c r="AG309" s="473">
        <v>800</v>
      </c>
      <c r="AH309" s="473">
        <v>100</v>
      </c>
      <c r="AI309" s="473">
        <v>625</v>
      </c>
      <c r="AJ309" s="473">
        <v>0</v>
      </c>
      <c r="AK309" s="473">
        <v>0</v>
      </c>
      <c r="AL309" s="473">
        <v>0</v>
      </c>
      <c r="AM309" s="473">
        <v>0</v>
      </c>
      <c r="AN309" s="473">
        <v>0</v>
      </c>
      <c r="AO309" s="473">
        <v>0</v>
      </c>
      <c r="AP309" s="473">
        <v>0</v>
      </c>
      <c r="AQ309" s="473">
        <v>757</v>
      </c>
      <c r="AR309" s="473">
        <v>2906</v>
      </c>
      <c r="AS309" s="473">
        <v>0</v>
      </c>
      <c r="AT309" s="473">
        <v>0</v>
      </c>
      <c r="AU309" s="473">
        <v>0</v>
      </c>
      <c r="AV309" s="473">
        <v>14021</v>
      </c>
      <c r="AW309" s="474">
        <v>14021</v>
      </c>
      <c r="AX309" s="473">
        <v>0</v>
      </c>
      <c r="AY309" s="473">
        <v>0</v>
      </c>
      <c r="AZ309" s="475">
        <v>0</v>
      </c>
      <c r="BA309" s="475">
        <v>200</v>
      </c>
      <c r="BB309" s="475">
        <v>757</v>
      </c>
      <c r="BC309" s="475">
        <v>0</v>
      </c>
      <c r="BD309" s="475">
        <v>0</v>
      </c>
      <c r="BE309" s="475">
        <v>25</v>
      </c>
      <c r="BF309" s="475">
        <v>0</v>
      </c>
      <c r="BG309" s="475">
        <v>982</v>
      </c>
      <c r="BH309" s="476">
        <v>13039</v>
      </c>
      <c r="BI309" s="467"/>
      <c r="BJ309" s="468"/>
    </row>
    <row r="310" spans="1:62">
      <c r="A310" s="469">
        <v>45809</v>
      </c>
      <c r="B310" s="469" t="s">
        <v>747</v>
      </c>
      <c r="C310" s="508" t="s">
        <v>748</v>
      </c>
      <c r="D310" s="470" t="s">
        <v>749</v>
      </c>
      <c r="E310" s="471">
        <v>48</v>
      </c>
      <c r="F310" s="470" t="s">
        <v>838</v>
      </c>
      <c r="G310" s="470" t="s">
        <v>751</v>
      </c>
      <c r="H310" s="470" t="s">
        <v>12</v>
      </c>
      <c r="I310" s="470" t="s">
        <v>839</v>
      </c>
      <c r="J310" s="472" t="s">
        <v>840</v>
      </c>
      <c r="K310" s="470" t="s">
        <v>841</v>
      </c>
      <c r="L310" s="470" t="s">
        <v>842</v>
      </c>
      <c r="M310" s="470" t="s">
        <v>842</v>
      </c>
      <c r="N310" s="470" t="s">
        <v>777</v>
      </c>
      <c r="O310" s="472" t="s">
        <v>792</v>
      </c>
      <c r="P310" s="472" t="s">
        <v>738</v>
      </c>
      <c r="Q310" s="472" t="s">
        <v>758</v>
      </c>
      <c r="R310" s="472" t="s">
        <v>12</v>
      </c>
      <c r="S310" s="472" t="s">
        <v>12</v>
      </c>
      <c r="T310" s="472" t="s">
        <v>843</v>
      </c>
      <c r="U310" s="470" t="s">
        <v>844</v>
      </c>
      <c r="V310" s="470" t="s">
        <v>761</v>
      </c>
      <c r="W310" s="470" t="s">
        <v>845</v>
      </c>
      <c r="X310" s="470">
        <v>30</v>
      </c>
      <c r="Y310" s="470">
        <v>0</v>
      </c>
      <c r="Z310" s="470">
        <v>0</v>
      </c>
      <c r="AA310" s="470">
        <v>30</v>
      </c>
      <c r="AB310" s="470">
        <v>30</v>
      </c>
      <c r="AC310" s="473">
        <v>107967</v>
      </c>
      <c r="AD310" s="473">
        <v>107967</v>
      </c>
      <c r="AE310" s="473">
        <v>48585</v>
      </c>
      <c r="AF310" s="473">
        <v>19434</v>
      </c>
      <c r="AG310" s="473">
        <v>1600</v>
      </c>
      <c r="AH310" s="473">
        <v>200</v>
      </c>
      <c r="AI310" s="473">
        <v>1250</v>
      </c>
      <c r="AJ310" s="473">
        <v>4047</v>
      </c>
      <c r="AK310" s="473">
        <v>9717</v>
      </c>
      <c r="AL310" s="473">
        <v>7288</v>
      </c>
      <c r="AM310" s="473">
        <v>486</v>
      </c>
      <c r="AN310" s="473">
        <v>1700</v>
      </c>
      <c r="AO310" s="473">
        <v>972</v>
      </c>
      <c r="AP310" s="473">
        <v>243</v>
      </c>
      <c r="AQ310" s="473">
        <v>1800</v>
      </c>
      <c r="AR310" s="473">
        <v>10645</v>
      </c>
      <c r="AS310" s="473">
        <v>0</v>
      </c>
      <c r="AT310" s="473">
        <v>0</v>
      </c>
      <c r="AU310" s="473">
        <v>0</v>
      </c>
      <c r="AV310" s="473">
        <v>107967</v>
      </c>
      <c r="AW310" s="474">
        <v>107967</v>
      </c>
      <c r="AX310" s="473">
        <v>0</v>
      </c>
      <c r="AY310" s="473">
        <v>0</v>
      </c>
      <c r="AZ310" s="475">
        <v>5897</v>
      </c>
      <c r="BA310" s="475">
        <v>200</v>
      </c>
      <c r="BB310" s="475">
        <v>1800</v>
      </c>
      <c r="BC310" s="475">
        <v>0</v>
      </c>
      <c r="BD310" s="475">
        <v>0</v>
      </c>
      <c r="BE310" s="475">
        <v>25</v>
      </c>
      <c r="BF310" s="475">
        <v>15000</v>
      </c>
      <c r="BG310" s="475">
        <v>22922</v>
      </c>
      <c r="BH310" s="476">
        <v>85045</v>
      </c>
      <c r="BI310" s="467"/>
      <c r="BJ310" s="468"/>
    </row>
    <row r="311" spans="1:62">
      <c r="A311" s="469">
        <v>45809</v>
      </c>
      <c r="B311" s="469" t="s">
        <v>747</v>
      </c>
      <c r="C311" s="508" t="s">
        <v>748</v>
      </c>
      <c r="D311" s="470" t="s">
        <v>749</v>
      </c>
      <c r="E311" s="471">
        <v>2017</v>
      </c>
      <c r="F311" s="470" t="s">
        <v>846</v>
      </c>
      <c r="G311" s="470" t="s">
        <v>751</v>
      </c>
      <c r="H311" s="470" t="s">
        <v>12</v>
      </c>
      <c r="I311" s="470" t="s">
        <v>847</v>
      </c>
      <c r="J311" s="472" t="s">
        <v>848</v>
      </c>
      <c r="K311" s="470" t="s">
        <v>849</v>
      </c>
      <c r="L311" s="470" t="s">
        <v>824</v>
      </c>
      <c r="M311" s="470" t="s">
        <v>824</v>
      </c>
      <c r="N311" s="470" t="s">
        <v>777</v>
      </c>
      <c r="O311" s="472" t="s">
        <v>757</v>
      </c>
      <c r="P311" s="472" t="s">
        <v>738</v>
      </c>
      <c r="Q311" s="472" t="s">
        <v>758</v>
      </c>
      <c r="R311" s="472" t="s">
        <v>12</v>
      </c>
      <c r="S311" s="472" t="s">
        <v>12</v>
      </c>
      <c r="T311" s="472" t="s">
        <v>850</v>
      </c>
      <c r="U311" s="470" t="s">
        <v>851</v>
      </c>
      <c r="V311" s="470" t="s">
        <v>761</v>
      </c>
      <c r="W311" s="470" t="s">
        <v>762</v>
      </c>
      <c r="X311" s="470">
        <v>30</v>
      </c>
      <c r="Y311" s="470">
        <v>0</v>
      </c>
      <c r="Z311" s="470">
        <v>0</v>
      </c>
      <c r="AA311" s="470">
        <v>30</v>
      </c>
      <c r="AB311" s="470">
        <v>30</v>
      </c>
      <c r="AC311" s="473">
        <v>56533</v>
      </c>
      <c r="AD311" s="473">
        <v>56533</v>
      </c>
      <c r="AE311" s="473">
        <v>25440</v>
      </c>
      <c r="AF311" s="473">
        <v>10176</v>
      </c>
      <c r="AG311" s="473">
        <v>1600</v>
      </c>
      <c r="AH311" s="473">
        <v>200</v>
      </c>
      <c r="AI311" s="473">
        <v>1250</v>
      </c>
      <c r="AJ311" s="473">
        <v>2119</v>
      </c>
      <c r="AK311" s="473">
        <v>5088</v>
      </c>
      <c r="AL311" s="473">
        <v>3816</v>
      </c>
      <c r="AM311" s="473">
        <v>254</v>
      </c>
      <c r="AN311" s="473">
        <v>890</v>
      </c>
      <c r="AO311" s="473">
        <v>509</v>
      </c>
      <c r="AP311" s="473">
        <v>127</v>
      </c>
      <c r="AQ311" s="473">
        <v>1800</v>
      </c>
      <c r="AR311" s="473">
        <v>3264</v>
      </c>
      <c r="AS311" s="473">
        <v>0</v>
      </c>
      <c r="AT311" s="473">
        <v>0</v>
      </c>
      <c r="AU311" s="473">
        <v>0</v>
      </c>
      <c r="AV311" s="473">
        <v>56533</v>
      </c>
      <c r="AW311" s="474">
        <v>56533</v>
      </c>
      <c r="AX311" s="473">
        <v>0</v>
      </c>
      <c r="AY311" s="473">
        <v>0</v>
      </c>
      <c r="AZ311" s="475">
        <v>0</v>
      </c>
      <c r="BA311" s="475">
        <v>200</v>
      </c>
      <c r="BB311" s="475">
        <v>1800</v>
      </c>
      <c r="BC311" s="475">
        <v>0</v>
      </c>
      <c r="BD311" s="475">
        <v>0</v>
      </c>
      <c r="BE311" s="475">
        <v>25</v>
      </c>
      <c r="BF311" s="475">
        <v>0</v>
      </c>
      <c r="BG311" s="475">
        <v>2025</v>
      </c>
      <c r="BH311" s="476">
        <v>54508</v>
      </c>
      <c r="BI311" s="467"/>
      <c r="BJ311" s="468"/>
    </row>
    <row r="312" spans="1:62">
      <c r="A312" s="469">
        <v>45809</v>
      </c>
      <c r="B312" s="469" t="s">
        <v>747</v>
      </c>
      <c r="C312" s="508" t="s">
        <v>748</v>
      </c>
      <c r="D312" s="470" t="s">
        <v>749</v>
      </c>
      <c r="E312" s="471">
        <v>1914</v>
      </c>
      <c r="F312" s="470" t="s">
        <v>852</v>
      </c>
      <c r="G312" s="470" t="s">
        <v>751</v>
      </c>
      <c r="H312" s="470" t="s">
        <v>12</v>
      </c>
      <c r="I312" s="470" t="s">
        <v>853</v>
      </c>
      <c r="J312" s="472" t="s">
        <v>854</v>
      </c>
      <c r="K312" s="470" t="s">
        <v>855</v>
      </c>
      <c r="L312" s="470" t="s">
        <v>856</v>
      </c>
      <c r="M312" s="470" t="s">
        <v>856</v>
      </c>
      <c r="N312" s="470" t="s">
        <v>756</v>
      </c>
      <c r="O312" s="472" t="s">
        <v>757</v>
      </c>
      <c r="P312" s="472" t="s">
        <v>738</v>
      </c>
      <c r="Q312" s="472" t="s">
        <v>758</v>
      </c>
      <c r="R312" s="472" t="s">
        <v>12</v>
      </c>
      <c r="S312" s="472" t="s">
        <v>12</v>
      </c>
      <c r="T312" s="472" t="s">
        <v>857</v>
      </c>
      <c r="U312" s="470" t="s">
        <v>858</v>
      </c>
      <c r="V312" s="470" t="s">
        <v>761</v>
      </c>
      <c r="W312" s="470" t="s">
        <v>859</v>
      </c>
      <c r="X312" s="470">
        <v>30</v>
      </c>
      <c r="Y312" s="470">
        <v>0</v>
      </c>
      <c r="Z312" s="470">
        <v>0</v>
      </c>
      <c r="AA312" s="470">
        <v>30</v>
      </c>
      <c r="AB312" s="470">
        <v>30</v>
      </c>
      <c r="AC312" s="473">
        <v>74033</v>
      </c>
      <c r="AD312" s="473">
        <v>74033</v>
      </c>
      <c r="AE312" s="473">
        <v>33315</v>
      </c>
      <c r="AF312" s="473">
        <v>13326</v>
      </c>
      <c r="AG312" s="473">
        <v>1600</v>
      </c>
      <c r="AH312" s="473">
        <v>200</v>
      </c>
      <c r="AI312" s="473">
        <v>1250</v>
      </c>
      <c r="AJ312" s="473">
        <v>2775</v>
      </c>
      <c r="AK312" s="473">
        <v>6663</v>
      </c>
      <c r="AL312" s="473">
        <v>4997</v>
      </c>
      <c r="AM312" s="473">
        <v>333</v>
      </c>
      <c r="AN312" s="473">
        <v>1166</v>
      </c>
      <c r="AO312" s="473">
        <v>666</v>
      </c>
      <c r="AP312" s="473">
        <v>167</v>
      </c>
      <c r="AQ312" s="473">
        <v>1800</v>
      </c>
      <c r="AR312" s="473">
        <v>5775</v>
      </c>
      <c r="AS312" s="473">
        <v>0</v>
      </c>
      <c r="AT312" s="473">
        <v>0</v>
      </c>
      <c r="AU312" s="473">
        <v>715</v>
      </c>
      <c r="AV312" s="473">
        <v>74748</v>
      </c>
      <c r="AW312" s="474">
        <v>74033</v>
      </c>
      <c r="AX312" s="473">
        <v>0</v>
      </c>
      <c r="AY312" s="473">
        <v>0</v>
      </c>
      <c r="AZ312" s="475">
        <v>0</v>
      </c>
      <c r="BA312" s="475">
        <v>200</v>
      </c>
      <c r="BB312" s="475">
        <v>1800</v>
      </c>
      <c r="BC312" s="475">
        <v>0</v>
      </c>
      <c r="BD312" s="475">
        <v>0</v>
      </c>
      <c r="BE312" s="475">
        <v>25</v>
      </c>
      <c r="BF312" s="475">
        <v>0</v>
      </c>
      <c r="BG312" s="475">
        <v>2025</v>
      </c>
      <c r="BH312" s="476">
        <v>72723</v>
      </c>
      <c r="BI312" s="467"/>
      <c r="BJ312" s="468"/>
    </row>
    <row r="313" spans="1:62">
      <c r="A313" s="469">
        <v>45809</v>
      </c>
      <c r="B313" s="469" t="s">
        <v>747</v>
      </c>
      <c r="C313" s="508" t="s">
        <v>748</v>
      </c>
      <c r="D313" s="470" t="s">
        <v>749</v>
      </c>
      <c r="E313" s="471">
        <v>1312</v>
      </c>
      <c r="F313" s="470" t="s">
        <v>860</v>
      </c>
      <c r="G313" s="470" t="s">
        <v>812</v>
      </c>
      <c r="H313" s="470" t="s">
        <v>12</v>
      </c>
      <c r="I313" s="470" t="s">
        <v>861</v>
      </c>
      <c r="J313" s="472" t="s">
        <v>862</v>
      </c>
      <c r="K313" s="470" t="s">
        <v>863</v>
      </c>
      <c r="L313" s="470" t="s">
        <v>864</v>
      </c>
      <c r="M313" s="470" t="s">
        <v>864</v>
      </c>
      <c r="N313" s="470" t="s">
        <v>777</v>
      </c>
      <c r="O313" s="472" t="s">
        <v>757</v>
      </c>
      <c r="P313" s="472" t="s">
        <v>738</v>
      </c>
      <c r="Q313" s="472" t="s">
        <v>758</v>
      </c>
      <c r="R313" s="472" t="s">
        <v>865</v>
      </c>
      <c r="S313" s="472" t="s">
        <v>12</v>
      </c>
      <c r="T313" s="472" t="s">
        <v>866</v>
      </c>
      <c r="U313" s="470" t="s">
        <v>867</v>
      </c>
      <c r="V313" s="470" t="s">
        <v>836</v>
      </c>
      <c r="W313" s="470" t="s">
        <v>837</v>
      </c>
      <c r="X313" s="470">
        <v>30</v>
      </c>
      <c r="Y313" s="470">
        <v>0</v>
      </c>
      <c r="Z313" s="470">
        <v>0</v>
      </c>
      <c r="AA313" s="470">
        <v>5</v>
      </c>
      <c r="AB313" s="470">
        <v>5</v>
      </c>
      <c r="AC313" s="473">
        <v>30143</v>
      </c>
      <c r="AD313" s="473">
        <v>30143</v>
      </c>
      <c r="AE313" s="473">
        <v>2261</v>
      </c>
      <c r="AF313" s="473">
        <v>904</v>
      </c>
      <c r="AG313" s="473">
        <v>267</v>
      </c>
      <c r="AH313" s="473">
        <v>200</v>
      </c>
      <c r="AI313" s="473">
        <v>208</v>
      </c>
      <c r="AJ313" s="473">
        <v>0</v>
      </c>
      <c r="AK313" s="473">
        <v>0</v>
      </c>
      <c r="AL313" s="473">
        <v>0</v>
      </c>
      <c r="AM313" s="473">
        <v>0</v>
      </c>
      <c r="AN313" s="473">
        <v>0</v>
      </c>
      <c r="AO313" s="473">
        <v>0</v>
      </c>
      <c r="AP313" s="473">
        <v>0</v>
      </c>
      <c r="AQ313" s="473">
        <v>271</v>
      </c>
      <c r="AR313" s="473">
        <v>913</v>
      </c>
      <c r="AS313" s="473">
        <v>0</v>
      </c>
      <c r="AT313" s="473">
        <v>0</v>
      </c>
      <c r="AU313" s="473">
        <v>2055</v>
      </c>
      <c r="AV313" s="473">
        <v>7079</v>
      </c>
      <c r="AW313" s="474">
        <v>5024</v>
      </c>
      <c r="AX313" s="473">
        <v>0</v>
      </c>
      <c r="AY313" s="473">
        <v>0</v>
      </c>
      <c r="AZ313" s="475">
        <v>0</v>
      </c>
      <c r="BA313" s="475">
        <v>0</v>
      </c>
      <c r="BB313" s="475">
        <v>271</v>
      </c>
      <c r="BC313" s="475">
        <v>0</v>
      </c>
      <c r="BD313" s="475">
        <v>0</v>
      </c>
      <c r="BE313" s="475">
        <v>25</v>
      </c>
      <c r="BF313" s="475">
        <v>0</v>
      </c>
      <c r="BG313" s="475">
        <v>296</v>
      </c>
      <c r="BH313" s="476">
        <v>6783</v>
      </c>
      <c r="BI313" s="467"/>
      <c r="BJ313" s="468"/>
    </row>
    <row r="314" spans="1:62">
      <c r="A314" s="469">
        <v>45809</v>
      </c>
      <c r="B314" s="469" t="s">
        <v>747</v>
      </c>
      <c r="C314" s="508" t="s">
        <v>748</v>
      </c>
      <c r="D314" s="470" t="s">
        <v>749</v>
      </c>
      <c r="E314" s="471">
        <v>1209</v>
      </c>
      <c r="F314" s="470" t="s">
        <v>868</v>
      </c>
      <c r="G314" s="470" t="s">
        <v>751</v>
      </c>
      <c r="H314" s="470" t="s">
        <v>12</v>
      </c>
      <c r="I314" s="470" t="s">
        <v>869</v>
      </c>
      <c r="J314" s="472" t="s">
        <v>870</v>
      </c>
      <c r="K314" s="470" t="s">
        <v>871</v>
      </c>
      <c r="L314" s="470" t="s">
        <v>872</v>
      </c>
      <c r="M314" s="470" t="s">
        <v>873</v>
      </c>
      <c r="N314" s="470" t="s">
        <v>833</v>
      </c>
      <c r="O314" s="472" t="s">
        <v>757</v>
      </c>
      <c r="P314" s="472" t="s">
        <v>738</v>
      </c>
      <c r="Q314" s="472" t="s">
        <v>758</v>
      </c>
      <c r="R314" s="472" t="s">
        <v>12</v>
      </c>
      <c r="S314" s="472" t="s">
        <v>12</v>
      </c>
      <c r="T314" s="472" t="s">
        <v>874</v>
      </c>
      <c r="U314" s="470" t="s">
        <v>875</v>
      </c>
      <c r="V314" s="470" t="s">
        <v>761</v>
      </c>
      <c r="W314" s="470" t="s">
        <v>876</v>
      </c>
      <c r="X314" s="470">
        <v>30</v>
      </c>
      <c r="Y314" s="470">
        <v>0</v>
      </c>
      <c r="Z314" s="470">
        <v>0</v>
      </c>
      <c r="AA314" s="470">
        <v>30</v>
      </c>
      <c r="AB314" s="470">
        <v>30</v>
      </c>
      <c r="AC314" s="473">
        <v>79575</v>
      </c>
      <c r="AD314" s="473">
        <v>79575</v>
      </c>
      <c r="AE314" s="473">
        <v>35809</v>
      </c>
      <c r="AF314" s="473">
        <v>14324</v>
      </c>
      <c r="AG314" s="473">
        <v>1600</v>
      </c>
      <c r="AH314" s="473">
        <v>200</v>
      </c>
      <c r="AI314" s="473">
        <v>1250</v>
      </c>
      <c r="AJ314" s="473">
        <v>2983</v>
      </c>
      <c r="AK314" s="473">
        <v>7162</v>
      </c>
      <c r="AL314" s="473">
        <v>5371</v>
      </c>
      <c r="AM314" s="473">
        <v>358</v>
      </c>
      <c r="AN314" s="473">
        <v>1253</v>
      </c>
      <c r="AO314" s="473">
        <v>716</v>
      </c>
      <c r="AP314" s="473">
        <v>179</v>
      </c>
      <c r="AQ314" s="473">
        <v>1800</v>
      </c>
      <c r="AR314" s="473">
        <v>6570</v>
      </c>
      <c r="AS314" s="473">
        <v>0</v>
      </c>
      <c r="AT314" s="473">
        <v>0</v>
      </c>
      <c r="AU314" s="473">
        <v>467</v>
      </c>
      <c r="AV314" s="473">
        <v>80042</v>
      </c>
      <c r="AW314" s="474">
        <v>79575</v>
      </c>
      <c r="AX314" s="473">
        <v>0</v>
      </c>
      <c r="AY314" s="473">
        <v>0</v>
      </c>
      <c r="AZ314" s="475">
        <v>0</v>
      </c>
      <c r="BA314" s="475">
        <v>200</v>
      </c>
      <c r="BB314" s="475">
        <v>1800</v>
      </c>
      <c r="BC314" s="475">
        <v>0</v>
      </c>
      <c r="BD314" s="475">
        <v>0</v>
      </c>
      <c r="BE314" s="475">
        <v>25</v>
      </c>
      <c r="BF314" s="475">
        <v>0</v>
      </c>
      <c r="BG314" s="475">
        <v>2025</v>
      </c>
      <c r="BH314" s="476">
        <v>78017</v>
      </c>
      <c r="BI314" s="467"/>
      <c r="BJ314" s="468"/>
    </row>
    <row r="315" spans="1:62">
      <c r="A315" s="469">
        <v>45809</v>
      </c>
      <c r="B315" s="469" t="s">
        <v>747</v>
      </c>
      <c r="C315" s="508" t="s">
        <v>748</v>
      </c>
      <c r="D315" s="470" t="s">
        <v>749</v>
      </c>
      <c r="E315" s="471">
        <v>1517</v>
      </c>
      <c r="F315" s="470" t="s">
        <v>877</v>
      </c>
      <c r="G315" s="470" t="s">
        <v>751</v>
      </c>
      <c r="H315" s="470" t="s">
        <v>12</v>
      </c>
      <c r="I315" s="470" t="s">
        <v>878</v>
      </c>
      <c r="J315" s="472" t="s">
        <v>879</v>
      </c>
      <c r="K315" s="470" t="s">
        <v>880</v>
      </c>
      <c r="L315" s="470" t="s">
        <v>881</v>
      </c>
      <c r="M315" s="470" t="s">
        <v>881</v>
      </c>
      <c r="N315" s="470" t="s">
        <v>833</v>
      </c>
      <c r="O315" s="472" t="s">
        <v>757</v>
      </c>
      <c r="P315" s="472" t="s">
        <v>738</v>
      </c>
      <c r="Q315" s="472" t="s">
        <v>758</v>
      </c>
      <c r="R315" s="472" t="s">
        <v>12</v>
      </c>
      <c r="S315" s="472" t="s">
        <v>12</v>
      </c>
      <c r="T315" s="472" t="s">
        <v>882</v>
      </c>
      <c r="U315" s="470" t="s">
        <v>883</v>
      </c>
      <c r="V315" s="470" t="s">
        <v>761</v>
      </c>
      <c r="W315" s="470" t="s">
        <v>859</v>
      </c>
      <c r="X315" s="470">
        <v>30</v>
      </c>
      <c r="Y315" s="470">
        <v>0</v>
      </c>
      <c r="Z315" s="470">
        <v>0</v>
      </c>
      <c r="AA315" s="470">
        <v>30</v>
      </c>
      <c r="AB315" s="470">
        <v>30</v>
      </c>
      <c r="AC315" s="473">
        <v>47190</v>
      </c>
      <c r="AD315" s="473">
        <v>47190</v>
      </c>
      <c r="AE315" s="473">
        <v>21236</v>
      </c>
      <c r="AF315" s="473">
        <v>8494</v>
      </c>
      <c r="AG315" s="473">
        <v>1600</v>
      </c>
      <c r="AH315" s="473">
        <v>200</v>
      </c>
      <c r="AI315" s="473">
        <v>1250</v>
      </c>
      <c r="AJ315" s="473">
        <v>1769</v>
      </c>
      <c r="AK315" s="473">
        <v>4247</v>
      </c>
      <c r="AL315" s="473">
        <v>3185</v>
      </c>
      <c r="AM315" s="473">
        <v>212</v>
      </c>
      <c r="AN315" s="473">
        <v>743</v>
      </c>
      <c r="AO315" s="473">
        <v>425</v>
      </c>
      <c r="AP315" s="473">
        <v>106</v>
      </c>
      <c r="AQ315" s="473">
        <v>1800</v>
      </c>
      <c r="AR315" s="473">
        <v>1923</v>
      </c>
      <c r="AS315" s="473">
        <v>0</v>
      </c>
      <c r="AT315" s="473">
        <v>0</v>
      </c>
      <c r="AU315" s="473">
        <v>760</v>
      </c>
      <c r="AV315" s="473">
        <v>47950</v>
      </c>
      <c r="AW315" s="474">
        <v>47190</v>
      </c>
      <c r="AX315" s="473">
        <v>0</v>
      </c>
      <c r="AY315" s="473">
        <v>0</v>
      </c>
      <c r="AZ315" s="475">
        <v>0</v>
      </c>
      <c r="BA315" s="475">
        <v>200</v>
      </c>
      <c r="BB315" s="475">
        <v>1800</v>
      </c>
      <c r="BC315" s="475">
        <v>0</v>
      </c>
      <c r="BD315" s="475">
        <v>0</v>
      </c>
      <c r="BE315" s="475">
        <v>25</v>
      </c>
      <c r="BF315" s="475">
        <v>0</v>
      </c>
      <c r="BG315" s="475">
        <v>2025</v>
      </c>
      <c r="BH315" s="476">
        <v>45925</v>
      </c>
      <c r="BI315" s="467"/>
      <c r="BJ315" s="468"/>
    </row>
    <row r="316" spans="1:62">
      <c r="A316" s="469">
        <v>45809</v>
      </c>
      <c r="B316" s="469" t="s">
        <v>747</v>
      </c>
      <c r="C316" s="508" t="s">
        <v>748</v>
      </c>
      <c r="D316" s="470" t="s">
        <v>749</v>
      </c>
      <c r="E316" s="471">
        <v>1202</v>
      </c>
      <c r="F316" s="470" t="s">
        <v>884</v>
      </c>
      <c r="G316" s="470" t="s">
        <v>751</v>
      </c>
      <c r="H316" s="470" t="s">
        <v>12</v>
      </c>
      <c r="I316" s="470" t="s">
        <v>885</v>
      </c>
      <c r="J316" s="472" t="s">
        <v>886</v>
      </c>
      <c r="K316" s="470" t="s">
        <v>887</v>
      </c>
      <c r="L316" s="470" t="s">
        <v>816</v>
      </c>
      <c r="M316" s="470" t="s">
        <v>816</v>
      </c>
      <c r="N316" s="470" t="s">
        <v>777</v>
      </c>
      <c r="O316" s="472" t="s">
        <v>757</v>
      </c>
      <c r="P316" s="472" t="s">
        <v>738</v>
      </c>
      <c r="Q316" s="472" t="s">
        <v>758</v>
      </c>
      <c r="R316" s="472" t="s">
        <v>12</v>
      </c>
      <c r="S316" s="472" t="s">
        <v>12</v>
      </c>
      <c r="T316" s="472" t="s">
        <v>888</v>
      </c>
      <c r="U316" s="470" t="s">
        <v>889</v>
      </c>
      <c r="V316" s="470" t="s">
        <v>761</v>
      </c>
      <c r="W316" s="470" t="s">
        <v>762</v>
      </c>
      <c r="X316" s="470">
        <v>30</v>
      </c>
      <c r="Y316" s="470">
        <v>0</v>
      </c>
      <c r="Z316" s="470">
        <v>0</v>
      </c>
      <c r="AA316" s="470">
        <v>30</v>
      </c>
      <c r="AB316" s="470">
        <v>30</v>
      </c>
      <c r="AC316" s="473">
        <v>98333</v>
      </c>
      <c r="AD316" s="473">
        <v>98333</v>
      </c>
      <c r="AE316" s="473">
        <v>44250</v>
      </c>
      <c r="AF316" s="473">
        <v>17700</v>
      </c>
      <c r="AG316" s="473">
        <v>1600</v>
      </c>
      <c r="AH316" s="473">
        <v>200</v>
      </c>
      <c r="AI316" s="473">
        <v>1250</v>
      </c>
      <c r="AJ316" s="473">
        <v>3686</v>
      </c>
      <c r="AK316" s="473">
        <v>8850</v>
      </c>
      <c r="AL316" s="473">
        <v>6638</v>
      </c>
      <c r="AM316" s="473">
        <v>443</v>
      </c>
      <c r="AN316" s="473">
        <v>1549</v>
      </c>
      <c r="AO316" s="473">
        <v>885</v>
      </c>
      <c r="AP316" s="473">
        <v>221</v>
      </c>
      <c r="AQ316" s="473">
        <v>1800</v>
      </c>
      <c r="AR316" s="473">
        <v>9261</v>
      </c>
      <c r="AS316" s="473">
        <v>0</v>
      </c>
      <c r="AT316" s="473">
        <v>0</v>
      </c>
      <c r="AU316" s="473">
        <v>1931</v>
      </c>
      <c r="AV316" s="473">
        <v>100264</v>
      </c>
      <c r="AW316" s="474">
        <v>98333</v>
      </c>
      <c r="AX316" s="473">
        <v>0</v>
      </c>
      <c r="AY316" s="473">
        <v>0</v>
      </c>
      <c r="AZ316" s="475">
        <v>0</v>
      </c>
      <c r="BA316" s="475">
        <v>200</v>
      </c>
      <c r="BB316" s="475">
        <v>1800</v>
      </c>
      <c r="BC316" s="475">
        <v>0</v>
      </c>
      <c r="BD316" s="475">
        <v>0</v>
      </c>
      <c r="BE316" s="475">
        <v>25</v>
      </c>
      <c r="BF316" s="475">
        <v>0</v>
      </c>
      <c r="BG316" s="475">
        <v>2025</v>
      </c>
      <c r="BH316" s="476">
        <v>98239</v>
      </c>
      <c r="BI316" s="467"/>
      <c r="BJ316" s="468"/>
    </row>
    <row r="317" spans="1:62">
      <c r="A317" s="469">
        <v>45809</v>
      </c>
      <c r="B317" s="469" t="s">
        <v>747</v>
      </c>
      <c r="C317" s="508" t="s">
        <v>748</v>
      </c>
      <c r="D317" s="470" t="s">
        <v>749</v>
      </c>
      <c r="E317" s="471">
        <v>1205</v>
      </c>
      <c r="F317" s="470" t="s">
        <v>890</v>
      </c>
      <c r="G317" s="470" t="s">
        <v>751</v>
      </c>
      <c r="H317" s="470" t="s">
        <v>12</v>
      </c>
      <c r="I317" s="470" t="s">
        <v>891</v>
      </c>
      <c r="J317" s="472" t="s">
        <v>892</v>
      </c>
      <c r="K317" s="470" t="s">
        <v>893</v>
      </c>
      <c r="L317" s="470" t="s">
        <v>894</v>
      </c>
      <c r="M317" s="470" t="s">
        <v>895</v>
      </c>
      <c r="N317" s="470" t="s">
        <v>777</v>
      </c>
      <c r="O317" s="472" t="s">
        <v>757</v>
      </c>
      <c r="P317" s="472" t="s">
        <v>738</v>
      </c>
      <c r="Q317" s="472" t="s">
        <v>758</v>
      </c>
      <c r="R317" s="472" t="s">
        <v>12</v>
      </c>
      <c r="S317" s="472" t="s">
        <v>12</v>
      </c>
      <c r="T317" s="472" t="s">
        <v>896</v>
      </c>
      <c r="U317" s="470" t="s">
        <v>897</v>
      </c>
      <c r="V317" s="470" t="s">
        <v>761</v>
      </c>
      <c r="W317" s="470" t="s">
        <v>898</v>
      </c>
      <c r="X317" s="470">
        <v>30</v>
      </c>
      <c r="Y317" s="470">
        <v>0</v>
      </c>
      <c r="Z317" s="470">
        <v>0.5</v>
      </c>
      <c r="AA317" s="470">
        <v>29.5</v>
      </c>
      <c r="AB317" s="470">
        <v>29.5</v>
      </c>
      <c r="AC317" s="473">
        <v>32307</v>
      </c>
      <c r="AD317" s="473">
        <v>32307</v>
      </c>
      <c r="AE317" s="473">
        <v>14296</v>
      </c>
      <c r="AF317" s="473">
        <v>5718</v>
      </c>
      <c r="AG317" s="473">
        <v>1573</v>
      </c>
      <c r="AH317" s="473">
        <v>197</v>
      </c>
      <c r="AI317" s="473">
        <v>1229</v>
      </c>
      <c r="AJ317" s="473">
        <v>0</v>
      </c>
      <c r="AK317" s="473">
        <v>0</v>
      </c>
      <c r="AL317" s="473">
        <v>0</v>
      </c>
      <c r="AM317" s="473">
        <v>0</v>
      </c>
      <c r="AN317" s="473">
        <v>0</v>
      </c>
      <c r="AO317" s="473">
        <v>0</v>
      </c>
      <c r="AP317" s="473">
        <v>0</v>
      </c>
      <c r="AQ317" s="473">
        <v>1716</v>
      </c>
      <c r="AR317" s="473">
        <v>7040</v>
      </c>
      <c r="AS317" s="473">
        <v>0</v>
      </c>
      <c r="AT317" s="473">
        <v>0</v>
      </c>
      <c r="AU317" s="473">
        <v>2029</v>
      </c>
      <c r="AV317" s="473">
        <v>33798</v>
      </c>
      <c r="AW317" s="474">
        <v>31769</v>
      </c>
      <c r="AX317" s="473">
        <v>0</v>
      </c>
      <c r="AY317" s="473">
        <v>0</v>
      </c>
      <c r="AZ317" s="475">
        <v>0</v>
      </c>
      <c r="BA317" s="475">
        <v>200</v>
      </c>
      <c r="BB317" s="475">
        <v>1716</v>
      </c>
      <c r="BC317" s="475">
        <v>0</v>
      </c>
      <c r="BD317" s="475">
        <v>0</v>
      </c>
      <c r="BE317" s="475">
        <v>25</v>
      </c>
      <c r="BF317" s="475">
        <v>0</v>
      </c>
      <c r="BG317" s="475">
        <v>1941</v>
      </c>
      <c r="BH317" s="476">
        <v>31857</v>
      </c>
      <c r="BI317" s="467"/>
      <c r="BJ317" s="468"/>
    </row>
    <row r="318" spans="1:62">
      <c r="A318" s="469">
        <v>45809</v>
      </c>
      <c r="B318" s="469" t="s">
        <v>747</v>
      </c>
      <c r="C318" s="508" t="s">
        <v>748</v>
      </c>
      <c r="D318" s="470" t="s">
        <v>749</v>
      </c>
      <c r="E318" s="471">
        <v>748</v>
      </c>
      <c r="F318" s="470" t="s">
        <v>899</v>
      </c>
      <c r="G318" s="470" t="s">
        <v>751</v>
      </c>
      <c r="H318" s="470" t="s">
        <v>12</v>
      </c>
      <c r="I318" s="470" t="s">
        <v>900</v>
      </c>
      <c r="J318" s="472" t="s">
        <v>901</v>
      </c>
      <c r="K318" s="470" t="s">
        <v>902</v>
      </c>
      <c r="L318" s="470" t="s">
        <v>903</v>
      </c>
      <c r="M318" s="470" t="s">
        <v>903</v>
      </c>
      <c r="N318" s="470" t="s">
        <v>904</v>
      </c>
      <c r="O318" s="472" t="s">
        <v>757</v>
      </c>
      <c r="P318" s="472" t="s">
        <v>738</v>
      </c>
      <c r="Q318" s="472" t="s">
        <v>758</v>
      </c>
      <c r="R318" s="472" t="s">
        <v>12</v>
      </c>
      <c r="S318" s="472" t="s">
        <v>12</v>
      </c>
      <c r="T318" s="472" t="s">
        <v>905</v>
      </c>
      <c r="U318" s="470" t="s">
        <v>906</v>
      </c>
      <c r="V318" s="470" t="s">
        <v>761</v>
      </c>
      <c r="W318" s="470" t="s">
        <v>907</v>
      </c>
      <c r="X318" s="470">
        <v>30</v>
      </c>
      <c r="Y318" s="470">
        <v>0</v>
      </c>
      <c r="Z318" s="470">
        <v>1</v>
      </c>
      <c r="AA318" s="470">
        <v>29</v>
      </c>
      <c r="AB318" s="470">
        <v>29</v>
      </c>
      <c r="AC318" s="473">
        <v>62333</v>
      </c>
      <c r="AD318" s="473">
        <v>62333</v>
      </c>
      <c r="AE318" s="473">
        <v>27115</v>
      </c>
      <c r="AF318" s="473">
        <v>10846</v>
      </c>
      <c r="AG318" s="473">
        <v>1547</v>
      </c>
      <c r="AH318" s="473">
        <v>193</v>
      </c>
      <c r="AI318" s="473">
        <v>1208</v>
      </c>
      <c r="AJ318" s="473">
        <v>2259</v>
      </c>
      <c r="AK318" s="473">
        <v>5423</v>
      </c>
      <c r="AL318" s="473">
        <v>4067</v>
      </c>
      <c r="AM318" s="473">
        <v>271</v>
      </c>
      <c r="AN318" s="473">
        <v>949</v>
      </c>
      <c r="AO318" s="473">
        <v>542</v>
      </c>
      <c r="AP318" s="473">
        <v>136</v>
      </c>
      <c r="AQ318" s="473">
        <v>1800</v>
      </c>
      <c r="AR318" s="473">
        <v>3899</v>
      </c>
      <c r="AS318" s="473">
        <v>0</v>
      </c>
      <c r="AT318" s="473">
        <v>2500</v>
      </c>
      <c r="AU318" s="473">
        <v>1766</v>
      </c>
      <c r="AV318" s="473">
        <v>64521</v>
      </c>
      <c r="AW318" s="474">
        <v>62755</v>
      </c>
      <c r="AX318" s="473">
        <v>0</v>
      </c>
      <c r="AY318" s="473">
        <v>0</v>
      </c>
      <c r="AZ318" s="475">
        <v>0</v>
      </c>
      <c r="BA318" s="475">
        <v>200</v>
      </c>
      <c r="BB318" s="475">
        <v>1800</v>
      </c>
      <c r="BC318" s="475">
        <v>0</v>
      </c>
      <c r="BD318" s="475">
        <v>0</v>
      </c>
      <c r="BE318" s="475">
        <v>25</v>
      </c>
      <c r="BF318" s="475">
        <v>15000</v>
      </c>
      <c r="BG318" s="475">
        <v>17025</v>
      </c>
      <c r="BH318" s="476">
        <v>47496</v>
      </c>
      <c r="BI318" s="467"/>
      <c r="BJ318" s="468"/>
    </row>
    <row r="319" spans="1:62">
      <c r="A319" s="469">
        <v>45809</v>
      </c>
      <c r="B319" s="469" t="s">
        <v>747</v>
      </c>
      <c r="C319" s="508" t="s">
        <v>748</v>
      </c>
      <c r="D319" s="470" t="s">
        <v>749</v>
      </c>
      <c r="E319" s="471">
        <v>1875</v>
      </c>
      <c r="F319" s="470" t="s">
        <v>908</v>
      </c>
      <c r="G319" s="470" t="s">
        <v>751</v>
      </c>
      <c r="H319" s="470" t="s">
        <v>12</v>
      </c>
      <c r="I319" s="470" t="s">
        <v>909</v>
      </c>
      <c r="J319" s="472" t="s">
        <v>910</v>
      </c>
      <c r="K319" s="470" t="s">
        <v>911</v>
      </c>
      <c r="L319" s="470" t="s">
        <v>776</v>
      </c>
      <c r="M319" s="470" t="s">
        <v>776</v>
      </c>
      <c r="N319" s="470" t="s">
        <v>777</v>
      </c>
      <c r="O319" s="472" t="s">
        <v>757</v>
      </c>
      <c r="P319" s="472" t="s">
        <v>738</v>
      </c>
      <c r="Q319" s="472" t="s">
        <v>758</v>
      </c>
      <c r="R319" s="472" t="s">
        <v>12</v>
      </c>
      <c r="S319" s="472" t="s">
        <v>12</v>
      </c>
      <c r="T319" s="472" t="s">
        <v>912</v>
      </c>
      <c r="U319" s="470" t="s">
        <v>913</v>
      </c>
      <c r="V319" s="470" t="s">
        <v>761</v>
      </c>
      <c r="W319" s="470" t="s">
        <v>859</v>
      </c>
      <c r="X319" s="470">
        <v>30</v>
      </c>
      <c r="Y319" s="470">
        <v>0</v>
      </c>
      <c r="Z319" s="470">
        <v>0</v>
      </c>
      <c r="AA319" s="470">
        <v>30</v>
      </c>
      <c r="AB319" s="470">
        <v>30</v>
      </c>
      <c r="AC319" s="473">
        <v>65840</v>
      </c>
      <c r="AD319" s="473">
        <v>65840</v>
      </c>
      <c r="AE319" s="473">
        <v>29628</v>
      </c>
      <c r="AF319" s="473">
        <v>11851</v>
      </c>
      <c r="AG319" s="473">
        <v>1600</v>
      </c>
      <c r="AH319" s="473">
        <v>200</v>
      </c>
      <c r="AI319" s="473">
        <v>1250</v>
      </c>
      <c r="AJ319" s="473">
        <v>2468</v>
      </c>
      <c r="AK319" s="473">
        <v>5926</v>
      </c>
      <c r="AL319" s="473">
        <v>4444</v>
      </c>
      <c r="AM319" s="473">
        <v>296</v>
      </c>
      <c r="AN319" s="473">
        <v>1037</v>
      </c>
      <c r="AO319" s="473">
        <v>593</v>
      </c>
      <c r="AP319" s="473">
        <v>148</v>
      </c>
      <c r="AQ319" s="473">
        <v>1800</v>
      </c>
      <c r="AR319" s="473">
        <v>4599</v>
      </c>
      <c r="AS319" s="473">
        <v>0</v>
      </c>
      <c r="AT319" s="473">
        <v>26466</v>
      </c>
      <c r="AU319" s="473">
        <v>2393</v>
      </c>
      <c r="AV319" s="473">
        <v>94699</v>
      </c>
      <c r="AW319" s="474">
        <v>92306</v>
      </c>
      <c r="AX319" s="473">
        <v>0</v>
      </c>
      <c r="AY319" s="473">
        <v>0</v>
      </c>
      <c r="AZ319" s="475">
        <v>0</v>
      </c>
      <c r="BA319" s="475">
        <v>200</v>
      </c>
      <c r="BB319" s="475">
        <v>1800</v>
      </c>
      <c r="BC319" s="475">
        <v>0</v>
      </c>
      <c r="BD319" s="475">
        <v>0</v>
      </c>
      <c r="BE319" s="475">
        <v>25</v>
      </c>
      <c r="BF319" s="475">
        <v>0</v>
      </c>
      <c r="BG319" s="475">
        <v>2025</v>
      </c>
      <c r="BH319" s="476">
        <v>92674</v>
      </c>
      <c r="BI319" s="467"/>
      <c r="BJ319" s="468"/>
    </row>
    <row r="320" spans="1:62">
      <c r="A320" s="469">
        <v>45809</v>
      </c>
      <c r="B320" s="469" t="s">
        <v>747</v>
      </c>
      <c r="C320" s="508" t="s">
        <v>748</v>
      </c>
      <c r="D320" s="470" t="s">
        <v>749</v>
      </c>
      <c r="E320" s="471">
        <v>1135</v>
      </c>
      <c r="F320" s="470" t="s">
        <v>914</v>
      </c>
      <c r="G320" s="470" t="s">
        <v>751</v>
      </c>
      <c r="H320" s="470" t="s">
        <v>12</v>
      </c>
      <c r="I320" s="470" t="s">
        <v>915</v>
      </c>
      <c r="J320" s="472" t="s">
        <v>916</v>
      </c>
      <c r="K320" s="470" t="s">
        <v>917</v>
      </c>
      <c r="L320" s="470" t="s">
        <v>918</v>
      </c>
      <c r="M320" s="470" t="s">
        <v>816</v>
      </c>
      <c r="N320" s="470" t="s">
        <v>777</v>
      </c>
      <c r="O320" s="472" t="s">
        <v>757</v>
      </c>
      <c r="P320" s="472" t="s">
        <v>738</v>
      </c>
      <c r="Q320" s="472" t="s">
        <v>758</v>
      </c>
      <c r="R320" s="472" t="s">
        <v>12</v>
      </c>
      <c r="S320" s="472" t="s">
        <v>12</v>
      </c>
      <c r="T320" s="472" t="s">
        <v>919</v>
      </c>
      <c r="U320" s="470" t="s">
        <v>920</v>
      </c>
      <c r="V320" s="470" t="s">
        <v>761</v>
      </c>
      <c r="W320" s="470" t="s">
        <v>921</v>
      </c>
      <c r="X320" s="470">
        <v>30</v>
      </c>
      <c r="Y320" s="470">
        <v>0</v>
      </c>
      <c r="Z320" s="470">
        <v>0</v>
      </c>
      <c r="AA320" s="470">
        <v>30</v>
      </c>
      <c r="AB320" s="470">
        <v>30</v>
      </c>
      <c r="AC320" s="473">
        <v>146667</v>
      </c>
      <c r="AD320" s="473">
        <v>146667</v>
      </c>
      <c r="AE320" s="473">
        <v>66000</v>
      </c>
      <c r="AF320" s="473">
        <v>26400</v>
      </c>
      <c r="AG320" s="473">
        <v>1600</v>
      </c>
      <c r="AH320" s="473">
        <v>200</v>
      </c>
      <c r="AI320" s="473">
        <v>1250</v>
      </c>
      <c r="AJ320" s="473">
        <v>5498</v>
      </c>
      <c r="AK320" s="473">
        <v>13200</v>
      </c>
      <c r="AL320" s="473">
        <v>9900</v>
      </c>
      <c r="AM320" s="473">
        <v>660</v>
      </c>
      <c r="AN320" s="473">
        <v>2310</v>
      </c>
      <c r="AO320" s="473">
        <v>1320</v>
      </c>
      <c r="AP320" s="473">
        <v>330</v>
      </c>
      <c r="AQ320" s="473">
        <v>1800</v>
      </c>
      <c r="AR320" s="473">
        <v>16199</v>
      </c>
      <c r="AS320" s="473">
        <v>0</v>
      </c>
      <c r="AT320" s="473">
        <v>0</v>
      </c>
      <c r="AU320" s="473">
        <v>6865</v>
      </c>
      <c r="AV320" s="473">
        <v>153532</v>
      </c>
      <c r="AW320" s="474">
        <v>146667</v>
      </c>
      <c r="AX320" s="473">
        <v>0</v>
      </c>
      <c r="AY320" s="473">
        <v>0</v>
      </c>
      <c r="AZ320" s="475">
        <v>16685</v>
      </c>
      <c r="BA320" s="475">
        <v>200</v>
      </c>
      <c r="BB320" s="475">
        <v>1800</v>
      </c>
      <c r="BC320" s="475">
        <v>0</v>
      </c>
      <c r="BD320" s="475">
        <v>0</v>
      </c>
      <c r="BE320" s="475">
        <v>25</v>
      </c>
      <c r="BF320" s="475">
        <v>0</v>
      </c>
      <c r="BG320" s="475">
        <v>18710</v>
      </c>
      <c r="BH320" s="476">
        <v>134822</v>
      </c>
      <c r="BI320" s="467"/>
      <c r="BJ320" s="468"/>
    </row>
    <row r="321" spans="1:62">
      <c r="A321" s="469">
        <v>45809</v>
      </c>
      <c r="B321" s="469" t="s">
        <v>747</v>
      </c>
      <c r="C321" s="508" t="s">
        <v>748</v>
      </c>
      <c r="D321" s="470" t="s">
        <v>749</v>
      </c>
      <c r="E321" s="471">
        <v>1997</v>
      </c>
      <c r="F321" s="470" t="s">
        <v>922</v>
      </c>
      <c r="G321" s="470" t="s">
        <v>751</v>
      </c>
      <c r="H321" s="470" t="s">
        <v>12</v>
      </c>
      <c r="I321" s="470" t="s">
        <v>923</v>
      </c>
      <c r="J321" s="472" t="s">
        <v>924</v>
      </c>
      <c r="K321" s="470" t="s">
        <v>925</v>
      </c>
      <c r="L321" s="470" t="s">
        <v>926</v>
      </c>
      <c r="M321" s="470" t="s">
        <v>927</v>
      </c>
      <c r="N321" s="470" t="s">
        <v>756</v>
      </c>
      <c r="O321" s="472" t="s">
        <v>757</v>
      </c>
      <c r="P321" s="472" t="s">
        <v>738</v>
      </c>
      <c r="Q321" s="472" t="s">
        <v>758</v>
      </c>
      <c r="R321" s="472" t="s">
        <v>12</v>
      </c>
      <c r="S321" s="472" t="s">
        <v>12</v>
      </c>
      <c r="T321" s="472" t="s">
        <v>928</v>
      </c>
      <c r="U321" s="470" t="s">
        <v>929</v>
      </c>
      <c r="V321" s="470" t="s">
        <v>761</v>
      </c>
      <c r="W321" s="470" t="s">
        <v>762</v>
      </c>
      <c r="X321" s="470">
        <v>30</v>
      </c>
      <c r="Y321" s="470">
        <v>0</v>
      </c>
      <c r="Z321" s="470">
        <v>2.5</v>
      </c>
      <c r="AA321" s="470">
        <v>27.5</v>
      </c>
      <c r="AB321" s="470">
        <v>27.5</v>
      </c>
      <c r="AC321" s="473">
        <v>36067</v>
      </c>
      <c r="AD321" s="473">
        <v>36067</v>
      </c>
      <c r="AE321" s="473">
        <v>14877</v>
      </c>
      <c r="AF321" s="473">
        <v>5951</v>
      </c>
      <c r="AG321" s="473">
        <v>1467</v>
      </c>
      <c r="AH321" s="473">
        <v>183</v>
      </c>
      <c r="AI321" s="473">
        <v>1146</v>
      </c>
      <c r="AJ321" s="473">
        <v>0</v>
      </c>
      <c r="AK321" s="473">
        <v>0</v>
      </c>
      <c r="AL321" s="473">
        <v>0</v>
      </c>
      <c r="AM321" s="473">
        <v>0</v>
      </c>
      <c r="AN321" s="473">
        <v>0</v>
      </c>
      <c r="AO321" s="473">
        <v>0</v>
      </c>
      <c r="AP321" s="473">
        <v>0</v>
      </c>
      <c r="AQ321" s="473">
        <v>1785</v>
      </c>
      <c r="AR321" s="473">
        <v>7652</v>
      </c>
      <c r="AS321" s="473">
        <v>0</v>
      </c>
      <c r="AT321" s="473">
        <v>0</v>
      </c>
      <c r="AU321" s="473">
        <v>0</v>
      </c>
      <c r="AV321" s="473">
        <v>33061</v>
      </c>
      <c r="AW321" s="474">
        <v>33061</v>
      </c>
      <c r="AX321" s="473">
        <v>0</v>
      </c>
      <c r="AY321" s="473">
        <v>0</v>
      </c>
      <c r="AZ321" s="475">
        <v>0</v>
      </c>
      <c r="BA321" s="475">
        <v>200</v>
      </c>
      <c r="BB321" s="475">
        <v>1785</v>
      </c>
      <c r="BC321" s="475">
        <v>0</v>
      </c>
      <c r="BD321" s="475">
        <v>0</v>
      </c>
      <c r="BE321" s="475">
        <v>25</v>
      </c>
      <c r="BF321" s="475">
        <v>0</v>
      </c>
      <c r="BG321" s="475">
        <v>2010</v>
      </c>
      <c r="BH321" s="476">
        <v>31051</v>
      </c>
      <c r="BI321" s="467"/>
      <c r="BJ321" s="468"/>
    </row>
    <row r="322" spans="1:62">
      <c r="A322" s="469">
        <v>45809</v>
      </c>
      <c r="B322" s="469" t="s">
        <v>747</v>
      </c>
      <c r="C322" s="508" t="s">
        <v>748</v>
      </c>
      <c r="D322" s="470" t="s">
        <v>749</v>
      </c>
      <c r="E322" s="471">
        <v>726</v>
      </c>
      <c r="F322" s="470" t="s">
        <v>930</v>
      </c>
      <c r="G322" s="470" t="s">
        <v>812</v>
      </c>
      <c r="H322" s="470" t="s">
        <v>12</v>
      </c>
      <c r="I322" s="470" t="s">
        <v>931</v>
      </c>
      <c r="J322" s="472" t="s">
        <v>932</v>
      </c>
      <c r="K322" s="470" t="s">
        <v>933</v>
      </c>
      <c r="L322" s="470" t="s">
        <v>934</v>
      </c>
      <c r="M322" s="470" t="s">
        <v>934</v>
      </c>
      <c r="N322" s="470" t="s">
        <v>833</v>
      </c>
      <c r="O322" s="472" t="s">
        <v>757</v>
      </c>
      <c r="P322" s="472" t="s">
        <v>738</v>
      </c>
      <c r="Q322" s="472" t="s">
        <v>758</v>
      </c>
      <c r="R322" s="472" t="s">
        <v>12</v>
      </c>
      <c r="S322" s="472" t="s">
        <v>12</v>
      </c>
      <c r="T322" s="472" t="s">
        <v>935</v>
      </c>
      <c r="U322" s="470" t="s">
        <v>936</v>
      </c>
      <c r="V322" s="470" t="s">
        <v>761</v>
      </c>
      <c r="W322" s="470" t="s">
        <v>762</v>
      </c>
      <c r="X322" s="470">
        <v>30</v>
      </c>
      <c r="Y322" s="470">
        <v>0</v>
      </c>
      <c r="Z322" s="470">
        <v>1</v>
      </c>
      <c r="AA322" s="470">
        <v>29</v>
      </c>
      <c r="AB322" s="470">
        <v>29</v>
      </c>
      <c r="AC322" s="473">
        <v>27904</v>
      </c>
      <c r="AD322" s="473">
        <v>27904</v>
      </c>
      <c r="AE322" s="473">
        <v>12138</v>
      </c>
      <c r="AF322" s="473">
        <v>4855</v>
      </c>
      <c r="AG322" s="473">
        <v>1547</v>
      </c>
      <c r="AH322" s="473">
        <v>193</v>
      </c>
      <c r="AI322" s="473">
        <v>1208</v>
      </c>
      <c r="AJ322" s="473">
        <v>0</v>
      </c>
      <c r="AK322" s="473">
        <v>0</v>
      </c>
      <c r="AL322" s="473">
        <v>0</v>
      </c>
      <c r="AM322" s="473">
        <v>0</v>
      </c>
      <c r="AN322" s="473">
        <v>0</v>
      </c>
      <c r="AO322" s="473">
        <v>0</v>
      </c>
      <c r="AP322" s="473">
        <v>0</v>
      </c>
      <c r="AQ322" s="473">
        <v>1457</v>
      </c>
      <c r="AR322" s="473">
        <v>5576</v>
      </c>
      <c r="AS322" s="473">
        <v>0</v>
      </c>
      <c r="AT322" s="473">
        <v>0</v>
      </c>
      <c r="AU322" s="473">
        <v>0</v>
      </c>
      <c r="AV322" s="473">
        <v>26974</v>
      </c>
      <c r="AW322" s="474">
        <v>26974</v>
      </c>
      <c r="AX322" s="473">
        <v>0</v>
      </c>
      <c r="AY322" s="473">
        <v>0</v>
      </c>
      <c r="AZ322" s="475">
        <v>0</v>
      </c>
      <c r="BA322" s="475">
        <v>200</v>
      </c>
      <c r="BB322" s="475">
        <v>1457</v>
      </c>
      <c r="BC322" s="475">
        <v>0</v>
      </c>
      <c r="BD322" s="475">
        <v>0</v>
      </c>
      <c r="BE322" s="475">
        <v>25</v>
      </c>
      <c r="BF322" s="475">
        <v>0</v>
      </c>
      <c r="BG322" s="475">
        <v>1682</v>
      </c>
      <c r="BH322" s="476">
        <v>25292</v>
      </c>
      <c r="BI322" s="467"/>
      <c r="BJ322" s="468"/>
    </row>
    <row r="323" spans="1:62">
      <c r="A323" s="469">
        <v>45809</v>
      </c>
      <c r="B323" s="469" t="s">
        <v>747</v>
      </c>
      <c r="C323" s="508" t="s">
        <v>748</v>
      </c>
      <c r="D323" s="470" t="s">
        <v>749</v>
      </c>
      <c r="E323" s="471">
        <v>1722</v>
      </c>
      <c r="F323" s="470" t="s">
        <v>937</v>
      </c>
      <c r="G323" s="470" t="s">
        <v>751</v>
      </c>
      <c r="H323" s="470" t="s">
        <v>12</v>
      </c>
      <c r="I323" s="470" t="s">
        <v>938</v>
      </c>
      <c r="J323" s="472" t="s">
        <v>939</v>
      </c>
      <c r="K323" s="470" t="s">
        <v>940</v>
      </c>
      <c r="L323" s="470" t="s">
        <v>941</v>
      </c>
      <c r="M323" s="470" t="s">
        <v>942</v>
      </c>
      <c r="N323" s="470" t="s">
        <v>756</v>
      </c>
      <c r="O323" s="472" t="s">
        <v>943</v>
      </c>
      <c r="P323" s="472" t="s">
        <v>738</v>
      </c>
      <c r="Q323" s="472" t="s">
        <v>758</v>
      </c>
      <c r="R323" s="472" t="s">
        <v>12</v>
      </c>
      <c r="S323" s="472" t="s">
        <v>12</v>
      </c>
      <c r="T323" s="472" t="s">
        <v>944</v>
      </c>
      <c r="U323" s="470" t="s">
        <v>945</v>
      </c>
      <c r="V323" s="470" t="s">
        <v>761</v>
      </c>
      <c r="W323" s="470" t="s">
        <v>946</v>
      </c>
      <c r="X323" s="470">
        <v>30</v>
      </c>
      <c r="Y323" s="470">
        <v>0</v>
      </c>
      <c r="Z323" s="470">
        <v>0</v>
      </c>
      <c r="AA323" s="470">
        <v>30</v>
      </c>
      <c r="AB323" s="470">
        <v>30</v>
      </c>
      <c r="AC323" s="473">
        <v>434795</v>
      </c>
      <c r="AD323" s="473">
        <v>434795</v>
      </c>
      <c r="AE323" s="473">
        <v>195658</v>
      </c>
      <c r="AF323" s="473">
        <v>78263</v>
      </c>
      <c r="AG323" s="473">
        <v>1600</v>
      </c>
      <c r="AH323" s="473">
        <v>200</v>
      </c>
      <c r="AI323" s="473">
        <v>1250</v>
      </c>
      <c r="AJ323" s="473">
        <v>16298</v>
      </c>
      <c r="AK323" s="473">
        <v>39132</v>
      </c>
      <c r="AL323" s="473">
        <v>29349</v>
      </c>
      <c r="AM323" s="473">
        <v>1957</v>
      </c>
      <c r="AN323" s="473">
        <v>6848</v>
      </c>
      <c r="AO323" s="473">
        <v>3913</v>
      </c>
      <c r="AP323" s="473">
        <v>978</v>
      </c>
      <c r="AQ323" s="473">
        <v>1800</v>
      </c>
      <c r="AR323" s="473">
        <v>57549</v>
      </c>
      <c r="AS323" s="473">
        <v>0</v>
      </c>
      <c r="AT323" s="473">
        <v>0</v>
      </c>
      <c r="AU323" s="473">
        <v>5221</v>
      </c>
      <c r="AV323" s="473">
        <v>440016</v>
      </c>
      <c r="AW323" s="474">
        <v>434795</v>
      </c>
      <c r="AX323" s="473">
        <v>0</v>
      </c>
      <c r="AY323" s="473">
        <v>0</v>
      </c>
      <c r="AZ323" s="475">
        <v>144776</v>
      </c>
      <c r="BA323" s="475">
        <v>200</v>
      </c>
      <c r="BB323" s="475">
        <v>1800</v>
      </c>
      <c r="BC323" s="475">
        <v>0</v>
      </c>
      <c r="BD323" s="475">
        <v>0</v>
      </c>
      <c r="BE323" s="475">
        <v>25</v>
      </c>
      <c r="BF323" s="475">
        <v>0</v>
      </c>
      <c r="BG323" s="475">
        <v>146801</v>
      </c>
      <c r="BH323" s="476">
        <v>293215</v>
      </c>
      <c r="BI323" s="467"/>
      <c r="BJ323" s="468"/>
    </row>
    <row r="324" spans="1:62">
      <c r="A324" s="469">
        <v>45809</v>
      </c>
      <c r="B324" s="469" t="s">
        <v>747</v>
      </c>
      <c r="C324" s="508" t="s">
        <v>748</v>
      </c>
      <c r="D324" s="470" t="s">
        <v>749</v>
      </c>
      <c r="E324" s="471">
        <v>1937</v>
      </c>
      <c r="F324" s="470" t="s">
        <v>947</v>
      </c>
      <c r="G324" s="470" t="s">
        <v>751</v>
      </c>
      <c r="H324" s="470" t="s">
        <v>12</v>
      </c>
      <c r="I324" s="470" t="s">
        <v>948</v>
      </c>
      <c r="J324" s="472" t="s">
        <v>949</v>
      </c>
      <c r="K324" s="470" t="s">
        <v>950</v>
      </c>
      <c r="L324" s="470" t="s">
        <v>824</v>
      </c>
      <c r="M324" s="470" t="s">
        <v>824</v>
      </c>
      <c r="N324" s="470" t="s">
        <v>777</v>
      </c>
      <c r="O324" s="472" t="s">
        <v>757</v>
      </c>
      <c r="P324" s="472" t="s">
        <v>738</v>
      </c>
      <c r="Q324" s="472" t="s">
        <v>758</v>
      </c>
      <c r="R324" s="472" t="s">
        <v>12</v>
      </c>
      <c r="S324" s="472" t="s">
        <v>12</v>
      </c>
      <c r="T324" s="472" t="s">
        <v>951</v>
      </c>
      <c r="U324" s="470" t="s">
        <v>952</v>
      </c>
      <c r="V324" s="470" t="s">
        <v>761</v>
      </c>
      <c r="W324" s="470" t="s">
        <v>859</v>
      </c>
      <c r="X324" s="470">
        <v>30</v>
      </c>
      <c r="Y324" s="470">
        <v>0</v>
      </c>
      <c r="Z324" s="470">
        <v>0</v>
      </c>
      <c r="AA324" s="470">
        <v>30</v>
      </c>
      <c r="AB324" s="470">
        <v>30</v>
      </c>
      <c r="AC324" s="473">
        <v>31533</v>
      </c>
      <c r="AD324" s="473">
        <v>31533</v>
      </c>
      <c r="AE324" s="473">
        <v>14190</v>
      </c>
      <c r="AF324" s="473">
        <v>5676</v>
      </c>
      <c r="AG324" s="473">
        <v>1600</v>
      </c>
      <c r="AH324" s="473">
        <v>200</v>
      </c>
      <c r="AI324" s="473">
        <v>1250</v>
      </c>
      <c r="AJ324" s="473">
        <v>0</v>
      </c>
      <c r="AK324" s="473">
        <v>0</v>
      </c>
      <c r="AL324" s="473">
        <v>0</v>
      </c>
      <c r="AM324" s="473">
        <v>0</v>
      </c>
      <c r="AN324" s="473">
        <v>0</v>
      </c>
      <c r="AO324" s="473">
        <v>0</v>
      </c>
      <c r="AP324" s="473">
        <v>0</v>
      </c>
      <c r="AQ324" s="473">
        <v>1703</v>
      </c>
      <c r="AR324" s="473">
        <v>6914</v>
      </c>
      <c r="AS324" s="473">
        <v>0</v>
      </c>
      <c r="AT324" s="473">
        <v>0</v>
      </c>
      <c r="AU324" s="473">
        <v>2307</v>
      </c>
      <c r="AV324" s="473">
        <v>33840</v>
      </c>
      <c r="AW324" s="474">
        <v>31533</v>
      </c>
      <c r="AX324" s="473">
        <v>0</v>
      </c>
      <c r="AY324" s="473">
        <v>0</v>
      </c>
      <c r="AZ324" s="475">
        <v>0</v>
      </c>
      <c r="BA324" s="475">
        <v>200</v>
      </c>
      <c r="BB324" s="475">
        <v>1703</v>
      </c>
      <c r="BC324" s="475">
        <v>0</v>
      </c>
      <c r="BD324" s="475">
        <v>0</v>
      </c>
      <c r="BE324" s="475">
        <v>25</v>
      </c>
      <c r="BF324" s="475">
        <v>0</v>
      </c>
      <c r="BG324" s="475">
        <v>1928</v>
      </c>
      <c r="BH324" s="476">
        <v>31912</v>
      </c>
      <c r="BI324" s="467"/>
      <c r="BJ324" s="468"/>
    </row>
    <row r="325" spans="1:62">
      <c r="A325" s="469">
        <v>45809</v>
      </c>
      <c r="B325" s="469" t="s">
        <v>747</v>
      </c>
      <c r="C325" s="508" t="s">
        <v>748</v>
      </c>
      <c r="D325" s="470" t="s">
        <v>749</v>
      </c>
      <c r="E325" s="471">
        <v>382</v>
      </c>
      <c r="F325" s="470" t="s">
        <v>953</v>
      </c>
      <c r="G325" s="470" t="s">
        <v>751</v>
      </c>
      <c r="H325" s="470" t="s">
        <v>12</v>
      </c>
      <c r="I325" s="470" t="s">
        <v>954</v>
      </c>
      <c r="J325" s="472" t="s">
        <v>955</v>
      </c>
      <c r="K325" s="470" t="s">
        <v>956</v>
      </c>
      <c r="L325" s="470" t="s">
        <v>957</v>
      </c>
      <c r="M325" s="470" t="s">
        <v>957</v>
      </c>
      <c r="N325" s="470" t="s">
        <v>833</v>
      </c>
      <c r="O325" s="472" t="s">
        <v>757</v>
      </c>
      <c r="P325" s="472" t="s">
        <v>738</v>
      </c>
      <c r="Q325" s="472" t="s">
        <v>758</v>
      </c>
      <c r="R325" s="472" t="s">
        <v>12</v>
      </c>
      <c r="S325" s="472" t="s">
        <v>12</v>
      </c>
      <c r="T325" s="472" t="s">
        <v>958</v>
      </c>
      <c r="U325" s="470" t="s">
        <v>959</v>
      </c>
      <c r="V325" s="470" t="s">
        <v>761</v>
      </c>
      <c r="W325" s="470" t="s">
        <v>960</v>
      </c>
      <c r="X325" s="470">
        <v>30</v>
      </c>
      <c r="Y325" s="470">
        <v>0</v>
      </c>
      <c r="Z325" s="470">
        <v>0</v>
      </c>
      <c r="AA325" s="470">
        <v>30</v>
      </c>
      <c r="AB325" s="470">
        <v>30</v>
      </c>
      <c r="AC325" s="473">
        <v>36950</v>
      </c>
      <c r="AD325" s="473">
        <v>36950</v>
      </c>
      <c r="AE325" s="473">
        <v>16628</v>
      </c>
      <c r="AF325" s="473">
        <v>6651</v>
      </c>
      <c r="AG325" s="473">
        <v>1600</v>
      </c>
      <c r="AH325" s="473">
        <v>200</v>
      </c>
      <c r="AI325" s="473">
        <v>1250</v>
      </c>
      <c r="AJ325" s="473">
        <v>0</v>
      </c>
      <c r="AK325" s="473">
        <v>0</v>
      </c>
      <c r="AL325" s="473">
        <v>0</v>
      </c>
      <c r="AM325" s="473">
        <v>0</v>
      </c>
      <c r="AN325" s="473">
        <v>0</v>
      </c>
      <c r="AO325" s="473">
        <v>0</v>
      </c>
      <c r="AP325" s="473">
        <v>0</v>
      </c>
      <c r="AQ325" s="473">
        <v>1800</v>
      </c>
      <c r="AR325" s="473">
        <v>8821</v>
      </c>
      <c r="AS325" s="473">
        <v>0</v>
      </c>
      <c r="AT325" s="473">
        <v>0</v>
      </c>
      <c r="AU325" s="473">
        <v>4682</v>
      </c>
      <c r="AV325" s="473">
        <v>41632</v>
      </c>
      <c r="AW325" s="474">
        <v>36950</v>
      </c>
      <c r="AX325" s="473">
        <v>0</v>
      </c>
      <c r="AY325" s="473">
        <v>0</v>
      </c>
      <c r="AZ325" s="475">
        <v>0</v>
      </c>
      <c r="BA325" s="475">
        <v>200</v>
      </c>
      <c r="BB325" s="475">
        <v>1800</v>
      </c>
      <c r="BC325" s="475">
        <v>0</v>
      </c>
      <c r="BD325" s="475">
        <v>0</v>
      </c>
      <c r="BE325" s="475">
        <v>25</v>
      </c>
      <c r="BF325" s="475">
        <v>0</v>
      </c>
      <c r="BG325" s="475">
        <v>2025</v>
      </c>
      <c r="BH325" s="476">
        <v>39607</v>
      </c>
      <c r="BI325" s="467"/>
      <c r="BJ325" s="468"/>
    </row>
    <row r="326" spans="1:62">
      <c r="A326" s="469">
        <v>45809</v>
      </c>
      <c r="B326" s="469" t="s">
        <v>747</v>
      </c>
      <c r="C326" s="508" t="s">
        <v>748</v>
      </c>
      <c r="D326" s="470" t="s">
        <v>749</v>
      </c>
      <c r="E326" s="471">
        <v>511</v>
      </c>
      <c r="F326" s="470" t="s">
        <v>961</v>
      </c>
      <c r="G326" s="470" t="s">
        <v>751</v>
      </c>
      <c r="H326" s="470" t="s">
        <v>12</v>
      </c>
      <c r="I326" s="470" t="s">
        <v>962</v>
      </c>
      <c r="J326" s="472" t="s">
        <v>963</v>
      </c>
      <c r="K326" s="470" t="s">
        <v>964</v>
      </c>
      <c r="L326" s="470" t="s">
        <v>957</v>
      </c>
      <c r="M326" s="470" t="s">
        <v>957</v>
      </c>
      <c r="N326" s="470" t="s">
        <v>833</v>
      </c>
      <c r="O326" s="472" t="s">
        <v>757</v>
      </c>
      <c r="P326" s="472" t="s">
        <v>738</v>
      </c>
      <c r="Q326" s="472" t="s">
        <v>758</v>
      </c>
      <c r="R326" s="472" t="s">
        <v>12</v>
      </c>
      <c r="S326" s="472" t="s">
        <v>12</v>
      </c>
      <c r="T326" s="472" t="s">
        <v>965</v>
      </c>
      <c r="U326" s="470" t="s">
        <v>966</v>
      </c>
      <c r="V326" s="470" t="s">
        <v>761</v>
      </c>
      <c r="W326" s="470" t="s">
        <v>845</v>
      </c>
      <c r="X326" s="470">
        <v>30</v>
      </c>
      <c r="Y326" s="470">
        <v>0</v>
      </c>
      <c r="Z326" s="470">
        <v>0</v>
      </c>
      <c r="AA326" s="470">
        <v>30</v>
      </c>
      <c r="AB326" s="470">
        <v>30</v>
      </c>
      <c r="AC326" s="473">
        <v>43308</v>
      </c>
      <c r="AD326" s="473">
        <v>43308</v>
      </c>
      <c r="AE326" s="473">
        <v>19489</v>
      </c>
      <c r="AF326" s="473">
        <v>7796</v>
      </c>
      <c r="AG326" s="473">
        <v>1600</v>
      </c>
      <c r="AH326" s="473">
        <v>200</v>
      </c>
      <c r="AI326" s="473">
        <v>1250</v>
      </c>
      <c r="AJ326" s="473">
        <v>1623</v>
      </c>
      <c r="AK326" s="473">
        <v>3898</v>
      </c>
      <c r="AL326" s="473">
        <v>2923</v>
      </c>
      <c r="AM326" s="473">
        <v>195</v>
      </c>
      <c r="AN326" s="473">
        <v>682</v>
      </c>
      <c r="AO326" s="473">
        <v>390</v>
      </c>
      <c r="AP326" s="473">
        <v>97</v>
      </c>
      <c r="AQ326" s="473">
        <v>1800</v>
      </c>
      <c r="AR326" s="473">
        <v>1365</v>
      </c>
      <c r="AS326" s="473">
        <v>0</v>
      </c>
      <c r="AT326" s="473">
        <v>0</v>
      </c>
      <c r="AU326" s="473">
        <v>4808</v>
      </c>
      <c r="AV326" s="473">
        <v>48116</v>
      </c>
      <c r="AW326" s="474">
        <v>43308</v>
      </c>
      <c r="AX326" s="473">
        <v>0</v>
      </c>
      <c r="AY326" s="473">
        <v>0</v>
      </c>
      <c r="AZ326" s="475">
        <v>0</v>
      </c>
      <c r="BA326" s="475">
        <v>200</v>
      </c>
      <c r="BB326" s="475">
        <v>1800</v>
      </c>
      <c r="BC326" s="475">
        <v>0</v>
      </c>
      <c r="BD326" s="475">
        <v>0</v>
      </c>
      <c r="BE326" s="475">
        <v>25</v>
      </c>
      <c r="BF326" s="475">
        <v>5000</v>
      </c>
      <c r="BG326" s="475">
        <v>7025</v>
      </c>
      <c r="BH326" s="476">
        <v>41091</v>
      </c>
      <c r="BI326" s="467"/>
      <c r="BJ326" s="468"/>
    </row>
    <row r="327" spans="1:62">
      <c r="A327" s="469">
        <v>45809</v>
      </c>
      <c r="B327" s="469" t="s">
        <v>747</v>
      </c>
      <c r="C327" s="508" t="s">
        <v>748</v>
      </c>
      <c r="D327" s="470" t="s">
        <v>749</v>
      </c>
      <c r="E327" s="471">
        <v>2062</v>
      </c>
      <c r="F327" s="470" t="s">
        <v>967</v>
      </c>
      <c r="G327" s="470" t="s">
        <v>751</v>
      </c>
      <c r="H327" s="470" t="s">
        <v>12</v>
      </c>
      <c r="I327" s="470" t="s">
        <v>968</v>
      </c>
      <c r="J327" s="472" t="s">
        <v>969</v>
      </c>
      <c r="K327" s="470" t="s">
        <v>970</v>
      </c>
      <c r="L327" s="470" t="s">
        <v>971</v>
      </c>
      <c r="M327" s="470" t="s">
        <v>971</v>
      </c>
      <c r="N327" s="470" t="s">
        <v>756</v>
      </c>
      <c r="O327" s="472" t="s">
        <v>792</v>
      </c>
      <c r="P327" s="472" t="s">
        <v>738</v>
      </c>
      <c r="Q327" s="472" t="s">
        <v>758</v>
      </c>
      <c r="R327" s="472" t="s">
        <v>12</v>
      </c>
      <c r="S327" s="472" t="s">
        <v>12</v>
      </c>
      <c r="T327" s="472" t="s">
        <v>972</v>
      </c>
      <c r="U327" s="470" t="s">
        <v>973</v>
      </c>
      <c r="V327" s="470" t="s">
        <v>761</v>
      </c>
      <c r="W327" s="470" t="s">
        <v>974</v>
      </c>
      <c r="X327" s="470">
        <v>30</v>
      </c>
      <c r="Y327" s="470">
        <v>0</v>
      </c>
      <c r="Z327" s="470">
        <v>0</v>
      </c>
      <c r="AA327" s="470">
        <v>30</v>
      </c>
      <c r="AB327" s="470">
        <v>30</v>
      </c>
      <c r="AC327" s="473">
        <v>181533</v>
      </c>
      <c r="AD327" s="473">
        <v>181533</v>
      </c>
      <c r="AE327" s="473">
        <v>81690</v>
      </c>
      <c r="AF327" s="473">
        <v>32676</v>
      </c>
      <c r="AG327" s="473">
        <v>1600</v>
      </c>
      <c r="AH327" s="473">
        <v>200</v>
      </c>
      <c r="AI327" s="473">
        <v>1250</v>
      </c>
      <c r="AJ327" s="473">
        <v>6805</v>
      </c>
      <c r="AK327" s="473">
        <v>16338</v>
      </c>
      <c r="AL327" s="473">
        <v>12254</v>
      </c>
      <c r="AM327" s="473">
        <v>817</v>
      </c>
      <c r="AN327" s="473">
        <v>2859</v>
      </c>
      <c r="AO327" s="473">
        <v>1634</v>
      </c>
      <c r="AP327" s="473">
        <v>408</v>
      </c>
      <c r="AQ327" s="473">
        <v>1800</v>
      </c>
      <c r="AR327" s="473">
        <v>21202</v>
      </c>
      <c r="AS327" s="473">
        <v>0</v>
      </c>
      <c r="AT327" s="473">
        <v>0</v>
      </c>
      <c r="AU327" s="473">
        <v>2070</v>
      </c>
      <c r="AV327" s="473">
        <v>183603</v>
      </c>
      <c r="AW327" s="474">
        <v>181533</v>
      </c>
      <c r="AX327" s="473">
        <v>0</v>
      </c>
      <c r="AY327" s="473">
        <v>0</v>
      </c>
      <c r="AZ327" s="475">
        <v>18411</v>
      </c>
      <c r="BA327" s="475">
        <v>200</v>
      </c>
      <c r="BB327" s="475">
        <v>1800</v>
      </c>
      <c r="BC327" s="475">
        <v>0</v>
      </c>
      <c r="BD327" s="475">
        <v>0</v>
      </c>
      <c r="BE327" s="475">
        <v>25</v>
      </c>
      <c r="BF327" s="475">
        <v>0</v>
      </c>
      <c r="BG327" s="475">
        <v>20436</v>
      </c>
      <c r="BH327" s="476">
        <v>163167</v>
      </c>
      <c r="BI327" s="467"/>
      <c r="BJ327" s="468"/>
    </row>
    <row r="328" spans="1:62">
      <c r="A328" s="469">
        <v>45809</v>
      </c>
      <c r="B328" s="469" t="s">
        <v>747</v>
      </c>
      <c r="C328" s="508" t="s">
        <v>748</v>
      </c>
      <c r="D328" s="470" t="s">
        <v>749</v>
      </c>
      <c r="E328" s="471">
        <v>1092</v>
      </c>
      <c r="F328" s="470" t="s">
        <v>975</v>
      </c>
      <c r="G328" s="470" t="s">
        <v>751</v>
      </c>
      <c r="H328" s="470" t="s">
        <v>12</v>
      </c>
      <c r="I328" s="470" t="s">
        <v>976</v>
      </c>
      <c r="J328" s="472" t="s">
        <v>977</v>
      </c>
      <c r="K328" s="470" t="s">
        <v>978</v>
      </c>
      <c r="L328" s="470" t="s">
        <v>979</v>
      </c>
      <c r="M328" s="470" t="s">
        <v>980</v>
      </c>
      <c r="N328" s="470" t="s">
        <v>833</v>
      </c>
      <c r="O328" s="472" t="s">
        <v>757</v>
      </c>
      <c r="P328" s="472" t="s">
        <v>738</v>
      </c>
      <c r="Q328" s="472" t="s">
        <v>758</v>
      </c>
      <c r="R328" s="472" t="s">
        <v>12</v>
      </c>
      <c r="S328" s="472" t="s">
        <v>12</v>
      </c>
      <c r="T328" s="472" t="s">
        <v>981</v>
      </c>
      <c r="U328" s="470" t="s">
        <v>982</v>
      </c>
      <c r="V328" s="470" t="s">
        <v>761</v>
      </c>
      <c r="W328" s="470" t="s">
        <v>762</v>
      </c>
      <c r="X328" s="470">
        <v>30</v>
      </c>
      <c r="Y328" s="470">
        <v>0</v>
      </c>
      <c r="Z328" s="470">
        <v>0</v>
      </c>
      <c r="AA328" s="470">
        <v>30</v>
      </c>
      <c r="AB328" s="470">
        <v>30</v>
      </c>
      <c r="AC328" s="473">
        <v>71927</v>
      </c>
      <c r="AD328" s="473">
        <v>71927</v>
      </c>
      <c r="AE328" s="473">
        <v>32367</v>
      </c>
      <c r="AF328" s="473">
        <v>12947</v>
      </c>
      <c r="AG328" s="473">
        <v>1600</v>
      </c>
      <c r="AH328" s="473">
        <v>200</v>
      </c>
      <c r="AI328" s="473">
        <v>1250</v>
      </c>
      <c r="AJ328" s="473">
        <v>2696</v>
      </c>
      <c r="AK328" s="473">
        <v>6473</v>
      </c>
      <c r="AL328" s="473">
        <v>4855</v>
      </c>
      <c r="AM328" s="473">
        <v>324</v>
      </c>
      <c r="AN328" s="473">
        <v>1133</v>
      </c>
      <c r="AO328" s="473">
        <v>647</v>
      </c>
      <c r="AP328" s="473">
        <v>162</v>
      </c>
      <c r="AQ328" s="473">
        <v>1800</v>
      </c>
      <c r="AR328" s="473">
        <v>5473</v>
      </c>
      <c r="AS328" s="473">
        <v>0</v>
      </c>
      <c r="AT328" s="473">
        <v>2500</v>
      </c>
      <c r="AU328" s="473">
        <v>1012</v>
      </c>
      <c r="AV328" s="473">
        <v>75439</v>
      </c>
      <c r="AW328" s="474">
        <v>74427</v>
      </c>
      <c r="AX328" s="473">
        <v>0</v>
      </c>
      <c r="AY328" s="473">
        <v>0</v>
      </c>
      <c r="AZ328" s="475">
        <v>0</v>
      </c>
      <c r="BA328" s="475">
        <v>200</v>
      </c>
      <c r="BB328" s="475">
        <v>1800</v>
      </c>
      <c r="BC328" s="475">
        <v>0</v>
      </c>
      <c r="BD328" s="475">
        <v>0</v>
      </c>
      <c r="BE328" s="475">
        <v>25</v>
      </c>
      <c r="BF328" s="475">
        <v>0</v>
      </c>
      <c r="BG328" s="475">
        <v>2025</v>
      </c>
      <c r="BH328" s="476">
        <v>73414</v>
      </c>
      <c r="BI328" s="467"/>
      <c r="BJ328" s="468"/>
    </row>
    <row r="329" spans="1:62">
      <c r="A329" s="469">
        <v>45809</v>
      </c>
      <c r="B329" s="469" t="s">
        <v>747</v>
      </c>
      <c r="C329" s="508" t="s">
        <v>748</v>
      </c>
      <c r="D329" s="470" t="s">
        <v>749</v>
      </c>
      <c r="E329" s="471">
        <v>1506</v>
      </c>
      <c r="F329" s="470" t="s">
        <v>983</v>
      </c>
      <c r="G329" s="470" t="s">
        <v>751</v>
      </c>
      <c r="H329" s="470" t="s">
        <v>12</v>
      </c>
      <c r="I329" s="470" t="s">
        <v>984</v>
      </c>
      <c r="J329" s="472" t="s">
        <v>985</v>
      </c>
      <c r="K329" s="470" t="s">
        <v>986</v>
      </c>
      <c r="L329" s="470" t="s">
        <v>987</v>
      </c>
      <c r="M329" s="470" t="s">
        <v>987</v>
      </c>
      <c r="N329" s="470" t="s">
        <v>756</v>
      </c>
      <c r="O329" s="472" t="s">
        <v>757</v>
      </c>
      <c r="P329" s="472" t="s">
        <v>738</v>
      </c>
      <c r="Q329" s="472" t="s">
        <v>758</v>
      </c>
      <c r="R329" s="472" t="s">
        <v>12</v>
      </c>
      <c r="S329" s="472" t="s">
        <v>12</v>
      </c>
      <c r="T329" s="472" t="s">
        <v>988</v>
      </c>
      <c r="U329" s="470" t="s">
        <v>989</v>
      </c>
      <c r="V329" s="470" t="s">
        <v>761</v>
      </c>
      <c r="W329" s="470" t="s">
        <v>762</v>
      </c>
      <c r="X329" s="470">
        <v>30</v>
      </c>
      <c r="Y329" s="470">
        <v>0</v>
      </c>
      <c r="Z329" s="470">
        <v>3</v>
      </c>
      <c r="AA329" s="470">
        <v>27</v>
      </c>
      <c r="AB329" s="470">
        <v>27</v>
      </c>
      <c r="AC329" s="473">
        <v>49575</v>
      </c>
      <c r="AD329" s="473">
        <v>49575</v>
      </c>
      <c r="AE329" s="473">
        <v>20078</v>
      </c>
      <c r="AF329" s="473">
        <v>8031</v>
      </c>
      <c r="AG329" s="473">
        <v>1440</v>
      </c>
      <c r="AH329" s="473">
        <v>180</v>
      </c>
      <c r="AI329" s="473">
        <v>1125</v>
      </c>
      <c r="AJ329" s="473">
        <v>1673</v>
      </c>
      <c r="AK329" s="473">
        <v>4016</v>
      </c>
      <c r="AL329" s="473">
        <v>3012</v>
      </c>
      <c r="AM329" s="473">
        <v>201</v>
      </c>
      <c r="AN329" s="473">
        <v>703</v>
      </c>
      <c r="AO329" s="473">
        <v>402</v>
      </c>
      <c r="AP329" s="473">
        <v>100</v>
      </c>
      <c r="AQ329" s="473">
        <v>1800</v>
      </c>
      <c r="AR329" s="473">
        <v>1857</v>
      </c>
      <c r="AS329" s="473">
        <v>0</v>
      </c>
      <c r="AT329" s="473">
        <v>0</v>
      </c>
      <c r="AU329" s="473">
        <v>0</v>
      </c>
      <c r="AV329" s="473">
        <v>44618</v>
      </c>
      <c r="AW329" s="474">
        <v>44618</v>
      </c>
      <c r="AX329" s="473">
        <v>0</v>
      </c>
      <c r="AY329" s="473">
        <v>0</v>
      </c>
      <c r="AZ329" s="475">
        <v>0</v>
      </c>
      <c r="BA329" s="475">
        <v>200</v>
      </c>
      <c r="BB329" s="475">
        <v>1800</v>
      </c>
      <c r="BC329" s="475">
        <v>0</v>
      </c>
      <c r="BD329" s="475">
        <v>0</v>
      </c>
      <c r="BE329" s="475">
        <v>25</v>
      </c>
      <c r="BF329" s="475">
        <v>0</v>
      </c>
      <c r="BG329" s="475">
        <v>2025</v>
      </c>
      <c r="BH329" s="476">
        <v>42593</v>
      </c>
      <c r="BI329" s="467"/>
      <c r="BJ329" s="468"/>
    </row>
    <row r="330" spans="1:62">
      <c r="A330" s="469">
        <v>45809</v>
      </c>
      <c r="B330" s="469" t="s">
        <v>747</v>
      </c>
      <c r="C330" s="508" t="s">
        <v>748</v>
      </c>
      <c r="D330" s="470" t="s">
        <v>749</v>
      </c>
      <c r="E330" s="471">
        <v>1700</v>
      </c>
      <c r="F330" s="470" t="s">
        <v>990</v>
      </c>
      <c r="G330" s="470" t="s">
        <v>751</v>
      </c>
      <c r="H330" s="470" t="s">
        <v>12</v>
      </c>
      <c r="I330" s="470" t="s">
        <v>991</v>
      </c>
      <c r="J330" s="472" t="s">
        <v>992</v>
      </c>
      <c r="K330" s="470" t="s">
        <v>993</v>
      </c>
      <c r="L330" s="470" t="s">
        <v>994</v>
      </c>
      <c r="M330" s="470" t="s">
        <v>994</v>
      </c>
      <c r="N330" s="470" t="s">
        <v>777</v>
      </c>
      <c r="O330" s="472" t="s">
        <v>757</v>
      </c>
      <c r="P330" s="472" t="s">
        <v>738</v>
      </c>
      <c r="Q330" s="472" t="s">
        <v>758</v>
      </c>
      <c r="R330" s="472" t="s">
        <v>12</v>
      </c>
      <c r="S330" s="472" t="s">
        <v>12</v>
      </c>
      <c r="T330" s="472" t="s">
        <v>995</v>
      </c>
      <c r="U330" s="470" t="s">
        <v>996</v>
      </c>
      <c r="V330" s="470" t="s">
        <v>761</v>
      </c>
      <c r="W330" s="470" t="s">
        <v>859</v>
      </c>
      <c r="X330" s="470">
        <v>30</v>
      </c>
      <c r="Y330" s="470">
        <v>0</v>
      </c>
      <c r="Z330" s="470">
        <v>0</v>
      </c>
      <c r="AA330" s="470">
        <v>30</v>
      </c>
      <c r="AB330" s="470">
        <v>30</v>
      </c>
      <c r="AC330" s="473">
        <v>79907</v>
      </c>
      <c r="AD330" s="473">
        <v>79907</v>
      </c>
      <c r="AE330" s="473">
        <v>35958</v>
      </c>
      <c r="AF330" s="473">
        <v>14383</v>
      </c>
      <c r="AG330" s="473">
        <v>1600</v>
      </c>
      <c r="AH330" s="473">
        <v>200</v>
      </c>
      <c r="AI330" s="473">
        <v>1250</v>
      </c>
      <c r="AJ330" s="473">
        <v>2995</v>
      </c>
      <c r="AK330" s="473">
        <v>7192</v>
      </c>
      <c r="AL330" s="473">
        <v>5394</v>
      </c>
      <c r="AM330" s="473">
        <v>360</v>
      </c>
      <c r="AN330" s="473">
        <v>1259</v>
      </c>
      <c r="AO330" s="473">
        <v>719</v>
      </c>
      <c r="AP330" s="473">
        <v>180</v>
      </c>
      <c r="AQ330" s="473">
        <v>1800</v>
      </c>
      <c r="AR330" s="473">
        <v>6617</v>
      </c>
      <c r="AS330" s="473">
        <v>0</v>
      </c>
      <c r="AT330" s="473">
        <v>0</v>
      </c>
      <c r="AU330" s="473">
        <v>2473</v>
      </c>
      <c r="AV330" s="473">
        <v>82380</v>
      </c>
      <c r="AW330" s="474">
        <v>79907</v>
      </c>
      <c r="AX330" s="473">
        <v>0</v>
      </c>
      <c r="AY330" s="473">
        <v>0</v>
      </c>
      <c r="AZ330" s="475">
        <v>0</v>
      </c>
      <c r="BA330" s="475">
        <v>200</v>
      </c>
      <c r="BB330" s="475">
        <v>1800</v>
      </c>
      <c r="BC330" s="475">
        <v>0</v>
      </c>
      <c r="BD330" s="475">
        <v>0</v>
      </c>
      <c r="BE330" s="475">
        <v>25</v>
      </c>
      <c r="BF330" s="475">
        <v>0</v>
      </c>
      <c r="BG330" s="475">
        <v>2025</v>
      </c>
      <c r="BH330" s="476">
        <v>80355</v>
      </c>
      <c r="BI330" s="467"/>
      <c r="BJ330" s="468"/>
    </row>
    <row r="331" spans="1:62">
      <c r="A331" s="469">
        <v>45809</v>
      </c>
      <c r="B331" s="469" t="s">
        <v>747</v>
      </c>
      <c r="C331" s="508" t="s">
        <v>748</v>
      </c>
      <c r="D331" s="470" t="s">
        <v>749</v>
      </c>
      <c r="E331" s="471">
        <v>435</v>
      </c>
      <c r="F331" s="470" t="s">
        <v>997</v>
      </c>
      <c r="G331" s="470" t="s">
        <v>751</v>
      </c>
      <c r="H331" s="470" t="s">
        <v>12</v>
      </c>
      <c r="I331" s="470" t="s">
        <v>998</v>
      </c>
      <c r="J331" s="472" t="s">
        <v>999</v>
      </c>
      <c r="K331" s="470" t="s">
        <v>1000</v>
      </c>
      <c r="L331" s="470" t="s">
        <v>832</v>
      </c>
      <c r="M331" s="470" t="s">
        <v>832</v>
      </c>
      <c r="N331" s="470" t="s">
        <v>833</v>
      </c>
      <c r="O331" s="472" t="s">
        <v>757</v>
      </c>
      <c r="P331" s="472" t="s">
        <v>738</v>
      </c>
      <c r="Q331" s="472" t="s">
        <v>758</v>
      </c>
      <c r="R331" s="472" t="s">
        <v>12</v>
      </c>
      <c r="S331" s="472" t="s">
        <v>12</v>
      </c>
      <c r="T331" s="472" t="s">
        <v>1001</v>
      </c>
      <c r="U331" s="470" t="s">
        <v>1002</v>
      </c>
      <c r="V331" s="470" t="s">
        <v>761</v>
      </c>
      <c r="W331" s="470" t="s">
        <v>762</v>
      </c>
      <c r="X331" s="470">
        <v>30</v>
      </c>
      <c r="Y331" s="470">
        <v>0</v>
      </c>
      <c r="Z331" s="470">
        <v>0</v>
      </c>
      <c r="AA331" s="470">
        <v>30</v>
      </c>
      <c r="AB331" s="470">
        <v>30</v>
      </c>
      <c r="AC331" s="473">
        <v>33167</v>
      </c>
      <c r="AD331" s="473">
        <v>33167</v>
      </c>
      <c r="AE331" s="473">
        <v>14925</v>
      </c>
      <c r="AF331" s="473">
        <v>5970</v>
      </c>
      <c r="AG331" s="473">
        <v>1600</v>
      </c>
      <c r="AH331" s="473">
        <v>200</v>
      </c>
      <c r="AI331" s="473">
        <v>1250</v>
      </c>
      <c r="AJ331" s="473">
        <v>0</v>
      </c>
      <c r="AK331" s="473">
        <v>0</v>
      </c>
      <c r="AL331" s="473">
        <v>0</v>
      </c>
      <c r="AM331" s="473">
        <v>0</v>
      </c>
      <c r="AN331" s="473">
        <v>0</v>
      </c>
      <c r="AO331" s="473">
        <v>0</v>
      </c>
      <c r="AP331" s="473">
        <v>0</v>
      </c>
      <c r="AQ331" s="473">
        <v>1791</v>
      </c>
      <c r="AR331" s="473">
        <v>7431</v>
      </c>
      <c r="AS331" s="473">
        <v>0</v>
      </c>
      <c r="AT331" s="473">
        <v>0</v>
      </c>
      <c r="AU331" s="473">
        <v>9661</v>
      </c>
      <c r="AV331" s="473">
        <v>42828</v>
      </c>
      <c r="AW331" s="474">
        <v>33167</v>
      </c>
      <c r="AX331" s="473">
        <v>0</v>
      </c>
      <c r="AY331" s="473">
        <v>0</v>
      </c>
      <c r="AZ331" s="475">
        <v>0</v>
      </c>
      <c r="BA331" s="475">
        <v>200</v>
      </c>
      <c r="BB331" s="475">
        <v>1791</v>
      </c>
      <c r="BC331" s="475">
        <v>0</v>
      </c>
      <c r="BD331" s="475">
        <v>0</v>
      </c>
      <c r="BE331" s="475">
        <v>25</v>
      </c>
      <c r="BF331" s="475">
        <v>0</v>
      </c>
      <c r="BG331" s="475">
        <v>2016</v>
      </c>
      <c r="BH331" s="476">
        <v>40812</v>
      </c>
      <c r="BI331" s="467"/>
      <c r="BJ331" s="468"/>
    </row>
    <row r="332" spans="1:62">
      <c r="A332" s="469">
        <v>45809</v>
      </c>
      <c r="B332" s="469" t="s">
        <v>747</v>
      </c>
      <c r="C332" s="508" t="s">
        <v>748</v>
      </c>
      <c r="D332" s="470" t="s">
        <v>749</v>
      </c>
      <c r="E332" s="471">
        <v>1033</v>
      </c>
      <c r="F332" s="470" t="s">
        <v>668</v>
      </c>
      <c r="G332" s="470" t="s">
        <v>751</v>
      </c>
      <c r="H332" s="470" t="s">
        <v>12</v>
      </c>
      <c r="I332" s="470" t="s">
        <v>1003</v>
      </c>
      <c r="J332" s="472" t="s">
        <v>1004</v>
      </c>
      <c r="K332" s="470" t="s">
        <v>1005</v>
      </c>
      <c r="L332" s="470" t="s">
        <v>918</v>
      </c>
      <c r="M332" s="470" t="s">
        <v>1006</v>
      </c>
      <c r="N332" s="470" t="s">
        <v>777</v>
      </c>
      <c r="O332" s="472" t="s">
        <v>757</v>
      </c>
      <c r="P332" s="472" t="s">
        <v>738</v>
      </c>
      <c r="Q332" s="472" t="s">
        <v>758</v>
      </c>
      <c r="R332" s="472" t="s">
        <v>12</v>
      </c>
      <c r="S332" s="472" t="s">
        <v>12</v>
      </c>
      <c r="T332" s="472" t="s">
        <v>1007</v>
      </c>
      <c r="U332" s="470" t="s">
        <v>1008</v>
      </c>
      <c r="V332" s="470" t="s">
        <v>761</v>
      </c>
      <c r="W332" s="470" t="s">
        <v>1009</v>
      </c>
      <c r="X332" s="470">
        <v>30</v>
      </c>
      <c r="Y332" s="470">
        <v>0</v>
      </c>
      <c r="Z332" s="470">
        <v>0</v>
      </c>
      <c r="AA332" s="470">
        <v>30</v>
      </c>
      <c r="AB332" s="470">
        <v>30</v>
      </c>
      <c r="AC332" s="473">
        <v>118333</v>
      </c>
      <c r="AD332" s="473">
        <v>118333</v>
      </c>
      <c r="AE332" s="473">
        <v>53250</v>
      </c>
      <c r="AF332" s="473">
        <v>21300</v>
      </c>
      <c r="AG332" s="473">
        <v>1600</v>
      </c>
      <c r="AH332" s="473">
        <v>200</v>
      </c>
      <c r="AI332" s="473">
        <v>1250</v>
      </c>
      <c r="AJ332" s="473">
        <v>4436</v>
      </c>
      <c r="AK332" s="473">
        <v>10650</v>
      </c>
      <c r="AL332" s="473">
        <v>7988</v>
      </c>
      <c r="AM332" s="473">
        <v>533</v>
      </c>
      <c r="AN332" s="473">
        <v>1864</v>
      </c>
      <c r="AO332" s="473">
        <v>1065</v>
      </c>
      <c r="AP332" s="473">
        <v>266</v>
      </c>
      <c r="AQ332" s="473">
        <v>1800</v>
      </c>
      <c r="AR332" s="473">
        <v>12131</v>
      </c>
      <c r="AS332" s="473">
        <v>0</v>
      </c>
      <c r="AT332" s="473">
        <v>0</v>
      </c>
      <c r="AU332" s="473">
        <v>1629</v>
      </c>
      <c r="AV332" s="473">
        <v>119962</v>
      </c>
      <c r="AW332" s="474">
        <v>118333</v>
      </c>
      <c r="AX332" s="473">
        <v>0</v>
      </c>
      <c r="AY332" s="473">
        <v>0</v>
      </c>
      <c r="AZ332" s="475">
        <v>9383</v>
      </c>
      <c r="BA332" s="475">
        <v>200</v>
      </c>
      <c r="BB332" s="475">
        <v>1800</v>
      </c>
      <c r="BC332" s="475">
        <v>0</v>
      </c>
      <c r="BD332" s="475">
        <v>0</v>
      </c>
      <c r="BE332" s="475">
        <v>25</v>
      </c>
      <c r="BF332" s="475">
        <v>12500</v>
      </c>
      <c r="BG332" s="475">
        <v>23908</v>
      </c>
      <c r="BH332" s="476">
        <v>96054</v>
      </c>
      <c r="BI332" s="467"/>
      <c r="BJ332" s="468"/>
    </row>
    <row r="333" spans="1:62">
      <c r="A333" s="469">
        <v>45809</v>
      </c>
      <c r="B333" s="469" t="s">
        <v>747</v>
      </c>
      <c r="C333" s="508" t="s">
        <v>748</v>
      </c>
      <c r="D333" s="470" t="s">
        <v>749</v>
      </c>
      <c r="E333" s="471">
        <v>927</v>
      </c>
      <c r="F333" s="470" t="s">
        <v>1010</v>
      </c>
      <c r="G333" s="470" t="s">
        <v>751</v>
      </c>
      <c r="H333" s="470" t="s">
        <v>12</v>
      </c>
      <c r="I333" s="470" t="s">
        <v>1011</v>
      </c>
      <c r="J333" s="472" t="s">
        <v>1012</v>
      </c>
      <c r="K333" s="470" t="s">
        <v>1013</v>
      </c>
      <c r="L333" s="470" t="s">
        <v>816</v>
      </c>
      <c r="M333" s="470" t="s">
        <v>816</v>
      </c>
      <c r="N333" s="470" t="s">
        <v>777</v>
      </c>
      <c r="O333" s="472" t="s">
        <v>757</v>
      </c>
      <c r="P333" s="472" t="s">
        <v>738</v>
      </c>
      <c r="Q333" s="472" t="s">
        <v>758</v>
      </c>
      <c r="R333" s="472" t="s">
        <v>12</v>
      </c>
      <c r="S333" s="472" t="s">
        <v>12</v>
      </c>
      <c r="T333" s="472" t="s">
        <v>1014</v>
      </c>
      <c r="U333" s="470" t="s">
        <v>1015</v>
      </c>
      <c r="V333" s="470" t="s">
        <v>836</v>
      </c>
      <c r="W333" s="470" t="s">
        <v>837</v>
      </c>
      <c r="X333" s="470">
        <v>30</v>
      </c>
      <c r="Y333" s="470">
        <v>0</v>
      </c>
      <c r="Z333" s="470">
        <v>0</v>
      </c>
      <c r="AA333" s="470">
        <v>12</v>
      </c>
      <c r="AB333" s="470">
        <v>12</v>
      </c>
      <c r="AC333" s="473">
        <v>72867</v>
      </c>
      <c r="AD333" s="473">
        <v>72867</v>
      </c>
      <c r="AE333" s="473">
        <v>13116</v>
      </c>
      <c r="AF333" s="473">
        <v>5246</v>
      </c>
      <c r="AG333" s="473">
        <v>640</v>
      </c>
      <c r="AH333" s="473">
        <v>200</v>
      </c>
      <c r="AI333" s="473">
        <v>500</v>
      </c>
      <c r="AJ333" s="473">
        <v>1093</v>
      </c>
      <c r="AK333" s="473">
        <v>2623</v>
      </c>
      <c r="AL333" s="473">
        <v>1967</v>
      </c>
      <c r="AM333" s="473">
        <v>131</v>
      </c>
      <c r="AN333" s="473">
        <v>459</v>
      </c>
      <c r="AO333" s="473">
        <v>262</v>
      </c>
      <c r="AP333" s="473">
        <v>66</v>
      </c>
      <c r="AQ333" s="473">
        <v>1574</v>
      </c>
      <c r="AR333" s="473">
        <v>1270</v>
      </c>
      <c r="AS333" s="473">
        <v>0</v>
      </c>
      <c r="AT333" s="473">
        <v>0</v>
      </c>
      <c r="AU333" s="473">
        <v>2321</v>
      </c>
      <c r="AV333" s="473">
        <v>31468</v>
      </c>
      <c r="AW333" s="474">
        <v>29147</v>
      </c>
      <c r="AX333" s="473">
        <v>0</v>
      </c>
      <c r="AY333" s="473">
        <v>0</v>
      </c>
      <c r="AZ333" s="475">
        <v>0</v>
      </c>
      <c r="BA333" s="475">
        <v>200</v>
      </c>
      <c r="BB333" s="475">
        <v>1574</v>
      </c>
      <c r="BC333" s="475">
        <v>0</v>
      </c>
      <c r="BD333" s="475">
        <v>0</v>
      </c>
      <c r="BE333" s="475">
        <v>25</v>
      </c>
      <c r="BF333" s="475">
        <v>0</v>
      </c>
      <c r="BG333" s="475">
        <v>1799</v>
      </c>
      <c r="BH333" s="476">
        <v>29669</v>
      </c>
      <c r="BI333" s="467"/>
      <c r="BJ333" s="468"/>
    </row>
    <row r="334" spans="1:62">
      <c r="A334" s="469">
        <v>45809</v>
      </c>
      <c r="B334" s="469" t="s">
        <v>747</v>
      </c>
      <c r="C334" s="508" t="s">
        <v>748</v>
      </c>
      <c r="D334" s="470" t="s">
        <v>749</v>
      </c>
      <c r="E334" s="471">
        <v>1086</v>
      </c>
      <c r="F334" s="470" t="s">
        <v>1016</v>
      </c>
      <c r="G334" s="470" t="s">
        <v>812</v>
      </c>
      <c r="H334" s="470" t="s">
        <v>12</v>
      </c>
      <c r="I334" s="470" t="s">
        <v>1017</v>
      </c>
      <c r="J334" s="472" t="s">
        <v>1018</v>
      </c>
      <c r="K334" s="470" t="s">
        <v>1019</v>
      </c>
      <c r="L334" s="470" t="s">
        <v>1020</v>
      </c>
      <c r="M334" s="470" t="s">
        <v>1020</v>
      </c>
      <c r="N334" s="470" t="s">
        <v>777</v>
      </c>
      <c r="O334" s="472" t="s">
        <v>792</v>
      </c>
      <c r="P334" s="472" t="s">
        <v>738</v>
      </c>
      <c r="Q334" s="472" t="s">
        <v>758</v>
      </c>
      <c r="R334" s="472" t="s">
        <v>12</v>
      </c>
      <c r="S334" s="472" t="s">
        <v>12</v>
      </c>
      <c r="T334" s="472" t="s">
        <v>1021</v>
      </c>
      <c r="U334" s="470" t="s">
        <v>1022</v>
      </c>
      <c r="V334" s="470" t="s">
        <v>761</v>
      </c>
      <c r="W334" s="470" t="s">
        <v>771</v>
      </c>
      <c r="X334" s="470">
        <v>30</v>
      </c>
      <c r="Y334" s="470">
        <v>0</v>
      </c>
      <c r="Z334" s="470">
        <v>2</v>
      </c>
      <c r="AA334" s="470">
        <v>28</v>
      </c>
      <c r="AB334" s="470">
        <v>28</v>
      </c>
      <c r="AC334" s="473">
        <v>60208</v>
      </c>
      <c r="AD334" s="473">
        <v>60208</v>
      </c>
      <c r="AE334" s="473">
        <v>25287</v>
      </c>
      <c r="AF334" s="473">
        <v>10115</v>
      </c>
      <c r="AG334" s="473">
        <v>1493</v>
      </c>
      <c r="AH334" s="473">
        <v>187</v>
      </c>
      <c r="AI334" s="473">
        <v>1167</v>
      </c>
      <c r="AJ334" s="473">
        <v>2106</v>
      </c>
      <c r="AK334" s="473">
        <v>5057</v>
      </c>
      <c r="AL334" s="473">
        <v>3793</v>
      </c>
      <c r="AM334" s="473">
        <v>253</v>
      </c>
      <c r="AN334" s="473">
        <v>885</v>
      </c>
      <c r="AO334" s="473">
        <v>506</v>
      </c>
      <c r="AP334" s="473">
        <v>126</v>
      </c>
      <c r="AQ334" s="473">
        <v>1800</v>
      </c>
      <c r="AR334" s="473">
        <v>3419</v>
      </c>
      <c r="AS334" s="473">
        <v>0</v>
      </c>
      <c r="AT334" s="473">
        <v>0</v>
      </c>
      <c r="AU334" s="473">
        <v>1149</v>
      </c>
      <c r="AV334" s="473">
        <v>57343</v>
      </c>
      <c r="AW334" s="474">
        <v>56194</v>
      </c>
      <c r="AX334" s="473">
        <v>0</v>
      </c>
      <c r="AY334" s="473">
        <v>0</v>
      </c>
      <c r="AZ334" s="475">
        <v>0</v>
      </c>
      <c r="BA334" s="475">
        <v>200</v>
      </c>
      <c r="BB334" s="475">
        <v>1800</v>
      </c>
      <c r="BC334" s="475">
        <v>0</v>
      </c>
      <c r="BD334" s="475">
        <v>0</v>
      </c>
      <c r="BE334" s="475">
        <v>25</v>
      </c>
      <c r="BF334" s="475">
        <v>0</v>
      </c>
      <c r="BG334" s="475">
        <v>2025</v>
      </c>
      <c r="BH334" s="476">
        <v>55318</v>
      </c>
      <c r="BI334" s="467"/>
      <c r="BJ334" s="468"/>
    </row>
    <row r="335" spans="1:62">
      <c r="A335" s="469">
        <v>45809</v>
      </c>
      <c r="B335" s="469" t="s">
        <v>747</v>
      </c>
      <c r="C335" s="508" t="s">
        <v>748</v>
      </c>
      <c r="D335" s="470" t="s">
        <v>749</v>
      </c>
      <c r="E335" s="471">
        <v>737</v>
      </c>
      <c r="F335" s="470" t="s">
        <v>1023</v>
      </c>
      <c r="G335" s="470" t="s">
        <v>751</v>
      </c>
      <c r="H335" s="470" t="s">
        <v>12</v>
      </c>
      <c r="I335" s="470" t="s">
        <v>1024</v>
      </c>
      <c r="J335" s="472" t="s">
        <v>1025</v>
      </c>
      <c r="K335" s="470" t="s">
        <v>1026</v>
      </c>
      <c r="L335" s="470" t="s">
        <v>979</v>
      </c>
      <c r="M335" s="470" t="s">
        <v>1027</v>
      </c>
      <c r="N335" s="470" t="s">
        <v>833</v>
      </c>
      <c r="O335" s="472" t="s">
        <v>757</v>
      </c>
      <c r="P335" s="472" t="s">
        <v>738</v>
      </c>
      <c r="Q335" s="472" t="s">
        <v>739</v>
      </c>
      <c r="R335" s="472" t="s">
        <v>12</v>
      </c>
      <c r="S335" s="472" t="s">
        <v>1028</v>
      </c>
      <c r="T335" s="472" t="s">
        <v>1029</v>
      </c>
      <c r="U335" s="470" t="s">
        <v>1030</v>
      </c>
      <c r="V335" s="470" t="s">
        <v>761</v>
      </c>
      <c r="W335" s="470" t="s">
        <v>762</v>
      </c>
      <c r="X335" s="470">
        <v>30</v>
      </c>
      <c r="Y335" s="470">
        <v>0</v>
      </c>
      <c r="Z335" s="470">
        <v>0</v>
      </c>
      <c r="AA335" s="470">
        <v>30</v>
      </c>
      <c r="AB335" s="470">
        <v>30</v>
      </c>
      <c r="AC335" s="473">
        <v>22933</v>
      </c>
      <c r="AD335" s="473">
        <v>22933</v>
      </c>
      <c r="AE335" s="473">
        <v>10320</v>
      </c>
      <c r="AF335" s="473">
        <v>4128</v>
      </c>
      <c r="AG335" s="473">
        <v>1600</v>
      </c>
      <c r="AH335" s="473">
        <v>200</v>
      </c>
      <c r="AI335" s="473">
        <v>1250</v>
      </c>
      <c r="AJ335" s="473">
        <v>0</v>
      </c>
      <c r="AK335" s="473">
        <v>0</v>
      </c>
      <c r="AL335" s="473">
        <v>0</v>
      </c>
      <c r="AM335" s="473">
        <v>0</v>
      </c>
      <c r="AN335" s="473">
        <v>0</v>
      </c>
      <c r="AO335" s="473">
        <v>0</v>
      </c>
      <c r="AP335" s="473">
        <v>0</v>
      </c>
      <c r="AQ335" s="473">
        <v>1238</v>
      </c>
      <c r="AR335" s="473">
        <v>4197</v>
      </c>
      <c r="AS335" s="473">
        <v>0</v>
      </c>
      <c r="AT335" s="473">
        <v>0</v>
      </c>
      <c r="AU335" s="473">
        <v>1861</v>
      </c>
      <c r="AV335" s="473">
        <v>24794</v>
      </c>
      <c r="AW335" s="474">
        <v>22933</v>
      </c>
      <c r="AX335" s="473">
        <v>0</v>
      </c>
      <c r="AY335" s="473">
        <v>0</v>
      </c>
      <c r="AZ335" s="475">
        <v>0</v>
      </c>
      <c r="BA335" s="475">
        <v>200</v>
      </c>
      <c r="BB335" s="475">
        <v>1238</v>
      </c>
      <c r="BC335" s="475">
        <v>0</v>
      </c>
      <c r="BD335" s="475">
        <v>0</v>
      </c>
      <c r="BE335" s="475">
        <v>25</v>
      </c>
      <c r="BF335" s="475">
        <v>0</v>
      </c>
      <c r="BG335" s="475">
        <v>1463</v>
      </c>
      <c r="BH335" s="476">
        <v>23331</v>
      </c>
      <c r="BI335" s="467"/>
      <c r="BJ335" s="468"/>
    </row>
    <row r="336" spans="1:62">
      <c r="A336" s="469">
        <v>45809</v>
      </c>
      <c r="B336" s="469" t="s">
        <v>747</v>
      </c>
      <c r="C336" s="508" t="s">
        <v>748</v>
      </c>
      <c r="D336" s="470" t="s">
        <v>749</v>
      </c>
      <c r="E336" s="471">
        <v>649</v>
      </c>
      <c r="F336" s="470" t="s">
        <v>1031</v>
      </c>
      <c r="G336" s="470" t="s">
        <v>812</v>
      </c>
      <c r="H336" s="470" t="s">
        <v>12</v>
      </c>
      <c r="I336" s="470" t="s">
        <v>1032</v>
      </c>
      <c r="J336" s="472" t="s">
        <v>1033</v>
      </c>
      <c r="K336" s="470" t="s">
        <v>1034</v>
      </c>
      <c r="L336" s="470" t="s">
        <v>971</v>
      </c>
      <c r="M336" s="470" t="s">
        <v>1035</v>
      </c>
      <c r="N336" s="470" t="s">
        <v>833</v>
      </c>
      <c r="O336" s="472" t="s">
        <v>792</v>
      </c>
      <c r="P336" s="472" t="s">
        <v>738</v>
      </c>
      <c r="Q336" s="472" t="s">
        <v>758</v>
      </c>
      <c r="R336" s="472" t="s">
        <v>12</v>
      </c>
      <c r="S336" s="472" t="s">
        <v>12</v>
      </c>
      <c r="T336" s="472" t="s">
        <v>1036</v>
      </c>
      <c r="U336" s="470" t="s">
        <v>1037</v>
      </c>
      <c r="V336" s="470" t="s">
        <v>761</v>
      </c>
      <c r="W336" s="470" t="s">
        <v>762</v>
      </c>
      <c r="X336" s="470">
        <v>30</v>
      </c>
      <c r="Y336" s="470">
        <v>0</v>
      </c>
      <c r="Z336" s="470">
        <v>0.5</v>
      </c>
      <c r="AA336" s="470">
        <v>29.5</v>
      </c>
      <c r="AB336" s="470">
        <v>29.5</v>
      </c>
      <c r="AC336" s="473">
        <v>158333</v>
      </c>
      <c r="AD336" s="473">
        <v>158333</v>
      </c>
      <c r="AE336" s="473">
        <v>70062</v>
      </c>
      <c r="AF336" s="473">
        <v>28025</v>
      </c>
      <c r="AG336" s="473">
        <v>1573</v>
      </c>
      <c r="AH336" s="473">
        <v>197</v>
      </c>
      <c r="AI336" s="473">
        <v>1229</v>
      </c>
      <c r="AJ336" s="473">
        <v>5836</v>
      </c>
      <c r="AK336" s="473">
        <v>14012</v>
      </c>
      <c r="AL336" s="473">
        <v>10509</v>
      </c>
      <c r="AM336" s="473">
        <v>701</v>
      </c>
      <c r="AN336" s="473">
        <v>2452</v>
      </c>
      <c r="AO336" s="473">
        <v>1401</v>
      </c>
      <c r="AP336" s="473">
        <v>350</v>
      </c>
      <c r="AQ336" s="473">
        <v>1800</v>
      </c>
      <c r="AR336" s="473">
        <v>17547</v>
      </c>
      <c r="AS336" s="473">
        <v>0</v>
      </c>
      <c r="AT336" s="473">
        <v>0</v>
      </c>
      <c r="AU336" s="473">
        <v>0</v>
      </c>
      <c r="AV336" s="473">
        <v>155694</v>
      </c>
      <c r="AW336" s="474">
        <v>155694</v>
      </c>
      <c r="AX336" s="473">
        <v>0</v>
      </c>
      <c r="AY336" s="473">
        <v>0</v>
      </c>
      <c r="AZ336" s="475">
        <v>0</v>
      </c>
      <c r="BA336" s="475">
        <v>200</v>
      </c>
      <c r="BB336" s="475">
        <v>1800</v>
      </c>
      <c r="BC336" s="475">
        <v>0</v>
      </c>
      <c r="BD336" s="475">
        <v>0</v>
      </c>
      <c r="BE336" s="475">
        <v>25</v>
      </c>
      <c r="BF336" s="475">
        <v>0</v>
      </c>
      <c r="BG336" s="475">
        <v>2025</v>
      </c>
      <c r="BH336" s="476">
        <v>153669</v>
      </c>
      <c r="BI336" s="467"/>
      <c r="BJ336" s="468"/>
    </row>
    <row r="337" spans="1:62">
      <c r="A337" s="469">
        <v>45809</v>
      </c>
      <c r="B337" s="469" t="s">
        <v>747</v>
      </c>
      <c r="C337" s="508" t="s">
        <v>748</v>
      </c>
      <c r="D337" s="470" t="s">
        <v>749</v>
      </c>
      <c r="E337" s="471">
        <v>1746</v>
      </c>
      <c r="F337" s="470" t="s">
        <v>1038</v>
      </c>
      <c r="G337" s="470" t="s">
        <v>751</v>
      </c>
      <c r="H337" s="470" t="s">
        <v>12</v>
      </c>
      <c r="I337" s="470" t="s">
        <v>1039</v>
      </c>
      <c r="J337" s="472" t="s">
        <v>1040</v>
      </c>
      <c r="K337" s="470" t="s">
        <v>1041</v>
      </c>
      <c r="L337" s="470" t="s">
        <v>1042</v>
      </c>
      <c r="M337" s="470" t="s">
        <v>1042</v>
      </c>
      <c r="N337" s="470" t="s">
        <v>833</v>
      </c>
      <c r="O337" s="472" t="s">
        <v>1043</v>
      </c>
      <c r="P337" s="472" t="s">
        <v>738</v>
      </c>
      <c r="Q337" s="472" t="s">
        <v>758</v>
      </c>
      <c r="R337" s="472" t="s">
        <v>12</v>
      </c>
      <c r="S337" s="472" t="s">
        <v>12</v>
      </c>
      <c r="T337" s="472" t="s">
        <v>1044</v>
      </c>
      <c r="U337" s="470" t="s">
        <v>1045</v>
      </c>
      <c r="V337" s="470" t="s">
        <v>761</v>
      </c>
      <c r="W337" s="470" t="s">
        <v>762</v>
      </c>
      <c r="X337" s="470">
        <v>30</v>
      </c>
      <c r="Y337" s="470">
        <v>0</v>
      </c>
      <c r="Z337" s="470">
        <v>0</v>
      </c>
      <c r="AA337" s="470">
        <v>30</v>
      </c>
      <c r="AB337" s="470">
        <v>30</v>
      </c>
      <c r="AC337" s="473">
        <v>28500</v>
      </c>
      <c r="AD337" s="473">
        <v>28500</v>
      </c>
      <c r="AE337" s="473">
        <v>12825</v>
      </c>
      <c r="AF337" s="473">
        <v>5130</v>
      </c>
      <c r="AG337" s="473">
        <v>1600</v>
      </c>
      <c r="AH337" s="473">
        <v>200</v>
      </c>
      <c r="AI337" s="473">
        <v>1250</v>
      </c>
      <c r="AJ337" s="473">
        <v>0</v>
      </c>
      <c r="AK337" s="473">
        <v>0</v>
      </c>
      <c r="AL337" s="473">
        <v>0</v>
      </c>
      <c r="AM337" s="473">
        <v>0</v>
      </c>
      <c r="AN337" s="473">
        <v>0</v>
      </c>
      <c r="AO337" s="473">
        <v>0</v>
      </c>
      <c r="AP337" s="473">
        <v>0</v>
      </c>
      <c r="AQ337" s="473">
        <v>1539</v>
      </c>
      <c r="AR337" s="473">
        <v>5956</v>
      </c>
      <c r="AS337" s="473">
        <v>0</v>
      </c>
      <c r="AT337" s="473">
        <v>0</v>
      </c>
      <c r="AU337" s="473">
        <v>7679</v>
      </c>
      <c r="AV337" s="473">
        <v>36179</v>
      </c>
      <c r="AW337" s="474">
        <v>28500</v>
      </c>
      <c r="AX337" s="473">
        <v>0</v>
      </c>
      <c r="AY337" s="473">
        <v>0</v>
      </c>
      <c r="AZ337" s="475">
        <v>0</v>
      </c>
      <c r="BA337" s="475">
        <v>200</v>
      </c>
      <c r="BB337" s="475">
        <v>1539</v>
      </c>
      <c r="BC337" s="475">
        <v>0</v>
      </c>
      <c r="BD337" s="475">
        <v>0</v>
      </c>
      <c r="BE337" s="475">
        <v>25</v>
      </c>
      <c r="BF337" s="475">
        <v>0</v>
      </c>
      <c r="BG337" s="475">
        <v>1764</v>
      </c>
      <c r="BH337" s="476">
        <v>34415</v>
      </c>
      <c r="BI337" s="467"/>
      <c r="BJ337" s="468"/>
    </row>
    <row r="338" spans="1:62">
      <c r="A338" s="469">
        <v>45809</v>
      </c>
      <c r="B338" s="469" t="s">
        <v>747</v>
      </c>
      <c r="C338" s="508" t="s">
        <v>748</v>
      </c>
      <c r="D338" s="470" t="s">
        <v>749</v>
      </c>
      <c r="E338" s="471">
        <v>1771</v>
      </c>
      <c r="F338" s="470" t="s">
        <v>1046</v>
      </c>
      <c r="G338" s="470" t="s">
        <v>751</v>
      </c>
      <c r="H338" s="470" t="s">
        <v>12</v>
      </c>
      <c r="I338" s="470" t="s">
        <v>781</v>
      </c>
      <c r="J338" s="472" t="s">
        <v>1047</v>
      </c>
      <c r="K338" s="470" t="s">
        <v>1048</v>
      </c>
      <c r="L338" s="470" t="s">
        <v>776</v>
      </c>
      <c r="M338" s="470" t="s">
        <v>776</v>
      </c>
      <c r="N338" s="470" t="s">
        <v>777</v>
      </c>
      <c r="O338" s="472" t="s">
        <v>757</v>
      </c>
      <c r="P338" s="472" t="s">
        <v>738</v>
      </c>
      <c r="Q338" s="472" t="s">
        <v>758</v>
      </c>
      <c r="R338" s="472" t="s">
        <v>12</v>
      </c>
      <c r="S338" s="472" t="s">
        <v>12</v>
      </c>
      <c r="T338" s="472" t="s">
        <v>1049</v>
      </c>
      <c r="U338" s="470" t="s">
        <v>1050</v>
      </c>
      <c r="V338" s="470" t="s">
        <v>761</v>
      </c>
      <c r="W338" s="470" t="s">
        <v>795</v>
      </c>
      <c r="X338" s="470">
        <v>30</v>
      </c>
      <c r="Y338" s="470">
        <v>0</v>
      </c>
      <c r="Z338" s="470">
        <v>0</v>
      </c>
      <c r="AA338" s="470">
        <v>30</v>
      </c>
      <c r="AB338" s="470">
        <v>30</v>
      </c>
      <c r="AC338" s="473">
        <v>92504</v>
      </c>
      <c r="AD338" s="473">
        <v>92504</v>
      </c>
      <c r="AE338" s="473">
        <v>41627</v>
      </c>
      <c r="AF338" s="473">
        <v>16651</v>
      </c>
      <c r="AG338" s="473">
        <v>1600</v>
      </c>
      <c r="AH338" s="473">
        <v>200</v>
      </c>
      <c r="AI338" s="473">
        <v>1250</v>
      </c>
      <c r="AJ338" s="473">
        <v>3468</v>
      </c>
      <c r="AK338" s="473">
        <v>8325</v>
      </c>
      <c r="AL338" s="473">
        <v>6244</v>
      </c>
      <c r="AM338" s="473">
        <v>416</v>
      </c>
      <c r="AN338" s="473">
        <v>1457</v>
      </c>
      <c r="AO338" s="473">
        <v>833</v>
      </c>
      <c r="AP338" s="473">
        <v>208</v>
      </c>
      <c r="AQ338" s="473">
        <v>1800</v>
      </c>
      <c r="AR338" s="473">
        <v>8425</v>
      </c>
      <c r="AS338" s="473">
        <v>0</v>
      </c>
      <c r="AT338" s="473">
        <v>0</v>
      </c>
      <c r="AU338" s="473">
        <v>4455</v>
      </c>
      <c r="AV338" s="473">
        <v>96959</v>
      </c>
      <c r="AW338" s="474">
        <v>92504</v>
      </c>
      <c r="AX338" s="473">
        <v>0</v>
      </c>
      <c r="AY338" s="473">
        <v>0</v>
      </c>
      <c r="AZ338" s="475">
        <v>0</v>
      </c>
      <c r="BA338" s="475">
        <v>200</v>
      </c>
      <c r="BB338" s="475">
        <v>1800</v>
      </c>
      <c r="BC338" s="475">
        <v>0</v>
      </c>
      <c r="BD338" s="475">
        <v>0</v>
      </c>
      <c r="BE338" s="475">
        <v>25</v>
      </c>
      <c r="BF338" s="475">
        <v>0</v>
      </c>
      <c r="BG338" s="475">
        <v>2025</v>
      </c>
      <c r="BH338" s="476">
        <v>94934</v>
      </c>
      <c r="BI338" s="467"/>
      <c r="BJ338" s="468"/>
    </row>
    <row r="339" spans="1:62">
      <c r="A339" s="469">
        <v>45809</v>
      </c>
      <c r="B339" s="469" t="s">
        <v>747</v>
      </c>
      <c r="C339" s="508" t="s">
        <v>748</v>
      </c>
      <c r="D339" s="470" t="s">
        <v>749</v>
      </c>
      <c r="E339" s="471">
        <v>901</v>
      </c>
      <c r="F339" s="470" t="s">
        <v>1051</v>
      </c>
      <c r="G339" s="470" t="s">
        <v>751</v>
      </c>
      <c r="H339" s="470" t="s">
        <v>12</v>
      </c>
      <c r="I339" s="470" t="s">
        <v>1052</v>
      </c>
      <c r="J339" s="472" t="s">
        <v>1053</v>
      </c>
      <c r="K339" s="470" t="s">
        <v>1054</v>
      </c>
      <c r="L339" s="470" t="s">
        <v>994</v>
      </c>
      <c r="M339" s="470" t="s">
        <v>994</v>
      </c>
      <c r="N339" s="470" t="s">
        <v>777</v>
      </c>
      <c r="O339" s="472" t="s">
        <v>757</v>
      </c>
      <c r="P339" s="472" t="s">
        <v>738</v>
      </c>
      <c r="Q339" s="472" t="s">
        <v>758</v>
      </c>
      <c r="R339" s="472" t="s">
        <v>12</v>
      </c>
      <c r="S339" s="472" t="s">
        <v>12</v>
      </c>
      <c r="T339" s="472" t="s">
        <v>1055</v>
      </c>
      <c r="U339" s="470" t="s">
        <v>1056</v>
      </c>
      <c r="V339" s="470" t="s">
        <v>761</v>
      </c>
      <c r="W339" s="470" t="s">
        <v>810</v>
      </c>
      <c r="X339" s="470">
        <v>30</v>
      </c>
      <c r="Y339" s="470">
        <v>0</v>
      </c>
      <c r="Z339" s="470">
        <v>0</v>
      </c>
      <c r="AA339" s="470">
        <v>30</v>
      </c>
      <c r="AB339" s="470">
        <v>30</v>
      </c>
      <c r="AC339" s="473">
        <v>74042</v>
      </c>
      <c r="AD339" s="473">
        <v>74042</v>
      </c>
      <c r="AE339" s="473">
        <v>33319</v>
      </c>
      <c r="AF339" s="473">
        <v>13328</v>
      </c>
      <c r="AG339" s="473">
        <v>1600</v>
      </c>
      <c r="AH339" s="473">
        <v>200</v>
      </c>
      <c r="AI339" s="473">
        <v>1250</v>
      </c>
      <c r="AJ339" s="473">
        <v>2775</v>
      </c>
      <c r="AK339" s="473">
        <v>6664</v>
      </c>
      <c r="AL339" s="473">
        <v>4998</v>
      </c>
      <c r="AM339" s="473">
        <v>333</v>
      </c>
      <c r="AN339" s="473">
        <v>1166</v>
      </c>
      <c r="AO339" s="473">
        <v>666</v>
      </c>
      <c r="AP339" s="473">
        <v>167</v>
      </c>
      <c r="AQ339" s="473">
        <v>1800</v>
      </c>
      <c r="AR339" s="473">
        <v>5776</v>
      </c>
      <c r="AS339" s="473">
        <v>0</v>
      </c>
      <c r="AT339" s="473">
        <v>0</v>
      </c>
      <c r="AU339" s="473">
        <v>0</v>
      </c>
      <c r="AV339" s="473">
        <v>74042</v>
      </c>
      <c r="AW339" s="474">
        <v>74042</v>
      </c>
      <c r="AX339" s="473">
        <v>0</v>
      </c>
      <c r="AY339" s="473">
        <v>0</v>
      </c>
      <c r="AZ339" s="475">
        <v>0</v>
      </c>
      <c r="BA339" s="475">
        <v>200</v>
      </c>
      <c r="BB339" s="475">
        <v>1800</v>
      </c>
      <c r="BC339" s="475">
        <v>0</v>
      </c>
      <c r="BD339" s="475">
        <v>0</v>
      </c>
      <c r="BE339" s="475">
        <v>25</v>
      </c>
      <c r="BF339" s="475">
        <v>0</v>
      </c>
      <c r="BG339" s="475">
        <v>2025</v>
      </c>
      <c r="BH339" s="476">
        <v>72017</v>
      </c>
      <c r="BI339" s="467"/>
      <c r="BJ339" s="468"/>
    </row>
    <row r="340" spans="1:62">
      <c r="A340" s="469">
        <v>45809</v>
      </c>
      <c r="B340" s="469" t="s">
        <v>747</v>
      </c>
      <c r="C340" s="508" t="s">
        <v>748</v>
      </c>
      <c r="D340" s="470" t="s">
        <v>749</v>
      </c>
      <c r="E340" s="471">
        <v>1445</v>
      </c>
      <c r="F340" s="470" t="s">
        <v>1057</v>
      </c>
      <c r="G340" s="470" t="s">
        <v>751</v>
      </c>
      <c r="H340" s="470" t="s">
        <v>12</v>
      </c>
      <c r="I340" s="470" t="s">
        <v>1058</v>
      </c>
      <c r="J340" s="472" t="s">
        <v>1059</v>
      </c>
      <c r="K340" s="470" t="s">
        <v>1060</v>
      </c>
      <c r="L340" s="470" t="s">
        <v>800</v>
      </c>
      <c r="M340" s="470" t="s">
        <v>801</v>
      </c>
      <c r="N340" s="470" t="s">
        <v>756</v>
      </c>
      <c r="O340" s="472" t="s">
        <v>757</v>
      </c>
      <c r="P340" s="472" t="s">
        <v>738</v>
      </c>
      <c r="Q340" s="472" t="s">
        <v>758</v>
      </c>
      <c r="R340" s="472" t="s">
        <v>12</v>
      </c>
      <c r="S340" s="472" t="s">
        <v>12</v>
      </c>
      <c r="T340" s="472" t="s">
        <v>1061</v>
      </c>
      <c r="U340" s="470" t="s">
        <v>1062</v>
      </c>
      <c r="V340" s="470" t="s">
        <v>761</v>
      </c>
      <c r="W340" s="470" t="s">
        <v>1063</v>
      </c>
      <c r="X340" s="470">
        <v>30</v>
      </c>
      <c r="Y340" s="470">
        <v>0</v>
      </c>
      <c r="Z340" s="470">
        <v>1</v>
      </c>
      <c r="AA340" s="470">
        <v>29</v>
      </c>
      <c r="AB340" s="470">
        <v>29</v>
      </c>
      <c r="AC340" s="473">
        <v>50225</v>
      </c>
      <c r="AD340" s="473">
        <v>40317</v>
      </c>
      <c r="AE340" s="473">
        <v>17538</v>
      </c>
      <c r="AF340" s="473">
        <v>7015</v>
      </c>
      <c r="AG340" s="473">
        <v>1547</v>
      </c>
      <c r="AH340" s="473">
        <v>193</v>
      </c>
      <c r="AI340" s="473">
        <v>1208</v>
      </c>
      <c r="AJ340" s="473">
        <v>0</v>
      </c>
      <c r="AK340" s="473">
        <v>0</v>
      </c>
      <c r="AL340" s="473">
        <v>0</v>
      </c>
      <c r="AM340" s="473">
        <v>0</v>
      </c>
      <c r="AN340" s="473">
        <v>0</v>
      </c>
      <c r="AO340" s="473">
        <v>0</v>
      </c>
      <c r="AP340" s="473">
        <v>0</v>
      </c>
      <c r="AQ340" s="473">
        <v>1800</v>
      </c>
      <c r="AR340" s="473">
        <v>9672</v>
      </c>
      <c r="AS340" s="473">
        <v>0</v>
      </c>
      <c r="AT340" s="473">
        <v>1000</v>
      </c>
      <c r="AU340" s="473">
        <v>0</v>
      </c>
      <c r="AV340" s="473">
        <v>39973</v>
      </c>
      <c r="AW340" s="474">
        <v>39973</v>
      </c>
      <c r="AX340" s="473">
        <v>0</v>
      </c>
      <c r="AY340" s="473">
        <v>0</v>
      </c>
      <c r="AZ340" s="475">
        <v>0</v>
      </c>
      <c r="BA340" s="475">
        <v>200</v>
      </c>
      <c r="BB340" s="475">
        <v>1800</v>
      </c>
      <c r="BC340" s="475">
        <v>0</v>
      </c>
      <c r="BD340" s="475">
        <v>0</v>
      </c>
      <c r="BE340" s="475">
        <v>25</v>
      </c>
      <c r="BF340" s="475">
        <v>0</v>
      </c>
      <c r="BG340" s="475">
        <v>2025</v>
      </c>
      <c r="BH340" s="476">
        <v>37948</v>
      </c>
      <c r="BI340" s="467"/>
      <c r="BJ340" s="468"/>
    </row>
    <row r="341" spans="1:62">
      <c r="A341" s="469">
        <v>45809</v>
      </c>
      <c r="B341" s="469" t="s">
        <v>747</v>
      </c>
      <c r="C341" s="508" t="s">
        <v>748</v>
      </c>
      <c r="D341" s="470" t="s">
        <v>749</v>
      </c>
      <c r="E341" s="471">
        <v>1932</v>
      </c>
      <c r="F341" s="470" t="s">
        <v>1064</v>
      </c>
      <c r="G341" s="470" t="s">
        <v>751</v>
      </c>
      <c r="H341" s="470" t="s">
        <v>12</v>
      </c>
      <c r="I341" s="470" t="s">
        <v>1065</v>
      </c>
      <c r="J341" s="472" t="s">
        <v>1066</v>
      </c>
      <c r="K341" s="470" t="s">
        <v>1067</v>
      </c>
      <c r="L341" s="470" t="s">
        <v>1068</v>
      </c>
      <c r="M341" s="470" t="s">
        <v>1068</v>
      </c>
      <c r="N341" s="470" t="s">
        <v>756</v>
      </c>
      <c r="O341" s="472" t="s">
        <v>757</v>
      </c>
      <c r="P341" s="472" t="s">
        <v>738</v>
      </c>
      <c r="Q341" s="472" t="s">
        <v>758</v>
      </c>
      <c r="R341" s="472" t="s">
        <v>12</v>
      </c>
      <c r="S341" s="472" t="s">
        <v>12</v>
      </c>
      <c r="T341" s="472" t="s">
        <v>1069</v>
      </c>
      <c r="U341" s="470" t="s">
        <v>1070</v>
      </c>
      <c r="V341" s="470" t="s">
        <v>761</v>
      </c>
      <c r="W341" s="470" t="s">
        <v>859</v>
      </c>
      <c r="X341" s="470">
        <v>30</v>
      </c>
      <c r="Y341" s="470">
        <v>0</v>
      </c>
      <c r="Z341" s="470">
        <v>8</v>
      </c>
      <c r="AA341" s="470">
        <v>22</v>
      </c>
      <c r="AB341" s="470">
        <v>22</v>
      </c>
      <c r="AC341" s="473">
        <v>30700</v>
      </c>
      <c r="AD341" s="473">
        <v>30700</v>
      </c>
      <c r="AE341" s="473">
        <v>10131</v>
      </c>
      <c r="AF341" s="473">
        <v>4052</v>
      </c>
      <c r="AG341" s="473">
        <v>1173</v>
      </c>
      <c r="AH341" s="473">
        <v>147</v>
      </c>
      <c r="AI341" s="473">
        <v>917</v>
      </c>
      <c r="AJ341" s="473">
        <v>0</v>
      </c>
      <c r="AK341" s="473">
        <v>0</v>
      </c>
      <c r="AL341" s="473">
        <v>0</v>
      </c>
      <c r="AM341" s="473">
        <v>0</v>
      </c>
      <c r="AN341" s="473">
        <v>0</v>
      </c>
      <c r="AO341" s="473">
        <v>0</v>
      </c>
      <c r="AP341" s="473">
        <v>0</v>
      </c>
      <c r="AQ341" s="473">
        <v>1216</v>
      </c>
      <c r="AR341" s="473">
        <v>4877</v>
      </c>
      <c r="AS341" s="473">
        <v>0</v>
      </c>
      <c r="AT341" s="473">
        <v>0</v>
      </c>
      <c r="AU341" s="473">
        <v>979</v>
      </c>
      <c r="AV341" s="473">
        <v>23492</v>
      </c>
      <c r="AW341" s="474">
        <v>22513</v>
      </c>
      <c r="AX341" s="473">
        <v>0</v>
      </c>
      <c r="AY341" s="473">
        <v>0</v>
      </c>
      <c r="AZ341" s="475">
        <v>0</v>
      </c>
      <c r="BA341" s="475">
        <v>200</v>
      </c>
      <c r="BB341" s="475">
        <v>1216</v>
      </c>
      <c r="BC341" s="475">
        <v>0</v>
      </c>
      <c r="BD341" s="475">
        <v>0</v>
      </c>
      <c r="BE341" s="475">
        <v>25</v>
      </c>
      <c r="BF341" s="475">
        <v>0</v>
      </c>
      <c r="BG341" s="475">
        <v>1441</v>
      </c>
      <c r="BH341" s="476">
        <v>22051</v>
      </c>
      <c r="BI341" s="467"/>
      <c r="BJ341" s="468"/>
    </row>
    <row r="342" spans="1:62">
      <c r="A342" s="469">
        <v>45809</v>
      </c>
      <c r="B342" s="469" t="s">
        <v>747</v>
      </c>
      <c r="C342" s="508" t="s">
        <v>748</v>
      </c>
      <c r="D342" s="470" t="s">
        <v>749</v>
      </c>
      <c r="E342" s="471">
        <v>2014</v>
      </c>
      <c r="F342" s="470" t="s">
        <v>1071</v>
      </c>
      <c r="G342" s="470" t="s">
        <v>751</v>
      </c>
      <c r="H342" s="470" t="s">
        <v>12</v>
      </c>
      <c r="I342" s="470" t="s">
        <v>847</v>
      </c>
      <c r="J342" s="472" t="s">
        <v>1072</v>
      </c>
      <c r="K342" s="470" t="s">
        <v>1073</v>
      </c>
      <c r="L342" s="470" t="s">
        <v>1074</v>
      </c>
      <c r="M342" s="470" t="s">
        <v>832</v>
      </c>
      <c r="N342" s="470" t="s">
        <v>1075</v>
      </c>
      <c r="O342" s="472" t="s">
        <v>757</v>
      </c>
      <c r="P342" s="472" t="s">
        <v>738</v>
      </c>
      <c r="Q342" s="472" t="s">
        <v>758</v>
      </c>
      <c r="R342" s="472" t="s">
        <v>12</v>
      </c>
      <c r="S342" s="472" t="s">
        <v>12</v>
      </c>
      <c r="T342" s="472" t="s">
        <v>1076</v>
      </c>
      <c r="U342" s="470" t="s">
        <v>1077</v>
      </c>
      <c r="V342" s="470" t="s">
        <v>761</v>
      </c>
      <c r="W342" s="470" t="s">
        <v>762</v>
      </c>
      <c r="X342" s="470">
        <v>30</v>
      </c>
      <c r="Y342" s="470">
        <v>0</v>
      </c>
      <c r="Z342" s="470">
        <v>0</v>
      </c>
      <c r="AA342" s="470">
        <v>30</v>
      </c>
      <c r="AB342" s="470">
        <v>30</v>
      </c>
      <c r="AC342" s="473">
        <v>32033</v>
      </c>
      <c r="AD342" s="473">
        <v>32033</v>
      </c>
      <c r="AE342" s="473">
        <v>14415</v>
      </c>
      <c r="AF342" s="473">
        <v>5766</v>
      </c>
      <c r="AG342" s="473">
        <v>1600</v>
      </c>
      <c r="AH342" s="473">
        <v>200</v>
      </c>
      <c r="AI342" s="473">
        <v>1250</v>
      </c>
      <c r="AJ342" s="473">
        <v>0</v>
      </c>
      <c r="AK342" s="473">
        <v>0</v>
      </c>
      <c r="AL342" s="473">
        <v>0</v>
      </c>
      <c r="AM342" s="473">
        <v>0</v>
      </c>
      <c r="AN342" s="473">
        <v>0</v>
      </c>
      <c r="AO342" s="473">
        <v>0</v>
      </c>
      <c r="AP342" s="473">
        <v>0</v>
      </c>
      <c r="AQ342" s="473">
        <v>1730</v>
      </c>
      <c r="AR342" s="473">
        <v>7072</v>
      </c>
      <c r="AS342" s="473">
        <v>0</v>
      </c>
      <c r="AT342" s="473">
        <v>0</v>
      </c>
      <c r="AU342" s="473">
        <v>4365</v>
      </c>
      <c r="AV342" s="473">
        <v>36398</v>
      </c>
      <c r="AW342" s="474">
        <v>32033</v>
      </c>
      <c r="AX342" s="473">
        <v>0</v>
      </c>
      <c r="AY342" s="473">
        <v>0</v>
      </c>
      <c r="AZ342" s="475">
        <v>0</v>
      </c>
      <c r="BA342" s="475">
        <v>200</v>
      </c>
      <c r="BB342" s="475">
        <v>1730</v>
      </c>
      <c r="BC342" s="475">
        <v>0</v>
      </c>
      <c r="BD342" s="475">
        <v>0</v>
      </c>
      <c r="BE342" s="475">
        <v>25</v>
      </c>
      <c r="BF342" s="475">
        <v>0</v>
      </c>
      <c r="BG342" s="475">
        <v>1955</v>
      </c>
      <c r="BH342" s="476">
        <v>34443</v>
      </c>
      <c r="BI342" s="467"/>
      <c r="BJ342" s="468"/>
    </row>
    <row r="343" spans="1:62">
      <c r="A343" s="469">
        <v>45809</v>
      </c>
      <c r="B343" s="469" t="s">
        <v>747</v>
      </c>
      <c r="C343" s="508" t="s">
        <v>748</v>
      </c>
      <c r="D343" s="470" t="s">
        <v>749</v>
      </c>
      <c r="E343" s="471">
        <v>1480</v>
      </c>
      <c r="F343" s="470" t="s">
        <v>1078</v>
      </c>
      <c r="G343" s="470" t="s">
        <v>751</v>
      </c>
      <c r="H343" s="470" t="s">
        <v>12</v>
      </c>
      <c r="I343" s="470" t="s">
        <v>1079</v>
      </c>
      <c r="J343" s="472" t="s">
        <v>1080</v>
      </c>
      <c r="K343" s="470" t="s">
        <v>1081</v>
      </c>
      <c r="L343" s="470" t="s">
        <v>856</v>
      </c>
      <c r="M343" s="470" t="s">
        <v>856</v>
      </c>
      <c r="N343" s="470" t="s">
        <v>756</v>
      </c>
      <c r="O343" s="472" t="s">
        <v>757</v>
      </c>
      <c r="P343" s="472" t="s">
        <v>738</v>
      </c>
      <c r="Q343" s="472" t="s">
        <v>758</v>
      </c>
      <c r="R343" s="472" t="s">
        <v>12</v>
      </c>
      <c r="S343" s="472" t="s">
        <v>12</v>
      </c>
      <c r="T343" s="472" t="s">
        <v>1082</v>
      </c>
      <c r="U343" s="470" t="s">
        <v>1083</v>
      </c>
      <c r="V343" s="470" t="s">
        <v>761</v>
      </c>
      <c r="W343" s="470" t="s">
        <v>1084</v>
      </c>
      <c r="X343" s="470">
        <v>30</v>
      </c>
      <c r="Y343" s="470">
        <v>0</v>
      </c>
      <c r="Z343" s="470">
        <v>0</v>
      </c>
      <c r="AA343" s="470">
        <v>30</v>
      </c>
      <c r="AB343" s="470">
        <v>30</v>
      </c>
      <c r="AC343" s="473">
        <v>72817</v>
      </c>
      <c r="AD343" s="473">
        <v>72817</v>
      </c>
      <c r="AE343" s="473">
        <v>32768</v>
      </c>
      <c r="AF343" s="473">
        <v>13107</v>
      </c>
      <c r="AG343" s="473">
        <v>1600</v>
      </c>
      <c r="AH343" s="473">
        <v>200</v>
      </c>
      <c r="AI343" s="473">
        <v>1250</v>
      </c>
      <c r="AJ343" s="473">
        <v>2730</v>
      </c>
      <c r="AK343" s="473">
        <v>6554</v>
      </c>
      <c r="AL343" s="473">
        <v>4915</v>
      </c>
      <c r="AM343" s="473">
        <v>328</v>
      </c>
      <c r="AN343" s="473">
        <v>1147</v>
      </c>
      <c r="AO343" s="473">
        <v>655</v>
      </c>
      <c r="AP343" s="473">
        <v>164</v>
      </c>
      <c r="AQ343" s="473">
        <v>1800</v>
      </c>
      <c r="AR343" s="473">
        <v>5599</v>
      </c>
      <c r="AS343" s="473">
        <v>0</v>
      </c>
      <c r="AT343" s="473">
        <v>1400</v>
      </c>
      <c r="AU343" s="473">
        <v>0</v>
      </c>
      <c r="AV343" s="473">
        <v>74217</v>
      </c>
      <c r="AW343" s="474">
        <v>74217</v>
      </c>
      <c r="AX343" s="473">
        <v>0</v>
      </c>
      <c r="AY343" s="473">
        <v>0</v>
      </c>
      <c r="AZ343" s="475">
        <v>0</v>
      </c>
      <c r="BA343" s="475">
        <v>200</v>
      </c>
      <c r="BB343" s="475">
        <v>1800</v>
      </c>
      <c r="BC343" s="475">
        <v>0</v>
      </c>
      <c r="BD343" s="475">
        <v>0</v>
      </c>
      <c r="BE343" s="475">
        <v>25</v>
      </c>
      <c r="BF343" s="475">
        <v>0</v>
      </c>
      <c r="BG343" s="475">
        <v>2025</v>
      </c>
      <c r="BH343" s="476">
        <v>72192</v>
      </c>
      <c r="BI343" s="467"/>
      <c r="BJ343" s="468"/>
    </row>
    <row r="344" spans="1:62">
      <c r="A344" s="469">
        <v>45809</v>
      </c>
      <c r="B344" s="469" t="s">
        <v>747</v>
      </c>
      <c r="C344" s="508" t="s">
        <v>748</v>
      </c>
      <c r="D344" s="470" t="s">
        <v>749</v>
      </c>
      <c r="E344" s="471">
        <v>405</v>
      </c>
      <c r="F344" s="470" t="s">
        <v>1085</v>
      </c>
      <c r="G344" s="470" t="s">
        <v>751</v>
      </c>
      <c r="H344" s="470" t="s">
        <v>12</v>
      </c>
      <c r="I344" s="470" t="s">
        <v>954</v>
      </c>
      <c r="J344" s="472" t="s">
        <v>1086</v>
      </c>
      <c r="K344" s="470" t="s">
        <v>1087</v>
      </c>
      <c r="L344" s="470" t="s">
        <v>832</v>
      </c>
      <c r="M344" s="470" t="s">
        <v>832</v>
      </c>
      <c r="N344" s="470" t="s">
        <v>833</v>
      </c>
      <c r="O344" s="472" t="s">
        <v>757</v>
      </c>
      <c r="P344" s="472" t="s">
        <v>738</v>
      </c>
      <c r="Q344" s="472" t="s">
        <v>758</v>
      </c>
      <c r="R344" s="472" t="s">
        <v>12</v>
      </c>
      <c r="S344" s="472" t="s">
        <v>12</v>
      </c>
      <c r="T344" s="472" t="s">
        <v>1088</v>
      </c>
      <c r="U344" s="470" t="s">
        <v>1089</v>
      </c>
      <c r="V344" s="470" t="s">
        <v>761</v>
      </c>
      <c r="W344" s="470" t="s">
        <v>762</v>
      </c>
      <c r="X344" s="470">
        <v>30</v>
      </c>
      <c r="Y344" s="470">
        <v>0</v>
      </c>
      <c r="Z344" s="470">
        <v>0</v>
      </c>
      <c r="AA344" s="470">
        <v>30</v>
      </c>
      <c r="AB344" s="470">
        <v>30</v>
      </c>
      <c r="AC344" s="473">
        <v>33167</v>
      </c>
      <c r="AD344" s="473">
        <v>33167</v>
      </c>
      <c r="AE344" s="473">
        <v>14925</v>
      </c>
      <c r="AF344" s="473">
        <v>5970</v>
      </c>
      <c r="AG344" s="473">
        <v>1600</v>
      </c>
      <c r="AH344" s="473">
        <v>200</v>
      </c>
      <c r="AI344" s="473">
        <v>1250</v>
      </c>
      <c r="AJ344" s="473">
        <v>0</v>
      </c>
      <c r="AK344" s="473">
        <v>0</v>
      </c>
      <c r="AL344" s="473">
        <v>0</v>
      </c>
      <c r="AM344" s="473">
        <v>0</v>
      </c>
      <c r="AN344" s="473">
        <v>0</v>
      </c>
      <c r="AO344" s="473">
        <v>0</v>
      </c>
      <c r="AP344" s="473">
        <v>0</v>
      </c>
      <c r="AQ344" s="473">
        <v>1791</v>
      </c>
      <c r="AR344" s="473">
        <v>7431</v>
      </c>
      <c r="AS344" s="473">
        <v>0</v>
      </c>
      <c r="AT344" s="473">
        <v>0</v>
      </c>
      <c r="AU344" s="473">
        <v>3241</v>
      </c>
      <c r="AV344" s="473">
        <v>36408</v>
      </c>
      <c r="AW344" s="474">
        <v>33167</v>
      </c>
      <c r="AX344" s="473">
        <v>0</v>
      </c>
      <c r="AY344" s="473">
        <v>0</v>
      </c>
      <c r="AZ344" s="475">
        <v>0</v>
      </c>
      <c r="BA344" s="475">
        <v>200</v>
      </c>
      <c r="BB344" s="475">
        <v>1791</v>
      </c>
      <c r="BC344" s="475">
        <v>0</v>
      </c>
      <c r="BD344" s="475">
        <v>0</v>
      </c>
      <c r="BE344" s="475">
        <v>25</v>
      </c>
      <c r="BF344" s="475">
        <v>0</v>
      </c>
      <c r="BG344" s="475">
        <v>2016</v>
      </c>
      <c r="BH344" s="476">
        <v>34392</v>
      </c>
      <c r="BI344" s="467"/>
      <c r="BJ344" s="468"/>
    </row>
    <row r="345" spans="1:62">
      <c r="A345" s="469">
        <v>45809</v>
      </c>
      <c r="B345" s="469" t="s">
        <v>747</v>
      </c>
      <c r="C345" s="508" t="s">
        <v>748</v>
      </c>
      <c r="D345" s="470" t="s">
        <v>749</v>
      </c>
      <c r="E345" s="471">
        <v>1916</v>
      </c>
      <c r="F345" s="470" t="s">
        <v>1090</v>
      </c>
      <c r="G345" s="470" t="s">
        <v>751</v>
      </c>
      <c r="H345" s="470" t="s">
        <v>12</v>
      </c>
      <c r="I345" s="470" t="s">
        <v>853</v>
      </c>
      <c r="J345" s="472" t="s">
        <v>1091</v>
      </c>
      <c r="K345" s="470" t="s">
        <v>1092</v>
      </c>
      <c r="L345" s="470" t="s">
        <v>776</v>
      </c>
      <c r="M345" s="470" t="s">
        <v>776</v>
      </c>
      <c r="N345" s="470" t="s">
        <v>777</v>
      </c>
      <c r="O345" s="472" t="s">
        <v>757</v>
      </c>
      <c r="P345" s="472" t="s">
        <v>738</v>
      </c>
      <c r="Q345" s="472" t="s">
        <v>758</v>
      </c>
      <c r="R345" s="472" t="s">
        <v>12</v>
      </c>
      <c r="S345" s="472" t="s">
        <v>12</v>
      </c>
      <c r="T345" s="472" t="s">
        <v>1093</v>
      </c>
      <c r="U345" s="470" t="s">
        <v>1094</v>
      </c>
      <c r="V345" s="470" t="s">
        <v>761</v>
      </c>
      <c r="W345" s="470" t="s">
        <v>1095</v>
      </c>
      <c r="X345" s="470">
        <v>30</v>
      </c>
      <c r="Y345" s="470">
        <v>0</v>
      </c>
      <c r="Z345" s="470">
        <v>0</v>
      </c>
      <c r="AA345" s="470">
        <v>30</v>
      </c>
      <c r="AB345" s="470">
        <v>30</v>
      </c>
      <c r="AC345" s="473">
        <v>94033</v>
      </c>
      <c r="AD345" s="473">
        <v>94033</v>
      </c>
      <c r="AE345" s="473">
        <v>42315</v>
      </c>
      <c r="AF345" s="473">
        <v>16926</v>
      </c>
      <c r="AG345" s="473">
        <v>1600</v>
      </c>
      <c r="AH345" s="473">
        <v>200</v>
      </c>
      <c r="AI345" s="473">
        <v>1250</v>
      </c>
      <c r="AJ345" s="473">
        <v>3525</v>
      </c>
      <c r="AK345" s="473">
        <v>8463</v>
      </c>
      <c r="AL345" s="473">
        <v>6347</v>
      </c>
      <c r="AM345" s="473">
        <v>423</v>
      </c>
      <c r="AN345" s="473">
        <v>1481</v>
      </c>
      <c r="AO345" s="473">
        <v>846</v>
      </c>
      <c r="AP345" s="473">
        <v>212</v>
      </c>
      <c r="AQ345" s="473">
        <v>1800</v>
      </c>
      <c r="AR345" s="473">
        <v>8645</v>
      </c>
      <c r="AS345" s="473">
        <v>0</v>
      </c>
      <c r="AT345" s="473">
        <v>0</v>
      </c>
      <c r="AU345" s="473">
        <v>0</v>
      </c>
      <c r="AV345" s="473">
        <v>94033</v>
      </c>
      <c r="AW345" s="474">
        <v>94033</v>
      </c>
      <c r="AX345" s="473">
        <v>0</v>
      </c>
      <c r="AY345" s="473">
        <v>0</v>
      </c>
      <c r="AZ345" s="475">
        <v>0</v>
      </c>
      <c r="BA345" s="475">
        <v>200</v>
      </c>
      <c r="BB345" s="475">
        <v>1800</v>
      </c>
      <c r="BC345" s="475">
        <v>0</v>
      </c>
      <c r="BD345" s="475">
        <v>0</v>
      </c>
      <c r="BE345" s="475">
        <v>25</v>
      </c>
      <c r="BF345" s="475">
        <v>0</v>
      </c>
      <c r="BG345" s="475">
        <v>2025</v>
      </c>
      <c r="BH345" s="476">
        <v>92008</v>
      </c>
      <c r="BI345" s="467"/>
      <c r="BJ345" s="468"/>
    </row>
    <row r="346" spans="1:62">
      <c r="A346" s="469">
        <v>45809</v>
      </c>
      <c r="B346" s="469" t="s">
        <v>747</v>
      </c>
      <c r="C346" s="508" t="s">
        <v>748</v>
      </c>
      <c r="D346" s="470" t="s">
        <v>749</v>
      </c>
      <c r="E346" s="471">
        <v>1093</v>
      </c>
      <c r="F346" s="470" t="s">
        <v>1096</v>
      </c>
      <c r="G346" s="470" t="s">
        <v>751</v>
      </c>
      <c r="H346" s="470" t="s">
        <v>12</v>
      </c>
      <c r="I346" s="470" t="s">
        <v>976</v>
      </c>
      <c r="J346" s="472" t="s">
        <v>1097</v>
      </c>
      <c r="K346" s="470" t="s">
        <v>1098</v>
      </c>
      <c r="L346" s="470" t="s">
        <v>1020</v>
      </c>
      <c r="M346" s="470" t="s">
        <v>1020</v>
      </c>
      <c r="N346" s="470" t="s">
        <v>777</v>
      </c>
      <c r="O346" s="472" t="s">
        <v>792</v>
      </c>
      <c r="P346" s="472" t="s">
        <v>738</v>
      </c>
      <c r="Q346" s="472" t="s">
        <v>758</v>
      </c>
      <c r="R346" s="472" t="s">
        <v>12</v>
      </c>
      <c r="S346" s="472" t="s">
        <v>12</v>
      </c>
      <c r="T346" s="472" t="s">
        <v>1099</v>
      </c>
      <c r="U346" s="470" t="s">
        <v>1100</v>
      </c>
      <c r="V346" s="470" t="s">
        <v>761</v>
      </c>
      <c r="W346" s="470" t="s">
        <v>1101</v>
      </c>
      <c r="X346" s="470">
        <v>30</v>
      </c>
      <c r="Y346" s="470">
        <v>0</v>
      </c>
      <c r="Z346" s="470">
        <v>0</v>
      </c>
      <c r="AA346" s="470">
        <v>30</v>
      </c>
      <c r="AB346" s="470">
        <v>30</v>
      </c>
      <c r="AC346" s="473">
        <v>96667</v>
      </c>
      <c r="AD346" s="473">
        <v>96667</v>
      </c>
      <c r="AE346" s="473">
        <v>43500</v>
      </c>
      <c r="AF346" s="473">
        <v>17400</v>
      </c>
      <c r="AG346" s="473">
        <v>1600</v>
      </c>
      <c r="AH346" s="473">
        <v>200</v>
      </c>
      <c r="AI346" s="473">
        <v>1250</v>
      </c>
      <c r="AJ346" s="473">
        <v>3624</v>
      </c>
      <c r="AK346" s="473">
        <v>8700</v>
      </c>
      <c r="AL346" s="473">
        <v>6525</v>
      </c>
      <c r="AM346" s="473">
        <v>435</v>
      </c>
      <c r="AN346" s="473">
        <v>1523</v>
      </c>
      <c r="AO346" s="473">
        <v>870</v>
      </c>
      <c r="AP346" s="473">
        <v>218</v>
      </c>
      <c r="AQ346" s="473">
        <v>1800</v>
      </c>
      <c r="AR346" s="473">
        <v>9022</v>
      </c>
      <c r="AS346" s="473">
        <v>0</v>
      </c>
      <c r="AT346" s="473">
        <v>0</v>
      </c>
      <c r="AU346" s="473">
        <v>10640</v>
      </c>
      <c r="AV346" s="473">
        <v>107307</v>
      </c>
      <c r="AW346" s="474">
        <v>96667</v>
      </c>
      <c r="AX346" s="473">
        <v>0</v>
      </c>
      <c r="AY346" s="473">
        <v>0</v>
      </c>
      <c r="AZ346" s="475">
        <v>0</v>
      </c>
      <c r="BA346" s="475">
        <v>200</v>
      </c>
      <c r="BB346" s="475">
        <v>1800</v>
      </c>
      <c r="BC346" s="475">
        <v>0</v>
      </c>
      <c r="BD346" s="475">
        <v>0</v>
      </c>
      <c r="BE346" s="475">
        <v>25</v>
      </c>
      <c r="BF346" s="475">
        <v>0</v>
      </c>
      <c r="BG346" s="475">
        <v>2025</v>
      </c>
      <c r="BH346" s="476">
        <v>105282</v>
      </c>
      <c r="BI346" s="467"/>
      <c r="BJ346" s="468"/>
    </row>
    <row r="347" spans="1:62">
      <c r="A347" s="469">
        <v>45809</v>
      </c>
      <c r="B347" s="469" t="s">
        <v>747</v>
      </c>
      <c r="C347" s="508" t="s">
        <v>748</v>
      </c>
      <c r="D347" s="470" t="s">
        <v>749</v>
      </c>
      <c r="E347" s="471">
        <v>2043</v>
      </c>
      <c r="F347" s="470" t="s">
        <v>1102</v>
      </c>
      <c r="G347" s="470" t="s">
        <v>751</v>
      </c>
      <c r="H347" s="470" t="s">
        <v>12</v>
      </c>
      <c r="I347" s="470" t="s">
        <v>1103</v>
      </c>
      <c r="J347" s="472" t="s">
        <v>1104</v>
      </c>
      <c r="K347" s="470" t="s">
        <v>1105</v>
      </c>
      <c r="L347" s="470" t="s">
        <v>1106</v>
      </c>
      <c r="M347" s="470" t="s">
        <v>1107</v>
      </c>
      <c r="N347" s="470" t="s">
        <v>1108</v>
      </c>
      <c r="O347" s="472" t="s">
        <v>757</v>
      </c>
      <c r="P347" s="472" t="s">
        <v>738</v>
      </c>
      <c r="Q347" s="472" t="s">
        <v>758</v>
      </c>
      <c r="R347" s="472" t="s">
        <v>12</v>
      </c>
      <c r="S347" s="472" t="s">
        <v>12</v>
      </c>
      <c r="T347" s="472" t="s">
        <v>1109</v>
      </c>
      <c r="U347" s="470" t="s">
        <v>1110</v>
      </c>
      <c r="V347" s="470" t="s">
        <v>761</v>
      </c>
      <c r="W347" s="470" t="s">
        <v>1111</v>
      </c>
      <c r="X347" s="470">
        <v>30</v>
      </c>
      <c r="Y347" s="470">
        <v>0</v>
      </c>
      <c r="Z347" s="470">
        <v>0</v>
      </c>
      <c r="AA347" s="470">
        <v>30</v>
      </c>
      <c r="AB347" s="470">
        <v>30</v>
      </c>
      <c r="AC347" s="473">
        <v>75000</v>
      </c>
      <c r="AD347" s="473">
        <v>75000</v>
      </c>
      <c r="AE347" s="473">
        <v>33750</v>
      </c>
      <c r="AF347" s="473">
        <v>13500</v>
      </c>
      <c r="AG347" s="473">
        <v>1600</v>
      </c>
      <c r="AH347" s="473">
        <v>200</v>
      </c>
      <c r="AI347" s="473">
        <v>1250</v>
      </c>
      <c r="AJ347" s="473">
        <v>2811</v>
      </c>
      <c r="AK347" s="473">
        <v>6750</v>
      </c>
      <c r="AL347" s="473">
        <v>5063</v>
      </c>
      <c r="AM347" s="473">
        <v>338</v>
      </c>
      <c r="AN347" s="473">
        <v>1181</v>
      </c>
      <c r="AO347" s="473">
        <v>675</v>
      </c>
      <c r="AP347" s="473">
        <v>169</v>
      </c>
      <c r="AQ347" s="473">
        <v>1800</v>
      </c>
      <c r="AR347" s="473">
        <v>5913</v>
      </c>
      <c r="AS347" s="473">
        <v>0</v>
      </c>
      <c r="AT347" s="473">
        <v>0</v>
      </c>
      <c r="AU347" s="473">
        <v>0</v>
      </c>
      <c r="AV347" s="473">
        <v>75000</v>
      </c>
      <c r="AW347" s="474">
        <v>75000</v>
      </c>
      <c r="AX347" s="473">
        <v>0</v>
      </c>
      <c r="AY347" s="473">
        <v>0</v>
      </c>
      <c r="AZ347" s="475">
        <v>0</v>
      </c>
      <c r="BA347" s="475">
        <v>200</v>
      </c>
      <c r="BB347" s="475">
        <v>1800</v>
      </c>
      <c r="BC347" s="475">
        <v>0</v>
      </c>
      <c r="BD347" s="475">
        <v>0</v>
      </c>
      <c r="BE347" s="475">
        <v>25</v>
      </c>
      <c r="BF347" s="475">
        <v>0</v>
      </c>
      <c r="BG347" s="475">
        <v>2025</v>
      </c>
      <c r="BH347" s="476">
        <v>72975</v>
      </c>
      <c r="BI347" s="467"/>
      <c r="BJ347" s="468"/>
    </row>
    <row r="348" spans="1:62">
      <c r="A348" s="469">
        <v>45809</v>
      </c>
      <c r="B348" s="469" t="s">
        <v>747</v>
      </c>
      <c r="C348" s="508" t="s">
        <v>748</v>
      </c>
      <c r="D348" s="470" t="s">
        <v>749</v>
      </c>
      <c r="E348" s="471">
        <v>413</v>
      </c>
      <c r="F348" s="470" t="s">
        <v>1112</v>
      </c>
      <c r="G348" s="470" t="s">
        <v>751</v>
      </c>
      <c r="H348" s="470" t="s">
        <v>12</v>
      </c>
      <c r="I348" s="470" t="s">
        <v>1113</v>
      </c>
      <c r="J348" s="472" t="s">
        <v>1114</v>
      </c>
      <c r="K348" s="470" t="s">
        <v>1115</v>
      </c>
      <c r="L348" s="470" t="s">
        <v>1116</v>
      </c>
      <c r="M348" s="470" t="s">
        <v>1116</v>
      </c>
      <c r="N348" s="470" t="s">
        <v>756</v>
      </c>
      <c r="O348" s="472" t="s">
        <v>757</v>
      </c>
      <c r="P348" s="472" t="s">
        <v>738</v>
      </c>
      <c r="Q348" s="472" t="s">
        <v>758</v>
      </c>
      <c r="R348" s="472" t="s">
        <v>12</v>
      </c>
      <c r="S348" s="472" t="s">
        <v>12</v>
      </c>
      <c r="T348" s="472" t="s">
        <v>1117</v>
      </c>
      <c r="U348" s="470" t="s">
        <v>1118</v>
      </c>
      <c r="V348" s="470" t="s">
        <v>761</v>
      </c>
      <c r="W348" s="470" t="s">
        <v>762</v>
      </c>
      <c r="X348" s="470">
        <v>30</v>
      </c>
      <c r="Y348" s="470">
        <v>0</v>
      </c>
      <c r="Z348" s="470">
        <v>0</v>
      </c>
      <c r="AA348" s="470">
        <v>30</v>
      </c>
      <c r="AB348" s="470">
        <v>30</v>
      </c>
      <c r="AC348" s="473">
        <v>52975</v>
      </c>
      <c r="AD348" s="473">
        <v>52975</v>
      </c>
      <c r="AE348" s="473">
        <v>23839</v>
      </c>
      <c r="AF348" s="473">
        <v>9536</v>
      </c>
      <c r="AG348" s="473">
        <v>1600</v>
      </c>
      <c r="AH348" s="473">
        <v>200</v>
      </c>
      <c r="AI348" s="473">
        <v>1250</v>
      </c>
      <c r="AJ348" s="473">
        <v>1986</v>
      </c>
      <c r="AK348" s="473">
        <v>4768</v>
      </c>
      <c r="AL348" s="473">
        <v>3576</v>
      </c>
      <c r="AM348" s="473">
        <v>238</v>
      </c>
      <c r="AN348" s="473">
        <v>834</v>
      </c>
      <c r="AO348" s="473">
        <v>477</v>
      </c>
      <c r="AP348" s="473">
        <v>119</v>
      </c>
      <c r="AQ348" s="473">
        <v>1800</v>
      </c>
      <c r="AR348" s="473">
        <v>2752</v>
      </c>
      <c r="AS348" s="473">
        <v>0</v>
      </c>
      <c r="AT348" s="473">
        <v>1000</v>
      </c>
      <c r="AU348" s="473">
        <v>0</v>
      </c>
      <c r="AV348" s="473">
        <v>53975</v>
      </c>
      <c r="AW348" s="474">
        <v>53975</v>
      </c>
      <c r="AX348" s="473">
        <v>0</v>
      </c>
      <c r="AY348" s="473">
        <v>0</v>
      </c>
      <c r="AZ348" s="475">
        <v>0</v>
      </c>
      <c r="BA348" s="475">
        <v>200</v>
      </c>
      <c r="BB348" s="475">
        <v>1800</v>
      </c>
      <c r="BC348" s="475">
        <v>0</v>
      </c>
      <c r="BD348" s="475">
        <v>0</v>
      </c>
      <c r="BE348" s="475">
        <v>25</v>
      </c>
      <c r="BF348" s="475">
        <v>0</v>
      </c>
      <c r="BG348" s="475">
        <v>2025</v>
      </c>
      <c r="BH348" s="476">
        <v>51950</v>
      </c>
      <c r="BI348" s="467"/>
      <c r="BJ348" s="468"/>
    </row>
    <row r="349" spans="1:62">
      <c r="A349" s="469">
        <v>45809</v>
      </c>
      <c r="B349" s="469" t="s">
        <v>747</v>
      </c>
      <c r="C349" s="508" t="s">
        <v>748</v>
      </c>
      <c r="D349" s="470" t="s">
        <v>749</v>
      </c>
      <c r="E349" s="471">
        <v>1389</v>
      </c>
      <c r="F349" s="470" t="s">
        <v>1119</v>
      </c>
      <c r="G349" s="470" t="s">
        <v>751</v>
      </c>
      <c r="H349" s="470" t="s">
        <v>12</v>
      </c>
      <c r="I349" s="470" t="s">
        <v>1120</v>
      </c>
      <c r="J349" s="472" t="s">
        <v>1121</v>
      </c>
      <c r="K349" s="470" t="s">
        <v>1122</v>
      </c>
      <c r="L349" s="470" t="s">
        <v>1123</v>
      </c>
      <c r="M349" s="470" t="s">
        <v>1124</v>
      </c>
      <c r="N349" s="470" t="s">
        <v>1108</v>
      </c>
      <c r="O349" s="472" t="s">
        <v>757</v>
      </c>
      <c r="P349" s="472" t="s">
        <v>738</v>
      </c>
      <c r="Q349" s="472" t="s">
        <v>758</v>
      </c>
      <c r="R349" s="472" t="s">
        <v>12</v>
      </c>
      <c r="S349" s="472" t="s">
        <v>12</v>
      </c>
      <c r="T349" s="472" t="s">
        <v>1125</v>
      </c>
      <c r="U349" s="470" t="s">
        <v>1126</v>
      </c>
      <c r="V349" s="470" t="s">
        <v>761</v>
      </c>
      <c r="W349" s="470" t="s">
        <v>762</v>
      </c>
      <c r="X349" s="470">
        <v>30</v>
      </c>
      <c r="Y349" s="470">
        <v>0</v>
      </c>
      <c r="Z349" s="470">
        <v>0</v>
      </c>
      <c r="AA349" s="470">
        <v>30</v>
      </c>
      <c r="AB349" s="470">
        <v>30</v>
      </c>
      <c r="AC349" s="473">
        <v>57473</v>
      </c>
      <c r="AD349" s="473">
        <v>57473</v>
      </c>
      <c r="AE349" s="473">
        <v>25863</v>
      </c>
      <c r="AF349" s="473">
        <v>10345</v>
      </c>
      <c r="AG349" s="473">
        <v>1600</v>
      </c>
      <c r="AH349" s="473">
        <v>200</v>
      </c>
      <c r="AI349" s="473">
        <v>1250</v>
      </c>
      <c r="AJ349" s="473">
        <v>2154</v>
      </c>
      <c r="AK349" s="473">
        <v>5173</v>
      </c>
      <c r="AL349" s="473">
        <v>3879</v>
      </c>
      <c r="AM349" s="473">
        <v>259</v>
      </c>
      <c r="AN349" s="473">
        <v>905</v>
      </c>
      <c r="AO349" s="473">
        <v>517</v>
      </c>
      <c r="AP349" s="473">
        <v>129</v>
      </c>
      <c r="AQ349" s="473">
        <v>1800</v>
      </c>
      <c r="AR349" s="473">
        <v>3399</v>
      </c>
      <c r="AS349" s="473">
        <v>0</v>
      </c>
      <c r="AT349" s="473">
        <v>1767</v>
      </c>
      <c r="AU349" s="473">
        <v>0</v>
      </c>
      <c r="AV349" s="473">
        <v>59240</v>
      </c>
      <c r="AW349" s="474">
        <v>59240</v>
      </c>
      <c r="AX349" s="473">
        <v>0</v>
      </c>
      <c r="AY349" s="473">
        <v>0</v>
      </c>
      <c r="AZ349" s="475">
        <v>0</v>
      </c>
      <c r="BA349" s="475">
        <v>200</v>
      </c>
      <c r="BB349" s="475">
        <v>1800</v>
      </c>
      <c r="BC349" s="475">
        <v>0</v>
      </c>
      <c r="BD349" s="475">
        <v>0</v>
      </c>
      <c r="BE349" s="475">
        <v>25</v>
      </c>
      <c r="BF349" s="475">
        <v>0</v>
      </c>
      <c r="BG349" s="475">
        <v>2025</v>
      </c>
      <c r="BH349" s="476">
        <v>57215</v>
      </c>
      <c r="BI349" s="467"/>
      <c r="BJ349" s="468"/>
    </row>
    <row r="350" spans="1:62">
      <c r="A350" s="469">
        <v>45809</v>
      </c>
      <c r="B350" s="469" t="s">
        <v>747</v>
      </c>
      <c r="C350" s="508" t="s">
        <v>748</v>
      </c>
      <c r="D350" s="470" t="s">
        <v>749</v>
      </c>
      <c r="E350" s="471">
        <v>1535</v>
      </c>
      <c r="F350" s="470" t="s">
        <v>1127</v>
      </c>
      <c r="G350" s="470" t="s">
        <v>751</v>
      </c>
      <c r="H350" s="470" t="s">
        <v>12</v>
      </c>
      <c r="I350" s="470" t="s">
        <v>1128</v>
      </c>
      <c r="J350" s="472" t="s">
        <v>1129</v>
      </c>
      <c r="K350" s="470" t="s">
        <v>1130</v>
      </c>
      <c r="L350" s="470" t="s">
        <v>1131</v>
      </c>
      <c r="M350" s="470" t="s">
        <v>1131</v>
      </c>
      <c r="N350" s="470" t="s">
        <v>756</v>
      </c>
      <c r="O350" s="472" t="s">
        <v>792</v>
      </c>
      <c r="P350" s="472" t="s">
        <v>738</v>
      </c>
      <c r="Q350" s="472" t="s">
        <v>758</v>
      </c>
      <c r="R350" s="472" t="s">
        <v>12</v>
      </c>
      <c r="S350" s="472" t="s">
        <v>12</v>
      </c>
      <c r="T350" s="472" t="s">
        <v>1132</v>
      </c>
      <c r="U350" s="470" t="s">
        <v>1133</v>
      </c>
      <c r="V350" s="470" t="s">
        <v>761</v>
      </c>
      <c r="W350" s="470" t="s">
        <v>1134</v>
      </c>
      <c r="X350" s="470">
        <v>30</v>
      </c>
      <c r="Y350" s="470">
        <v>0</v>
      </c>
      <c r="Z350" s="470">
        <v>1.5</v>
      </c>
      <c r="AA350" s="470">
        <v>28.5</v>
      </c>
      <c r="AB350" s="470">
        <v>28.5</v>
      </c>
      <c r="AC350" s="473">
        <v>95900</v>
      </c>
      <c r="AD350" s="473">
        <v>95900</v>
      </c>
      <c r="AE350" s="473">
        <v>40997</v>
      </c>
      <c r="AF350" s="473">
        <v>16399</v>
      </c>
      <c r="AG350" s="473">
        <v>1520</v>
      </c>
      <c r="AH350" s="473">
        <v>190</v>
      </c>
      <c r="AI350" s="473">
        <v>1188</v>
      </c>
      <c r="AJ350" s="473">
        <v>3415</v>
      </c>
      <c r="AK350" s="473">
        <v>8199</v>
      </c>
      <c r="AL350" s="473">
        <v>6150</v>
      </c>
      <c r="AM350" s="473">
        <v>410</v>
      </c>
      <c r="AN350" s="473">
        <v>1435</v>
      </c>
      <c r="AO350" s="473">
        <v>820</v>
      </c>
      <c r="AP350" s="473">
        <v>205</v>
      </c>
      <c r="AQ350" s="473">
        <v>1800</v>
      </c>
      <c r="AR350" s="473">
        <v>8377</v>
      </c>
      <c r="AS350" s="473">
        <v>0</v>
      </c>
      <c r="AT350" s="473">
        <v>200</v>
      </c>
      <c r="AU350" s="473">
        <v>0</v>
      </c>
      <c r="AV350" s="473">
        <v>91305</v>
      </c>
      <c r="AW350" s="474">
        <v>91305</v>
      </c>
      <c r="AX350" s="473">
        <v>0</v>
      </c>
      <c r="AY350" s="473">
        <v>0</v>
      </c>
      <c r="AZ350" s="475">
        <v>0</v>
      </c>
      <c r="BA350" s="475">
        <v>200</v>
      </c>
      <c r="BB350" s="475">
        <v>1800</v>
      </c>
      <c r="BC350" s="475">
        <v>0</v>
      </c>
      <c r="BD350" s="475">
        <v>0</v>
      </c>
      <c r="BE350" s="475">
        <v>25</v>
      </c>
      <c r="BF350" s="475">
        <v>0</v>
      </c>
      <c r="BG350" s="475">
        <v>2025</v>
      </c>
      <c r="BH350" s="476">
        <v>89280</v>
      </c>
      <c r="BI350" s="467"/>
      <c r="BJ350" s="468"/>
    </row>
    <row r="351" spans="1:62">
      <c r="A351" s="469">
        <v>45809</v>
      </c>
      <c r="B351" s="469" t="s">
        <v>747</v>
      </c>
      <c r="C351" s="508" t="s">
        <v>748</v>
      </c>
      <c r="D351" s="470" t="s">
        <v>749</v>
      </c>
      <c r="E351" s="471">
        <v>1409</v>
      </c>
      <c r="F351" s="470" t="s">
        <v>1135</v>
      </c>
      <c r="G351" s="470" t="s">
        <v>751</v>
      </c>
      <c r="H351" s="470" t="s">
        <v>12</v>
      </c>
      <c r="I351" s="470" t="s">
        <v>1136</v>
      </c>
      <c r="J351" s="472" t="s">
        <v>1137</v>
      </c>
      <c r="K351" s="470" t="s">
        <v>1138</v>
      </c>
      <c r="L351" s="470" t="s">
        <v>856</v>
      </c>
      <c r="M351" s="470" t="s">
        <v>856</v>
      </c>
      <c r="N351" s="470" t="s">
        <v>756</v>
      </c>
      <c r="O351" s="472" t="s">
        <v>757</v>
      </c>
      <c r="P351" s="472" t="s">
        <v>738</v>
      </c>
      <c r="Q351" s="472" t="s">
        <v>758</v>
      </c>
      <c r="R351" s="472" t="s">
        <v>12</v>
      </c>
      <c r="S351" s="472" t="s">
        <v>12</v>
      </c>
      <c r="T351" s="472" t="s">
        <v>1139</v>
      </c>
      <c r="U351" s="470" t="s">
        <v>1140</v>
      </c>
      <c r="V351" s="470" t="s">
        <v>761</v>
      </c>
      <c r="W351" s="470" t="s">
        <v>1111</v>
      </c>
      <c r="X351" s="470">
        <v>30</v>
      </c>
      <c r="Y351" s="470">
        <v>0</v>
      </c>
      <c r="Z351" s="470">
        <v>2</v>
      </c>
      <c r="AA351" s="470">
        <v>28</v>
      </c>
      <c r="AB351" s="470">
        <v>28</v>
      </c>
      <c r="AC351" s="473">
        <v>71417</v>
      </c>
      <c r="AD351" s="473">
        <v>71417</v>
      </c>
      <c r="AE351" s="473">
        <v>29995</v>
      </c>
      <c r="AF351" s="473">
        <v>11998</v>
      </c>
      <c r="AG351" s="473">
        <v>1493</v>
      </c>
      <c r="AH351" s="473">
        <v>187</v>
      </c>
      <c r="AI351" s="473">
        <v>1167</v>
      </c>
      <c r="AJ351" s="473">
        <v>2499</v>
      </c>
      <c r="AK351" s="473">
        <v>5999</v>
      </c>
      <c r="AL351" s="473">
        <v>4499</v>
      </c>
      <c r="AM351" s="473">
        <v>300</v>
      </c>
      <c r="AN351" s="473">
        <v>1050</v>
      </c>
      <c r="AO351" s="473">
        <v>600</v>
      </c>
      <c r="AP351" s="473">
        <v>150</v>
      </c>
      <c r="AQ351" s="473">
        <v>1800</v>
      </c>
      <c r="AR351" s="473">
        <v>4919</v>
      </c>
      <c r="AS351" s="473">
        <v>0</v>
      </c>
      <c r="AT351" s="473">
        <v>200</v>
      </c>
      <c r="AU351" s="473">
        <v>0</v>
      </c>
      <c r="AV351" s="473">
        <v>66856</v>
      </c>
      <c r="AW351" s="474">
        <v>66856</v>
      </c>
      <c r="AX351" s="473">
        <v>0</v>
      </c>
      <c r="AY351" s="473">
        <v>0</v>
      </c>
      <c r="AZ351" s="475">
        <v>0</v>
      </c>
      <c r="BA351" s="475">
        <v>200</v>
      </c>
      <c r="BB351" s="475">
        <v>1800</v>
      </c>
      <c r="BC351" s="475">
        <v>0</v>
      </c>
      <c r="BD351" s="475">
        <v>0</v>
      </c>
      <c r="BE351" s="475">
        <v>25</v>
      </c>
      <c r="BF351" s="475">
        <v>0</v>
      </c>
      <c r="BG351" s="475">
        <v>2025</v>
      </c>
      <c r="BH351" s="476">
        <v>64831</v>
      </c>
      <c r="BI351" s="467"/>
      <c r="BJ351" s="468"/>
    </row>
    <row r="352" spans="1:62">
      <c r="A352" s="469">
        <v>45809</v>
      </c>
      <c r="B352" s="469" t="s">
        <v>747</v>
      </c>
      <c r="C352" s="508" t="s">
        <v>748</v>
      </c>
      <c r="D352" s="470" t="s">
        <v>749</v>
      </c>
      <c r="E352" s="471">
        <v>1263</v>
      </c>
      <c r="F352" s="470" t="s">
        <v>1141</v>
      </c>
      <c r="G352" s="470" t="s">
        <v>751</v>
      </c>
      <c r="H352" s="470" t="s">
        <v>12</v>
      </c>
      <c r="I352" s="470" t="s">
        <v>1142</v>
      </c>
      <c r="J352" s="472" t="s">
        <v>1143</v>
      </c>
      <c r="K352" s="470" t="s">
        <v>1144</v>
      </c>
      <c r="L352" s="470" t="s">
        <v>1145</v>
      </c>
      <c r="M352" s="470" t="s">
        <v>1146</v>
      </c>
      <c r="N352" s="470" t="s">
        <v>756</v>
      </c>
      <c r="O352" s="472" t="s">
        <v>757</v>
      </c>
      <c r="P352" s="472" t="s">
        <v>738</v>
      </c>
      <c r="Q352" s="472" t="s">
        <v>758</v>
      </c>
      <c r="R352" s="472" t="s">
        <v>12</v>
      </c>
      <c r="S352" s="472" t="s">
        <v>12</v>
      </c>
      <c r="T352" s="472" t="s">
        <v>1147</v>
      </c>
      <c r="U352" s="470" t="s">
        <v>1148</v>
      </c>
      <c r="V352" s="470" t="s">
        <v>761</v>
      </c>
      <c r="W352" s="470" t="s">
        <v>859</v>
      </c>
      <c r="X352" s="470">
        <v>30</v>
      </c>
      <c r="Y352" s="470">
        <v>0</v>
      </c>
      <c r="Z352" s="470">
        <v>0</v>
      </c>
      <c r="AA352" s="470">
        <v>30</v>
      </c>
      <c r="AB352" s="470">
        <v>30</v>
      </c>
      <c r="AC352" s="473">
        <v>55900</v>
      </c>
      <c r="AD352" s="473">
        <v>55900</v>
      </c>
      <c r="AE352" s="473">
        <v>25155</v>
      </c>
      <c r="AF352" s="473">
        <v>10062</v>
      </c>
      <c r="AG352" s="473">
        <v>1600</v>
      </c>
      <c r="AH352" s="473">
        <v>200</v>
      </c>
      <c r="AI352" s="473">
        <v>1250</v>
      </c>
      <c r="AJ352" s="473">
        <v>2095</v>
      </c>
      <c r="AK352" s="473">
        <v>5031</v>
      </c>
      <c r="AL352" s="473">
        <v>3773</v>
      </c>
      <c r="AM352" s="473">
        <v>252</v>
      </c>
      <c r="AN352" s="473">
        <v>880</v>
      </c>
      <c r="AO352" s="473">
        <v>503</v>
      </c>
      <c r="AP352" s="473">
        <v>126</v>
      </c>
      <c r="AQ352" s="473">
        <v>1800</v>
      </c>
      <c r="AR352" s="473">
        <v>3173</v>
      </c>
      <c r="AS352" s="473">
        <v>0</v>
      </c>
      <c r="AT352" s="473">
        <v>0</v>
      </c>
      <c r="AU352" s="473">
        <v>171</v>
      </c>
      <c r="AV352" s="473">
        <v>56071</v>
      </c>
      <c r="AW352" s="474">
        <v>55900</v>
      </c>
      <c r="AX352" s="473">
        <v>0</v>
      </c>
      <c r="AY352" s="473">
        <v>0</v>
      </c>
      <c r="AZ352" s="475">
        <v>0</v>
      </c>
      <c r="BA352" s="475">
        <v>200</v>
      </c>
      <c r="BB352" s="475">
        <v>1800</v>
      </c>
      <c r="BC352" s="475">
        <v>0</v>
      </c>
      <c r="BD352" s="475">
        <v>0</v>
      </c>
      <c r="BE352" s="475">
        <v>25</v>
      </c>
      <c r="BF352" s="475">
        <v>0</v>
      </c>
      <c r="BG352" s="475">
        <v>2025</v>
      </c>
      <c r="BH352" s="476">
        <v>54046</v>
      </c>
      <c r="BI352" s="467"/>
      <c r="BJ352" s="468"/>
    </row>
    <row r="353" spans="1:62">
      <c r="A353" s="469">
        <v>45809</v>
      </c>
      <c r="B353" s="469" t="s">
        <v>747</v>
      </c>
      <c r="C353" s="508" t="s">
        <v>748</v>
      </c>
      <c r="D353" s="470" t="s">
        <v>749</v>
      </c>
      <c r="E353" s="471">
        <v>1758</v>
      </c>
      <c r="F353" s="470" t="s">
        <v>1149</v>
      </c>
      <c r="G353" s="470" t="s">
        <v>751</v>
      </c>
      <c r="H353" s="470" t="s">
        <v>12</v>
      </c>
      <c r="I353" s="470" t="s">
        <v>1150</v>
      </c>
      <c r="J353" s="472" t="s">
        <v>1151</v>
      </c>
      <c r="K353" s="470" t="s">
        <v>1152</v>
      </c>
      <c r="L353" s="470" t="s">
        <v>856</v>
      </c>
      <c r="M353" s="470" t="s">
        <v>856</v>
      </c>
      <c r="N353" s="470" t="s">
        <v>756</v>
      </c>
      <c r="O353" s="472" t="s">
        <v>757</v>
      </c>
      <c r="P353" s="472" t="s">
        <v>738</v>
      </c>
      <c r="Q353" s="472" t="s">
        <v>758</v>
      </c>
      <c r="R353" s="472" t="s">
        <v>12</v>
      </c>
      <c r="S353" s="472" t="s">
        <v>12</v>
      </c>
      <c r="T353" s="472" t="s">
        <v>1153</v>
      </c>
      <c r="U353" s="470" t="s">
        <v>1154</v>
      </c>
      <c r="V353" s="470" t="s">
        <v>761</v>
      </c>
      <c r="W353" s="470" t="s">
        <v>1155</v>
      </c>
      <c r="X353" s="470">
        <v>30</v>
      </c>
      <c r="Y353" s="470">
        <v>0</v>
      </c>
      <c r="Z353" s="470">
        <v>0</v>
      </c>
      <c r="AA353" s="470">
        <v>30</v>
      </c>
      <c r="AB353" s="470">
        <v>30</v>
      </c>
      <c r="AC353" s="473">
        <v>68220</v>
      </c>
      <c r="AD353" s="473">
        <v>68220</v>
      </c>
      <c r="AE353" s="473">
        <v>30699</v>
      </c>
      <c r="AF353" s="473">
        <v>12280</v>
      </c>
      <c r="AG353" s="473">
        <v>1600</v>
      </c>
      <c r="AH353" s="473">
        <v>200</v>
      </c>
      <c r="AI353" s="473">
        <v>1250</v>
      </c>
      <c r="AJ353" s="473">
        <v>2557</v>
      </c>
      <c r="AK353" s="473">
        <v>6140</v>
      </c>
      <c r="AL353" s="473">
        <v>4605</v>
      </c>
      <c r="AM353" s="473">
        <v>307</v>
      </c>
      <c r="AN353" s="473">
        <v>1074</v>
      </c>
      <c r="AO353" s="473">
        <v>614</v>
      </c>
      <c r="AP353" s="473">
        <v>154</v>
      </c>
      <c r="AQ353" s="473">
        <v>1800</v>
      </c>
      <c r="AR353" s="473">
        <v>4940</v>
      </c>
      <c r="AS353" s="473">
        <v>0</v>
      </c>
      <c r="AT353" s="473">
        <v>0</v>
      </c>
      <c r="AU353" s="473">
        <v>836</v>
      </c>
      <c r="AV353" s="473">
        <v>69056</v>
      </c>
      <c r="AW353" s="474">
        <v>68220</v>
      </c>
      <c r="AX353" s="473">
        <v>0</v>
      </c>
      <c r="AY353" s="473">
        <v>0</v>
      </c>
      <c r="AZ353" s="475">
        <v>0</v>
      </c>
      <c r="BA353" s="475">
        <v>200</v>
      </c>
      <c r="BB353" s="475">
        <v>1800</v>
      </c>
      <c r="BC353" s="475">
        <v>0</v>
      </c>
      <c r="BD353" s="475">
        <v>0</v>
      </c>
      <c r="BE353" s="475">
        <v>25</v>
      </c>
      <c r="BF353" s="475">
        <v>0</v>
      </c>
      <c r="BG353" s="475">
        <v>2025</v>
      </c>
      <c r="BH353" s="476">
        <v>67031</v>
      </c>
      <c r="BI353" s="467"/>
      <c r="BJ353" s="468"/>
    </row>
    <row r="354" spans="1:62">
      <c r="A354" s="469">
        <v>45809</v>
      </c>
      <c r="B354" s="469" t="s">
        <v>747</v>
      </c>
      <c r="C354" s="508" t="s">
        <v>748</v>
      </c>
      <c r="D354" s="470" t="s">
        <v>749</v>
      </c>
      <c r="E354" s="471">
        <v>1624</v>
      </c>
      <c r="F354" s="470" t="s">
        <v>1156</v>
      </c>
      <c r="G354" s="470" t="s">
        <v>751</v>
      </c>
      <c r="H354" s="470" t="s">
        <v>12</v>
      </c>
      <c r="I354" s="470" t="s">
        <v>1157</v>
      </c>
      <c r="J354" s="472" t="s">
        <v>1158</v>
      </c>
      <c r="K354" s="470" t="s">
        <v>1159</v>
      </c>
      <c r="L354" s="470" t="s">
        <v>987</v>
      </c>
      <c r="M354" s="470" t="s">
        <v>987</v>
      </c>
      <c r="N354" s="470" t="s">
        <v>756</v>
      </c>
      <c r="O354" s="472" t="s">
        <v>757</v>
      </c>
      <c r="P354" s="472" t="s">
        <v>738</v>
      </c>
      <c r="Q354" s="472" t="s">
        <v>758</v>
      </c>
      <c r="R354" s="472" t="s">
        <v>12</v>
      </c>
      <c r="S354" s="472" t="s">
        <v>12</v>
      </c>
      <c r="T354" s="472" t="s">
        <v>1160</v>
      </c>
      <c r="U354" s="470" t="s">
        <v>1161</v>
      </c>
      <c r="V354" s="470" t="s">
        <v>761</v>
      </c>
      <c r="W354" s="470" t="s">
        <v>898</v>
      </c>
      <c r="X354" s="470">
        <v>30</v>
      </c>
      <c r="Y354" s="470">
        <v>0</v>
      </c>
      <c r="Z354" s="470">
        <v>0</v>
      </c>
      <c r="AA354" s="470">
        <v>30</v>
      </c>
      <c r="AB354" s="470">
        <v>30</v>
      </c>
      <c r="AC354" s="473">
        <v>42042</v>
      </c>
      <c r="AD354" s="473">
        <v>42042</v>
      </c>
      <c r="AE354" s="473">
        <v>18919</v>
      </c>
      <c r="AF354" s="473">
        <v>7568</v>
      </c>
      <c r="AG354" s="473">
        <v>1600</v>
      </c>
      <c r="AH354" s="473">
        <v>200</v>
      </c>
      <c r="AI354" s="473">
        <v>1250</v>
      </c>
      <c r="AJ354" s="473">
        <v>1576</v>
      </c>
      <c r="AK354" s="473">
        <v>3784</v>
      </c>
      <c r="AL354" s="473">
        <v>2838</v>
      </c>
      <c r="AM354" s="473">
        <v>189</v>
      </c>
      <c r="AN354" s="473">
        <v>662</v>
      </c>
      <c r="AO354" s="473">
        <v>378</v>
      </c>
      <c r="AP354" s="473">
        <v>95</v>
      </c>
      <c r="AQ354" s="473">
        <v>1800</v>
      </c>
      <c r="AR354" s="473">
        <v>1183</v>
      </c>
      <c r="AS354" s="473">
        <v>0</v>
      </c>
      <c r="AT354" s="473">
        <v>1600</v>
      </c>
      <c r="AU354" s="473">
        <v>0</v>
      </c>
      <c r="AV354" s="473">
        <v>43642</v>
      </c>
      <c r="AW354" s="474">
        <v>43642</v>
      </c>
      <c r="AX354" s="473">
        <v>0</v>
      </c>
      <c r="AY354" s="473">
        <v>0</v>
      </c>
      <c r="AZ354" s="475">
        <v>0</v>
      </c>
      <c r="BA354" s="475">
        <v>200</v>
      </c>
      <c r="BB354" s="475">
        <v>1800</v>
      </c>
      <c r="BC354" s="475">
        <v>0</v>
      </c>
      <c r="BD354" s="475">
        <v>0</v>
      </c>
      <c r="BE354" s="475">
        <v>25</v>
      </c>
      <c r="BF354" s="475">
        <v>0</v>
      </c>
      <c r="BG354" s="475">
        <v>2025</v>
      </c>
      <c r="BH354" s="476">
        <v>41617</v>
      </c>
      <c r="BI354" s="467"/>
      <c r="BJ354" s="468"/>
    </row>
    <row r="355" spans="1:62">
      <c r="A355" s="469">
        <v>45809</v>
      </c>
      <c r="B355" s="469" t="s">
        <v>747</v>
      </c>
      <c r="C355" s="508" t="s">
        <v>748</v>
      </c>
      <c r="D355" s="470" t="s">
        <v>749</v>
      </c>
      <c r="E355" s="471">
        <v>1738</v>
      </c>
      <c r="F355" s="470" t="s">
        <v>1162</v>
      </c>
      <c r="G355" s="470" t="s">
        <v>751</v>
      </c>
      <c r="H355" s="470" t="s">
        <v>12</v>
      </c>
      <c r="I355" s="470" t="s">
        <v>938</v>
      </c>
      <c r="J355" s="472" t="s">
        <v>1163</v>
      </c>
      <c r="K355" s="470" t="s">
        <v>1164</v>
      </c>
      <c r="L355" s="470" t="s">
        <v>1165</v>
      </c>
      <c r="M355" s="470" t="s">
        <v>1165</v>
      </c>
      <c r="N355" s="470" t="s">
        <v>756</v>
      </c>
      <c r="O355" s="472" t="s">
        <v>757</v>
      </c>
      <c r="P355" s="472" t="s">
        <v>738</v>
      </c>
      <c r="Q355" s="472" t="s">
        <v>758</v>
      </c>
      <c r="R355" s="472" t="s">
        <v>12</v>
      </c>
      <c r="S355" s="472" t="s">
        <v>12</v>
      </c>
      <c r="T355" s="472" t="s">
        <v>1166</v>
      </c>
      <c r="U355" s="470" t="s">
        <v>1167</v>
      </c>
      <c r="V355" s="470" t="s">
        <v>761</v>
      </c>
      <c r="W355" s="470" t="s">
        <v>762</v>
      </c>
      <c r="X355" s="470">
        <v>30</v>
      </c>
      <c r="Y355" s="470">
        <v>0</v>
      </c>
      <c r="Z355" s="470">
        <v>0</v>
      </c>
      <c r="AA355" s="470">
        <v>30</v>
      </c>
      <c r="AB355" s="470">
        <v>30</v>
      </c>
      <c r="AC355" s="473">
        <v>35983</v>
      </c>
      <c r="AD355" s="473">
        <v>35983</v>
      </c>
      <c r="AE355" s="473">
        <v>16192</v>
      </c>
      <c r="AF355" s="473">
        <v>6477</v>
      </c>
      <c r="AG355" s="473">
        <v>1600</v>
      </c>
      <c r="AH355" s="473">
        <v>200</v>
      </c>
      <c r="AI355" s="473">
        <v>1250</v>
      </c>
      <c r="AJ355" s="473">
        <v>0</v>
      </c>
      <c r="AK355" s="473">
        <v>0</v>
      </c>
      <c r="AL355" s="473">
        <v>0</v>
      </c>
      <c r="AM355" s="473">
        <v>0</v>
      </c>
      <c r="AN355" s="473">
        <v>0</v>
      </c>
      <c r="AO355" s="473">
        <v>0</v>
      </c>
      <c r="AP355" s="473">
        <v>0</v>
      </c>
      <c r="AQ355" s="473">
        <v>1800</v>
      </c>
      <c r="AR355" s="473">
        <v>8464</v>
      </c>
      <c r="AS355" s="473">
        <v>0</v>
      </c>
      <c r="AT355" s="473">
        <v>1200</v>
      </c>
      <c r="AU355" s="473">
        <v>0</v>
      </c>
      <c r="AV355" s="473">
        <v>37183</v>
      </c>
      <c r="AW355" s="474">
        <v>37183</v>
      </c>
      <c r="AX355" s="473">
        <v>0</v>
      </c>
      <c r="AY355" s="473">
        <v>0</v>
      </c>
      <c r="AZ355" s="475">
        <v>0</v>
      </c>
      <c r="BA355" s="475">
        <v>200</v>
      </c>
      <c r="BB355" s="475">
        <v>1800</v>
      </c>
      <c r="BC355" s="475">
        <v>0</v>
      </c>
      <c r="BD355" s="475">
        <v>0</v>
      </c>
      <c r="BE355" s="475">
        <v>25</v>
      </c>
      <c r="BF355" s="475">
        <v>0</v>
      </c>
      <c r="BG355" s="475">
        <v>2025</v>
      </c>
      <c r="BH355" s="476">
        <v>35158</v>
      </c>
      <c r="BI355" s="467"/>
      <c r="BJ355" s="468"/>
    </row>
    <row r="356" spans="1:62">
      <c r="A356" s="469">
        <v>45809</v>
      </c>
      <c r="B356" s="469" t="s">
        <v>747</v>
      </c>
      <c r="C356" s="508" t="s">
        <v>748</v>
      </c>
      <c r="D356" s="470" t="s">
        <v>749</v>
      </c>
      <c r="E356" s="471">
        <v>1510</v>
      </c>
      <c r="F356" s="470" t="s">
        <v>1168</v>
      </c>
      <c r="G356" s="470" t="s">
        <v>751</v>
      </c>
      <c r="H356" s="470" t="s">
        <v>12</v>
      </c>
      <c r="I356" s="470" t="s">
        <v>1169</v>
      </c>
      <c r="J356" s="472" t="s">
        <v>1170</v>
      </c>
      <c r="K356" s="470" t="s">
        <v>1171</v>
      </c>
      <c r="L356" s="470" t="s">
        <v>1172</v>
      </c>
      <c r="M356" s="470" t="s">
        <v>1172</v>
      </c>
      <c r="N356" s="470" t="s">
        <v>777</v>
      </c>
      <c r="O356" s="472" t="s">
        <v>757</v>
      </c>
      <c r="P356" s="472" t="s">
        <v>738</v>
      </c>
      <c r="Q356" s="472" t="s">
        <v>758</v>
      </c>
      <c r="R356" s="472" t="s">
        <v>12</v>
      </c>
      <c r="S356" s="472" t="s">
        <v>12</v>
      </c>
      <c r="T356" s="472" t="s">
        <v>1173</v>
      </c>
      <c r="U356" s="470" t="s">
        <v>1174</v>
      </c>
      <c r="V356" s="470" t="s">
        <v>761</v>
      </c>
      <c r="W356" s="470" t="s">
        <v>762</v>
      </c>
      <c r="X356" s="470">
        <v>30</v>
      </c>
      <c r="Y356" s="470">
        <v>0</v>
      </c>
      <c r="Z356" s="470">
        <v>0</v>
      </c>
      <c r="AA356" s="470">
        <v>30</v>
      </c>
      <c r="AB356" s="470">
        <v>30</v>
      </c>
      <c r="AC356" s="473">
        <v>49307</v>
      </c>
      <c r="AD356" s="473">
        <v>49307</v>
      </c>
      <c r="AE356" s="473">
        <v>22188</v>
      </c>
      <c r="AF356" s="473">
        <v>8875</v>
      </c>
      <c r="AG356" s="473">
        <v>1600</v>
      </c>
      <c r="AH356" s="473">
        <v>200</v>
      </c>
      <c r="AI356" s="473">
        <v>1250</v>
      </c>
      <c r="AJ356" s="473">
        <v>1848</v>
      </c>
      <c r="AK356" s="473">
        <v>4438</v>
      </c>
      <c r="AL356" s="473">
        <v>3328</v>
      </c>
      <c r="AM356" s="473">
        <v>222</v>
      </c>
      <c r="AN356" s="473">
        <v>777</v>
      </c>
      <c r="AO356" s="473">
        <v>444</v>
      </c>
      <c r="AP356" s="473">
        <v>111</v>
      </c>
      <c r="AQ356" s="473">
        <v>1800</v>
      </c>
      <c r="AR356" s="473">
        <v>2226</v>
      </c>
      <c r="AS356" s="473">
        <v>0</v>
      </c>
      <c r="AT356" s="473">
        <v>0</v>
      </c>
      <c r="AU356" s="473">
        <v>979</v>
      </c>
      <c r="AV356" s="473">
        <v>50286</v>
      </c>
      <c r="AW356" s="474">
        <v>49307</v>
      </c>
      <c r="AX356" s="473">
        <v>0</v>
      </c>
      <c r="AY356" s="473">
        <v>0</v>
      </c>
      <c r="AZ356" s="475">
        <v>0</v>
      </c>
      <c r="BA356" s="475">
        <v>200</v>
      </c>
      <c r="BB356" s="475">
        <v>1800</v>
      </c>
      <c r="BC356" s="475">
        <v>0</v>
      </c>
      <c r="BD356" s="475">
        <v>0</v>
      </c>
      <c r="BE356" s="475">
        <v>25</v>
      </c>
      <c r="BF356" s="475">
        <v>0</v>
      </c>
      <c r="BG356" s="475">
        <v>2025</v>
      </c>
      <c r="BH356" s="476">
        <v>48261</v>
      </c>
      <c r="BI356" s="467"/>
      <c r="BJ356" s="468"/>
    </row>
    <row r="357" spans="1:62">
      <c r="A357" s="469">
        <v>45809</v>
      </c>
      <c r="B357" s="469" t="s">
        <v>747</v>
      </c>
      <c r="C357" s="508" t="s">
        <v>748</v>
      </c>
      <c r="D357" s="470" t="s">
        <v>749</v>
      </c>
      <c r="E357" s="471">
        <v>1589</v>
      </c>
      <c r="F357" s="470" t="s">
        <v>1175</v>
      </c>
      <c r="G357" s="470" t="s">
        <v>751</v>
      </c>
      <c r="H357" s="470" t="s">
        <v>12</v>
      </c>
      <c r="I357" s="470" t="s">
        <v>1176</v>
      </c>
      <c r="J357" s="472" t="s">
        <v>1177</v>
      </c>
      <c r="K357" s="470" t="s">
        <v>1178</v>
      </c>
      <c r="L357" s="470" t="s">
        <v>1165</v>
      </c>
      <c r="M357" s="470" t="s">
        <v>1165</v>
      </c>
      <c r="N357" s="470" t="s">
        <v>756</v>
      </c>
      <c r="O357" s="472" t="s">
        <v>757</v>
      </c>
      <c r="P357" s="472" t="s">
        <v>738</v>
      </c>
      <c r="Q357" s="472" t="s">
        <v>758</v>
      </c>
      <c r="R357" s="472" t="s">
        <v>12</v>
      </c>
      <c r="S357" s="472" t="s">
        <v>12</v>
      </c>
      <c r="T357" s="472" t="s">
        <v>1179</v>
      </c>
      <c r="U357" s="470" t="s">
        <v>1180</v>
      </c>
      <c r="V357" s="470" t="s">
        <v>761</v>
      </c>
      <c r="W357" s="470" t="s">
        <v>762</v>
      </c>
      <c r="X357" s="470">
        <v>30</v>
      </c>
      <c r="Y357" s="470">
        <v>0</v>
      </c>
      <c r="Z357" s="470">
        <v>0.5</v>
      </c>
      <c r="AA357" s="470">
        <v>29.5</v>
      </c>
      <c r="AB357" s="470">
        <v>29.5</v>
      </c>
      <c r="AC357" s="473">
        <v>34250</v>
      </c>
      <c r="AD357" s="473">
        <v>34250</v>
      </c>
      <c r="AE357" s="473">
        <v>15156</v>
      </c>
      <c r="AF357" s="473">
        <v>6062</v>
      </c>
      <c r="AG357" s="473">
        <v>1573</v>
      </c>
      <c r="AH357" s="473">
        <v>197</v>
      </c>
      <c r="AI357" s="473">
        <v>1229</v>
      </c>
      <c r="AJ357" s="473">
        <v>0</v>
      </c>
      <c r="AK357" s="473">
        <v>0</v>
      </c>
      <c r="AL357" s="473">
        <v>0</v>
      </c>
      <c r="AM357" s="473">
        <v>0</v>
      </c>
      <c r="AN357" s="473">
        <v>0</v>
      </c>
      <c r="AO357" s="473">
        <v>0</v>
      </c>
      <c r="AP357" s="473">
        <v>0</v>
      </c>
      <c r="AQ357" s="473">
        <v>1800</v>
      </c>
      <c r="AR357" s="473">
        <v>7662</v>
      </c>
      <c r="AS357" s="473">
        <v>0</v>
      </c>
      <c r="AT357" s="473">
        <v>1400</v>
      </c>
      <c r="AU357" s="473">
        <v>0</v>
      </c>
      <c r="AV357" s="473">
        <v>35079</v>
      </c>
      <c r="AW357" s="474">
        <v>35079</v>
      </c>
      <c r="AX357" s="473">
        <v>0</v>
      </c>
      <c r="AY357" s="473">
        <v>0</v>
      </c>
      <c r="AZ357" s="475">
        <v>0</v>
      </c>
      <c r="BA357" s="475">
        <v>200</v>
      </c>
      <c r="BB357" s="475">
        <v>1800</v>
      </c>
      <c r="BC357" s="475">
        <v>0</v>
      </c>
      <c r="BD357" s="475">
        <v>0</v>
      </c>
      <c r="BE357" s="475">
        <v>25</v>
      </c>
      <c r="BF357" s="475">
        <v>0</v>
      </c>
      <c r="BG357" s="475">
        <v>2025</v>
      </c>
      <c r="BH357" s="476">
        <v>33054</v>
      </c>
      <c r="BI357" s="467"/>
      <c r="BJ357" s="468"/>
    </row>
    <row r="358" spans="1:62">
      <c r="A358" s="469">
        <v>45809</v>
      </c>
      <c r="B358" s="469" t="s">
        <v>747</v>
      </c>
      <c r="C358" s="508" t="s">
        <v>748</v>
      </c>
      <c r="D358" s="470" t="s">
        <v>749</v>
      </c>
      <c r="E358" s="471">
        <v>2069</v>
      </c>
      <c r="F358" s="470" t="s">
        <v>1181</v>
      </c>
      <c r="G358" s="470" t="s">
        <v>751</v>
      </c>
      <c r="H358" s="470" t="s">
        <v>12</v>
      </c>
      <c r="I358" s="470" t="s">
        <v>1182</v>
      </c>
      <c r="J358" s="472" t="s">
        <v>1183</v>
      </c>
      <c r="K358" s="470" t="s">
        <v>1184</v>
      </c>
      <c r="L358" s="470" t="s">
        <v>767</v>
      </c>
      <c r="M358" s="470" t="s">
        <v>767</v>
      </c>
      <c r="N358" s="470" t="s">
        <v>756</v>
      </c>
      <c r="O358" s="472" t="s">
        <v>757</v>
      </c>
      <c r="P358" s="472" t="s">
        <v>738</v>
      </c>
      <c r="Q358" s="472" t="s">
        <v>758</v>
      </c>
      <c r="R358" s="472" t="s">
        <v>12</v>
      </c>
      <c r="S358" s="472" t="s">
        <v>12</v>
      </c>
      <c r="T358" s="472" t="s">
        <v>1185</v>
      </c>
      <c r="U358" s="470" t="s">
        <v>1186</v>
      </c>
      <c r="V358" s="470" t="s">
        <v>761</v>
      </c>
      <c r="W358" s="470" t="s">
        <v>1187</v>
      </c>
      <c r="X358" s="470">
        <v>30</v>
      </c>
      <c r="Y358" s="470">
        <v>0</v>
      </c>
      <c r="Z358" s="470">
        <v>2</v>
      </c>
      <c r="AA358" s="470">
        <v>28</v>
      </c>
      <c r="AB358" s="470">
        <v>28</v>
      </c>
      <c r="AC358" s="473">
        <v>70000</v>
      </c>
      <c r="AD358" s="473">
        <v>70000</v>
      </c>
      <c r="AE358" s="473">
        <v>29400</v>
      </c>
      <c r="AF358" s="473">
        <v>11760</v>
      </c>
      <c r="AG358" s="473">
        <v>1493</v>
      </c>
      <c r="AH358" s="473">
        <v>187</v>
      </c>
      <c r="AI358" s="473">
        <v>1167</v>
      </c>
      <c r="AJ358" s="473">
        <v>2449</v>
      </c>
      <c r="AK358" s="473">
        <v>5880</v>
      </c>
      <c r="AL358" s="473">
        <v>4410</v>
      </c>
      <c r="AM358" s="473">
        <v>294</v>
      </c>
      <c r="AN358" s="473">
        <v>1029</v>
      </c>
      <c r="AO358" s="473">
        <v>588</v>
      </c>
      <c r="AP358" s="473">
        <v>147</v>
      </c>
      <c r="AQ358" s="473">
        <v>1800</v>
      </c>
      <c r="AR358" s="473">
        <v>4729</v>
      </c>
      <c r="AS358" s="473">
        <v>0</v>
      </c>
      <c r="AT358" s="473">
        <v>1000</v>
      </c>
      <c r="AU358" s="473">
        <v>0</v>
      </c>
      <c r="AV358" s="473">
        <v>66333</v>
      </c>
      <c r="AW358" s="474">
        <v>66333</v>
      </c>
      <c r="AX358" s="473">
        <v>0</v>
      </c>
      <c r="AY358" s="473">
        <v>0</v>
      </c>
      <c r="AZ358" s="475">
        <v>0</v>
      </c>
      <c r="BA358" s="475">
        <v>200</v>
      </c>
      <c r="BB358" s="475">
        <v>1800</v>
      </c>
      <c r="BC358" s="475">
        <v>0</v>
      </c>
      <c r="BD358" s="475">
        <v>0</v>
      </c>
      <c r="BE358" s="475">
        <v>25</v>
      </c>
      <c r="BF358" s="475">
        <v>0</v>
      </c>
      <c r="BG358" s="475">
        <v>2025</v>
      </c>
      <c r="BH358" s="476">
        <v>64308</v>
      </c>
      <c r="BI358" s="467"/>
      <c r="BJ358" s="468"/>
    </row>
    <row r="359" spans="1:62">
      <c r="A359" s="469">
        <v>45809</v>
      </c>
      <c r="B359" s="469" t="s">
        <v>747</v>
      </c>
      <c r="C359" s="508" t="s">
        <v>748</v>
      </c>
      <c r="D359" s="470" t="s">
        <v>749</v>
      </c>
      <c r="E359" s="471">
        <v>454</v>
      </c>
      <c r="F359" s="470" t="s">
        <v>1188</v>
      </c>
      <c r="G359" s="470" t="s">
        <v>751</v>
      </c>
      <c r="H359" s="470" t="s">
        <v>12</v>
      </c>
      <c r="I359" s="470" t="s">
        <v>1189</v>
      </c>
      <c r="J359" s="472" t="s">
        <v>1190</v>
      </c>
      <c r="K359" s="470" t="s">
        <v>1191</v>
      </c>
      <c r="L359" s="470" t="s">
        <v>1192</v>
      </c>
      <c r="M359" s="470" t="s">
        <v>1165</v>
      </c>
      <c r="N359" s="470" t="s">
        <v>756</v>
      </c>
      <c r="O359" s="472" t="s">
        <v>757</v>
      </c>
      <c r="P359" s="472" t="s">
        <v>738</v>
      </c>
      <c r="Q359" s="472" t="s">
        <v>758</v>
      </c>
      <c r="R359" s="472" t="s">
        <v>12</v>
      </c>
      <c r="S359" s="472" t="s">
        <v>12</v>
      </c>
      <c r="T359" s="472" t="s">
        <v>1193</v>
      </c>
      <c r="U359" s="470" t="s">
        <v>1194</v>
      </c>
      <c r="V359" s="470" t="s">
        <v>761</v>
      </c>
      <c r="W359" s="470" t="s">
        <v>1195</v>
      </c>
      <c r="X359" s="470">
        <v>30</v>
      </c>
      <c r="Y359" s="470">
        <v>0</v>
      </c>
      <c r="Z359" s="470">
        <v>0</v>
      </c>
      <c r="AA359" s="470">
        <v>30</v>
      </c>
      <c r="AB359" s="470">
        <v>30</v>
      </c>
      <c r="AC359" s="473">
        <v>27925</v>
      </c>
      <c r="AD359" s="473">
        <v>27925</v>
      </c>
      <c r="AE359" s="473">
        <v>12566</v>
      </c>
      <c r="AF359" s="473">
        <v>5026</v>
      </c>
      <c r="AG359" s="473">
        <v>1600</v>
      </c>
      <c r="AH359" s="473">
        <v>200</v>
      </c>
      <c r="AI359" s="473">
        <v>1250</v>
      </c>
      <c r="AJ359" s="473">
        <v>0</v>
      </c>
      <c r="AK359" s="473">
        <v>0</v>
      </c>
      <c r="AL359" s="473">
        <v>0</v>
      </c>
      <c r="AM359" s="473">
        <v>0</v>
      </c>
      <c r="AN359" s="473">
        <v>0</v>
      </c>
      <c r="AO359" s="473">
        <v>0</v>
      </c>
      <c r="AP359" s="473">
        <v>0</v>
      </c>
      <c r="AQ359" s="473">
        <v>1508</v>
      </c>
      <c r="AR359" s="473">
        <v>5775</v>
      </c>
      <c r="AS359" s="473">
        <v>0</v>
      </c>
      <c r="AT359" s="473">
        <v>0</v>
      </c>
      <c r="AU359" s="473">
        <v>5994</v>
      </c>
      <c r="AV359" s="473">
        <v>33919</v>
      </c>
      <c r="AW359" s="474">
        <v>27925</v>
      </c>
      <c r="AX359" s="473">
        <v>0</v>
      </c>
      <c r="AY359" s="473">
        <v>0</v>
      </c>
      <c r="AZ359" s="475">
        <v>0</v>
      </c>
      <c r="BA359" s="475">
        <v>200</v>
      </c>
      <c r="BB359" s="475">
        <v>1508</v>
      </c>
      <c r="BC359" s="475">
        <v>0</v>
      </c>
      <c r="BD359" s="475">
        <v>0</v>
      </c>
      <c r="BE359" s="475">
        <v>25</v>
      </c>
      <c r="BF359" s="475">
        <v>0</v>
      </c>
      <c r="BG359" s="475">
        <v>1733</v>
      </c>
      <c r="BH359" s="476">
        <v>32186</v>
      </c>
      <c r="BI359" s="467"/>
      <c r="BJ359" s="468"/>
    </row>
    <row r="360" spans="1:62">
      <c r="A360" s="469">
        <v>45809</v>
      </c>
      <c r="B360" s="469" t="s">
        <v>747</v>
      </c>
      <c r="C360" s="508" t="s">
        <v>748</v>
      </c>
      <c r="D360" s="470" t="s">
        <v>749</v>
      </c>
      <c r="E360" s="471">
        <v>1515</v>
      </c>
      <c r="F360" s="470" t="s">
        <v>1196</v>
      </c>
      <c r="G360" s="470" t="s">
        <v>751</v>
      </c>
      <c r="H360" s="470" t="s">
        <v>12</v>
      </c>
      <c r="I360" s="470" t="s">
        <v>878</v>
      </c>
      <c r="J360" s="472" t="s">
        <v>1197</v>
      </c>
      <c r="K360" s="470" t="s">
        <v>1198</v>
      </c>
      <c r="L360" s="470" t="s">
        <v>942</v>
      </c>
      <c r="M360" s="470" t="s">
        <v>942</v>
      </c>
      <c r="N360" s="470" t="s">
        <v>777</v>
      </c>
      <c r="O360" s="472" t="s">
        <v>792</v>
      </c>
      <c r="P360" s="472" t="s">
        <v>738</v>
      </c>
      <c r="Q360" s="472" t="s">
        <v>758</v>
      </c>
      <c r="R360" s="472" t="s">
        <v>12</v>
      </c>
      <c r="S360" s="472" t="s">
        <v>12</v>
      </c>
      <c r="T360" s="472" t="s">
        <v>1199</v>
      </c>
      <c r="U360" s="470" t="s">
        <v>1200</v>
      </c>
      <c r="V360" s="470" t="s">
        <v>761</v>
      </c>
      <c r="W360" s="470" t="s">
        <v>1201</v>
      </c>
      <c r="X360" s="470">
        <v>30</v>
      </c>
      <c r="Y360" s="470">
        <v>0</v>
      </c>
      <c r="Z360" s="470">
        <v>0.5</v>
      </c>
      <c r="AA360" s="470">
        <v>29.5</v>
      </c>
      <c r="AB360" s="470">
        <v>29.5</v>
      </c>
      <c r="AC360" s="473">
        <v>184245</v>
      </c>
      <c r="AD360" s="473">
        <v>184245</v>
      </c>
      <c r="AE360" s="473">
        <v>81528</v>
      </c>
      <c r="AF360" s="473">
        <v>32611</v>
      </c>
      <c r="AG360" s="473">
        <v>1573</v>
      </c>
      <c r="AH360" s="473">
        <v>197</v>
      </c>
      <c r="AI360" s="473">
        <v>1229</v>
      </c>
      <c r="AJ360" s="473">
        <v>6791</v>
      </c>
      <c r="AK360" s="473">
        <v>16306</v>
      </c>
      <c r="AL360" s="473">
        <v>12229</v>
      </c>
      <c r="AM360" s="473">
        <v>815</v>
      </c>
      <c r="AN360" s="473">
        <v>2853</v>
      </c>
      <c r="AO360" s="473">
        <v>1631</v>
      </c>
      <c r="AP360" s="473">
        <v>408</v>
      </c>
      <c r="AQ360" s="473">
        <v>1800</v>
      </c>
      <c r="AR360" s="473">
        <v>21203</v>
      </c>
      <c r="AS360" s="473">
        <v>0</v>
      </c>
      <c r="AT360" s="473">
        <v>0</v>
      </c>
      <c r="AU360" s="473">
        <v>0</v>
      </c>
      <c r="AV360" s="473">
        <v>181174</v>
      </c>
      <c r="AW360" s="474">
        <v>181174</v>
      </c>
      <c r="AX360" s="473">
        <v>0</v>
      </c>
      <c r="AY360" s="473">
        <v>0</v>
      </c>
      <c r="AZ360" s="475">
        <v>26190</v>
      </c>
      <c r="BA360" s="475">
        <v>200</v>
      </c>
      <c r="BB360" s="475">
        <v>1800</v>
      </c>
      <c r="BC360" s="475">
        <v>0</v>
      </c>
      <c r="BD360" s="475">
        <v>0</v>
      </c>
      <c r="BE360" s="475">
        <v>25</v>
      </c>
      <c r="BF360" s="475">
        <v>0</v>
      </c>
      <c r="BG360" s="475">
        <v>28215</v>
      </c>
      <c r="BH360" s="476">
        <v>152959</v>
      </c>
      <c r="BI360" s="467"/>
      <c r="BJ360" s="468"/>
    </row>
    <row r="361" spans="1:62">
      <c r="A361" s="469">
        <v>45809</v>
      </c>
      <c r="B361" s="469" t="s">
        <v>747</v>
      </c>
      <c r="C361" s="508" t="s">
        <v>748</v>
      </c>
      <c r="D361" s="470" t="s">
        <v>749</v>
      </c>
      <c r="E361" s="471">
        <v>2015</v>
      </c>
      <c r="F361" s="470" t="s">
        <v>1202</v>
      </c>
      <c r="G361" s="470" t="s">
        <v>751</v>
      </c>
      <c r="H361" s="470" t="s">
        <v>12</v>
      </c>
      <c r="I361" s="470" t="s">
        <v>847</v>
      </c>
      <c r="J361" s="472" t="s">
        <v>1203</v>
      </c>
      <c r="K361" s="470" t="s">
        <v>1204</v>
      </c>
      <c r="L361" s="470" t="s">
        <v>824</v>
      </c>
      <c r="M361" s="470" t="s">
        <v>824</v>
      </c>
      <c r="N361" s="470" t="s">
        <v>777</v>
      </c>
      <c r="O361" s="472" t="s">
        <v>757</v>
      </c>
      <c r="P361" s="472" t="s">
        <v>738</v>
      </c>
      <c r="Q361" s="472" t="s">
        <v>758</v>
      </c>
      <c r="R361" s="472" t="s">
        <v>12</v>
      </c>
      <c r="S361" s="472" t="s">
        <v>12</v>
      </c>
      <c r="T361" s="472" t="s">
        <v>1205</v>
      </c>
      <c r="U361" s="470" t="s">
        <v>1206</v>
      </c>
      <c r="V361" s="470" t="s">
        <v>761</v>
      </c>
      <c r="W361" s="470" t="s">
        <v>762</v>
      </c>
      <c r="X361" s="470">
        <v>30</v>
      </c>
      <c r="Y361" s="470">
        <v>0</v>
      </c>
      <c r="Z361" s="470">
        <v>3</v>
      </c>
      <c r="AA361" s="470">
        <v>27</v>
      </c>
      <c r="AB361" s="470">
        <v>27</v>
      </c>
      <c r="AC361" s="473">
        <v>56533</v>
      </c>
      <c r="AD361" s="473">
        <v>56533</v>
      </c>
      <c r="AE361" s="473">
        <v>22896</v>
      </c>
      <c r="AF361" s="473">
        <v>9158</v>
      </c>
      <c r="AG361" s="473">
        <v>1440</v>
      </c>
      <c r="AH361" s="473">
        <v>180</v>
      </c>
      <c r="AI361" s="473">
        <v>1125</v>
      </c>
      <c r="AJ361" s="473">
        <v>1907</v>
      </c>
      <c r="AK361" s="473">
        <v>4579</v>
      </c>
      <c r="AL361" s="473">
        <v>3434</v>
      </c>
      <c r="AM361" s="473">
        <v>229</v>
      </c>
      <c r="AN361" s="473">
        <v>801</v>
      </c>
      <c r="AO361" s="473">
        <v>458</v>
      </c>
      <c r="AP361" s="473">
        <v>114</v>
      </c>
      <c r="AQ361" s="473">
        <v>1800</v>
      </c>
      <c r="AR361" s="473">
        <v>2759</v>
      </c>
      <c r="AS361" s="473">
        <v>0</v>
      </c>
      <c r="AT361" s="473">
        <v>0</v>
      </c>
      <c r="AU361" s="473">
        <v>2533</v>
      </c>
      <c r="AV361" s="473">
        <v>53413</v>
      </c>
      <c r="AW361" s="474">
        <v>50880</v>
      </c>
      <c r="AX361" s="473">
        <v>0</v>
      </c>
      <c r="AY361" s="473">
        <v>0</v>
      </c>
      <c r="AZ361" s="475">
        <v>0</v>
      </c>
      <c r="BA361" s="475">
        <v>200</v>
      </c>
      <c r="BB361" s="475">
        <v>1800</v>
      </c>
      <c r="BC361" s="475">
        <v>0</v>
      </c>
      <c r="BD361" s="475">
        <v>0</v>
      </c>
      <c r="BE361" s="475">
        <v>25</v>
      </c>
      <c r="BF361" s="475">
        <v>0</v>
      </c>
      <c r="BG361" s="475">
        <v>2025</v>
      </c>
      <c r="BH361" s="476">
        <v>51388</v>
      </c>
      <c r="BI361" s="467"/>
      <c r="BJ361" s="468"/>
    </row>
    <row r="362" spans="1:62">
      <c r="A362" s="469">
        <v>45809</v>
      </c>
      <c r="B362" s="469" t="s">
        <v>747</v>
      </c>
      <c r="C362" s="508" t="s">
        <v>748</v>
      </c>
      <c r="D362" s="470" t="s">
        <v>749</v>
      </c>
      <c r="E362" s="471">
        <v>1166</v>
      </c>
      <c r="F362" s="470" t="s">
        <v>1207</v>
      </c>
      <c r="G362" s="470" t="s">
        <v>751</v>
      </c>
      <c r="H362" s="470" t="s">
        <v>12</v>
      </c>
      <c r="I362" s="470" t="s">
        <v>1208</v>
      </c>
      <c r="J362" s="472" t="s">
        <v>1209</v>
      </c>
      <c r="K362" s="470" t="s">
        <v>1210</v>
      </c>
      <c r="L362" s="470" t="s">
        <v>1211</v>
      </c>
      <c r="M362" s="470" t="s">
        <v>1212</v>
      </c>
      <c r="N362" s="470" t="s">
        <v>756</v>
      </c>
      <c r="O362" s="472" t="s">
        <v>757</v>
      </c>
      <c r="P362" s="472" t="s">
        <v>738</v>
      </c>
      <c r="Q362" s="472" t="s">
        <v>758</v>
      </c>
      <c r="R362" s="472" t="s">
        <v>12</v>
      </c>
      <c r="S362" s="472" t="s">
        <v>12</v>
      </c>
      <c r="T362" s="472" t="s">
        <v>1213</v>
      </c>
      <c r="U362" s="470" t="s">
        <v>1214</v>
      </c>
      <c r="V362" s="470" t="s">
        <v>761</v>
      </c>
      <c r="W362" s="470" t="s">
        <v>859</v>
      </c>
      <c r="X362" s="470">
        <v>30</v>
      </c>
      <c r="Y362" s="470">
        <v>0</v>
      </c>
      <c r="Z362" s="470">
        <v>1.5</v>
      </c>
      <c r="AA362" s="470">
        <v>28.5</v>
      </c>
      <c r="AB362" s="470">
        <v>28.5</v>
      </c>
      <c r="AC362" s="473">
        <v>59983</v>
      </c>
      <c r="AD362" s="473">
        <v>59983</v>
      </c>
      <c r="AE362" s="473">
        <v>25643</v>
      </c>
      <c r="AF362" s="473">
        <v>10257</v>
      </c>
      <c r="AG362" s="473">
        <v>1520</v>
      </c>
      <c r="AH362" s="473">
        <v>190</v>
      </c>
      <c r="AI362" s="473">
        <v>1188</v>
      </c>
      <c r="AJ362" s="473">
        <v>2136</v>
      </c>
      <c r="AK362" s="473">
        <v>5129</v>
      </c>
      <c r="AL362" s="473">
        <v>3846</v>
      </c>
      <c r="AM362" s="473">
        <v>256</v>
      </c>
      <c r="AN362" s="473">
        <v>898</v>
      </c>
      <c r="AO362" s="473">
        <v>513</v>
      </c>
      <c r="AP362" s="473">
        <v>128</v>
      </c>
      <c r="AQ362" s="473">
        <v>1800</v>
      </c>
      <c r="AR362" s="473">
        <v>3480</v>
      </c>
      <c r="AS362" s="473">
        <v>0</v>
      </c>
      <c r="AT362" s="473">
        <v>400</v>
      </c>
      <c r="AU362" s="473">
        <v>1211</v>
      </c>
      <c r="AV362" s="473">
        <v>58595</v>
      </c>
      <c r="AW362" s="474">
        <v>57384</v>
      </c>
      <c r="AX362" s="473">
        <v>0</v>
      </c>
      <c r="AY362" s="473">
        <v>2327</v>
      </c>
      <c r="AZ362" s="475">
        <v>0</v>
      </c>
      <c r="BA362" s="475">
        <v>200</v>
      </c>
      <c r="BB362" s="475">
        <v>1800</v>
      </c>
      <c r="BC362" s="475">
        <v>0</v>
      </c>
      <c r="BD362" s="475">
        <v>0</v>
      </c>
      <c r="BE362" s="475">
        <v>25</v>
      </c>
      <c r="BF362" s="475">
        <v>0</v>
      </c>
      <c r="BG362" s="475">
        <v>4352</v>
      </c>
      <c r="BH362" s="476">
        <v>54243</v>
      </c>
      <c r="BI362" s="467"/>
      <c r="BJ362" s="468"/>
    </row>
    <row r="363" spans="1:62">
      <c r="A363" s="469">
        <v>45809</v>
      </c>
      <c r="B363" s="469" t="s">
        <v>747</v>
      </c>
      <c r="C363" s="508" t="s">
        <v>748</v>
      </c>
      <c r="D363" s="470" t="s">
        <v>749</v>
      </c>
      <c r="E363" s="471">
        <v>247</v>
      </c>
      <c r="F363" s="470" t="s">
        <v>1215</v>
      </c>
      <c r="G363" s="470" t="s">
        <v>751</v>
      </c>
      <c r="H363" s="470" t="s">
        <v>12</v>
      </c>
      <c r="I363" s="470" t="s">
        <v>1216</v>
      </c>
      <c r="J363" s="472" t="s">
        <v>1217</v>
      </c>
      <c r="K363" s="470" t="s">
        <v>1218</v>
      </c>
      <c r="L363" s="470" t="s">
        <v>894</v>
      </c>
      <c r="M363" s="470" t="s">
        <v>1027</v>
      </c>
      <c r="N363" s="470" t="s">
        <v>756</v>
      </c>
      <c r="O363" s="472" t="s">
        <v>757</v>
      </c>
      <c r="P363" s="472" t="s">
        <v>738</v>
      </c>
      <c r="Q363" s="472" t="s">
        <v>758</v>
      </c>
      <c r="R363" s="472" t="s">
        <v>12</v>
      </c>
      <c r="S363" s="472" t="s">
        <v>12</v>
      </c>
      <c r="T363" s="472" t="s">
        <v>1219</v>
      </c>
      <c r="U363" s="470" t="s">
        <v>1220</v>
      </c>
      <c r="V363" s="470" t="s">
        <v>761</v>
      </c>
      <c r="W363" s="470" t="s">
        <v>960</v>
      </c>
      <c r="X363" s="470">
        <v>30</v>
      </c>
      <c r="Y363" s="470">
        <v>0</v>
      </c>
      <c r="Z363" s="470">
        <v>0</v>
      </c>
      <c r="AA363" s="470">
        <v>30</v>
      </c>
      <c r="AB363" s="470">
        <v>30</v>
      </c>
      <c r="AC363" s="473">
        <v>34308</v>
      </c>
      <c r="AD363" s="473">
        <v>34308</v>
      </c>
      <c r="AE363" s="473">
        <v>15439</v>
      </c>
      <c r="AF363" s="473">
        <v>6176</v>
      </c>
      <c r="AG363" s="473">
        <v>1600</v>
      </c>
      <c r="AH363" s="473">
        <v>200</v>
      </c>
      <c r="AI363" s="473">
        <v>1250</v>
      </c>
      <c r="AJ363" s="473">
        <v>0</v>
      </c>
      <c r="AK363" s="473">
        <v>0</v>
      </c>
      <c r="AL363" s="473">
        <v>0</v>
      </c>
      <c r="AM363" s="473">
        <v>0</v>
      </c>
      <c r="AN363" s="473">
        <v>0</v>
      </c>
      <c r="AO363" s="473">
        <v>0</v>
      </c>
      <c r="AP363" s="473">
        <v>0</v>
      </c>
      <c r="AQ363" s="473">
        <v>1800</v>
      </c>
      <c r="AR363" s="473">
        <v>7843</v>
      </c>
      <c r="AS363" s="473">
        <v>0</v>
      </c>
      <c r="AT363" s="473">
        <v>200</v>
      </c>
      <c r="AU363" s="473">
        <v>4698</v>
      </c>
      <c r="AV363" s="473">
        <v>39206</v>
      </c>
      <c r="AW363" s="474">
        <v>34508</v>
      </c>
      <c r="AX363" s="473">
        <v>0</v>
      </c>
      <c r="AY363" s="473">
        <v>0</v>
      </c>
      <c r="AZ363" s="475">
        <v>0</v>
      </c>
      <c r="BA363" s="475">
        <v>200</v>
      </c>
      <c r="BB363" s="475">
        <v>1800</v>
      </c>
      <c r="BC363" s="475">
        <v>0</v>
      </c>
      <c r="BD363" s="475">
        <v>0</v>
      </c>
      <c r="BE363" s="475">
        <v>25</v>
      </c>
      <c r="BF363" s="475">
        <v>0</v>
      </c>
      <c r="BG363" s="475">
        <v>2025</v>
      </c>
      <c r="BH363" s="476">
        <v>37181</v>
      </c>
      <c r="BI363" s="467"/>
      <c r="BJ363" s="468"/>
    </row>
    <row r="364" spans="1:62">
      <c r="A364" s="469">
        <v>45809</v>
      </c>
      <c r="B364" s="469" t="s">
        <v>747</v>
      </c>
      <c r="C364" s="508" t="s">
        <v>748</v>
      </c>
      <c r="D364" s="470" t="s">
        <v>749</v>
      </c>
      <c r="E364" s="471">
        <v>1237</v>
      </c>
      <c r="F364" s="470" t="s">
        <v>1221</v>
      </c>
      <c r="G364" s="470" t="s">
        <v>751</v>
      </c>
      <c r="H364" s="470" t="s">
        <v>12</v>
      </c>
      <c r="I364" s="470" t="s">
        <v>1222</v>
      </c>
      <c r="J364" s="472" t="s">
        <v>1223</v>
      </c>
      <c r="K364" s="470" t="s">
        <v>1224</v>
      </c>
      <c r="L364" s="470" t="s">
        <v>800</v>
      </c>
      <c r="M364" s="470" t="s">
        <v>801</v>
      </c>
      <c r="N364" s="470" t="s">
        <v>756</v>
      </c>
      <c r="O364" s="472" t="s">
        <v>757</v>
      </c>
      <c r="P364" s="472" t="s">
        <v>738</v>
      </c>
      <c r="Q364" s="472" t="s">
        <v>758</v>
      </c>
      <c r="R364" s="472" t="s">
        <v>12</v>
      </c>
      <c r="S364" s="472" t="s">
        <v>12</v>
      </c>
      <c r="T364" s="472" t="s">
        <v>1225</v>
      </c>
      <c r="U364" s="470" t="s">
        <v>1226</v>
      </c>
      <c r="V364" s="470" t="s">
        <v>761</v>
      </c>
      <c r="W364" s="470" t="s">
        <v>762</v>
      </c>
      <c r="X364" s="470">
        <v>30</v>
      </c>
      <c r="Y364" s="470">
        <v>0</v>
      </c>
      <c r="Z364" s="470">
        <v>3</v>
      </c>
      <c r="AA364" s="470">
        <v>27</v>
      </c>
      <c r="AB364" s="470">
        <v>27</v>
      </c>
      <c r="AC364" s="473">
        <v>30000</v>
      </c>
      <c r="AD364" s="473">
        <v>30000</v>
      </c>
      <c r="AE364" s="473">
        <v>12150</v>
      </c>
      <c r="AF364" s="473">
        <v>4860</v>
      </c>
      <c r="AG364" s="473">
        <v>1440</v>
      </c>
      <c r="AH364" s="473">
        <v>180</v>
      </c>
      <c r="AI364" s="473">
        <v>1125</v>
      </c>
      <c r="AJ364" s="473">
        <v>0</v>
      </c>
      <c r="AK364" s="473">
        <v>0</v>
      </c>
      <c r="AL364" s="473">
        <v>0</v>
      </c>
      <c r="AM364" s="473">
        <v>0</v>
      </c>
      <c r="AN364" s="473">
        <v>0</v>
      </c>
      <c r="AO364" s="473">
        <v>0</v>
      </c>
      <c r="AP364" s="473">
        <v>0</v>
      </c>
      <c r="AQ364" s="473">
        <v>1458</v>
      </c>
      <c r="AR364" s="473">
        <v>5787</v>
      </c>
      <c r="AS364" s="473">
        <v>0</v>
      </c>
      <c r="AT364" s="473">
        <v>200</v>
      </c>
      <c r="AU364" s="473">
        <v>0</v>
      </c>
      <c r="AV364" s="473">
        <v>27200</v>
      </c>
      <c r="AW364" s="474">
        <v>27200</v>
      </c>
      <c r="AX364" s="473">
        <v>0</v>
      </c>
      <c r="AY364" s="473">
        <v>0</v>
      </c>
      <c r="AZ364" s="475">
        <v>0</v>
      </c>
      <c r="BA364" s="475">
        <v>200</v>
      </c>
      <c r="BB364" s="475">
        <v>1458</v>
      </c>
      <c r="BC364" s="475">
        <v>0</v>
      </c>
      <c r="BD364" s="475">
        <v>0</v>
      </c>
      <c r="BE364" s="475">
        <v>25</v>
      </c>
      <c r="BF364" s="475">
        <v>0</v>
      </c>
      <c r="BG364" s="475">
        <v>1683</v>
      </c>
      <c r="BH364" s="476">
        <v>25517</v>
      </c>
      <c r="BI364" s="467"/>
      <c r="BJ364" s="468"/>
    </row>
    <row r="365" spans="1:62">
      <c r="A365" s="469">
        <v>45809</v>
      </c>
      <c r="B365" s="469" t="s">
        <v>747</v>
      </c>
      <c r="C365" s="508" t="s">
        <v>748</v>
      </c>
      <c r="D365" s="470" t="s">
        <v>749</v>
      </c>
      <c r="E365" s="471">
        <v>1941</v>
      </c>
      <c r="F365" s="470" t="s">
        <v>1227</v>
      </c>
      <c r="G365" s="470" t="s">
        <v>751</v>
      </c>
      <c r="H365" s="470" t="s">
        <v>12</v>
      </c>
      <c r="I365" s="470" t="s">
        <v>1228</v>
      </c>
      <c r="J365" s="472" t="s">
        <v>1229</v>
      </c>
      <c r="K365" s="470" t="s">
        <v>1230</v>
      </c>
      <c r="L365" s="470" t="s">
        <v>1165</v>
      </c>
      <c r="M365" s="470" t="s">
        <v>1165</v>
      </c>
      <c r="N365" s="470" t="s">
        <v>756</v>
      </c>
      <c r="O365" s="472" t="s">
        <v>757</v>
      </c>
      <c r="P365" s="472" t="s">
        <v>738</v>
      </c>
      <c r="Q365" s="472" t="s">
        <v>758</v>
      </c>
      <c r="R365" s="472" t="s">
        <v>12</v>
      </c>
      <c r="S365" s="472" t="s">
        <v>12</v>
      </c>
      <c r="T365" s="472" t="s">
        <v>1231</v>
      </c>
      <c r="U365" s="470" t="s">
        <v>1232</v>
      </c>
      <c r="V365" s="470" t="s">
        <v>761</v>
      </c>
      <c r="W365" s="470" t="s">
        <v>907</v>
      </c>
      <c r="X365" s="470">
        <v>30</v>
      </c>
      <c r="Y365" s="470">
        <v>0</v>
      </c>
      <c r="Z365" s="470">
        <v>0</v>
      </c>
      <c r="AA365" s="470">
        <v>30</v>
      </c>
      <c r="AB365" s="470">
        <v>30</v>
      </c>
      <c r="AC365" s="473">
        <v>34033</v>
      </c>
      <c r="AD365" s="473">
        <v>34033</v>
      </c>
      <c r="AE365" s="473">
        <v>15315</v>
      </c>
      <c r="AF365" s="473">
        <v>6126</v>
      </c>
      <c r="AG365" s="473">
        <v>1600</v>
      </c>
      <c r="AH365" s="473">
        <v>200</v>
      </c>
      <c r="AI365" s="473">
        <v>1250</v>
      </c>
      <c r="AJ365" s="473">
        <v>0</v>
      </c>
      <c r="AK365" s="473">
        <v>0</v>
      </c>
      <c r="AL365" s="473">
        <v>0</v>
      </c>
      <c r="AM365" s="473">
        <v>0</v>
      </c>
      <c r="AN365" s="473">
        <v>0</v>
      </c>
      <c r="AO365" s="473">
        <v>0</v>
      </c>
      <c r="AP365" s="473">
        <v>0</v>
      </c>
      <c r="AQ365" s="473">
        <v>1800</v>
      </c>
      <c r="AR365" s="473">
        <v>7742</v>
      </c>
      <c r="AS365" s="473">
        <v>0</v>
      </c>
      <c r="AT365" s="473">
        <v>0</v>
      </c>
      <c r="AU365" s="473">
        <v>440</v>
      </c>
      <c r="AV365" s="473">
        <v>34473</v>
      </c>
      <c r="AW365" s="474">
        <v>34033</v>
      </c>
      <c r="AX365" s="473">
        <v>0</v>
      </c>
      <c r="AY365" s="473">
        <v>0</v>
      </c>
      <c r="AZ365" s="475">
        <v>0</v>
      </c>
      <c r="BA365" s="475">
        <v>200</v>
      </c>
      <c r="BB365" s="475">
        <v>1800</v>
      </c>
      <c r="BC365" s="475">
        <v>0</v>
      </c>
      <c r="BD365" s="475">
        <v>0</v>
      </c>
      <c r="BE365" s="475">
        <v>25</v>
      </c>
      <c r="BF365" s="475">
        <v>0</v>
      </c>
      <c r="BG365" s="475">
        <v>2025</v>
      </c>
      <c r="BH365" s="476">
        <v>32448</v>
      </c>
      <c r="BI365" s="467"/>
      <c r="BJ365" s="468"/>
    </row>
    <row r="366" spans="1:62">
      <c r="A366" s="469">
        <v>45809</v>
      </c>
      <c r="B366" s="469" t="s">
        <v>747</v>
      </c>
      <c r="C366" s="508" t="s">
        <v>748</v>
      </c>
      <c r="D366" s="470" t="s">
        <v>749</v>
      </c>
      <c r="E366" s="471">
        <v>1950</v>
      </c>
      <c r="F366" s="470" t="s">
        <v>1233</v>
      </c>
      <c r="G366" s="470" t="s">
        <v>751</v>
      </c>
      <c r="H366" s="470" t="s">
        <v>12</v>
      </c>
      <c r="I366" s="470" t="s">
        <v>1234</v>
      </c>
      <c r="J366" s="472" t="s">
        <v>1235</v>
      </c>
      <c r="K366" s="470" t="s">
        <v>1236</v>
      </c>
      <c r="L366" s="470" t="s">
        <v>800</v>
      </c>
      <c r="M366" s="470" t="s">
        <v>800</v>
      </c>
      <c r="N366" s="470" t="s">
        <v>756</v>
      </c>
      <c r="O366" s="472" t="s">
        <v>1043</v>
      </c>
      <c r="P366" s="472" t="s">
        <v>738</v>
      </c>
      <c r="Q366" s="472" t="s">
        <v>758</v>
      </c>
      <c r="R366" s="472" t="s">
        <v>12</v>
      </c>
      <c r="S366" s="472" t="s">
        <v>12</v>
      </c>
      <c r="T366" s="472" t="s">
        <v>1237</v>
      </c>
      <c r="U366" s="470" t="s">
        <v>1238</v>
      </c>
      <c r="V366" s="470" t="s">
        <v>836</v>
      </c>
      <c r="W366" s="470" t="s">
        <v>1239</v>
      </c>
      <c r="X366" s="470">
        <v>30</v>
      </c>
      <c r="Y366" s="470">
        <v>0</v>
      </c>
      <c r="Z366" s="470">
        <v>0</v>
      </c>
      <c r="AA366" s="470">
        <v>30</v>
      </c>
      <c r="AB366" s="470">
        <v>30</v>
      </c>
      <c r="AC366" s="473">
        <v>35283</v>
      </c>
      <c r="AD366" s="473">
        <v>35283</v>
      </c>
      <c r="AE366" s="473">
        <v>15877</v>
      </c>
      <c r="AF366" s="473">
        <v>6351</v>
      </c>
      <c r="AG366" s="473">
        <v>1600</v>
      </c>
      <c r="AH366" s="473">
        <v>200</v>
      </c>
      <c r="AI366" s="473">
        <v>1250</v>
      </c>
      <c r="AJ366" s="473">
        <v>0</v>
      </c>
      <c r="AK366" s="473">
        <v>0</v>
      </c>
      <c r="AL366" s="473">
        <v>0</v>
      </c>
      <c r="AM366" s="473">
        <v>0</v>
      </c>
      <c r="AN366" s="473">
        <v>0</v>
      </c>
      <c r="AO366" s="473">
        <v>0</v>
      </c>
      <c r="AP366" s="473">
        <v>0</v>
      </c>
      <c r="AQ366" s="473">
        <v>1800</v>
      </c>
      <c r="AR366" s="473">
        <v>8205</v>
      </c>
      <c r="AS366" s="473">
        <v>0</v>
      </c>
      <c r="AT366" s="473">
        <v>0</v>
      </c>
      <c r="AU366" s="473">
        <v>0</v>
      </c>
      <c r="AV366" s="473">
        <v>35283</v>
      </c>
      <c r="AW366" s="474">
        <v>35283</v>
      </c>
      <c r="AX366" s="473">
        <v>0</v>
      </c>
      <c r="AY366" s="473">
        <v>0</v>
      </c>
      <c r="AZ366" s="475">
        <v>0</v>
      </c>
      <c r="BA366" s="475">
        <v>200</v>
      </c>
      <c r="BB366" s="475">
        <v>1800</v>
      </c>
      <c r="BC366" s="475">
        <v>0</v>
      </c>
      <c r="BD366" s="475">
        <v>0</v>
      </c>
      <c r="BE366" s="475">
        <v>25</v>
      </c>
      <c r="BF366" s="475">
        <v>0</v>
      </c>
      <c r="BG366" s="475">
        <v>2025</v>
      </c>
      <c r="BH366" s="476">
        <v>33258</v>
      </c>
      <c r="BI366" s="467"/>
      <c r="BJ366" s="468"/>
    </row>
    <row r="367" spans="1:62">
      <c r="A367" s="469">
        <v>45809</v>
      </c>
      <c r="B367" s="469" t="s">
        <v>747</v>
      </c>
      <c r="C367" s="508" t="s">
        <v>748</v>
      </c>
      <c r="D367" s="470" t="s">
        <v>749</v>
      </c>
      <c r="E367" s="471">
        <v>1370</v>
      </c>
      <c r="F367" s="470" t="s">
        <v>1240</v>
      </c>
      <c r="G367" s="470" t="s">
        <v>751</v>
      </c>
      <c r="H367" s="470" t="s">
        <v>12</v>
      </c>
      <c r="I367" s="470" t="s">
        <v>1241</v>
      </c>
      <c r="J367" s="472" t="s">
        <v>1242</v>
      </c>
      <c r="K367" s="470" t="s">
        <v>1243</v>
      </c>
      <c r="L367" s="470" t="s">
        <v>979</v>
      </c>
      <c r="M367" s="470" t="s">
        <v>1244</v>
      </c>
      <c r="N367" s="470" t="s">
        <v>833</v>
      </c>
      <c r="O367" s="472" t="s">
        <v>757</v>
      </c>
      <c r="P367" s="472" t="s">
        <v>738</v>
      </c>
      <c r="Q367" s="472" t="s">
        <v>758</v>
      </c>
      <c r="R367" s="472" t="s">
        <v>12</v>
      </c>
      <c r="S367" s="472" t="s">
        <v>12</v>
      </c>
      <c r="T367" s="472" t="s">
        <v>1245</v>
      </c>
      <c r="U367" s="470" t="s">
        <v>1246</v>
      </c>
      <c r="V367" s="470" t="s">
        <v>761</v>
      </c>
      <c r="W367" s="470" t="s">
        <v>762</v>
      </c>
      <c r="X367" s="470">
        <v>30</v>
      </c>
      <c r="Y367" s="470">
        <v>0</v>
      </c>
      <c r="Z367" s="470">
        <v>0</v>
      </c>
      <c r="AA367" s="470">
        <v>30</v>
      </c>
      <c r="AB367" s="470">
        <v>30</v>
      </c>
      <c r="AC367" s="473">
        <v>33000</v>
      </c>
      <c r="AD367" s="473">
        <v>33000</v>
      </c>
      <c r="AE367" s="473">
        <v>14850</v>
      </c>
      <c r="AF367" s="473">
        <v>5940</v>
      </c>
      <c r="AG367" s="473">
        <v>1600</v>
      </c>
      <c r="AH367" s="473">
        <v>200</v>
      </c>
      <c r="AI367" s="473">
        <v>1250</v>
      </c>
      <c r="AJ367" s="473">
        <v>0</v>
      </c>
      <c r="AK367" s="473">
        <v>0</v>
      </c>
      <c r="AL367" s="473">
        <v>0</v>
      </c>
      <c r="AM367" s="473">
        <v>0</v>
      </c>
      <c r="AN367" s="473">
        <v>0</v>
      </c>
      <c r="AO367" s="473">
        <v>0</v>
      </c>
      <c r="AP367" s="473">
        <v>0</v>
      </c>
      <c r="AQ367" s="473">
        <v>1782</v>
      </c>
      <c r="AR367" s="473">
        <v>7378</v>
      </c>
      <c r="AS367" s="473">
        <v>0</v>
      </c>
      <c r="AT367" s="473">
        <v>0</v>
      </c>
      <c r="AU367" s="473">
        <v>0</v>
      </c>
      <c r="AV367" s="473">
        <v>33000</v>
      </c>
      <c r="AW367" s="474">
        <v>33000</v>
      </c>
      <c r="AX367" s="473">
        <v>0</v>
      </c>
      <c r="AY367" s="473">
        <v>0</v>
      </c>
      <c r="AZ367" s="475">
        <v>0</v>
      </c>
      <c r="BA367" s="475">
        <v>200</v>
      </c>
      <c r="BB367" s="475">
        <v>1782</v>
      </c>
      <c r="BC367" s="475">
        <v>0</v>
      </c>
      <c r="BD367" s="475">
        <v>0</v>
      </c>
      <c r="BE367" s="475">
        <v>25</v>
      </c>
      <c r="BF367" s="475">
        <v>0</v>
      </c>
      <c r="BG367" s="475">
        <v>2007</v>
      </c>
      <c r="BH367" s="476">
        <v>30993</v>
      </c>
      <c r="BI367" s="467"/>
      <c r="BJ367" s="468"/>
    </row>
    <row r="368" spans="1:62">
      <c r="A368" s="469">
        <v>45809</v>
      </c>
      <c r="B368" s="469" t="s">
        <v>747</v>
      </c>
      <c r="C368" s="508" t="s">
        <v>748</v>
      </c>
      <c r="D368" s="470" t="s">
        <v>749</v>
      </c>
      <c r="E368" s="471">
        <v>2049</v>
      </c>
      <c r="F368" s="470" t="s">
        <v>1247</v>
      </c>
      <c r="G368" s="470" t="s">
        <v>751</v>
      </c>
      <c r="H368" s="470" t="s">
        <v>12</v>
      </c>
      <c r="I368" s="470" t="s">
        <v>1248</v>
      </c>
      <c r="J368" s="472" t="s">
        <v>1249</v>
      </c>
      <c r="K368" s="470" t="s">
        <v>1250</v>
      </c>
      <c r="L368" s="470" t="s">
        <v>824</v>
      </c>
      <c r="M368" s="470" t="s">
        <v>824</v>
      </c>
      <c r="N368" s="470" t="s">
        <v>756</v>
      </c>
      <c r="O368" s="472" t="s">
        <v>757</v>
      </c>
      <c r="P368" s="472" t="s">
        <v>738</v>
      </c>
      <c r="Q368" s="472" t="s">
        <v>758</v>
      </c>
      <c r="R368" s="472" t="s">
        <v>12</v>
      </c>
      <c r="S368" s="472" t="s">
        <v>12</v>
      </c>
      <c r="T368" s="472" t="s">
        <v>1251</v>
      </c>
      <c r="U368" s="470" t="s">
        <v>1252</v>
      </c>
      <c r="V368" s="470" t="s">
        <v>761</v>
      </c>
      <c r="W368" s="470" t="s">
        <v>859</v>
      </c>
      <c r="X368" s="470">
        <v>30</v>
      </c>
      <c r="Y368" s="470">
        <v>0</v>
      </c>
      <c r="Z368" s="470">
        <v>0</v>
      </c>
      <c r="AA368" s="470">
        <v>30</v>
      </c>
      <c r="AB368" s="470">
        <v>30</v>
      </c>
      <c r="AC368" s="473">
        <v>27367</v>
      </c>
      <c r="AD368" s="473">
        <v>27367</v>
      </c>
      <c r="AE368" s="473">
        <v>12315</v>
      </c>
      <c r="AF368" s="473">
        <v>4926</v>
      </c>
      <c r="AG368" s="473">
        <v>1600</v>
      </c>
      <c r="AH368" s="473">
        <v>200</v>
      </c>
      <c r="AI368" s="473">
        <v>1250</v>
      </c>
      <c r="AJ368" s="473">
        <v>0</v>
      </c>
      <c r="AK368" s="473">
        <v>0</v>
      </c>
      <c r="AL368" s="473">
        <v>0</v>
      </c>
      <c r="AM368" s="473">
        <v>0</v>
      </c>
      <c r="AN368" s="473">
        <v>0</v>
      </c>
      <c r="AO368" s="473">
        <v>0</v>
      </c>
      <c r="AP368" s="473">
        <v>0</v>
      </c>
      <c r="AQ368" s="473">
        <v>1478</v>
      </c>
      <c r="AR368" s="473">
        <v>5598</v>
      </c>
      <c r="AS368" s="473">
        <v>0</v>
      </c>
      <c r="AT368" s="473">
        <v>0</v>
      </c>
      <c r="AU368" s="473">
        <v>1331</v>
      </c>
      <c r="AV368" s="473">
        <v>28698</v>
      </c>
      <c r="AW368" s="474">
        <v>27367</v>
      </c>
      <c r="AX368" s="473">
        <v>0</v>
      </c>
      <c r="AY368" s="473">
        <v>0</v>
      </c>
      <c r="AZ368" s="475">
        <v>0</v>
      </c>
      <c r="BA368" s="475">
        <v>200</v>
      </c>
      <c r="BB368" s="475">
        <v>1478</v>
      </c>
      <c r="BC368" s="475">
        <v>0</v>
      </c>
      <c r="BD368" s="475">
        <v>0</v>
      </c>
      <c r="BE368" s="475">
        <v>25</v>
      </c>
      <c r="BF368" s="475">
        <v>0</v>
      </c>
      <c r="BG368" s="475">
        <v>1703</v>
      </c>
      <c r="BH368" s="476">
        <v>26995</v>
      </c>
      <c r="BI368" s="467"/>
      <c r="BJ368" s="468"/>
    </row>
    <row r="369" spans="1:62">
      <c r="A369" s="469">
        <v>45809</v>
      </c>
      <c r="B369" s="469" t="s">
        <v>747</v>
      </c>
      <c r="C369" s="508" t="s">
        <v>748</v>
      </c>
      <c r="D369" s="470" t="s">
        <v>749</v>
      </c>
      <c r="E369" s="471">
        <v>1121</v>
      </c>
      <c r="F369" s="470" t="s">
        <v>1253</v>
      </c>
      <c r="G369" s="470" t="s">
        <v>751</v>
      </c>
      <c r="H369" s="470" t="s">
        <v>12</v>
      </c>
      <c r="I369" s="470" t="s">
        <v>1254</v>
      </c>
      <c r="J369" s="472" t="s">
        <v>1255</v>
      </c>
      <c r="K369" s="470" t="s">
        <v>1256</v>
      </c>
      <c r="L369" s="470" t="s">
        <v>918</v>
      </c>
      <c r="M369" s="470" t="s">
        <v>1006</v>
      </c>
      <c r="N369" s="470" t="s">
        <v>777</v>
      </c>
      <c r="O369" s="472" t="s">
        <v>757</v>
      </c>
      <c r="P369" s="472" t="s">
        <v>738</v>
      </c>
      <c r="Q369" s="472" t="s">
        <v>758</v>
      </c>
      <c r="R369" s="472" t="s">
        <v>12</v>
      </c>
      <c r="S369" s="472" t="s">
        <v>12</v>
      </c>
      <c r="T369" s="472" t="s">
        <v>1257</v>
      </c>
      <c r="U369" s="470" t="s">
        <v>1258</v>
      </c>
      <c r="V369" s="470" t="s">
        <v>761</v>
      </c>
      <c r="W369" s="470" t="s">
        <v>1259</v>
      </c>
      <c r="X369" s="470">
        <v>30</v>
      </c>
      <c r="Y369" s="470">
        <v>0</v>
      </c>
      <c r="Z369" s="470">
        <v>0</v>
      </c>
      <c r="AA369" s="470">
        <v>30</v>
      </c>
      <c r="AB369" s="470">
        <v>30</v>
      </c>
      <c r="AC369" s="473">
        <v>206500</v>
      </c>
      <c r="AD369" s="473">
        <v>206500</v>
      </c>
      <c r="AE369" s="473">
        <v>92925</v>
      </c>
      <c r="AF369" s="473">
        <v>37170</v>
      </c>
      <c r="AG369" s="473">
        <v>1600</v>
      </c>
      <c r="AH369" s="473">
        <v>200</v>
      </c>
      <c r="AI369" s="473">
        <v>1250</v>
      </c>
      <c r="AJ369" s="473">
        <v>7741</v>
      </c>
      <c r="AK369" s="473">
        <v>18585</v>
      </c>
      <c r="AL369" s="473">
        <v>13939</v>
      </c>
      <c r="AM369" s="473">
        <v>929</v>
      </c>
      <c r="AN369" s="473">
        <v>3252</v>
      </c>
      <c r="AO369" s="473">
        <v>1859</v>
      </c>
      <c r="AP369" s="473">
        <v>465</v>
      </c>
      <c r="AQ369" s="473">
        <v>1800</v>
      </c>
      <c r="AR369" s="473">
        <v>24785</v>
      </c>
      <c r="AS369" s="473">
        <v>0</v>
      </c>
      <c r="AT369" s="473">
        <v>0</v>
      </c>
      <c r="AU369" s="473">
        <v>17450</v>
      </c>
      <c r="AV369" s="473">
        <v>223950</v>
      </c>
      <c r="AW369" s="474">
        <v>206500</v>
      </c>
      <c r="AX369" s="473">
        <v>0</v>
      </c>
      <c r="AY369" s="473">
        <v>0</v>
      </c>
      <c r="AZ369" s="475">
        <v>36961</v>
      </c>
      <c r="BA369" s="475">
        <v>200</v>
      </c>
      <c r="BB369" s="475">
        <v>1800</v>
      </c>
      <c r="BC369" s="475">
        <v>0</v>
      </c>
      <c r="BD369" s="475">
        <v>0</v>
      </c>
      <c r="BE369" s="475">
        <v>25</v>
      </c>
      <c r="BF369" s="475">
        <v>0</v>
      </c>
      <c r="BG369" s="475">
        <v>38986</v>
      </c>
      <c r="BH369" s="476">
        <v>184964</v>
      </c>
      <c r="BI369" s="467"/>
      <c r="BJ369" s="468"/>
    </row>
    <row r="370" spans="1:62">
      <c r="A370" s="469">
        <v>45809</v>
      </c>
      <c r="B370" s="469" t="s">
        <v>747</v>
      </c>
      <c r="C370" s="508" t="s">
        <v>748</v>
      </c>
      <c r="D370" s="470" t="s">
        <v>749</v>
      </c>
      <c r="E370" s="471">
        <v>1496</v>
      </c>
      <c r="F370" s="470" t="s">
        <v>1260</v>
      </c>
      <c r="G370" s="470" t="s">
        <v>751</v>
      </c>
      <c r="H370" s="470" t="s">
        <v>12</v>
      </c>
      <c r="I370" s="470" t="s">
        <v>1261</v>
      </c>
      <c r="J370" s="472" t="s">
        <v>1262</v>
      </c>
      <c r="K370" s="470" t="s">
        <v>1263</v>
      </c>
      <c r="L370" s="470" t="s">
        <v>856</v>
      </c>
      <c r="M370" s="470" t="s">
        <v>856</v>
      </c>
      <c r="N370" s="470" t="s">
        <v>756</v>
      </c>
      <c r="O370" s="472" t="s">
        <v>757</v>
      </c>
      <c r="P370" s="472" t="s">
        <v>738</v>
      </c>
      <c r="Q370" s="472" t="s">
        <v>758</v>
      </c>
      <c r="R370" s="472" t="s">
        <v>12</v>
      </c>
      <c r="S370" s="472" t="s">
        <v>12</v>
      </c>
      <c r="T370" s="472" t="s">
        <v>1264</v>
      </c>
      <c r="U370" s="470" t="s">
        <v>1265</v>
      </c>
      <c r="V370" s="470" t="s">
        <v>761</v>
      </c>
      <c r="W370" s="470" t="s">
        <v>876</v>
      </c>
      <c r="X370" s="470">
        <v>30</v>
      </c>
      <c r="Y370" s="470">
        <v>0</v>
      </c>
      <c r="Z370" s="470">
        <v>0</v>
      </c>
      <c r="AA370" s="470">
        <v>30</v>
      </c>
      <c r="AB370" s="470">
        <v>30</v>
      </c>
      <c r="AC370" s="473">
        <v>55383</v>
      </c>
      <c r="AD370" s="473">
        <v>55383</v>
      </c>
      <c r="AE370" s="473">
        <v>24922</v>
      </c>
      <c r="AF370" s="473">
        <v>9969</v>
      </c>
      <c r="AG370" s="473">
        <v>1600</v>
      </c>
      <c r="AH370" s="473">
        <v>200</v>
      </c>
      <c r="AI370" s="473">
        <v>1250</v>
      </c>
      <c r="AJ370" s="473">
        <v>2076</v>
      </c>
      <c r="AK370" s="473">
        <v>4984</v>
      </c>
      <c r="AL370" s="473">
        <v>3738</v>
      </c>
      <c r="AM370" s="473">
        <v>249</v>
      </c>
      <c r="AN370" s="473">
        <v>872</v>
      </c>
      <c r="AO370" s="473">
        <v>498</v>
      </c>
      <c r="AP370" s="473">
        <v>125</v>
      </c>
      <c r="AQ370" s="473">
        <v>1800</v>
      </c>
      <c r="AR370" s="473">
        <v>3100</v>
      </c>
      <c r="AS370" s="473">
        <v>0</v>
      </c>
      <c r="AT370" s="473">
        <v>1000</v>
      </c>
      <c r="AU370" s="473">
        <v>0</v>
      </c>
      <c r="AV370" s="473">
        <v>56383</v>
      </c>
      <c r="AW370" s="474">
        <v>56383</v>
      </c>
      <c r="AX370" s="473">
        <v>0</v>
      </c>
      <c r="AY370" s="473">
        <v>0</v>
      </c>
      <c r="AZ370" s="475">
        <v>0</v>
      </c>
      <c r="BA370" s="475">
        <v>200</v>
      </c>
      <c r="BB370" s="475">
        <v>1800</v>
      </c>
      <c r="BC370" s="475">
        <v>0</v>
      </c>
      <c r="BD370" s="475">
        <v>0</v>
      </c>
      <c r="BE370" s="475">
        <v>25</v>
      </c>
      <c r="BF370" s="475">
        <v>0</v>
      </c>
      <c r="BG370" s="475">
        <v>2025</v>
      </c>
      <c r="BH370" s="476">
        <v>54358</v>
      </c>
      <c r="BI370" s="467"/>
      <c r="BJ370" s="468"/>
    </row>
    <row r="371" spans="1:62">
      <c r="A371" s="469">
        <v>45870</v>
      </c>
      <c r="B371" s="469" t="s">
        <v>747</v>
      </c>
      <c r="C371" s="508" t="s">
        <v>748</v>
      </c>
      <c r="D371" s="470" t="s">
        <v>749</v>
      </c>
      <c r="E371" s="471">
        <v>1488</v>
      </c>
      <c r="F371" s="470" t="s">
        <v>750</v>
      </c>
      <c r="G371" s="470" t="s">
        <v>751</v>
      </c>
      <c r="H371" s="470" t="s">
        <v>12</v>
      </c>
      <c r="I371" s="470" t="s">
        <v>752</v>
      </c>
      <c r="J371" s="472" t="s">
        <v>753</v>
      </c>
      <c r="K371" s="470" t="s">
        <v>754</v>
      </c>
      <c r="L371" s="470" t="s">
        <v>755</v>
      </c>
      <c r="M371" s="470" t="s">
        <v>755</v>
      </c>
      <c r="N371" s="470" t="s">
        <v>756</v>
      </c>
      <c r="O371" s="472" t="s">
        <v>757</v>
      </c>
      <c r="P371" s="472" t="s">
        <v>738</v>
      </c>
      <c r="Q371" s="472" t="s">
        <v>758</v>
      </c>
      <c r="R371" s="472" t="s">
        <v>12</v>
      </c>
      <c r="S371" s="472" t="s">
        <v>12</v>
      </c>
      <c r="T371" s="472" t="s">
        <v>759</v>
      </c>
      <c r="U371" s="470" t="s">
        <v>760</v>
      </c>
      <c r="V371" s="470" t="s">
        <v>761</v>
      </c>
      <c r="W371" s="470" t="s">
        <v>762</v>
      </c>
      <c r="X371" s="470">
        <v>31</v>
      </c>
      <c r="Y371" s="470">
        <v>0</v>
      </c>
      <c r="Z371" s="470">
        <v>0</v>
      </c>
      <c r="AA371" s="470">
        <v>31</v>
      </c>
      <c r="AB371" s="470">
        <v>31</v>
      </c>
      <c r="AC371" s="473">
        <v>42989</v>
      </c>
      <c r="AD371" s="473">
        <v>42989</v>
      </c>
      <c r="AE371" s="473">
        <v>19345</v>
      </c>
      <c r="AF371" s="473">
        <v>7738</v>
      </c>
      <c r="AG371" s="473">
        <v>1600</v>
      </c>
      <c r="AH371" s="473">
        <v>200</v>
      </c>
      <c r="AI371" s="473">
        <v>1250</v>
      </c>
      <c r="AJ371" s="473">
        <v>1611</v>
      </c>
      <c r="AK371" s="473">
        <v>3869</v>
      </c>
      <c r="AL371" s="473">
        <v>2902</v>
      </c>
      <c r="AM371" s="473">
        <v>193</v>
      </c>
      <c r="AN371" s="473">
        <v>677</v>
      </c>
      <c r="AO371" s="473">
        <v>387</v>
      </c>
      <c r="AP371" s="473">
        <v>97</v>
      </c>
      <c r="AQ371" s="473">
        <v>1800</v>
      </c>
      <c r="AR371" s="473">
        <v>1320</v>
      </c>
      <c r="AS371" s="473">
        <v>0</v>
      </c>
      <c r="AT371" s="473">
        <v>200</v>
      </c>
      <c r="AU371" s="473">
        <v>0</v>
      </c>
      <c r="AV371" s="473">
        <v>43189</v>
      </c>
      <c r="AW371" s="474">
        <v>43189</v>
      </c>
      <c r="AX371" s="473">
        <v>0</v>
      </c>
      <c r="AY371" s="473">
        <v>0</v>
      </c>
      <c r="AZ371" s="475">
        <v>0</v>
      </c>
      <c r="BA371" s="475">
        <v>200</v>
      </c>
      <c r="BB371" s="475">
        <v>1800</v>
      </c>
      <c r="BC371" s="475">
        <v>0</v>
      </c>
      <c r="BD371" s="475">
        <v>0</v>
      </c>
      <c r="BE371" s="475">
        <v>0</v>
      </c>
      <c r="BF371" s="475">
        <v>0</v>
      </c>
      <c r="BG371" s="475">
        <v>2000</v>
      </c>
      <c r="BH371" s="476">
        <v>41189</v>
      </c>
      <c r="BI371" s="467"/>
      <c r="BJ371" s="468"/>
    </row>
    <row r="372" spans="1:62">
      <c r="A372" s="469">
        <v>45870</v>
      </c>
      <c r="B372" s="469" t="s">
        <v>747</v>
      </c>
      <c r="C372" s="508" t="s">
        <v>748</v>
      </c>
      <c r="D372" s="470" t="s">
        <v>749</v>
      </c>
      <c r="E372" s="471">
        <v>241</v>
      </c>
      <c r="F372" s="470" t="s">
        <v>763</v>
      </c>
      <c r="G372" s="470" t="s">
        <v>751</v>
      </c>
      <c r="H372" s="470" t="s">
        <v>12</v>
      </c>
      <c r="I372" s="470" t="s">
        <v>764</v>
      </c>
      <c r="J372" s="472" t="s">
        <v>765</v>
      </c>
      <c r="K372" s="470" t="s">
        <v>766</v>
      </c>
      <c r="L372" s="470" t="s">
        <v>767</v>
      </c>
      <c r="M372" s="470" t="s">
        <v>1266</v>
      </c>
      <c r="N372" s="470" t="s">
        <v>756</v>
      </c>
      <c r="O372" s="472" t="s">
        <v>792</v>
      </c>
      <c r="P372" s="472" t="s">
        <v>738</v>
      </c>
      <c r="Q372" s="472" t="s">
        <v>758</v>
      </c>
      <c r="R372" s="472" t="s">
        <v>12</v>
      </c>
      <c r="S372" s="472" t="s">
        <v>12</v>
      </c>
      <c r="T372" s="472" t="s">
        <v>769</v>
      </c>
      <c r="U372" s="470" t="s">
        <v>770</v>
      </c>
      <c r="V372" s="470" t="s">
        <v>761</v>
      </c>
      <c r="W372" s="470" t="s">
        <v>771</v>
      </c>
      <c r="X372" s="470">
        <v>31</v>
      </c>
      <c r="Y372" s="470">
        <v>0</v>
      </c>
      <c r="Z372" s="470">
        <v>0</v>
      </c>
      <c r="AA372" s="470">
        <v>31</v>
      </c>
      <c r="AB372" s="470">
        <v>31</v>
      </c>
      <c r="AC372" s="473">
        <v>66833</v>
      </c>
      <c r="AD372" s="473">
        <v>66833</v>
      </c>
      <c r="AE372" s="473">
        <v>30075</v>
      </c>
      <c r="AF372" s="473">
        <v>12030</v>
      </c>
      <c r="AG372" s="473">
        <v>1600</v>
      </c>
      <c r="AH372" s="473">
        <v>200</v>
      </c>
      <c r="AI372" s="473">
        <v>1250</v>
      </c>
      <c r="AJ372" s="473">
        <v>2505</v>
      </c>
      <c r="AK372" s="473">
        <v>6015</v>
      </c>
      <c r="AL372" s="473">
        <v>4511</v>
      </c>
      <c r="AM372" s="473">
        <v>301</v>
      </c>
      <c r="AN372" s="473">
        <v>1053</v>
      </c>
      <c r="AO372" s="473">
        <v>602</v>
      </c>
      <c r="AP372" s="473">
        <v>150</v>
      </c>
      <c r="AQ372" s="473">
        <v>1800</v>
      </c>
      <c r="AR372" s="473">
        <v>4741</v>
      </c>
      <c r="AS372" s="473">
        <v>0</v>
      </c>
      <c r="AT372" s="473">
        <v>0</v>
      </c>
      <c r="AU372" s="473">
        <v>0</v>
      </c>
      <c r="AV372" s="473">
        <v>66833</v>
      </c>
      <c r="AW372" s="474">
        <v>66833</v>
      </c>
      <c r="AX372" s="473">
        <v>0</v>
      </c>
      <c r="AY372" s="473">
        <v>0</v>
      </c>
      <c r="AZ372" s="475">
        <v>0</v>
      </c>
      <c r="BA372" s="475">
        <v>200</v>
      </c>
      <c r="BB372" s="475">
        <v>1800</v>
      </c>
      <c r="BC372" s="475">
        <v>0</v>
      </c>
      <c r="BD372" s="475">
        <v>0</v>
      </c>
      <c r="BE372" s="475">
        <v>0</v>
      </c>
      <c r="BF372" s="475">
        <v>0</v>
      </c>
      <c r="BG372" s="475">
        <v>2000</v>
      </c>
      <c r="BH372" s="476">
        <v>64833</v>
      </c>
      <c r="BI372" s="467"/>
      <c r="BJ372" s="468"/>
    </row>
    <row r="373" spans="1:62">
      <c r="A373" s="469">
        <v>45870</v>
      </c>
      <c r="B373" s="469" t="s">
        <v>747</v>
      </c>
      <c r="C373" s="508" t="s">
        <v>748</v>
      </c>
      <c r="D373" s="470" t="s">
        <v>749</v>
      </c>
      <c r="E373" s="471">
        <v>2163</v>
      </c>
      <c r="F373" s="470" t="s">
        <v>1267</v>
      </c>
      <c r="G373" s="470" t="s">
        <v>751</v>
      </c>
      <c r="H373" s="470" t="s">
        <v>12</v>
      </c>
      <c r="I373" s="470" t="s">
        <v>1268</v>
      </c>
      <c r="J373" s="472" t="s">
        <v>1269</v>
      </c>
      <c r="K373" s="470" t="s">
        <v>1270</v>
      </c>
      <c r="L373" s="470" t="s">
        <v>1271</v>
      </c>
      <c r="M373" s="470" t="s">
        <v>942</v>
      </c>
      <c r="N373" s="470" t="s">
        <v>756</v>
      </c>
      <c r="O373" s="472" t="s">
        <v>1272</v>
      </c>
      <c r="P373" s="472" t="s">
        <v>738</v>
      </c>
      <c r="Q373" s="472" t="s">
        <v>758</v>
      </c>
      <c r="R373" s="472" t="s">
        <v>12</v>
      </c>
      <c r="S373" s="472" t="s">
        <v>12</v>
      </c>
      <c r="T373" s="472" t="s">
        <v>1273</v>
      </c>
      <c r="U373" s="470" t="s">
        <v>1274</v>
      </c>
      <c r="V373" s="470" t="s">
        <v>761</v>
      </c>
      <c r="W373" s="470" t="s">
        <v>1111</v>
      </c>
      <c r="X373" s="470">
        <v>31</v>
      </c>
      <c r="Y373" s="470">
        <v>0</v>
      </c>
      <c r="Z373" s="470">
        <v>2</v>
      </c>
      <c r="AA373" s="470">
        <v>29</v>
      </c>
      <c r="AB373" s="470">
        <v>29</v>
      </c>
      <c r="AC373" s="473">
        <v>235700</v>
      </c>
      <c r="AD373" s="473">
        <v>235700</v>
      </c>
      <c r="AE373" s="473">
        <v>99222</v>
      </c>
      <c r="AF373" s="473">
        <v>39689</v>
      </c>
      <c r="AG373" s="473">
        <v>1497</v>
      </c>
      <c r="AH373" s="473">
        <v>187</v>
      </c>
      <c r="AI373" s="473">
        <v>1169</v>
      </c>
      <c r="AJ373" s="473">
        <v>8265</v>
      </c>
      <c r="AK373" s="473">
        <v>19844</v>
      </c>
      <c r="AL373" s="473">
        <v>14883</v>
      </c>
      <c r="AM373" s="473">
        <v>992</v>
      </c>
      <c r="AN373" s="473">
        <v>3473</v>
      </c>
      <c r="AO373" s="473">
        <v>1984</v>
      </c>
      <c r="AP373" s="473">
        <v>496</v>
      </c>
      <c r="AQ373" s="473">
        <v>1800</v>
      </c>
      <c r="AR373" s="473">
        <v>26993</v>
      </c>
      <c r="AS373" s="473">
        <v>0</v>
      </c>
      <c r="AT373" s="473">
        <v>0</v>
      </c>
      <c r="AU373" s="473">
        <v>990</v>
      </c>
      <c r="AV373" s="473">
        <v>221484</v>
      </c>
      <c r="AW373" s="474">
        <v>220494</v>
      </c>
      <c r="AX373" s="473">
        <v>0</v>
      </c>
      <c r="AY373" s="473">
        <v>0</v>
      </c>
      <c r="AZ373" s="475">
        <v>22790</v>
      </c>
      <c r="BA373" s="475">
        <v>200</v>
      </c>
      <c r="BB373" s="475">
        <v>1800</v>
      </c>
      <c r="BC373" s="475">
        <v>0</v>
      </c>
      <c r="BD373" s="475">
        <v>0</v>
      </c>
      <c r="BE373" s="475">
        <v>0</v>
      </c>
      <c r="BF373" s="475">
        <v>0</v>
      </c>
      <c r="BG373" s="475">
        <v>24790</v>
      </c>
      <c r="BH373" s="476">
        <v>196694</v>
      </c>
      <c r="BI373" s="467"/>
      <c r="BJ373" s="468"/>
    </row>
    <row r="374" spans="1:62">
      <c r="A374" s="469">
        <v>45870</v>
      </c>
      <c r="B374" s="469" t="s">
        <v>747</v>
      </c>
      <c r="C374" s="508" t="s">
        <v>748</v>
      </c>
      <c r="D374" s="470" t="s">
        <v>749</v>
      </c>
      <c r="E374" s="471">
        <v>2020</v>
      </c>
      <c r="F374" s="470" t="s">
        <v>772</v>
      </c>
      <c r="G374" s="470" t="s">
        <v>751</v>
      </c>
      <c r="H374" s="470" t="s">
        <v>12</v>
      </c>
      <c r="I374" s="470" t="s">
        <v>773</v>
      </c>
      <c r="J374" s="472" t="s">
        <v>774</v>
      </c>
      <c r="K374" s="470" t="s">
        <v>775</v>
      </c>
      <c r="L374" s="470" t="s">
        <v>776</v>
      </c>
      <c r="M374" s="470" t="s">
        <v>776</v>
      </c>
      <c r="N374" s="470" t="s">
        <v>777</v>
      </c>
      <c r="O374" s="472" t="s">
        <v>757</v>
      </c>
      <c r="P374" s="472" t="s">
        <v>738</v>
      </c>
      <c r="Q374" s="472" t="s">
        <v>758</v>
      </c>
      <c r="R374" s="472" t="s">
        <v>12</v>
      </c>
      <c r="S374" s="472" t="s">
        <v>12</v>
      </c>
      <c r="T374" s="472" t="s">
        <v>778</v>
      </c>
      <c r="U374" s="470" t="s">
        <v>779</v>
      </c>
      <c r="V374" s="470" t="s">
        <v>761</v>
      </c>
      <c r="W374" s="470" t="s">
        <v>762</v>
      </c>
      <c r="X374" s="470">
        <v>31</v>
      </c>
      <c r="Y374" s="470">
        <v>0</v>
      </c>
      <c r="Z374" s="470">
        <v>5</v>
      </c>
      <c r="AA374" s="470">
        <v>26</v>
      </c>
      <c r="AB374" s="470">
        <v>26</v>
      </c>
      <c r="AC374" s="473">
        <v>68450</v>
      </c>
      <c r="AD374" s="473">
        <v>68450</v>
      </c>
      <c r="AE374" s="473">
        <v>25835</v>
      </c>
      <c r="AF374" s="473">
        <v>10334</v>
      </c>
      <c r="AG374" s="473">
        <v>1342</v>
      </c>
      <c r="AH374" s="473">
        <v>168</v>
      </c>
      <c r="AI374" s="473">
        <v>1048</v>
      </c>
      <c r="AJ374" s="473">
        <v>2152</v>
      </c>
      <c r="AK374" s="473">
        <v>5167</v>
      </c>
      <c r="AL374" s="473">
        <v>3875</v>
      </c>
      <c r="AM374" s="473">
        <v>258</v>
      </c>
      <c r="AN374" s="473">
        <v>904</v>
      </c>
      <c r="AO374" s="473">
        <v>517</v>
      </c>
      <c r="AP374" s="473">
        <v>129</v>
      </c>
      <c r="AQ374" s="473">
        <v>1800</v>
      </c>
      <c r="AR374" s="473">
        <v>3881</v>
      </c>
      <c r="AS374" s="473">
        <v>0</v>
      </c>
      <c r="AT374" s="473">
        <v>0</v>
      </c>
      <c r="AU374" s="473">
        <v>3630</v>
      </c>
      <c r="AV374" s="473">
        <v>61040</v>
      </c>
      <c r="AW374" s="474">
        <v>57410</v>
      </c>
      <c r="AX374" s="473">
        <v>0</v>
      </c>
      <c r="AY374" s="473">
        <v>0</v>
      </c>
      <c r="AZ374" s="475">
        <v>0</v>
      </c>
      <c r="BA374" s="475">
        <v>200</v>
      </c>
      <c r="BB374" s="475">
        <v>1800</v>
      </c>
      <c r="BC374" s="475">
        <v>0</v>
      </c>
      <c r="BD374" s="475">
        <v>0</v>
      </c>
      <c r="BE374" s="475">
        <v>0</v>
      </c>
      <c r="BF374" s="475">
        <v>0</v>
      </c>
      <c r="BG374" s="475">
        <v>2000</v>
      </c>
      <c r="BH374" s="476">
        <v>59040</v>
      </c>
      <c r="BI374" s="467"/>
      <c r="BJ374" s="468"/>
    </row>
    <row r="375" spans="1:62">
      <c r="A375" s="469">
        <v>45870</v>
      </c>
      <c r="B375" s="469" t="s">
        <v>747</v>
      </c>
      <c r="C375" s="508" t="s">
        <v>748</v>
      </c>
      <c r="D375" s="470" t="s">
        <v>749</v>
      </c>
      <c r="E375" s="471">
        <v>1770</v>
      </c>
      <c r="F375" s="470" t="s">
        <v>780</v>
      </c>
      <c r="G375" s="470" t="s">
        <v>751</v>
      </c>
      <c r="H375" s="470" t="s">
        <v>12</v>
      </c>
      <c r="I375" s="470" t="s">
        <v>781</v>
      </c>
      <c r="J375" s="472" t="s">
        <v>782</v>
      </c>
      <c r="K375" s="470" t="s">
        <v>783</v>
      </c>
      <c r="L375" s="470" t="s">
        <v>776</v>
      </c>
      <c r="M375" s="470" t="s">
        <v>776</v>
      </c>
      <c r="N375" s="470" t="s">
        <v>777</v>
      </c>
      <c r="O375" s="472" t="s">
        <v>757</v>
      </c>
      <c r="P375" s="472" t="s">
        <v>738</v>
      </c>
      <c r="Q375" s="472" t="s">
        <v>758</v>
      </c>
      <c r="R375" s="472" t="s">
        <v>12</v>
      </c>
      <c r="S375" s="472" t="s">
        <v>12</v>
      </c>
      <c r="T375" s="472" t="s">
        <v>784</v>
      </c>
      <c r="U375" s="470" t="s">
        <v>785</v>
      </c>
      <c r="V375" s="470" t="s">
        <v>761</v>
      </c>
      <c r="W375" s="470" t="s">
        <v>786</v>
      </c>
      <c r="X375" s="470">
        <v>31</v>
      </c>
      <c r="Y375" s="470">
        <v>0</v>
      </c>
      <c r="Z375" s="470">
        <v>0</v>
      </c>
      <c r="AA375" s="470">
        <v>31</v>
      </c>
      <c r="AB375" s="470">
        <v>31</v>
      </c>
      <c r="AC375" s="473">
        <v>109350</v>
      </c>
      <c r="AD375" s="473">
        <v>109350</v>
      </c>
      <c r="AE375" s="473">
        <v>49208</v>
      </c>
      <c r="AF375" s="473">
        <v>19683</v>
      </c>
      <c r="AG375" s="473">
        <v>1600</v>
      </c>
      <c r="AH375" s="473">
        <v>200</v>
      </c>
      <c r="AI375" s="473">
        <v>1250</v>
      </c>
      <c r="AJ375" s="473">
        <v>4099</v>
      </c>
      <c r="AK375" s="473">
        <v>9842</v>
      </c>
      <c r="AL375" s="473">
        <v>7381</v>
      </c>
      <c r="AM375" s="473">
        <v>492</v>
      </c>
      <c r="AN375" s="473">
        <v>1722</v>
      </c>
      <c r="AO375" s="473">
        <v>984</v>
      </c>
      <c r="AP375" s="473">
        <v>246</v>
      </c>
      <c r="AQ375" s="473">
        <v>1800</v>
      </c>
      <c r="AR375" s="473">
        <v>10843</v>
      </c>
      <c r="AS375" s="473">
        <v>0</v>
      </c>
      <c r="AT375" s="473">
        <v>0</v>
      </c>
      <c r="AU375" s="473">
        <v>0</v>
      </c>
      <c r="AV375" s="473">
        <v>109350</v>
      </c>
      <c r="AW375" s="474">
        <v>109350</v>
      </c>
      <c r="AX375" s="473">
        <v>0</v>
      </c>
      <c r="AY375" s="473">
        <v>0</v>
      </c>
      <c r="AZ375" s="475">
        <v>7548</v>
      </c>
      <c r="BA375" s="475">
        <v>200</v>
      </c>
      <c r="BB375" s="475">
        <v>1800</v>
      </c>
      <c r="BC375" s="475">
        <v>0</v>
      </c>
      <c r="BD375" s="475">
        <v>0</v>
      </c>
      <c r="BE375" s="475">
        <v>0</v>
      </c>
      <c r="BF375" s="475">
        <v>0</v>
      </c>
      <c r="BG375" s="475">
        <v>9548</v>
      </c>
      <c r="BH375" s="476">
        <v>99802</v>
      </c>
      <c r="BI375" s="467"/>
      <c r="BJ375" s="468"/>
    </row>
    <row r="376" spans="1:62">
      <c r="A376" s="469">
        <v>45870</v>
      </c>
      <c r="B376" s="469" t="s">
        <v>747</v>
      </c>
      <c r="C376" s="508" t="s">
        <v>748</v>
      </c>
      <c r="D376" s="470" t="s">
        <v>749</v>
      </c>
      <c r="E376" s="471">
        <v>2072</v>
      </c>
      <c r="F376" s="470" t="s">
        <v>787</v>
      </c>
      <c r="G376" s="470" t="s">
        <v>751</v>
      </c>
      <c r="H376" s="470" t="s">
        <v>12</v>
      </c>
      <c r="I376" s="470" t="s">
        <v>788</v>
      </c>
      <c r="J376" s="472" t="s">
        <v>789</v>
      </c>
      <c r="K376" s="470" t="s">
        <v>790</v>
      </c>
      <c r="L376" s="470" t="s">
        <v>791</v>
      </c>
      <c r="M376" s="470" t="s">
        <v>791</v>
      </c>
      <c r="N376" s="470" t="s">
        <v>756</v>
      </c>
      <c r="O376" s="472" t="s">
        <v>792</v>
      </c>
      <c r="P376" s="472" t="s">
        <v>738</v>
      </c>
      <c r="Q376" s="472" t="s">
        <v>758</v>
      </c>
      <c r="R376" s="472" t="s">
        <v>12</v>
      </c>
      <c r="S376" s="472" t="s">
        <v>12</v>
      </c>
      <c r="T376" s="472" t="s">
        <v>793</v>
      </c>
      <c r="U376" s="470" t="s">
        <v>794</v>
      </c>
      <c r="V376" s="470" t="s">
        <v>761</v>
      </c>
      <c r="W376" s="470" t="s">
        <v>795</v>
      </c>
      <c r="X376" s="470">
        <v>31</v>
      </c>
      <c r="Y376" s="470">
        <v>0</v>
      </c>
      <c r="Z376" s="470">
        <v>2</v>
      </c>
      <c r="AA376" s="470">
        <v>29</v>
      </c>
      <c r="AB376" s="470">
        <v>29</v>
      </c>
      <c r="AC376" s="473">
        <v>123200</v>
      </c>
      <c r="AD376" s="473">
        <v>123200</v>
      </c>
      <c r="AE376" s="473">
        <v>51863</v>
      </c>
      <c r="AF376" s="473">
        <v>20745</v>
      </c>
      <c r="AG376" s="473">
        <v>1497</v>
      </c>
      <c r="AH376" s="473">
        <v>187</v>
      </c>
      <c r="AI376" s="473">
        <v>1169</v>
      </c>
      <c r="AJ376" s="473">
        <v>4320</v>
      </c>
      <c r="AK376" s="473">
        <v>10373</v>
      </c>
      <c r="AL376" s="473">
        <v>7779</v>
      </c>
      <c r="AM376" s="473">
        <v>519</v>
      </c>
      <c r="AN376" s="473">
        <v>1815</v>
      </c>
      <c r="AO376" s="473">
        <v>1037</v>
      </c>
      <c r="AP376" s="473">
        <v>259</v>
      </c>
      <c r="AQ376" s="473">
        <v>1800</v>
      </c>
      <c r="AR376" s="473">
        <v>11889</v>
      </c>
      <c r="AS376" s="473">
        <v>0</v>
      </c>
      <c r="AT376" s="473">
        <v>0</v>
      </c>
      <c r="AU376" s="473">
        <v>0</v>
      </c>
      <c r="AV376" s="473">
        <v>115252</v>
      </c>
      <c r="AW376" s="474">
        <v>115252</v>
      </c>
      <c r="AX376" s="473">
        <v>0</v>
      </c>
      <c r="AY376" s="473">
        <v>0</v>
      </c>
      <c r="AZ376" s="475">
        <v>7088</v>
      </c>
      <c r="BA376" s="475">
        <v>200</v>
      </c>
      <c r="BB376" s="475">
        <v>1800</v>
      </c>
      <c r="BC376" s="475">
        <v>0</v>
      </c>
      <c r="BD376" s="475">
        <v>0</v>
      </c>
      <c r="BE376" s="475">
        <v>0</v>
      </c>
      <c r="BF376" s="475">
        <v>0</v>
      </c>
      <c r="BG376" s="475">
        <v>9088</v>
      </c>
      <c r="BH376" s="476">
        <v>106164</v>
      </c>
      <c r="BI376" s="467"/>
      <c r="BJ376" s="468"/>
    </row>
    <row r="377" spans="1:62">
      <c r="A377" s="469">
        <v>45870</v>
      </c>
      <c r="B377" s="469" t="s">
        <v>747</v>
      </c>
      <c r="C377" s="508" t="s">
        <v>748</v>
      </c>
      <c r="D377" s="470" t="s">
        <v>749</v>
      </c>
      <c r="E377" s="471">
        <v>1440</v>
      </c>
      <c r="F377" s="470" t="s">
        <v>796</v>
      </c>
      <c r="G377" s="470" t="s">
        <v>751</v>
      </c>
      <c r="H377" s="470" t="s">
        <v>12</v>
      </c>
      <c r="I377" s="470" t="s">
        <v>797</v>
      </c>
      <c r="J377" s="472" t="s">
        <v>798</v>
      </c>
      <c r="K377" s="470" t="s">
        <v>799</v>
      </c>
      <c r="L377" s="470" t="s">
        <v>800</v>
      </c>
      <c r="M377" s="470" t="s">
        <v>801</v>
      </c>
      <c r="N377" s="470" t="s">
        <v>756</v>
      </c>
      <c r="O377" s="472" t="s">
        <v>757</v>
      </c>
      <c r="P377" s="472" t="s">
        <v>738</v>
      </c>
      <c r="Q377" s="472" t="s">
        <v>758</v>
      </c>
      <c r="R377" s="472" t="s">
        <v>12</v>
      </c>
      <c r="S377" s="472" t="s">
        <v>12</v>
      </c>
      <c r="T377" s="472" t="s">
        <v>802</v>
      </c>
      <c r="U377" s="470" t="s">
        <v>803</v>
      </c>
      <c r="V377" s="470" t="s">
        <v>761</v>
      </c>
      <c r="W377" s="470" t="s">
        <v>762</v>
      </c>
      <c r="X377" s="470">
        <v>31</v>
      </c>
      <c r="Y377" s="470">
        <v>0</v>
      </c>
      <c r="Z377" s="470">
        <v>2.5</v>
      </c>
      <c r="AA377" s="470">
        <v>28.5</v>
      </c>
      <c r="AB377" s="470">
        <v>28.5</v>
      </c>
      <c r="AC377" s="473">
        <v>38617</v>
      </c>
      <c r="AD377" s="473">
        <v>38617</v>
      </c>
      <c r="AE377" s="473">
        <v>15976</v>
      </c>
      <c r="AF377" s="473">
        <v>6390</v>
      </c>
      <c r="AG377" s="473">
        <v>1471</v>
      </c>
      <c r="AH377" s="473">
        <v>184</v>
      </c>
      <c r="AI377" s="473">
        <v>1149</v>
      </c>
      <c r="AJ377" s="473">
        <v>0</v>
      </c>
      <c r="AK377" s="473">
        <v>0</v>
      </c>
      <c r="AL377" s="473">
        <v>0</v>
      </c>
      <c r="AM377" s="473">
        <v>0</v>
      </c>
      <c r="AN377" s="473">
        <v>0</v>
      </c>
      <c r="AO377" s="473">
        <v>0</v>
      </c>
      <c r="AP377" s="473">
        <v>0</v>
      </c>
      <c r="AQ377" s="473">
        <v>1800</v>
      </c>
      <c r="AR377" s="473">
        <v>8533</v>
      </c>
      <c r="AS377" s="473">
        <v>0</v>
      </c>
      <c r="AT377" s="473">
        <v>0</v>
      </c>
      <c r="AU377" s="473">
        <v>0</v>
      </c>
      <c r="AV377" s="473">
        <v>35503</v>
      </c>
      <c r="AW377" s="474">
        <v>35503</v>
      </c>
      <c r="AX377" s="473">
        <v>0</v>
      </c>
      <c r="AY377" s="473">
        <v>0</v>
      </c>
      <c r="AZ377" s="475">
        <v>0</v>
      </c>
      <c r="BA377" s="475">
        <v>200</v>
      </c>
      <c r="BB377" s="475">
        <v>1800</v>
      </c>
      <c r="BC377" s="475">
        <v>0</v>
      </c>
      <c r="BD377" s="475">
        <v>0</v>
      </c>
      <c r="BE377" s="475">
        <v>0</v>
      </c>
      <c r="BF377" s="475">
        <v>0</v>
      </c>
      <c r="BG377" s="475">
        <v>2000</v>
      </c>
      <c r="BH377" s="476">
        <v>33503</v>
      </c>
      <c r="BI377" s="467"/>
      <c r="BJ377" s="468"/>
    </row>
    <row r="378" spans="1:62">
      <c r="A378" s="469">
        <v>45870</v>
      </c>
      <c r="B378" s="469" t="s">
        <v>747</v>
      </c>
      <c r="C378" s="508" t="s">
        <v>748</v>
      </c>
      <c r="D378" s="470" t="s">
        <v>749</v>
      </c>
      <c r="E378" s="471">
        <v>1803</v>
      </c>
      <c r="F378" s="470" t="s">
        <v>804</v>
      </c>
      <c r="G378" s="470" t="s">
        <v>751</v>
      </c>
      <c r="H378" s="470" t="s">
        <v>12</v>
      </c>
      <c r="I378" s="470" t="s">
        <v>805</v>
      </c>
      <c r="J378" s="472" t="s">
        <v>806</v>
      </c>
      <c r="K378" s="470" t="s">
        <v>807</v>
      </c>
      <c r="L378" s="470" t="s">
        <v>800</v>
      </c>
      <c r="M378" s="470" t="s">
        <v>800</v>
      </c>
      <c r="N378" s="470" t="s">
        <v>756</v>
      </c>
      <c r="O378" s="472" t="s">
        <v>1043</v>
      </c>
      <c r="P378" s="472" t="s">
        <v>738</v>
      </c>
      <c r="Q378" s="472" t="s">
        <v>758</v>
      </c>
      <c r="R378" s="472" t="s">
        <v>12</v>
      </c>
      <c r="S378" s="472" t="s">
        <v>12</v>
      </c>
      <c r="T378" s="472" t="s">
        <v>808</v>
      </c>
      <c r="U378" s="470" t="s">
        <v>809</v>
      </c>
      <c r="V378" s="470" t="s">
        <v>761</v>
      </c>
      <c r="W378" s="470" t="s">
        <v>810</v>
      </c>
      <c r="X378" s="470">
        <v>31</v>
      </c>
      <c r="Y378" s="470">
        <v>0</v>
      </c>
      <c r="Z378" s="470">
        <v>0</v>
      </c>
      <c r="AA378" s="470">
        <v>30</v>
      </c>
      <c r="AB378" s="470">
        <v>30</v>
      </c>
      <c r="AC378" s="473">
        <v>40000</v>
      </c>
      <c r="AD378" s="473">
        <v>40000</v>
      </c>
      <c r="AE378" s="473">
        <v>17420</v>
      </c>
      <c r="AF378" s="473">
        <v>6968</v>
      </c>
      <c r="AG378" s="473">
        <v>1548</v>
      </c>
      <c r="AH378" s="473">
        <v>200</v>
      </c>
      <c r="AI378" s="473">
        <v>1210</v>
      </c>
      <c r="AJ378" s="473">
        <v>0</v>
      </c>
      <c r="AK378" s="473">
        <v>0</v>
      </c>
      <c r="AL378" s="473">
        <v>0</v>
      </c>
      <c r="AM378" s="473">
        <v>0</v>
      </c>
      <c r="AN378" s="473">
        <v>0</v>
      </c>
      <c r="AO378" s="473">
        <v>0</v>
      </c>
      <c r="AP378" s="473">
        <v>0</v>
      </c>
      <c r="AQ378" s="473">
        <v>1800</v>
      </c>
      <c r="AR378" s="473">
        <v>9564</v>
      </c>
      <c r="AS378" s="473">
        <v>0</v>
      </c>
      <c r="AT378" s="473">
        <v>0</v>
      </c>
      <c r="AU378" s="473">
        <v>0</v>
      </c>
      <c r="AV378" s="473">
        <v>38710</v>
      </c>
      <c r="AW378" s="474">
        <v>38710</v>
      </c>
      <c r="AX378" s="473">
        <v>0</v>
      </c>
      <c r="AY378" s="473">
        <v>0</v>
      </c>
      <c r="AZ378" s="475">
        <v>0</v>
      </c>
      <c r="BA378" s="475">
        <v>200</v>
      </c>
      <c r="BB378" s="475">
        <v>1800</v>
      </c>
      <c r="BC378" s="475">
        <v>0</v>
      </c>
      <c r="BD378" s="475">
        <v>0</v>
      </c>
      <c r="BE378" s="475">
        <v>0</v>
      </c>
      <c r="BF378" s="475">
        <v>0</v>
      </c>
      <c r="BG378" s="475">
        <v>2000</v>
      </c>
      <c r="BH378" s="476">
        <v>36710</v>
      </c>
      <c r="BI378" s="467"/>
      <c r="BJ378" s="468"/>
    </row>
    <row r="379" spans="1:62">
      <c r="A379" s="469">
        <v>45870</v>
      </c>
      <c r="B379" s="469" t="s">
        <v>747</v>
      </c>
      <c r="C379" s="508" t="s">
        <v>748</v>
      </c>
      <c r="D379" s="470" t="s">
        <v>749</v>
      </c>
      <c r="E379" s="471">
        <v>1484</v>
      </c>
      <c r="F379" s="470" t="s">
        <v>811</v>
      </c>
      <c r="G379" s="470" t="s">
        <v>812</v>
      </c>
      <c r="H379" s="470" t="s">
        <v>12</v>
      </c>
      <c r="I379" s="470" t="s">
        <v>813</v>
      </c>
      <c r="J379" s="472" t="s">
        <v>814</v>
      </c>
      <c r="K379" s="470" t="s">
        <v>815</v>
      </c>
      <c r="L379" s="470" t="s">
        <v>918</v>
      </c>
      <c r="M379" s="470" t="s">
        <v>918</v>
      </c>
      <c r="N379" s="470" t="s">
        <v>777</v>
      </c>
      <c r="O379" s="472" t="s">
        <v>792</v>
      </c>
      <c r="P379" s="472" t="s">
        <v>738</v>
      </c>
      <c r="Q379" s="472" t="s">
        <v>758</v>
      </c>
      <c r="R379" s="472" t="s">
        <v>12</v>
      </c>
      <c r="S379" s="472" t="s">
        <v>12</v>
      </c>
      <c r="T379" s="472" t="s">
        <v>818</v>
      </c>
      <c r="U379" s="470" t="s">
        <v>819</v>
      </c>
      <c r="V379" s="470" t="s">
        <v>761</v>
      </c>
      <c r="W379" s="470" t="s">
        <v>762</v>
      </c>
      <c r="X379" s="470">
        <v>31</v>
      </c>
      <c r="Y379" s="470">
        <v>0</v>
      </c>
      <c r="Z379" s="470">
        <v>0</v>
      </c>
      <c r="AA379" s="470">
        <v>31</v>
      </c>
      <c r="AB379" s="470">
        <v>31</v>
      </c>
      <c r="AC379" s="473">
        <v>111343</v>
      </c>
      <c r="AD379" s="473">
        <v>111343</v>
      </c>
      <c r="AE379" s="473">
        <v>50104</v>
      </c>
      <c r="AF379" s="473">
        <v>20042</v>
      </c>
      <c r="AG379" s="473">
        <v>1600</v>
      </c>
      <c r="AH379" s="473">
        <v>200</v>
      </c>
      <c r="AI379" s="473">
        <v>1250</v>
      </c>
      <c r="AJ379" s="473">
        <v>4174</v>
      </c>
      <c r="AK379" s="473">
        <v>10021</v>
      </c>
      <c r="AL379" s="473">
        <v>7516</v>
      </c>
      <c r="AM379" s="473">
        <v>501</v>
      </c>
      <c r="AN379" s="473">
        <v>1754</v>
      </c>
      <c r="AO379" s="473">
        <v>1002</v>
      </c>
      <c r="AP379" s="473">
        <v>251</v>
      </c>
      <c r="AQ379" s="473">
        <v>1800</v>
      </c>
      <c r="AR379" s="473">
        <v>11128</v>
      </c>
      <c r="AS379" s="473">
        <v>0</v>
      </c>
      <c r="AT379" s="473">
        <v>0</v>
      </c>
      <c r="AU379" s="473">
        <v>0</v>
      </c>
      <c r="AV379" s="473">
        <v>111343</v>
      </c>
      <c r="AW379" s="474">
        <v>111343</v>
      </c>
      <c r="AX379" s="473">
        <v>0</v>
      </c>
      <c r="AY379" s="473">
        <v>0</v>
      </c>
      <c r="AZ379" s="475">
        <v>8833</v>
      </c>
      <c r="BA379" s="475">
        <v>200</v>
      </c>
      <c r="BB379" s="475">
        <v>1800</v>
      </c>
      <c r="BC379" s="475">
        <v>0</v>
      </c>
      <c r="BD379" s="475">
        <v>0</v>
      </c>
      <c r="BE379" s="475">
        <v>0</v>
      </c>
      <c r="BF379" s="475">
        <v>0</v>
      </c>
      <c r="BG379" s="475">
        <v>10833</v>
      </c>
      <c r="BH379" s="476">
        <v>100510</v>
      </c>
      <c r="BI379" s="467"/>
      <c r="BJ379" s="468"/>
    </row>
    <row r="380" spans="1:62">
      <c r="A380" s="469">
        <v>45870</v>
      </c>
      <c r="B380" s="469" t="s">
        <v>747</v>
      </c>
      <c r="C380" s="508" t="s">
        <v>748</v>
      </c>
      <c r="D380" s="470" t="s">
        <v>749</v>
      </c>
      <c r="E380" s="471">
        <v>1599</v>
      </c>
      <c r="F380" s="470" t="s">
        <v>820</v>
      </c>
      <c r="G380" s="470" t="s">
        <v>751</v>
      </c>
      <c r="H380" s="470" t="s">
        <v>12</v>
      </c>
      <c r="I380" s="470" t="s">
        <v>821</v>
      </c>
      <c r="J380" s="472" t="s">
        <v>822</v>
      </c>
      <c r="K380" s="470" t="s">
        <v>823</v>
      </c>
      <c r="L380" s="470" t="s">
        <v>824</v>
      </c>
      <c r="M380" s="470" t="s">
        <v>824</v>
      </c>
      <c r="N380" s="470" t="s">
        <v>777</v>
      </c>
      <c r="O380" s="472" t="s">
        <v>757</v>
      </c>
      <c r="P380" s="472" t="s">
        <v>738</v>
      </c>
      <c r="Q380" s="472" t="s">
        <v>758</v>
      </c>
      <c r="R380" s="472" t="s">
        <v>12</v>
      </c>
      <c r="S380" s="472" t="s">
        <v>12</v>
      </c>
      <c r="T380" s="472" t="s">
        <v>825</v>
      </c>
      <c r="U380" s="470" t="s">
        <v>826</v>
      </c>
      <c r="V380" s="470" t="s">
        <v>761</v>
      </c>
      <c r="W380" s="470" t="s">
        <v>827</v>
      </c>
      <c r="X380" s="470">
        <v>31</v>
      </c>
      <c r="Y380" s="470">
        <v>0</v>
      </c>
      <c r="Z380" s="470">
        <v>1</v>
      </c>
      <c r="AA380" s="470">
        <v>30</v>
      </c>
      <c r="AB380" s="470">
        <v>30</v>
      </c>
      <c r="AC380" s="473">
        <v>51640</v>
      </c>
      <c r="AD380" s="473">
        <v>51640</v>
      </c>
      <c r="AE380" s="473">
        <v>22488</v>
      </c>
      <c r="AF380" s="473">
        <v>8995</v>
      </c>
      <c r="AG380" s="473">
        <v>1548</v>
      </c>
      <c r="AH380" s="473">
        <v>194</v>
      </c>
      <c r="AI380" s="473">
        <v>1210</v>
      </c>
      <c r="AJ380" s="473">
        <v>1873</v>
      </c>
      <c r="AK380" s="473">
        <v>4498</v>
      </c>
      <c r="AL380" s="473">
        <v>3373</v>
      </c>
      <c r="AM380" s="473">
        <v>225</v>
      </c>
      <c r="AN380" s="473">
        <v>787</v>
      </c>
      <c r="AO380" s="473">
        <v>450</v>
      </c>
      <c r="AP380" s="473">
        <v>112</v>
      </c>
      <c r="AQ380" s="473">
        <v>1800</v>
      </c>
      <c r="AR380" s="473">
        <v>2421</v>
      </c>
      <c r="AS380" s="473">
        <v>0</v>
      </c>
      <c r="AT380" s="473">
        <v>0</v>
      </c>
      <c r="AU380" s="473">
        <v>3803</v>
      </c>
      <c r="AV380" s="473">
        <v>53777</v>
      </c>
      <c r="AW380" s="474">
        <v>49974</v>
      </c>
      <c r="AX380" s="473">
        <v>0</v>
      </c>
      <c r="AY380" s="473">
        <v>0</v>
      </c>
      <c r="AZ380" s="475">
        <v>0</v>
      </c>
      <c r="BA380" s="475">
        <v>200</v>
      </c>
      <c r="BB380" s="475">
        <v>1800</v>
      </c>
      <c r="BC380" s="475">
        <v>0</v>
      </c>
      <c r="BD380" s="475">
        <v>0</v>
      </c>
      <c r="BE380" s="475">
        <v>0</v>
      </c>
      <c r="BF380" s="475">
        <v>0</v>
      </c>
      <c r="BG380" s="475">
        <v>2000</v>
      </c>
      <c r="BH380" s="476">
        <v>51777</v>
      </c>
      <c r="BI380" s="467"/>
      <c r="BJ380" s="468"/>
    </row>
    <row r="381" spans="1:62">
      <c r="A381" s="469">
        <v>45870</v>
      </c>
      <c r="B381" s="469" t="s">
        <v>747</v>
      </c>
      <c r="C381" s="508" t="s">
        <v>748</v>
      </c>
      <c r="D381" s="470" t="s">
        <v>749</v>
      </c>
      <c r="E381" s="471">
        <v>1180</v>
      </c>
      <c r="F381" s="470" t="s">
        <v>828</v>
      </c>
      <c r="G381" s="470" t="s">
        <v>751</v>
      </c>
      <c r="H381" s="470" t="s">
        <v>12</v>
      </c>
      <c r="I381" s="470" t="s">
        <v>829</v>
      </c>
      <c r="J381" s="472" t="s">
        <v>830</v>
      </c>
      <c r="K381" s="470" t="s">
        <v>831</v>
      </c>
      <c r="L381" s="470" t="s">
        <v>832</v>
      </c>
      <c r="M381" s="470" t="s">
        <v>832</v>
      </c>
      <c r="N381" s="470" t="s">
        <v>833</v>
      </c>
      <c r="O381" s="472" t="s">
        <v>757</v>
      </c>
      <c r="P381" s="472" t="s">
        <v>738</v>
      </c>
      <c r="Q381" s="472" t="s">
        <v>758</v>
      </c>
      <c r="R381" s="472" t="s">
        <v>12</v>
      </c>
      <c r="S381" s="472" t="s">
        <v>12</v>
      </c>
      <c r="T381" s="472" t="s">
        <v>834</v>
      </c>
      <c r="U381" s="470" t="s">
        <v>835</v>
      </c>
      <c r="V381" s="470" t="s">
        <v>836</v>
      </c>
      <c r="W381" s="470" t="s">
        <v>837</v>
      </c>
      <c r="X381" s="470">
        <v>31</v>
      </c>
      <c r="Y381" s="470">
        <v>0</v>
      </c>
      <c r="Z381" s="470">
        <v>0</v>
      </c>
      <c r="AA381" s="470">
        <v>31</v>
      </c>
      <c r="AB381" s="470">
        <v>31</v>
      </c>
      <c r="AC381" s="473">
        <v>28042</v>
      </c>
      <c r="AD381" s="473">
        <v>28042</v>
      </c>
      <c r="AE381" s="473">
        <v>12619</v>
      </c>
      <c r="AF381" s="473">
        <v>5048</v>
      </c>
      <c r="AG381" s="473">
        <v>1600</v>
      </c>
      <c r="AH381" s="473">
        <v>200</v>
      </c>
      <c r="AI381" s="473">
        <v>1250</v>
      </c>
      <c r="AJ381" s="473">
        <v>0</v>
      </c>
      <c r="AK381" s="473">
        <v>0</v>
      </c>
      <c r="AL381" s="473">
        <v>0</v>
      </c>
      <c r="AM381" s="473">
        <v>0</v>
      </c>
      <c r="AN381" s="473">
        <v>0</v>
      </c>
      <c r="AO381" s="473">
        <v>0</v>
      </c>
      <c r="AP381" s="473">
        <v>0</v>
      </c>
      <c r="AQ381" s="473">
        <v>1514</v>
      </c>
      <c r="AR381" s="473">
        <v>5811</v>
      </c>
      <c r="AS381" s="473">
        <v>0</v>
      </c>
      <c r="AT381" s="473">
        <v>0</v>
      </c>
      <c r="AU381" s="473">
        <v>2554</v>
      </c>
      <c r="AV381" s="473">
        <v>30596</v>
      </c>
      <c r="AW381" s="474">
        <v>28042</v>
      </c>
      <c r="AX381" s="473">
        <v>0</v>
      </c>
      <c r="AY381" s="473">
        <v>0</v>
      </c>
      <c r="AZ381" s="475">
        <v>0</v>
      </c>
      <c r="BA381" s="475">
        <v>200</v>
      </c>
      <c r="BB381" s="475">
        <v>1514</v>
      </c>
      <c r="BC381" s="475">
        <v>0</v>
      </c>
      <c r="BD381" s="475">
        <v>0</v>
      </c>
      <c r="BE381" s="475">
        <v>0</v>
      </c>
      <c r="BF381" s="475">
        <v>0</v>
      </c>
      <c r="BG381" s="475">
        <v>1714</v>
      </c>
      <c r="BH381" s="476">
        <v>28882</v>
      </c>
      <c r="BI381" s="467"/>
      <c r="BJ381" s="468"/>
    </row>
    <row r="382" spans="1:62">
      <c r="A382" s="469">
        <v>45870</v>
      </c>
      <c r="B382" s="469" t="s">
        <v>747</v>
      </c>
      <c r="C382" s="508" t="s">
        <v>748</v>
      </c>
      <c r="D382" s="470" t="s">
        <v>749</v>
      </c>
      <c r="E382" s="471">
        <v>48</v>
      </c>
      <c r="F382" s="470" t="s">
        <v>838</v>
      </c>
      <c r="G382" s="470" t="s">
        <v>751</v>
      </c>
      <c r="H382" s="470" t="s">
        <v>12</v>
      </c>
      <c r="I382" s="470" t="s">
        <v>839</v>
      </c>
      <c r="J382" s="472" t="s">
        <v>840</v>
      </c>
      <c r="K382" s="470" t="s">
        <v>841</v>
      </c>
      <c r="L382" s="470" t="s">
        <v>842</v>
      </c>
      <c r="M382" s="470" t="s">
        <v>842</v>
      </c>
      <c r="N382" s="470" t="s">
        <v>777</v>
      </c>
      <c r="O382" s="472" t="s">
        <v>792</v>
      </c>
      <c r="P382" s="472" t="s">
        <v>738</v>
      </c>
      <c r="Q382" s="472" t="s">
        <v>758</v>
      </c>
      <c r="R382" s="472" t="s">
        <v>12</v>
      </c>
      <c r="S382" s="472" t="s">
        <v>12</v>
      </c>
      <c r="T382" s="472" t="s">
        <v>843</v>
      </c>
      <c r="U382" s="470" t="s">
        <v>844</v>
      </c>
      <c r="V382" s="470" t="s">
        <v>761</v>
      </c>
      <c r="W382" s="470" t="s">
        <v>845</v>
      </c>
      <c r="X382" s="470">
        <v>31</v>
      </c>
      <c r="Y382" s="470">
        <v>0</v>
      </c>
      <c r="Z382" s="470">
        <v>0</v>
      </c>
      <c r="AA382" s="470">
        <v>31</v>
      </c>
      <c r="AB382" s="470">
        <v>31</v>
      </c>
      <c r="AC382" s="473">
        <v>107967</v>
      </c>
      <c r="AD382" s="473">
        <v>107967</v>
      </c>
      <c r="AE382" s="473">
        <v>48585</v>
      </c>
      <c r="AF382" s="473">
        <v>19434</v>
      </c>
      <c r="AG382" s="473">
        <v>1600</v>
      </c>
      <c r="AH382" s="473">
        <v>200</v>
      </c>
      <c r="AI382" s="473">
        <v>1250</v>
      </c>
      <c r="AJ382" s="473">
        <v>4047</v>
      </c>
      <c r="AK382" s="473">
        <v>9717</v>
      </c>
      <c r="AL382" s="473">
        <v>7288</v>
      </c>
      <c r="AM382" s="473">
        <v>486</v>
      </c>
      <c r="AN382" s="473">
        <v>1700</v>
      </c>
      <c r="AO382" s="473">
        <v>972</v>
      </c>
      <c r="AP382" s="473">
        <v>243</v>
      </c>
      <c r="AQ382" s="473">
        <v>1800</v>
      </c>
      <c r="AR382" s="473">
        <v>10645</v>
      </c>
      <c r="AS382" s="473">
        <v>0</v>
      </c>
      <c r="AT382" s="473">
        <v>3483</v>
      </c>
      <c r="AU382" s="473">
        <v>0</v>
      </c>
      <c r="AV382" s="473">
        <v>111450</v>
      </c>
      <c r="AW382" s="474">
        <v>111450</v>
      </c>
      <c r="AX382" s="473">
        <v>0</v>
      </c>
      <c r="AY382" s="473">
        <v>0</v>
      </c>
      <c r="AZ382" s="475">
        <v>5903</v>
      </c>
      <c r="BA382" s="475">
        <v>200</v>
      </c>
      <c r="BB382" s="475">
        <v>1800</v>
      </c>
      <c r="BC382" s="475">
        <v>0</v>
      </c>
      <c r="BD382" s="475">
        <v>0</v>
      </c>
      <c r="BE382" s="475">
        <v>0</v>
      </c>
      <c r="BF382" s="475">
        <v>15000</v>
      </c>
      <c r="BG382" s="475">
        <v>22903</v>
      </c>
      <c r="BH382" s="476">
        <v>88547</v>
      </c>
      <c r="BI382" s="467"/>
      <c r="BJ382" s="468"/>
    </row>
    <row r="383" spans="1:62">
      <c r="A383" s="469">
        <v>45870</v>
      </c>
      <c r="B383" s="469" t="s">
        <v>747</v>
      </c>
      <c r="C383" s="508" t="s">
        <v>748</v>
      </c>
      <c r="D383" s="470" t="s">
        <v>749</v>
      </c>
      <c r="E383" s="471">
        <v>2017</v>
      </c>
      <c r="F383" s="470" t="s">
        <v>846</v>
      </c>
      <c r="G383" s="470" t="s">
        <v>751</v>
      </c>
      <c r="H383" s="470" t="s">
        <v>12</v>
      </c>
      <c r="I383" s="470" t="s">
        <v>847</v>
      </c>
      <c r="J383" s="472" t="s">
        <v>848</v>
      </c>
      <c r="K383" s="470" t="s">
        <v>849</v>
      </c>
      <c r="L383" s="470" t="s">
        <v>824</v>
      </c>
      <c r="M383" s="470" t="s">
        <v>824</v>
      </c>
      <c r="N383" s="470" t="s">
        <v>1275</v>
      </c>
      <c r="O383" s="472" t="s">
        <v>1276</v>
      </c>
      <c r="P383" s="472" t="s">
        <v>738</v>
      </c>
      <c r="Q383" s="472" t="s">
        <v>758</v>
      </c>
      <c r="R383" s="472" t="s">
        <v>12</v>
      </c>
      <c r="S383" s="472" t="s">
        <v>12</v>
      </c>
      <c r="T383" s="472" t="s">
        <v>850</v>
      </c>
      <c r="U383" s="470" t="s">
        <v>851</v>
      </c>
      <c r="V383" s="470" t="s">
        <v>761</v>
      </c>
      <c r="W383" s="470" t="s">
        <v>762</v>
      </c>
      <c r="X383" s="470">
        <v>31</v>
      </c>
      <c r="Y383" s="470">
        <v>0</v>
      </c>
      <c r="Z383" s="470">
        <v>0</v>
      </c>
      <c r="AA383" s="470">
        <v>31</v>
      </c>
      <c r="AB383" s="470">
        <v>31</v>
      </c>
      <c r="AC383" s="473">
        <v>56533</v>
      </c>
      <c r="AD383" s="473">
        <v>56533</v>
      </c>
      <c r="AE383" s="473">
        <v>25440</v>
      </c>
      <c r="AF383" s="473">
        <v>10176</v>
      </c>
      <c r="AG383" s="473">
        <v>1600</v>
      </c>
      <c r="AH383" s="473">
        <v>200</v>
      </c>
      <c r="AI383" s="473">
        <v>1250</v>
      </c>
      <c r="AJ383" s="473">
        <v>2119</v>
      </c>
      <c r="AK383" s="473">
        <v>5088</v>
      </c>
      <c r="AL383" s="473">
        <v>3816</v>
      </c>
      <c r="AM383" s="473">
        <v>254</v>
      </c>
      <c r="AN383" s="473">
        <v>890</v>
      </c>
      <c r="AO383" s="473">
        <v>509</v>
      </c>
      <c r="AP383" s="473">
        <v>127</v>
      </c>
      <c r="AQ383" s="473">
        <v>1800</v>
      </c>
      <c r="AR383" s="473">
        <v>3264</v>
      </c>
      <c r="AS383" s="473">
        <v>0</v>
      </c>
      <c r="AT383" s="473">
        <v>0</v>
      </c>
      <c r="AU383" s="473">
        <v>2306</v>
      </c>
      <c r="AV383" s="473">
        <v>58839</v>
      </c>
      <c r="AW383" s="474">
        <v>56533</v>
      </c>
      <c r="AX383" s="473">
        <v>0</v>
      </c>
      <c r="AY383" s="473">
        <v>0</v>
      </c>
      <c r="AZ383" s="475">
        <v>0</v>
      </c>
      <c r="BA383" s="475">
        <v>200</v>
      </c>
      <c r="BB383" s="475">
        <v>1800</v>
      </c>
      <c r="BC383" s="475">
        <v>0</v>
      </c>
      <c r="BD383" s="475">
        <v>0</v>
      </c>
      <c r="BE383" s="475">
        <v>0</v>
      </c>
      <c r="BF383" s="475">
        <v>0</v>
      </c>
      <c r="BG383" s="475">
        <v>2000</v>
      </c>
      <c r="BH383" s="476">
        <v>56839</v>
      </c>
      <c r="BI383" s="467"/>
      <c r="BJ383" s="468"/>
    </row>
    <row r="384" spans="1:62">
      <c r="A384" s="469">
        <v>45870</v>
      </c>
      <c r="B384" s="469" t="s">
        <v>747</v>
      </c>
      <c r="C384" s="508" t="s">
        <v>748</v>
      </c>
      <c r="D384" s="470" t="s">
        <v>749</v>
      </c>
      <c r="E384" s="471">
        <v>1914</v>
      </c>
      <c r="F384" s="470" t="s">
        <v>852</v>
      </c>
      <c r="G384" s="470" t="s">
        <v>751</v>
      </c>
      <c r="H384" s="470" t="s">
        <v>12</v>
      </c>
      <c r="I384" s="470" t="s">
        <v>853</v>
      </c>
      <c r="J384" s="472" t="s">
        <v>854</v>
      </c>
      <c r="K384" s="470" t="s">
        <v>855</v>
      </c>
      <c r="L384" s="470" t="s">
        <v>856</v>
      </c>
      <c r="M384" s="470" t="s">
        <v>856</v>
      </c>
      <c r="N384" s="470" t="s">
        <v>756</v>
      </c>
      <c r="O384" s="472" t="s">
        <v>757</v>
      </c>
      <c r="P384" s="472" t="s">
        <v>738</v>
      </c>
      <c r="Q384" s="472" t="s">
        <v>758</v>
      </c>
      <c r="R384" s="472" t="s">
        <v>12</v>
      </c>
      <c r="S384" s="472" t="s">
        <v>12</v>
      </c>
      <c r="T384" s="472" t="s">
        <v>857</v>
      </c>
      <c r="U384" s="470" t="s">
        <v>858</v>
      </c>
      <c r="V384" s="470" t="s">
        <v>761</v>
      </c>
      <c r="W384" s="470" t="s">
        <v>859</v>
      </c>
      <c r="X384" s="470">
        <v>31</v>
      </c>
      <c r="Y384" s="470">
        <v>0</v>
      </c>
      <c r="Z384" s="470">
        <v>0</v>
      </c>
      <c r="AA384" s="470">
        <v>31</v>
      </c>
      <c r="AB384" s="470">
        <v>31</v>
      </c>
      <c r="AC384" s="473">
        <v>74033</v>
      </c>
      <c r="AD384" s="473">
        <v>74033</v>
      </c>
      <c r="AE384" s="473">
        <v>33315</v>
      </c>
      <c r="AF384" s="473">
        <v>13326</v>
      </c>
      <c r="AG384" s="473">
        <v>1600</v>
      </c>
      <c r="AH384" s="473">
        <v>200</v>
      </c>
      <c r="AI384" s="473">
        <v>1250</v>
      </c>
      <c r="AJ384" s="473">
        <v>2775</v>
      </c>
      <c r="AK384" s="473">
        <v>6663</v>
      </c>
      <c r="AL384" s="473">
        <v>4997</v>
      </c>
      <c r="AM384" s="473">
        <v>333</v>
      </c>
      <c r="AN384" s="473">
        <v>1166</v>
      </c>
      <c r="AO384" s="473">
        <v>666</v>
      </c>
      <c r="AP384" s="473">
        <v>167</v>
      </c>
      <c r="AQ384" s="473">
        <v>1800</v>
      </c>
      <c r="AR384" s="473">
        <v>5775</v>
      </c>
      <c r="AS384" s="473">
        <v>0</v>
      </c>
      <c r="AT384" s="473">
        <v>0</v>
      </c>
      <c r="AU384" s="473">
        <v>1364</v>
      </c>
      <c r="AV384" s="473">
        <v>75397</v>
      </c>
      <c r="AW384" s="474">
        <v>74033</v>
      </c>
      <c r="AX384" s="473">
        <v>0</v>
      </c>
      <c r="AY384" s="473">
        <v>0</v>
      </c>
      <c r="AZ384" s="475">
        <v>0</v>
      </c>
      <c r="BA384" s="475">
        <v>200</v>
      </c>
      <c r="BB384" s="475">
        <v>1800</v>
      </c>
      <c r="BC384" s="475">
        <v>0</v>
      </c>
      <c r="BD384" s="475">
        <v>0</v>
      </c>
      <c r="BE384" s="475">
        <v>0</v>
      </c>
      <c r="BF384" s="475">
        <v>0</v>
      </c>
      <c r="BG384" s="475">
        <v>2000</v>
      </c>
      <c r="BH384" s="476">
        <v>73397</v>
      </c>
      <c r="BI384" s="467"/>
      <c r="BJ384" s="468"/>
    </row>
    <row r="385" spans="1:62">
      <c r="A385" s="469">
        <v>45870</v>
      </c>
      <c r="B385" s="469" t="s">
        <v>747</v>
      </c>
      <c r="C385" s="508" t="s">
        <v>748</v>
      </c>
      <c r="D385" s="470" t="s">
        <v>749</v>
      </c>
      <c r="E385" s="471">
        <v>2186</v>
      </c>
      <c r="F385" s="470" t="s">
        <v>1277</v>
      </c>
      <c r="G385" s="470" t="s">
        <v>751</v>
      </c>
      <c r="H385" s="470" t="s">
        <v>12</v>
      </c>
      <c r="I385" s="470" t="s">
        <v>1278</v>
      </c>
      <c r="J385" s="472" t="s">
        <v>1279</v>
      </c>
      <c r="K385" s="470" t="s">
        <v>1280</v>
      </c>
      <c r="L385" s="470" t="s">
        <v>980</v>
      </c>
      <c r="M385" s="470" t="s">
        <v>980</v>
      </c>
      <c r="N385" s="470" t="s">
        <v>1275</v>
      </c>
      <c r="O385" s="472" t="s">
        <v>757</v>
      </c>
      <c r="P385" s="472" t="s">
        <v>738</v>
      </c>
      <c r="Q385" s="472" t="s">
        <v>758</v>
      </c>
      <c r="R385" s="472" t="s">
        <v>12</v>
      </c>
      <c r="S385" s="472" t="s">
        <v>12</v>
      </c>
      <c r="T385" s="472" t="s">
        <v>1281</v>
      </c>
      <c r="U385" s="470" t="s">
        <v>1282</v>
      </c>
      <c r="V385" s="470" t="s">
        <v>761</v>
      </c>
      <c r="W385" s="470" t="s">
        <v>762</v>
      </c>
      <c r="X385" s="470">
        <v>31</v>
      </c>
      <c r="Y385" s="470">
        <v>0</v>
      </c>
      <c r="Z385" s="470">
        <v>0</v>
      </c>
      <c r="AA385" s="470">
        <v>21</v>
      </c>
      <c r="AB385" s="470">
        <v>21</v>
      </c>
      <c r="AC385" s="473">
        <v>63200</v>
      </c>
      <c r="AD385" s="473">
        <v>63200</v>
      </c>
      <c r="AE385" s="473">
        <v>19266</v>
      </c>
      <c r="AF385" s="473">
        <v>7706</v>
      </c>
      <c r="AG385" s="473">
        <v>1084</v>
      </c>
      <c r="AH385" s="473">
        <v>200</v>
      </c>
      <c r="AI385" s="473">
        <v>847</v>
      </c>
      <c r="AJ385" s="473">
        <v>1605</v>
      </c>
      <c r="AK385" s="473">
        <v>3853</v>
      </c>
      <c r="AL385" s="473">
        <v>2890</v>
      </c>
      <c r="AM385" s="473">
        <v>193</v>
      </c>
      <c r="AN385" s="473">
        <v>674</v>
      </c>
      <c r="AO385" s="473">
        <v>385</v>
      </c>
      <c r="AP385" s="473">
        <v>96</v>
      </c>
      <c r="AQ385" s="473">
        <v>1800</v>
      </c>
      <c r="AR385" s="473">
        <v>2214</v>
      </c>
      <c r="AS385" s="473">
        <v>0</v>
      </c>
      <c r="AT385" s="473">
        <v>0</v>
      </c>
      <c r="AU385" s="473">
        <v>0</v>
      </c>
      <c r="AV385" s="473">
        <v>42813</v>
      </c>
      <c r="AW385" s="474">
        <v>42813</v>
      </c>
      <c r="AX385" s="473">
        <v>0</v>
      </c>
      <c r="AY385" s="473">
        <v>0</v>
      </c>
      <c r="AZ385" s="475">
        <v>0</v>
      </c>
      <c r="BA385" s="475">
        <v>200</v>
      </c>
      <c r="BB385" s="475">
        <v>1800</v>
      </c>
      <c r="BC385" s="475">
        <v>0</v>
      </c>
      <c r="BD385" s="475">
        <v>0</v>
      </c>
      <c r="BE385" s="475">
        <v>0</v>
      </c>
      <c r="BF385" s="475">
        <v>0</v>
      </c>
      <c r="BG385" s="475">
        <v>2000</v>
      </c>
      <c r="BH385" s="476">
        <v>40813</v>
      </c>
      <c r="BI385" s="467"/>
      <c r="BJ385" s="468"/>
    </row>
    <row r="386" spans="1:62">
      <c r="A386" s="469">
        <v>45870</v>
      </c>
      <c r="B386" s="469" t="s">
        <v>747</v>
      </c>
      <c r="C386" s="508" t="s">
        <v>748</v>
      </c>
      <c r="D386" s="470" t="s">
        <v>749</v>
      </c>
      <c r="E386" s="471">
        <v>1209</v>
      </c>
      <c r="F386" s="470" t="s">
        <v>868</v>
      </c>
      <c r="G386" s="470" t="s">
        <v>751</v>
      </c>
      <c r="H386" s="470" t="s">
        <v>12</v>
      </c>
      <c r="I386" s="470" t="s">
        <v>869</v>
      </c>
      <c r="J386" s="472" t="s">
        <v>870</v>
      </c>
      <c r="K386" s="470" t="s">
        <v>871</v>
      </c>
      <c r="L386" s="470" t="s">
        <v>873</v>
      </c>
      <c r="M386" s="470" t="s">
        <v>873</v>
      </c>
      <c r="N386" s="470" t="s">
        <v>833</v>
      </c>
      <c r="O386" s="472" t="s">
        <v>757</v>
      </c>
      <c r="P386" s="472" t="s">
        <v>738</v>
      </c>
      <c r="Q386" s="472" t="s">
        <v>758</v>
      </c>
      <c r="R386" s="472" t="s">
        <v>12</v>
      </c>
      <c r="S386" s="472" t="s">
        <v>12</v>
      </c>
      <c r="T386" s="472" t="s">
        <v>874</v>
      </c>
      <c r="U386" s="470" t="s">
        <v>875</v>
      </c>
      <c r="V386" s="470" t="s">
        <v>761</v>
      </c>
      <c r="W386" s="470" t="s">
        <v>876</v>
      </c>
      <c r="X386" s="470">
        <v>31</v>
      </c>
      <c r="Y386" s="470">
        <v>0</v>
      </c>
      <c r="Z386" s="470">
        <v>0</v>
      </c>
      <c r="AA386" s="470">
        <v>31</v>
      </c>
      <c r="AB386" s="470">
        <v>31</v>
      </c>
      <c r="AC386" s="473">
        <v>79575</v>
      </c>
      <c r="AD386" s="473">
        <v>79575</v>
      </c>
      <c r="AE386" s="473">
        <v>35809</v>
      </c>
      <c r="AF386" s="473">
        <v>14324</v>
      </c>
      <c r="AG386" s="473">
        <v>1600</v>
      </c>
      <c r="AH386" s="473">
        <v>200</v>
      </c>
      <c r="AI386" s="473">
        <v>1250</v>
      </c>
      <c r="AJ386" s="473">
        <v>2983</v>
      </c>
      <c r="AK386" s="473">
        <v>7162</v>
      </c>
      <c r="AL386" s="473">
        <v>5371</v>
      </c>
      <c r="AM386" s="473">
        <v>358</v>
      </c>
      <c r="AN386" s="473">
        <v>1253</v>
      </c>
      <c r="AO386" s="473">
        <v>716</v>
      </c>
      <c r="AP386" s="473">
        <v>179</v>
      </c>
      <c r="AQ386" s="473">
        <v>1800</v>
      </c>
      <c r="AR386" s="473">
        <v>6570</v>
      </c>
      <c r="AS386" s="473">
        <v>0</v>
      </c>
      <c r="AT386" s="473">
        <v>0</v>
      </c>
      <c r="AU386" s="473">
        <v>473</v>
      </c>
      <c r="AV386" s="473">
        <v>80048</v>
      </c>
      <c r="AW386" s="474">
        <v>79575</v>
      </c>
      <c r="AX386" s="473">
        <v>0</v>
      </c>
      <c r="AY386" s="473">
        <v>0</v>
      </c>
      <c r="AZ386" s="475">
        <v>0</v>
      </c>
      <c r="BA386" s="475">
        <v>200</v>
      </c>
      <c r="BB386" s="475">
        <v>1800</v>
      </c>
      <c r="BC386" s="475">
        <v>0</v>
      </c>
      <c r="BD386" s="475">
        <v>0</v>
      </c>
      <c r="BE386" s="475">
        <v>0</v>
      </c>
      <c r="BF386" s="475">
        <v>0</v>
      </c>
      <c r="BG386" s="475">
        <v>2000</v>
      </c>
      <c r="BH386" s="476">
        <v>78048</v>
      </c>
      <c r="BI386" s="467"/>
      <c r="BJ386" s="468"/>
    </row>
    <row r="387" spans="1:62">
      <c r="A387" s="469">
        <v>45870</v>
      </c>
      <c r="B387" s="469" t="s">
        <v>747</v>
      </c>
      <c r="C387" s="508" t="s">
        <v>748</v>
      </c>
      <c r="D387" s="470" t="s">
        <v>749</v>
      </c>
      <c r="E387" s="471">
        <v>1517</v>
      </c>
      <c r="F387" s="470" t="s">
        <v>877</v>
      </c>
      <c r="G387" s="470" t="s">
        <v>751</v>
      </c>
      <c r="H387" s="470" t="s">
        <v>12</v>
      </c>
      <c r="I387" s="470" t="s">
        <v>878</v>
      </c>
      <c r="J387" s="472" t="s">
        <v>879</v>
      </c>
      <c r="K387" s="470" t="s">
        <v>880</v>
      </c>
      <c r="L387" s="470" t="s">
        <v>881</v>
      </c>
      <c r="M387" s="470" t="s">
        <v>881</v>
      </c>
      <c r="N387" s="470" t="s">
        <v>833</v>
      </c>
      <c r="O387" s="472" t="s">
        <v>757</v>
      </c>
      <c r="P387" s="472" t="s">
        <v>738</v>
      </c>
      <c r="Q387" s="472" t="s">
        <v>758</v>
      </c>
      <c r="R387" s="472" t="s">
        <v>12</v>
      </c>
      <c r="S387" s="472" t="s">
        <v>12</v>
      </c>
      <c r="T387" s="472" t="s">
        <v>882</v>
      </c>
      <c r="U387" s="470" t="s">
        <v>883</v>
      </c>
      <c r="V387" s="470" t="s">
        <v>761</v>
      </c>
      <c r="W387" s="470" t="s">
        <v>859</v>
      </c>
      <c r="X387" s="470">
        <v>31</v>
      </c>
      <c r="Y387" s="470">
        <v>0</v>
      </c>
      <c r="Z387" s="470">
        <v>0</v>
      </c>
      <c r="AA387" s="470">
        <v>31</v>
      </c>
      <c r="AB387" s="470">
        <v>31</v>
      </c>
      <c r="AC387" s="473">
        <v>47190</v>
      </c>
      <c r="AD387" s="473">
        <v>47190</v>
      </c>
      <c r="AE387" s="473">
        <v>21236</v>
      </c>
      <c r="AF387" s="473">
        <v>8494</v>
      </c>
      <c r="AG387" s="473">
        <v>1600</v>
      </c>
      <c r="AH387" s="473">
        <v>200</v>
      </c>
      <c r="AI387" s="473">
        <v>1250</v>
      </c>
      <c r="AJ387" s="473">
        <v>1769</v>
      </c>
      <c r="AK387" s="473">
        <v>4247</v>
      </c>
      <c r="AL387" s="473">
        <v>3185</v>
      </c>
      <c r="AM387" s="473">
        <v>212</v>
      </c>
      <c r="AN387" s="473">
        <v>743</v>
      </c>
      <c r="AO387" s="473">
        <v>425</v>
      </c>
      <c r="AP387" s="473">
        <v>106</v>
      </c>
      <c r="AQ387" s="473">
        <v>1800</v>
      </c>
      <c r="AR387" s="473">
        <v>1923</v>
      </c>
      <c r="AS387" s="473">
        <v>0</v>
      </c>
      <c r="AT387" s="473">
        <v>0</v>
      </c>
      <c r="AU387" s="473">
        <v>2000</v>
      </c>
      <c r="AV387" s="473">
        <v>49190</v>
      </c>
      <c r="AW387" s="474">
        <v>47190</v>
      </c>
      <c r="AX387" s="473">
        <v>0</v>
      </c>
      <c r="AY387" s="473">
        <v>0</v>
      </c>
      <c r="AZ387" s="475">
        <v>0</v>
      </c>
      <c r="BA387" s="475">
        <v>200</v>
      </c>
      <c r="BB387" s="475">
        <v>1800</v>
      </c>
      <c r="BC387" s="475">
        <v>0</v>
      </c>
      <c r="BD387" s="475">
        <v>0</v>
      </c>
      <c r="BE387" s="475">
        <v>0</v>
      </c>
      <c r="BF387" s="475">
        <v>0</v>
      </c>
      <c r="BG387" s="475">
        <v>2000</v>
      </c>
      <c r="BH387" s="476">
        <v>47190</v>
      </c>
      <c r="BI387" s="467"/>
      <c r="BJ387" s="468"/>
    </row>
    <row r="388" spans="1:62">
      <c r="A388" s="469">
        <v>45870</v>
      </c>
      <c r="B388" s="469" t="s">
        <v>747</v>
      </c>
      <c r="C388" s="508" t="s">
        <v>748</v>
      </c>
      <c r="D388" s="470" t="s">
        <v>749</v>
      </c>
      <c r="E388" s="471">
        <v>1202</v>
      </c>
      <c r="F388" s="470" t="s">
        <v>884</v>
      </c>
      <c r="G388" s="470" t="s">
        <v>751</v>
      </c>
      <c r="H388" s="470" t="s">
        <v>12</v>
      </c>
      <c r="I388" s="470" t="s">
        <v>885</v>
      </c>
      <c r="J388" s="472" t="s">
        <v>886</v>
      </c>
      <c r="K388" s="470" t="s">
        <v>887</v>
      </c>
      <c r="L388" s="470" t="s">
        <v>816</v>
      </c>
      <c r="M388" s="470" t="s">
        <v>816</v>
      </c>
      <c r="N388" s="470" t="s">
        <v>777</v>
      </c>
      <c r="O388" s="472" t="s">
        <v>757</v>
      </c>
      <c r="P388" s="472" t="s">
        <v>738</v>
      </c>
      <c r="Q388" s="472" t="s">
        <v>758</v>
      </c>
      <c r="R388" s="472" t="s">
        <v>12</v>
      </c>
      <c r="S388" s="472" t="s">
        <v>12</v>
      </c>
      <c r="T388" s="472" t="s">
        <v>888</v>
      </c>
      <c r="U388" s="470" t="s">
        <v>889</v>
      </c>
      <c r="V388" s="470" t="s">
        <v>761</v>
      </c>
      <c r="W388" s="470" t="s">
        <v>762</v>
      </c>
      <c r="X388" s="470">
        <v>31</v>
      </c>
      <c r="Y388" s="470">
        <v>0</v>
      </c>
      <c r="Z388" s="470">
        <v>0</v>
      </c>
      <c r="AA388" s="470">
        <v>31</v>
      </c>
      <c r="AB388" s="470">
        <v>31</v>
      </c>
      <c r="AC388" s="473">
        <v>98333</v>
      </c>
      <c r="AD388" s="473">
        <v>98333</v>
      </c>
      <c r="AE388" s="473">
        <v>44250</v>
      </c>
      <c r="AF388" s="473">
        <v>17700</v>
      </c>
      <c r="AG388" s="473">
        <v>1600</v>
      </c>
      <c r="AH388" s="473">
        <v>200</v>
      </c>
      <c r="AI388" s="473">
        <v>1250</v>
      </c>
      <c r="AJ388" s="473">
        <v>3686</v>
      </c>
      <c r="AK388" s="473">
        <v>8850</v>
      </c>
      <c r="AL388" s="473">
        <v>6638</v>
      </c>
      <c r="AM388" s="473">
        <v>443</v>
      </c>
      <c r="AN388" s="473">
        <v>1549</v>
      </c>
      <c r="AO388" s="473">
        <v>885</v>
      </c>
      <c r="AP388" s="473">
        <v>221</v>
      </c>
      <c r="AQ388" s="473">
        <v>1800</v>
      </c>
      <c r="AR388" s="473">
        <v>9261</v>
      </c>
      <c r="AS388" s="473">
        <v>0</v>
      </c>
      <c r="AT388" s="473">
        <v>0</v>
      </c>
      <c r="AU388" s="473">
        <v>2517</v>
      </c>
      <c r="AV388" s="473">
        <v>100850</v>
      </c>
      <c r="AW388" s="474">
        <v>98333</v>
      </c>
      <c r="AX388" s="473">
        <v>0</v>
      </c>
      <c r="AY388" s="473">
        <v>0</v>
      </c>
      <c r="AZ388" s="475">
        <v>0</v>
      </c>
      <c r="BA388" s="475">
        <v>200</v>
      </c>
      <c r="BB388" s="475">
        <v>1800</v>
      </c>
      <c r="BC388" s="475">
        <v>0</v>
      </c>
      <c r="BD388" s="475">
        <v>0</v>
      </c>
      <c r="BE388" s="475">
        <v>0</v>
      </c>
      <c r="BF388" s="475">
        <v>0</v>
      </c>
      <c r="BG388" s="475">
        <v>2000</v>
      </c>
      <c r="BH388" s="476">
        <v>98850</v>
      </c>
      <c r="BI388" s="467"/>
      <c r="BJ388" s="468"/>
    </row>
    <row r="389" spans="1:62">
      <c r="A389" s="469">
        <v>45870</v>
      </c>
      <c r="B389" s="469" t="s">
        <v>747</v>
      </c>
      <c r="C389" s="508" t="s">
        <v>748</v>
      </c>
      <c r="D389" s="470" t="s">
        <v>749</v>
      </c>
      <c r="E389" s="471">
        <v>1205</v>
      </c>
      <c r="F389" s="470" t="s">
        <v>890</v>
      </c>
      <c r="G389" s="470" t="s">
        <v>751</v>
      </c>
      <c r="H389" s="470" t="s">
        <v>12</v>
      </c>
      <c r="I389" s="470" t="s">
        <v>891</v>
      </c>
      <c r="J389" s="472" t="s">
        <v>892</v>
      </c>
      <c r="K389" s="470" t="s">
        <v>893</v>
      </c>
      <c r="L389" s="470" t="s">
        <v>894</v>
      </c>
      <c r="M389" s="470" t="s">
        <v>895</v>
      </c>
      <c r="N389" s="470" t="s">
        <v>777</v>
      </c>
      <c r="O389" s="472" t="s">
        <v>757</v>
      </c>
      <c r="P389" s="472" t="s">
        <v>738</v>
      </c>
      <c r="Q389" s="472" t="s">
        <v>758</v>
      </c>
      <c r="R389" s="472" t="s">
        <v>12</v>
      </c>
      <c r="S389" s="472" t="s">
        <v>12</v>
      </c>
      <c r="T389" s="472" t="s">
        <v>896</v>
      </c>
      <c r="U389" s="470" t="s">
        <v>897</v>
      </c>
      <c r="V389" s="470" t="s">
        <v>761</v>
      </c>
      <c r="W389" s="470" t="s">
        <v>898</v>
      </c>
      <c r="X389" s="470">
        <v>31</v>
      </c>
      <c r="Y389" s="470">
        <v>0</v>
      </c>
      <c r="Z389" s="470">
        <v>2</v>
      </c>
      <c r="AA389" s="470">
        <v>29</v>
      </c>
      <c r="AB389" s="470">
        <v>29</v>
      </c>
      <c r="AC389" s="473">
        <v>32307</v>
      </c>
      <c r="AD389" s="473">
        <v>32307</v>
      </c>
      <c r="AE389" s="473">
        <v>13600</v>
      </c>
      <c r="AF389" s="473">
        <v>5440</v>
      </c>
      <c r="AG389" s="473">
        <v>1497</v>
      </c>
      <c r="AH389" s="473">
        <v>187</v>
      </c>
      <c r="AI389" s="473">
        <v>1169</v>
      </c>
      <c r="AJ389" s="473">
        <v>0</v>
      </c>
      <c r="AK389" s="473">
        <v>0</v>
      </c>
      <c r="AL389" s="473">
        <v>0</v>
      </c>
      <c r="AM389" s="473">
        <v>0</v>
      </c>
      <c r="AN389" s="473">
        <v>0</v>
      </c>
      <c r="AO389" s="473">
        <v>0</v>
      </c>
      <c r="AP389" s="473">
        <v>0</v>
      </c>
      <c r="AQ389" s="473">
        <v>1632</v>
      </c>
      <c r="AR389" s="473">
        <v>6698</v>
      </c>
      <c r="AS389" s="473">
        <v>0</v>
      </c>
      <c r="AT389" s="473">
        <v>0</v>
      </c>
      <c r="AU389" s="473">
        <v>2651</v>
      </c>
      <c r="AV389" s="473">
        <v>32874</v>
      </c>
      <c r="AW389" s="474">
        <v>30223</v>
      </c>
      <c r="AX389" s="473">
        <v>0</v>
      </c>
      <c r="AY389" s="473">
        <v>0</v>
      </c>
      <c r="AZ389" s="475">
        <v>0</v>
      </c>
      <c r="BA389" s="475">
        <v>200</v>
      </c>
      <c r="BB389" s="475">
        <v>1632</v>
      </c>
      <c r="BC389" s="475">
        <v>0</v>
      </c>
      <c r="BD389" s="475">
        <v>0</v>
      </c>
      <c r="BE389" s="475">
        <v>0</v>
      </c>
      <c r="BF389" s="475">
        <v>0</v>
      </c>
      <c r="BG389" s="475">
        <v>1832</v>
      </c>
      <c r="BH389" s="476">
        <v>31042</v>
      </c>
      <c r="BI389" s="467"/>
      <c r="BJ389" s="468"/>
    </row>
    <row r="390" spans="1:62">
      <c r="A390" s="469">
        <v>45870</v>
      </c>
      <c r="B390" s="469" t="s">
        <v>747</v>
      </c>
      <c r="C390" s="508" t="s">
        <v>748</v>
      </c>
      <c r="D390" s="470" t="s">
        <v>749</v>
      </c>
      <c r="E390" s="471">
        <v>748</v>
      </c>
      <c r="F390" s="470" t="s">
        <v>899</v>
      </c>
      <c r="G390" s="470" t="s">
        <v>751</v>
      </c>
      <c r="H390" s="470" t="s">
        <v>12</v>
      </c>
      <c r="I390" s="470" t="s">
        <v>900</v>
      </c>
      <c r="J390" s="472" t="s">
        <v>901</v>
      </c>
      <c r="K390" s="470" t="s">
        <v>902</v>
      </c>
      <c r="L390" s="470" t="s">
        <v>1283</v>
      </c>
      <c r="M390" s="470" t="s">
        <v>1284</v>
      </c>
      <c r="N390" s="470" t="s">
        <v>904</v>
      </c>
      <c r="O390" s="472" t="s">
        <v>757</v>
      </c>
      <c r="P390" s="472" t="s">
        <v>738</v>
      </c>
      <c r="Q390" s="472" t="s">
        <v>758</v>
      </c>
      <c r="R390" s="472" t="s">
        <v>12</v>
      </c>
      <c r="S390" s="472" t="s">
        <v>12</v>
      </c>
      <c r="T390" s="472" t="s">
        <v>905</v>
      </c>
      <c r="U390" s="470" t="s">
        <v>906</v>
      </c>
      <c r="V390" s="470" t="s">
        <v>761</v>
      </c>
      <c r="W390" s="470" t="s">
        <v>907</v>
      </c>
      <c r="X390" s="470">
        <v>31</v>
      </c>
      <c r="Y390" s="470">
        <v>0</v>
      </c>
      <c r="Z390" s="470">
        <v>0</v>
      </c>
      <c r="AA390" s="470">
        <v>31</v>
      </c>
      <c r="AB390" s="470">
        <v>31</v>
      </c>
      <c r="AC390" s="473">
        <v>62333</v>
      </c>
      <c r="AD390" s="473">
        <v>62333</v>
      </c>
      <c r="AE390" s="473">
        <v>28050</v>
      </c>
      <c r="AF390" s="473">
        <v>11220</v>
      </c>
      <c r="AG390" s="473">
        <v>1600</v>
      </c>
      <c r="AH390" s="473">
        <v>200</v>
      </c>
      <c r="AI390" s="473">
        <v>1250</v>
      </c>
      <c r="AJ390" s="473">
        <v>2337</v>
      </c>
      <c r="AK390" s="473">
        <v>5610</v>
      </c>
      <c r="AL390" s="473">
        <v>4208</v>
      </c>
      <c r="AM390" s="473">
        <v>281</v>
      </c>
      <c r="AN390" s="473">
        <v>982</v>
      </c>
      <c r="AO390" s="473">
        <v>561</v>
      </c>
      <c r="AP390" s="473">
        <v>140</v>
      </c>
      <c r="AQ390" s="473">
        <v>1800</v>
      </c>
      <c r="AR390" s="473">
        <v>4094</v>
      </c>
      <c r="AS390" s="473">
        <v>0</v>
      </c>
      <c r="AT390" s="473">
        <v>0</v>
      </c>
      <c r="AU390" s="473">
        <v>3657</v>
      </c>
      <c r="AV390" s="473">
        <v>65990</v>
      </c>
      <c r="AW390" s="474">
        <v>62333</v>
      </c>
      <c r="AX390" s="473">
        <v>0</v>
      </c>
      <c r="AY390" s="473">
        <v>0</v>
      </c>
      <c r="AZ390" s="475">
        <v>0</v>
      </c>
      <c r="BA390" s="475">
        <v>200</v>
      </c>
      <c r="BB390" s="475">
        <v>1800</v>
      </c>
      <c r="BC390" s="475">
        <v>0</v>
      </c>
      <c r="BD390" s="475">
        <v>0</v>
      </c>
      <c r="BE390" s="475">
        <v>0</v>
      </c>
      <c r="BF390" s="475">
        <v>15000</v>
      </c>
      <c r="BG390" s="475">
        <v>17000</v>
      </c>
      <c r="BH390" s="476">
        <v>48990</v>
      </c>
      <c r="BI390" s="467"/>
      <c r="BJ390" s="468"/>
    </row>
    <row r="391" spans="1:62">
      <c r="A391" s="469">
        <v>45870</v>
      </c>
      <c r="B391" s="469" t="s">
        <v>747</v>
      </c>
      <c r="C391" s="508" t="s">
        <v>748</v>
      </c>
      <c r="D391" s="470" t="s">
        <v>749</v>
      </c>
      <c r="E391" s="471">
        <v>2152</v>
      </c>
      <c r="F391" s="470" t="s">
        <v>1285</v>
      </c>
      <c r="G391" s="470" t="s">
        <v>751</v>
      </c>
      <c r="H391" s="470" t="s">
        <v>12</v>
      </c>
      <c r="I391" s="470" t="s">
        <v>1286</v>
      </c>
      <c r="J391" s="472" t="s">
        <v>1287</v>
      </c>
      <c r="K391" s="470" t="s">
        <v>1288</v>
      </c>
      <c r="L391" s="470" t="s">
        <v>1165</v>
      </c>
      <c r="M391" s="470" t="s">
        <v>1165</v>
      </c>
      <c r="N391" s="470" t="s">
        <v>756</v>
      </c>
      <c r="O391" s="472" t="s">
        <v>757</v>
      </c>
      <c r="P391" s="472" t="s">
        <v>738</v>
      </c>
      <c r="Q391" s="472" t="s">
        <v>758</v>
      </c>
      <c r="R391" s="472" t="s">
        <v>12</v>
      </c>
      <c r="S391" s="472" t="s">
        <v>12</v>
      </c>
      <c r="T391" s="472" t="s">
        <v>1289</v>
      </c>
      <c r="U391" s="470" t="s">
        <v>1290</v>
      </c>
      <c r="V391" s="470" t="s">
        <v>761</v>
      </c>
      <c r="W391" s="470" t="s">
        <v>898</v>
      </c>
      <c r="X391" s="470">
        <v>31</v>
      </c>
      <c r="Y391" s="470">
        <v>0</v>
      </c>
      <c r="Z391" s="470">
        <v>0</v>
      </c>
      <c r="AA391" s="470">
        <v>31</v>
      </c>
      <c r="AB391" s="470">
        <v>31</v>
      </c>
      <c r="AC391" s="473">
        <v>32760</v>
      </c>
      <c r="AD391" s="473">
        <v>32760</v>
      </c>
      <c r="AE391" s="473">
        <v>14742</v>
      </c>
      <c r="AF391" s="473">
        <v>5897</v>
      </c>
      <c r="AG391" s="473">
        <v>1600</v>
      </c>
      <c r="AH391" s="473">
        <v>200</v>
      </c>
      <c r="AI391" s="473">
        <v>1250</v>
      </c>
      <c r="AJ391" s="473">
        <v>0</v>
      </c>
      <c r="AK391" s="473">
        <v>0</v>
      </c>
      <c r="AL391" s="473">
        <v>0</v>
      </c>
      <c r="AM391" s="473">
        <v>0</v>
      </c>
      <c r="AN391" s="473">
        <v>0</v>
      </c>
      <c r="AO391" s="473">
        <v>0</v>
      </c>
      <c r="AP391" s="473">
        <v>0</v>
      </c>
      <c r="AQ391" s="473">
        <v>1769</v>
      </c>
      <c r="AR391" s="473">
        <v>7302</v>
      </c>
      <c r="AS391" s="473">
        <v>0</v>
      </c>
      <c r="AT391" s="473">
        <v>0</v>
      </c>
      <c r="AU391" s="473">
        <v>171</v>
      </c>
      <c r="AV391" s="473">
        <v>32931</v>
      </c>
      <c r="AW391" s="474">
        <v>32760</v>
      </c>
      <c r="AX391" s="473">
        <v>0</v>
      </c>
      <c r="AY391" s="473">
        <v>0</v>
      </c>
      <c r="AZ391" s="475">
        <v>0</v>
      </c>
      <c r="BA391" s="475">
        <v>200</v>
      </c>
      <c r="BB391" s="475">
        <v>1769</v>
      </c>
      <c r="BC391" s="475">
        <v>0</v>
      </c>
      <c r="BD391" s="475">
        <v>0</v>
      </c>
      <c r="BE391" s="475">
        <v>0</v>
      </c>
      <c r="BF391" s="475">
        <v>0</v>
      </c>
      <c r="BG391" s="475">
        <v>1969</v>
      </c>
      <c r="BH391" s="476">
        <v>30962</v>
      </c>
      <c r="BI391" s="467"/>
      <c r="BJ391" s="468"/>
    </row>
    <row r="392" spans="1:62">
      <c r="A392" s="469">
        <v>45870</v>
      </c>
      <c r="B392" s="469" t="s">
        <v>747</v>
      </c>
      <c r="C392" s="508" t="s">
        <v>748</v>
      </c>
      <c r="D392" s="470" t="s">
        <v>749</v>
      </c>
      <c r="E392" s="471">
        <v>1875</v>
      </c>
      <c r="F392" s="470" t="s">
        <v>908</v>
      </c>
      <c r="G392" s="470" t="s">
        <v>751</v>
      </c>
      <c r="H392" s="470" t="s">
        <v>12</v>
      </c>
      <c r="I392" s="470" t="s">
        <v>909</v>
      </c>
      <c r="J392" s="472" t="s">
        <v>910</v>
      </c>
      <c r="K392" s="470" t="s">
        <v>911</v>
      </c>
      <c r="L392" s="470" t="s">
        <v>776</v>
      </c>
      <c r="M392" s="470" t="s">
        <v>776</v>
      </c>
      <c r="N392" s="470" t="s">
        <v>777</v>
      </c>
      <c r="O392" s="472" t="s">
        <v>757</v>
      </c>
      <c r="P392" s="472" t="s">
        <v>738</v>
      </c>
      <c r="Q392" s="472" t="s">
        <v>758</v>
      </c>
      <c r="R392" s="472" t="s">
        <v>12</v>
      </c>
      <c r="S392" s="472" t="s">
        <v>12</v>
      </c>
      <c r="T392" s="472" t="s">
        <v>912</v>
      </c>
      <c r="U392" s="470" t="s">
        <v>913</v>
      </c>
      <c r="V392" s="470" t="s">
        <v>761</v>
      </c>
      <c r="W392" s="470" t="s">
        <v>859</v>
      </c>
      <c r="X392" s="470">
        <v>31</v>
      </c>
      <c r="Y392" s="470">
        <v>0</v>
      </c>
      <c r="Z392" s="470">
        <v>0</v>
      </c>
      <c r="AA392" s="470">
        <v>31</v>
      </c>
      <c r="AB392" s="470">
        <v>31</v>
      </c>
      <c r="AC392" s="473">
        <v>65840</v>
      </c>
      <c r="AD392" s="473">
        <v>65840</v>
      </c>
      <c r="AE392" s="473">
        <v>29628</v>
      </c>
      <c r="AF392" s="473">
        <v>11851</v>
      </c>
      <c r="AG392" s="473">
        <v>1600</v>
      </c>
      <c r="AH392" s="473">
        <v>200</v>
      </c>
      <c r="AI392" s="473">
        <v>1250</v>
      </c>
      <c r="AJ392" s="473">
        <v>2468</v>
      </c>
      <c r="AK392" s="473">
        <v>5926</v>
      </c>
      <c r="AL392" s="473">
        <v>4444</v>
      </c>
      <c r="AM392" s="473">
        <v>296</v>
      </c>
      <c r="AN392" s="473">
        <v>1037</v>
      </c>
      <c r="AO392" s="473">
        <v>593</v>
      </c>
      <c r="AP392" s="473">
        <v>148</v>
      </c>
      <c r="AQ392" s="473">
        <v>1800</v>
      </c>
      <c r="AR392" s="473">
        <v>4599</v>
      </c>
      <c r="AS392" s="473">
        <v>0</v>
      </c>
      <c r="AT392" s="473">
        <v>0</v>
      </c>
      <c r="AU392" s="473">
        <v>4274</v>
      </c>
      <c r="AV392" s="473">
        <v>70114</v>
      </c>
      <c r="AW392" s="474">
        <v>65840</v>
      </c>
      <c r="AX392" s="473">
        <v>0</v>
      </c>
      <c r="AY392" s="473">
        <v>0</v>
      </c>
      <c r="AZ392" s="475">
        <v>0</v>
      </c>
      <c r="BA392" s="475">
        <v>200</v>
      </c>
      <c r="BB392" s="475">
        <v>1800</v>
      </c>
      <c r="BC392" s="475">
        <v>0</v>
      </c>
      <c r="BD392" s="475">
        <v>0</v>
      </c>
      <c r="BE392" s="475">
        <v>0</v>
      </c>
      <c r="BF392" s="475">
        <v>0</v>
      </c>
      <c r="BG392" s="475">
        <v>2000</v>
      </c>
      <c r="BH392" s="476">
        <v>68114</v>
      </c>
      <c r="BI392" s="467"/>
      <c r="BJ392" s="468"/>
    </row>
    <row r="393" spans="1:62">
      <c r="A393" s="469">
        <v>45870</v>
      </c>
      <c r="B393" s="469" t="s">
        <v>747</v>
      </c>
      <c r="C393" s="508" t="s">
        <v>748</v>
      </c>
      <c r="D393" s="470" t="s">
        <v>749</v>
      </c>
      <c r="E393" s="471">
        <v>1135</v>
      </c>
      <c r="F393" s="470" t="s">
        <v>914</v>
      </c>
      <c r="G393" s="470" t="s">
        <v>751</v>
      </c>
      <c r="H393" s="470" t="s">
        <v>12</v>
      </c>
      <c r="I393" s="470" t="s">
        <v>915</v>
      </c>
      <c r="J393" s="472" t="s">
        <v>916</v>
      </c>
      <c r="K393" s="470" t="s">
        <v>917</v>
      </c>
      <c r="L393" s="470" t="s">
        <v>1291</v>
      </c>
      <c r="M393" s="470" t="s">
        <v>1292</v>
      </c>
      <c r="N393" s="470" t="s">
        <v>1275</v>
      </c>
      <c r="O393" s="472" t="s">
        <v>792</v>
      </c>
      <c r="P393" s="472" t="s">
        <v>738</v>
      </c>
      <c r="Q393" s="472" t="s">
        <v>758</v>
      </c>
      <c r="R393" s="472" t="s">
        <v>12</v>
      </c>
      <c r="S393" s="472" t="s">
        <v>12</v>
      </c>
      <c r="T393" s="472" t="s">
        <v>919</v>
      </c>
      <c r="U393" s="470" t="s">
        <v>920</v>
      </c>
      <c r="V393" s="470" t="s">
        <v>761</v>
      </c>
      <c r="W393" s="470" t="s">
        <v>921</v>
      </c>
      <c r="X393" s="470">
        <v>31</v>
      </c>
      <c r="Y393" s="470">
        <v>0</v>
      </c>
      <c r="Z393" s="470">
        <v>1</v>
      </c>
      <c r="AA393" s="470">
        <v>30</v>
      </c>
      <c r="AB393" s="470">
        <v>30</v>
      </c>
      <c r="AC393" s="473">
        <v>146667</v>
      </c>
      <c r="AD393" s="473">
        <v>146667</v>
      </c>
      <c r="AE393" s="473">
        <v>63871</v>
      </c>
      <c r="AF393" s="473">
        <v>25548</v>
      </c>
      <c r="AG393" s="473">
        <v>1548</v>
      </c>
      <c r="AH393" s="473">
        <v>194</v>
      </c>
      <c r="AI393" s="473">
        <v>1210</v>
      </c>
      <c r="AJ393" s="473">
        <v>5320</v>
      </c>
      <c r="AK393" s="473">
        <v>12774</v>
      </c>
      <c r="AL393" s="473">
        <v>9581</v>
      </c>
      <c r="AM393" s="473">
        <v>639</v>
      </c>
      <c r="AN393" s="473">
        <v>2235</v>
      </c>
      <c r="AO393" s="473">
        <v>1277</v>
      </c>
      <c r="AP393" s="473">
        <v>319</v>
      </c>
      <c r="AQ393" s="473">
        <v>1800</v>
      </c>
      <c r="AR393" s="473">
        <v>15620</v>
      </c>
      <c r="AS393" s="473">
        <v>0</v>
      </c>
      <c r="AT393" s="473">
        <v>0</v>
      </c>
      <c r="AU393" s="473">
        <v>8516</v>
      </c>
      <c r="AV393" s="473">
        <v>150452</v>
      </c>
      <c r="AW393" s="474">
        <v>141936</v>
      </c>
      <c r="AX393" s="473">
        <v>0</v>
      </c>
      <c r="AY393" s="473">
        <v>0</v>
      </c>
      <c r="AZ393" s="475">
        <v>17665</v>
      </c>
      <c r="BA393" s="475">
        <v>200</v>
      </c>
      <c r="BB393" s="475">
        <v>1800</v>
      </c>
      <c r="BC393" s="475">
        <v>0</v>
      </c>
      <c r="BD393" s="475">
        <v>0</v>
      </c>
      <c r="BE393" s="475">
        <v>0</v>
      </c>
      <c r="BF393" s="475">
        <v>0</v>
      </c>
      <c r="BG393" s="475">
        <v>19665</v>
      </c>
      <c r="BH393" s="476">
        <v>130787</v>
      </c>
      <c r="BI393" s="467"/>
      <c r="BJ393" s="468"/>
    </row>
    <row r="394" spans="1:62">
      <c r="A394" s="469">
        <v>45870</v>
      </c>
      <c r="B394" s="469" t="s">
        <v>747</v>
      </c>
      <c r="C394" s="508" t="s">
        <v>748</v>
      </c>
      <c r="D394" s="470" t="s">
        <v>749</v>
      </c>
      <c r="E394" s="471">
        <v>1997</v>
      </c>
      <c r="F394" s="470" t="s">
        <v>922</v>
      </c>
      <c r="G394" s="470" t="s">
        <v>751</v>
      </c>
      <c r="H394" s="470" t="s">
        <v>12</v>
      </c>
      <c r="I394" s="470" t="s">
        <v>923</v>
      </c>
      <c r="J394" s="472" t="s">
        <v>924</v>
      </c>
      <c r="K394" s="470" t="s">
        <v>925</v>
      </c>
      <c r="L394" s="470" t="s">
        <v>926</v>
      </c>
      <c r="M394" s="470" t="s">
        <v>927</v>
      </c>
      <c r="N394" s="470" t="s">
        <v>756</v>
      </c>
      <c r="O394" s="472" t="s">
        <v>757</v>
      </c>
      <c r="P394" s="472" t="s">
        <v>738</v>
      </c>
      <c r="Q394" s="472" t="s">
        <v>758</v>
      </c>
      <c r="R394" s="472" t="s">
        <v>12</v>
      </c>
      <c r="S394" s="472" t="s">
        <v>12</v>
      </c>
      <c r="T394" s="472" t="s">
        <v>928</v>
      </c>
      <c r="U394" s="470" t="s">
        <v>929</v>
      </c>
      <c r="V394" s="470" t="s">
        <v>761</v>
      </c>
      <c r="W394" s="470" t="s">
        <v>762</v>
      </c>
      <c r="X394" s="470">
        <v>31</v>
      </c>
      <c r="Y394" s="470">
        <v>0</v>
      </c>
      <c r="Z394" s="470">
        <v>1.5</v>
      </c>
      <c r="AA394" s="470">
        <v>29.5</v>
      </c>
      <c r="AB394" s="470">
        <v>29.5</v>
      </c>
      <c r="AC394" s="473">
        <v>36067</v>
      </c>
      <c r="AD394" s="473">
        <v>36067</v>
      </c>
      <c r="AE394" s="473">
        <v>15445</v>
      </c>
      <c r="AF394" s="473">
        <v>6178</v>
      </c>
      <c r="AG394" s="473">
        <v>1523</v>
      </c>
      <c r="AH394" s="473">
        <v>190</v>
      </c>
      <c r="AI394" s="473">
        <v>1190</v>
      </c>
      <c r="AJ394" s="473">
        <v>0</v>
      </c>
      <c r="AK394" s="473">
        <v>0</v>
      </c>
      <c r="AL394" s="473">
        <v>0</v>
      </c>
      <c r="AM394" s="473">
        <v>0</v>
      </c>
      <c r="AN394" s="473">
        <v>0</v>
      </c>
      <c r="AO394" s="473">
        <v>0</v>
      </c>
      <c r="AP394" s="473">
        <v>0</v>
      </c>
      <c r="AQ394" s="473">
        <v>1800</v>
      </c>
      <c r="AR394" s="473">
        <v>7996</v>
      </c>
      <c r="AS394" s="473">
        <v>0</v>
      </c>
      <c r="AT394" s="473">
        <v>0</v>
      </c>
      <c r="AU394" s="473">
        <v>0</v>
      </c>
      <c r="AV394" s="473">
        <v>34322</v>
      </c>
      <c r="AW394" s="474">
        <v>34322</v>
      </c>
      <c r="AX394" s="473">
        <v>0</v>
      </c>
      <c r="AY394" s="473">
        <v>0</v>
      </c>
      <c r="AZ394" s="475">
        <v>0</v>
      </c>
      <c r="BA394" s="475">
        <v>200</v>
      </c>
      <c r="BB394" s="475">
        <v>1800</v>
      </c>
      <c r="BC394" s="475">
        <v>0</v>
      </c>
      <c r="BD394" s="475">
        <v>0</v>
      </c>
      <c r="BE394" s="475">
        <v>0</v>
      </c>
      <c r="BF394" s="475">
        <v>0</v>
      </c>
      <c r="BG394" s="475">
        <v>2000</v>
      </c>
      <c r="BH394" s="476">
        <v>32322</v>
      </c>
      <c r="BI394" s="467"/>
      <c r="BJ394" s="468"/>
    </row>
    <row r="395" spans="1:62">
      <c r="A395" s="469">
        <v>45870</v>
      </c>
      <c r="B395" s="469" t="s">
        <v>747</v>
      </c>
      <c r="C395" s="508" t="s">
        <v>748</v>
      </c>
      <c r="D395" s="470" t="s">
        <v>749</v>
      </c>
      <c r="E395" s="471">
        <v>726</v>
      </c>
      <c r="F395" s="470" t="s">
        <v>930</v>
      </c>
      <c r="G395" s="470" t="s">
        <v>812</v>
      </c>
      <c r="H395" s="470" t="s">
        <v>12</v>
      </c>
      <c r="I395" s="470" t="s">
        <v>931</v>
      </c>
      <c r="J395" s="472" t="s">
        <v>932</v>
      </c>
      <c r="K395" s="470" t="s">
        <v>933</v>
      </c>
      <c r="L395" s="470" t="s">
        <v>934</v>
      </c>
      <c r="M395" s="470" t="s">
        <v>934</v>
      </c>
      <c r="N395" s="470" t="s">
        <v>1075</v>
      </c>
      <c r="O395" s="472" t="s">
        <v>757</v>
      </c>
      <c r="P395" s="472" t="s">
        <v>738</v>
      </c>
      <c r="Q395" s="472" t="s">
        <v>758</v>
      </c>
      <c r="R395" s="472" t="s">
        <v>12</v>
      </c>
      <c r="S395" s="472" t="s">
        <v>12</v>
      </c>
      <c r="T395" s="472" t="s">
        <v>935</v>
      </c>
      <c r="U395" s="470" t="s">
        <v>936</v>
      </c>
      <c r="V395" s="470" t="s">
        <v>761</v>
      </c>
      <c r="W395" s="470" t="s">
        <v>762</v>
      </c>
      <c r="X395" s="470">
        <v>31</v>
      </c>
      <c r="Y395" s="470">
        <v>0</v>
      </c>
      <c r="Z395" s="470">
        <v>0</v>
      </c>
      <c r="AA395" s="470">
        <v>31</v>
      </c>
      <c r="AB395" s="470">
        <v>31</v>
      </c>
      <c r="AC395" s="473">
        <v>27904</v>
      </c>
      <c r="AD395" s="473">
        <v>27904</v>
      </c>
      <c r="AE395" s="473">
        <v>12557</v>
      </c>
      <c r="AF395" s="473">
        <v>5023</v>
      </c>
      <c r="AG395" s="473">
        <v>1600</v>
      </c>
      <c r="AH395" s="473">
        <v>200</v>
      </c>
      <c r="AI395" s="473">
        <v>1250</v>
      </c>
      <c r="AJ395" s="473">
        <v>0</v>
      </c>
      <c r="AK395" s="473">
        <v>0</v>
      </c>
      <c r="AL395" s="473">
        <v>0</v>
      </c>
      <c r="AM395" s="473">
        <v>0</v>
      </c>
      <c r="AN395" s="473">
        <v>0</v>
      </c>
      <c r="AO395" s="473">
        <v>0</v>
      </c>
      <c r="AP395" s="473">
        <v>0</v>
      </c>
      <c r="AQ395" s="473">
        <v>1507</v>
      </c>
      <c r="AR395" s="473">
        <v>5767</v>
      </c>
      <c r="AS395" s="473">
        <v>0</v>
      </c>
      <c r="AT395" s="473">
        <v>0</v>
      </c>
      <c r="AU395" s="473">
        <v>0</v>
      </c>
      <c r="AV395" s="473">
        <v>27904</v>
      </c>
      <c r="AW395" s="474">
        <v>27904</v>
      </c>
      <c r="AX395" s="473">
        <v>0</v>
      </c>
      <c r="AY395" s="473">
        <v>0</v>
      </c>
      <c r="AZ395" s="475">
        <v>0</v>
      </c>
      <c r="BA395" s="475">
        <v>200</v>
      </c>
      <c r="BB395" s="475">
        <v>1507</v>
      </c>
      <c r="BC395" s="475">
        <v>0</v>
      </c>
      <c r="BD395" s="475">
        <v>0</v>
      </c>
      <c r="BE395" s="475">
        <v>0</v>
      </c>
      <c r="BF395" s="475">
        <v>0</v>
      </c>
      <c r="BG395" s="475">
        <v>1707</v>
      </c>
      <c r="BH395" s="476">
        <v>26197</v>
      </c>
      <c r="BI395" s="467"/>
      <c r="BJ395" s="468"/>
    </row>
    <row r="396" spans="1:62">
      <c r="A396" s="469">
        <v>45870</v>
      </c>
      <c r="B396" s="469" t="s">
        <v>747</v>
      </c>
      <c r="C396" s="508" t="s">
        <v>748</v>
      </c>
      <c r="D396" s="470" t="s">
        <v>749</v>
      </c>
      <c r="E396" s="471">
        <v>1722</v>
      </c>
      <c r="F396" s="470" t="s">
        <v>937</v>
      </c>
      <c r="G396" s="470" t="s">
        <v>751</v>
      </c>
      <c r="H396" s="470" t="s">
        <v>12</v>
      </c>
      <c r="I396" s="470" t="s">
        <v>938</v>
      </c>
      <c r="J396" s="472" t="s">
        <v>939</v>
      </c>
      <c r="K396" s="470" t="s">
        <v>940</v>
      </c>
      <c r="L396" s="470" t="s">
        <v>941</v>
      </c>
      <c r="M396" s="470" t="s">
        <v>941</v>
      </c>
      <c r="N396" s="470" t="s">
        <v>756</v>
      </c>
      <c r="O396" s="472" t="s">
        <v>943</v>
      </c>
      <c r="P396" s="472" t="s">
        <v>738</v>
      </c>
      <c r="Q396" s="472" t="s">
        <v>758</v>
      </c>
      <c r="R396" s="472" t="s">
        <v>12</v>
      </c>
      <c r="S396" s="472" t="s">
        <v>12</v>
      </c>
      <c r="T396" s="472" t="s">
        <v>944</v>
      </c>
      <c r="U396" s="470" t="s">
        <v>945</v>
      </c>
      <c r="V396" s="470" t="s">
        <v>761</v>
      </c>
      <c r="W396" s="470" t="s">
        <v>946</v>
      </c>
      <c r="X396" s="470">
        <v>31</v>
      </c>
      <c r="Y396" s="470">
        <v>0</v>
      </c>
      <c r="Z396" s="470">
        <v>1</v>
      </c>
      <c r="AA396" s="470">
        <v>30</v>
      </c>
      <c r="AB396" s="470">
        <v>30</v>
      </c>
      <c r="AC396" s="473">
        <v>434795</v>
      </c>
      <c r="AD396" s="473">
        <v>434795</v>
      </c>
      <c r="AE396" s="473">
        <v>189346</v>
      </c>
      <c r="AF396" s="473">
        <v>75738</v>
      </c>
      <c r="AG396" s="473">
        <v>1548</v>
      </c>
      <c r="AH396" s="473">
        <v>194</v>
      </c>
      <c r="AI396" s="473">
        <v>1210</v>
      </c>
      <c r="AJ396" s="473">
        <v>15773</v>
      </c>
      <c r="AK396" s="473">
        <v>37869</v>
      </c>
      <c r="AL396" s="473">
        <v>28402</v>
      </c>
      <c r="AM396" s="473">
        <v>1893</v>
      </c>
      <c r="AN396" s="473">
        <v>6627</v>
      </c>
      <c r="AO396" s="473">
        <v>3787</v>
      </c>
      <c r="AP396" s="473">
        <v>947</v>
      </c>
      <c r="AQ396" s="473">
        <v>1800</v>
      </c>
      <c r="AR396" s="473">
        <v>55635</v>
      </c>
      <c r="AS396" s="473">
        <v>0</v>
      </c>
      <c r="AT396" s="473">
        <v>0</v>
      </c>
      <c r="AU396" s="473">
        <v>0</v>
      </c>
      <c r="AV396" s="473">
        <v>420769</v>
      </c>
      <c r="AW396" s="474">
        <v>420769</v>
      </c>
      <c r="AX396" s="473">
        <v>0</v>
      </c>
      <c r="AY396" s="473">
        <v>0</v>
      </c>
      <c r="AZ396" s="475">
        <v>145490</v>
      </c>
      <c r="BA396" s="475">
        <v>200</v>
      </c>
      <c r="BB396" s="475">
        <v>1800</v>
      </c>
      <c r="BC396" s="475">
        <v>0</v>
      </c>
      <c r="BD396" s="475">
        <v>0</v>
      </c>
      <c r="BE396" s="475">
        <v>0</v>
      </c>
      <c r="BF396" s="475">
        <v>0</v>
      </c>
      <c r="BG396" s="475">
        <v>147490</v>
      </c>
      <c r="BH396" s="476">
        <v>273279</v>
      </c>
      <c r="BI396" s="467"/>
      <c r="BJ396" s="468"/>
    </row>
    <row r="397" spans="1:62">
      <c r="A397" s="469">
        <v>45870</v>
      </c>
      <c r="B397" s="469" t="s">
        <v>747</v>
      </c>
      <c r="C397" s="508" t="s">
        <v>748</v>
      </c>
      <c r="D397" s="470" t="s">
        <v>749</v>
      </c>
      <c r="E397" s="471">
        <v>1937</v>
      </c>
      <c r="F397" s="470" t="s">
        <v>947</v>
      </c>
      <c r="G397" s="470" t="s">
        <v>751</v>
      </c>
      <c r="H397" s="470" t="s">
        <v>12</v>
      </c>
      <c r="I397" s="470" t="s">
        <v>948</v>
      </c>
      <c r="J397" s="472" t="s">
        <v>949</v>
      </c>
      <c r="K397" s="470" t="s">
        <v>950</v>
      </c>
      <c r="L397" s="470" t="s">
        <v>824</v>
      </c>
      <c r="M397" s="470" t="s">
        <v>824</v>
      </c>
      <c r="N397" s="470" t="s">
        <v>777</v>
      </c>
      <c r="O397" s="472" t="s">
        <v>757</v>
      </c>
      <c r="P397" s="472" t="s">
        <v>738</v>
      </c>
      <c r="Q397" s="472" t="s">
        <v>758</v>
      </c>
      <c r="R397" s="472" t="s">
        <v>12</v>
      </c>
      <c r="S397" s="472" t="s">
        <v>12</v>
      </c>
      <c r="T397" s="472" t="s">
        <v>951</v>
      </c>
      <c r="U397" s="470" t="s">
        <v>952</v>
      </c>
      <c r="V397" s="470" t="s">
        <v>761</v>
      </c>
      <c r="W397" s="470" t="s">
        <v>859</v>
      </c>
      <c r="X397" s="470">
        <v>31</v>
      </c>
      <c r="Y397" s="470">
        <v>0</v>
      </c>
      <c r="Z397" s="470">
        <v>0</v>
      </c>
      <c r="AA397" s="470">
        <v>31</v>
      </c>
      <c r="AB397" s="470">
        <v>31</v>
      </c>
      <c r="AC397" s="473">
        <v>31533</v>
      </c>
      <c r="AD397" s="473">
        <v>31533</v>
      </c>
      <c r="AE397" s="473">
        <v>14190</v>
      </c>
      <c r="AF397" s="473">
        <v>5676</v>
      </c>
      <c r="AG397" s="473">
        <v>1600</v>
      </c>
      <c r="AH397" s="473">
        <v>200</v>
      </c>
      <c r="AI397" s="473">
        <v>1250</v>
      </c>
      <c r="AJ397" s="473">
        <v>0</v>
      </c>
      <c r="AK397" s="473">
        <v>0</v>
      </c>
      <c r="AL397" s="473">
        <v>0</v>
      </c>
      <c r="AM397" s="473">
        <v>0</v>
      </c>
      <c r="AN397" s="473">
        <v>0</v>
      </c>
      <c r="AO397" s="473">
        <v>0</v>
      </c>
      <c r="AP397" s="473">
        <v>0</v>
      </c>
      <c r="AQ397" s="473">
        <v>1703</v>
      </c>
      <c r="AR397" s="473">
        <v>6914</v>
      </c>
      <c r="AS397" s="473">
        <v>0</v>
      </c>
      <c r="AT397" s="473">
        <v>0</v>
      </c>
      <c r="AU397" s="473">
        <v>3454</v>
      </c>
      <c r="AV397" s="473">
        <v>34987</v>
      </c>
      <c r="AW397" s="474">
        <v>31533</v>
      </c>
      <c r="AX397" s="473">
        <v>0</v>
      </c>
      <c r="AY397" s="473">
        <v>0</v>
      </c>
      <c r="AZ397" s="475">
        <v>0</v>
      </c>
      <c r="BA397" s="475">
        <v>200</v>
      </c>
      <c r="BB397" s="475">
        <v>1703</v>
      </c>
      <c r="BC397" s="475">
        <v>0</v>
      </c>
      <c r="BD397" s="475">
        <v>0</v>
      </c>
      <c r="BE397" s="475">
        <v>0</v>
      </c>
      <c r="BF397" s="475">
        <v>0</v>
      </c>
      <c r="BG397" s="475">
        <v>1903</v>
      </c>
      <c r="BH397" s="476">
        <v>33084</v>
      </c>
      <c r="BI397" s="467"/>
      <c r="BJ397" s="468"/>
    </row>
    <row r="398" spans="1:62">
      <c r="A398" s="469">
        <v>45870</v>
      </c>
      <c r="B398" s="469" t="s">
        <v>747</v>
      </c>
      <c r="C398" s="508" t="s">
        <v>748</v>
      </c>
      <c r="D398" s="470" t="s">
        <v>749</v>
      </c>
      <c r="E398" s="471">
        <v>382</v>
      </c>
      <c r="F398" s="470" t="s">
        <v>953</v>
      </c>
      <c r="G398" s="470" t="s">
        <v>751</v>
      </c>
      <c r="H398" s="470" t="s">
        <v>12</v>
      </c>
      <c r="I398" s="470" t="s">
        <v>954</v>
      </c>
      <c r="J398" s="472" t="s">
        <v>955</v>
      </c>
      <c r="K398" s="470" t="s">
        <v>956</v>
      </c>
      <c r="L398" s="470" t="s">
        <v>957</v>
      </c>
      <c r="M398" s="470" t="s">
        <v>957</v>
      </c>
      <c r="N398" s="470" t="s">
        <v>833</v>
      </c>
      <c r="O398" s="472" t="s">
        <v>757</v>
      </c>
      <c r="P398" s="472" t="s">
        <v>738</v>
      </c>
      <c r="Q398" s="472" t="s">
        <v>758</v>
      </c>
      <c r="R398" s="472" t="s">
        <v>12</v>
      </c>
      <c r="S398" s="472" t="s">
        <v>12</v>
      </c>
      <c r="T398" s="472" t="s">
        <v>958</v>
      </c>
      <c r="U398" s="470" t="s">
        <v>959</v>
      </c>
      <c r="V398" s="470" t="s">
        <v>761</v>
      </c>
      <c r="W398" s="470" t="s">
        <v>960</v>
      </c>
      <c r="X398" s="470">
        <v>31</v>
      </c>
      <c r="Y398" s="470">
        <v>0</v>
      </c>
      <c r="Z398" s="470">
        <v>0</v>
      </c>
      <c r="AA398" s="470">
        <v>31</v>
      </c>
      <c r="AB398" s="470">
        <v>31</v>
      </c>
      <c r="AC398" s="473">
        <v>36950</v>
      </c>
      <c r="AD398" s="473">
        <v>36950</v>
      </c>
      <c r="AE398" s="473">
        <v>16628</v>
      </c>
      <c r="AF398" s="473">
        <v>6651</v>
      </c>
      <c r="AG398" s="473">
        <v>1600</v>
      </c>
      <c r="AH398" s="473">
        <v>200</v>
      </c>
      <c r="AI398" s="473">
        <v>1250</v>
      </c>
      <c r="AJ398" s="473">
        <v>0</v>
      </c>
      <c r="AK398" s="473">
        <v>0</v>
      </c>
      <c r="AL398" s="473">
        <v>0</v>
      </c>
      <c r="AM398" s="473">
        <v>0</v>
      </c>
      <c r="AN398" s="473">
        <v>0</v>
      </c>
      <c r="AO398" s="473">
        <v>0</v>
      </c>
      <c r="AP398" s="473">
        <v>0</v>
      </c>
      <c r="AQ398" s="473">
        <v>1800</v>
      </c>
      <c r="AR398" s="473">
        <v>8821</v>
      </c>
      <c r="AS398" s="473">
        <v>0</v>
      </c>
      <c r="AT398" s="473">
        <v>0</v>
      </c>
      <c r="AU398" s="473">
        <v>6566</v>
      </c>
      <c r="AV398" s="473">
        <v>43516</v>
      </c>
      <c r="AW398" s="474">
        <v>36950</v>
      </c>
      <c r="AX398" s="473">
        <v>0</v>
      </c>
      <c r="AY398" s="473">
        <v>0</v>
      </c>
      <c r="AZ398" s="475">
        <v>0</v>
      </c>
      <c r="BA398" s="475">
        <v>200</v>
      </c>
      <c r="BB398" s="475">
        <v>1800</v>
      </c>
      <c r="BC398" s="475">
        <v>0</v>
      </c>
      <c r="BD398" s="475">
        <v>0</v>
      </c>
      <c r="BE398" s="475">
        <v>0</v>
      </c>
      <c r="BF398" s="475">
        <v>0</v>
      </c>
      <c r="BG398" s="475">
        <v>2000</v>
      </c>
      <c r="BH398" s="476">
        <v>41516</v>
      </c>
      <c r="BI398" s="467"/>
      <c r="BJ398" s="468"/>
    </row>
    <row r="399" spans="1:62">
      <c r="A399" s="469">
        <v>45870</v>
      </c>
      <c r="B399" s="469" t="s">
        <v>747</v>
      </c>
      <c r="C399" s="508" t="s">
        <v>748</v>
      </c>
      <c r="D399" s="470" t="s">
        <v>749</v>
      </c>
      <c r="E399" s="471">
        <v>511</v>
      </c>
      <c r="F399" s="470" t="s">
        <v>961</v>
      </c>
      <c r="G399" s="470" t="s">
        <v>751</v>
      </c>
      <c r="H399" s="470" t="s">
        <v>12</v>
      </c>
      <c r="I399" s="470" t="s">
        <v>962</v>
      </c>
      <c r="J399" s="472" t="s">
        <v>963</v>
      </c>
      <c r="K399" s="470" t="s">
        <v>964</v>
      </c>
      <c r="L399" s="470" t="s">
        <v>776</v>
      </c>
      <c r="M399" s="470" t="s">
        <v>776</v>
      </c>
      <c r="N399" s="470" t="s">
        <v>1075</v>
      </c>
      <c r="O399" s="472" t="s">
        <v>757</v>
      </c>
      <c r="P399" s="472" t="s">
        <v>738</v>
      </c>
      <c r="Q399" s="472" t="s">
        <v>758</v>
      </c>
      <c r="R399" s="472" t="s">
        <v>12</v>
      </c>
      <c r="S399" s="472" t="s">
        <v>12</v>
      </c>
      <c r="T399" s="472" t="s">
        <v>965</v>
      </c>
      <c r="U399" s="470" t="s">
        <v>966</v>
      </c>
      <c r="V399" s="470" t="s">
        <v>761</v>
      </c>
      <c r="W399" s="470" t="s">
        <v>845</v>
      </c>
      <c r="X399" s="470">
        <v>31</v>
      </c>
      <c r="Y399" s="470">
        <v>0</v>
      </c>
      <c r="Z399" s="470">
        <v>0</v>
      </c>
      <c r="AA399" s="470">
        <v>31</v>
      </c>
      <c r="AB399" s="470">
        <v>31</v>
      </c>
      <c r="AC399" s="473">
        <v>43308</v>
      </c>
      <c r="AD399" s="473">
        <v>43308</v>
      </c>
      <c r="AE399" s="473">
        <v>19489</v>
      </c>
      <c r="AF399" s="473">
        <v>7796</v>
      </c>
      <c r="AG399" s="473">
        <v>1600</v>
      </c>
      <c r="AH399" s="473">
        <v>200</v>
      </c>
      <c r="AI399" s="473">
        <v>1250</v>
      </c>
      <c r="AJ399" s="473">
        <v>1623</v>
      </c>
      <c r="AK399" s="473">
        <v>3898</v>
      </c>
      <c r="AL399" s="473">
        <v>2923</v>
      </c>
      <c r="AM399" s="473">
        <v>195</v>
      </c>
      <c r="AN399" s="473">
        <v>682</v>
      </c>
      <c r="AO399" s="473">
        <v>390</v>
      </c>
      <c r="AP399" s="473">
        <v>97</v>
      </c>
      <c r="AQ399" s="473">
        <v>1800</v>
      </c>
      <c r="AR399" s="473">
        <v>1365</v>
      </c>
      <c r="AS399" s="473">
        <v>0</v>
      </c>
      <c r="AT399" s="473">
        <v>0</v>
      </c>
      <c r="AU399" s="473">
        <v>5076</v>
      </c>
      <c r="AV399" s="473">
        <v>48384</v>
      </c>
      <c r="AW399" s="474">
        <v>43308</v>
      </c>
      <c r="AX399" s="473">
        <v>0</v>
      </c>
      <c r="AY399" s="473">
        <v>0</v>
      </c>
      <c r="AZ399" s="475">
        <v>0</v>
      </c>
      <c r="BA399" s="475">
        <v>200</v>
      </c>
      <c r="BB399" s="475">
        <v>1800</v>
      </c>
      <c r="BC399" s="475">
        <v>0</v>
      </c>
      <c r="BD399" s="475">
        <v>0</v>
      </c>
      <c r="BE399" s="475">
        <v>0</v>
      </c>
      <c r="BF399" s="475">
        <v>5000</v>
      </c>
      <c r="BG399" s="475">
        <v>7000</v>
      </c>
      <c r="BH399" s="476">
        <v>41384</v>
      </c>
      <c r="BI399" s="467"/>
      <c r="BJ399" s="468"/>
    </row>
    <row r="400" spans="1:62">
      <c r="A400" s="469">
        <v>45870</v>
      </c>
      <c r="B400" s="469" t="s">
        <v>747</v>
      </c>
      <c r="C400" s="508" t="s">
        <v>748</v>
      </c>
      <c r="D400" s="470" t="s">
        <v>749</v>
      </c>
      <c r="E400" s="471">
        <v>2062</v>
      </c>
      <c r="F400" s="470" t="s">
        <v>967</v>
      </c>
      <c r="G400" s="470" t="s">
        <v>751</v>
      </c>
      <c r="H400" s="470" t="s">
        <v>12</v>
      </c>
      <c r="I400" s="470" t="s">
        <v>968</v>
      </c>
      <c r="J400" s="472" t="s">
        <v>969</v>
      </c>
      <c r="K400" s="470" t="s">
        <v>970</v>
      </c>
      <c r="L400" s="470" t="s">
        <v>971</v>
      </c>
      <c r="M400" s="470" t="s">
        <v>971</v>
      </c>
      <c r="N400" s="470" t="s">
        <v>756</v>
      </c>
      <c r="O400" s="472" t="s">
        <v>792</v>
      </c>
      <c r="P400" s="472" t="s">
        <v>738</v>
      </c>
      <c r="Q400" s="472" t="s">
        <v>758</v>
      </c>
      <c r="R400" s="472" t="s">
        <v>12</v>
      </c>
      <c r="S400" s="472" t="s">
        <v>12</v>
      </c>
      <c r="T400" s="472" t="s">
        <v>972</v>
      </c>
      <c r="U400" s="470" t="s">
        <v>973</v>
      </c>
      <c r="V400" s="470" t="s">
        <v>761</v>
      </c>
      <c r="W400" s="470" t="s">
        <v>974</v>
      </c>
      <c r="X400" s="470">
        <v>31</v>
      </c>
      <c r="Y400" s="470">
        <v>0</v>
      </c>
      <c r="Z400" s="470">
        <v>2</v>
      </c>
      <c r="AA400" s="470">
        <v>29</v>
      </c>
      <c r="AB400" s="470">
        <v>29</v>
      </c>
      <c r="AC400" s="473">
        <v>181533</v>
      </c>
      <c r="AD400" s="473">
        <v>181533</v>
      </c>
      <c r="AE400" s="473">
        <v>76419</v>
      </c>
      <c r="AF400" s="473">
        <v>30568</v>
      </c>
      <c r="AG400" s="473">
        <v>1497</v>
      </c>
      <c r="AH400" s="473">
        <v>187</v>
      </c>
      <c r="AI400" s="473">
        <v>1169</v>
      </c>
      <c r="AJ400" s="473">
        <v>6366</v>
      </c>
      <c r="AK400" s="473">
        <v>15284</v>
      </c>
      <c r="AL400" s="473">
        <v>11463</v>
      </c>
      <c r="AM400" s="473">
        <v>764</v>
      </c>
      <c r="AN400" s="473">
        <v>2675</v>
      </c>
      <c r="AO400" s="473">
        <v>1528</v>
      </c>
      <c r="AP400" s="473">
        <v>382</v>
      </c>
      <c r="AQ400" s="473">
        <v>1800</v>
      </c>
      <c r="AR400" s="473">
        <v>19719</v>
      </c>
      <c r="AS400" s="473">
        <v>0</v>
      </c>
      <c r="AT400" s="473">
        <v>0</v>
      </c>
      <c r="AU400" s="473">
        <v>0</v>
      </c>
      <c r="AV400" s="473">
        <v>169821</v>
      </c>
      <c r="AW400" s="474">
        <v>169821</v>
      </c>
      <c r="AX400" s="473">
        <v>0</v>
      </c>
      <c r="AY400" s="473">
        <v>0</v>
      </c>
      <c r="AZ400" s="475">
        <v>18336</v>
      </c>
      <c r="BA400" s="475">
        <v>200</v>
      </c>
      <c r="BB400" s="475">
        <v>1800</v>
      </c>
      <c r="BC400" s="475">
        <v>0</v>
      </c>
      <c r="BD400" s="475">
        <v>0</v>
      </c>
      <c r="BE400" s="475">
        <v>0</v>
      </c>
      <c r="BF400" s="475">
        <v>0</v>
      </c>
      <c r="BG400" s="475">
        <v>20336</v>
      </c>
      <c r="BH400" s="476">
        <v>149485</v>
      </c>
      <c r="BI400" s="467"/>
      <c r="BJ400" s="468"/>
    </row>
    <row r="401" spans="1:62">
      <c r="A401" s="469">
        <v>45870</v>
      </c>
      <c r="B401" s="469" t="s">
        <v>747</v>
      </c>
      <c r="C401" s="508" t="s">
        <v>748</v>
      </c>
      <c r="D401" s="470" t="s">
        <v>749</v>
      </c>
      <c r="E401" s="471">
        <v>1092</v>
      </c>
      <c r="F401" s="470" t="s">
        <v>975</v>
      </c>
      <c r="G401" s="470" t="s">
        <v>751</v>
      </c>
      <c r="H401" s="470" t="s">
        <v>12</v>
      </c>
      <c r="I401" s="470" t="s">
        <v>976</v>
      </c>
      <c r="J401" s="472" t="s">
        <v>977</v>
      </c>
      <c r="K401" s="470" t="s">
        <v>978</v>
      </c>
      <c r="L401" s="470" t="s">
        <v>979</v>
      </c>
      <c r="M401" s="470" t="s">
        <v>980</v>
      </c>
      <c r="N401" s="470" t="s">
        <v>833</v>
      </c>
      <c r="O401" s="472" t="s">
        <v>757</v>
      </c>
      <c r="P401" s="472" t="s">
        <v>738</v>
      </c>
      <c r="Q401" s="472" t="s">
        <v>758</v>
      </c>
      <c r="R401" s="472" t="s">
        <v>12</v>
      </c>
      <c r="S401" s="472" t="s">
        <v>12</v>
      </c>
      <c r="T401" s="472" t="s">
        <v>981</v>
      </c>
      <c r="U401" s="470" t="s">
        <v>982</v>
      </c>
      <c r="V401" s="470" t="s">
        <v>761</v>
      </c>
      <c r="W401" s="470" t="s">
        <v>762</v>
      </c>
      <c r="X401" s="470">
        <v>31</v>
      </c>
      <c r="Y401" s="470">
        <v>0</v>
      </c>
      <c r="Z401" s="470">
        <v>0</v>
      </c>
      <c r="AA401" s="470">
        <v>31</v>
      </c>
      <c r="AB401" s="470">
        <v>31</v>
      </c>
      <c r="AC401" s="473">
        <v>71927</v>
      </c>
      <c r="AD401" s="473">
        <v>71927</v>
      </c>
      <c r="AE401" s="473">
        <v>32367</v>
      </c>
      <c r="AF401" s="473">
        <v>12947</v>
      </c>
      <c r="AG401" s="473">
        <v>1600</v>
      </c>
      <c r="AH401" s="473">
        <v>200</v>
      </c>
      <c r="AI401" s="473">
        <v>1250</v>
      </c>
      <c r="AJ401" s="473">
        <v>2696</v>
      </c>
      <c r="AK401" s="473">
        <v>6473</v>
      </c>
      <c r="AL401" s="473">
        <v>4855</v>
      </c>
      <c r="AM401" s="473">
        <v>324</v>
      </c>
      <c r="AN401" s="473">
        <v>1133</v>
      </c>
      <c r="AO401" s="473">
        <v>647</v>
      </c>
      <c r="AP401" s="473">
        <v>162</v>
      </c>
      <c r="AQ401" s="473">
        <v>1800</v>
      </c>
      <c r="AR401" s="473">
        <v>5473</v>
      </c>
      <c r="AS401" s="473">
        <v>0</v>
      </c>
      <c r="AT401" s="473">
        <v>10000</v>
      </c>
      <c r="AU401" s="473">
        <v>2202</v>
      </c>
      <c r="AV401" s="473">
        <v>84129</v>
      </c>
      <c r="AW401" s="474">
        <v>81927</v>
      </c>
      <c r="AX401" s="473">
        <v>0</v>
      </c>
      <c r="AY401" s="473">
        <v>0</v>
      </c>
      <c r="AZ401" s="475">
        <v>0</v>
      </c>
      <c r="BA401" s="475">
        <v>200</v>
      </c>
      <c r="BB401" s="475">
        <v>1800</v>
      </c>
      <c r="BC401" s="475">
        <v>0</v>
      </c>
      <c r="BD401" s="475">
        <v>0</v>
      </c>
      <c r="BE401" s="475">
        <v>0</v>
      </c>
      <c r="BF401" s="475">
        <v>0</v>
      </c>
      <c r="BG401" s="475">
        <v>2000</v>
      </c>
      <c r="BH401" s="476">
        <v>82129</v>
      </c>
      <c r="BI401" s="467"/>
      <c r="BJ401" s="468"/>
    </row>
    <row r="402" spans="1:62">
      <c r="A402" s="469">
        <v>45870</v>
      </c>
      <c r="B402" s="469" t="s">
        <v>747</v>
      </c>
      <c r="C402" s="508" t="s">
        <v>748</v>
      </c>
      <c r="D402" s="470" t="s">
        <v>749</v>
      </c>
      <c r="E402" s="471">
        <v>1506</v>
      </c>
      <c r="F402" s="470" t="s">
        <v>983</v>
      </c>
      <c r="G402" s="470" t="s">
        <v>751</v>
      </c>
      <c r="H402" s="470" t="s">
        <v>12</v>
      </c>
      <c r="I402" s="470" t="s">
        <v>984</v>
      </c>
      <c r="J402" s="472" t="s">
        <v>985</v>
      </c>
      <c r="K402" s="470" t="s">
        <v>986</v>
      </c>
      <c r="L402" s="470" t="s">
        <v>987</v>
      </c>
      <c r="M402" s="470" t="s">
        <v>987</v>
      </c>
      <c r="N402" s="470" t="s">
        <v>756</v>
      </c>
      <c r="O402" s="472" t="s">
        <v>757</v>
      </c>
      <c r="P402" s="472" t="s">
        <v>738</v>
      </c>
      <c r="Q402" s="472" t="s">
        <v>758</v>
      </c>
      <c r="R402" s="472" t="s">
        <v>12</v>
      </c>
      <c r="S402" s="472" t="s">
        <v>12</v>
      </c>
      <c r="T402" s="472" t="s">
        <v>988</v>
      </c>
      <c r="U402" s="470" t="s">
        <v>989</v>
      </c>
      <c r="V402" s="470" t="s">
        <v>761</v>
      </c>
      <c r="W402" s="470" t="s">
        <v>762</v>
      </c>
      <c r="X402" s="470">
        <v>31</v>
      </c>
      <c r="Y402" s="470">
        <v>0</v>
      </c>
      <c r="Z402" s="470">
        <v>0</v>
      </c>
      <c r="AA402" s="470">
        <v>31</v>
      </c>
      <c r="AB402" s="470">
        <v>31</v>
      </c>
      <c r="AC402" s="473">
        <v>49575</v>
      </c>
      <c r="AD402" s="473">
        <v>49575</v>
      </c>
      <c r="AE402" s="473">
        <v>22309</v>
      </c>
      <c r="AF402" s="473">
        <v>8924</v>
      </c>
      <c r="AG402" s="473">
        <v>1600</v>
      </c>
      <c r="AH402" s="473">
        <v>200</v>
      </c>
      <c r="AI402" s="473">
        <v>1250</v>
      </c>
      <c r="AJ402" s="473">
        <v>1858</v>
      </c>
      <c r="AK402" s="473">
        <v>4462</v>
      </c>
      <c r="AL402" s="473">
        <v>3346</v>
      </c>
      <c r="AM402" s="473">
        <v>223</v>
      </c>
      <c r="AN402" s="473">
        <v>781</v>
      </c>
      <c r="AO402" s="473">
        <v>446</v>
      </c>
      <c r="AP402" s="473">
        <v>112</v>
      </c>
      <c r="AQ402" s="473">
        <v>1800</v>
      </c>
      <c r="AR402" s="473">
        <v>2264</v>
      </c>
      <c r="AS402" s="473">
        <v>0</v>
      </c>
      <c r="AT402" s="473">
        <v>0</v>
      </c>
      <c r="AU402" s="473">
        <v>0</v>
      </c>
      <c r="AV402" s="473">
        <v>49575</v>
      </c>
      <c r="AW402" s="474">
        <v>49575</v>
      </c>
      <c r="AX402" s="473">
        <v>0</v>
      </c>
      <c r="AY402" s="473">
        <v>0</v>
      </c>
      <c r="AZ402" s="475">
        <v>0</v>
      </c>
      <c r="BA402" s="475">
        <v>200</v>
      </c>
      <c r="BB402" s="475">
        <v>1800</v>
      </c>
      <c r="BC402" s="475">
        <v>0</v>
      </c>
      <c r="BD402" s="475">
        <v>0</v>
      </c>
      <c r="BE402" s="475">
        <v>0</v>
      </c>
      <c r="BF402" s="475">
        <v>0</v>
      </c>
      <c r="BG402" s="475">
        <v>2000</v>
      </c>
      <c r="BH402" s="476">
        <v>47575</v>
      </c>
      <c r="BI402" s="467"/>
      <c r="BJ402" s="468"/>
    </row>
    <row r="403" spans="1:62">
      <c r="A403" s="469">
        <v>45870</v>
      </c>
      <c r="B403" s="469" t="s">
        <v>747</v>
      </c>
      <c r="C403" s="508" t="s">
        <v>748</v>
      </c>
      <c r="D403" s="470" t="s">
        <v>749</v>
      </c>
      <c r="E403" s="471">
        <v>1700</v>
      </c>
      <c r="F403" s="470" t="s">
        <v>990</v>
      </c>
      <c r="G403" s="470" t="s">
        <v>751</v>
      </c>
      <c r="H403" s="470" t="s">
        <v>12</v>
      </c>
      <c r="I403" s="470" t="s">
        <v>991</v>
      </c>
      <c r="J403" s="472" t="s">
        <v>992</v>
      </c>
      <c r="K403" s="470" t="s">
        <v>993</v>
      </c>
      <c r="L403" s="470" t="s">
        <v>994</v>
      </c>
      <c r="M403" s="470" t="s">
        <v>994</v>
      </c>
      <c r="N403" s="470" t="s">
        <v>777</v>
      </c>
      <c r="O403" s="472" t="s">
        <v>757</v>
      </c>
      <c r="P403" s="472" t="s">
        <v>738</v>
      </c>
      <c r="Q403" s="472" t="s">
        <v>758</v>
      </c>
      <c r="R403" s="472" t="s">
        <v>12</v>
      </c>
      <c r="S403" s="472" t="s">
        <v>12</v>
      </c>
      <c r="T403" s="472" t="s">
        <v>995</v>
      </c>
      <c r="U403" s="470" t="s">
        <v>996</v>
      </c>
      <c r="V403" s="470" t="s">
        <v>761</v>
      </c>
      <c r="W403" s="470" t="s">
        <v>859</v>
      </c>
      <c r="X403" s="470">
        <v>31</v>
      </c>
      <c r="Y403" s="470">
        <v>0</v>
      </c>
      <c r="Z403" s="470">
        <v>0</v>
      </c>
      <c r="AA403" s="470">
        <v>31</v>
      </c>
      <c r="AB403" s="470">
        <v>31</v>
      </c>
      <c r="AC403" s="473">
        <v>79907</v>
      </c>
      <c r="AD403" s="473">
        <v>79907</v>
      </c>
      <c r="AE403" s="473">
        <v>35958</v>
      </c>
      <c r="AF403" s="473">
        <v>14383</v>
      </c>
      <c r="AG403" s="473">
        <v>1600</v>
      </c>
      <c r="AH403" s="473">
        <v>200</v>
      </c>
      <c r="AI403" s="473">
        <v>1250</v>
      </c>
      <c r="AJ403" s="473">
        <v>2995</v>
      </c>
      <c r="AK403" s="473">
        <v>7192</v>
      </c>
      <c r="AL403" s="473">
        <v>5394</v>
      </c>
      <c r="AM403" s="473">
        <v>360</v>
      </c>
      <c r="AN403" s="473">
        <v>1259</v>
      </c>
      <c r="AO403" s="473">
        <v>719</v>
      </c>
      <c r="AP403" s="473">
        <v>180</v>
      </c>
      <c r="AQ403" s="473">
        <v>1800</v>
      </c>
      <c r="AR403" s="473">
        <v>6617</v>
      </c>
      <c r="AS403" s="473">
        <v>0</v>
      </c>
      <c r="AT403" s="473">
        <v>0</v>
      </c>
      <c r="AU403" s="473">
        <v>1369</v>
      </c>
      <c r="AV403" s="473">
        <v>81276</v>
      </c>
      <c r="AW403" s="474">
        <v>79907</v>
      </c>
      <c r="AX403" s="473">
        <v>0</v>
      </c>
      <c r="AY403" s="473">
        <v>0</v>
      </c>
      <c r="AZ403" s="475">
        <v>0</v>
      </c>
      <c r="BA403" s="475">
        <v>200</v>
      </c>
      <c r="BB403" s="475">
        <v>1800</v>
      </c>
      <c r="BC403" s="475">
        <v>0</v>
      </c>
      <c r="BD403" s="475">
        <v>0</v>
      </c>
      <c r="BE403" s="475">
        <v>0</v>
      </c>
      <c r="BF403" s="475">
        <v>0</v>
      </c>
      <c r="BG403" s="475">
        <v>2000</v>
      </c>
      <c r="BH403" s="476">
        <v>79276</v>
      </c>
      <c r="BI403" s="467"/>
      <c r="BJ403" s="468"/>
    </row>
    <row r="404" spans="1:62">
      <c r="A404" s="469">
        <v>45870</v>
      </c>
      <c r="B404" s="469" t="s">
        <v>747</v>
      </c>
      <c r="C404" s="508" t="s">
        <v>748</v>
      </c>
      <c r="D404" s="470" t="s">
        <v>749</v>
      </c>
      <c r="E404" s="471">
        <v>435</v>
      </c>
      <c r="F404" s="470" t="s">
        <v>997</v>
      </c>
      <c r="G404" s="470" t="s">
        <v>751</v>
      </c>
      <c r="H404" s="470" t="s">
        <v>12</v>
      </c>
      <c r="I404" s="470" t="s">
        <v>998</v>
      </c>
      <c r="J404" s="472" t="s">
        <v>999</v>
      </c>
      <c r="K404" s="470" t="s">
        <v>1000</v>
      </c>
      <c r="L404" s="470" t="s">
        <v>832</v>
      </c>
      <c r="M404" s="470" t="s">
        <v>832</v>
      </c>
      <c r="N404" s="470" t="s">
        <v>833</v>
      </c>
      <c r="O404" s="472" t="s">
        <v>757</v>
      </c>
      <c r="P404" s="472" t="s">
        <v>738</v>
      </c>
      <c r="Q404" s="472" t="s">
        <v>758</v>
      </c>
      <c r="R404" s="472" t="s">
        <v>12</v>
      </c>
      <c r="S404" s="472" t="s">
        <v>12</v>
      </c>
      <c r="T404" s="472" t="s">
        <v>1001</v>
      </c>
      <c r="U404" s="470" t="s">
        <v>1002</v>
      </c>
      <c r="V404" s="470" t="s">
        <v>761</v>
      </c>
      <c r="W404" s="470" t="s">
        <v>762</v>
      </c>
      <c r="X404" s="470">
        <v>31</v>
      </c>
      <c r="Y404" s="470">
        <v>0</v>
      </c>
      <c r="Z404" s="470">
        <v>0</v>
      </c>
      <c r="AA404" s="470">
        <v>31</v>
      </c>
      <c r="AB404" s="470">
        <v>31</v>
      </c>
      <c r="AC404" s="473">
        <v>33167</v>
      </c>
      <c r="AD404" s="473">
        <v>33167</v>
      </c>
      <c r="AE404" s="473">
        <v>14925</v>
      </c>
      <c r="AF404" s="473">
        <v>5970</v>
      </c>
      <c r="AG404" s="473">
        <v>1600</v>
      </c>
      <c r="AH404" s="473">
        <v>200</v>
      </c>
      <c r="AI404" s="473">
        <v>1250</v>
      </c>
      <c r="AJ404" s="473">
        <v>0</v>
      </c>
      <c r="AK404" s="473">
        <v>0</v>
      </c>
      <c r="AL404" s="473">
        <v>0</v>
      </c>
      <c r="AM404" s="473">
        <v>0</v>
      </c>
      <c r="AN404" s="473">
        <v>0</v>
      </c>
      <c r="AO404" s="473">
        <v>0</v>
      </c>
      <c r="AP404" s="473">
        <v>0</v>
      </c>
      <c r="AQ404" s="473">
        <v>1791</v>
      </c>
      <c r="AR404" s="473">
        <v>7431</v>
      </c>
      <c r="AS404" s="473">
        <v>0</v>
      </c>
      <c r="AT404" s="473">
        <v>0</v>
      </c>
      <c r="AU404" s="473">
        <v>7148</v>
      </c>
      <c r="AV404" s="473">
        <v>40315</v>
      </c>
      <c r="AW404" s="474">
        <v>33167</v>
      </c>
      <c r="AX404" s="473">
        <v>0</v>
      </c>
      <c r="AY404" s="473">
        <v>0</v>
      </c>
      <c r="AZ404" s="475">
        <v>0</v>
      </c>
      <c r="BA404" s="475">
        <v>200</v>
      </c>
      <c r="BB404" s="475">
        <v>1791</v>
      </c>
      <c r="BC404" s="475">
        <v>0</v>
      </c>
      <c r="BD404" s="475">
        <v>0</v>
      </c>
      <c r="BE404" s="475">
        <v>0</v>
      </c>
      <c r="BF404" s="475">
        <v>0</v>
      </c>
      <c r="BG404" s="475">
        <v>1991</v>
      </c>
      <c r="BH404" s="476">
        <v>38324</v>
      </c>
      <c r="BI404" s="467"/>
      <c r="BJ404" s="468"/>
    </row>
    <row r="405" spans="1:62">
      <c r="A405" s="469">
        <v>45870</v>
      </c>
      <c r="B405" s="469" t="s">
        <v>747</v>
      </c>
      <c r="C405" s="508" t="s">
        <v>748</v>
      </c>
      <c r="D405" s="470" t="s">
        <v>749</v>
      </c>
      <c r="E405" s="471">
        <v>1033</v>
      </c>
      <c r="F405" s="470" t="s">
        <v>668</v>
      </c>
      <c r="G405" s="470" t="s">
        <v>751</v>
      </c>
      <c r="H405" s="470" t="s">
        <v>12</v>
      </c>
      <c r="I405" s="470" t="s">
        <v>1003</v>
      </c>
      <c r="J405" s="472" t="s">
        <v>1004</v>
      </c>
      <c r="K405" s="470" t="s">
        <v>1005</v>
      </c>
      <c r="L405" s="470" t="s">
        <v>918</v>
      </c>
      <c r="M405" s="470" t="s">
        <v>1006</v>
      </c>
      <c r="N405" s="470" t="s">
        <v>777</v>
      </c>
      <c r="O405" s="472" t="s">
        <v>757</v>
      </c>
      <c r="P405" s="472" t="s">
        <v>738</v>
      </c>
      <c r="Q405" s="472" t="s">
        <v>758</v>
      </c>
      <c r="R405" s="472" t="s">
        <v>12</v>
      </c>
      <c r="S405" s="472" t="s">
        <v>12</v>
      </c>
      <c r="T405" s="472" t="s">
        <v>1007</v>
      </c>
      <c r="U405" s="470" t="s">
        <v>1008</v>
      </c>
      <c r="V405" s="470" t="s">
        <v>761</v>
      </c>
      <c r="W405" s="470" t="s">
        <v>1009</v>
      </c>
      <c r="X405" s="470">
        <v>31</v>
      </c>
      <c r="Y405" s="470">
        <v>0</v>
      </c>
      <c r="Z405" s="470">
        <v>0</v>
      </c>
      <c r="AA405" s="470">
        <v>31</v>
      </c>
      <c r="AB405" s="470">
        <v>31</v>
      </c>
      <c r="AC405" s="473">
        <v>118333</v>
      </c>
      <c r="AD405" s="473">
        <v>118333</v>
      </c>
      <c r="AE405" s="473">
        <v>53250</v>
      </c>
      <c r="AF405" s="473">
        <v>21300</v>
      </c>
      <c r="AG405" s="473">
        <v>1600</v>
      </c>
      <c r="AH405" s="473">
        <v>200</v>
      </c>
      <c r="AI405" s="473">
        <v>1250</v>
      </c>
      <c r="AJ405" s="473">
        <v>4436</v>
      </c>
      <c r="AK405" s="473">
        <v>10650</v>
      </c>
      <c r="AL405" s="473">
        <v>7988</v>
      </c>
      <c r="AM405" s="473">
        <v>533</v>
      </c>
      <c r="AN405" s="473">
        <v>1864</v>
      </c>
      <c r="AO405" s="473">
        <v>1065</v>
      </c>
      <c r="AP405" s="473">
        <v>266</v>
      </c>
      <c r="AQ405" s="473">
        <v>1800</v>
      </c>
      <c r="AR405" s="473">
        <v>12131</v>
      </c>
      <c r="AS405" s="473">
        <v>0</v>
      </c>
      <c r="AT405" s="473">
        <v>0</v>
      </c>
      <c r="AU405" s="473">
        <v>2401</v>
      </c>
      <c r="AV405" s="473">
        <v>120734</v>
      </c>
      <c r="AW405" s="474">
        <v>118333</v>
      </c>
      <c r="AX405" s="473">
        <v>0</v>
      </c>
      <c r="AY405" s="473">
        <v>0</v>
      </c>
      <c r="AZ405" s="475">
        <v>9564</v>
      </c>
      <c r="BA405" s="475">
        <v>200</v>
      </c>
      <c r="BB405" s="475">
        <v>1800</v>
      </c>
      <c r="BC405" s="475">
        <v>0</v>
      </c>
      <c r="BD405" s="475">
        <v>0</v>
      </c>
      <c r="BE405" s="475">
        <v>0</v>
      </c>
      <c r="BF405" s="475">
        <v>12500</v>
      </c>
      <c r="BG405" s="475">
        <v>24064</v>
      </c>
      <c r="BH405" s="476">
        <v>96670</v>
      </c>
      <c r="BI405" s="467"/>
      <c r="BJ405" s="468"/>
    </row>
    <row r="406" spans="1:62">
      <c r="A406" s="469">
        <v>45870</v>
      </c>
      <c r="B406" s="469" t="s">
        <v>747</v>
      </c>
      <c r="C406" s="508" t="s">
        <v>748</v>
      </c>
      <c r="D406" s="470" t="s">
        <v>749</v>
      </c>
      <c r="E406" s="471">
        <v>1086</v>
      </c>
      <c r="F406" s="470" t="s">
        <v>1016</v>
      </c>
      <c r="G406" s="470" t="s">
        <v>812</v>
      </c>
      <c r="H406" s="470" t="s">
        <v>12</v>
      </c>
      <c r="I406" s="470" t="s">
        <v>1017</v>
      </c>
      <c r="J406" s="472" t="s">
        <v>1018</v>
      </c>
      <c r="K406" s="470" t="s">
        <v>1019</v>
      </c>
      <c r="L406" s="470" t="s">
        <v>1293</v>
      </c>
      <c r="M406" s="470" t="s">
        <v>1293</v>
      </c>
      <c r="N406" s="470" t="s">
        <v>1275</v>
      </c>
      <c r="O406" s="472" t="s">
        <v>757</v>
      </c>
      <c r="P406" s="472" t="s">
        <v>738</v>
      </c>
      <c r="Q406" s="472" t="s">
        <v>758</v>
      </c>
      <c r="R406" s="472" t="s">
        <v>12</v>
      </c>
      <c r="S406" s="472" t="s">
        <v>12</v>
      </c>
      <c r="T406" s="472" t="s">
        <v>1021</v>
      </c>
      <c r="U406" s="470" t="s">
        <v>1022</v>
      </c>
      <c r="V406" s="470" t="s">
        <v>761</v>
      </c>
      <c r="W406" s="470" t="s">
        <v>771</v>
      </c>
      <c r="X406" s="470">
        <v>31</v>
      </c>
      <c r="Y406" s="470">
        <v>0</v>
      </c>
      <c r="Z406" s="470">
        <v>0</v>
      </c>
      <c r="AA406" s="470">
        <v>31</v>
      </c>
      <c r="AB406" s="470">
        <v>31</v>
      </c>
      <c r="AC406" s="473">
        <v>60208</v>
      </c>
      <c r="AD406" s="473">
        <v>60208</v>
      </c>
      <c r="AE406" s="473">
        <v>27094</v>
      </c>
      <c r="AF406" s="473">
        <v>10838</v>
      </c>
      <c r="AG406" s="473">
        <v>1600</v>
      </c>
      <c r="AH406" s="473">
        <v>200</v>
      </c>
      <c r="AI406" s="473">
        <v>1250</v>
      </c>
      <c r="AJ406" s="473">
        <v>2257</v>
      </c>
      <c r="AK406" s="473">
        <v>5419</v>
      </c>
      <c r="AL406" s="473">
        <v>4064</v>
      </c>
      <c r="AM406" s="473">
        <v>271</v>
      </c>
      <c r="AN406" s="473">
        <v>948</v>
      </c>
      <c r="AO406" s="473">
        <v>542</v>
      </c>
      <c r="AP406" s="473">
        <v>135</v>
      </c>
      <c r="AQ406" s="473">
        <v>1800</v>
      </c>
      <c r="AR406" s="473">
        <v>3790</v>
      </c>
      <c r="AS406" s="473">
        <v>0</v>
      </c>
      <c r="AT406" s="473">
        <v>0</v>
      </c>
      <c r="AU406" s="473">
        <v>0</v>
      </c>
      <c r="AV406" s="473">
        <v>60208</v>
      </c>
      <c r="AW406" s="474">
        <v>60208</v>
      </c>
      <c r="AX406" s="473">
        <v>0</v>
      </c>
      <c r="AY406" s="473">
        <v>0</v>
      </c>
      <c r="AZ406" s="475">
        <v>0</v>
      </c>
      <c r="BA406" s="475">
        <v>200</v>
      </c>
      <c r="BB406" s="475">
        <v>1800</v>
      </c>
      <c r="BC406" s="475">
        <v>0</v>
      </c>
      <c r="BD406" s="475">
        <v>0</v>
      </c>
      <c r="BE406" s="475">
        <v>0</v>
      </c>
      <c r="BF406" s="475">
        <v>0</v>
      </c>
      <c r="BG406" s="475">
        <v>2000</v>
      </c>
      <c r="BH406" s="476">
        <v>58208</v>
      </c>
      <c r="BI406" s="467"/>
      <c r="BJ406" s="468"/>
    </row>
    <row r="407" spans="1:62">
      <c r="A407" s="469">
        <v>45870</v>
      </c>
      <c r="B407" s="469" t="s">
        <v>747</v>
      </c>
      <c r="C407" s="508" t="s">
        <v>748</v>
      </c>
      <c r="D407" s="470" t="s">
        <v>749</v>
      </c>
      <c r="E407" s="471">
        <v>737</v>
      </c>
      <c r="F407" s="470" t="s">
        <v>1023</v>
      </c>
      <c r="G407" s="470" t="s">
        <v>751</v>
      </c>
      <c r="H407" s="470" t="s">
        <v>12</v>
      </c>
      <c r="I407" s="470" t="s">
        <v>1024</v>
      </c>
      <c r="J407" s="472" t="s">
        <v>1025</v>
      </c>
      <c r="K407" s="470" t="s">
        <v>1026</v>
      </c>
      <c r="L407" s="470" t="s">
        <v>979</v>
      </c>
      <c r="M407" s="470" t="s">
        <v>1027</v>
      </c>
      <c r="N407" s="470" t="s">
        <v>833</v>
      </c>
      <c r="O407" s="472" t="s">
        <v>757</v>
      </c>
      <c r="P407" s="472" t="s">
        <v>738</v>
      </c>
      <c r="Q407" s="472" t="s">
        <v>758</v>
      </c>
      <c r="R407" s="472" t="s">
        <v>12</v>
      </c>
      <c r="S407" s="472" t="s">
        <v>12</v>
      </c>
      <c r="T407" s="472" t="s">
        <v>1029</v>
      </c>
      <c r="U407" s="470" t="s">
        <v>1030</v>
      </c>
      <c r="V407" s="470" t="s">
        <v>761</v>
      </c>
      <c r="W407" s="470" t="s">
        <v>762</v>
      </c>
      <c r="X407" s="470">
        <v>31</v>
      </c>
      <c r="Y407" s="470">
        <v>0</v>
      </c>
      <c r="Z407" s="470">
        <v>0</v>
      </c>
      <c r="AA407" s="470">
        <v>31</v>
      </c>
      <c r="AB407" s="470">
        <v>31</v>
      </c>
      <c r="AC407" s="473">
        <v>22933</v>
      </c>
      <c r="AD407" s="473">
        <v>22933</v>
      </c>
      <c r="AE407" s="473">
        <v>10320</v>
      </c>
      <c r="AF407" s="473">
        <v>4128</v>
      </c>
      <c r="AG407" s="473">
        <v>1600</v>
      </c>
      <c r="AH407" s="473">
        <v>200</v>
      </c>
      <c r="AI407" s="473">
        <v>1250</v>
      </c>
      <c r="AJ407" s="473">
        <v>0</v>
      </c>
      <c r="AK407" s="473">
        <v>0</v>
      </c>
      <c r="AL407" s="473">
        <v>0</v>
      </c>
      <c r="AM407" s="473">
        <v>0</v>
      </c>
      <c r="AN407" s="473">
        <v>0</v>
      </c>
      <c r="AO407" s="473">
        <v>0</v>
      </c>
      <c r="AP407" s="473">
        <v>0</v>
      </c>
      <c r="AQ407" s="473">
        <v>1238</v>
      </c>
      <c r="AR407" s="473">
        <v>4197</v>
      </c>
      <c r="AS407" s="473">
        <v>0</v>
      </c>
      <c r="AT407" s="473">
        <v>0</v>
      </c>
      <c r="AU407" s="473">
        <v>5022</v>
      </c>
      <c r="AV407" s="473">
        <v>27955</v>
      </c>
      <c r="AW407" s="474">
        <v>22933</v>
      </c>
      <c r="AX407" s="473">
        <v>0</v>
      </c>
      <c r="AY407" s="473">
        <v>0</v>
      </c>
      <c r="AZ407" s="475">
        <v>0</v>
      </c>
      <c r="BA407" s="475">
        <v>200</v>
      </c>
      <c r="BB407" s="475">
        <v>1238</v>
      </c>
      <c r="BC407" s="475">
        <v>0</v>
      </c>
      <c r="BD407" s="475">
        <v>0</v>
      </c>
      <c r="BE407" s="475">
        <v>0</v>
      </c>
      <c r="BF407" s="475">
        <v>0</v>
      </c>
      <c r="BG407" s="475">
        <v>1438</v>
      </c>
      <c r="BH407" s="476">
        <v>26517</v>
      </c>
      <c r="BI407" s="467"/>
      <c r="BJ407" s="468"/>
    </row>
    <row r="408" spans="1:62">
      <c r="A408" s="469">
        <v>45870</v>
      </c>
      <c r="B408" s="469" t="s">
        <v>747</v>
      </c>
      <c r="C408" s="508" t="s">
        <v>748</v>
      </c>
      <c r="D408" s="470" t="s">
        <v>749</v>
      </c>
      <c r="E408" s="471">
        <v>649</v>
      </c>
      <c r="F408" s="470" t="s">
        <v>1031</v>
      </c>
      <c r="G408" s="470" t="s">
        <v>812</v>
      </c>
      <c r="H408" s="470" t="s">
        <v>12</v>
      </c>
      <c r="I408" s="470" t="s">
        <v>1032</v>
      </c>
      <c r="J408" s="472" t="s">
        <v>1033</v>
      </c>
      <c r="K408" s="470" t="s">
        <v>1034</v>
      </c>
      <c r="L408" s="470" t="s">
        <v>971</v>
      </c>
      <c r="M408" s="470" t="s">
        <v>1035</v>
      </c>
      <c r="N408" s="470" t="s">
        <v>833</v>
      </c>
      <c r="O408" s="472" t="s">
        <v>792</v>
      </c>
      <c r="P408" s="472" t="s">
        <v>738</v>
      </c>
      <c r="Q408" s="472" t="s">
        <v>758</v>
      </c>
      <c r="R408" s="472" t="s">
        <v>12</v>
      </c>
      <c r="S408" s="472" t="s">
        <v>12</v>
      </c>
      <c r="T408" s="472" t="s">
        <v>1036</v>
      </c>
      <c r="U408" s="470" t="s">
        <v>1037</v>
      </c>
      <c r="V408" s="470" t="s">
        <v>761</v>
      </c>
      <c r="W408" s="470" t="s">
        <v>762</v>
      </c>
      <c r="X408" s="470">
        <v>31</v>
      </c>
      <c r="Y408" s="470">
        <v>0</v>
      </c>
      <c r="Z408" s="470">
        <v>1</v>
      </c>
      <c r="AA408" s="470">
        <v>30</v>
      </c>
      <c r="AB408" s="470">
        <v>30</v>
      </c>
      <c r="AC408" s="473">
        <v>158333</v>
      </c>
      <c r="AD408" s="473">
        <v>158333</v>
      </c>
      <c r="AE408" s="473">
        <v>68951</v>
      </c>
      <c r="AF408" s="473">
        <v>27580</v>
      </c>
      <c r="AG408" s="473">
        <v>1548</v>
      </c>
      <c r="AH408" s="473">
        <v>194</v>
      </c>
      <c r="AI408" s="473">
        <v>1210</v>
      </c>
      <c r="AJ408" s="473">
        <v>5744</v>
      </c>
      <c r="AK408" s="473">
        <v>13790</v>
      </c>
      <c r="AL408" s="473">
        <v>10343</v>
      </c>
      <c r="AM408" s="473">
        <v>690</v>
      </c>
      <c r="AN408" s="473">
        <v>2413</v>
      </c>
      <c r="AO408" s="473">
        <v>1379</v>
      </c>
      <c r="AP408" s="473">
        <v>345</v>
      </c>
      <c r="AQ408" s="473">
        <v>1800</v>
      </c>
      <c r="AR408" s="473">
        <v>17238</v>
      </c>
      <c r="AS408" s="473">
        <v>0</v>
      </c>
      <c r="AT408" s="473">
        <v>0</v>
      </c>
      <c r="AU408" s="473">
        <v>0</v>
      </c>
      <c r="AV408" s="473">
        <v>153225</v>
      </c>
      <c r="AW408" s="474">
        <v>153225</v>
      </c>
      <c r="AX408" s="473">
        <v>0</v>
      </c>
      <c r="AY408" s="473">
        <v>0</v>
      </c>
      <c r="AZ408" s="475">
        <v>27036</v>
      </c>
      <c r="BA408" s="475">
        <v>200</v>
      </c>
      <c r="BB408" s="475">
        <v>1800</v>
      </c>
      <c r="BC408" s="475">
        <v>0</v>
      </c>
      <c r="BD408" s="475">
        <v>0</v>
      </c>
      <c r="BE408" s="475">
        <v>0</v>
      </c>
      <c r="BF408" s="475">
        <v>0</v>
      </c>
      <c r="BG408" s="475">
        <v>29036</v>
      </c>
      <c r="BH408" s="476">
        <v>124189</v>
      </c>
      <c r="BI408" s="467"/>
      <c r="BJ408" s="468"/>
    </row>
    <row r="409" spans="1:62">
      <c r="A409" s="469">
        <v>45870</v>
      </c>
      <c r="B409" s="469" t="s">
        <v>747</v>
      </c>
      <c r="C409" s="508" t="s">
        <v>748</v>
      </c>
      <c r="D409" s="470" t="s">
        <v>749</v>
      </c>
      <c r="E409" s="471">
        <v>1746</v>
      </c>
      <c r="F409" s="470" t="s">
        <v>1038</v>
      </c>
      <c r="G409" s="470" t="s">
        <v>751</v>
      </c>
      <c r="H409" s="470" t="s">
        <v>12</v>
      </c>
      <c r="I409" s="470" t="s">
        <v>1039</v>
      </c>
      <c r="J409" s="472" t="s">
        <v>1040</v>
      </c>
      <c r="K409" s="470" t="s">
        <v>1041</v>
      </c>
      <c r="L409" s="470" t="s">
        <v>1042</v>
      </c>
      <c r="M409" s="470" t="s">
        <v>1042</v>
      </c>
      <c r="N409" s="470" t="s">
        <v>833</v>
      </c>
      <c r="O409" s="472" t="s">
        <v>1043</v>
      </c>
      <c r="P409" s="472" t="s">
        <v>738</v>
      </c>
      <c r="Q409" s="472" t="s">
        <v>758</v>
      </c>
      <c r="R409" s="472" t="s">
        <v>12</v>
      </c>
      <c r="S409" s="472" t="s">
        <v>12</v>
      </c>
      <c r="T409" s="472" t="s">
        <v>1044</v>
      </c>
      <c r="U409" s="470" t="s">
        <v>1045</v>
      </c>
      <c r="V409" s="470" t="s">
        <v>761</v>
      </c>
      <c r="W409" s="470" t="s">
        <v>762</v>
      </c>
      <c r="X409" s="470">
        <v>31</v>
      </c>
      <c r="Y409" s="470">
        <v>0</v>
      </c>
      <c r="Z409" s="470">
        <v>0</v>
      </c>
      <c r="AA409" s="470">
        <v>31</v>
      </c>
      <c r="AB409" s="470">
        <v>31</v>
      </c>
      <c r="AC409" s="473">
        <v>28500</v>
      </c>
      <c r="AD409" s="473">
        <v>28500</v>
      </c>
      <c r="AE409" s="473">
        <v>12825</v>
      </c>
      <c r="AF409" s="473">
        <v>5130</v>
      </c>
      <c r="AG409" s="473">
        <v>1600</v>
      </c>
      <c r="AH409" s="473">
        <v>200</v>
      </c>
      <c r="AI409" s="473">
        <v>1250</v>
      </c>
      <c r="AJ409" s="473">
        <v>0</v>
      </c>
      <c r="AK409" s="473">
        <v>0</v>
      </c>
      <c r="AL409" s="473">
        <v>0</v>
      </c>
      <c r="AM409" s="473">
        <v>0</v>
      </c>
      <c r="AN409" s="473">
        <v>0</v>
      </c>
      <c r="AO409" s="473">
        <v>0</v>
      </c>
      <c r="AP409" s="473">
        <v>0</v>
      </c>
      <c r="AQ409" s="473">
        <v>1539</v>
      </c>
      <c r="AR409" s="473">
        <v>5956</v>
      </c>
      <c r="AS409" s="473">
        <v>0</v>
      </c>
      <c r="AT409" s="473">
        <v>0</v>
      </c>
      <c r="AU409" s="473">
        <v>8030</v>
      </c>
      <c r="AV409" s="473">
        <v>36530</v>
      </c>
      <c r="AW409" s="474">
        <v>28500</v>
      </c>
      <c r="AX409" s="473">
        <v>0</v>
      </c>
      <c r="AY409" s="473">
        <v>0</v>
      </c>
      <c r="AZ409" s="475">
        <v>0</v>
      </c>
      <c r="BA409" s="475">
        <v>200</v>
      </c>
      <c r="BB409" s="475">
        <v>1539</v>
      </c>
      <c r="BC409" s="475">
        <v>0</v>
      </c>
      <c r="BD409" s="475">
        <v>0</v>
      </c>
      <c r="BE409" s="475">
        <v>0</v>
      </c>
      <c r="BF409" s="475">
        <v>0</v>
      </c>
      <c r="BG409" s="475">
        <v>1739</v>
      </c>
      <c r="BH409" s="476">
        <v>34791</v>
      </c>
      <c r="BI409" s="467"/>
      <c r="BJ409" s="468"/>
    </row>
    <row r="410" spans="1:62">
      <c r="A410" s="469">
        <v>45870</v>
      </c>
      <c r="B410" s="469" t="s">
        <v>747</v>
      </c>
      <c r="C410" s="508" t="s">
        <v>748</v>
      </c>
      <c r="D410" s="470" t="s">
        <v>749</v>
      </c>
      <c r="E410" s="471">
        <v>1771</v>
      </c>
      <c r="F410" s="470" t="s">
        <v>1046</v>
      </c>
      <c r="G410" s="470" t="s">
        <v>751</v>
      </c>
      <c r="H410" s="470" t="s">
        <v>12</v>
      </c>
      <c r="I410" s="470" t="s">
        <v>781</v>
      </c>
      <c r="J410" s="472" t="s">
        <v>1047</v>
      </c>
      <c r="K410" s="470" t="s">
        <v>1048</v>
      </c>
      <c r="L410" s="470" t="s">
        <v>776</v>
      </c>
      <c r="M410" s="470" t="s">
        <v>776</v>
      </c>
      <c r="N410" s="470" t="s">
        <v>777</v>
      </c>
      <c r="O410" s="472" t="s">
        <v>757</v>
      </c>
      <c r="P410" s="472" t="s">
        <v>738</v>
      </c>
      <c r="Q410" s="472" t="s">
        <v>758</v>
      </c>
      <c r="R410" s="472" t="s">
        <v>12</v>
      </c>
      <c r="S410" s="472" t="s">
        <v>12</v>
      </c>
      <c r="T410" s="472" t="s">
        <v>1049</v>
      </c>
      <c r="U410" s="470" t="s">
        <v>1050</v>
      </c>
      <c r="V410" s="470" t="s">
        <v>761</v>
      </c>
      <c r="W410" s="470" t="s">
        <v>795</v>
      </c>
      <c r="X410" s="470">
        <v>31</v>
      </c>
      <c r="Y410" s="470">
        <v>0</v>
      </c>
      <c r="Z410" s="470">
        <v>0</v>
      </c>
      <c r="AA410" s="470">
        <v>31</v>
      </c>
      <c r="AB410" s="470">
        <v>31</v>
      </c>
      <c r="AC410" s="473">
        <v>92504</v>
      </c>
      <c r="AD410" s="473">
        <v>92504</v>
      </c>
      <c r="AE410" s="473">
        <v>41627</v>
      </c>
      <c r="AF410" s="473">
        <v>16651</v>
      </c>
      <c r="AG410" s="473">
        <v>1600</v>
      </c>
      <c r="AH410" s="473">
        <v>200</v>
      </c>
      <c r="AI410" s="473">
        <v>1250</v>
      </c>
      <c r="AJ410" s="473">
        <v>3468</v>
      </c>
      <c r="AK410" s="473">
        <v>8325</v>
      </c>
      <c r="AL410" s="473">
        <v>6244</v>
      </c>
      <c r="AM410" s="473">
        <v>416</v>
      </c>
      <c r="AN410" s="473">
        <v>1457</v>
      </c>
      <c r="AO410" s="473">
        <v>833</v>
      </c>
      <c r="AP410" s="473">
        <v>208</v>
      </c>
      <c r="AQ410" s="473">
        <v>1800</v>
      </c>
      <c r="AR410" s="473">
        <v>8425</v>
      </c>
      <c r="AS410" s="473">
        <v>0</v>
      </c>
      <c r="AT410" s="473">
        <v>0</v>
      </c>
      <c r="AU410" s="473">
        <v>0</v>
      </c>
      <c r="AV410" s="473">
        <v>92504</v>
      </c>
      <c r="AW410" s="474">
        <v>92504</v>
      </c>
      <c r="AX410" s="473">
        <v>0</v>
      </c>
      <c r="AY410" s="473">
        <v>0</v>
      </c>
      <c r="AZ410" s="475">
        <v>0</v>
      </c>
      <c r="BA410" s="475">
        <v>200</v>
      </c>
      <c r="BB410" s="475">
        <v>1800</v>
      </c>
      <c r="BC410" s="475">
        <v>0</v>
      </c>
      <c r="BD410" s="475">
        <v>0</v>
      </c>
      <c r="BE410" s="475">
        <v>0</v>
      </c>
      <c r="BF410" s="475">
        <v>0</v>
      </c>
      <c r="BG410" s="475">
        <v>2000</v>
      </c>
      <c r="BH410" s="476">
        <v>90504</v>
      </c>
      <c r="BI410" s="467"/>
      <c r="BJ410" s="468"/>
    </row>
    <row r="411" spans="1:62">
      <c r="A411" s="469">
        <v>45870</v>
      </c>
      <c r="B411" s="469" t="s">
        <v>747</v>
      </c>
      <c r="C411" s="508" t="s">
        <v>748</v>
      </c>
      <c r="D411" s="470" t="s">
        <v>749</v>
      </c>
      <c r="E411" s="471">
        <v>1445</v>
      </c>
      <c r="F411" s="470" t="s">
        <v>1057</v>
      </c>
      <c r="G411" s="470" t="s">
        <v>751</v>
      </c>
      <c r="H411" s="470" t="s">
        <v>12</v>
      </c>
      <c r="I411" s="470" t="s">
        <v>1058</v>
      </c>
      <c r="J411" s="472" t="s">
        <v>1059</v>
      </c>
      <c r="K411" s="470" t="s">
        <v>1060</v>
      </c>
      <c r="L411" s="470" t="s">
        <v>800</v>
      </c>
      <c r="M411" s="470" t="s">
        <v>801</v>
      </c>
      <c r="N411" s="470" t="s">
        <v>756</v>
      </c>
      <c r="O411" s="472" t="s">
        <v>757</v>
      </c>
      <c r="P411" s="472" t="s">
        <v>738</v>
      </c>
      <c r="Q411" s="472" t="s">
        <v>758</v>
      </c>
      <c r="R411" s="472" t="s">
        <v>12</v>
      </c>
      <c r="S411" s="472" t="s">
        <v>12</v>
      </c>
      <c r="T411" s="472" t="s">
        <v>1061</v>
      </c>
      <c r="U411" s="470" t="s">
        <v>1062</v>
      </c>
      <c r="V411" s="470" t="s">
        <v>761</v>
      </c>
      <c r="W411" s="470" t="s">
        <v>1063</v>
      </c>
      <c r="X411" s="470">
        <v>31</v>
      </c>
      <c r="Y411" s="470">
        <v>0</v>
      </c>
      <c r="Z411" s="470">
        <v>2</v>
      </c>
      <c r="AA411" s="470">
        <v>29</v>
      </c>
      <c r="AB411" s="470">
        <v>29</v>
      </c>
      <c r="AC411" s="473">
        <v>50225</v>
      </c>
      <c r="AD411" s="473">
        <v>50225</v>
      </c>
      <c r="AE411" s="473">
        <v>21143</v>
      </c>
      <c r="AF411" s="473">
        <v>8457</v>
      </c>
      <c r="AG411" s="473">
        <v>1497</v>
      </c>
      <c r="AH411" s="473">
        <v>187</v>
      </c>
      <c r="AI411" s="473">
        <v>1169</v>
      </c>
      <c r="AJ411" s="473">
        <v>1761</v>
      </c>
      <c r="AK411" s="473">
        <v>4229</v>
      </c>
      <c r="AL411" s="473">
        <v>3171</v>
      </c>
      <c r="AM411" s="473">
        <v>211</v>
      </c>
      <c r="AN411" s="473">
        <v>740</v>
      </c>
      <c r="AO411" s="473">
        <v>423</v>
      </c>
      <c r="AP411" s="473">
        <v>106</v>
      </c>
      <c r="AQ411" s="473">
        <v>1800</v>
      </c>
      <c r="AR411" s="473">
        <v>2091</v>
      </c>
      <c r="AS411" s="473">
        <v>0</v>
      </c>
      <c r="AT411" s="473">
        <v>200</v>
      </c>
      <c r="AU411" s="473">
        <v>0</v>
      </c>
      <c r="AV411" s="473">
        <v>47185</v>
      </c>
      <c r="AW411" s="474">
        <v>47185</v>
      </c>
      <c r="AX411" s="473">
        <v>0</v>
      </c>
      <c r="AY411" s="473">
        <v>0</v>
      </c>
      <c r="AZ411" s="475">
        <v>0</v>
      </c>
      <c r="BA411" s="475">
        <v>200</v>
      </c>
      <c r="BB411" s="475">
        <v>1800</v>
      </c>
      <c r="BC411" s="475">
        <v>0</v>
      </c>
      <c r="BD411" s="475">
        <v>0</v>
      </c>
      <c r="BE411" s="475">
        <v>0</v>
      </c>
      <c r="BF411" s="475">
        <v>0</v>
      </c>
      <c r="BG411" s="475">
        <v>2000</v>
      </c>
      <c r="BH411" s="476">
        <v>45185</v>
      </c>
      <c r="BI411" s="467"/>
      <c r="BJ411" s="468"/>
    </row>
    <row r="412" spans="1:62">
      <c r="A412" s="469">
        <v>45870</v>
      </c>
      <c r="B412" s="469" t="s">
        <v>747</v>
      </c>
      <c r="C412" s="508" t="s">
        <v>748</v>
      </c>
      <c r="D412" s="470" t="s">
        <v>749</v>
      </c>
      <c r="E412" s="471">
        <v>1932</v>
      </c>
      <c r="F412" s="470" t="s">
        <v>1064</v>
      </c>
      <c r="G412" s="470" t="s">
        <v>751</v>
      </c>
      <c r="H412" s="470" t="s">
        <v>12</v>
      </c>
      <c r="I412" s="470" t="s">
        <v>1065</v>
      </c>
      <c r="J412" s="472" t="s">
        <v>1066</v>
      </c>
      <c r="K412" s="470" t="s">
        <v>1067</v>
      </c>
      <c r="L412" s="470" t="s">
        <v>1068</v>
      </c>
      <c r="M412" s="470" t="s">
        <v>1068</v>
      </c>
      <c r="N412" s="470" t="s">
        <v>756</v>
      </c>
      <c r="O412" s="472" t="s">
        <v>757</v>
      </c>
      <c r="P412" s="472" t="s">
        <v>738</v>
      </c>
      <c r="Q412" s="472" t="s">
        <v>758</v>
      </c>
      <c r="R412" s="472" t="s">
        <v>12</v>
      </c>
      <c r="S412" s="472" t="s">
        <v>12</v>
      </c>
      <c r="T412" s="472" t="s">
        <v>1069</v>
      </c>
      <c r="U412" s="470" t="s">
        <v>1070</v>
      </c>
      <c r="V412" s="470" t="s">
        <v>761</v>
      </c>
      <c r="W412" s="470" t="s">
        <v>859</v>
      </c>
      <c r="X412" s="470">
        <v>31</v>
      </c>
      <c r="Y412" s="470">
        <v>0</v>
      </c>
      <c r="Z412" s="470">
        <v>1</v>
      </c>
      <c r="AA412" s="470">
        <v>30</v>
      </c>
      <c r="AB412" s="470">
        <v>30</v>
      </c>
      <c r="AC412" s="473">
        <v>30700</v>
      </c>
      <c r="AD412" s="473">
        <v>30700</v>
      </c>
      <c r="AE412" s="473">
        <v>13370</v>
      </c>
      <c r="AF412" s="473">
        <v>5348</v>
      </c>
      <c r="AG412" s="473">
        <v>1548</v>
      </c>
      <c r="AH412" s="473">
        <v>194</v>
      </c>
      <c r="AI412" s="473">
        <v>1210</v>
      </c>
      <c r="AJ412" s="473">
        <v>0</v>
      </c>
      <c r="AK412" s="473">
        <v>0</v>
      </c>
      <c r="AL412" s="473">
        <v>0</v>
      </c>
      <c r="AM412" s="473">
        <v>0</v>
      </c>
      <c r="AN412" s="473">
        <v>0</v>
      </c>
      <c r="AO412" s="473">
        <v>0</v>
      </c>
      <c r="AP412" s="473">
        <v>0</v>
      </c>
      <c r="AQ412" s="473">
        <v>1604</v>
      </c>
      <c r="AR412" s="473">
        <v>6436</v>
      </c>
      <c r="AS412" s="473">
        <v>0</v>
      </c>
      <c r="AT412" s="473">
        <v>0</v>
      </c>
      <c r="AU412" s="473">
        <v>166</v>
      </c>
      <c r="AV412" s="473">
        <v>29876</v>
      </c>
      <c r="AW412" s="474">
        <v>29710</v>
      </c>
      <c r="AX412" s="473">
        <v>0</v>
      </c>
      <c r="AY412" s="473">
        <v>0</v>
      </c>
      <c r="AZ412" s="475">
        <v>0</v>
      </c>
      <c r="BA412" s="475">
        <v>200</v>
      </c>
      <c r="BB412" s="475">
        <v>1604</v>
      </c>
      <c r="BC412" s="475">
        <v>0</v>
      </c>
      <c r="BD412" s="475">
        <v>0</v>
      </c>
      <c r="BE412" s="475">
        <v>0</v>
      </c>
      <c r="BF412" s="475">
        <v>0</v>
      </c>
      <c r="BG412" s="475">
        <v>1804</v>
      </c>
      <c r="BH412" s="476">
        <v>28072</v>
      </c>
      <c r="BI412" s="467"/>
      <c r="BJ412" s="468"/>
    </row>
    <row r="413" spans="1:62">
      <c r="A413" s="469">
        <v>45870</v>
      </c>
      <c r="B413" s="469" t="s">
        <v>747</v>
      </c>
      <c r="C413" s="508" t="s">
        <v>748</v>
      </c>
      <c r="D413" s="470" t="s">
        <v>749</v>
      </c>
      <c r="E413" s="471">
        <v>2014</v>
      </c>
      <c r="F413" s="470" t="s">
        <v>1071</v>
      </c>
      <c r="G413" s="470" t="s">
        <v>751</v>
      </c>
      <c r="H413" s="470" t="s">
        <v>12</v>
      </c>
      <c r="I413" s="470" t="s">
        <v>847</v>
      </c>
      <c r="J413" s="472" t="s">
        <v>1072</v>
      </c>
      <c r="K413" s="470" t="s">
        <v>1073</v>
      </c>
      <c r="L413" s="470" t="s">
        <v>1074</v>
      </c>
      <c r="M413" s="470" t="s">
        <v>832</v>
      </c>
      <c r="N413" s="470" t="s">
        <v>1075</v>
      </c>
      <c r="O413" s="472" t="s">
        <v>757</v>
      </c>
      <c r="P413" s="472" t="s">
        <v>738</v>
      </c>
      <c r="Q413" s="472" t="s">
        <v>758</v>
      </c>
      <c r="R413" s="472" t="s">
        <v>12</v>
      </c>
      <c r="S413" s="472" t="s">
        <v>12</v>
      </c>
      <c r="T413" s="472" t="s">
        <v>1076</v>
      </c>
      <c r="U413" s="470" t="s">
        <v>1077</v>
      </c>
      <c r="V413" s="470" t="s">
        <v>761</v>
      </c>
      <c r="W413" s="470" t="s">
        <v>762</v>
      </c>
      <c r="X413" s="470">
        <v>31</v>
      </c>
      <c r="Y413" s="470">
        <v>0</v>
      </c>
      <c r="Z413" s="470">
        <v>0</v>
      </c>
      <c r="AA413" s="470">
        <v>31</v>
      </c>
      <c r="AB413" s="470">
        <v>31</v>
      </c>
      <c r="AC413" s="473">
        <v>32033</v>
      </c>
      <c r="AD413" s="473">
        <v>32033</v>
      </c>
      <c r="AE413" s="473">
        <v>14415</v>
      </c>
      <c r="AF413" s="473">
        <v>5766</v>
      </c>
      <c r="AG413" s="473">
        <v>1600</v>
      </c>
      <c r="AH413" s="473">
        <v>200</v>
      </c>
      <c r="AI413" s="473">
        <v>1250</v>
      </c>
      <c r="AJ413" s="473">
        <v>0</v>
      </c>
      <c r="AK413" s="473">
        <v>0</v>
      </c>
      <c r="AL413" s="473">
        <v>0</v>
      </c>
      <c r="AM413" s="473">
        <v>0</v>
      </c>
      <c r="AN413" s="473">
        <v>0</v>
      </c>
      <c r="AO413" s="473">
        <v>0</v>
      </c>
      <c r="AP413" s="473">
        <v>0</v>
      </c>
      <c r="AQ413" s="473">
        <v>1730</v>
      </c>
      <c r="AR413" s="473">
        <v>7072</v>
      </c>
      <c r="AS413" s="473">
        <v>0</v>
      </c>
      <c r="AT413" s="473">
        <v>0</v>
      </c>
      <c r="AU413" s="473">
        <v>1286</v>
      </c>
      <c r="AV413" s="473">
        <v>33319</v>
      </c>
      <c r="AW413" s="474">
        <v>32033</v>
      </c>
      <c r="AX413" s="473">
        <v>0</v>
      </c>
      <c r="AY413" s="473">
        <v>0</v>
      </c>
      <c r="AZ413" s="475">
        <v>0</v>
      </c>
      <c r="BA413" s="475">
        <v>200</v>
      </c>
      <c r="BB413" s="475">
        <v>1730</v>
      </c>
      <c r="BC413" s="475">
        <v>0</v>
      </c>
      <c r="BD413" s="475">
        <v>0</v>
      </c>
      <c r="BE413" s="475">
        <v>0</v>
      </c>
      <c r="BF413" s="475">
        <v>0</v>
      </c>
      <c r="BG413" s="475">
        <v>1930</v>
      </c>
      <c r="BH413" s="476">
        <v>31389</v>
      </c>
      <c r="BI413" s="467"/>
      <c r="BJ413" s="468"/>
    </row>
    <row r="414" spans="1:62">
      <c r="A414" s="469">
        <v>45870</v>
      </c>
      <c r="B414" s="469" t="s">
        <v>747</v>
      </c>
      <c r="C414" s="508" t="s">
        <v>748</v>
      </c>
      <c r="D414" s="470" t="s">
        <v>749</v>
      </c>
      <c r="E414" s="471">
        <v>2190</v>
      </c>
      <c r="F414" s="470" t="s">
        <v>1294</v>
      </c>
      <c r="G414" s="470" t="s">
        <v>751</v>
      </c>
      <c r="H414" s="470" t="s">
        <v>12</v>
      </c>
      <c r="I414" s="470" t="s">
        <v>1295</v>
      </c>
      <c r="J414" s="472" t="s">
        <v>1296</v>
      </c>
      <c r="K414" s="470" t="s">
        <v>1297</v>
      </c>
      <c r="L414" s="470" t="s">
        <v>1298</v>
      </c>
      <c r="M414" s="470" t="s">
        <v>1298</v>
      </c>
      <c r="N414" s="470" t="s">
        <v>1075</v>
      </c>
      <c r="O414" s="472" t="s">
        <v>757</v>
      </c>
      <c r="P414" s="472" t="s">
        <v>738</v>
      </c>
      <c r="Q414" s="472" t="s">
        <v>758</v>
      </c>
      <c r="R414" s="472" t="s">
        <v>12</v>
      </c>
      <c r="S414" s="472" t="s">
        <v>12</v>
      </c>
      <c r="T414" s="472" t="s">
        <v>1299</v>
      </c>
      <c r="U414" s="470" t="s">
        <v>1300</v>
      </c>
      <c r="V414" s="470" t="s">
        <v>761</v>
      </c>
      <c r="W414" s="470" t="s">
        <v>1301</v>
      </c>
      <c r="X414" s="470">
        <v>31</v>
      </c>
      <c r="Y414" s="470">
        <v>0</v>
      </c>
      <c r="Z414" s="470">
        <v>0</v>
      </c>
      <c r="AA414" s="470">
        <v>14</v>
      </c>
      <c r="AB414" s="470">
        <v>14</v>
      </c>
      <c r="AC414" s="473">
        <v>24438</v>
      </c>
      <c r="AD414" s="473">
        <v>24438</v>
      </c>
      <c r="AE414" s="473">
        <v>4967</v>
      </c>
      <c r="AF414" s="473">
        <v>1987</v>
      </c>
      <c r="AG414" s="473">
        <v>723</v>
      </c>
      <c r="AH414" s="473">
        <v>200</v>
      </c>
      <c r="AI414" s="473">
        <v>565</v>
      </c>
      <c r="AJ414" s="473">
        <v>0</v>
      </c>
      <c r="AK414" s="473">
        <v>0</v>
      </c>
      <c r="AL414" s="473">
        <v>0</v>
      </c>
      <c r="AM414" s="473">
        <v>0</v>
      </c>
      <c r="AN414" s="473">
        <v>0</v>
      </c>
      <c r="AO414" s="473">
        <v>0</v>
      </c>
      <c r="AP414" s="473">
        <v>0</v>
      </c>
      <c r="AQ414" s="473">
        <v>596</v>
      </c>
      <c r="AR414" s="473">
        <v>1999</v>
      </c>
      <c r="AS414" s="473">
        <v>0</v>
      </c>
      <c r="AT414" s="473">
        <v>0</v>
      </c>
      <c r="AU414" s="473">
        <v>0</v>
      </c>
      <c r="AV414" s="473">
        <v>11037</v>
      </c>
      <c r="AW414" s="474">
        <v>11037</v>
      </c>
      <c r="AX414" s="473">
        <v>0</v>
      </c>
      <c r="AY414" s="473">
        <v>0</v>
      </c>
      <c r="AZ414" s="475">
        <v>0</v>
      </c>
      <c r="BA414" s="475">
        <v>200</v>
      </c>
      <c r="BB414" s="475">
        <v>596</v>
      </c>
      <c r="BC414" s="475">
        <v>0</v>
      </c>
      <c r="BD414" s="475">
        <v>0</v>
      </c>
      <c r="BE414" s="475">
        <v>0</v>
      </c>
      <c r="BF414" s="475">
        <v>0</v>
      </c>
      <c r="BG414" s="475">
        <v>796</v>
      </c>
      <c r="BH414" s="476">
        <v>10241</v>
      </c>
      <c r="BI414" s="467"/>
      <c r="BJ414" s="468"/>
    </row>
    <row r="415" spans="1:62">
      <c r="A415" s="469">
        <v>45870</v>
      </c>
      <c r="B415" s="469" t="s">
        <v>747</v>
      </c>
      <c r="C415" s="508" t="s">
        <v>748</v>
      </c>
      <c r="D415" s="470" t="s">
        <v>749</v>
      </c>
      <c r="E415" s="471">
        <v>1480</v>
      </c>
      <c r="F415" s="470" t="s">
        <v>1078</v>
      </c>
      <c r="G415" s="470" t="s">
        <v>751</v>
      </c>
      <c r="H415" s="470" t="s">
        <v>12</v>
      </c>
      <c r="I415" s="470" t="s">
        <v>1079</v>
      </c>
      <c r="J415" s="472" t="s">
        <v>1080</v>
      </c>
      <c r="K415" s="470" t="s">
        <v>1081</v>
      </c>
      <c r="L415" s="470" t="s">
        <v>767</v>
      </c>
      <c r="M415" s="470" t="s">
        <v>767</v>
      </c>
      <c r="N415" s="470" t="s">
        <v>756</v>
      </c>
      <c r="O415" s="472" t="s">
        <v>757</v>
      </c>
      <c r="P415" s="472" t="s">
        <v>738</v>
      </c>
      <c r="Q415" s="472" t="s">
        <v>758</v>
      </c>
      <c r="R415" s="472" t="s">
        <v>12</v>
      </c>
      <c r="S415" s="472" t="s">
        <v>12</v>
      </c>
      <c r="T415" s="472" t="s">
        <v>1082</v>
      </c>
      <c r="U415" s="470" t="s">
        <v>1083</v>
      </c>
      <c r="V415" s="470" t="s">
        <v>761</v>
      </c>
      <c r="W415" s="470" t="s">
        <v>1084</v>
      </c>
      <c r="X415" s="470">
        <v>31</v>
      </c>
      <c r="Y415" s="470">
        <v>0</v>
      </c>
      <c r="Z415" s="470">
        <v>0</v>
      </c>
      <c r="AA415" s="470">
        <v>31</v>
      </c>
      <c r="AB415" s="470">
        <v>31</v>
      </c>
      <c r="AC415" s="473">
        <v>72817</v>
      </c>
      <c r="AD415" s="473">
        <v>72817</v>
      </c>
      <c r="AE415" s="473">
        <v>32768</v>
      </c>
      <c r="AF415" s="473">
        <v>13107</v>
      </c>
      <c r="AG415" s="473">
        <v>1600</v>
      </c>
      <c r="AH415" s="473">
        <v>200</v>
      </c>
      <c r="AI415" s="473">
        <v>1250</v>
      </c>
      <c r="AJ415" s="473">
        <v>2730</v>
      </c>
      <c r="AK415" s="473">
        <v>6554</v>
      </c>
      <c r="AL415" s="473">
        <v>4915</v>
      </c>
      <c r="AM415" s="473">
        <v>328</v>
      </c>
      <c r="AN415" s="473">
        <v>1147</v>
      </c>
      <c r="AO415" s="473">
        <v>655</v>
      </c>
      <c r="AP415" s="473">
        <v>164</v>
      </c>
      <c r="AQ415" s="473">
        <v>1800</v>
      </c>
      <c r="AR415" s="473">
        <v>5599</v>
      </c>
      <c r="AS415" s="473">
        <v>0</v>
      </c>
      <c r="AT415" s="473">
        <v>0</v>
      </c>
      <c r="AU415" s="473">
        <v>0</v>
      </c>
      <c r="AV415" s="473">
        <v>72817</v>
      </c>
      <c r="AW415" s="474">
        <v>72817</v>
      </c>
      <c r="AX415" s="473">
        <v>0</v>
      </c>
      <c r="AY415" s="473">
        <v>0</v>
      </c>
      <c r="AZ415" s="475">
        <v>0</v>
      </c>
      <c r="BA415" s="475">
        <v>200</v>
      </c>
      <c r="BB415" s="475">
        <v>1800</v>
      </c>
      <c r="BC415" s="475">
        <v>0</v>
      </c>
      <c r="BD415" s="475">
        <v>0</v>
      </c>
      <c r="BE415" s="475">
        <v>0</v>
      </c>
      <c r="BF415" s="475">
        <v>0</v>
      </c>
      <c r="BG415" s="475">
        <v>2000</v>
      </c>
      <c r="BH415" s="476">
        <v>70817</v>
      </c>
      <c r="BI415" s="467"/>
      <c r="BJ415" s="468"/>
    </row>
    <row r="416" spans="1:62">
      <c r="A416" s="469">
        <v>45870</v>
      </c>
      <c r="B416" s="469" t="s">
        <v>747</v>
      </c>
      <c r="C416" s="508" t="s">
        <v>748</v>
      </c>
      <c r="D416" s="470" t="s">
        <v>749</v>
      </c>
      <c r="E416" s="471">
        <v>405</v>
      </c>
      <c r="F416" s="470" t="s">
        <v>1085</v>
      </c>
      <c r="G416" s="470" t="s">
        <v>751</v>
      </c>
      <c r="H416" s="470" t="s">
        <v>12</v>
      </c>
      <c r="I416" s="470" t="s">
        <v>954</v>
      </c>
      <c r="J416" s="472" t="s">
        <v>1086</v>
      </c>
      <c r="K416" s="470" t="s">
        <v>1087</v>
      </c>
      <c r="L416" s="470" t="s">
        <v>832</v>
      </c>
      <c r="M416" s="470" t="s">
        <v>832</v>
      </c>
      <c r="N416" s="470" t="s">
        <v>833</v>
      </c>
      <c r="O416" s="472" t="s">
        <v>757</v>
      </c>
      <c r="P416" s="472" t="s">
        <v>738</v>
      </c>
      <c r="Q416" s="472" t="s">
        <v>758</v>
      </c>
      <c r="R416" s="472" t="s">
        <v>12</v>
      </c>
      <c r="S416" s="472" t="s">
        <v>12</v>
      </c>
      <c r="T416" s="472" t="s">
        <v>1088</v>
      </c>
      <c r="U416" s="470" t="s">
        <v>1089</v>
      </c>
      <c r="V416" s="470" t="s">
        <v>761</v>
      </c>
      <c r="W416" s="470" t="s">
        <v>762</v>
      </c>
      <c r="X416" s="470">
        <v>31</v>
      </c>
      <c r="Y416" s="470">
        <v>0</v>
      </c>
      <c r="Z416" s="470">
        <v>0</v>
      </c>
      <c r="AA416" s="470">
        <v>31</v>
      </c>
      <c r="AB416" s="470">
        <v>31</v>
      </c>
      <c r="AC416" s="473">
        <v>33167</v>
      </c>
      <c r="AD416" s="473">
        <v>33167</v>
      </c>
      <c r="AE416" s="473">
        <v>14925</v>
      </c>
      <c r="AF416" s="473">
        <v>5970</v>
      </c>
      <c r="AG416" s="473">
        <v>1600</v>
      </c>
      <c r="AH416" s="473">
        <v>200</v>
      </c>
      <c r="AI416" s="473">
        <v>1250</v>
      </c>
      <c r="AJ416" s="473">
        <v>0</v>
      </c>
      <c r="AK416" s="473">
        <v>0</v>
      </c>
      <c r="AL416" s="473">
        <v>0</v>
      </c>
      <c r="AM416" s="473">
        <v>0</v>
      </c>
      <c r="AN416" s="473">
        <v>0</v>
      </c>
      <c r="AO416" s="473">
        <v>0</v>
      </c>
      <c r="AP416" s="473">
        <v>0</v>
      </c>
      <c r="AQ416" s="473">
        <v>1791</v>
      </c>
      <c r="AR416" s="473">
        <v>7431</v>
      </c>
      <c r="AS416" s="473">
        <v>0</v>
      </c>
      <c r="AT416" s="473">
        <v>0</v>
      </c>
      <c r="AU416" s="473">
        <v>5515</v>
      </c>
      <c r="AV416" s="473">
        <v>38682</v>
      </c>
      <c r="AW416" s="474">
        <v>33167</v>
      </c>
      <c r="AX416" s="473">
        <v>0</v>
      </c>
      <c r="AY416" s="473">
        <v>0</v>
      </c>
      <c r="AZ416" s="475">
        <v>0</v>
      </c>
      <c r="BA416" s="475">
        <v>200</v>
      </c>
      <c r="BB416" s="475">
        <v>1791</v>
      </c>
      <c r="BC416" s="475">
        <v>0</v>
      </c>
      <c r="BD416" s="475">
        <v>0</v>
      </c>
      <c r="BE416" s="475">
        <v>0</v>
      </c>
      <c r="BF416" s="475">
        <v>0</v>
      </c>
      <c r="BG416" s="475">
        <v>1991</v>
      </c>
      <c r="BH416" s="476">
        <v>36691</v>
      </c>
      <c r="BI416" s="467"/>
      <c r="BJ416" s="468"/>
    </row>
    <row r="417" spans="1:62">
      <c r="A417" s="469">
        <v>45870</v>
      </c>
      <c r="B417" s="469" t="s">
        <v>747</v>
      </c>
      <c r="C417" s="508" t="s">
        <v>748</v>
      </c>
      <c r="D417" s="470" t="s">
        <v>749</v>
      </c>
      <c r="E417" s="471">
        <v>1916</v>
      </c>
      <c r="F417" s="470" t="s">
        <v>1090</v>
      </c>
      <c r="G417" s="470" t="s">
        <v>751</v>
      </c>
      <c r="H417" s="470" t="s">
        <v>12</v>
      </c>
      <c r="I417" s="470" t="s">
        <v>853</v>
      </c>
      <c r="J417" s="472" t="s">
        <v>1091</v>
      </c>
      <c r="K417" s="470" t="s">
        <v>1092</v>
      </c>
      <c r="L417" s="470" t="s">
        <v>776</v>
      </c>
      <c r="M417" s="470" t="s">
        <v>776</v>
      </c>
      <c r="N417" s="470" t="s">
        <v>777</v>
      </c>
      <c r="O417" s="472" t="s">
        <v>757</v>
      </c>
      <c r="P417" s="472" t="s">
        <v>738</v>
      </c>
      <c r="Q417" s="472" t="s">
        <v>758</v>
      </c>
      <c r="R417" s="472" t="s">
        <v>12</v>
      </c>
      <c r="S417" s="472" t="s">
        <v>12</v>
      </c>
      <c r="T417" s="472" t="s">
        <v>1093</v>
      </c>
      <c r="U417" s="470" t="s">
        <v>1094</v>
      </c>
      <c r="V417" s="470" t="s">
        <v>761</v>
      </c>
      <c r="W417" s="470" t="s">
        <v>1095</v>
      </c>
      <c r="X417" s="470">
        <v>31</v>
      </c>
      <c r="Y417" s="470">
        <v>0</v>
      </c>
      <c r="Z417" s="470">
        <v>0</v>
      </c>
      <c r="AA417" s="470">
        <v>31</v>
      </c>
      <c r="AB417" s="470">
        <v>31</v>
      </c>
      <c r="AC417" s="473">
        <v>94033</v>
      </c>
      <c r="AD417" s="473">
        <v>94033</v>
      </c>
      <c r="AE417" s="473">
        <v>42315</v>
      </c>
      <c r="AF417" s="473">
        <v>16926</v>
      </c>
      <c r="AG417" s="473">
        <v>1600</v>
      </c>
      <c r="AH417" s="473">
        <v>200</v>
      </c>
      <c r="AI417" s="473">
        <v>1250</v>
      </c>
      <c r="AJ417" s="473">
        <v>3525</v>
      </c>
      <c r="AK417" s="473">
        <v>8463</v>
      </c>
      <c r="AL417" s="473">
        <v>6347</v>
      </c>
      <c r="AM417" s="473">
        <v>423</v>
      </c>
      <c r="AN417" s="473">
        <v>1481</v>
      </c>
      <c r="AO417" s="473">
        <v>846</v>
      </c>
      <c r="AP417" s="473">
        <v>212</v>
      </c>
      <c r="AQ417" s="473">
        <v>1800</v>
      </c>
      <c r="AR417" s="473">
        <v>8645</v>
      </c>
      <c r="AS417" s="473">
        <v>0</v>
      </c>
      <c r="AT417" s="473">
        <v>0</v>
      </c>
      <c r="AU417" s="473">
        <v>182</v>
      </c>
      <c r="AV417" s="473">
        <v>94215</v>
      </c>
      <c r="AW417" s="474">
        <v>94033</v>
      </c>
      <c r="AX417" s="473">
        <v>0</v>
      </c>
      <c r="AY417" s="473">
        <v>0</v>
      </c>
      <c r="AZ417" s="475">
        <v>0</v>
      </c>
      <c r="BA417" s="475">
        <v>200</v>
      </c>
      <c r="BB417" s="475">
        <v>1800</v>
      </c>
      <c r="BC417" s="475">
        <v>0</v>
      </c>
      <c r="BD417" s="475">
        <v>0</v>
      </c>
      <c r="BE417" s="475">
        <v>0</v>
      </c>
      <c r="BF417" s="475">
        <v>0</v>
      </c>
      <c r="BG417" s="475">
        <v>2000</v>
      </c>
      <c r="BH417" s="476">
        <v>92215</v>
      </c>
      <c r="BI417" s="467"/>
      <c r="BJ417" s="468"/>
    </row>
    <row r="418" spans="1:62">
      <c r="A418" s="469">
        <v>45870</v>
      </c>
      <c r="B418" s="469" t="s">
        <v>747</v>
      </c>
      <c r="C418" s="508" t="s">
        <v>748</v>
      </c>
      <c r="D418" s="470" t="s">
        <v>749</v>
      </c>
      <c r="E418" s="471">
        <v>1093</v>
      </c>
      <c r="F418" s="470" t="s">
        <v>1096</v>
      </c>
      <c r="G418" s="470" t="s">
        <v>751</v>
      </c>
      <c r="H418" s="470" t="s">
        <v>12</v>
      </c>
      <c r="I418" s="470" t="s">
        <v>976</v>
      </c>
      <c r="J418" s="472" t="s">
        <v>1097</v>
      </c>
      <c r="K418" s="470" t="s">
        <v>1098</v>
      </c>
      <c r="L418" s="470" t="s">
        <v>816</v>
      </c>
      <c r="M418" s="470" t="s">
        <v>817</v>
      </c>
      <c r="N418" s="470" t="s">
        <v>777</v>
      </c>
      <c r="O418" s="472" t="s">
        <v>792</v>
      </c>
      <c r="P418" s="472" t="s">
        <v>738</v>
      </c>
      <c r="Q418" s="472" t="s">
        <v>758</v>
      </c>
      <c r="R418" s="472" t="s">
        <v>12</v>
      </c>
      <c r="S418" s="472" t="s">
        <v>12</v>
      </c>
      <c r="T418" s="472" t="s">
        <v>1099</v>
      </c>
      <c r="U418" s="470" t="s">
        <v>1100</v>
      </c>
      <c r="V418" s="470" t="s">
        <v>761</v>
      </c>
      <c r="W418" s="470" t="s">
        <v>1101</v>
      </c>
      <c r="X418" s="470">
        <v>31</v>
      </c>
      <c r="Y418" s="470">
        <v>0</v>
      </c>
      <c r="Z418" s="470">
        <v>0</v>
      </c>
      <c r="AA418" s="470">
        <v>31</v>
      </c>
      <c r="AB418" s="470">
        <v>31</v>
      </c>
      <c r="AC418" s="473">
        <v>96667</v>
      </c>
      <c r="AD418" s="473">
        <v>96667</v>
      </c>
      <c r="AE418" s="473">
        <v>43500</v>
      </c>
      <c r="AF418" s="473">
        <v>17400</v>
      </c>
      <c r="AG418" s="473">
        <v>1600</v>
      </c>
      <c r="AH418" s="473">
        <v>200</v>
      </c>
      <c r="AI418" s="473">
        <v>1250</v>
      </c>
      <c r="AJ418" s="473">
        <v>3624</v>
      </c>
      <c r="AK418" s="473">
        <v>8700</v>
      </c>
      <c r="AL418" s="473">
        <v>6525</v>
      </c>
      <c r="AM418" s="473">
        <v>435</v>
      </c>
      <c r="AN418" s="473">
        <v>1523</v>
      </c>
      <c r="AO418" s="473">
        <v>870</v>
      </c>
      <c r="AP418" s="473">
        <v>218</v>
      </c>
      <c r="AQ418" s="473">
        <v>1800</v>
      </c>
      <c r="AR418" s="473">
        <v>9022</v>
      </c>
      <c r="AS418" s="473">
        <v>0</v>
      </c>
      <c r="AT418" s="473">
        <v>0</v>
      </c>
      <c r="AU418" s="473">
        <v>7449</v>
      </c>
      <c r="AV418" s="473">
        <v>104116</v>
      </c>
      <c r="AW418" s="474">
        <v>96667</v>
      </c>
      <c r="AX418" s="473">
        <v>0</v>
      </c>
      <c r="AY418" s="473">
        <v>0</v>
      </c>
      <c r="AZ418" s="475">
        <v>0</v>
      </c>
      <c r="BA418" s="475">
        <v>200</v>
      </c>
      <c r="BB418" s="475">
        <v>1800</v>
      </c>
      <c r="BC418" s="475">
        <v>0</v>
      </c>
      <c r="BD418" s="475">
        <v>0</v>
      </c>
      <c r="BE418" s="475">
        <v>0</v>
      </c>
      <c r="BF418" s="475">
        <v>0</v>
      </c>
      <c r="BG418" s="475">
        <v>2000</v>
      </c>
      <c r="BH418" s="476">
        <v>102116</v>
      </c>
      <c r="BI418" s="467"/>
      <c r="BJ418" s="468"/>
    </row>
    <row r="419" spans="1:62">
      <c r="A419" s="469">
        <v>45870</v>
      </c>
      <c r="B419" s="469" t="s">
        <v>747</v>
      </c>
      <c r="C419" s="508" t="s">
        <v>748</v>
      </c>
      <c r="D419" s="470" t="s">
        <v>749</v>
      </c>
      <c r="E419" s="471">
        <v>2043</v>
      </c>
      <c r="F419" s="470" t="s">
        <v>1102</v>
      </c>
      <c r="G419" s="470" t="s">
        <v>751</v>
      </c>
      <c r="H419" s="470" t="s">
        <v>12</v>
      </c>
      <c r="I419" s="470" t="s">
        <v>1103</v>
      </c>
      <c r="J419" s="472" t="s">
        <v>1104</v>
      </c>
      <c r="K419" s="470" t="s">
        <v>1105</v>
      </c>
      <c r="L419" s="470" t="s">
        <v>1106</v>
      </c>
      <c r="M419" s="470" t="s">
        <v>1107</v>
      </c>
      <c r="N419" s="470" t="s">
        <v>1108</v>
      </c>
      <c r="O419" s="472" t="s">
        <v>757</v>
      </c>
      <c r="P419" s="472" t="s">
        <v>738</v>
      </c>
      <c r="Q419" s="472" t="s">
        <v>758</v>
      </c>
      <c r="R419" s="472" t="s">
        <v>12</v>
      </c>
      <c r="S419" s="472" t="s">
        <v>12</v>
      </c>
      <c r="T419" s="472" t="s">
        <v>1109</v>
      </c>
      <c r="U419" s="470" t="s">
        <v>1110</v>
      </c>
      <c r="V419" s="470" t="s">
        <v>761</v>
      </c>
      <c r="W419" s="470" t="s">
        <v>1111</v>
      </c>
      <c r="X419" s="470">
        <v>31</v>
      </c>
      <c r="Y419" s="470">
        <v>0</v>
      </c>
      <c r="Z419" s="470">
        <v>0</v>
      </c>
      <c r="AA419" s="470">
        <v>31</v>
      </c>
      <c r="AB419" s="470">
        <v>31</v>
      </c>
      <c r="AC419" s="473">
        <v>75000</v>
      </c>
      <c r="AD419" s="473">
        <v>75000</v>
      </c>
      <c r="AE419" s="473">
        <v>33750</v>
      </c>
      <c r="AF419" s="473">
        <v>13500</v>
      </c>
      <c r="AG419" s="473">
        <v>1600</v>
      </c>
      <c r="AH419" s="473">
        <v>200</v>
      </c>
      <c r="AI419" s="473">
        <v>1250</v>
      </c>
      <c r="AJ419" s="473">
        <v>2811</v>
      </c>
      <c r="AK419" s="473">
        <v>6750</v>
      </c>
      <c r="AL419" s="473">
        <v>5063</v>
      </c>
      <c r="AM419" s="473">
        <v>338</v>
      </c>
      <c r="AN419" s="473">
        <v>1181</v>
      </c>
      <c r="AO419" s="473">
        <v>675</v>
      </c>
      <c r="AP419" s="473">
        <v>169</v>
      </c>
      <c r="AQ419" s="473">
        <v>1800</v>
      </c>
      <c r="AR419" s="473">
        <v>5913</v>
      </c>
      <c r="AS419" s="473">
        <v>0</v>
      </c>
      <c r="AT419" s="473">
        <v>0</v>
      </c>
      <c r="AU419" s="473">
        <v>0</v>
      </c>
      <c r="AV419" s="473">
        <v>75000</v>
      </c>
      <c r="AW419" s="474">
        <v>75000</v>
      </c>
      <c r="AX419" s="473">
        <v>0</v>
      </c>
      <c r="AY419" s="473">
        <v>0</v>
      </c>
      <c r="AZ419" s="475">
        <v>0</v>
      </c>
      <c r="BA419" s="475">
        <v>200</v>
      </c>
      <c r="BB419" s="475">
        <v>1800</v>
      </c>
      <c r="BC419" s="475">
        <v>0</v>
      </c>
      <c r="BD419" s="475">
        <v>0</v>
      </c>
      <c r="BE419" s="475">
        <v>0</v>
      </c>
      <c r="BF419" s="475">
        <v>0</v>
      </c>
      <c r="BG419" s="475">
        <v>2000</v>
      </c>
      <c r="BH419" s="476">
        <v>73000</v>
      </c>
      <c r="BI419" s="467"/>
      <c r="BJ419" s="468"/>
    </row>
    <row r="420" spans="1:62">
      <c r="A420" s="469">
        <v>45870</v>
      </c>
      <c r="B420" s="469" t="s">
        <v>747</v>
      </c>
      <c r="C420" s="508" t="s">
        <v>748</v>
      </c>
      <c r="D420" s="470" t="s">
        <v>749</v>
      </c>
      <c r="E420" s="471">
        <v>2156</v>
      </c>
      <c r="F420" s="470" t="s">
        <v>1302</v>
      </c>
      <c r="G420" s="470" t="s">
        <v>751</v>
      </c>
      <c r="H420" s="470" t="s">
        <v>12</v>
      </c>
      <c r="I420" s="470" t="s">
        <v>1286</v>
      </c>
      <c r="J420" s="472" t="s">
        <v>1303</v>
      </c>
      <c r="K420" s="470" t="s">
        <v>1304</v>
      </c>
      <c r="L420" s="470" t="s">
        <v>1305</v>
      </c>
      <c r="M420" s="470" t="s">
        <v>1305</v>
      </c>
      <c r="N420" s="470" t="s">
        <v>756</v>
      </c>
      <c r="O420" s="472" t="s">
        <v>792</v>
      </c>
      <c r="P420" s="472" t="s">
        <v>738</v>
      </c>
      <c r="Q420" s="472" t="s">
        <v>758</v>
      </c>
      <c r="R420" s="472" t="s">
        <v>12</v>
      </c>
      <c r="S420" s="472" t="s">
        <v>12</v>
      </c>
      <c r="T420" s="472" t="s">
        <v>1306</v>
      </c>
      <c r="U420" s="470" t="s">
        <v>1307</v>
      </c>
      <c r="V420" s="470" t="s">
        <v>761</v>
      </c>
      <c r="W420" s="470" t="s">
        <v>898</v>
      </c>
      <c r="X420" s="470">
        <v>31</v>
      </c>
      <c r="Y420" s="470">
        <v>0</v>
      </c>
      <c r="Z420" s="470">
        <v>2</v>
      </c>
      <c r="AA420" s="470">
        <v>29</v>
      </c>
      <c r="AB420" s="470">
        <v>29</v>
      </c>
      <c r="AC420" s="473">
        <v>67200</v>
      </c>
      <c r="AD420" s="473">
        <v>67200</v>
      </c>
      <c r="AE420" s="473">
        <v>28289</v>
      </c>
      <c r="AF420" s="473">
        <v>11316</v>
      </c>
      <c r="AG420" s="473">
        <v>1497</v>
      </c>
      <c r="AH420" s="473">
        <v>187</v>
      </c>
      <c r="AI420" s="473">
        <v>1169</v>
      </c>
      <c r="AJ420" s="473">
        <v>2356</v>
      </c>
      <c r="AK420" s="473">
        <v>5658</v>
      </c>
      <c r="AL420" s="473">
        <v>4243</v>
      </c>
      <c r="AM420" s="473">
        <v>283</v>
      </c>
      <c r="AN420" s="473">
        <v>990</v>
      </c>
      <c r="AO420" s="473">
        <v>566</v>
      </c>
      <c r="AP420" s="473">
        <v>141</v>
      </c>
      <c r="AQ420" s="473">
        <v>1800</v>
      </c>
      <c r="AR420" s="473">
        <v>4370</v>
      </c>
      <c r="AS420" s="473">
        <v>0</v>
      </c>
      <c r="AT420" s="473">
        <v>0</v>
      </c>
      <c r="AU420" s="473">
        <v>0</v>
      </c>
      <c r="AV420" s="473">
        <v>62865</v>
      </c>
      <c r="AW420" s="474">
        <v>62865</v>
      </c>
      <c r="AX420" s="473">
        <v>0</v>
      </c>
      <c r="AY420" s="473">
        <v>0</v>
      </c>
      <c r="AZ420" s="475">
        <v>0</v>
      </c>
      <c r="BA420" s="475">
        <v>200</v>
      </c>
      <c r="BB420" s="475">
        <v>1800</v>
      </c>
      <c r="BC420" s="475">
        <v>0</v>
      </c>
      <c r="BD420" s="475">
        <v>0</v>
      </c>
      <c r="BE420" s="475">
        <v>0</v>
      </c>
      <c r="BF420" s="475">
        <v>0</v>
      </c>
      <c r="BG420" s="475">
        <v>2000</v>
      </c>
      <c r="BH420" s="476">
        <v>60865</v>
      </c>
      <c r="BI420" s="467"/>
      <c r="BJ420" s="468"/>
    </row>
    <row r="421" spans="1:62">
      <c r="A421" s="469">
        <v>45870</v>
      </c>
      <c r="B421" s="469" t="s">
        <v>747</v>
      </c>
      <c r="C421" s="508" t="s">
        <v>748</v>
      </c>
      <c r="D421" s="470" t="s">
        <v>749</v>
      </c>
      <c r="E421" s="471">
        <v>413</v>
      </c>
      <c r="F421" s="470" t="s">
        <v>1112</v>
      </c>
      <c r="G421" s="470" t="s">
        <v>751</v>
      </c>
      <c r="H421" s="470" t="s">
        <v>12</v>
      </c>
      <c r="I421" s="470" t="s">
        <v>1113</v>
      </c>
      <c r="J421" s="472" t="s">
        <v>1114</v>
      </c>
      <c r="K421" s="470" t="s">
        <v>1115</v>
      </c>
      <c r="L421" s="470" t="s">
        <v>856</v>
      </c>
      <c r="M421" s="470" t="s">
        <v>856</v>
      </c>
      <c r="N421" s="470" t="s">
        <v>756</v>
      </c>
      <c r="O421" s="472" t="s">
        <v>757</v>
      </c>
      <c r="P421" s="472" t="s">
        <v>738</v>
      </c>
      <c r="Q421" s="472" t="s">
        <v>758</v>
      </c>
      <c r="R421" s="472" t="s">
        <v>12</v>
      </c>
      <c r="S421" s="472" t="s">
        <v>12</v>
      </c>
      <c r="T421" s="472" t="s">
        <v>1117</v>
      </c>
      <c r="U421" s="470" t="s">
        <v>1118</v>
      </c>
      <c r="V421" s="470" t="s">
        <v>761</v>
      </c>
      <c r="W421" s="470" t="s">
        <v>762</v>
      </c>
      <c r="X421" s="470">
        <v>31</v>
      </c>
      <c r="Y421" s="470">
        <v>0</v>
      </c>
      <c r="Z421" s="470">
        <v>0</v>
      </c>
      <c r="AA421" s="470">
        <v>31</v>
      </c>
      <c r="AB421" s="470">
        <v>31</v>
      </c>
      <c r="AC421" s="473">
        <v>52975</v>
      </c>
      <c r="AD421" s="473">
        <v>52975</v>
      </c>
      <c r="AE421" s="473">
        <v>23839</v>
      </c>
      <c r="AF421" s="473">
        <v>9536</v>
      </c>
      <c r="AG421" s="473">
        <v>1600</v>
      </c>
      <c r="AH421" s="473">
        <v>200</v>
      </c>
      <c r="AI421" s="473">
        <v>1250</v>
      </c>
      <c r="AJ421" s="473">
        <v>1986</v>
      </c>
      <c r="AK421" s="473">
        <v>4768</v>
      </c>
      <c r="AL421" s="473">
        <v>3576</v>
      </c>
      <c r="AM421" s="473">
        <v>238</v>
      </c>
      <c r="AN421" s="473">
        <v>834</v>
      </c>
      <c r="AO421" s="473">
        <v>477</v>
      </c>
      <c r="AP421" s="473">
        <v>119</v>
      </c>
      <c r="AQ421" s="473">
        <v>1800</v>
      </c>
      <c r="AR421" s="473">
        <v>2752</v>
      </c>
      <c r="AS421" s="473">
        <v>0</v>
      </c>
      <c r="AT421" s="473">
        <v>1400</v>
      </c>
      <c r="AU421" s="473">
        <v>0</v>
      </c>
      <c r="AV421" s="473">
        <v>54375</v>
      </c>
      <c r="AW421" s="474">
        <v>54375</v>
      </c>
      <c r="AX421" s="473">
        <v>0</v>
      </c>
      <c r="AY421" s="473">
        <v>0</v>
      </c>
      <c r="AZ421" s="475">
        <v>0</v>
      </c>
      <c r="BA421" s="475">
        <v>200</v>
      </c>
      <c r="BB421" s="475">
        <v>1800</v>
      </c>
      <c r="BC421" s="475">
        <v>0</v>
      </c>
      <c r="BD421" s="475">
        <v>0</v>
      </c>
      <c r="BE421" s="475">
        <v>0</v>
      </c>
      <c r="BF421" s="475">
        <v>0</v>
      </c>
      <c r="BG421" s="475">
        <v>2000</v>
      </c>
      <c r="BH421" s="476">
        <v>52375</v>
      </c>
      <c r="BI421" s="467"/>
      <c r="BJ421" s="468"/>
    </row>
    <row r="422" spans="1:62">
      <c r="A422" s="469">
        <v>45870</v>
      </c>
      <c r="B422" s="469" t="s">
        <v>747</v>
      </c>
      <c r="C422" s="508" t="s">
        <v>748</v>
      </c>
      <c r="D422" s="470" t="s">
        <v>749</v>
      </c>
      <c r="E422" s="471">
        <v>1389</v>
      </c>
      <c r="F422" s="470" t="s">
        <v>1119</v>
      </c>
      <c r="G422" s="470" t="s">
        <v>751</v>
      </c>
      <c r="H422" s="470" t="s">
        <v>12</v>
      </c>
      <c r="I422" s="470" t="s">
        <v>1120</v>
      </c>
      <c r="J422" s="472" t="s">
        <v>1121</v>
      </c>
      <c r="K422" s="470" t="s">
        <v>1122</v>
      </c>
      <c r="L422" s="470" t="s">
        <v>1123</v>
      </c>
      <c r="M422" s="470" t="s">
        <v>1124</v>
      </c>
      <c r="N422" s="470" t="s">
        <v>1108</v>
      </c>
      <c r="O422" s="472" t="s">
        <v>757</v>
      </c>
      <c r="P422" s="472" t="s">
        <v>738</v>
      </c>
      <c r="Q422" s="472" t="s">
        <v>758</v>
      </c>
      <c r="R422" s="472" t="s">
        <v>12</v>
      </c>
      <c r="S422" s="472" t="s">
        <v>12</v>
      </c>
      <c r="T422" s="472" t="s">
        <v>1125</v>
      </c>
      <c r="U422" s="470" t="s">
        <v>1126</v>
      </c>
      <c r="V422" s="470" t="s">
        <v>761</v>
      </c>
      <c r="W422" s="470" t="s">
        <v>762</v>
      </c>
      <c r="X422" s="470">
        <v>31</v>
      </c>
      <c r="Y422" s="470">
        <v>0</v>
      </c>
      <c r="Z422" s="470">
        <v>0</v>
      </c>
      <c r="AA422" s="470">
        <v>31</v>
      </c>
      <c r="AB422" s="470">
        <v>31</v>
      </c>
      <c r="AC422" s="473">
        <v>57473</v>
      </c>
      <c r="AD422" s="473">
        <v>57473</v>
      </c>
      <c r="AE422" s="473">
        <v>25863</v>
      </c>
      <c r="AF422" s="473">
        <v>10345</v>
      </c>
      <c r="AG422" s="473">
        <v>1600</v>
      </c>
      <c r="AH422" s="473">
        <v>200</v>
      </c>
      <c r="AI422" s="473">
        <v>1250</v>
      </c>
      <c r="AJ422" s="473">
        <v>2154</v>
      </c>
      <c r="AK422" s="473">
        <v>5173</v>
      </c>
      <c r="AL422" s="473">
        <v>3879</v>
      </c>
      <c r="AM422" s="473">
        <v>259</v>
      </c>
      <c r="AN422" s="473">
        <v>905</v>
      </c>
      <c r="AO422" s="473">
        <v>517</v>
      </c>
      <c r="AP422" s="473">
        <v>129</v>
      </c>
      <c r="AQ422" s="473">
        <v>1800</v>
      </c>
      <c r="AR422" s="473">
        <v>3399</v>
      </c>
      <c r="AS422" s="473">
        <v>0</v>
      </c>
      <c r="AT422" s="473">
        <v>0</v>
      </c>
      <c r="AU422" s="473">
        <v>0</v>
      </c>
      <c r="AV422" s="473">
        <v>57473</v>
      </c>
      <c r="AW422" s="474">
        <v>57473</v>
      </c>
      <c r="AX422" s="473">
        <v>0</v>
      </c>
      <c r="AY422" s="473">
        <v>0</v>
      </c>
      <c r="AZ422" s="475">
        <v>0</v>
      </c>
      <c r="BA422" s="475">
        <v>200</v>
      </c>
      <c r="BB422" s="475">
        <v>1800</v>
      </c>
      <c r="BC422" s="475">
        <v>0</v>
      </c>
      <c r="BD422" s="475">
        <v>0</v>
      </c>
      <c r="BE422" s="475">
        <v>0</v>
      </c>
      <c r="BF422" s="475">
        <v>0</v>
      </c>
      <c r="BG422" s="475">
        <v>2000</v>
      </c>
      <c r="BH422" s="476">
        <v>55473</v>
      </c>
      <c r="BI422" s="467"/>
      <c r="BJ422" s="468"/>
    </row>
    <row r="423" spans="1:62">
      <c r="A423" s="469">
        <v>45870</v>
      </c>
      <c r="B423" s="469" t="s">
        <v>747</v>
      </c>
      <c r="C423" s="508" t="s">
        <v>748</v>
      </c>
      <c r="D423" s="470" t="s">
        <v>749</v>
      </c>
      <c r="E423" s="471">
        <v>1535</v>
      </c>
      <c r="F423" s="470" t="s">
        <v>1127</v>
      </c>
      <c r="G423" s="470" t="s">
        <v>751</v>
      </c>
      <c r="H423" s="470" t="s">
        <v>12</v>
      </c>
      <c r="I423" s="470" t="s">
        <v>1128</v>
      </c>
      <c r="J423" s="472" t="s">
        <v>1129</v>
      </c>
      <c r="K423" s="470" t="s">
        <v>1130</v>
      </c>
      <c r="L423" s="470" t="s">
        <v>1131</v>
      </c>
      <c r="M423" s="470" t="s">
        <v>1131</v>
      </c>
      <c r="N423" s="470" t="s">
        <v>756</v>
      </c>
      <c r="O423" s="472" t="s">
        <v>792</v>
      </c>
      <c r="P423" s="472" t="s">
        <v>738</v>
      </c>
      <c r="Q423" s="472" t="s">
        <v>758</v>
      </c>
      <c r="R423" s="472" t="s">
        <v>12</v>
      </c>
      <c r="S423" s="472" t="s">
        <v>12</v>
      </c>
      <c r="T423" s="472" t="s">
        <v>1132</v>
      </c>
      <c r="U423" s="470" t="s">
        <v>1133</v>
      </c>
      <c r="V423" s="470" t="s">
        <v>761</v>
      </c>
      <c r="W423" s="470" t="s">
        <v>1134</v>
      </c>
      <c r="X423" s="470">
        <v>31</v>
      </c>
      <c r="Y423" s="470">
        <v>0</v>
      </c>
      <c r="Z423" s="470">
        <v>2.5</v>
      </c>
      <c r="AA423" s="470">
        <v>28.5</v>
      </c>
      <c r="AB423" s="470">
        <v>28.5</v>
      </c>
      <c r="AC423" s="473">
        <v>95900</v>
      </c>
      <c r="AD423" s="473">
        <v>95900</v>
      </c>
      <c r="AE423" s="473">
        <v>39675</v>
      </c>
      <c r="AF423" s="473">
        <v>15870</v>
      </c>
      <c r="AG423" s="473">
        <v>1471</v>
      </c>
      <c r="AH423" s="473">
        <v>184</v>
      </c>
      <c r="AI423" s="473">
        <v>1149</v>
      </c>
      <c r="AJ423" s="473">
        <v>3305</v>
      </c>
      <c r="AK423" s="473">
        <v>7935</v>
      </c>
      <c r="AL423" s="473">
        <v>5951</v>
      </c>
      <c r="AM423" s="473">
        <v>397</v>
      </c>
      <c r="AN423" s="473">
        <v>1389</v>
      </c>
      <c r="AO423" s="473">
        <v>794</v>
      </c>
      <c r="AP423" s="473">
        <v>198</v>
      </c>
      <c r="AQ423" s="473">
        <v>1800</v>
      </c>
      <c r="AR423" s="473">
        <v>8048</v>
      </c>
      <c r="AS423" s="473">
        <v>0</v>
      </c>
      <c r="AT423" s="473">
        <v>0</v>
      </c>
      <c r="AU423" s="473">
        <v>0</v>
      </c>
      <c r="AV423" s="473">
        <v>88166</v>
      </c>
      <c r="AW423" s="474">
        <v>88166</v>
      </c>
      <c r="AX423" s="473">
        <v>0</v>
      </c>
      <c r="AY423" s="473">
        <v>0</v>
      </c>
      <c r="AZ423" s="475">
        <v>0</v>
      </c>
      <c r="BA423" s="475">
        <v>200</v>
      </c>
      <c r="BB423" s="475">
        <v>1800</v>
      </c>
      <c r="BC423" s="475">
        <v>0</v>
      </c>
      <c r="BD423" s="475">
        <v>0</v>
      </c>
      <c r="BE423" s="475">
        <v>0</v>
      </c>
      <c r="BF423" s="475">
        <v>0</v>
      </c>
      <c r="BG423" s="475">
        <v>2000</v>
      </c>
      <c r="BH423" s="476">
        <v>86166</v>
      </c>
      <c r="BI423" s="467"/>
      <c r="BJ423" s="468"/>
    </row>
    <row r="424" spans="1:62">
      <c r="A424" s="469">
        <v>45870</v>
      </c>
      <c r="B424" s="469" t="s">
        <v>747</v>
      </c>
      <c r="C424" s="508" t="s">
        <v>748</v>
      </c>
      <c r="D424" s="470" t="s">
        <v>749</v>
      </c>
      <c r="E424" s="471">
        <v>1409</v>
      </c>
      <c r="F424" s="470" t="s">
        <v>1135</v>
      </c>
      <c r="G424" s="470" t="s">
        <v>751</v>
      </c>
      <c r="H424" s="470" t="s">
        <v>12</v>
      </c>
      <c r="I424" s="470" t="s">
        <v>1136</v>
      </c>
      <c r="J424" s="472" t="s">
        <v>1137</v>
      </c>
      <c r="K424" s="470" t="s">
        <v>1138</v>
      </c>
      <c r="L424" s="470" t="s">
        <v>856</v>
      </c>
      <c r="M424" s="470" t="s">
        <v>856</v>
      </c>
      <c r="N424" s="470" t="s">
        <v>756</v>
      </c>
      <c r="O424" s="472" t="s">
        <v>757</v>
      </c>
      <c r="P424" s="472" t="s">
        <v>738</v>
      </c>
      <c r="Q424" s="472" t="s">
        <v>758</v>
      </c>
      <c r="R424" s="472" t="s">
        <v>12</v>
      </c>
      <c r="S424" s="472" t="s">
        <v>12</v>
      </c>
      <c r="T424" s="472" t="s">
        <v>1139</v>
      </c>
      <c r="U424" s="470" t="s">
        <v>1140</v>
      </c>
      <c r="V424" s="470" t="s">
        <v>761</v>
      </c>
      <c r="W424" s="470" t="s">
        <v>1111</v>
      </c>
      <c r="X424" s="470">
        <v>31</v>
      </c>
      <c r="Y424" s="470">
        <v>0</v>
      </c>
      <c r="Z424" s="470">
        <v>2.5</v>
      </c>
      <c r="AA424" s="470">
        <v>28.5</v>
      </c>
      <c r="AB424" s="470">
        <v>28.5</v>
      </c>
      <c r="AC424" s="473">
        <v>71417</v>
      </c>
      <c r="AD424" s="473">
        <v>71417</v>
      </c>
      <c r="AE424" s="473">
        <v>29546</v>
      </c>
      <c r="AF424" s="473">
        <v>11818</v>
      </c>
      <c r="AG424" s="473">
        <v>1471</v>
      </c>
      <c r="AH424" s="473">
        <v>184</v>
      </c>
      <c r="AI424" s="473">
        <v>1149</v>
      </c>
      <c r="AJ424" s="473">
        <v>2461</v>
      </c>
      <c r="AK424" s="473">
        <v>5909</v>
      </c>
      <c r="AL424" s="473">
        <v>4432</v>
      </c>
      <c r="AM424" s="473">
        <v>295</v>
      </c>
      <c r="AN424" s="473">
        <v>1034</v>
      </c>
      <c r="AO424" s="473">
        <v>591</v>
      </c>
      <c r="AP424" s="473">
        <v>148</v>
      </c>
      <c r="AQ424" s="473">
        <v>1800</v>
      </c>
      <c r="AR424" s="473">
        <v>4820</v>
      </c>
      <c r="AS424" s="473">
        <v>0</v>
      </c>
      <c r="AT424" s="473">
        <v>0</v>
      </c>
      <c r="AU424" s="473">
        <v>0</v>
      </c>
      <c r="AV424" s="473">
        <v>65658</v>
      </c>
      <c r="AW424" s="474">
        <v>65658</v>
      </c>
      <c r="AX424" s="473">
        <v>0</v>
      </c>
      <c r="AY424" s="473">
        <v>0</v>
      </c>
      <c r="AZ424" s="475">
        <v>0</v>
      </c>
      <c r="BA424" s="475">
        <v>200</v>
      </c>
      <c r="BB424" s="475">
        <v>1800</v>
      </c>
      <c r="BC424" s="475">
        <v>0</v>
      </c>
      <c r="BD424" s="475">
        <v>0</v>
      </c>
      <c r="BE424" s="475">
        <v>0</v>
      </c>
      <c r="BF424" s="475">
        <v>0</v>
      </c>
      <c r="BG424" s="475">
        <v>2000</v>
      </c>
      <c r="BH424" s="476">
        <v>63658</v>
      </c>
      <c r="BI424" s="467"/>
      <c r="BJ424" s="468"/>
    </row>
    <row r="425" spans="1:62">
      <c r="A425" s="469">
        <v>45870</v>
      </c>
      <c r="B425" s="469" t="s">
        <v>747</v>
      </c>
      <c r="C425" s="508" t="s">
        <v>748</v>
      </c>
      <c r="D425" s="470" t="s">
        <v>749</v>
      </c>
      <c r="E425" s="471">
        <v>2155</v>
      </c>
      <c r="F425" s="470" t="s">
        <v>1308</v>
      </c>
      <c r="G425" s="470" t="s">
        <v>751</v>
      </c>
      <c r="H425" s="470" t="s">
        <v>12</v>
      </c>
      <c r="I425" s="470" t="s">
        <v>1286</v>
      </c>
      <c r="J425" s="472" t="s">
        <v>1309</v>
      </c>
      <c r="K425" s="470" t="s">
        <v>1310</v>
      </c>
      <c r="L425" s="470" t="s">
        <v>1311</v>
      </c>
      <c r="M425" s="470" t="s">
        <v>1311</v>
      </c>
      <c r="N425" s="470" t="s">
        <v>756</v>
      </c>
      <c r="O425" s="472" t="s">
        <v>757</v>
      </c>
      <c r="P425" s="472" t="s">
        <v>738</v>
      </c>
      <c r="Q425" s="472" t="s">
        <v>758</v>
      </c>
      <c r="R425" s="472" t="s">
        <v>12</v>
      </c>
      <c r="S425" s="472" t="s">
        <v>12</v>
      </c>
      <c r="T425" s="472" t="s">
        <v>1312</v>
      </c>
      <c r="U425" s="470" t="s">
        <v>1313</v>
      </c>
      <c r="V425" s="470" t="s">
        <v>761</v>
      </c>
      <c r="W425" s="470" t="s">
        <v>898</v>
      </c>
      <c r="X425" s="470">
        <v>31</v>
      </c>
      <c r="Y425" s="470">
        <v>0</v>
      </c>
      <c r="Z425" s="470">
        <v>0</v>
      </c>
      <c r="AA425" s="470">
        <v>31</v>
      </c>
      <c r="AB425" s="470">
        <v>31</v>
      </c>
      <c r="AC425" s="473">
        <v>53200</v>
      </c>
      <c r="AD425" s="473">
        <v>53200</v>
      </c>
      <c r="AE425" s="473">
        <v>23940</v>
      </c>
      <c r="AF425" s="473">
        <v>9576</v>
      </c>
      <c r="AG425" s="473">
        <v>1600</v>
      </c>
      <c r="AH425" s="473">
        <v>200</v>
      </c>
      <c r="AI425" s="473">
        <v>1250</v>
      </c>
      <c r="AJ425" s="473">
        <v>1994</v>
      </c>
      <c r="AK425" s="473">
        <v>4788</v>
      </c>
      <c r="AL425" s="473">
        <v>3591</v>
      </c>
      <c r="AM425" s="473">
        <v>239</v>
      </c>
      <c r="AN425" s="473">
        <v>838</v>
      </c>
      <c r="AO425" s="473">
        <v>479</v>
      </c>
      <c r="AP425" s="473">
        <v>120</v>
      </c>
      <c r="AQ425" s="473">
        <v>1800</v>
      </c>
      <c r="AR425" s="473">
        <v>2785</v>
      </c>
      <c r="AS425" s="473">
        <v>0</v>
      </c>
      <c r="AT425" s="473">
        <v>0</v>
      </c>
      <c r="AU425" s="473">
        <v>0</v>
      </c>
      <c r="AV425" s="473">
        <v>53200</v>
      </c>
      <c r="AW425" s="474">
        <v>53200</v>
      </c>
      <c r="AX425" s="473">
        <v>0</v>
      </c>
      <c r="AY425" s="473">
        <v>2487</v>
      </c>
      <c r="AZ425" s="475">
        <v>0</v>
      </c>
      <c r="BA425" s="475">
        <v>200</v>
      </c>
      <c r="BB425" s="475">
        <v>1800</v>
      </c>
      <c r="BC425" s="475">
        <v>0</v>
      </c>
      <c r="BD425" s="475">
        <v>0</v>
      </c>
      <c r="BE425" s="475">
        <v>0</v>
      </c>
      <c r="BF425" s="475">
        <v>0</v>
      </c>
      <c r="BG425" s="475">
        <v>4487</v>
      </c>
      <c r="BH425" s="476">
        <v>48713</v>
      </c>
      <c r="BI425" s="467"/>
      <c r="BJ425" s="468"/>
    </row>
    <row r="426" spans="1:62">
      <c r="A426" s="469">
        <v>45870</v>
      </c>
      <c r="B426" s="469" t="s">
        <v>747</v>
      </c>
      <c r="C426" s="508" t="s">
        <v>748</v>
      </c>
      <c r="D426" s="470" t="s">
        <v>749</v>
      </c>
      <c r="E426" s="471">
        <v>2147</v>
      </c>
      <c r="F426" s="470" t="s">
        <v>1314</v>
      </c>
      <c r="G426" s="470" t="s">
        <v>812</v>
      </c>
      <c r="H426" s="470" t="s">
        <v>12</v>
      </c>
      <c r="I426" s="470" t="s">
        <v>1286</v>
      </c>
      <c r="J426" s="472" t="s">
        <v>1315</v>
      </c>
      <c r="K426" s="470" t="s">
        <v>1316</v>
      </c>
      <c r="L426" s="470" t="s">
        <v>1317</v>
      </c>
      <c r="M426" s="470" t="s">
        <v>1317</v>
      </c>
      <c r="N426" s="470" t="s">
        <v>833</v>
      </c>
      <c r="O426" s="472" t="s">
        <v>757</v>
      </c>
      <c r="P426" s="472" t="s">
        <v>738</v>
      </c>
      <c r="Q426" s="472" t="s">
        <v>758</v>
      </c>
      <c r="R426" s="472" t="s">
        <v>12</v>
      </c>
      <c r="S426" s="472" t="s">
        <v>12</v>
      </c>
      <c r="T426" s="472" t="s">
        <v>1318</v>
      </c>
      <c r="U426" s="470" t="s">
        <v>1319</v>
      </c>
      <c r="V426" s="470" t="s">
        <v>761</v>
      </c>
      <c r="W426" s="470" t="s">
        <v>898</v>
      </c>
      <c r="X426" s="470">
        <v>31</v>
      </c>
      <c r="Y426" s="470">
        <v>0</v>
      </c>
      <c r="Z426" s="470">
        <v>1.5</v>
      </c>
      <c r="AA426" s="470">
        <v>29.5</v>
      </c>
      <c r="AB426" s="470">
        <v>29.5</v>
      </c>
      <c r="AC426" s="473">
        <v>28380</v>
      </c>
      <c r="AD426" s="473">
        <v>28380</v>
      </c>
      <c r="AE426" s="473">
        <v>12153</v>
      </c>
      <c r="AF426" s="473">
        <v>4861</v>
      </c>
      <c r="AG426" s="473">
        <v>1523</v>
      </c>
      <c r="AH426" s="473">
        <v>190</v>
      </c>
      <c r="AI426" s="473">
        <v>1190</v>
      </c>
      <c r="AJ426" s="473">
        <v>0</v>
      </c>
      <c r="AK426" s="473">
        <v>0</v>
      </c>
      <c r="AL426" s="473">
        <v>0</v>
      </c>
      <c r="AM426" s="473">
        <v>0</v>
      </c>
      <c r="AN426" s="473">
        <v>0</v>
      </c>
      <c r="AO426" s="473">
        <v>0</v>
      </c>
      <c r="AP426" s="473">
        <v>0</v>
      </c>
      <c r="AQ426" s="473">
        <v>1458</v>
      </c>
      <c r="AR426" s="473">
        <v>5632</v>
      </c>
      <c r="AS426" s="473">
        <v>0</v>
      </c>
      <c r="AT426" s="473">
        <v>0</v>
      </c>
      <c r="AU426" s="473">
        <v>0</v>
      </c>
      <c r="AV426" s="473">
        <v>27007</v>
      </c>
      <c r="AW426" s="474">
        <v>27007</v>
      </c>
      <c r="AX426" s="473">
        <v>0</v>
      </c>
      <c r="AY426" s="473">
        <v>0</v>
      </c>
      <c r="AZ426" s="475">
        <v>0</v>
      </c>
      <c r="BA426" s="475">
        <v>200</v>
      </c>
      <c r="BB426" s="475">
        <v>1458</v>
      </c>
      <c r="BC426" s="475">
        <v>0</v>
      </c>
      <c r="BD426" s="475">
        <v>0</v>
      </c>
      <c r="BE426" s="475">
        <v>0</v>
      </c>
      <c r="BF426" s="475">
        <v>0</v>
      </c>
      <c r="BG426" s="475">
        <v>1658</v>
      </c>
      <c r="BH426" s="476">
        <v>25349</v>
      </c>
      <c r="BI426" s="467"/>
      <c r="BJ426" s="468"/>
    </row>
    <row r="427" spans="1:62">
      <c r="A427" s="469">
        <v>45870</v>
      </c>
      <c r="B427" s="469" t="s">
        <v>747</v>
      </c>
      <c r="C427" s="508" t="s">
        <v>748</v>
      </c>
      <c r="D427" s="470" t="s">
        <v>749</v>
      </c>
      <c r="E427" s="471">
        <v>1263</v>
      </c>
      <c r="F427" s="470" t="s">
        <v>1141</v>
      </c>
      <c r="G427" s="470" t="s">
        <v>751</v>
      </c>
      <c r="H427" s="470" t="s">
        <v>12</v>
      </c>
      <c r="I427" s="470" t="s">
        <v>1142</v>
      </c>
      <c r="J427" s="472" t="s">
        <v>1143</v>
      </c>
      <c r="K427" s="470" t="s">
        <v>1144</v>
      </c>
      <c r="L427" s="470" t="s">
        <v>1305</v>
      </c>
      <c r="M427" s="470" t="s">
        <v>1305</v>
      </c>
      <c r="N427" s="470" t="s">
        <v>756</v>
      </c>
      <c r="O427" s="472" t="s">
        <v>757</v>
      </c>
      <c r="P427" s="472" t="s">
        <v>738</v>
      </c>
      <c r="Q427" s="472" t="s">
        <v>758</v>
      </c>
      <c r="R427" s="472" t="s">
        <v>12</v>
      </c>
      <c r="S427" s="472" t="s">
        <v>12</v>
      </c>
      <c r="T427" s="472" t="s">
        <v>1147</v>
      </c>
      <c r="U427" s="470" t="s">
        <v>1148</v>
      </c>
      <c r="V427" s="470" t="s">
        <v>761</v>
      </c>
      <c r="W427" s="470" t="s">
        <v>859</v>
      </c>
      <c r="X427" s="470">
        <v>31</v>
      </c>
      <c r="Y427" s="470">
        <v>0</v>
      </c>
      <c r="Z427" s="470">
        <v>1</v>
      </c>
      <c r="AA427" s="470">
        <v>30</v>
      </c>
      <c r="AB427" s="470">
        <v>30</v>
      </c>
      <c r="AC427" s="473">
        <v>55900</v>
      </c>
      <c r="AD427" s="473">
        <v>55900</v>
      </c>
      <c r="AE427" s="473">
        <v>24344</v>
      </c>
      <c r="AF427" s="473">
        <v>9738</v>
      </c>
      <c r="AG427" s="473">
        <v>1548</v>
      </c>
      <c r="AH427" s="473">
        <v>194</v>
      </c>
      <c r="AI427" s="473">
        <v>1210</v>
      </c>
      <c r="AJ427" s="473">
        <v>2028</v>
      </c>
      <c r="AK427" s="473">
        <v>4869</v>
      </c>
      <c r="AL427" s="473">
        <v>3652</v>
      </c>
      <c r="AM427" s="473">
        <v>243</v>
      </c>
      <c r="AN427" s="473">
        <v>852</v>
      </c>
      <c r="AO427" s="473">
        <v>487</v>
      </c>
      <c r="AP427" s="473">
        <v>122</v>
      </c>
      <c r="AQ427" s="473">
        <v>1800</v>
      </c>
      <c r="AR427" s="473">
        <v>3010</v>
      </c>
      <c r="AS427" s="473">
        <v>0</v>
      </c>
      <c r="AT427" s="473">
        <v>0</v>
      </c>
      <c r="AU427" s="473">
        <v>0</v>
      </c>
      <c r="AV427" s="473">
        <v>54097</v>
      </c>
      <c r="AW427" s="474">
        <v>54097</v>
      </c>
      <c r="AX427" s="473">
        <v>0</v>
      </c>
      <c r="AY427" s="473">
        <v>0</v>
      </c>
      <c r="AZ427" s="475">
        <v>0</v>
      </c>
      <c r="BA427" s="475">
        <v>200</v>
      </c>
      <c r="BB427" s="475">
        <v>1800</v>
      </c>
      <c r="BC427" s="475">
        <v>0</v>
      </c>
      <c r="BD427" s="475">
        <v>0</v>
      </c>
      <c r="BE427" s="475">
        <v>0</v>
      </c>
      <c r="BF427" s="475">
        <v>0</v>
      </c>
      <c r="BG427" s="475">
        <v>2000</v>
      </c>
      <c r="BH427" s="476">
        <v>52097</v>
      </c>
      <c r="BI427" s="467"/>
      <c r="BJ427" s="468"/>
    </row>
    <row r="428" spans="1:62">
      <c r="A428" s="469">
        <v>45870</v>
      </c>
      <c r="B428" s="469" t="s">
        <v>747</v>
      </c>
      <c r="C428" s="508" t="s">
        <v>748</v>
      </c>
      <c r="D428" s="470" t="s">
        <v>749</v>
      </c>
      <c r="E428" s="471">
        <v>1758</v>
      </c>
      <c r="F428" s="470" t="s">
        <v>1149</v>
      </c>
      <c r="G428" s="470" t="s">
        <v>751</v>
      </c>
      <c r="H428" s="470" t="s">
        <v>12</v>
      </c>
      <c r="I428" s="470" t="s">
        <v>1150</v>
      </c>
      <c r="J428" s="472" t="s">
        <v>1151</v>
      </c>
      <c r="K428" s="470" t="s">
        <v>1152</v>
      </c>
      <c r="L428" s="470" t="s">
        <v>856</v>
      </c>
      <c r="M428" s="470" t="s">
        <v>856</v>
      </c>
      <c r="N428" s="470" t="s">
        <v>756</v>
      </c>
      <c r="O428" s="472" t="s">
        <v>757</v>
      </c>
      <c r="P428" s="472" t="s">
        <v>738</v>
      </c>
      <c r="Q428" s="472" t="s">
        <v>758</v>
      </c>
      <c r="R428" s="472" t="s">
        <v>12</v>
      </c>
      <c r="S428" s="472" t="s">
        <v>12</v>
      </c>
      <c r="T428" s="472" t="s">
        <v>1153</v>
      </c>
      <c r="U428" s="470" t="s">
        <v>1154</v>
      </c>
      <c r="V428" s="470" t="s">
        <v>761</v>
      </c>
      <c r="W428" s="470" t="s">
        <v>1155</v>
      </c>
      <c r="X428" s="470">
        <v>31</v>
      </c>
      <c r="Y428" s="470">
        <v>0</v>
      </c>
      <c r="Z428" s="470">
        <v>1</v>
      </c>
      <c r="AA428" s="470">
        <v>30</v>
      </c>
      <c r="AB428" s="470">
        <v>30</v>
      </c>
      <c r="AC428" s="473">
        <v>68220</v>
      </c>
      <c r="AD428" s="473">
        <v>68220</v>
      </c>
      <c r="AE428" s="473">
        <v>29709</v>
      </c>
      <c r="AF428" s="473">
        <v>11884</v>
      </c>
      <c r="AG428" s="473">
        <v>1548</v>
      </c>
      <c r="AH428" s="473">
        <v>194</v>
      </c>
      <c r="AI428" s="473">
        <v>1210</v>
      </c>
      <c r="AJ428" s="473">
        <v>2475</v>
      </c>
      <c r="AK428" s="473">
        <v>5942</v>
      </c>
      <c r="AL428" s="473">
        <v>4456</v>
      </c>
      <c r="AM428" s="473">
        <v>297</v>
      </c>
      <c r="AN428" s="473">
        <v>1040</v>
      </c>
      <c r="AO428" s="473">
        <v>594</v>
      </c>
      <c r="AP428" s="473">
        <v>149</v>
      </c>
      <c r="AQ428" s="473">
        <v>1800</v>
      </c>
      <c r="AR428" s="473">
        <v>4721</v>
      </c>
      <c r="AS428" s="473">
        <v>0</v>
      </c>
      <c r="AT428" s="473">
        <v>0</v>
      </c>
      <c r="AU428" s="473">
        <v>1892</v>
      </c>
      <c r="AV428" s="473">
        <v>67911</v>
      </c>
      <c r="AW428" s="474">
        <v>66019</v>
      </c>
      <c r="AX428" s="473">
        <v>0</v>
      </c>
      <c r="AY428" s="473">
        <v>0</v>
      </c>
      <c r="AZ428" s="475">
        <v>0</v>
      </c>
      <c r="BA428" s="475">
        <v>200</v>
      </c>
      <c r="BB428" s="475">
        <v>1800</v>
      </c>
      <c r="BC428" s="475">
        <v>0</v>
      </c>
      <c r="BD428" s="475">
        <v>0</v>
      </c>
      <c r="BE428" s="475">
        <v>0</v>
      </c>
      <c r="BF428" s="475">
        <v>0</v>
      </c>
      <c r="BG428" s="475">
        <v>2000</v>
      </c>
      <c r="BH428" s="476">
        <v>65911</v>
      </c>
      <c r="BI428" s="467"/>
      <c r="BJ428" s="468"/>
    </row>
    <row r="429" spans="1:62">
      <c r="A429" s="469">
        <v>45870</v>
      </c>
      <c r="B429" s="469" t="s">
        <v>747</v>
      </c>
      <c r="C429" s="508" t="s">
        <v>748</v>
      </c>
      <c r="D429" s="470" t="s">
        <v>749</v>
      </c>
      <c r="E429" s="471">
        <v>1624</v>
      </c>
      <c r="F429" s="470" t="s">
        <v>1156</v>
      </c>
      <c r="G429" s="470" t="s">
        <v>751</v>
      </c>
      <c r="H429" s="470" t="s">
        <v>12</v>
      </c>
      <c r="I429" s="470" t="s">
        <v>1157</v>
      </c>
      <c r="J429" s="472" t="s">
        <v>1158</v>
      </c>
      <c r="K429" s="470" t="s">
        <v>1159</v>
      </c>
      <c r="L429" s="470" t="s">
        <v>987</v>
      </c>
      <c r="M429" s="470" t="s">
        <v>987</v>
      </c>
      <c r="N429" s="470" t="s">
        <v>756</v>
      </c>
      <c r="O429" s="472" t="s">
        <v>757</v>
      </c>
      <c r="P429" s="472" t="s">
        <v>738</v>
      </c>
      <c r="Q429" s="472" t="s">
        <v>758</v>
      </c>
      <c r="R429" s="472" t="s">
        <v>12</v>
      </c>
      <c r="S429" s="472" t="s">
        <v>12</v>
      </c>
      <c r="T429" s="472" t="s">
        <v>1160</v>
      </c>
      <c r="U429" s="470" t="s">
        <v>1161</v>
      </c>
      <c r="V429" s="470" t="s">
        <v>761</v>
      </c>
      <c r="W429" s="470" t="s">
        <v>898</v>
      </c>
      <c r="X429" s="470">
        <v>31</v>
      </c>
      <c r="Y429" s="470">
        <v>0</v>
      </c>
      <c r="Z429" s="470">
        <v>0</v>
      </c>
      <c r="AA429" s="470">
        <v>31</v>
      </c>
      <c r="AB429" s="470">
        <v>31</v>
      </c>
      <c r="AC429" s="473">
        <v>42042</v>
      </c>
      <c r="AD429" s="473">
        <v>42042</v>
      </c>
      <c r="AE429" s="473">
        <v>18919</v>
      </c>
      <c r="AF429" s="473">
        <v>7568</v>
      </c>
      <c r="AG429" s="473">
        <v>1600</v>
      </c>
      <c r="AH429" s="473">
        <v>200</v>
      </c>
      <c r="AI429" s="473">
        <v>1250</v>
      </c>
      <c r="AJ429" s="473">
        <v>1576</v>
      </c>
      <c r="AK429" s="473">
        <v>3784</v>
      </c>
      <c r="AL429" s="473">
        <v>2838</v>
      </c>
      <c r="AM429" s="473">
        <v>189</v>
      </c>
      <c r="AN429" s="473">
        <v>662</v>
      </c>
      <c r="AO429" s="473">
        <v>378</v>
      </c>
      <c r="AP429" s="473">
        <v>95</v>
      </c>
      <c r="AQ429" s="473">
        <v>1800</v>
      </c>
      <c r="AR429" s="473">
        <v>1183</v>
      </c>
      <c r="AS429" s="473">
        <v>0</v>
      </c>
      <c r="AT429" s="473">
        <v>2600</v>
      </c>
      <c r="AU429" s="473">
        <v>0</v>
      </c>
      <c r="AV429" s="473">
        <v>44642</v>
      </c>
      <c r="AW429" s="474">
        <v>44642</v>
      </c>
      <c r="AX429" s="473">
        <v>0</v>
      </c>
      <c r="AY429" s="473">
        <v>0</v>
      </c>
      <c r="AZ429" s="475">
        <v>0</v>
      </c>
      <c r="BA429" s="475">
        <v>200</v>
      </c>
      <c r="BB429" s="475">
        <v>1800</v>
      </c>
      <c r="BC429" s="475">
        <v>0</v>
      </c>
      <c r="BD429" s="475">
        <v>0</v>
      </c>
      <c r="BE429" s="475">
        <v>0</v>
      </c>
      <c r="BF429" s="475">
        <v>0</v>
      </c>
      <c r="BG429" s="475">
        <v>2000</v>
      </c>
      <c r="BH429" s="476">
        <v>42642</v>
      </c>
      <c r="BI429" s="467"/>
      <c r="BJ429" s="468"/>
    </row>
    <row r="430" spans="1:62">
      <c r="A430" s="469">
        <v>45870</v>
      </c>
      <c r="B430" s="469" t="s">
        <v>747</v>
      </c>
      <c r="C430" s="508" t="s">
        <v>748</v>
      </c>
      <c r="D430" s="470" t="s">
        <v>749</v>
      </c>
      <c r="E430" s="471">
        <v>1738</v>
      </c>
      <c r="F430" s="470" t="s">
        <v>1162</v>
      </c>
      <c r="G430" s="470" t="s">
        <v>751</v>
      </c>
      <c r="H430" s="470" t="s">
        <v>12</v>
      </c>
      <c r="I430" s="470" t="s">
        <v>938</v>
      </c>
      <c r="J430" s="472" t="s">
        <v>1163</v>
      </c>
      <c r="K430" s="470" t="s">
        <v>1164</v>
      </c>
      <c r="L430" s="470" t="s">
        <v>1165</v>
      </c>
      <c r="M430" s="470" t="s">
        <v>1165</v>
      </c>
      <c r="N430" s="470" t="s">
        <v>756</v>
      </c>
      <c r="O430" s="472" t="s">
        <v>757</v>
      </c>
      <c r="P430" s="472" t="s">
        <v>738</v>
      </c>
      <c r="Q430" s="472" t="s">
        <v>758</v>
      </c>
      <c r="R430" s="472" t="s">
        <v>12</v>
      </c>
      <c r="S430" s="472" t="s">
        <v>12</v>
      </c>
      <c r="T430" s="472" t="s">
        <v>1166</v>
      </c>
      <c r="U430" s="470" t="s">
        <v>1167</v>
      </c>
      <c r="V430" s="470" t="s">
        <v>761</v>
      </c>
      <c r="W430" s="470" t="s">
        <v>762</v>
      </c>
      <c r="X430" s="470">
        <v>31</v>
      </c>
      <c r="Y430" s="470">
        <v>0</v>
      </c>
      <c r="Z430" s="470">
        <v>0</v>
      </c>
      <c r="AA430" s="470">
        <v>31</v>
      </c>
      <c r="AB430" s="470">
        <v>31</v>
      </c>
      <c r="AC430" s="473">
        <v>35983</v>
      </c>
      <c r="AD430" s="473">
        <v>35983</v>
      </c>
      <c r="AE430" s="473">
        <v>16192</v>
      </c>
      <c r="AF430" s="473">
        <v>6477</v>
      </c>
      <c r="AG430" s="473">
        <v>1600</v>
      </c>
      <c r="AH430" s="473">
        <v>200</v>
      </c>
      <c r="AI430" s="473">
        <v>1250</v>
      </c>
      <c r="AJ430" s="473">
        <v>0</v>
      </c>
      <c r="AK430" s="473">
        <v>0</v>
      </c>
      <c r="AL430" s="473">
        <v>0</v>
      </c>
      <c r="AM430" s="473">
        <v>0</v>
      </c>
      <c r="AN430" s="473">
        <v>0</v>
      </c>
      <c r="AO430" s="473">
        <v>0</v>
      </c>
      <c r="AP430" s="473">
        <v>0</v>
      </c>
      <c r="AQ430" s="473">
        <v>1800</v>
      </c>
      <c r="AR430" s="473">
        <v>8464</v>
      </c>
      <c r="AS430" s="473">
        <v>0</v>
      </c>
      <c r="AT430" s="473">
        <v>1000</v>
      </c>
      <c r="AU430" s="473">
        <v>0</v>
      </c>
      <c r="AV430" s="473">
        <v>36983</v>
      </c>
      <c r="AW430" s="474">
        <v>36983</v>
      </c>
      <c r="AX430" s="473">
        <v>0</v>
      </c>
      <c r="AY430" s="473">
        <v>0</v>
      </c>
      <c r="AZ430" s="475">
        <v>0</v>
      </c>
      <c r="BA430" s="475">
        <v>200</v>
      </c>
      <c r="BB430" s="475">
        <v>1800</v>
      </c>
      <c r="BC430" s="475">
        <v>0</v>
      </c>
      <c r="BD430" s="475">
        <v>0</v>
      </c>
      <c r="BE430" s="475">
        <v>0</v>
      </c>
      <c r="BF430" s="475">
        <v>0</v>
      </c>
      <c r="BG430" s="475">
        <v>2000</v>
      </c>
      <c r="BH430" s="476">
        <v>34983</v>
      </c>
      <c r="BI430" s="467"/>
      <c r="BJ430" s="468"/>
    </row>
    <row r="431" spans="1:62">
      <c r="A431" s="469">
        <v>45870</v>
      </c>
      <c r="B431" s="469" t="s">
        <v>747</v>
      </c>
      <c r="C431" s="508" t="s">
        <v>748</v>
      </c>
      <c r="D431" s="470" t="s">
        <v>749</v>
      </c>
      <c r="E431" s="471">
        <v>1510</v>
      </c>
      <c r="F431" s="470" t="s">
        <v>1168</v>
      </c>
      <c r="G431" s="470" t="s">
        <v>751</v>
      </c>
      <c r="H431" s="470" t="s">
        <v>12</v>
      </c>
      <c r="I431" s="470" t="s">
        <v>1169</v>
      </c>
      <c r="J431" s="472" t="s">
        <v>1170</v>
      </c>
      <c r="K431" s="470" t="s">
        <v>1171</v>
      </c>
      <c r="L431" s="470" t="s">
        <v>994</v>
      </c>
      <c r="M431" s="470" t="s">
        <v>1305</v>
      </c>
      <c r="N431" s="470" t="s">
        <v>777</v>
      </c>
      <c r="O431" s="472" t="s">
        <v>757</v>
      </c>
      <c r="P431" s="472" t="s">
        <v>738</v>
      </c>
      <c r="Q431" s="472" t="s">
        <v>758</v>
      </c>
      <c r="R431" s="472" t="s">
        <v>12</v>
      </c>
      <c r="S431" s="472" t="s">
        <v>12</v>
      </c>
      <c r="T431" s="472" t="s">
        <v>1173</v>
      </c>
      <c r="U431" s="470" t="s">
        <v>1174</v>
      </c>
      <c r="V431" s="470" t="s">
        <v>761</v>
      </c>
      <c r="W431" s="470" t="s">
        <v>762</v>
      </c>
      <c r="X431" s="470">
        <v>31</v>
      </c>
      <c r="Y431" s="470">
        <v>0</v>
      </c>
      <c r="Z431" s="470">
        <v>0</v>
      </c>
      <c r="AA431" s="470">
        <v>31</v>
      </c>
      <c r="AB431" s="470">
        <v>31</v>
      </c>
      <c r="AC431" s="473">
        <v>49307</v>
      </c>
      <c r="AD431" s="473">
        <v>49307</v>
      </c>
      <c r="AE431" s="473">
        <v>22188</v>
      </c>
      <c r="AF431" s="473">
        <v>8875</v>
      </c>
      <c r="AG431" s="473">
        <v>1600</v>
      </c>
      <c r="AH431" s="473">
        <v>200</v>
      </c>
      <c r="AI431" s="473">
        <v>1250</v>
      </c>
      <c r="AJ431" s="473">
        <v>1848</v>
      </c>
      <c r="AK431" s="473">
        <v>4438</v>
      </c>
      <c r="AL431" s="473">
        <v>3328</v>
      </c>
      <c r="AM431" s="473">
        <v>222</v>
      </c>
      <c r="AN431" s="473">
        <v>777</v>
      </c>
      <c r="AO431" s="473">
        <v>444</v>
      </c>
      <c r="AP431" s="473">
        <v>111</v>
      </c>
      <c r="AQ431" s="473">
        <v>1800</v>
      </c>
      <c r="AR431" s="473">
        <v>2226</v>
      </c>
      <c r="AS431" s="473">
        <v>0</v>
      </c>
      <c r="AT431" s="473">
        <v>0</v>
      </c>
      <c r="AU431" s="473">
        <v>0</v>
      </c>
      <c r="AV431" s="473">
        <v>49307</v>
      </c>
      <c r="AW431" s="474">
        <v>49307</v>
      </c>
      <c r="AX431" s="473">
        <v>0</v>
      </c>
      <c r="AY431" s="473">
        <v>0</v>
      </c>
      <c r="AZ431" s="475">
        <v>0</v>
      </c>
      <c r="BA431" s="475">
        <v>200</v>
      </c>
      <c r="BB431" s="475">
        <v>1800</v>
      </c>
      <c r="BC431" s="475">
        <v>0</v>
      </c>
      <c r="BD431" s="475">
        <v>0</v>
      </c>
      <c r="BE431" s="475">
        <v>0</v>
      </c>
      <c r="BF431" s="475">
        <v>0</v>
      </c>
      <c r="BG431" s="475">
        <v>2000</v>
      </c>
      <c r="BH431" s="476">
        <v>47307</v>
      </c>
      <c r="BI431" s="467"/>
      <c r="BJ431" s="468"/>
    </row>
    <row r="432" spans="1:62">
      <c r="A432" s="469">
        <v>45870</v>
      </c>
      <c r="B432" s="469" t="s">
        <v>747</v>
      </c>
      <c r="C432" s="508" t="s">
        <v>748</v>
      </c>
      <c r="D432" s="470" t="s">
        <v>749</v>
      </c>
      <c r="E432" s="471">
        <v>2175</v>
      </c>
      <c r="F432" s="470" t="s">
        <v>1320</v>
      </c>
      <c r="G432" s="470" t="s">
        <v>812</v>
      </c>
      <c r="H432" s="470" t="s">
        <v>12</v>
      </c>
      <c r="I432" s="470" t="s">
        <v>1321</v>
      </c>
      <c r="J432" s="472" t="s">
        <v>1322</v>
      </c>
      <c r="K432" s="470" t="s">
        <v>1323</v>
      </c>
      <c r="L432" s="470" t="s">
        <v>1324</v>
      </c>
      <c r="M432" s="470" t="s">
        <v>1293</v>
      </c>
      <c r="N432" s="470" t="s">
        <v>756</v>
      </c>
      <c r="O432" s="472" t="s">
        <v>792</v>
      </c>
      <c r="P432" s="472" t="s">
        <v>738</v>
      </c>
      <c r="Q432" s="472" t="s">
        <v>758</v>
      </c>
      <c r="R432" s="472" t="s">
        <v>12</v>
      </c>
      <c r="S432" s="472" t="s">
        <v>12</v>
      </c>
      <c r="T432" s="472" t="s">
        <v>1325</v>
      </c>
      <c r="U432" s="470" t="s">
        <v>1326</v>
      </c>
      <c r="V432" s="470" t="s">
        <v>761</v>
      </c>
      <c r="W432" s="470" t="s">
        <v>1327</v>
      </c>
      <c r="X432" s="470">
        <v>31</v>
      </c>
      <c r="Y432" s="470">
        <v>0</v>
      </c>
      <c r="Z432" s="470">
        <v>0</v>
      </c>
      <c r="AA432" s="470">
        <v>31</v>
      </c>
      <c r="AB432" s="470">
        <v>31</v>
      </c>
      <c r="AC432" s="473">
        <v>137785</v>
      </c>
      <c r="AD432" s="473">
        <v>137785</v>
      </c>
      <c r="AE432" s="473">
        <v>62003</v>
      </c>
      <c r="AF432" s="473">
        <v>24801</v>
      </c>
      <c r="AG432" s="473">
        <v>1600</v>
      </c>
      <c r="AH432" s="473">
        <v>200</v>
      </c>
      <c r="AI432" s="473">
        <v>1250</v>
      </c>
      <c r="AJ432" s="473">
        <v>5165</v>
      </c>
      <c r="AK432" s="473">
        <v>12401</v>
      </c>
      <c r="AL432" s="473">
        <v>9300</v>
      </c>
      <c r="AM432" s="473">
        <v>620</v>
      </c>
      <c r="AN432" s="473">
        <v>2170</v>
      </c>
      <c r="AO432" s="473">
        <v>1240</v>
      </c>
      <c r="AP432" s="473">
        <v>310</v>
      </c>
      <c r="AQ432" s="473">
        <v>1800</v>
      </c>
      <c r="AR432" s="473">
        <v>14925</v>
      </c>
      <c r="AS432" s="473">
        <v>0</v>
      </c>
      <c r="AT432" s="473">
        <v>0</v>
      </c>
      <c r="AU432" s="473">
        <v>0</v>
      </c>
      <c r="AV432" s="473">
        <v>137785</v>
      </c>
      <c r="AW432" s="474">
        <v>137785</v>
      </c>
      <c r="AX432" s="473">
        <v>0</v>
      </c>
      <c r="AY432" s="473">
        <v>0</v>
      </c>
      <c r="AZ432" s="475">
        <v>0</v>
      </c>
      <c r="BA432" s="475">
        <v>200</v>
      </c>
      <c r="BB432" s="475">
        <v>1800</v>
      </c>
      <c r="BC432" s="475">
        <v>0</v>
      </c>
      <c r="BD432" s="475">
        <v>0</v>
      </c>
      <c r="BE432" s="475">
        <v>0</v>
      </c>
      <c r="BF432" s="475">
        <v>0</v>
      </c>
      <c r="BG432" s="475">
        <v>2000</v>
      </c>
      <c r="BH432" s="476">
        <v>135785</v>
      </c>
      <c r="BI432" s="467"/>
      <c r="BJ432" s="468"/>
    </row>
    <row r="433" spans="1:62">
      <c r="A433" s="469">
        <v>45870</v>
      </c>
      <c r="B433" s="469" t="s">
        <v>747</v>
      </c>
      <c r="C433" s="508" t="s">
        <v>748</v>
      </c>
      <c r="D433" s="470" t="s">
        <v>749</v>
      </c>
      <c r="E433" s="471">
        <v>1589</v>
      </c>
      <c r="F433" s="470" t="s">
        <v>1175</v>
      </c>
      <c r="G433" s="470" t="s">
        <v>751</v>
      </c>
      <c r="H433" s="470" t="s">
        <v>12</v>
      </c>
      <c r="I433" s="470" t="s">
        <v>1176</v>
      </c>
      <c r="J433" s="472" t="s">
        <v>1177</v>
      </c>
      <c r="K433" s="470" t="s">
        <v>1178</v>
      </c>
      <c r="L433" s="470" t="s">
        <v>755</v>
      </c>
      <c r="M433" s="470" t="s">
        <v>755</v>
      </c>
      <c r="N433" s="470" t="s">
        <v>756</v>
      </c>
      <c r="O433" s="472" t="s">
        <v>757</v>
      </c>
      <c r="P433" s="472" t="s">
        <v>738</v>
      </c>
      <c r="Q433" s="472" t="s">
        <v>758</v>
      </c>
      <c r="R433" s="472" t="s">
        <v>12</v>
      </c>
      <c r="S433" s="472" t="s">
        <v>12</v>
      </c>
      <c r="T433" s="472" t="s">
        <v>1179</v>
      </c>
      <c r="U433" s="470" t="s">
        <v>1180</v>
      </c>
      <c r="V433" s="470" t="s">
        <v>761</v>
      </c>
      <c r="W433" s="470" t="s">
        <v>762</v>
      </c>
      <c r="X433" s="470">
        <v>31</v>
      </c>
      <c r="Y433" s="470">
        <v>0</v>
      </c>
      <c r="Z433" s="470">
        <v>0</v>
      </c>
      <c r="AA433" s="470">
        <v>31</v>
      </c>
      <c r="AB433" s="470">
        <v>31</v>
      </c>
      <c r="AC433" s="473">
        <v>34250</v>
      </c>
      <c r="AD433" s="473">
        <v>34250</v>
      </c>
      <c r="AE433" s="473">
        <v>15413</v>
      </c>
      <c r="AF433" s="473">
        <v>6165</v>
      </c>
      <c r="AG433" s="473">
        <v>1600</v>
      </c>
      <c r="AH433" s="473">
        <v>200</v>
      </c>
      <c r="AI433" s="473">
        <v>1250</v>
      </c>
      <c r="AJ433" s="473">
        <v>0</v>
      </c>
      <c r="AK433" s="473">
        <v>0</v>
      </c>
      <c r="AL433" s="473">
        <v>0</v>
      </c>
      <c r="AM433" s="473">
        <v>0</v>
      </c>
      <c r="AN433" s="473">
        <v>0</v>
      </c>
      <c r="AO433" s="473">
        <v>0</v>
      </c>
      <c r="AP433" s="473">
        <v>0</v>
      </c>
      <c r="AQ433" s="473">
        <v>1800</v>
      </c>
      <c r="AR433" s="473">
        <v>7822</v>
      </c>
      <c r="AS433" s="473">
        <v>0</v>
      </c>
      <c r="AT433" s="473">
        <v>0</v>
      </c>
      <c r="AU433" s="473">
        <v>0</v>
      </c>
      <c r="AV433" s="473">
        <v>34250</v>
      </c>
      <c r="AW433" s="474">
        <v>34250</v>
      </c>
      <c r="AX433" s="473">
        <v>0</v>
      </c>
      <c r="AY433" s="473">
        <v>0</v>
      </c>
      <c r="AZ433" s="475">
        <v>0</v>
      </c>
      <c r="BA433" s="475">
        <v>200</v>
      </c>
      <c r="BB433" s="475">
        <v>1800</v>
      </c>
      <c r="BC433" s="475">
        <v>0</v>
      </c>
      <c r="BD433" s="475">
        <v>0</v>
      </c>
      <c r="BE433" s="475">
        <v>0</v>
      </c>
      <c r="BF433" s="475">
        <v>0</v>
      </c>
      <c r="BG433" s="475">
        <v>2000</v>
      </c>
      <c r="BH433" s="476">
        <v>32250</v>
      </c>
      <c r="BI433" s="467"/>
      <c r="BJ433" s="468"/>
    </row>
    <row r="434" spans="1:62">
      <c r="A434" s="469">
        <v>45870</v>
      </c>
      <c r="B434" s="469" t="s">
        <v>747</v>
      </c>
      <c r="C434" s="508" t="s">
        <v>748</v>
      </c>
      <c r="D434" s="470" t="s">
        <v>749</v>
      </c>
      <c r="E434" s="471">
        <v>2069</v>
      </c>
      <c r="F434" s="470" t="s">
        <v>1181</v>
      </c>
      <c r="G434" s="470" t="s">
        <v>751</v>
      </c>
      <c r="H434" s="470" t="s">
        <v>12</v>
      </c>
      <c r="I434" s="470" t="s">
        <v>1182</v>
      </c>
      <c r="J434" s="472" t="s">
        <v>1183</v>
      </c>
      <c r="K434" s="470" t="s">
        <v>1184</v>
      </c>
      <c r="L434" s="470" t="s">
        <v>767</v>
      </c>
      <c r="M434" s="470" t="s">
        <v>767</v>
      </c>
      <c r="N434" s="470" t="s">
        <v>756</v>
      </c>
      <c r="O434" s="472" t="s">
        <v>792</v>
      </c>
      <c r="P434" s="472" t="s">
        <v>738</v>
      </c>
      <c r="Q434" s="472" t="s">
        <v>758</v>
      </c>
      <c r="R434" s="472" t="s">
        <v>12</v>
      </c>
      <c r="S434" s="472" t="s">
        <v>12</v>
      </c>
      <c r="T434" s="472" t="s">
        <v>1185</v>
      </c>
      <c r="U434" s="470" t="s">
        <v>1186</v>
      </c>
      <c r="V434" s="470" t="s">
        <v>761</v>
      </c>
      <c r="W434" s="470" t="s">
        <v>1187</v>
      </c>
      <c r="X434" s="470">
        <v>31</v>
      </c>
      <c r="Y434" s="470">
        <v>0</v>
      </c>
      <c r="Z434" s="470">
        <v>0</v>
      </c>
      <c r="AA434" s="470">
        <v>31</v>
      </c>
      <c r="AB434" s="470">
        <v>31</v>
      </c>
      <c r="AC434" s="473">
        <v>70000</v>
      </c>
      <c r="AD434" s="473">
        <v>70000</v>
      </c>
      <c r="AE434" s="473">
        <v>31500</v>
      </c>
      <c r="AF434" s="473">
        <v>12600</v>
      </c>
      <c r="AG434" s="473">
        <v>1600</v>
      </c>
      <c r="AH434" s="473">
        <v>200</v>
      </c>
      <c r="AI434" s="473">
        <v>1250</v>
      </c>
      <c r="AJ434" s="473">
        <v>2624</v>
      </c>
      <c r="AK434" s="473">
        <v>6300</v>
      </c>
      <c r="AL434" s="473">
        <v>4725</v>
      </c>
      <c r="AM434" s="473">
        <v>315</v>
      </c>
      <c r="AN434" s="473">
        <v>1103</v>
      </c>
      <c r="AO434" s="473">
        <v>630</v>
      </c>
      <c r="AP434" s="473">
        <v>158</v>
      </c>
      <c r="AQ434" s="473">
        <v>1800</v>
      </c>
      <c r="AR434" s="473">
        <v>5195</v>
      </c>
      <c r="AS434" s="473">
        <v>0</v>
      </c>
      <c r="AT434" s="473">
        <v>1200</v>
      </c>
      <c r="AU434" s="473">
        <v>0</v>
      </c>
      <c r="AV434" s="473">
        <v>71200</v>
      </c>
      <c r="AW434" s="474">
        <v>71200</v>
      </c>
      <c r="AX434" s="473">
        <v>0</v>
      </c>
      <c r="AY434" s="473">
        <v>0</v>
      </c>
      <c r="AZ434" s="475">
        <v>0</v>
      </c>
      <c r="BA434" s="475">
        <v>200</v>
      </c>
      <c r="BB434" s="475">
        <v>1800</v>
      </c>
      <c r="BC434" s="475">
        <v>0</v>
      </c>
      <c r="BD434" s="475">
        <v>0</v>
      </c>
      <c r="BE434" s="475">
        <v>0</v>
      </c>
      <c r="BF434" s="475">
        <v>0</v>
      </c>
      <c r="BG434" s="475">
        <v>2000</v>
      </c>
      <c r="BH434" s="476">
        <v>69200</v>
      </c>
      <c r="BI434" s="467"/>
      <c r="BJ434" s="468"/>
    </row>
    <row r="435" spans="1:62">
      <c r="A435" s="469">
        <v>45870</v>
      </c>
      <c r="B435" s="469" t="s">
        <v>747</v>
      </c>
      <c r="C435" s="508" t="s">
        <v>748</v>
      </c>
      <c r="D435" s="470" t="s">
        <v>749</v>
      </c>
      <c r="E435" s="471">
        <v>454</v>
      </c>
      <c r="F435" s="470" t="s">
        <v>1188</v>
      </c>
      <c r="G435" s="470" t="s">
        <v>751</v>
      </c>
      <c r="H435" s="470" t="s">
        <v>12</v>
      </c>
      <c r="I435" s="470" t="s">
        <v>1189</v>
      </c>
      <c r="J435" s="472" t="s">
        <v>1190</v>
      </c>
      <c r="K435" s="470" t="s">
        <v>1191</v>
      </c>
      <c r="L435" s="470" t="s">
        <v>1328</v>
      </c>
      <c r="M435" s="470" t="s">
        <v>1328</v>
      </c>
      <c r="N435" s="470" t="s">
        <v>756</v>
      </c>
      <c r="O435" s="472" t="s">
        <v>757</v>
      </c>
      <c r="P435" s="472" t="s">
        <v>738</v>
      </c>
      <c r="Q435" s="472" t="s">
        <v>758</v>
      </c>
      <c r="R435" s="472" t="s">
        <v>12</v>
      </c>
      <c r="S435" s="472" t="s">
        <v>12</v>
      </c>
      <c r="T435" s="472" t="s">
        <v>1193</v>
      </c>
      <c r="U435" s="470" t="s">
        <v>1194</v>
      </c>
      <c r="V435" s="470" t="s">
        <v>761</v>
      </c>
      <c r="W435" s="470" t="s">
        <v>1195</v>
      </c>
      <c r="X435" s="470">
        <v>31</v>
      </c>
      <c r="Y435" s="470">
        <v>0</v>
      </c>
      <c r="Z435" s="470">
        <v>0</v>
      </c>
      <c r="AA435" s="470">
        <v>31</v>
      </c>
      <c r="AB435" s="470">
        <v>31</v>
      </c>
      <c r="AC435" s="473">
        <v>27925</v>
      </c>
      <c r="AD435" s="473">
        <v>27925</v>
      </c>
      <c r="AE435" s="473">
        <v>12566</v>
      </c>
      <c r="AF435" s="473">
        <v>5026</v>
      </c>
      <c r="AG435" s="473">
        <v>1600</v>
      </c>
      <c r="AH435" s="473">
        <v>200</v>
      </c>
      <c r="AI435" s="473">
        <v>1250</v>
      </c>
      <c r="AJ435" s="473">
        <v>0</v>
      </c>
      <c r="AK435" s="473">
        <v>0</v>
      </c>
      <c r="AL435" s="473">
        <v>0</v>
      </c>
      <c r="AM435" s="473">
        <v>0</v>
      </c>
      <c r="AN435" s="473">
        <v>0</v>
      </c>
      <c r="AO435" s="473">
        <v>0</v>
      </c>
      <c r="AP435" s="473">
        <v>0</v>
      </c>
      <c r="AQ435" s="473">
        <v>1508</v>
      </c>
      <c r="AR435" s="473">
        <v>5775</v>
      </c>
      <c r="AS435" s="473">
        <v>0</v>
      </c>
      <c r="AT435" s="473">
        <v>0</v>
      </c>
      <c r="AU435" s="473">
        <v>5688</v>
      </c>
      <c r="AV435" s="473">
        <v>33613</v>
      </c>
      <c r="AW435" s="474">
        <v>27925</v>
      </c>
      <c r="AX435" s="473">
        <v>0</v>
      </c>
      <c r="AY435" s="473">
        <v>0</v>
      </c>
      <c r="AZ435" s="475">
        <v>0</v>
      </c>
      <c r="BA435" s="475">
        <v>200</v>
      </c>
      <c r="BB435" s="475">
        <v>1508</v>
      </c>
      <c r="BC435" s="475">
        <v>0</v>
      </c>
      <c r="BD435" s="475">
        <v>0</v>
      </c>
      <c r="BE435" s="475">
        <v>0</v>
      </c>
      <c r="BF435" s="475">
        <v>0</v>
      </c>
      <c r="BG435" s="475">
        <v>1708</v>
      </c>
      <c r="BH435" s="476">
        <v>31905</v>
      </c>
      <c r="BI435" s="467"/>
      <c r="BJ435" s="468"/>
    </row>
    <row r="436" spans="1:62">
      <c r="A436" s="469">
        <v>45870</v>
      </c>
      <c r="B436" s="469" t="s">
        <v>747</v>
      </c>
      <c r="C436" s="508" t="s">
        <v>748</v>
      </c>
      <c r="D436" s="470" t="s">
        <v>749</v>
      </c>
      <c r="E436" s="471">
        <v>1515</v>
      </c>
      <c r="F436" s="470" t="s">
        <v>1196</v>
      </c>
      <c r="G436" s="470" t="s">
        <v>751</v>
      </c>
      <c r="H436" s="470" t="s">
        <v>12</v>
      </c>
      <c r="I436" s="470" t="s">
        <v>878</v>
      </c>
      <c r="J436" s="472" t="s">
        <v>1197</v>
      </c>
      <c r="K436" s="470" t="s">
        <v>1198</v>
      </c>
      <c r="L436" s="470" t="s">
        <v>942</v>
      </c>
      <c r="M436" s="470" t="s">
        <v>942</v>
      </c>
      <c r="N436" s="470" t="s">
        <v>1275</v>
      </c>
      <c r="O436" s="472" t="s">
        <v>1272</v>
      </c>
      <c r="P436" s="472" t="s">
        <v>738</v>
      </c>
      <c r="Q436" s="472" t="s">
        <v>758</v>
      </c>
      <c r="R436" s="472" t="s">
        <v>12</v>
      </c>
      <c r="S436" s="472" t="s">
        <v>12</v>
      </c>
      <c r="T436" s="472" t="s">
        <v>1199</v>
      </c>
      <c r="U436" s="470" t="s">
        <v>1200</v>
      </c>
      <c r="V436" s="470" t="s">
        <v>761</v>
      </c>
      <c r="W436" s="470" t="s">
        <v>1201</v>
      </c>
      <c r="X436" s="470">
        <v>31</v>
      </c>
      <c r="Y436" s="470">
        <v>0</v>
      </c>
      <c r="Z436" s="470">
        <v>0</v>
      </c>
      <c r="AA436" s="470">
        <v>31</v>
      </c>
      <c r="AB436" s="470">
        <v>31</v>
      </c>
      <c r="AC436" s="473">
        <v>184245</v>
      </c>
      <c r="AD436" s="473">
        <v>184245</v>
      </c>
      <c r="AE436" s="473">
        <v>82910</v>
      </c>
      <c r="AF436" s="473">
        <v>33164</v>
      </c>
      <c r="AG436" s="473">
        <v>1600</v>
      </c>
      <c r="AH436" s="473">
        <v>200</v>
      </c>
      <c r="AI436" s="473">
        <v>1250</v>
      </c>
      <c r="AJ436" s="473">
        <v>6906</v>
      </c>
      <c r="AK436" s="473">
        <v>16582</v>
      </c>
      <c r="AL436" s="473">
        <v>12437</v>
      </c>
      <c r="AM436" s="473">
        <v>829</v>
      </c>
      <c r="AN436" s="473">
        <v>2902</v>
      </c>
      <c r="AO436" s="473">
        <v>1658</v>
      </c>
      <c r="AP436" s="473">
        <v>415</v>
      </c>
      <c r="AQ436" s="473">
        <v>1800</v>
      </c>
      <c r="AR436" s="473">
        <v>21592</v>
      </c>
      <c r="AS436" s="473">
        <v>0</v>
      </c>
      <c r="AT436" s="473">
        <v>0</v>
      </c>
      <c r="AU436" s="473">
        <v>0</v>
      </c>
      <c r="AV436" s="473">
        <v>184245</v>
      </c>
      <c r="AW436" s="474">
        <v>184245</v>
      </c>
      <c r="AX436" s="473">
        <v>0</v>
      </c>
      <c r="AY436" s="473">
        <v>0</v>
      </c>
      <c r="AZ436" s="475">
        <v>26142</v>
      </c>
      <c r="BA436" s="475">
        <v>200</v>
      </c>
      <c r="BB436" s="475">
        <v>1800</v>
      </c>
      <c r="BC436" s="475">
        <v>0</v>
      </c>
      <c r="BD436" s="475">
        <v>0</v>
      </c>
      <c r="BE436" s="475">
        <v>0</v>
      </c>
      <c r="BF436" s="475">
        <v>0</v>
      </c>
      <c r="BG436" s="475">
        <v>28142</v>
      </c>
      <c r="BH436" s="476">
        <v>156103</v>
      </c>
      <c r="BI436" s="467"/>
      <c r="BJ436" s="468"/>
    </row>
    <row r="437" spans="1:62">
      <c r="A437" s="469">
        <v>45870</v>
      </c>
      <c r="B437" s="469" t="s">
        <v>747</v>
      </c>
      <c r="C437" s="508" t="s">
        <v>748</v>
      </c>
      <c r="D437" s="470" t="s">
        <v>749</v>
      </c>
      <c r="E437" s="471">
        <v>2015</v>
      </c>
      <c r="F437" s="470" t="s">
        <v>1202</v>
      </c>
      <c r="G437" s="470" t="s">
        <v>751</v>
      </c>
      <c r="H437" s="470" t="s">
        <v>12</v>
      </c>
      <c r="I437" s="470" t="s">
        <v>847</v>
      </c>
      <c r="J437" s="472" t="s">
        <v>1203</v>
      </c>
      <c r="K437" s="470" t="s">
        <v>1204</v>
      </c>
      <c r="L437" s="470" t="s">
        <v>824</v>
      </c>
      <c r="M437" s="470" t="s">
        <v>824</v>
      </c>
      <c r="N437" s="470" t="s">
        <v>1275</v>
      </c>
      <c r="O437" s="472" t="s">
        <v>1276</v>
      </c>
      <c r="P437" s="472" t="s">
        <v>738</v>
      </c>
      <c r="Q437" s="472" t="s">
        <v>758</v>
      </c>
      <c r="R437" s="472" t="s">
        <v>12</v>
      </c>
      <c r="S437" s="472" t="s">
        <v>12</v>
      </c>
      <c r="T437" s="472" t="s">
        <v>1205</v>
      </c>
      <c r="U437" s="470" t="s">
        <v>1206</v>
      </c>
      <c r="V437" s="470" t="s">
        <v>761</v>
      </c>
      <c r="W437" s="470" t="s">
        <v>762</v>
      </c>
      <c r="X437" s="470">
        <v>31</v>
      </c>
      <c r="Y437" s="470">
        <v>0</v>
      </c>
      <c r="Z437" s="470">
        <v>1</v>
      </c>
      <c r="AA437" s="470">
        <v>30</v>
      </c>
      <c r="AB437" s="470">
        <v>30</v>
      </c>
      <c r="AC437" s="473">
        <v>56533</v>
      </c>
      <c r="AD437" s="473">
        <v>56533</v>
      </c>
      <c r="AE437" s="473">
        <v>24619</v>
      </c>
      <c r="AF437" s="473">
        <v>9848</v>
      </c>
      <c r="AG437" s="473">
        <v>1548</v>
      </c>
      <c r="AH437" s="473">
        <v>194</v>
      </c>
      <c r="AI437" s="473">
        <v>1210</v>
      </c>
      <c r="AJ437" s="473">
        <v>2051</v>
      </c>
      <c r="AK437" s="473">
        <v>4924</v>
      </c>
      <c r="AL437" s="473">
        <v>3693</v>
      </c>
      <c r="AM437" s="473">
        <v>246</v>
      </c>
      <c r="AN437" s="473">
        <v>862</v>
      </c>
      <c r="AO437" s="473">
        <v>492</v>
      </c>
      <c r="AP437" s="473">
        <v>123</v>
      </c>
      <c r="AQ437" s="473">
        <v>1800</v>
      </c>
      <c r="AR437" s="473">
        <v>3099</v>
      </c>
      <c r="AS437" s="473">
        <v>0</v>
      </c>
      <c r="AT437" s="473">
        <v>0</v>
      </c>
      <c r="AU437" s="473">
        <v>2450</v>
      </c>
      <c r="AV437" s="473">
        <v>57159</v>
      </c>
      <c r="AW437" s="474">
        <v>54709</v>
      </c>
      <c r="AX437" s="473">
        <v>0</v>
      </c>
      <c r="AY437" s="473">
        <v>0</v>
      </c>
      <c r="AZ437" s="475">
        <v>0</v>
      </c>
      <c r="BA437" s="475">
        <v>200</v>
      </c>
      <c r="BB437" s="475">
        <v>1800</v>
      </c>
      <c r="BC437" s="475">
        <v>0</v>
      </c>
      <c r="BD437" s="475">
        <v>0</v>
      </c>
      <c r="BE437" s="475">
        <v>0</v>
      </c>
      <c r="BF437" s="475">
        <v>0</v>
      </c>
      <c r="BG437" s="475">
        <v>2000</v>
      </c>
      <c r="BH437" s="476">
        <v>55159</v>
      </c>
      <c r="BI437" s="467"/>
      <c r="BJ437" s="468"/>
    </row>
    <row r="438" spans="1:62">
      <c r="A438" s="469">
        <v>45870</v>
      </c>
      <c r="B438" s="469" t="s">
        <v>747</v>
      </c>
      <c r="C438" s="508" t="s">
        <v>748</v>
      </c>
      <c r="D438" s="470" t="s">
        <v>749</v>
      </c>
      <c r="E438" s="471">
        <v>1166</v>
      </c>
      <c r="F438" s="470" t="s">
        <v>1207</v>
      </c>
      <c r="G438" s="470" t="s">
        <v>751</v>
      </c>
      <c r="H438" s="470" t="s">
        <v>12</v>
      </c>
      <c r="I438" s="470" t="s">
        <v>1208</v>
      </c>
      <c r="J438" s="472" t="s">
        <v>1209</v>
      </c>
      <c r="K438" s="470" t="s">
        <v>1210</v>
      </c>
      <c r="L438" s="470" t="s">
        <v>1329</v>
      </c>
      <c r="M438" s="470" t="s">
        <v>1330</v>
      </c>
      <c r="N438" s="470" t="s">
        <v>756</v>
      </c>
      <c r="O438" s="472" t="s">
        <v>757</v>
      </c>
      <c r="P438" s="472" t="s">
        <v>738</v>
      </c>
      <c r="Q438" s="472" t="s">
        <v>758</v>
      </c>
      <c r="R438" s="472" t="s">
        <v>12</v>
      </c>
      <c r="S438" s="472" t="s">
        <v>12</v>
      </c>
      <c r="T438" s="472" t="s">
        <v>1213</v>
      </c>
      <c r="U438" s="470" t="s">
        <v>1214</v>
      </c>
      <c r="V438" s="470" t="s">
        <v>761</v>
      </c>
      <c r="W438" s="470" t="s">
        <v>859</v>
      </c>
      <c r="X438" s="470">
        <v>31</v>
      </c>
      <c r="Y438" s="470">
        <v>0</v>
      </c>
      <c r="Z438" s="470">
        <v>0</v>
      </c>
      <c r="AA438" s="470">
        <v>31</v>
      </c>
      <c r="AB438" s="470">
        <v>31</v>
      </c>
      <c r="AC438" s="473">
        <v>59983</v>
      </c>
      <c r="AD438" s="473">
        <v>59983</v>
      </c>
      <c r="AE438" s="473">
        <v>26992</v>
      </c>
      <c r="AF438" s="473">
        <v>10797</v>
      </c>
      <c r="AG438" s="473">
        <v>1600</v>
      </c>
      <c r="AH438" s="473">
        <v>200</v>
      </c>
      <c r="AI438" s="473">
        <v>1250</v>
      </c>
      <c r="AJ438" s="473">
        <v>2248</v>
      </c>
      <c r="AK438" s="473">
        <v>5398</v>
      </c>
      <c r="AL438" s="473">
        <v>4049</v>
      </c>
      <c r="AM438" s="473">
        <v>270</v>
      </c>
      <c r="AN438" s="473">
        <v>945</v>
      </c>
      <c r="AO438" s="473">
        <v>540</v>
      </c>
      <c r="AP438" s="473">
        <v>135</v>
      </c>
      <c r="AQ438" s="473">
        <v>1800</v>
      </c>
      <c r="AR438" s="473">
        <v>3759</v>
      </c>
      <c r="AS438" s="473">
        <v>0</v>
      </c>
      <c r="AT438" s="473">
        <v>200</v>
      </c>
      <c r="AU438" s="473">
        <v>0</v>
      </c>
      <c r="AV438" s="473">
        <v>60183</v>
      </c>
      <c r="AW438" s="474">
        <v>60183</v>
      </c>
      <c r="AX438" s="473">
        <v>0</v>
      </c>
      <c r="AY438" s="473">
        <v>0</v>
      </c>
      <c r="AZ438" s="475">
        <v>0</v>
      </c>
      <c r="BA438" s="475">
        <v>200</v>
      </c>
      <c r="BB438" s="475">
        <v>1800</v>
      </c>
      <c r="BC438" s="475">
        <v>0</v>
      </c>
      <c r="BD438" s="475">
        <v>0</v>
      </c>
      <c r="BE438" s="475">
        <v>0</v>
      </c>
      <c r="BF438" s="475">
        <v>0</v>
      </c>
      <c r="BG438" s="475">
        <v>2000</v>
      </c>
      <c r="BH438" s="476">
        <v>58183</v>
      </c>
      <c r="BI438" s="467"/>
      <c r="BJ438" s="468"/>
    </row>
    <row r="439" spans="1:62">
      <c r="A439" s="469">
        <v>45870</v>
      </c>
      <c r="B439" s="469" t="s">
        <v>747</v>
      </c>
      <c r="C439" s="508" t="s">
        <v>748</v>
      </c>
      <c r="D439" s="470" t="s">
        <v>749</v>
      </c>
      <c r="E439" s="471">
        <v>247</v>
      </c>
      <c r="F439" s="470" t="s">
        <v>1215</v>
      </c>
      <c r="G439" s="470" t="s">
        <v>751</v>
      </c>
      <c r="H439" s="470" t="s">
        <v>12</v>
      </c>
      <c r="I439" s="470" t="s">
        <v>1216</v>
      </c>
      <c r="J439" s="472" t="s">
        <v>1217</v>
      </c>
      <c r="K439" s="470" t="s">
        <v>1218</v>
      </c>
      <c r="L439" s="470" t="s">
        <v>894</v>
      </c>
      <c r="M439" s="470" t="s">
        <v>1027</v>
      </c>
      <c r="N439" s="470" t="s">
        <v>756</v>
      </c>
      <c r="O439" s="472" t="s">
        <v>757</v>
      </c>
      <c r="P439" s="472" t="s">
        <v>738</v>
      </c>
      <c r="Q439" s="472" t="s">
        <v>758</v>
      </c>
      <c r="R439" s="472" t="s">
        <v>12</v>
      </c>
      <c r="S439" s="472" t="s">
        <v>12</v>
      </c>
      <c r="T439" s="472" t="s">
        <v>1219</v>
      </c>
      <c r="U439" s="470" t="s">
        <v>1220</v>
      </c>
      <c r="V439" s="470" t="s">
        <v>761</v>
      </c>
      <c r="W439" s="470" t="s">
        <v>960</v>
      </c>
      <c r="X439" s="470">
        <v>31</v>
      </c>
      <c r="Y439" s="470">
        <v>0</v>
      </c>
      <c r="Z439" s="470">
        <v>0</v>
      </c>
      <c r="AA439" s="470">
        <v>31</v>
      </c>
      <c r="AB439" s="470">
        <v>31</v>
      </c>
      <c r="AC439" s="473">
        <v>34308</v>
      </c>
      <c r="AD439" s="473">
        <v>34308</v>
      </c>
      <c r="AE439" s="473">
        <v>15439</v>
      </c>
      <c r="AF439" s="473">
        <v>6176</v>
      </c>
      <c r="AG439" s="473">
        <v>1600</v>
      </c>
      <c r="AH439" s="473">
        <v>200</v>
      </c>
      <c r="AI439" s="473">
        <v>1250</v>
      </c>
      <c r="AJ439" s="473">
        <v>0</v>
      </c>
      <c r="AK439" s="473">
        <v>0</v>
      </c>
      <c r="AL439" s="473">
        <v>0</v>
      </c>
      <c r="AM439" s="473">
        <v>0</v>
      </c>
      <c r="AN439" s="473">
        <v>0</v>
      </c>
      <c r="AO439" s="473">
        <v>0</v>
      </c>
      <c r="AP439" s="473">
        <v>0</v>
      </c>
      <c r="AQ439" s="473">
        <v>1800</v>
      </c>
      <c r="AR439" s="473">
        <v>7843</v>
      </c>
      <c r="AS439" s="473">
        <v>0</v>
      </c>
      <c r="AT439" s="473">
        <v>400</v>
      </c>
      <c r="AU439" s="473">
        <v>5418</v>
      </c>
      <c r="AV439" s="473">
        <v>40126</v>
      </c>
      <c r="AW439" s="474">
        <v>34708</v>
      </c>
      <c r="AX439" s="473">
        <v>0</v>
      </c>
      <c r="AY439" s="473">
        <v>0</v>
      </c>
      <c r="AZ439" s="475">
        <v>0</v>
      </c>
      <c r="BA439" s="475">
        <v>200</v>
      </c>
      <c r="BB439" s="475">
        <v>1800</v>
      </c>
      <c r="BC439" s="475">
        <v>0</v>
      </c>
      <c r="BD439" s="475">
        <v>0</v>
      </c>
      <c r="BE439" s="475">
        <v>0</v>
      </c>
      <c r="BF439" s="475">
        <v>0</v>
      </c>
      <c r="BG439" s="475">
        <v>2000</v>
      </c>
      <c r="BH439" s="476">
        <v>38126</v>
      </c>
      <c r="BI439" s="467"/>
      <c r="BJ439" s="468"/>
    </row>
    <row r="440" spans="1:62">
      <c r="A440" s="469">
        <v>45870</v>
      </c>
      <c r="B440" s="469" t="s">
        <v>747</v>
      </c>
      <c r="C440" s="508" t="s">
        <v>748</v>
      </c>
      <c r="D440" s="470" t="s">
        <v>749</v>
      </c>
      <c r="E440" s="471">
        <v>1237</v>
      </c>
      <c r="F440" s="470" t="s">
        <v>1221</v>
      </c>
      <c r="G440" s="470" t="s">
        <v>751</v>
      </c>
      <c r="H440" s="470" t="s">
        <v>12</v>
      </c>
      <c r="I440" s="470" t="s">
        <v>1222</v>
      </c>
      <c r="J440" s="472" t="s">
        <v>1223</v>
      </c>
      <c r="K440" s="470" t="s">
        <v>1224</v>
      </c>
      <c r="L440" s="470" t="s">
        <v>800</v>
      </c>
      <c r="M440" s="470" t="s">
        <v>801</v>
      </c>
      <c r="N440" s="470" t="s">
        <v>756</v>
      </c>
      <c r="O440" s="472" t="s">
        <v>757</v>
      </c>
      <c r="P440" s="472" t="s">
        <v>738</v>
      </c>
      <c r="Q440" s="472" t="s">
        <v>758</v>
      </c>
      <c r="R440" s="472" t="s">
        <v>12</v>
      </c>
      <c r="S440" s="472" t="s">
        <v>12</v>
      </c>
      <c r="T440" s="472" t="s">
        <v>1225</v>
      </c>
      <c r="U440" s="470" t="s">
        <v>1226</v>
      </c>
      <c r="V440" s="470" t="s">
        <v>761</v>
      </c>
      <c r="W440" s="470" t="s">
        <v>762</v>
      </c>
      <c r="X440" s="470">
        <v>31</v>
      </c>
      <c r="Y440" s="470">
        <v>0</v>
      </c>
      <c r="Z440" s="470">
        <v>4</v>
      </c>
      <c r="AA440" s="470">
        <v>27</v>
      </c>
      <c r="AB440" s="470">
        <v>27</v>
      </c>
      <c r="AC440" s="473">
        <v>31644</v>
      </c>
      <c r="AD440" s="473">
        <v>31644</v>
      </c>
      <c r="AE440" s="473">
        <v>12402</v>
      </c>
      <c r="AF440" s="473">
        <v>4961</v>
      </c>
      <c r="AG440" s="473">
        <v>1394</v>
      </c>
      <c r="AH440" s="473">
        <v>174</v>
      </c>
      <c r="AI440" s="473">
        <v>1089</v>
      </c>
      <c r="AJ440" s="473">
        <v>0</v>
      </c>
      <c r="AK440" s="473">
        <v>0</v>
      </c>
      <c r="AL440" s="473">
        <v>0</v>
      </c>
      <c r="AM440" s="473">
        <v>0</v>
      </c>
      <c r="AN440" s="473">
        <v>0</v>
      </c>
      <c r="AO440" s="473">
        <v>0</v>
      </c>
      <c r="AP440" s="473">
        <v>0</v>
      </c>
      <c r="AQ440" s="473">
        <v>1488</v>
      </c>
      <c r="AR440" s="473">
        <v>6053</v>
      </c>
      <c r="AS440" s="473">
        <v>0</v>
      </c>
      <c r="AT440" s="473">
        <v>200</v>
      </c>
      <c r="AU440" s="473">
        <v>0</v>
      </c>
      <c r="AV440" s="473">
        <v>27761</v>
      </c>
      <c r="AW440" s="474">
        <v>27761</v>
      </c>
      <c r="AX440" s="473">
        <v>0</v>
      </c>
      <c r="AY440" s="473">
        <v>0</v>
      </c>
      <c r="AZ440" s="475">
        <v>0</v>
      </c>
      <c r="BA440" s="475">
        <v>200</v>
      </c>
      <c r="BB440" s="475">
        <v>1488</v>
      </c>
      <c r="BC440" s="475">
        <v>0</v>
      </c>
      <c r="BD440" s="475">
        <v>0</v>
      </c>
      <c r="BE440" s="475">
        <v>0</v>
      </c>
      <c r="BF440" s="475">
        <v>0</v>
      </c>
      <c r="BG440" s="475">
        <v>1688</v>
      </c>
      <c r="BH440" s="476">
        <v>26073</v>
      </c>
      <c r="BI440" s="467"/>
      <c r="BJ440" s="468"/>
    </row>
    <row r="441" spans="1:62">
      <c r="A441" s="469">
        <v>45870</v>
      </c>
      <c r="B441" s="469" t="s">
        <v>747</v>
      </c>
      <c r="C441" s="508" t="s">
        <v>748</v>
      </c>
      <c r="D441" s="470" t="s">
        <v>749</v>
      </c>
      <c r="E441" s="471">
        <v>1941</v>
      </c>
      <c r="F441" s="470" t="s">
        <v>1227</v>
      </c>
      <c r="G441" s="470" t="s">
        <v>751</v>
      </c>
      <c r="H441" s="470" t="s">
        <v>12</v>
      </c>
      <c r="I441" s="470" t="s">
        <v>1228</v>
      </c>
      <c r="J441" s="472" t="s">
        <v>1229</v>
      </c>
      <c r="K441" s="470" t="s">
        <v>1230</v>
      </c>
      <c r="L441" s="470" t="s">
        <v>1165</v>
      </c>
      <c r="M441" s="470" t="s">
        <v>1165</v>
      </c>
      <c r="N441" s="470" t="s">
        <v>756</v>
      </c>
      <c r="O441" s="472" t="s">
        <v>757</v>
      </c>
      <c r="P441" s="472" t="s">
        <v>738</v>
      </c>
      <c r="Q441" s="472" t="s">
        <v>758</v>
      </c>
      <c r="R441" s="472" t="s">
        <v>12</v>
      </c>
      <c r="S441" s="472" t="s">
        <v>12</v>
      </c>
      <c r="T441" s="472" t="s">
        <v>1231</v>
      </c>
      <c r="U441" s="470" t="s">
        <v>1232</v>
      </c>
      <c r="V441" s="470" t="s">
        <v>761</v>
      </c>
      <c r="W441" s="470" t="s">
        <v>907</v>
      </c>
      <c r="X441" s="470">
        <v>31</v>
      </c>
      <c r="Y441" s="470">
        <v>0</v>
      </c>
      <c r="Z441" s="470">
        <v>2</v>
      </c>
      <c r="AA441" s="470">
        <v>29</v>
      </c>
      <c r="AB441" s="470">
        <v>29</v>
      </c>
      <c r="AC441" s="473">
        <v>43800</v>
      </c>
      <c r="AD441" s="473">
        <v>43800</v>
      </c>
      <c r="AE441" s="473">
        <v>18438</v>
      </c>
      <c r="AF441" s="473">
        <v>7375</v>
      </c>
      <c r="AG441" s="473">
        <v>1497</v>
      </c>
      <c r="AH441" s="473">
        <v>187</v>
      </c>
      <c r="AI441" s="473">
        <v>1169</v>
      </c>
      <c r="AJ441" s="473">
        <v>1536</v>
      </c>
      <c r="AK441" s="473">
        <v>3688</v>
      </c>
      <c r="AL441" s="473">
        <v>2766</v>
      </c>
      <c r="AM441" s="473">
        <v>184</v>
      </c>
      <c r="AN441" s="473">
        <v>645</v>
      </c>
      <c r="AO441" s="473">
        <v>369</v>
      </c>
      <c r="AP441" s="473">
        <v>92</v>
      </c>
      <c r="AQ441" s="473">
        <v>1800</v>
      </c>
      <c r="AR441" s="473">
        <v>1228</v>
      </c>
      <c r="AS441" s="473">
        <v>0</v>
      </c>
      <c r="AT441" s="473">
        <v>19534</v>
      </c>
      <c r="AU441" s="473">
        <v>880</v>
      </c>
      <c r="AV441" s="473">
        <v>61388</v>
      </c>
      <c r="AW441" s="474">
        <v>60508</v>
      </c>
      <c r="AX441" s="473">
        <v>0</v>
      </c>
      <c r="AY441" s="473">
        <v>0</v>
      </c>
      <c r="AZ441" s="475">
        <v>0</v>
      </c>
      <c r="BA441" s="475">
        <v>200</v>
      </c>
      <c r="BB441" s="475">
        <v>1800</v>
      </c>
      <c r="BC441" s="475">
        <v>0</v>
      </c>
      <c r="BD441" s="475">
        <v>0</v>
      </c>
      <c r="BE441" s="475">
        <v>0</v>
      </c>
      <c r="BF441" s="475">
        <v>0</v>
      </c>
      <c r="BG441" s="475">
        <v>2000</v>
      </c>
      <c r="BH441" s="476">
        <v>59388</v>
      </c>
      <c r="BI441" s="467"/>
      <c r="BJ441" s="468"/>
    </row>
    <row r="442" spans="1:62">
      <c r="A442" s="469">
        <v>45870</v>
      </c>
      <c r="B442" s="469" t="s">
        <v>747</v>
      </c>
      <c r="C442" s="508" t="s">
        <v>748</v>
      </c>
      <c r="D442" s="470" t="s">
        <v>749</v>
      </c>
      <c r="E442" s="471">
        <v>1950</v>
      </c>
      <c r="F442" s="470" t="s">
        <v>1233</v>
      </c>
      <c r="G442" s="470" t="s">
        <v>751</v>
      </c>
      <c r="H442" s="470" t="s">
        <v>12</v>
      </c>
      <c r="I442" s="470" t="s">
        <v>1234</v>
      </c>
      <c r="J442" s="472" t="s">
        <v>1235</v>
      </c>
      <c r="K442" s="470" t="s">
        <v>1236</v>
      </c>
      <c r="L442" s="470" t="s">
        <v>800</v>
      </c>
      <c r="M442" s="470" t="s">
        <v>800</v>
      </c>
      <c r="N442" s="470" t="s">
        <v>756</v>
      </c>
      <c r="O442" s="472" t="s">
        <v>1043</v>
      </c>
      <c r="P442" s="472" t="s">
        <v>738</v>
      </c>
      <c r="Q442" s="472" t="s">
        <v>758</v>
      </c>
      <c r="R442" s="472" t="s">
        <v>12</v>
      </c>
      <c r="S442" s="472" t="s">
        <v>12</v>
      </c>
      <c r="T442" s="472" t="s">
        <v>1237</v>
      </c>
      <c r="U442" s="470" t="s">
        <v>1238</v>
      </c>
      <c r="V442" s="470" t="s">
        <v>836</v>
      </c>
      <c r="W442" s="470" t="s">
        <v>1239</v>
      </c>
      <c r="X442" s="470">
        <v>31</v>
      </c>
      <c r="Y442" s="470">
        <v>0</v>
      </c>
      <c r="Z442" s="470">
        <v>0</v>
      </c>
      <c r="AA442" s="470">
        <v>31</v>
      </c>
      <c r="AB442" s="470">
        <v>31</v>
      </c>
      <c r="AC442" s="473">
        <v>35283</v>
      </c>
      <c r="AD442" s="473">
        <v>35283</v>
      </c>
      <c r="AE442" s="473">
        <v>15877</v>
      </c>
      <c r="AF442" s="473">
        <v>6351</v>
      </c>
      <c r="AG442" s="473">
        <v>1600</v>
      </c>
      <c r="AH442" s="473">
        <v>200</v>
      </c>
      <c r="AI442" s="473">
        <v>1250</v>
      </c>
      <c r="AJ442" s="473">
        <v>0</v>
      </c>
      <c r="AK442" s="473">
        <v>0</v>
      </c>
      <c r="AL442" s="473">
        <v>0</v>
      </c>
      <c r="AM442" s="473">
        <v>0</v>
      </c>
      <c r="AN442" s="473">
        <v>0</v>
      </c>
      <c r="AO442" s="473">
        <v>0</v>
      </c>
      <c r="AP442" s="473">
        <v>0</v>
      </c>
      <c r="AQ442" s="473">
        <v>1800</v>
      </c>
      <c r="AR442" s="473">
        <v>8205</v>
      </c>
      <c r="AS442" s="473">
        <v>0</v>
      </c>
      <c r="AT442" s="473">
        <v>0</v>
      </c>
      <c r="AU442" s="473">
        <v>0</v>
      </c>
      <c r="AV442" s="473">
        <v>35283</v>
      </c>
      <c r="AW442" s="474">
        <v>35283</v>
      </c>
      <c r="AX442" s="473">
        <v>0</v>
      </c>
      <c r="AY442" s="473">
        <v>0</v>
      </c>
      <c r="AZ442" s="475">
        <v>0</v>
      </c>
      <c r="BA442" s="475">
        <v>200</v>
      </c>
      <c r="BB442" s="475">
        <v>1800</v>
      </c>
      <c r="BC442" s="475">
        <v>0</v>
      </c>
      <c r="BD442" s="475">
        <v>0</v>
      </c>
      <c r="BE442" s="475">
        <v>0</v>
      </c>
      <c r="BF442" s="475">
        <v>0</v>
      </c>
      <c r="BG442" s="475">
        <v>2000</v>
      </c>
      <c r="BH442" s="476">
        <v>33283</v>
      </c>
      <c r="BI442" s="467"/>
      <c r="BJ442" s="468"/>
    </row>
    <row r="443" spans="1:62">
      <c r="A443" s="469">
        <v>45870</v>
      </c>
      <c r="B443" s="469" t="s">
        <v>747</v>
      </c>
      <c r="C443" s="508" t="s">
        <v>748</v>
      </c>
      <c r="D443" s="470" t="s">
        <v>749</v>
      </c>
      <c r="E443" s="471">
        <v>1370</v>
      </c>
      <c r="F443" s="470" t="s">
        <v>1240</v>
      </c>
      <c r="G443" s="470" t="s">
        <v>751</v>
      </c>
      <c r="H443" s="470" t="s">
        <v>12</v>
      </c>
      <c r="I443" s="470" t="s">
        <v>1241</v>
      </c>
      <c r="J443" s="472" t="s">
        <v>1242</v>
      </c>
      <c r="K443" s="470" t="s">
        <v>1243</v>
      </c>
      <c r="L443" s="470" t="s">
        <v>979</v>
      </c>
      <c r="M443" s="470" t="s">
        <v>979</v>
      </c>
      <c r="N443" s="470" t="s">
        <v>833</v>
      </c>
      <c r="O443" s="472" t="s">
        <v>757</v>
      </c>
      <c r="P443" s="472" t="s">
        <v>738</v>
      </c>
      <c r="Q443" s="472" t="s">
        <v>758</v>
      </c>
      <c r="R443" s="472" t="s">
        <v>12</v>
      </c>
      <c r="S443" s="472" t="s">
        <v>12</v>
      </c>
      <c r="T443" s="472" t="s">
        <v>1245</v>
      </c>
      <c r="U443" s="470" t="s">
        <v>1246</v>
      </c>
      <c r="V443" s="470" t="s">
        <v>761</v>
      </c>
      <c r="W443" s="470" t="s">
        <v>762</v>
      </c>
      <c r="X443" s="470">
        <v>31</v>
      </c>
      <c r="Y443" s="470">
        <v>0</v>
      </c>
      <c r="Z443" s="470">
        <v>0</v>
      </c>
      <c r="AA443" s="470">
        <v>31</v>
      </c>
      <c r="AB443" s="470">
        <v>31</v>
      </c>
      <c r="AC443" s="473">
        <v>33000</v>
      </c>
      <c r="AD443" s="473">
        <v>33000</v>
      </c>
      <c r="AE443" s="473">
        <v>14850</v>
      </c>
      <c r="AF443" s="473">
        <v>5940</v>
      </c>
      <c r="AG443" s="473">
        <v>1600</v>
      </c>
      <c r="AH443" s="473">
        <v>200</v>
      </c>
      <c r="AI443" s="473">
        <v>1250</v>
      </c>
      <c r="AJ443" s="473">
        <v>0</v>
      </c>
      <c r="AK443" s="473">
        <v>0</v>
      </c>
      <c r="AL443" s="473">
        <v>0</v>
      </c>
      <c r="AM443" s="473">
        <v>0</v>
      </c>
      <c r="AN443" s="473">
        <v>0</v>
      </c>
      <c r="AO443" s="473">
        <v>0</v>
      </c>
      <c r="AP443" s="473">
        <v>0</v>
      </c>
      <c r="AQ443" s="473">
        <v>1782</v>
      </c>
      <c r="AR443" s="473">
        <v>7378</v>
      </c>
      <c r="AS443" s="473">
        <v>0</v>
      </c>
      <c r="AT443" s="473">
        <v>0</v>
      </c>
      <c r="AU443" s="473">
        <v>0</v>
      </c>
      <c r="AV443" s="473">
        <v>33000</v>
      </c>
      <c r="AW443" s="474">
        <v>33000</v>
      </c>
      <c r="AX443" s="473">
        <v>0</v>
      </c>
      <c r="AY443" s="473">
        <v>0</v>
      </c>
      <c r="AZ443" s="475">
        <v>0</v>
      </c>
      <c r="BA443" s="475">
        <v>200</v>
      </c>
      <c r="BB443" s="475">
        <v>1782</v>
      </c>
      <c r="BC443" s="475">
        <v>0</v>
      </c>
      <c r="BD443" s="475">
        <v>0</v>
      </c>
      <c r="BE443" s="475">
        <v>0</v>
      </c>
      <c r="BF443" s="475">
        <v>0</v>
      </c>
      <c r="BG443" s="475">
        <v>1982</v>
      </c>
      <c r="BH443" s="476">
        <v>31018</v>
      </c>
      <c r="BI443" s="467"/>
      <c r="BJ443" s="468"/>
    </row>
    <row r="444" spans="1:62">
      <c r="A444" s="469">
        <v>45870</v>
      </c>
      <c r="B444" s="469" t="s">
        <v>747</v>
      </c>
      <c r="C444" s="508" t="s">
        <v>748</v>
      </c>
      <c r="D444" s="470" t="s">
        <v>749</v>
      </c>
      <c r="E444" s="471">
        <v>2049</v>
      </c>
      <c r="F444" s="470" t="s">
        <v>1247</v>
      </c>
      <c r="G444" s="470" t="s">
        <v>751</v>
      </c>
      <c r="H444" s="470" t="s">
        <v>12</v>
      </c>
      <c r="I444" s="470" t="s">
        <v>1248</v>
      </c>
      <c r="J444" s="472" t="s">
        <v>1249</v>
      </c>
      <c r="K444" s="470" t="s">
        <v>1250</v>
      </c>
      <c r="L444" s="470" t="s">
        <v>824</v>
      </c>
      <c r="M444" s="470" t="s">
        <v>824</v>
      </c>
      <c r="N444" s="470" t="s">
        <v>756</v>
      </c>
      <c r="O444" s="472" t="s">
        <v>1276</v>
      </c>
      <c r="P444" s="472" t="s">
        <v>738</v>
      </c>
      <c r="Q444" s="472" t="s">
        <v>758</v>
      </c>
      <c r="R444" s="472" t="s">
        <v>12</v>
      </c>
      <c r="S444" s="472" t="s">
        <v>12</v>
      </c>
      <c r="T444" s="472" t="s">
        <v>1251</v>
      </c>
      <c r="U444" s="470" t="s">
        <v>1252</v>
      </c>
      <c r="V444" s="470" t="s">
        <v>761</v>
      </c>
      <c r="W444" s="470" t="s">
        <v>859</v>
      </c>
      <c r="X444" s="470">
        <v>31</v>
      </c>
      <c r="Y444" s="470">
        <v>0</v>
      </c>
      <c r="Z444" s="470">
        <v>1</v>
      </c>
      <c r="AA444" s="470">
        <v>30</v>
      </c>
      <c r="AB444" s="470">
        <v>30</v>
      </c>
      <c r="AC444" s="473">
        <v>27713</v>
      </c>
      <c r="AD444" s="473">
        <v>27713</v>
      </c>
      <c r="AE444" s="473">
        <v>12069</v>
      </c>
      <c r="AF444" s="473">
        <v>4828</v>
      </c>
      <c r="AG444" s="473">
        <v>1548</v>
      </c>
      <c r="AH444" s="473">
        <v>194</v>
      </c>
      <c r="AI444" s="473">
        <v>1210</v>
      </c>
      <c r="AJ444" s="473">
        <v>0</v>
      </c>
      <c r="AK444" s="473">
        <v>0</v>
      </c>
      <c r="AL444" s="473">
        <v>0</v>
      </c>
      <c r="AM444" s="473">
        <v>0</v>
      </c>
      <c r="AN444" s="473">
        <v>0</v>
      </c>
      <c r="AO444" s="473">
        <v>0</v>
      </c>
      <c r="AP444" s="473">
        <v>0</v>
      </c>
      <c r="AQ444" s="473">
        <v>1448</v>
      </c>
      <c r="AR444" s="473">
        <v>5522</v>
      </c>
      <c r="AS444" s="473">
        <v>0</v>
      </c>
      <c r="AT444" s="473">
        <v>0</v>
      </c>
      <c r="AU444" s="473">
        <v>0</v>
      </c>
      <c r="AV444" s="473">
        <v>26819</v>
      </c>
      <c r="AW444" s="474">
        <v>26819</v>
      </c>
      <c r="AX444" s="473">
        <v>0</v>
      </c>
      <c r="AY444" s="473">
        <v>0</v>
      </c>
      <c r="AZ444" s="475">
        <v>0</v>
      </c>
      <c r="BA444" s="475">
        <v>200</v>
      </c>
      <c r="BB444" s="475">
        <v>1448</v>
      </c>
      <c r="BC444" s="475">
        <v>0</v>
      </c>
      <c r="BD444" s="475">
        <v>0</v>
      </c>
      <c r="BE444" s="475">
        <v>0</v>
      </c>
      <c r="BF444" s="475">
        <v>0</v>
      </c>
      <c r="BG444" s="475">
        <v>1648</v>
      </c>
      <c r="BH444" s="476">
        <v>25171</v>
      </c>
      <c r="BI444" s="467"/>
      <c r="BJ444" s="468"/>
    </row>
    <row r="445" spans="1:62">
      <c r="A445" s="469">
        <v>45870</v>
      </c>
      <c r="B445" s="469" t="s">
        <v>747</v>
      </c>
      <c r="C445" s="508" t="s">
        <v>748</v>
      </c>
      <c r="D445" s="470" t="s">
        <v>749</v>
      </c>
      <c r="E445" s="471">
        <v>1121</v>
      </c>
      <c r="F445" s="470" t="s">
        <v>1253</v>
      </c>
      <c r="G445" s="470" t="s">
        <v>751</v>
      </c>
      <c r="H445" s="470" t="s">
        <v>12</v>
      </c>
      <c r="I445" s="470" t="s">
        <v>1254</v>
      </c>
      <c r="J445" s="472" t="s">
        <v>1255</v>
      </c>
      <c r="K445" s="470" t="s">
        <v>1256</v>
      </c>
      <c r="L445" s="470" t="s">
        <v>1291</v>
      </c>
      <c r="M445" s="470" t="s">
        <v>1292</v>
      </c>
      <c r="N445" s="470" t="s">
        <v>1275</v>
      </c>
      <c r="O445" s="472" t="s">
        <v>792</v>
      </c>
      <c r="P445" s="472" t="s">
        <v>738</v>
      </c>
      <c r="Q445" s="472" t="s">
        <v>758</v>
      </c>
      <c r="R445" s="472" t="s">
        <v>12</v>
      </c>
      <c r="S445" s="472" t="s">
        <v>12</v>
      </c>
      <c r="T445" s="472" t="s">
        <v>1257</v>
      </c>
      <c r="U445" s="470" t="s">
        <v>1258</v>
      </c>
      <c r="V445" s="470" t="s">
        <v>761</v>
      </c>
      <c r="W445" s="470" t="s">
        <v>1259</v>
      </c>
      <c r="X445" s="470">
        <v>31</v>
      </c>
      <c r="Y445" s="470">
        <v>0</v>
      </c>
      <c r="Z445" s="470">
        <v>0</v>
      </c>
      <c r="AA445" s="470">
        <v>31</v>
      </c>
      <c r="AB445" s="470">
        <v>31</v>
      </c>
      <c r="AC445" s="473">
        <v>206500</v>
      </c>
      <c r="AD445" s="473">
        <v>206500</v>
      </c>
      <c r="AE445" s="473">
        <v>92925</v>
      </c>
      <c r="AF445" s="473">
        <v>37170</v>
      </c>
      <c r="AG445" s="473">
        <v>1600</v>
      </c>
      <c r="AH445" s="473">
        <v>200</v>
      </c>
      <c r="AI445" s="473">
        <v>1250</v>
      </c>
      <c r="AJ445" s="473">
        <v>7741</v>
      </c>
      <c r="AK445" s="473">
        <v>18585</v>
      </c>
      <c r="AL445" s="473">
        <v>13939</v>
      </c>
      <c r="AM445" s="473">
        <v>929</v>
      </c>
      <c r="AN445" s="473">
        <v>3252</v>
      </c>
      <c r="AO445" s="473">
        <v>1859</v>
      </c>
      <c r="AP445" s="473">
        <v>465</v>
      </c>
      <c r="AQ445" s="473">
        <v>1800</v>
      </c>
      <c r="AR445" s="473">
        <v>24785</v>
      </c>
      <c r="AS445" s="473">
        <v>0</v>
      </c>
      <c r="AT445" s="473">
        <v>0</v>
      </c>
      <c r="AU445" s="473">
        <v>15016</v>
      </c>
      <c r="AV445" s="473">
        <v>221516</v>
      </c>
      <c r="AW445" s="474">
        <v>206500</v>
      </c>
      <c r="AX445" s="473">
        <v>0</v>
      </c>
      <c r="AY445" s="473">
        <v>0</v>
      </c>
      <c r="AZ445" s="475">
        <v>39812</v>
      </c>
      <c r="BA445" s="475">
        <v>200</v>
      </c>
      <c r="BB445" s="475">
        <v>1800</v>
      </c>
      <c r="BC445" s="475">
        <v>0</v>
      </c>
      <c r="BD445" s="475">
        <v>0</v>
      </c>
      <c r="BE445" s="475">
        <v>0</v>
      </c>
      <c r="BF445" s="475">
        <v>0</v>
      </c>
      <c r="BG445" s="475">
        <v>41812</v>
      </c>
      <c r="BH445" s="476">
        <v>179704</v>
      </c>
      <c r="BI445" s="467"/>
      <c r="BJ445" s="468"/>
    </row>
    <row r="446" spans="1:62">
      <c r="A446" s="469">
        <v>45870</v>
      </c>
      <c r="B446" s="469" t="s">
        <v>747</v>
      </c>
      <c r="C446" s="508" t="s">
        <v>748</v>
      </c>
      <c r="D446" s="470" t="s">
        <v>749</v>
      </c>
      <c r="E446" s="471">
        <v>1496</v>
      </c>
      <c r="F446" s="470" t="s">
        <v>1260</v>
      </c>
      <c r="G446" s="470" t="s">
        <v>751</v>
      </c>
      <c r="H446" s="470" t="s">
        <v>12</v>
      </c>
      <c r="I446" s="470" t="s">
        <v>1261</v>
      </c>
      <c r="J446" s="472" t="s">
        <v>1262</v>
      </c>
      <c r="K446" s="470" t="s">
        <v>1263</v>
      </c>
      <c r="L446" s="470" t="s">
        <v>856</v>
      </c>
      <c r="M446" s="470" t="s">
        <v>856</v>
      </c>
      <c r="N446" s="470" t="s">
        <v>756</v>
      </c>
      <c r="O446" s="472" t="s">
        <v>757</v>
      </c>
      <c r="P446" s="472" t="s">
        <v>738</v>
      </c>
      <c r="Q446" s="472" t="s">
        <v>758</v>
      </c>
      <c r="R446" s="472" t="s">
        <v>12</v>
      </c>
      <c r="S446" s="472" t="s">
        <v>12</v>
      </c>
      <c r="T446" s="472" t="s">
        <v>1264</v>
      </c>
      <c r="U446" s="470" t="s">
        <v>1265</v>
      </c>
      <c r="V446" s="470" t="s">
        <v>761</v>
      </c>
      <c r="W446" s="470" t="s">
        <v>876</v>
      </c>
      <c r="X446" s="470">
        <v>31</v>
      </c>
      <c r="Y446" s="470">
        <v>0</v>
      </c>
      <c r="Z446" s="470">
        <v>0.5</v>
      </c>
      <c r="AA446" s="470">
        <v>30.5</v>
      </c>
      <c r="AB446" s="470">
        <v>30.5</v>
      </c>
      <c r="AC446" s="473">
        <v>55383</v>
      </c>
      <c r="AD446" s="473">
        <v>55383</v>
      </c>
      <c r="AE446" s="473">
        <v>24521</v>
      </c>
      <c r="AF446" s="473">
        <v>9808</v>
      </c>
      <c r="AG446" s="473">
        <v>1574</v>
      </c>
      <c r="AH446" s="473">
        <v>197</v>
      </c>
      <c r="AI446" s="473">
        <v>1230</v>
      </c>
      <c r="AJ446" s="473">
        <v>2043</v>
      </c>
      <c r="AK446" s="473">
        <v>4904</v>
      </c>
      <c r="AL446" s="473">
        <v>3678</v>
      </c>
      <c r="AM446" s="473">
        <v>245</v>
      </c>
      <c r="AN446" s="473">
        <v>858</v>
      </c>
      <c r="AO446" s="473">
        <v>490</v>
      </c>
      <c r="AP446" s="473">
        <v>123</v>
      </c>
      <c r="AQ446" s="473">
        <v>1800</v>
      </c>
      <c r="AR446" s="473">
        <v>3019</v>
      </c>
      <c r="AS446" s="473">
        <v>0</v>
      </c>
      <c r="AT446" s="473">
        <v>0</v>
      </c>
      <c r="AU446" s="473">
        <v>0</v>
      </c>
      <c r="AV446" s="473">
        <v>54490</v>
      </c>
      <c r="AW446" s="474">
        <v>54490</v>
      </c>
      <c r="AX446" s="473">
        <v>0</v>
      </c>
      <c r="AY446" s="473">
        <v>0</v>
      </c>
      <c r="AZ446" s="475">
        <v>0</v>
      </c>
      <c r="BA446" s="475">
        <v>200</v>
      </c>
      <c r="BB446" s="475">
        <v>1800</v>
      </c>
      <c r="BC446" s="475">
        <v>0</v>
      </c>
      <c r="BD446" s="475">
        <v>0</v>
      </c>
      <c r="BE446" s="475">
        <v>0</v>
      </c>
      <c r="BF446" s="475">
        <v>0</v>
      </c>
      <c r="BG446" s="475">
        <v>2000</v>
      </c>
      <c r="BH446" s="476">
        <v>52490</v>
      </c>
      <c r="BI446" s="467"/>
      <c r="BJ446" s="468"/>
    </row>
    <row r="447" spans="1:62">
      <c r="A447" s="469">
        <v>45839</v>
      </c>
      <c r="B447" s="469" t="s">
        <v>747</v>
      </c>
      <c r="C447" s="508" t="s">
        <v>748</v>
      </c>
      <c r="D447" s="470" t="s">
        <v>749</v>
      </c>
      <c r="E447" s="471">
        <v>1488</v>
      </c>
      <c r="F447" s="470" t="s">
        <v>750</v>
      </c>
      <c r="G447" s="470" t="s">
        <v>751</v>
      </c>
      <c r="H447" s="470" t="s">
        <v>12</v>
      </c>
      <c r="I447" s="470" t="s">
        <v>752</v>
      </c>
      <c r="J447" s="472" t="s">
        <v>753</v>
      </c>
      <c r="K447" s="470" t="s">
        <v>754</v>
      </c>
      <c r="L447" s="470" t="s">
        <v>755</v>
      </c>
      <c r="M447" s="470" t="s">
        <v>755</v>
      </c>
      <c r="N447" s="470" t="s">
        <v>756</v>
      </c>
      <c r="O447" s="472" t="s">
        <v>757</v>
      </c>
      <c r="P447" s="472" t="s">
        <v>738</v>
      </c>
      <c r="Q447" s="472" t="s">
        <v>758</v>
      </c>
      <c r="R447" s="472" t="s">
        <v>12</v>
      </c>
      <c r="S447" s="472" t="s">
        <v>12</v>
      </c>
      <c r="T447" s="472" t="s">
        <v>759</v>
      </c>
      <c r="U447" s="470" t="s">
        <v>760</v>
      </c>
      <c r="V447" s="470" t="s">
        <v>761</v>
      </c>
      <c r="W447" s="470" t="s">
        <v>762</v>
      </c>
      <c r="X447" s="470">
        <v>31</v>
      </c>
      <c r="Y447" s="470">
        <v>0</v>
      </c>
      <c r="Z447" s="470">
        <v>1.5</v>
      </c>
      <c r="AA447" s="470">
        <v>29.5</v>
      </c>
      <c r="AB447" s="470">
        <v>29.5</v>
      </c>
      <c r="AC447" s="473">
        <v>42989</v>
      </c>
      <c r="AD447" s="473">
        <v>42989</v>
      </c>
      <c r="AE447" s="473">
        <v>18409</v>
      </c>
      <c r="AF447" s="473">
        <v>7364</v>
      </c>
      <c r="AG447" s="473">
        <v>1523</v>
      </c>
      <c r="AH447" s="473">
        <v>190</v>
      </c>
      <c r="AI447" s="473">
        <v>1190</v>
      </c>
      <c r="AJ447" s="473">
        <v>1533</v>
      </c>
      <c r="AK447" s="473">
        <v>3682</v>
      </c>
      <c r="AL447" s="473">
        <v>2761</v>
      </c>
      <c r="AM447" s="473">
        <v>184</v>
      </c>
      <c r="AN447" s="473">
        <v>644</v>
      </c>
      <c r="AO447" s="473">
        <v>368</v>
      </c>
      <c r="AP447" s="473">
        <v>92</v>
      </c>
      <c r="AQ447" s="473">
        <v>1800</v>
      </c>
      <c r="AR447" s="473">
        <v>1169</v>
      </c>
      <c r="AS447" s="473">
        <v>0</v>
      </c>
      <c r="AT447" s="473">
        <v>1200</v>
      </c>
      <c r="AU447" s="473">
        <v>0</v>
      </c>
      <c r="AV447" s="473">
        <v>42109</v>
      </c>
      <c r="AW447" s="474">
        <v>42109</v>
      </c>
      <c r="AX447" s="473">
        <v>0</v>
      </c>
      <c r="AY447" s="473">
        <v>0</v>
      </c>
      <c r="AZ447" s="475">
        <v>0</v>
      </c>
      <c r="BA447" s="475">
        <v>200</v>
      </c>
      <c r="BB447" s="475">
        <v>1800</v>
      </c>
      <c r="BC447" s="475">
        <v>0</v>
      </c>
      <c r="BD447" s="475">
        <v>0</v>
      </c>
      <c r="BE447" s="475">
        <v>0</v>
      </c>
      <c r="BF447" s="475">
        <v>0</v>
      </c>
      <c r="BG447" s="475">
        <v>2000</v>
      </c>
      <c r="BH447" s="476">
        <v>40109</v>
      </c>
      <c r="BI447" s="467"/>
      <c r="BJ447" s="468"/>
    </row>
    <row r="448" spans="1:62">
      <c r="A448" s="469">
        <v>45839</v>
      </c>
      <c r="B448" s="469" t="s">
        <v>747</v>
      </c>
      <c r="C448" s="508" t="s">
        <v>748</v>
      </c>
      <c r="D448" s="470" t="s">
        <v>749</v>
      </c>
      <c r="E448" s="471">
        <v>241</v>
      </c>
      <c r="F448" s="470" t="s">
        <v>763</v>
      </c>
      <c r="G448" s="470" t="s">
        <v>751</v>
      </c>
      <c r="H448" s="470" t="s">
        <v>12</v>
      </c>
      <c r="I448" s="470" t="s">
        <v>764</v>
      </c>
      <c r="J448" s="472" t="s">
        <v>765</v>
      </c>
      <c r="K448" s="470" t="s">
        <v>766</v>
      </c>
      <c r="L448" s="470" t="s">
        <v>767</v>
      </c>
      <c r="M448" s="470" t="s">
        <v>768</v>
      </c>
      <c r="N448" s="470" t="s">
        <v>756</v>
      </c>
      <c r="O448" s="472" t="s">
        <v>757</v>
      </c>
      <c r="P448" s="472" t="s">
        <v>738</v>
      </c>
      <c r="Q448" s="472" t="s">
        <v>758</v>
      </c>
      <c r="R448" s="472" t="s">
        <v>12</v>
      </c>
      <c r="S448" s="472" t="s">
        <v>12</v>
      </c>
      <c r="T448" s="472" t="s">
        <v>769</v>
      </c>
      <c r="U448" s="470" t="s">
        <v>770</v>
      </c>
      <c r="V448" s="470" t="s">
        <v>761</v>
      </c>
      <c r="W448" s="470" t="s">
        <v>771</v>
      </c>
      <c r="X448" s="470">
        <v>31</v>
      </c>
      <c r="Y448" s="470">
        <v>0</v>
      </c>
      <c r="Z448" s="470">
        <v>0</v>
      </c>
      <c r="AA448" s="470">
        <v>31</v>
      </c>
      <c r="AB448" s="470">
        <v>31</v>
      </c>
      <c r="AC448" s="473">
        <v>66833</v>
      </c>
      <c r="AD448" s="473">
        <v>66833</v>
      </c>
      <c r="AE448" s="473">
        <v>30075</v>
      </c>
      <c r="AF448" s="473">
        <v>12030</v>
      </c>
      <c r="AG448" s="473">
        <v>1600</v>
      </c>
      <c r="AH448" s="473">
        <v>200</v>
      </c>
      <c r="AI448" s="473">
        <v>1250</v>
      </c>
      <c r="AJ448" s="473">
        <v>2505</v>
      </c>
      <c r="AK448" s="473">
        <v>6015</v>
      </c>
      <c r="AL448" s="473">
        <v>4511</v>
      </c>
      <c r="AM448" s="473">
        <v>301</v>
      </c>
      <c r="AN448" s="473">
        <v>1053</v>
      </c>
      <c r="AO448" s="473">
        <v>602</v>
      </c>
      <c r="AP448" s="473">
        <v>150</v>
      </c>
      <c r="AQ448" s="473">
        <v>1800</v>
      </c>
      <c r="AR448" s="473">
        <v>4741</v>
      </c>
      <c r="AS448" s="473">
        <v>0</v>
      </c>
      <c r="AT448" s="473">
        <v>200</v>
      </c>
      <c r="AU448" s="473">
        <v>0</v>
      </c>
      <c r="AV448" s="473">
        <v>67033</v>
      </c>
      <c r="AW448" s="474">
        <v>67033</v>
      </c>
      <c r="AX448" s="473">
        <v>0</v>
      </c>
      <c r="AY448" s="473">
        <v>0</v>
      </c>
      <c r="AZ448" s="475">
        <v>0</v>
      </c>
      <c r="BA448" s="475">
        <v>200</v>
      </c>
      <c r="BB448" s="475">
        <v>1800</v>
      </c>
      <c r="BC448" s="475">
        <v>0</v>
      </c>
      <c r="BD448" s="475">
        <v>0</v>
      </c>
      <c r="BE448" s="475">
        <v>0</v>
      </c>
      <c r="BF448" s="475">
        <v>0</v>
      </c>
      <c r="BG448" s="475">
        <v>2000</v>
      </c>
      <c r="BH448" s="476">
        <v>65033</v>
      </c>
      <c r="BI448" s="467"/>
      <c r="BJ448" s="468"/>
    </row>
    <row r="449" spans="1:62">
      <c r="A449" s="469">
        <v>45839</v>
      </c>
      <c r="B449" s="469" t="s">
        <v>747</v>
      </c>
      <c r="C449" s="508" t="s">
        <v>748</v>
      </c>
      <c r="D449" s="470" t="s">
        <v>749</v>
      </c>
      <c r="E449" s="471">
        <v>2163</v>
      </c>
      <c r="F449" s="470" t="s">
        <v>1267</v>
      </c>
      <c r="G449" s="470" t="s">
        <v>751</v>
      </c>
      <c r="H449" s="470" t="s">
        <v>12</v>
      </c>
      <c r="I449" s="470" t="s">
        <v>1268</v>
      </c>
      <c r="J449" s="472" t="s">
        <v>1269</v>
      </c>
      <c r="K449" s="470" t="s">
        <v>1270</v>
      </c>
      <c r="L449" s="470" t="s">
        <v>1271</v>
      </c>
      <c r="M449" s="470" t="s">
        <v>942</v>
      </c>
      <c r="N449" s="470" t="s">
        <v>756</v>
      </c>
      <c r="O449" s="472" t="s">
        <v>1272</v>
      </c>
      <c r="P449" s="472" t="s">
        <v>738</v>
      </c>
      <c r="Q449" s="472" t="s">
        <v>758</v>
      </c>
      <c r="R449" s="472" t="s">
        <v>12</v>
      </c>
      <c r="S449" s="472" t="s">
        <v>12</v>
      </c>
      <c r="T449" s="472" t="s">
        <v>1273</v>
      </c>
      <c r="U449" s="470" t="s">
        <v>1274</v>
      </c>
      <c r="V449" s="470" t="s">
        <v>761</v>
      </c>
      <c r="W449" s="470" t="s">
        <v>1111</v>
      </c>
      <c r="X449" s="470">
        <v>31</v>
      </c>
      <c r="Y449" s="470">
        <v>0</v>
      </c>
      <c r="Z449" s="470">
        <v>0</v>
      </c>
      <c r="AA449" s="470">
        <v>24</v>
      </c>
      <c r="AB449" s="470">
        <v>24</v>
      </c>
      <c r="AC449" s="473">
        <v>235700</v>
      </c>
      <c r="AD449" s="473">
        <v>235700</v>
      </c>
      <c r="AE449" s="473">
        <v>82115</v>
      </c>
      <c r="AF449" s="473">
        <v>32846</v>
      </c>
      <c r="AG449" s="473">
        <v>1239</v>
      </c>
      <c r="AH449" s="473">
        <v>200</v>
      </c>
      <c r="AI449" s="473">
        <v>968</v>
      </c>
      <c r="AJ449" s="473">
        <v>6840</v>
      </c>
      <c r="AK449" s="473">
        <v>16423</v>
      </c>
      <c r="AL449" s="473">
        <v>12317</v>
      </c>
      <c r="AM449" s="473">
        <v>821</v>
      </c>
      <c r="AN449" s="473">
        <v>2874</v>
      </c>
      <c r="AO449" s="473">
        <v>1642</v>
      </c>
      <c r="AP449" s="473">
        <v>411</v>
      </c>
      <c r="AQ449" s="473">
        <v>1800</v>
      </c>
      <c r="AR449" s="473">
        <v>21981</v>
      </c>
      <c r="AS449" s="473">
        <v>0</v>
      </c>
      <c r="AT449" s="473">
        <v>0</v>
      </c>
      <c r="AU449" s="473">
        <v>0</v>
      </c>
      <c r="AV449" s="473">
        <v>182477</v>
      </c>
      <c r="AW449" s="474">
        <v>182477</v>
      </c>
      <c r="AX449" s="473">
        <v>0</v>
      </c>
      <c r="AY449" s="473">
        <v>0</v>
      </c>
      <c r="AZ449" s="475">
        <v>24449</v>
      </c>
      <c r="BA449" s="475">
        <v>200</v>
      </c>
      <c r="BB449" s="475">
        <v>1800</v>
      </c>
      <c r="BC449" s="475">
        <v>0</v>
      </c>
      <c r="BD449" s="475">
        <v>0</v>
      </c>
      <c r="BE449" s="475">
        <v>0</v>
      </c>
      <c r="BF449" s="475">
        <v>0</v>
      </c>
      <c r="BG449" s="475">
        <v>26449</v>
      </c>
      <c r="BH449" s="476">
        <v>156028</v>
      </c>
      <c r="BI449" s="467"/>
      <c r="BJ449" s="468"/>
    </row>
    <row r="450" spans="1:62">
      <c r="A450" s="469">
        <v>45839</v>
      </c>
      <c r="B450" s="469" t="s">
        <v>747</v>
      </c>
      <c r="C450" s="508" t="s">
        <v>748</v>
      </c>
      <c r="D450" s="470" t="s">
        <v>749</v>
      </c>
      <c r="E450" s="471">
        <v>2020</v>
      </c>
      <c r="F450" s="470" t="s">
        <v>772</v>
      </c>
      <c r="G450" s="470" t="s">
        <v>751</v>
      </c>
      <c r="H450" s="470" t="s">
        <v>12</v>
      </c>
      <c r="I450" s="470" t="s">
        <v>773</v>
      </c>
      <c r="J450" s="472" t="s">
        <v>774</v>
      </c>
      <c r="K450" s="470" t="s">
        <v>775</v>
      </c>
      <c r="L450" s="470" t="s">
        <v>776</v>
      </c>
      <c r="M450" s="470" t="s">
        <v>776</v>
      </c>
      <c r="N450" s="470" t="s">
        <v>777</v>
      </c>
      <c r="O450" s="472" t="s">
        <v>757</v>
      </c>
      <c r="P450" s="472" t="s">
        <v>738</v>
      </c>
      <c r="Q450" s="472" t="s">
        <v>758</v>
      </c>
      <c r="R450" s="472" t="s">
        <v>12</v>
      </c>
      <c r="S450" s="472" t="s">
        <v>12</v>
      </c>
      <c r="T450" s="472" t="s">
        <v>778</v>
      </c>
      <c r="U450" s="470" t="s">
        <v>779</v>
      </c>
      <c r="V450" s="470" t="s">
        <v>761</v>
      </c>
      <c r="W450" s="470" t="s">
        <v>762</v>
      </c>
      <c r="X450" s="470">
        <v>31</v>
      </c>
      <c r="Y450" s="470">
        <v>0</v>
      </c>
      <c r="Z450" s="470">
        <v>0</v>
      </c>
      <c r="AA450" s="470">
        <v>31</v>
      </c>
      <c r="AB450" s="470">
        <v>31</v>
      </c>
      <c r="AC450" s="473">
        <v>68450</v>
      </c>
      <c r="AD450" s="473">
        <v>68450</v>
      </c>
      <c r="AE450" s="473">
        <v>30803</v>
      </c>
      <c r="AF450" s="473">
        <v>12321</v>
      </c>
      <c r="AG450" s="473">
        <v>1600</v>
      </c>
      <c r="AH450" s="473">
        <v>200</v>
      </c>
      <c r="AI450" s="473">
        <v>1250</v>
      </c>
      <c r="AJ450" s="473">
        <v>2566</v>
      </c>
      <c r="AK450" s="473">
        <v>6161</v>
      </c>
      <c r="AL450" s="473">
        <v>4620</v>
      </c>
      <c r="AM450" s="473">
        <v>308</v>
      </c>
      <c r="AN450" s="473">
        <v>1078</v>
      </c>
      <c r="AO450" s="473">
        <v>616</v>
      </c>
      <c r="AP450" s="473">
        <v>154</v>
      </c>
      <c r="AQ450" s="473">
        <v>1800</v>
      </c>
      <c r="AR450" s="473">
        <v>4973</v>
      </c>
      <c r="AS450" s="473">
        <v>0</v>
      </c>
      <c r="AT450" s="473">
        <v>0</v>
      </c>
      <c r="AU450" s="473">
        <v>4273</v>
      </c>
      <c r="AV450" s="473">
        <v>72723</v>
      </c>
      <c r="AW450" s="474">
        <v>68450</v>
      </c>
      <c r="AX450" s="473">
        <v>0</v>
      </c>
      <c r="AY450" s="473">
        <v>0</v>
      </c>
      <c r="AZ450" s="475">
        <v>0</v>
      </c>
      <c r="BA450" s="475">
        <v>200</v>
      </c>
      <c r="BB450" s="475">
        <v>1800</v>
      </c>
      <c r="BC450" s="475">
        <v>0</v>
      </c>
      <c r="BD450" s="475">
        <v>0</v>
      </c>
      <c r="BE450" s="475">
        <v>0</v>
      </c>
      <c r="BF450" s="475">
        <v>0</v>
      </c>
      <c r="BG450" s="475">
        <v>2000</v>
      </c>
      <c r="BH450" s="476">
        <v>70723</v>
      </c>
      <c r="BI450" s="467"/>
      <c r="BJ450" s="468"/>
    </row>
    <row r="451" spans="1:62">
      <c r="A451" s="469">
        <v>45839</v>
      </c>
      <c r="B451" s="469" t="s">
        <v>747</v>
      </c>
      <c r="C451" s="508" t="s">
        <v>748</v>
      </c>
      <c r="D451" s="470" t="s">
        <v>749</v>
      </c>
      <c r="E451" s="471">
        <v>1770</v>
      </c>
      <c r="F451" s="470" t="s">
        <v>780</v>
      </c>
      <c r="G451" s="470" t="s">
        <v>751</v>
      </c>
      <c r="H451" s="470" t="s">
        <v>12</v>
      </c>
      <c r="I451" s="470" t="s">
        <v>781</v>
      </c>
      <c r="J451" s="472" t="s">
        <v>782</v>
      </c>
      <c r="K451" s="470" t="s">
        <v>783</v>
      </c>
      <c r="L451" s="470" t="s">
        <v>776</v>
      </c>
      <c r="M451" s="470" t="s">
        <v>776</v>
      </c>
      <c r="N451" s="470" t="s">
        <v>777</v>
      </c>
      <c r="O451" s="472" t="s">
        <v>757</v>
      </c>
      <c r="P451" s="472" t="s">
        <v>738</v>
      </c>
      <c r="Q451" s="472" t="s">
        <v>758</v>
      </c>
      <c r="R451" s="472" t="s">
        <v>12</v>
      </c>
      <c r="S451" s="472" t="s">
        <v>12</v>
      </c>
      <c r="T451" s="472" t="s">
        <v>784</v>
      </c>
      <c r="U451" s="470" t="s">
        <v>785</v>
      </c>
      <c r="V451" s="470" t="s">
        <v>761</v>
      </c>
      <c r="W451" s="470" t="s">
        <v>786</v>
      </c>
      <c r="X451" s="470">
        <v>31</v>
      </c>
      <c r="Y451" s="470">
        <v>0</v>
      </c>
      <c r="Z451" s="470">
        <v>0</v>
      </c>
      <c r="AA451" s="470">
        <v>31</v>
      </c>
      <c r="AB451" s="470">
        <v>31</v>
      </c>
      <c r="AC451" s="473">
        <v>109350</v>
      </c>
      <c r="AD451" s="473">
        <v>109350</v>
      </c>
      <c r="AE451" s="473">
        <v>49208</v>
      </c>
      <c r="AF451" s="473">
        <v>19683</v>
      </c>
      <c r="AG451" s="473">
        <v>1600</v>
      </c>
      <c r="AH451" s="473">
        <v>200</v>
      </c>
      <c r="AI451" s="473">
        <v>1250</v>
      </c>
      <c r="AJ451" s="473">
        <v>4099</v>
      </c>
      <c r="AK451" s="473">
        <v>9842</v>
      </c>
      <c r="AL451" s="473">
        <v>7381</v>
      </c>
      <c r="AM451" s="473">
        <v>492</v>
      </c>
      <c r="AN451" s="473">
        <v>1722</v>
      </c>
      <c r="AO451" s="473">
        <v>984</v>
      </c>
      <c r="AP451" s="473">
        <v>246</v>
      </c>
      <c r="AQ451" s="473">
        <v>1800</v>
      </c>
      <c r="AR451" s="473">
        <v>10843</v>
      </c>
      <c r="AS451" s="473">
        <v>0</v>
      </c>
      <c r="AT451" s="473">
        <v>0</v>
      </c>
      <c r="AU451" s="473">
        <v>0</v>
      </c>
      <c r="AV451" s="473">
        <v>109350</v>
      </c>
      <c r="AW451" s="474">
        <v>109350</v>
      </c>
      <c r="AX451" s="473">
        <v>0</v>
      </c>
      <c r="AY451" s="473">
        <v>0</v>
      </c>
      <c r="AZ451" s="475">
        <v>7548</v>
      </c>
      <c r="BA451" s="475">
        <v>200</v>
      </c>
      <c r="BB451" s="475">
        <v>1800</v>
      </c>
      <c r="BC451" s="475">
        <v>0</v>
      </c>
      <c r="BD451" s="475">
        <v>0</v>
      </c>
      <c r="BE451" s="475">
        <v>0</v>
      </c>
      <c r="BF451" s="475">
        <v>0</v>
      </c>
      <c r="BG451" s="475">
        <v>9548</v>
      </c>
      <c r="BH451" s="476">
        <v>99802</v>
      </c>
      <c r="BI451" s="467"/>
      <c r="BJ451" s="468"/>
    </row>
    <row r="452" spans="1:62">
      <c r="A452" s="469">
        <v>45839</v>
      </c>
      <c r="B452" s="469" t="s">
        <v>747</v>
      </c>
      <c r="C452" s="508" t="s">
        <v>748</v>
      </c>
      <c r="D452" s="470" t="s">
        <v>749</v>
      </c>
      <c r="E452" s="471">
        <v>2072</v>
      </c>
      <c r="F452" s="470" t="s">
        <v>787</v>
      </c>
      <c r="G452" s="470" t="s">
        <v>751</v>
      </c>
      <c r="H452" s="470" t="s">
        <v>12</v>
      </c>
      <c r="I452" s="470" t="s">
        <v>788</v>
      </c>
      <c r="J452" s="472" t="s">
        <v>789</v>
      </c>
      <c r="K452" s="470" t="s">
        <v>790</v>
      </c>
      <c r="L452" s="470" t="s">
        <v>791</v>
      </c>
      <c r="M452" s="470" t="s">
        <v>791</v>
      </c>
      <c r="N452" s="470" t="s">
        <v>756</v>
      </c>
      <c r="O452" s="472" t="s">
        <v>792</v>
      </c>
      <c r="P452" s="472" t="s">
        <v>738</v>
      </c>
      <c r="Q452" s="472" t="s">
        <v>758</v>
      </c>
      <c r="R452" s="472" t="s">
        <v>12</v>
      </c>
      <c r="S452" s="472" t="s">
        <v>12</v>
      </c>
      <c r="T452" s="472" t="s">
        <v>793</v>
      </c>
      <c r="U452" s="470" t="s">
        <v>794</v>
      </c>
      <c r="V452" s="470" t="s">
        <v>761</v>
      </c>
      <c r="W452" s="470" t="s">
        <v>795</v>
      </c>
      <c r="X452" s="470">
        <v>31</v>
      </c>
      <c r="Y452" s="470">
        <v>0</v>
      </c>
      <c r="Z452" s="470">
        <v>2</v>
      </c>
      <c r="AA452" s="470">
        <v>29</v>
      </c>
      <c r="AB452" s="470">
        <v>29</v>
      </c>
      <c r="AC452" s="473">
        <v>123200</v>
      </c>
      <c r="AD452" s="473">
        <v>123200</v>
      </c>
      <c r="AE452" s="473">
        <v>51863</v>
      </c>
      <c r="AF452" s="473">
        <v>20745</v>
      </c>
      <c r="AG452" s="473">
        <v>1497</v>
      </c>
      <c r="AH452" s="473">
        <v>187</v>
      </c>
      <c r="AI452" s="473">
        <v>1169</v>
      </c>
      <c r="AJ452" s="473">
        <v>4320</v>
      </c>
      <c r="AK452" s="473">
        <v>10373</v>
      </c>
      <c r="AL452" s="473">
        <v>7779</v>
      </c>
      <c r="AM452" s="473">
        <v>519</v>
      </c>
      <c r="AN452" s="473">
        <v>1815</v>
      </c>
      <c r="AO452" s="473">
        <v>1037</v>
      </c>
      <c r="AP452" s="473">
        <v>259</v>
      </c>
      <c r="AQ452" s="473">
        <v>1800</v>
      </c>
      <c r="AR452" s="473">
        <v>11889</v>
      </c>
      <c r="AS452" s="473">
        <v>0</v>
      </c>
      <c r="AT452" s="473">
        <v>0</v>
      </c>
      <c r="AU452" s="473">
        <v>0</v>
      </c>
      <c r="AV452" s="473">
        <v>115252</v>
      </c>
      <c r="AW452" s="474">
        <v>115252</v>
      </c>
      <c r="AX452" s="473">
        <v>0</v>
      </c>
      <c r="AY452" s="473">
        <v>0</v>
      </c>
      <c r="AZ452" s="475">
        <v>7213</v>
      </c>
      <c r="BA452" s="475">
        <v>200</v>
      </c>
      <c r="BB452" s="475">
        <v>1800</v>
      </c>
      <c r="BC452" s="475">
        <v>0</v>
      </c>
      <c r="BD452" s="475">
        <v>0</v>
      </c>
      <c r="BE452" s="475">
        <v>0</v>
      </c>
      <c r="BF452" s="475">
        <v>0</v>
      </c>
      <c r="BG452" s="475">
        <v>9213</v>
      </c>
      <c r="BH452" s="476">
        <v>106039</v>
      </c>
      <c r="BI452" s="467"/>
      <c r="BJ452" s="468"/>
    </row>
    <row r="453" spans="1:62">
      <c r="A453" s="469">
        <v>45839</v>
      </c>
      <c r="B453" s="469" t="s">
        <v>747</v>
      </c>
      <c r="C453" s="508" t="s">
        <v>748</v>
      </c>
      <c r="D453" s="470" t="s">
        <v>749</v>
      </c>
      <c r="E453" s="471">
        <v>1440</v>
      </c>
      <c r="F453" s="470" t="s">
        <v>796</v>
      </c>
      <c r="G453" s="470" t="s">
        <v>751</v>
      </c>
      <c r="H453" s="470" t="s">
        <v>12</v>
      </c>
      <c r="I453" s="470" t="s">
        <v>797</v>
      </c>
      <c r="J453" s="472" t="s">
        <v>798</v>
      </c>
      <c r="K453" s="470" t="s">
        <v>799</v>
      </c>
      <c r="L453" s="470" t="s">
        <v>800</v>
      </c>
      <c r="M453" s="470" t="s">
        <v>801</v>
      </c>
      <c r="N453" s="470" t="s">
        <v>756</v>
      </c>
      <c r="O453" s="472" t="s">
        <v>757</v>
      </c>
      <c r="P453" s="472" t="s">
        <v>738</v>
      </c>
      <c r="Q453" s="472" t="s">
        <v>758</v>
      </c>
      <c r="R453" s="472" t="s">
        <v>12</v>
      </c>
      <c r="S453" s="472" t="s">
        <v>12</v>
      </c>
      <c r="T453" s="472" t="s">
        <v>802</v>
      </c>
      <c r="U453" s="470" t="s">
        <v>803</v>
      </c>
      <c r="V453" s="470" t="s">
        <v>761</v>
      </c>
      <c r="W453" s="470" t="s">
        <v>762</v>
      </c>
      <c r="X453" s="470">
        <v>31</v>
      </c>
      <c r="Y453" s="470">
        <v>0</v>
      </c>
      <c r="Z453" s="470">
        <v>0</v>
      </c>
      <c r="AA453" s="470">
        <v>31</v>
      </c>
      <c r="AB453" s="470">
        <v>31</v>
      </c>
      <c r="AC453" s="473">
        <v>38617</v>
      </c>
      <c r="AD453" s="473">
        <v>38617</v>
      </c>
      <c r="AE453" s="473">
        <v>17378</v>
      </c>
      <c r="AF453" s="473">
        <v>6951</v>
      </c>
      <c r="AG453" s="473">
        <v>1600</v>
      </c>
      <c r="AH453" s="473">
        <v>200</v>
      </c>
      <c r="AI453" s="473">
        <v>1250</v>
      </c>
      <c r="AJ453" s="473">
        <v>0</v>
      </c>
      <c r="AK453" s="473">
        <v>0</v>
      </c>
      <c r="AL453" s="473">
        <v>0</v>
      </c>
      <c r="AM453" s="473">
        <v>0</v>
      </c>
      <c r="AN453" s="473">
        <v>0</v>
      </c>
      <c r="AO453" s="473">
        <v>0</v>
      </c>
      <c r="AP453" s="473">
        <v>0</v>
      </c>
      <c r="AQ453" s="473">
        <v>1800</v>
      </c>
      <c r="AR453" s="473">
        <v>9438</v>
      </c>
      <c r="AS453" s="473">
        <v>0</v>
      </c>
      <c r="AT453" s="473">
        <v>0</v>
      </c>
      <c r="AU453" s="473">
        <v>0</v>
      </c>
      <c r="AV453" s="473">
        <v>38617</v>
      </c>
      <c r="AW453" s="474">
        <v>38617</v>
      </c>
      <c r="AX453" s="473">
        <v>0</v>
      </c>
      <c r="AY453" s="473">
        <v>0</v>
      </c>
      <c r="AZ453" s="475">
        <v>0</v>
      </c>
      <c r="BA453" s="475">
        <v>200</v>
      </c>
      <c r="BB453" s="475">
        <v>1800</v>
      </c>
      <c r="BC453" s="475">
        <v>0</v>
      </c>
      <c r="BD453" s="475">
        <v>0</v>
      </c>
      <c r="BE453" s="475">
        <v>0</v>
      </c>
      <c r="BF453" s="475">
        <v>0</v>
      </c>
      <c r="BG453" s="475">
        <v>2000</v>
      </c>
      <c r="BH453" s="476">
        <v>36617</v>
      </c>
      <c r="BI453" s="467"/>
      <c r="BJ453" s="468"/>
    </row>
    <row r="454" spans="1:62">
      <c r="A454" s="469">
        <v>45839</v>
      </c>
      <c r="B454" s="469" t="s">
        <v>747</v>
      </c>
      <c r="C454" s="508" t="s">
        <v>748</v>
      </c>
      <c r="D454" s="470" t="s">
        <v>749</v>
      </c>
      <c r="E454" s="471">
        <v>1803</v>
      </c>
      <c r="F454" s="470" t="s">
        <v>804</v>
      </c>
      <c r="G454" s="470" t="s">
        <v>751</v>
      </c>
      <c r="H454" s="470" t="s">
        <v>12</v>
      </c>
      <c r="I454" s="470" t="s">
        <v>805</v>
      </c>
      <c r="J454" s="472" t="s">
        <v>806</v>
      </c>
      <c r="K454" s="470" t="s">
        <v>807</v>
      </c>
      <c r="L454" s="470" t="s">
        <v>800</v>
      </c>
      <c r="M454" s="470" t="s">
        <v>801</v>
      </c>
      <c r="N454" s="470" t="s">
        <v>756</v>
      </c>
      <c r="O454" s="472" t="s">
        <v>757</v>
      </c>
      <c r="P454" s="472" t="s">
        <v>738</v>
      </c>
      <c r="Q454" s="472" t="s">
        <v>758</v>
      </c>
      <c r="R454" s="472" t="s">
        <v>12</v>
      </c>
      <c r="S454" s="472" t="s">
        <v>12</v>
      </c>
      <c r="T454" s="472" t="s">
        <v>808</v>
      </c>
      <c r="U454" s="470" t="s">
        <v>809</v>
      </c>
      <c r="V454" s="470" t="s">
        <v>761</v>
      </c>
      <c r="W454" s="470" t="s">
        <v>810</v>
      </c>
      <c r="X454" s="470">
        <v>31</v>
      </c>
      <c r="Y454" s="470">
        <v>0</v>
      </c>
      <c r="Z454" s="470">
        <v>0</v>
      </c>
      <c r="AA454" s="470">
        <v>31</v>
      </c>
      <c r="AB454" s="470">
        <v>31</v>
      </c>
      <c r="AC454" s="473">
        <v>40000</v>
      </c>
      <c r="AD454" s="473">
        <v>40000</v>
      </c>
      <c r="AE454" s="473">
        <v>18000</v>
      </c>
      <c r="AF454" s="473">
        <v>7200</v>
      </c>
      <c r="AG454" s="473">
        <v>1600</v>
      </c>
      <c r="AH454" s="473">
        <v>200</v>
      </c>
      <c r="AI454" s="473">
        <v>1250</v>
      </c>
      <c r="AJ454" s="473">
        <v>0</v>
      </c>
      <c r="AK454" s="473">
        <v>0</v>
      </c>
      <c r="AL454" s="473">
        <v>0</v>
      </c>
      <c r="AM454" s="473">
        <v>0</v>
      </c>
      <c r="AN454" s="473">
        <v>0</v>
      </c>
      <c r="AO454" s="473">
        <v>0</v>
      </c>
      <c r="AP454" s="473">
        <v>0</v>
      </c>
      <c r="AQ454" s="473">
        <v>1800</v>
      </c>
      <c r="AR454" s="473">
        <v>9950</v>
      </c>
      <c r="AS454" s="473">
        <v>0</v>
      </c>
      <c r="AT454" s="473">
        <v>0</v>
      </c>
      <c r="AU454" s="473">
        <v>0</v>
      </c>
      <c r="AV454" s="473">
        <v>40000</v>
      </c>
      <c r="AW454" s="474">
        <v>40000</v>
      </c>
      <c r="AX454" s="473">
        <v>0</v>
      </c>
      <c r="AY454" s="473">
        <v>0</v>
      </c>
      <c r="AZ454" s="475">
        <v>0</v>
      </c>
      <c r="BA454" s="475">
        <v>200</v>
      </c>
      <c r="BB454" s="475">
        <v>1800</v>
      </c>
      <c r="BC454" s="475">
        <v>0</v>
      </c>
      <c r="BD454" s="475">
        <v>0</v>
      </c>
      <c r="BE454" s="475">
        <v>0</v>
      </c>
      <c r="BF454" s="475">
        <v>0</v>
      </c>
      <c r="BG454" s="475">
        <v>2000</v>
      </c>
      <c r="BH454" s="476">
        <v>38000</v>
      </c>
      <c r="BI454" s="467"/>
      <c r="BJ454" s="468"/>
    </row>
    <row r="455" spans="1:62">
      <c r="A455" s="469">
        <v>45839</v>
      </c>
      <c r="B455" s="469" t="s">
        <v>747</v>
      </c>
      <c r="C455" s="508" t="s">
        <v>748</v>
      </c>
      <c r="D455" s="470" t="s">
        <v>749</v>
      </c>
      <c r="E455" s="471">
        <v>1484</v>
      </c>
      <c r="F455" s="470" t="s">
        <v>811</v>
      </c>
      <c r="G455" s="470" t="s">
        <v>812</v>
      </c>
      <c r="H455" s="470" t="s">
        <v>12</v>
      </c>
      <c r="I455" s="470" t="s">
        <v>813</v>
      </c>
      <c r="J455" s="472" t="s">
        <v>814</v>
      </c>
      <c r="K455" s="470" t="s">
        <v>815</v>
      </c>
      <c r="L455" s="470" t="s">
        <v>918</v>
      </c>
      <c r="M455" s="470" t="s">
        <v>918</v>
      </c>
      <c r="N455" s="470" t="s">
        <v>777</v>
      </c>
      <c r="O455" s="472" t="s">
        <v>792</v>
      </c>
      <c r="P455" s="472" t="s">
        <v>738</v>
      </c>
      <c r="Q455" s="472" t="s">
        <v>758</v>
      </c>
      <c r="R455" s="472" t="s">
        <v>12</v>
      </c>
      <c r="S455" s="472" t="s">
        <v>12</v>
      </c>
      <c r="T455" s="472" t="s">
        <v>818</v>
      </c>
      <c r="U455" s="470" t="s">
        <v>819</v>
      </c>
      <c r="V455" s="470" t="s">
        <v>761</v>
      </c>
      <c r="W455" s="470" t="s">
        <v>762</v>
      </c>
      <c r="X455" s="470">
        <v>31</v>
      </c>
      <c r="Y455" s="470">
        <v>0</v>
      </c>
      <c r="Z455" s="470">
        <v>0</v>
      </c>
      <c r="AA455" s="470">
        <v>31</v>
      </c>
      <c r="AB455" s="470">
        <v>31</v>
      </c>
      <c r="AC455" s="473">
        <v>111343</v>
      </c>
      <c r="AD455" s="473">
        <v>111343</v>
      </c>
      <c r="AE455" s="473">
        <v>50104</v>
      </c>
      <c r="AF455" s="473">
        <v>20042</v>
      </c>
      <c r="AG455" s="473">
        <v>1600</v>
      </c>
      <c r="AH455" s="473">
        <v>200</v>
      </c>
      <c r="AI455" s="473">
        <v>1250</v>
      </c>
      <c r="AJ455" s="473">
        <v>4174</v>
      </c>
      <c r="AK455" s="473">
        <v>10021</v>
      </c>
      <c r="AL455" s="473">
        <v>7516</v>
      </c>
      <c r="AM455" s="473">
        <v>501</v>
      </c>
      <c r="AN455" s="473">
        <v>1754</v>
      </c>
      <c r="AO455" s="473">
        <v>1002</v>
      </c>
      <c r="AP455" s="473">
        <v>251</v>
      </c>
      <c r="AQ455" s="473">
        <v>1800</v>
      </c>
      <c r="AR455" s="473">
        <v>11128</v>
      </c>
      <c r="AS455" s="473">
        <v>0</v>
      </c>
      <c r="AT455" s="473">
        <v>0</v>
      </c>
      <c r="AU455" s="473">
        <v>0</v>
      </c>
      <c r="AV455" s="473">
        <v>111343</v>
      </c>
      <c r="AW455" s="474">
        <v>111343</v>
      </c>
      <c r="AX455" s="473">
        <v>0</v>
      </c>
      <c r="AY455" s="473">
        <v>0</v>
      </c>
      <c r="AZ455" s="475">
        <v>8741</v>
      </c>
      <c r="BA455" s="475">
        <v>200</v>
      </c>
      <c r="BB455" s="475">
        <v>1800</v>
      </c>
      <c r="BC455" s="475">
        <v>0</v>
      </c>
      <c r="BD455" s="475">
        <v>0</v>
      </c>
      <c r="BE455" s="475">
        <v>0</v>
      </c>
      <c r="BF455" s="475">
        <v>0</v>
      </c>
      <c r="BG455" s="475">
        <v>10741</v>
      </c>
      <c r="BH455" s="476">
        <v>100602</v>
      </c>
      <c r="BI455" s="467"/>
      <c r="BJ455" s="468"/>
    </row>
    <row r="456" spans="1:62">
      <c r="A456" s="469">
        <v>45839</v>
      </c>
      <c r="B456" s="469" t="s">
        <v>747</v>
      </c>
      <c r="C456" s="508" t="s">
        <v>748</v>
      </c>
      <c r="D456" s="470" t="s">
        <v>749</v>
      </c>
      <c r="E456" s="471">
        <v>1599</v>
      </c>
      <c r="F456" s="470" t="s">
        <v>820</v>
      </c>
      <c r="G456" s="470" t="s">
        <v>751</v>
      </c>
      <c r="H456" s="470" t="s">
        <v>12</v>
      </c>
      <c r="I456" s="470" t="s">
        <v>821</v>
      </c>
      <c r="J456" s="472" t="s">
        <v>822</v>
      </c>
      <c r="K456" s="470" t="s">
        <v>823</v>
      </c>
      <c r="L456" s="470" t="s">
        <v>824</v>
      </c>
      <c r="M456" s="470" t="s">
        <v>824</v>
      </c>
      <c r="N456" s="470" t="s">
        <v>777</v>
      </c>
      <c r="O456" s="472" t="s">
        <v>757</v>
      </c>
      <c r="P456" s="472" t="s">
        <v>738</v>
      </c>
      <c r="Q456" s="472" t="s">
        <v>758</v>
      </c>
      <c r="R456" s="472" t="s">
        <v>12</v>
      </c>
      <c r="S456" s="472" t="s">
        <v>12</v>
      </c>
      <c r="T456" s="472" t="s">
        <v>825</v>
      </c>
      <c r="U456" s="470" t="s">
        <v>826</v>
      </c>
      <c r="V456" s="470" t="s">
        <v>761</v>
      </c>
      <c r="W456" s="470" t="s">
        <v>827</v>
      </c>
      <c r="X456" s="470">
        <v>31</v>
      </c>
      <c r="Y456" s="470">
        <v>0</v>
      </c>
      <c r="Z456" s="470">
        <v>0</v>
      </c>
      <c r="AA456" s="470">
        <v>31</v>
      </c>
      <c r="AB456" s="470">
        <v>31</v>
      </c>
      <c r="AC456" s="473">
        <v>51640</v>
      </c>
      <c r="AD456" s="473">
        <v>51640</v>
      </c>
      <c r="AE456" s="473">
        <v>23238</v>
      </c>
      <c r="AF456" s="473">
        <v>9295</v>
      </c>
      <c r="AG456" s="473">
        <v>1600</v>
      </c>
      <c r="AH456" s="473">
        <v>200</v>
      </c>
      <c r="AI456" s="473">
        <v>1250</v>
      </c>
      <c r="AJ456" s="473">
        <v>1936</v>
      </c>
      <c r="AK456" s="473">
        <v>4648</v>
      </c>
      <c r="AL456" s="473">
        <v>3486</v>
      </c>
      <c r="AM456" s="473">
        <v>232</v>
      </c>
      <c r="AN456" s="473">
        <v>813</v>
      </c>
      <c r="AO456" s="473">
        <v>465</v>
      </c>
      <c r="AP456" s="473">
        <v>116</v>
      </c>
      <c r="AQ456" s="473">
        <v>1800</v>
      </c>
      <c r="AR456" s="473">
        <v>2561</v>
      </c>
      <c r="AS456" s="473">
        <v>0</v>
      </c>
      <c r="AT456" s="473">
        <v>0</v>
      </c>
      <c r="AU456" s="473">
        <v>4211</v>
      </c>
      <c r="AV456" s="473">
        <v>55851</v>
      </c>
      <c r="AW456" s="474">
        <v>51640</v>
      </c>
      <c r="AX456" s="473">
        <v>0</v>
      </c>
      <c r="AY456" s="473">
        <v>0</v>
      </c>
      <c r="AZ456" s="475">
        <v>0</v>
      </c>
      <c r="BA456" s="475">
        <v>200</v>
      </c>
      <c r="BB456" s="475">
        <v>1800</v>
      </c>
      <c r="BC456" s="475">
        <v>0</v>
      </c>
      <c r="BD456" s="475">
        <v>0</v>
      </c>
      <c r="BE456" s="475">
        <v>0</v>
      </c>
      <c r="BF456" s="475">
        <v>0</v>
      </c>
      <c r="BG456" s="475">
        <v>2000</v>
      </c>
      <c r="BH456" s="476">
        <v>53851</v>
      </c>
      <c r="BI456" s="467"/>
      <c r="BJ456" s="468"/>
    </row>
    <row r="457" spans="1:62">
      <c r="A457" s="469">
        <v>45839</v>
      </c>
      <c r="B457" s="469" t="s">
        <v>747</v>
      </c>
      <c r="C457" s="508" t="s">
        <v>748</v>
      </c>
      <c r="D457" s="470" t="s">
        <v>749</v>
      </c>
      <c r="E457" s="471">
        <v>1180</v>
      </c>
      <c r="F457" s="470" t="s">
        <v>828</v>
      </c>
      <c r="G457" s="470" t="s">
        <v>751</v>
      </c>
      <c r="H457" s="470" t="s">
        <v>12</v>
      </c>
      <c r="I457" s="470" t="s">
        <v>829</v>
      </c>
      <c r="J457" s="472" t="s">
        <v>830</v>
      </c>
      <c r="K457" s="470" t="s">
        <v>831</v>
      </c>
      <c r="L457" s="470" t="s">
        <v>832</v>
      </c>
      <c r="M457" s="470" t="s">
        <v>832</v>
      </c>
      <c r="N457" s="470" t="s">
        <v>833</v>
      </c>
      <c r="O457" s="472" t="s">
        <v>757</v>
      </c>
      <c r="P457" s="472" t="s">
        <v>738</v>
      </c>
      <c r="Q457" s="472" t="s">
        <v>758</v>
      </c>
      <c r="R457" s="472" t="s">
        <v>12</v>
      </c>
      <c r="S457" s="472" t="s">
        <v>12</v>
      </c>
      <c r="T457" s="472" t="s">
        <v>834</v>
      </c>
      <c r="U457" s="470" t="s">
        <v>835</v>
      </c>
      <c r="V457" s="470" t="s">
        <v>836</v>
      </c>
      <c r="W457" s="470" t="s">
        <v>837</v>
      </c>
      <c r="X457" s="470">
        <v>31</v>
      </c>
      <c r="Y457" s="470">
        <v>0</v>
      </c>
      <c r="Z457" s="470">
        <v>0</v>
      </c>
      <c r="AA457" s="470">
        <v>31</v>
      </c>
      <c r="AB457" s="470">
        <v>31</v>
      </c>
      <c r="AC457" s="473">
        <v>28042</v>
      </c>
      <c r="AD457" s="473">
        <v>28042</v>
      </c>
      <c r="AE457" s="473">
        <v>12619</v>
      </c>
      <c r="AF457" s="473">
        <v>5048</v>
      </c>
      <c r="AG457" s="473">
        <v>1600</v>
      </c>
      <c r="AH457" s="473">
        <v>200</v>
      </c>
      <c r="AI457" s="473">
        <v>1250</v>
      </c>
      <c r="AJ457" s="473">
        <v>0</v>
      </c>
      <c r="AK457" s="473">
        <v>0</v>
      </c>
      <c r="AL457" s="473">
        <v>0</v>
      </c>
      <c r="AM457" s="473">
        <v>0</v>
      </c>
      <c r="AN457" s="473">
        <v>0</v>
      </c>
      <c r="AO457" s="473">
        <v>0</v>
      </c>
      <c r="AP457" s="473">
        <v>0</v>
      </c>
      <c r="AQ457" s="473">
        <v>1514</v>
      </c>
      <c r="AR457" s="473">
        <v>5811</v>
      </c>
      <c r="AS457" s="473">
        <v>0</v>
      </c>
      <c r="AT457" s="473">
        <v>0</v>
      </c>
      <c r="AU457" s="473">
        <v>5047</v>
      </c>
      <c r="AV457" s="473">
        <v>33089</v>
      </c>
      <c r="AW457" s="474">
        <v>28042</v>
      </c>
      <c r="AX457" s="473">
        <v>0</v>
      </c>
      <c r="AY457" s="473">
        <v>0</v>
      </c>
      <c r="AZ457" s="475">
        <v>0</v>
      </c>
      <c r="BA457" s="475">
        <v>200</v>
      </c>
      <c r="BB457" s="475">
        <v>1514</v>
      </c>
      <c r="BC457" s="475">
        <v>0</v>
      </c>
      <c r="BD457" s="475">
        <v>0</v>
      </c>
      <c r="BE457" s="475">
        <v>0</v>
      </c>
      <c r="BF457" s="475">
        <v>0</v>
      </c>
      <c r="BG457" s="475">
        <v>1714</v>
      </c>
      <c r="BH457" s="476">
        <v>31375</v>
      </c>
      <c r="BI457" s="467"/>
      <c r="BJ457" s="468"/>
    </row>
    <row r="458" spans="1:62">
      <c r="A458" s="469">
        <v>45839</v>
      </c>
      <c r="B458" s="469" t="s">
        <v>747</v>
      </c>
      <c r="C458" s="508" t="s">
        <v>748</v>
      </c>
      <c r="D458" s="470" t="s">
        <v>749</v>
      </c>
      <c r="E458" s="471">
        <v>48</v>
      </c>
      <c r="F458" s="470" t="s">
        <v>838</v>
      </c>
      <c r="G458" s="470" t="s">
        <v>751</v>
      </c>
      <c r="H458" s="470" t="s">
        <v>12</v>
      </c>
      <c r="I458" s="470" t="s">
        <v>839</v>
      </c>
      <c r="J458" s="472" t="s">
        <v>840</v>
      </c>
      <c r="K458" s="470" t="s">
        <v>841</v>
      </c>
      <c r="L458" s="470" t="s">
        <v>842</v>
      </c>
      <c r="M458" s="470" t="s">
        <v>842</v>
      </c>
      <c r="N458" s="470" t="s">
        <v>777</v>
      </c>
      <c r="O458" s="472" t="s">
        <v>792</v>
      </c>
      <c r="P458" s="472" t="s">
        <v>738</v>
      </c>
      <c r="Q458" s="472" t="s">
        <v>758</v>
      </c>
      <c r="R458" s="472" t="s">
        <v>12</v>
      </c>
      <c r="S458" s="472" t="s">
        <v>12</v>
      </c>
      <c r="T458" s="472" t="s">
        <v>843</v>
      </c>
      <c r="U458" s="470" t="s">
        <v>844</v>
      </c>
      <c r="V458" s="470" t="s">
        <v>761</v>
      </c>
      <c r="W458" s="470" t="s">
        <v>845</v>
      </c>
      <c r="X458" s="470">
        <v>31</v>
      </c>
      <c r="Y458" s="470">
        <v>0</v>
      </c>
      <c r="Z458" s="470">
        <v>1</v>
      </c>
      <c r="AA458" s="470">
        <v>30</v>
      </c>
      <c r="AB458" s="470">
        <v>30</v>
      </c>
      <c r="AC458" s="473">
        <v>107967</v>
      </c>
      <c r="AD458" s="473">
        <v>107967</v>
      </c>
      <c r="AE458" s="473">
        <v>47018</v>
      </c>
      <c r="AF458" s="473">
        <v>18807</v>
      </c>
      <c r="AG458" s="473">
        <v>1548</v>
      </c>
      <c r="AH458" s="473">
        <v>194</v>
      </c>
      <c r="AI458" s="473">
        <v>1210</v>
      </c>
      <c r="AJ458" s="473">
        <v>3917</v>
      </c>
      <c r="AK458" s="473">
        <v>9404</v>
      </c>
      <c r="AL458" s="473">
        <v>7053</v>
      </c>
      <c r="AM458" s="473">
        <v>470</v>
      </c>
      <c r="AN458" s="473">
        <v>1646</v>
      </c>
      <c r="AO458" s="473">
        <v>940</v>
      </c>
      <c r="AP458" s="473">
        <v>235</v>
      </c>
      <c r="AQ458" s="473">
        <v>1800</v>
      </c>
      <c r="AR458" s="473">
        <v>10242</v>
      </c>
      <c r="AS458" s="473">
        <v>0</v>
      </c>
      <c r="AT458" s="473">
        <v>0</v>
      </c>
      <c r="AU458" s="473">
        <v>0</v>
      </c>
      <c r="AV458" s="473">
        <v>104484</v>
      </c>
      <c r="AW458" s="474">
        <v>104484</v>
      </c>
      <c r="AX458" s="473">
        <v>0</v>
      </c>
      <c r="AY458" s="473">
        <v>0</v>
      </c>
      <c r="AZ458" s="475">
        <v>5812</v>
      </c>
      <c r="BA458" s="475">
        <v>200</v>
      </c>
      <c r="BB458" s="475">
        <v>1800</v>
      </c>
      <c r="BC458" s="475">
        <v>0</v>
      </c>
      <c r="BD458" s="475">
        <v>0</v>
      </c>
      <c r="BE458" s="475">
        <v>0</v>
      </c>
      <c r="BF458" s="475">
        <v>15000</v>
      </c>
      <c r="BG458" s="475">
        <v>22812</v>
      </c>
      <c r="BH458" s="476">
        <v>81672</v>
      </c>
      <c r="BI458" s="467"/>
      <c r="BJ458" s="468"/>
    </row>
    <row r="459" spans="1:62">
      <c r="A459" s="469">
        <v>45839</v>
      </c>
      <c r="B459" s="469" t="s">
        <v>747</v>
      </c>
      <c r="C459" s="508" t="s">
        <v>748</v>
      </c>
      <c r="D459" s="470" t="s">
        <v>749</v>
      </c>
      <c r="E459" s="471">
        <v>2017</v>
      </c>
      <c r="F459" s="470" t="s">
        <v>846</v>
      </c>
      <c r="G459" s="470" t="s">
        <v>751</v>
      </c>
      <c r="H459" s="470" t="s">
        <v>12</v>
      </c>
      <c r="I459" s="470" t="s">
        <v>847</v>
      </c>
      <c r="J459" s="472" t="s">
        <v>848</v>
      </c>
      <c r="K459" s="470" t="s">
        <v>849</v>
      </c>
      <c r="L459" s="470" t="s">
        <v>824</v>
      </c>
      <c r="M459" s="470" t="s">
        <v>824</v>
      </c>
      <c r="N459" s="470" t="s">
        <v>777</v>
      </c>
      <c r="O459" s="472" t="s">
        <v>757</v>
      </c>
      <c r="P459" s="472" t="s">
        <v>738</v>
      </c>
      <c r="Q459" s="472" t="s">
        <v>758</v>
      </c>
      <c r="R459" s="472" t="s">
        <v>12</v>
      </c>
      <c r="S459" s="472" t="s">
        <v>12</v>
      </c>
      <c r="T459" s="472" t="s">
        <v>850</v>
      </c>
      <c r="U459" s="470" t="s">
        <v>851</v>
      </c>
      <c r="V459" s="470" t="s">
        <v>761</v>
      </c>
      <c r="W459" s="470" t="s">
        <v>762</v>
      </c>
      <c r="X459" s="470">
        <v>31</v>
      </c>
      <c r="Y459" s="470">
        <v>0</v>
      </c>
      <c r="Z459" s="470">
        <v>0</v>
      </c>
      <c r="AA459" s="470">
        <v>31</v>
      </c>
      <c r="AB459" s="470">
        <v>31</v>
      </c>
      <c r="AC459" s="473">
        <v>56533</v>
      </c>
      <c r="AD459" s="473">
        <v>56533</v>
      </c>
      <c r="AE459" s="473">
        <v>25440</v>
      </c>
      <c r="AF459" s="473">
        <v>10176</v>
      </c>
      <c r="AG459" s="473">
        <v>1600</v>
      </c>
      <c r="AH459" s="473">
        <v>200</v>
      </c>
      <c r="AI459" s="473">
        <v>1250</v>
      </c>
      <c r="AJ459" s="473">
        <v>2119</v>
      </c>
      <c r="AK459" s="473">
        <v>5088</v>
      </c>
      <c r="AL459" s="473">
        <v>3816</v>
      </c>
      <c r="AM459" s="473">
        <v>254</v>
      </c>
      <c r="AN459" s="473">
        <v>890</v>
      </c>
      <c r="AO459" s="473">
        <v>509</v>
      </c>
      <c r="AP459" s="473">
        <v>127</v>
      </c>
      <c r="AQ459" s="473">
        <v>1800</v>
      </c>
      <c r="AR459" s="473">
        <v>3264</v>
      </c>
      <c r="AS459" s="473">
        <v>0</v>
      </c>
      <c r="AT459" s="473">
        <v>0</v>
      </c>
      <c r="AU459" s="473">
        <v>5131</v>
      </c>
      <c r="AV459" s="473">
        <v>61664</v>
      </c>
      <c r="AW459" s="474">
        <v>56533</v>
      </c>
      <c r="AX459" s="473">
        <v>0</v>
      </c>
      <c r="AY459" s="473">
        <v>0</v>
      </c>
      <c r="AZ459" s="475">
        <v>0</v>
      </c>
      <c r="BA459" s="475">
        <v>200</v>
      </c>
      <c r="BB459" s="475">
        <v>1800</v>
      </c>
      <c r="BC459" s="475">
        <v>0</v>
      </c>
      <c r="BD459" s="475">
        <v>0</v>
      </c>
      <c r="BE459" s="475">
        <v>0</v>
      </c>
      <c r="BF459" s="475">
        <v>0</v>
      </c>
      <c r="BG459" s="475">
        <v>2000</v>
      </c>
      <c r="BH459" s="476">
        <v>59664</v>
      </c>
      <c r="BI459" s="467"/>
      <c r="BJ459" s="468"/>
    </row>
    <row r="460" spans="1:62">
      <c r="A460" s="469">
        <v>45839</v>
      </c>
      <c r="B460" s="469" t="s">
        <v>747</v>
      </c>
      <c r="C460" s="508" t="s">
        <v>748</v>
      </c>
      <c r="D460" s="470" t="s">
        <v>749</v>
      </c>
      <c r="E460" s="471">
        <v>1914</v>
      </c>
      <c r="F460" s="470" t="s">
        <v>852</v>
      </c>
      <c r="G460" s="470" t="s">
        <v>751</v>
      </c>
      <c r="H460" s="470" t="s">
        <v>12</v>
      </c>
      <c r="I460" s="470" t="s">
        <v>853</v>
      </c>
      <c r="J460" s="472" t="s">
        <v>854</v>
      </c>
      <c r="K460" s="470" t="s">
        <v>855</v>
      </c>
      <c r="L460" s="470" t="s">
        <v>856</v>
      </c>
      <c r="M460" s="470" t="s">
        <v>856</v>
      </c>
      <c r="N460" s="470" t="s">
        <v>756</v>
      </c>
      <c r="O460" s="472" t="s">
        <v>757</v>
      </c>
      <c r="P460" s="472" t="s">
        <v>738</v>
      </c>
      <c r="Q460" s="472" t="s">
        <v>758</v>
      </c>
      <c r="R460" s="472" t="s">
        <v>12</v>
      </c>
      <c r="S460" s="472" t="s">
        <v>12</v>
      </c>
      <c r="T460" s="472" t="s">
        <v>857</v>
      </c>
      <c r="U460" s="470" t="s">
        <v>858</v>
      </c>
      <c r="V460" s="470" t="s">
        <v>761</v>
      </c>
      <c r="W460" s="470" t="s">
        <v>859</v>
      </c>
      <c r="X460" s="470">
        <v>31</v>
      </c>
      <c r="Y460" s="470">
        <v>0</v>
      </c>
      <c r="Z460" s="470">
        <v>0</v>
      </c>
      <c r="AA460" s="470">
        <v>31</v>
      </c>
      <c r="AB460" s="470">
        <v>31</v>
      </c>
      <c r="AC460" s="473">
        <v>74033</v>
      </c>
      <c r="AD460" s="473">
        <v>74033</v>
      </c>
      <c r="AE460" s="473">
        <v>33315</v>
      </c>
      <c r="AF460" s="473">
        <v>13326</v>
      </c>
      <c r="AG460" s="473">
        <v>1600</v>
      </c>
      <c r="AH460" s="473">
        <v>200</v>
      </c>
      <c r="AI460" s="473">
        <v>1250</v>
      </c>
      <c r="AJ460" s="473">
        <v>2775</v>
      </c>
      <c r="AK460" s="473">
        <v>6663</v>
      </c>
      <c r="AL460" s="473">
        <v>4997</v>
      </c>
      <c r="AM460" s="473">
        <v>333</v>
      </c>
      <c r="AN460" s="473">
        <v>1166</v>
      </c>
      <c r="AO460" s="473">
        <v>666</v>
      </c>
      <c r="AP460" s="473">
        <v>167</v>
      </c>
      <c r="AQ460" s="473">
        <v>1800</v>
      </c>
      <c r="AR460" s="473">
        <v>5775</v>
      </c>
      <c r="AS460" s="473">
        <v>0</v>
      </c>
      <c r="AT460" s="473">
        <v>0</v>
      </c>
      <c r="AU460" s="473">
        <v>880</v>
      </c>
      <c r="AV460" s="473">
        <v>74913</v>
      </c>
      <c r="AW460" s="474">
        <v>74033</v>
      </c>
      <c r="AX460" s="473">
        <v>0</v>
      </c>
      <c r="AY460" s="473">
        <v>0</v>
      </c>
      <c r="AZ460" s="475">
        <v>0</v>
      </c>
      <c r="BA460" s="475">
        <v>200</v>
      </c>
      <c r="BB460" s="475">
        <v>1800</v>
      </c>
      <c r="BC460" s="475">
        <v>0</v>
      </c>
      <c r="BD460" s="475">
        <v>0</v>
      </c>
      <c r="BE460" s="475">
        <v>0</v>
      </c>
      <c r="BF460" s="475">
        <v>0</v>
      </c>
      <c r="BG460" s="475">
        <v>2000</v>
      </c>
      <c r="BH460" s="476">
        <v>72913</v>
      </c>
      <c r="BI460" s="467"/>
      <c r="BJ460" s="468"/>
    </row>
    <row r="461" spans="1:62">
      <c r="A461" s="469">
        <v>45839</v>
      </c>
      <c r="B461" s="469" t="s">
        <v>747</v>
      </c>
      <c r="C461" s="508" t="s">
        <v>748</v>
      </c>
      <c r="D461" s="470" t="s">
        <v>749</v>
      </c>
      <c r="E461" s="471">
        <v>1209</v>
      </c>
      <c r="F461" s="470" t="s">
        <v>868</v>
      </c>
      <c r="G461" s="470" t="s">
        <v>751</v>
      </c>
      <c r="H461" s="470" t="s">
        <v>12</v>
      </c>
      <c r="I461" s="470" t="s">
        <v>869</v>
      </c>
      <c r="J461" s="472" t="s">
        <v>870</v>
      </c>
      <c r="K461" s="470" t="s">
        <v>871</v>
      </c>
      <c r="L461" s="470" t="s">
        <v>873</v>
      </c>
      <c r="M461" s="470" t="s">
        <v>873</v>
      </c>
      <c r="N461" s="470" t="s">
        <v>833</v>
      </c>
      <c r="O461" s="472" t="s">
        <v>757</v>
      </c>
      <c r="P461" s="472" t="s">
        <v>738</v>
      </c>
      <c r="Q461" s="472" t="s">
        <v>758</v>
      </c>
      <c r="R461" s="472" t="s">
        <v>12</v>
      </c>
      <c r="S461" s="472" t="s">
        <v>12</v>
      </c>
      <c r="T461" s="472" t="s">
        <v>874</v>
      </c>
      <c r="U461" s="470" t="s">
        <v>875</v>
      </c>
      <c r="V461" s="470" t="s">
        <v>761</v>
      </c>
      <c r="W461" s="470" t="s">
        <v>876</v>
      </c>
      <c r="X461" s="470">
        <v>31</v>
      </c>
      <c r="Y461" s="470">
        <v>0</v>
      </c>
      <c r="Z461" s="470">
        <v>0</v>
      </c>
      <c r="AA461" s="470">
        <v>31</v>
      </c>
      <c r="AB461" s="470">
        <v>31</v>
      </c>
      <c r="AC461" s="473">
        <v>79575</v>
      </c>
      <c r="AD461" s="473">
        <v>79575</v>
      </c>
      <c r="AE461" s="473">
        <v>35809</v>
      </c>
      <c r="AF461" s="473">
        <v>14324</v>
      </c>
      <c r="AG461" s="473">
        <v>1600</v>
      </c>
      <c r="AH461" s="473">
        <v>200</v>
      </c>
      <c r="AI461" s="473">
        <v>1250</v>
      </c>
      <c r="AJ461" s="473">
        <v>2983</v>
      </c>
      <c r="AK461" s="473">
        <v>7162</v>
      </c>
      <c r="AL461" s="473">
        <v>5371</v>
      </c>
      <c r="AM461" s="473">
        <v>358</v>
      </c>
      <c r="AN461" s="473">
        <v>1253</v>
      </c>
      <c r="AO461" s="473">
        <v>716</v>
      </c>
      <c r="AP461" s="473">
        <v>179</v>
      </c>
      <c r="AQ461" s="473">
        <v>1800</v>
      </c>
      <c r="AR461" s="473">
        <v>6570</v>
      </c>
      <c r="AS461" s="473">
        <v>0</v>
      </c>
      <c r="AT461" s="473">
        <v>0</v>
      </c>
      <c r="AU461" s="473">
        <v>424</v>
      </c>
      <c r="AV461" s="473">
        <v>79999</v>
      </c>
      <c r="AW461" s="474">
        <v>79575</v>
      </c>
      <c r="AX461" s="473">
        <v>0</v>
      </c>
      <c r="AY461" s="473">
        <v>0</v>
      </c>
      <c r="AZ461" s="475">
        <v>0</v>
      </c>
      <c r="BA461" s="475">
        <v>200</v>
      </c>
      <c r="BB461" s="475">
        <v>1800</v>
      </c>
      <c r="BC461" s="475">
        <v>0</v>
      </c>
      <c r="BD461" s="475">
        <v>0</v>
      </c>
      <c r="BE461" s="475">
        <v>0</v>
      </c>
      <c r="BF461" s="475">
        <v>0</v>
      </c>
      <c r="BG461" s="475">
        <v>2000</v>
      </c>
      <c r="BH461" s="476">
        <v>77999</v>
      </c>
      <c r="BI461" s="467"/>
      <c r="BJ461" s="468"/>
    </row>
    <row r="462" spans="1:62">
      <c r="A462" s="469">
        <v>45839</v>
      </c>
      <c r="B462" s="469" t="s">
        <v>747</v>
      </c>
      <c r="C462" s="508" t="s">
        <v>748</v>
      </c>
      <c r="D462" s="470" t="s">
        <v>749</v>
      </c>
      <c r="E462" s="471">
        <v>1517</v>
      </c>
      <c r="F462" s="470" t="s">
        <v>877</v>
      </c>
      <c r="G462" s="470" t="s">
        <v>751</v>
      </c>
      <c r="H462" s="470" t="s">
        <v>12</v>
      </c>
      <c r="I462" s="470" t="s">
        <v>878</v>
      </c>
      <c r="J462" s="472" t="s">
        <v>879</v>
      </c>
      <c r="K462" s="470" t="s">
        <v>880</v>
      </c>
      <c r="L462" s="470" t="s">
        <v>881</v>
      </c>
      <c r="M462" s="470" t="s">
        <v>881</v>
      </c>
      <c r="N462" s="470" t="s">
        <v>833</v>
      </c>
      <c r="O462" s="472" t="s">
        <v>757</v>
      </c>
      <c r="P462" s="472" t="s">
        <v>738</v>
      </c>
      <c r="Q462" s="472" t="s">
        <v>758</v>
      </c>
      <c r="R462" s="472" t="s">
        <v>12</v>
      </c>
      <c r="S462" s="472" t="s">
        <v>12</v>
      </c>
      <c r="T462" s="472" t="s">
        <v>882</v>
      </c>
      <c r="U462" s="470" t="s">
        <v>883</v>
      </c>
      <c r="V462" s="470" t="s">
        <v>761</v>
      </c>
      <c r="W462" s="470" t="s">
        <v>859</v>
      </c>
      <c r="X462" s="470">
        <v>31</v>
      </c>
      <c r="Y462" s="470">
        <v>0</v>
      </c>
      <c r="Z462" s="470">
        <v>0.5</v>
      </c>
      <c r="AA462" s="470">
        <v>30.5</v>
      </c>
      <c r="AB462" s="470">
        <v>30.5</v>
      </c>
      <c r="AC462" s="473">
        <v>47190</v>
      </c>
      <c r="AD462" s="473">
        <v>47190</v>
      </c>
      <c r="AE462" s="473">
        <v>20893</v>
      </c>
      <c r="AF462" s="473">
        <v>8357</v>
      </c>
      <c r="AG462" s="473">
        <v>1574</v>
      </c>
      <c r="AH462" s="473">
        <v>197</v>
      </c>
      <c r="AI462" s="473">
        <v>1230</v>
      </c>
      <c r="AJ462" s="473">
        <v>1740</v>
      </c>
      <c r="AK462" s="473">
        <v>4179</v>
      </c>
      <c r="AL462" s="473">
        <v>3134</v>
      </c>
      <c r="AM462" s="473">
        <v>209</v>
      </c>
      <c r="AN462" s="473">
        <v>731</v>
      </c>
      <c r="AO462" s="473">
        <v>418</v>
      </c>
      <c r="AP462" s="473">
        <v>104</v>
      </c>
      <c r="AQ462" s="473">
        <v>1800</v>
      </c>
      <c r="AR462" s="473">
        <v>1863</v>
      </c>
      <c r="AS462" s="473">
        <v>0</v>
      </c>
      <c r="AT462" s="473">
        <v>0</v>
      </c>
      <c r="AU462" s="473">
        <v>0</v>
      </c>
      <c r="AV462" s="473">
        <v>46429</v>
      </c>
      <c r="AW462" s="474">
        <v>46429</v>
      </c>
      <c r="AX462" s="473">
        <v>0</v>
      </c>
      <c r="AY462" s="473">
        <v>0</v>
      </c>
      <c r="AZ462" s="475">
        <v>0</v>
      </c>
      <c r="BA462" s="475">
        <v>200</v>
      </c>
      <c r="BB462" s="475">
        <v>1800</v>
      </c>
      <c r="BC462" s="475">
        <v>0</v>
      </c>
      <c r="BD462" s="475">
        <v>0</v>
      </c>
      <c r="BE462" s="475">
        <v>0</v>
      </c>
      <c r="BF462" s="475">
        <v>0</v>
      </c>
      <c r="BG462" s="475">
        <v>2000</v>
      </c>
      <c r="BH462" s="476">
        <v>44429</v>
      </c>
      <c r="BI462" s="467"/>
      <c r="BJ462" s="468"/>
    </row>
    <row r="463" spans="1:62">
      <c r="A463" s="469">
        <v>45839</v>
      </c>
      <c r="B463" s="469" t="s">
        <v>747</v>
      </c>
      <c r="C463" s="508" t="s">
        <v>748</v>
      </c>
      <c r="D463" s="470" t="s">
        <v>749</v>
      </c>
      <c r="E463" s="471">
        <v>1202</v>
      </c>
      <c r="F463" s="470" t="s">
        <v>884</v>
      </c>
      <c r="G463" s="470" t="s">
        <v>751</v>
      </c>
      <c r="H463" s="470" t="s">
        <v>12</v>
      </c>
      <c r="I463" s="470" t="s">
        <v>885</v>
      </c>
      <c r="J463" s="472" t="s">
        <v>886</v>
      </c>
      <c r="K463" s="470" t="s">
        <v>887</v>
      </c>
      <c r="L463" s="470" t="s">
        <v>816</v>
      </c>
      <c r="M463" s="470" t="s">
        <v>816</v>
      </c>
      <c r="N463" s="470" t="s">
        <v>777</v>
      </c>
      <c r="O463" s="472" t="s">
        <v>757</v>
      </c>
      <c r="P463" s="472" t="s">
        <v>738</v>
      </c>
      <c r="Q463" s="472" t="s">
        <v>758</v>
      </c>
      <c r="R463" s="472" t="s">
        <v>12</v>
      </c>
      <c r="S463" s="472" t="s">
        <v>12</v>
      </c>
      <c r="T463" s="472" t="s">
        <v>888</v>
      </c>
      <c r="U463" s="470" t="s">
        <v>889</v>
      </c>
      <c r="V463" s="470" t="s">
        <v>761</v>
      </c>
      <c r="W463" s="470" t="s">
        <v>762</v>
      </c>
      <c r="X463" s="470">
        <v>31</v>
      </c>
      <c r="Y463" s="470">
        <v>0</v>
      </c>
      <c r="Z463" s="470">
        <v>1</v>
      </c>
      <c r="AA463" s="470">
        <v>30</v>
      </c>
      <c r="AB463" s="470">
        <v>30</v>
      </c>
      <c r="AC463" s="473">
        <v>98333</v>
      </c>
      <c r="AD463" s="473">
        <v>98333</v>
      </c>
      <c r="AE463" s="473">
        <v>42822</v>
      </c>
      <c r="AF463" s="473">
        <v>17129</v>
      </c>
      <c r="AG463" s="473">
        <v>1548</v>
      </c>
      <c r="AH463" s="473">
        <v>194</v>
      </c>
      <c r="AI463" s="473">
        <v>1210</v>
      </c>
      <c r="AJ463" s="473">
        <v>3567</v>
      </c>
      <c r="AK463" s="473">
        <v>8564</v>
      </c>
      <c r="AL463" s="473">
        <v>6423</v>
      </c>
      <c r="AM463" s="473">
        <v>428</v>
      </c>
      <c r="AN463" s="473">
        <v>1499</v>
      </c>
      <c r="AO463" s="473">
        <v>856</v>
      </c>
      <c r="AP463" s="473">
        <v>214</v>
      </c>
      <c r="AQ463" s="473">
        <v>1800</v>
      </c>
      <c r="AR463" s="473">
        <v>8907</v>
      </c>
      <c r="AS463" s="473">
        <v>0</v>
      </c>
      <c r="AT463" s="473">
        <v>0</v>
      </c>
      <c r="AU463" s="473">
        <v>2507</v>
      </c>
      <c r="AV463" s="473">
        <v>97668</v>
      </c>
      <c r="AW463" s="474">
        <v>95161</v>
      </c>
      <c r="AX463" s="473">
        <v>0</v>
      </c>
      <c r="AY463" s="473">
        <v>0</v>
      </c>
      <c r="AZ463" s="475">
        <v>0</v>
      </c>
      <c r="BA463" s="475">
        <v>200</v>
      </c>
      <c r="BB463" s="475">
        <v>1800</v>
      </c>
      <c r="BC463" s="475">
        <v>0</v>
      </c>
      <c r="BD463" s="475">
        <v>0</v>
      </c>
      <c r="BE463" s="475">
        <v>0</v>
      </c>
      <c r="BF463" s="475">
        <v>0</v>
      </c>
      <c r="BG463" s="475">
        <v>2000</v>
      </c>
      <c r="BH463" s="476">
        <v>95668</v>
      </c>
      <c r="BI463" s="467"/>
      <c r="BJ463" s="468"/>
    </row>
    <row r="464" spans="1:62">
      <c r="A464" s="469">
        <v>45839</v>
      </c>
      <c r="B464" s="469" t="s">
        <v>747</v>
      </c>
      <c r="C464" s="508" t="s">
        <v>748</v>
      </c>
      <c r="D464" s="470" t="s">
        <v>749</v>
      </c>
      <c r="E464" s="471">
        <v>1205</v>
      </c>
      <c r="F464" s="470" t="s">
        <v>890</v>
      </c>
      <c r="G464" s="470" t="s">
        <v>751</v>
      </c>
      <c r="H464" s="470" t="s">
        <v>12</v>
      </c>
      <c r="I464" s="470" t="s">
        <v>891</v>
      </c>
      <c r="J464" s="472" t="s">
        <v>892</v>
      </c>
      <c r="K464" s="470" t="s">
        <v>893</v>
      </c>
      <c r="L464" s="470" t="s">
        <v>894</v>
      </c>
      <c r="M464" s="470" t="s">
        <v>895</v>
      </c>
      <c r="N464" s="470" t="s">
        <v>777</v>
      </c>
      <c r="O464" s="472" t="s">
        <v>757</v>
      </c>
      <c r="P464" s="472" t="s">
        <v>738</v>
      </c>
      <c r="Q464" s="472" t="s">
        <v>758</v>
      </c>
      <c r="R464" s="472" t="s">
        <v>12</v>
      </c>
      <c r="S464" s="472" t="s">
        <v>12</v>
      </c>
      <c r="T464" s="472" t="s">
        <v>896</v>
      </c>
      <c r="U464" s="470" t="s">
        <v>897</v>
      </c>
      <c r="V464" s="470" t="s">
        <v>761</v>
      </c>
      <c r="W464" s="470" t="s">
        <v>898</v>
      </c>
      <c r="X464" s="470">
        <v>31</v>
      </c>
      <c r="Y464" s="470">
        <v>0</v>
      </c>
      <c r="Z464" s="470">
        <v>3</v>
      </c>
      <c r="AA464" s="470">
        <v>28</v>
      </c>
      <c r="AB464" s="470">
        <v>28</v>
      </c>
      <c r="AC464" s="473">
        <v>32307</v>
      </c>
      <c r="AD464" s="473">
        <v>32307</v>
      </c>
      <c r="AE464" s="473">
        <v>13131</v>
      </c>
      <c r="AF464" s="473">
        <v>5252</v>
      </c>
      <c r="AG464" s="473">
        <v>1445</v>
      </c>
      <c r="AH464" s="473">
        <v>181</v>
      </c>
      <c r="AI464" s="473">
        <v>1129</v>
      </c>
      <c r="AJ464" s="473">
        <v>0</v>
      </c>
      <c r="AK464" s="473">
        <v>0</v>
      </c>
      <c r="AL464" s="473">
        <v>0</v>
      </c>
      <c r="AM464" s="473">
        <v>0</v>
      </c>
      <c r="AN464" s="473">
        <v>0</v>
      </c>
      <c r="AO464" s="473">
        <v>0</v>
      </c>
      <c r="AP464" s="473">
        <v>0</v>
      </c>
      <c r="AQ464" s="473">
        <v>1576</v>
      </c>
      <c r="AR464" s="473">
        <v>6467</v>
      </c>
      <c r="AS464" s="473">
        <v>0</v>
      </c>
      <c r="AT464" s="473">
        <v>0</v>
      </c>
      <c r="AU464" s="473">
        <v>3469</v>
      </c>
      <c r="AV464" s="473">
        <v>32650</v>
      </c>
      <c r="AW464" s="474">
        <v>29181</v>
      </c>
      <c r="AX464" s="473">
        <v>0</v>
      </c>
      <c r="AY464" s="473">
        <v>0</v>
      </c>
      <c r="AZ464" s="475">
        <v>0</v>
      </c>
      <c r="BA464" s="475">
        <v>200</v>
      </c>
      <c r="BB464" s="475">
        <v>1576</v>
      </c>
      <c r="BC464" s="475">
        <v>0</v>
      </c>
      <c r="BD464" s="475">
        <v>0</v>
      </c>
      <c r="BE464" s="475">
        <v>0</v>
      </c>
      <c r="BF464" s="475">
        <v>0</v>
      </c>
      <c r="BG464" s="475">
        <v>1776</v>
      </c>
      <c r="BH464" s="476">
        <v>30874</v>
      </c>
      <c r="BI464" s="467"/>
      <c r="BJ464" s="468"/>
    </row>
    <row r="465" spans="1:62">
      <c r="A465" s="469">
        <v>45839</v>
      </c>
      <c r="B465" s="469" t="s">
        <v>747</v>
      </c>
      <c r="C465" s="508" t="s">
        <v>748</v>
      </c>
      <c r="D465" s="470" t="s">
        <v>749</v>
      </c>
      <c r="E465" s="471">
        <v>2159</v>
      </c>
      <c r="F465" s="470" t="s">
        <v>1331</v>
      </c>
      <c r="G465" s="470" t="s">
        <v>751</v>
      </c>
      <c r="H465" s="470" t="s">
        <v>12</v>
      </c>
      <c r="I465" s="470" t="s">
        <v>1332</v>
      </c>
      <c r="J465" s="472" t="s">
        <v>1333</v>
      </c>
      <c r="K465" s="470" t="s">
        <v>1334</v>
      </c>
      <c r="L465" s="470" t="s">
        <v>1335</v>
      </c>
      <c r="M465" s="470" t="s">
        <v>1335</v>
      </c>
      <c r="N465" s="470" t="s">
        <v>777</v>
      </c>
      <c r="O465" s="472" t="s">
        <v>757</v>
      </c>
      <c r="P465" s="472" t="s">
        <v>738</v>
      </c>
      <c r="Q465" s="472" t="s">
        <v>758</v>
      </c>
      <c r="R465" s="472" t="s">
        <v>12</v>
      </c>
      <c r="S465" s="472" t="s">
        <v>12</v>
      </c>
      <c r="T465" s="472" t="s">
        <v>1336</v>
      </c>
      <c r="U465" s="470" t="s">
        <v>1337</v>
      </c>
      <c r="V465" s="470" t="s">
        <v>761</v>
      </c>
      <c r="W465" s="470" t="s">
        <v>876</v>
      </c>
      <c r="X465" s="470">
        <v>31</v>
      </c>
      <c r="Y465" s="470">
        <v>0</v>
      </c>
      <c r="Z465" s="470">
        <v>0</v>
      </c>
      <c r="AA465" s="470">
        <v>22</v>
      </c>
      <c r="AB465" s="470">
        <v>22</v>
      </c>
      <c r="AC465" s="473">
        <v>37033</v>
      </c>
      <c r="AD465" s="473">
        <v>37033</v>
      </c>
      <c r="AE465" s="473">
        <v>11826</v>
      </c>
      <c r="AF465" s="473">
        <v>4730</v>
      </c>
      <c r="AG465" s="473">
        <v>1135</v>
      </c>
      <c r="AH465" s="473">
        <v>200</v>
      </c>
      <c r="AI465" s="473">
        <v>887</v>
      </c>
      <c r="AJ465" s="473">
        <v>0</v>
      </c>
      <c r="AK465" s="473">
        <v>0</v>
      </c>
      <c r="AL465" s="473">
        <v>0</v>
      </c>
      <c r="AM465" s="473">
        <v>0</v>
      </c>
      <c r="AN465" s="473">
        <v>0</v>
      </c>
      <c r="AO465" s="473">
        <v>0</v>
      </c>
      <c r="AP465" s="473">
        <v>0</v>
      </c>
      <c r="AQ465" s="473">
        <v>1419</v>
      </c>
      <c r="AR465" s="473">
        <v>6084</v>
      </c>
      <c r="AS465" s="473">
        <v>0</v>
      </c>
      <c r="AT465" s="473">
        <v>0</v>
      </c>
      <c r="AU465" s="473">
        <v>418</v>
      </c>
      <c r="AV465" s="473">
        <v>26699</v>
      </c>
      <c r="AW465" s="474">
        <v>26281</v>
      </c>
      <c r="AX465" s="473">
        <v>0</v>
      </c>
      <c r="AY465" s="473">
        <v>0</v>
      </c>
      <c r="AZ465" s="475">
        <v>0</v>
      </c>
      <c r="BA465" s="475">
        <v>200</v>
      </c>
      <c r="BB465" s="475">
        <v>1419</v>
      </c>
      <c r="BC465" s="475">
        <v>0</v>
      </c>
      <c r="BD465" s="475">
        <v>0</v>
      </c>
      <c r="BE465" s="475">
        <v>0</v>
      </c>
      <c r="BF465" s="475">
        <v>0</v>
      </c>
      <c r="BG465" s="475">
        <v>1619</v>
      </c>
      <c r="BH465" s="476">
        <v>25080</v>
      </c>
      <c r="BI465" s="467"/>
      <c r="BJ465" s="468"/>
    </row>
    <row r="466" spans="1:62">
      <c r="A466" s="469">
        <v>45839</v>
      </c>
      <c r="B466" s="469" t="s">
        <v>747</v>
      </c>
      <c r="C466" s="508" t="s">
        <v>748</v>
      </c>
      <c r="D466" s="470" t="s">
        <v>749</v>
      </c>
      <c r="E466" s="471">
        <v>748</v>
      </c>
      <c r="F466" s="470" t="s">
        <v>899</v>
      </c>
      <c r="G466" s="470" t="s">
        <v>751</v>
      </c>
      <c r="H466" s="470" t="s">
        <v>12</v>
      </c>
      <c r="I466" s="470" t="s">
        <v>900</v>
      </c>
      <c r="J466" s="472" t="s">
        <v>901</v>
      </c>
      <c r="K466" s="470" t="s">
        <v>902</v>
      </c>
      <c r="L466" s="470" t="s">
        <v>1283</v>
      </c>
      <c r="M466" s="470" t="s">
        <v>1284</v>
      </c>
      <c r="N466" s="470" t="s">
        <v>904</v>
      </c>
      <c r="O466" s="472" t="s">
        <v>757</v>
      </c>
      <c r="P466" s="472" t="s">
        <v>738</v>
      </c>
      <c r="Q466" s="472" t="s">
        <v>758</v>
      </c>
      <c r="R466" s="472" t="s">
        <v>12</v>
      </c>
      <c r="S466" s="472" t="s">
        <v>12</v>
      </c>
      <c r="T466" s="472" t="s">
        <v>905</v>
      </c>
      <c r="U466" s="470" t="s">
        <v>906</v>
      </c>
      <c r="V466" s="470" t="s">
        <v>761</v>
      </c>
      <c r="W466" s="470" t="s">
        <v>907</v>
      </c>
      <c r="X466" s="470">
        <v>31</v>
      </c>
      <c r="Y466" s="470">
        <v>0</v>
      </c>
      <c r="Z466" s="470">
        <v>0</v>
      </c>
      <c r="AA466" s="470">
        <v>31</v>
      </c>
      <c r="AB466" s="470">
        <v>31</v>
      </c>
      <c r="AC466" s="473">
        <v>62333</v>
      </c>
      <c r="AD466" s="473">
        <v>62333</v>
      </c>
      <c r="AE466" s="473">
        <v>28050</v>
      </c>
      <c r="AF466" s="473">
        <v>11220</v>
      </c>
      <c r="AG466" s="473">
        <v>1600</v>
      </c>
      <c r="AH466" s="473">
        <v>200</v>
      </c>
      <c r="AI466" s="473">
        <v>1250</v>
      </c>
      <c r="AJ466" s="473">
        <v>2337</v>
      </c>
      <c r="AK466" s="473">
        <v>5610</v>
      </c>
      <c r="AL466" s="473">
        <v>4208</v>
      </c>
      <c r="AM466" s="473">
        <v>281</v>
      </c>
      <c r="AN466" s="473">
        <v>982</v>
      </c>
      <c r="AO466" s="473">
        <v>561</v>
      </c>
      <c r="AP466" s="473">
        <v>140</v>
      </c>
      <c r="AQ466" s="473">
        <v>1800</v>
      </c>
      <c r="AR466" s="473">
        <v>4094</v>
      </c>
      <c r="AS466" s="473">
        <v>0</v>
      </c>
      <c r="AT466" s="473">
        <v>0</v>
      </c>
      <c r="AU466" s="473">
        <v>2665</v>
      </c>
      <c r="AV466" s="473">
        <v>64998</v>
      </c>
      <c r="AW466" s="474">
        <v>62333</v>
      </c>
      <c r="AX466" s="473">
        <v>0</v>
      </c>
      <c r="AY466" s="473">
        <v>0</v>
      </c>
      <c r="AZ466" s="475">
        <v>0</v>
      </c>
      <c r="BA466" s="475">
        <v>200</v>
      </c>
      <c r="BB466" s="475">
        <v>1800</v>
      </c>
      <c r="BC466" s="475">
        <v>0</v>
      </c>
      <c r="BD466" s="475">
        <v>0</v>
      </c>
      <c r="BE466" s="475">
        <v>0</v>
      </c>
      <c r="BF466" s="475">
        <v>15000</v>
      </c>
      <c r="BG466" s="475">
        <v>17000</v>
      </c>
      <c r="BH466" s="476">
        <v>47998</v>
      </c>
      <c r="BI466" s="467"/>
      <c r="BJ466" s="468"/>
    </row>
    <row r="467" spans="1:62">
      <c r="A467" s="469">
        <v>45839</v>
      </c>
      <c r="B467" s="469" t="s">
        <v>747</v>
      </c>
      <c r="C467" s="508" t="s">
        <v>748</v>
      </c>
      <c r="D467" s="470" t="s">
        <v>749</v>
      </c>
      <c r="E467" s="471">
        <v>2152</v>
      </c>
      <c r="F467" s="470" t="s">
        <v>1285</v>
      </c>
      <c r="G467" s="470" t="s">
        <v>751</v>
      </c>
      <c r="H467" s="470" t="s">
        <v>12</v>
      </c>
      <c r="I467" s="470" t="s">
        <v>1286</v>
      </c>
      <c r="J467" s="472" t="s">
        <v>1287</v>
      </c>
      <c r="K467" s="470" t="s">
        <v>1288</v>
      </c>
      <c r="L467" s="470" t="s">
        <v>1165</v>
      </c>
      <c r="M467" s="470" t="s">
        <v>1165</v>
      </c>
      <c r="N467" s="470" t="s">
        <v>756</v>
      </c>
      <c r="O467" s="472" t="s">
        <v>757</v>
      </c>
      <c r="P467" s="472" t="s">
        <v>738</v>
      </c>
      <c r="Q467" s="472" t="s">
        <v>758</v>
      </c>
      <c r="R467" s="472" t="s">
        <v>12</v>
      </c>
      <c r="S467" s="472" t="s">
        <v>12</v>
      </c>
      <c r="T467" s="472" t="s">
        <v>1289</v>
      </c>
      <c r="U467" s="470" t="s">
        <v>1290</v>
      </c>
      <c r="V467" s="470" t="s">
        <v>761</v>
      </c>
      <c r="W467" s="470" t="s">
        <v>898</v>
      </c>
      <c r="X467" s="470">
        <v>31</v>
      </c>
      <c r="Y467" s="470">
        <v>0</v>
      </c>
      <c r="Z467" s="470">
        <v>0</v>
      </c>
      <c r="AA467" s="470">
        <v>31</v>
      </c>
      <c r="AB467" s="470">
        <v>31</v>
      </c>
      <c r="AC467" s="473">
        <v>32760</v>
      </c>
      <c r="AD467" s="473">
        <v>32760</v>
      </c>
      <c r="AE467" s="473">
        <v>14742</v>
      </c>
      <c r="AF467" s="473">
        <v>5897</v>
      </c>
      <c r="AG467" s="473">
        <v>1600</v>
      </c>
      <c r="AH467" s="473">
        <v>200</v>
      </c>
      <c r="AI467" s="473">
        <v>1250</v>
      </c>
      <c r="AJ467" s="473">
        <v>0</v>
      </c>
      <c r="AK467" s="473">
        <v>0</v>
      </c>
      <c r="AL467" s="473">
        <v>0</v>
      </c>
      <c r="AM467" s="473">
        <v>0</v>
      </c>
      <c r="AN467" s="473">
        <v>0</v>
      </c>
      <c r="AO467" s="473">
        <v>0</v>
      </c>
      <c r="AP467" s="473">
        <v>0</v>
      </c>
      <c r="AQ467" s="473">
        <v>1769</v>
      </c>
      <c r="AR467" s="473">
        <v>7302</v>
      </c>
      <c r="AS467" s="473">
        <v>0</v>
      </c>
      <c r="AT467" s="473">
        <v>0</v>
      </c>
      <c r="AU467" s="473">
        <v>0</v>
      </c>
      <c r="AV467" s="473">
        <v>32760</v>
      </c>
      <c r="AW467" s="474">
        <v>32760</v>
      </c>
      <c r="AX467" s="473">
        <v>0</v>
      </c>
      <c r="AY467" s="473">
        <v>0</v>
      </c>
      <c r="AZ467" s="475">
        <v>0</v>
      </c>
      <c r="BA467" s="475">
        <v>200</v>
      </c>
      <c r="BB467" s="475">
        <v>1769</v>
      </c>
      <c r="BC467" s="475">
        <v>0</v>
      </c>
      <c r="BD467" s="475">
        <v>0</v>
      </c>
      <c r="BE467" s="475">
        <v>0</v>
      </c>
      <c r="BF467" s="475">
        <v>0</v>
      </c>
      <c r="BG467" s="475">
        <v>1969</v>
      </c>
      <c r="BH467" s="476">
        <v>30791</v>
      </c>
      <c r="BI467" s="467"/>
      <c r="BJ467" s="468"/>
    </row>
    <row r="468" spans="1:62">
      <c r="A468" s="469">
        <v>45839</v>
      </c>
      <c r="B468" s="469" t="s">
        <v>747</v>
      </c>
      <c r="C468" s="508" t="s">
        <v>748</v>
      </c>
      <c r="D468" s="470" t="s">
        <v>749</v>
      </c>
      <c r="E468" s="471">
        <v>1875</v>
      </c>
      <c r="F468" s="470" t="s">
        <v>908</v>
      </c>
      <c r="G468" s="470" t="s">
        <v>751</v>
      </c>
      <c r="H468" s="470" t="s">
        <v>12</v>
      </c>
      <c r="I468" s="470" t="s">
        <v>909</v>
      </c>
      <c r="J468" s="472" t="s">
        <v>910</v>
      </c>
      <c r="K468" s="470" t="s">
        <v>911</v>
      </c>
      <c r="L468" s="470" t="s">
        <v>776</v>
      </c>
      <c r="M468" s="470" t="s">
        <v>776</v>
      </c>
      <c r="N468" s="470" t="s">
        <v>777</v>
      </c>
      <c r="O468" s="472" t="s">
        <v>757</v>
      </c>
      <c r="P468" s="472" t="s">
        <v>738</v>
      </c>
      <c r="Q468" s="472" t="s">
        <v>758</v>
      </c>
      <c r="R468" s="472" t="s">
        <v>12</v>
      </c>
      <c r="S468" s="472" t="s">
        <v>12</v>
      </c>
      <c r="T468" s="472" t="s">
        <v>912</v>
      </c>
      <c r="U468" s="470" t="s">
        <v>913</v>
      </c>
      <c r="V468" s="470" t="s">
        <v>761</v>
      </c>
      <c r="W468" s="470" t="s">
        <v>859</v>
      </c>
      <c r="X468" s="470">
        <v>31</v>
      </c>
      <c r="Y468" s="470">
        <v>0</v>
      </c>
      <c r="Z468" s="470">
        <v>0</v>
      </c>
      <c r="AA468" s="470">
        <v>31</v>
      </c>
      <c r="AB468" s="470">
        <v>31</v>
      </c>
      <c r="AC468" s="473">
        <v>65840</v>
      </c>
      <c r="AD468" s="473">
        <v>65840</v>
      </c>
      <c r="AE468" s="473">
        <v>29628</v>
      </c>
      <c r="AF468" s="473">
        <v>11851</v>
      </c>
      <c r="AG468" s="473">
        <v>1600</v>
      </c>
      <c r="AH468" s="473">
        <v>200</v>
      </c>
      <c r="AI468" s="473">
        <v>1250</v>
      </c>
      <c r="AJ468" s="473">
        <v>2468</v>
      </c>
      <c r="AK468" s="473">
        <v>5926</v>
      </c>
      <c r="AL468" s="473">
        <v>4444</v>
      </c>
      <c r="AM468" s="473">
        <v>296</v>
      </c>
      <c r="AN468" s="473">
        <v>1037</v>
      </c>
      <c r="AO468" s="473">
        <v>593</v>
      </c>
      <c r="AP468" s="473">
        <v>148</v>
      </c>
      <c r="AQ468" s="473">
        <v>1800</v>
      </c>
      <c r="AR468" s="473">
        <v>4599</v>
      </c>
      <c r="AS468" s="473">
        <v>0</v>
      </c>
      <c r="AT468" s="473">
        <v>0</v>
      </c>
      <c r="AU468" s="473">
        <v>3808</v>
      </c>
      <c r="AV468" s="473">
        <v>69648</v>
      </c>
      <c r="AW468" s="474">
        <v>65840</v>
      </c>
      <c r="AX468" s="473">
        <v>0</v>
      </c>
      <c r="AY468" s="473">
        <v>0</v>
      </c>
      <c r="AZ468" s="475">
        <v>0</v>
      </c>
      <c r="BA468" s="475">
        <v>200</v>
      </c>
      <c r="BB468" s="475">
        <v>1800</v>
      </c>
      <c r="BC468" s="475">
        <v>0</v>
      </c>
      <c r="BD468" s="475">
        <v>0</v>
      </c>
      <c r="BE468" s="475">
        <v>0</v>
      </c>
      <c r="BF468" s="475">
        <v>0</v>
      </c>
      <c r="BG468" s="475">
        <v>2000</v>
      </c>
      <c r="BH468" s="476">
        <v>67648</v>
      </c>
      <c r="BI468" s="467"/>
      <c r="BJ468" s="468"/>
    </row>
    <row r="469" spans="1:62">
      <c r="A469" s="469">
        <v>45839</v>
      </c>
      <c r="B469" s="469" t="s">
        <v>747</v>
      </c>
      <c r="C469" s="508" t="s">
        <v>748</v>
      </c>
      <c r="D469" s="470" t="s">
        <v>749</v>
      </c>
      <c r="E469" s="471">
        <v>1135</v>
      </c>
      <c r="F469" s="470" t="s">
        <v>914</v>
      </c>
      <c r="G469" s="470" t="s">
        <v>751</v>
      </c>
      <c r="H469" s="470" t="s">
        <v>12</v>
      </c>
      <c r="I469" s="470" t="s">
        <v>915</v>
      </c>
      <c r="J469" s="472" t="s">
        <v>916</v>
      </c>
      <c r="K469" s="470" t="s">
        <v>917</v>
      </c>
      <c r="L469" s="470" t="s">
        <v>918</v>
      </c>
      <c r="M469" s="470" t="s">
        <v>816</v>
      </c>
      <c r="N469" s="470" t="s">
        <v>777</v>
      </c>
      <c r="O469" s="472" t="s">
        <v>757</v>
      </c>
      <c r="P469" s="472" t="s">
        <v>738</v>
      </c>
      <c r="Q469" s="472" t="s">
        <v>758</v>
      </c>
      <c r="R469" s="472" t="s">
        <v>12</v>
      </c>
      <c r="S469" s="472" t="s">
        <v>12</v>
      </c>
      <c r="T469" s="472" t="s">
        <v>919</v>
      </c>
      <c r="U469" s="470" t="s">
        <v>920</v>
      </c>
      <c r="V469" s="470" t="s">
        <v>761</v>
      </c>
      <c r="W469" s="470" t="s">
        <v>921</v>
      </c>
      <c r="X469" s="470">
        <v>31</v>
      </c>
      <c r="Y469" s="470">
        <v>0</v>
      </c>
      <c r="Z469" s="470">
        <v>0</v>
      </c>
      <c r="AA469" s="470">
        <v>31</v>
      </c>
      <c r="AB469" s="470">
        <v>31</v>
      </c>
      <c r="AC469" s="473">
        <v>146667</v>
      </c>
      <c r="AD469" s="473">
        <v>146667</v>
      </c>
      <c r="AE469" s="473">
        <v>66000</v>
      </c>
      <c r="AF469" s="473">
        <v>26400</v>
      </c>
      <c r="AG469" s="473">
        <v>1600</v>
      </c>
      <c r="AH469" s="473">
        <v>200</v>
      </c>
      <c r="AI469" s="473">
        <v>1250</v>
      </c>
      <c r="AJ469" s="473">
        <v>5498</v>
      </c>
      <c r="AK469" s="473">
        <v>13200</v>
      </c>
      <c r="AL469" s="473">
        <v>9900</v>
      </c>
      <c r="AM469" s="473">
        <v>660</v>
      </c>
      <c r="AN469" s="473">
        <v>2310</v>
      </c>
      <c r="AO469" s="473">
        <v>1320</v>
      </c>
      <c r="AP469" s="473">
        <v>330</v>
      </c>
      <c r="AQ469" s="473">
        <v>1800</v>
      </c>
      <c r="AR469" s="473">
        <v>16199</v>
      </c>
      <c r="AS469" s="473">
        <v>0</v>
      </c>
      <c r="AT469" s="473">
        <v>0</v>
      </c>
      <c r="AU469" s="473">
        <v>8275</v>
      </c>
      <c r="AV469" s="473">
        <v>154942</v>
      </c>
      <c r="AW469" s="474">
        <v>146667</v>
      </c>
      <c r="AX469" s="473">
        <v>0</v>
      </c>
      <c r="AY469" s="473">
        <v>0</v>
      </c>
      <c r="AZ469" s="475">
        <v>16685</v>
      </c>
      <c r="BA469" s="475">
        <v>200</v>
      </c>
      <c r="BB469" s="475">
        <v>1800</v>
      </c>
      <c r="BC469" s="475">
        <v>0</v>
      </c>
      <c r="BD469" s="475">
        <v>0</v>
      </c>
      <c r="BE469" s="475">
        <v>0</v>
      </c>
      <c r="BF469" s="475">
        <v>0</v>
      </c>
      <c r="BG469" s="475">
        <v>18685</v>
      </c>
      <c r="BH469" s="476">
        <v>136257</v>
      </c>
      <c r="BI469" s="467"/>
      <c r="BJ469" s="468"/>
    </row>
    <row r="470" spans="1:62">
      <c r="A470" s="469">
        <v>45839</v>
      </c>
      <c r="B470" s="469" t="s">
        <v>747</v>
      </c>
      <c r="C470" s="508" t="s">
        <v>748</v>
      </c>
      <c r="D470" s="470" t="s">
        <v>749</v>
      </c>
      <c r="E470" s="471">
        <v>1997</v>
      </c>
      <c r="F470" s="470" t="s">
        <v>922</v>
      </c>
      <c r="G470" s="470" t="s">
        <v>751</v>
      </c>
      <c r="H470" s="470" t="s">
        <v>12</v>
      </c>
      <c r="I470" s="470" t="s">
        <v>923</v>
      </c>
      <c r="J470" s="472" t="s">
        <v>924</v>
      </c>
      <c r="K470" s="470" t="s">
        <v>925</v>
      </c>
      <c r="L470" s="470" t="s">
        <v>926</v>
      </c>
      <c r="M470" s="470" t="s">
        <v>927</v>
      </c>
      <c r="N470" s="470" t="s">
        <v>756</v>
      </c>
      <c r="O470" s="472" t="s">
        <v>757</v>
      </c>
      <c r="P470" s="472" t="s">
        <v>738</v>
      </c>
      <c r="Q470" s="472" t="s">
        <v>758</v>
      </c>
      <c r="R470" s="472" t="s">
        <v>12</v>
      </c>
      <c r="S470" s="472" t="s">
        <v>12</v>
      </c>
      <c r="T470" s="472" t="s">
        <v>928</v>
      </c>
      <c r="U470" s="470" t="s">
        <v>929</v>
      </c>
      <c r="V470" s="470" t="s">
        <v>761</v>
      </c>
      <c r="W470" s="470" t="s">
        <v>762</v>
      </c>
      <c r="X470" s="470">
        <v>31</v>
      </c>
      <c r="Y470" s="470">
        <v>0</v>
      </c>
      <c r="Z470" s="470">
        <v>0.5</v>
      </c>
      <c r="AA470" s="470">
        <v>30.5</v>
      </c>
      <c r="AB470" s="470">
        <v>30.5</v>
      </c>
      <c r="AC470" s="473">
        <v>36067</v>
      </c>
      <c r="AD470" s="473">
        <v>36067</v>
      </c>
      <c r="AE470" s="473">
        <v>15968</v>
      </c>
      <c r="AF470" s="473">
        <v>6387</v>
      </c>
      <c r="AG470" s="473">
        <v>1574</v>
      </c>
      <c r="AH470" s="473">
        <v>197</v>
      </c>
      <c r="AI470" s="473">
        <v>1230</v>
      </c>
      <c r="AJ470" s="473">
        <v>0</v>
      </c>
      <c r="AK470" s="473">
        <v>0</v>
      </c>
      <c r="AL470" s="473">
        <v>0</v>
      </c>
      <c r="AM470" s="473">
        <v>0</v>
      </c>
      <c r="AN470" s="473">
        <v>0</v>
      </c>
      <c r="AO470" s="473">
        <v>0</v>
      </c>
      <c r="AP470" s="473">
        <v>0</v>
      </c>
      <c r="AQ470" s="473">
        <v>1800</v>
      </c>
      <c r="AR470" s="473">
        <v>8329</v>
      </c>
      <c r="AS470" s="473">
        <v>0</v>
      </c>
      <c r="AT470" s="473">
        <v>0</v>
      </c>
      <c r="AU470" s="473">
        <v>0</v>
      </c>
      <c r="AV470" s="473">
        <v>35485</v>
      </c>
      <c r="AW470" s="474">
        <v>35485</v>
      </c>
      <c r="AX470" s="473">
        <v>0</v>
      </c>
      <c r="AY470" s="473">
        <v>0</v>
      </c>
      <c r="AZ470" s="475">
        <v>0</v>
      </c>
      <c r="BA470" s="475">
        <v>200</v>
      </c>
      <c r="BB470" s="475">
        <v>1800</v>
      </c>
      <c r="BC470" s="475">
        <v>0</v>
      </c>
      <c r="BD470" s="475">
        <v>0</v>
      </c>
      <c r="BE470" s="475">
        <v>0</v>
      </c>
      <c r="BF470" s="475">
        <v>0</v>
      </c>
      <c r="BG470" s="475">
        <v>2000</v>
      </c>
      <c r="BH470" s="476">
        <v>33485</v>
      </c>
      <c r="BI470" s="467"/>
      <c r="BJ470" s="468"/>
    </row>
    <row r="471" spans="1:62">
      <c r="A471" s="469">
        <v>45839</v>
      </c>
      <c r="B471" s="469" t="s">
        <v>747</v>
      </c>
      <c r="C471" s="508" t="s">
        <v>748</v>
      </c>
      <c r="D471" s="470" t="s">
        <v>749</v>
      </c>
      <c r="E471" s="471">
        <v>726</v>
      </c>
      <c r="F471" s="470" t="s">
        <v>930</v>
      </c>
      <c r="G471" s="470" t="s">
        <v>812</v>
      </c>
      <c r="H471" s="470" t="s">
        <v>12</v>
      </c>
      <c r="I471" s="470" t="s">
        <v>931</v>
      </c>
      <c r="J471" s="472" t="s">
        <v>932</v>
      </c>
      <c r="K471" s="470" t="s">
        <v>933</v>
      </c>
      <c r="L471" s="470" t="s">
        <v>934</v>
      </c>
      <c r="M471" s="470" t="s">
        <v>934</v>
      </c>
      <c r="N471" s="470" t="s">
        <v>833</v>
      </c>
      <c r="O471" s="472" t="s">
        <v>757</v>
      </c>
      <c r="P471" s="472" t="s">
        <v>738</v>
      </c>
      <c r="Q471" s="472" t="s">
        <v>758</v>
      </c>
      <c r="R471" s="472" t="s">
        <v>12</v>
      </c>
      <c r="S471" s="472" t="s">
        <v>12</v>
      </c>
      <c r="T471" s="472" t="s">
        <v>935</v>
      </c>
      <c r="U471" s="470" t="s">
        <v>936</v>
      </c>
      <c r="V471" s="470" t="s">
        <v>761</v>
      </c>
      <c r="W471" s="470" t="s">
        <v>762</v>
      </c>
      <c r="X471" s="470">
        <v>31</v>
      </c>
      <c r="Y471" s="470">
        <v>0</v>
      </c>
      <c r="Z471" s="470">
        <v>1</v>
      </c>
      <c r="AA471" s="470">
        <v>30</v>
      </c>
      <c r="AB471" s="470">
        <v>30</v>
      </c>
      <c r="AC471" s="473">
        <v>27904</v>
      </c>
      <c r="AD471" s="473">
        <v>27904</v>
      </c>
      <c r="AE471" s="473">
        <v>12152</v>
      </c>
      <c r="AF471" s="473">
        <v>4861</v>
      </c>
      <c r="AG471" s="473">
        <v>1548</v>
      </c>
      <c r="AH471" s="473">
        <v>194</v>
      </c>
      <c r="AI471" s="473">
        <v>1210</v>
      </c>
      <c r="AJ471" s="473">
        <v>0</v>
      </c>
      <c r="AK471" s="473">
        <v>0</v>
      </c>
      <c r="AL471" s="473">
        <v>0</v>
      </c>
      <c r="AM471" s="473">
        <v>0</v>
      </c>
      <c r="AN471" s="473">
        <v>0</v>
      </c>
      <c r="AO471" s="473">
        <v>0</v>
      </c>
      <c r="AP471" s="473">
        <v>0</v>
      </c>
      <c r="AQ471" s="473">
        <v>1458</v>
      </c>
      <c r="AR471" s="473">
        <v>5581</v>
      </c>
      <c r="AS471" s="473">
        <v>0</v>
      </c>
      <c r="AT471" s="473">
        <v>0</v>
      </c>
      <c r="AU471" s="473">
        <v>0</v>
      </c>
      <c r="AV471" s="473">
        <v>27004</v>
      </c>
      <c r="AW471" s="474">
        <v>27004</v>
      </c>
      <c r="AX471" s="473">
        <v>0</v>
      </c>
      <c r="AY471" s="473">
        <v>0</v>
      </c>
      <c r="AZ471" s="475">
        <v>0</v>
      </c>
      <c r="BA471" s="475">
        <v>200</v>
      </c>
      <c r="BB471" s="475">
        <v>1458</v>
      </c>
      <c r="BC471" s="475">
        <v>0</v>
      </c>
      <c r="BD471" s="475">
        <v>0</v>
      </c>
      <c r="BE471" s="475">
        <v>0</v>
      </c>
      <c r="BF471" s="475">
        <v>0</v>
      </c>
      <c r="BG471" s="475">
        <v>1658</v>
      </c>
      <c r="BH471" s="476">
        <v>25346</v>
      </c>
      <c r="BI471" s="467"/>
      <c r="BJ471" s="468"/>
    </row>
    <row r="472" spans="1:62">
      <c r="A472" s="469">
        <v>45839</v>
      </c>
      <c r="B472" s="469" t="s">
        <v>747</v>
      </c>
      <c r="C472" s="508" t="s">
        <v>748</v>
      </c>
      <c r="D472" s="470" t="s">
        <v>749</v>
      </c>
      <c r="E472" s="471">
        <v>1722</v>
      </c>
      <c r="F472" s="470" t="s">
        <v>937</v>
      </c>
      <c r="G472" s="470" t="s">
        <v>751</v>
      </c>
      <c r="H472" s="470" t="s">
        <v>12</v>
      </c>
      <c r="I472" s="470" t="s">
        <v>938</v>
      </c>
      <c r="J472" s="472" t="s">
        <v>939</v>
      </c>
      <c r="K472" s="470" t="s">
        <v>940</v>
      </c>
      <c r="L472" s="470" t="s">
        <v>941</v>
      </c>
      <c r="M472" s="470" t="s">
        <v>942</v>
      </c>
      <c r="N472" s="470" t="s">
        <v>756</v>
      </c>
      <c r="O472" s="472" t="s">
        <v>943</v>
      </c>
      <c r="P472" s="472" t="s">
        <v>738</v>
      </c>
      <c r="Q472" s="472" t="s">
        <v>758</v>
      </c>
      <c r="R472" s="472" t="s">
        <v>12</v>
      </c>
      <c r="S472" s="472" t="s">
        <v>12</v>
      </c>
      <c r="T472" s="472" t="s">
        <v>944</v>
      </c>
      <c r="U472" s="470" t="s">
        <v>945</v>
      </c>
      <c r="V472" s="470" t="s">
        <v>761</v>
      </c>
      <c r="W472" s="470" t="s">
        <v>946</v>
      </c>
      <c r="X472" s="470">
        <v>31</v>
      </c>
      <c r="Y472" s="470">
        <v>0</v>
      </c>
      <c r="Z472" s="470">
        <v>0</v>
      </c>
      <c r="AA472" s="470">
        <v>31</v>
      </c>
      <c r="AB472" s="470">
        <v>31</v>
      </c>
      <c r="AC472" s="473">
        <v>434795</v>
      </c>
      <c r="AD472" s="473">
        <v>434795</v>
      </c>
      <c r="AE472" s="473">
        <v>195658</v>
      </c>
      <c r="AF472" s="473">
        <v>78263</v>
      </c>
      <c r="AG472" s="473">
        <v>1600</v>
      </c>
      <c r="AH472" s="473">
        <v>200</v>
      </c>
      <c r="AI472" s="473">
        <v>1250</v>
      </c>
      <c r="AJ472" s="473">
        <v>16298</v>
      </c>
      <c r="AK472" s="473">
        <v>39132</v>
      </c>
      <c r="AL472" s="473">
        <v>29349</v>
      </c>
      <c r="AM472" s="473">
        <v>1957</v>
      </c>
      <c r="AN472" s="473">
        <v>6848</v>
      </c>
      <c r="AO472" s="473">
        <v>3913</v>
      </c>
      <c r="AP472" s="473">
        <v>978</v>
      </c>
      <c r="AQ472" s="473">
        <v>1800</v>
      </c>
      <c r="AR472" s="473">
        <v>57549</v>
      </c>
      <c r="AS472" s="473">
        <v>0</v>
      </c>
      <c r="AT472" s="473">
        <v>0</v>
      </c>
      <c r="AU472" s="473">
        <v>3082</v>
      </c>
      <c r="AV472" s="473">
        <v>437877</v>
      </c>
      <c r="AW472" s="474">
        <v>434795</v>
      </c>
      <c r="AX472" s="473">
        <v>0</v>
      </c>
      <c r="AY472" s="473">
        <v>0</v>
      </c>
      <c r="AZ472" s="475">
        <v>144776</v>
      </c>
      <c r="BA472" s="475">
        <v>200</v>
      </c>
      <c r="BB472" s="475">
        <v>1800</v>
      </c>
      <c r="BC472" s="475">
        <v>0</v>
      </c>
      <c r="BD472" s="475">
        <v>0</v>
      </c>
      <c r="BE472" s="475">
        <v>0</v>
      </c>
      <c r="BF472" s="475">
        <v>0</v>
      </c>
      <c r="BG472" s="475">
        <v>146776</v>
      </c>
      <c r="BH472" s="476">
        <v>291101</v>
      </c>
      <c r="BI472" s="467"/>
      <c r="BJ472" s="468"/>
    </row>
    <row r="473" spans="1:62">
      <c r="A473" s="469">
        <v>45839</v>
      </c>
      <c r="B473" s="469" t="s">
        <v>747</v>
      </c>
      <c r="C473" s="508" t="s">
        <v>748</v>
      </c>
      <c r="D473" s="470" t="s">
        <v>749</v>
      </c>
      <c r="E473" s="471">
        <v>1937</v>
      </c>
      <c r="F473" s="470" t="s">
        <v>947</v>
      </c>
      <c r="G473" s="470" t="s">
        <v>751</v>
      </c>
      <c r="H473" s="470" t="s">
        <v>12</v>
      </c>
      <c r="I473" s="470" t="s">
        <v>948</v>
      </c>
      <c r="J473" s="472" t="s">
        <v>949</v>
      </c>
      <c r="K473" s="470" t="s">
        <v>950</v>
      </c>
      <c r="L473" s="470" t="s">
        <v>824</v>
      </c>
      <c r="M473" s="470" t="s">
        <v>824</v>
      </c>
      <c r="N473" s="470" t="s">
        <v>777</v>
      </c>
      <c r="O473" s="472" t="s">
        <v>757</v>
      </c>
      <c r="P473" s="472" t="s">
        <v>738</v>
      </c>
      <c r="Q473" s="472" t="s">
        <v>758</v>
      </c>
      <c r="R473" s="472" t="s">
        <v>12</v>
      </c>
      <c r="S473" s="472" t="s">
        <v>12</v>
      </c>
      <c r="T473" s="472" t="s">
        <v>951</v>
      </c>
      <c r="U473" s="470" t="s">
        <v>952</v>
      </c>
      <c r="V473" s="470" t="s">
        <v>761</v>
      </c>
      <c r="W473" s="470" t="s">
        <v>859</v>
      </c>
      <c r="X473" s="470">
        <v>31</v>
      </c>
      <c r="Y473" s="470">
        <v>0</v>
      </c>
      <c r="Z473" s="470">
        <v>0</v>
      </c>
      <c r="AA473" s="470">
        <v>31</v>
      </c>
      <c r="AB473" s="470">
        <v>31</v>
      </c>
      <c r="AC473" s="473">
        <v>31533</v>
      </c>
      <c r="AD473" s="473">
        <v>31533</v>
      </c>
      <c r="AE473" s="473">
        <v>14190</v>
      </c>
      <c r="AF473" s="473">
        <v>5676</v>
      </c>
      <c r="AG473" s="473">
        <v>1600</v>
      </c>
      <c r="AH473" s="473">
        <v>200</v>
      </c>
      <c r="AI473" s="473">
        <v>1250</v>
      </c>
      <c r="AJ473" s="473">
        <v>0</v>
      </c>
      <c r="AK473" s="473">
        <v>0</v>
      </c>
      <c r="AL473" s="473">
        <v>0</v>
      </c>
      <c r="AM473" s="473">
        <v>0</v>
      </c>
      <c r="AN473" s="473">
        <v>0</v>
      </c>
      <c r="AO473" s="473">
        <v>0</v>
      </c>
      <c r="AP473" s="473">
        <v>0</v>
      </c>
      <c r="AQ473" s="473">
        <v>1703</v>
      </c>
      <c r="AR473" s="473">
        <v>6914</v>
      </c>
      <c r="AS473" s="473">
        <v>0</v>
      </c>
      <c r="AT473" s="473">
        <v>0</v>
      </c>
      <c r="AU473" s="473">
        <v>2975</v>
      </c>
      <c r="AV473" s="473">
        <v>34508</v>
      </c>
      <c r="AW473" s="474">
        <v>31533</v>
      </c>
      <c r="AX473" s="473">
        <v>0</v>
      </c>
      <c r="AY473" s="473">
        <v>0</v>
      </c>
      <c r="AZ473" s="475">
        <v>0</v>
      </c>
      <c r="BA473" s="475">
        <v>200</v>
      </c>
      <c r="BB473" s="475">
        <v>1703</v>
      </c>
      <c r="BC473" s="475">
        <v>0</v>
      </c>
      <c r="BD473" s="475">
        <v>0</v>
      </c>
      <c r="BE473" s="475">
        <v>0</v>
      </c>
      <c r="BF473" s="475">
        <v>0</v>
      </c>
      <c r="BG473" s="475">
        <v>1903</v>
      </c>
      <c r="BH473" s="476">
        <v>32605</v>
      </c>
      <c r="BI473" s="467"/>
      <c r="BJ473" s="468"/>
    </row>
    <row r="474" spans="1:62">
      <c r="A474" s="469">
        <v>45839</v>
      </c>
      <c r="B474" s="469" t="s">
        <v>747</v>
      </c>
      <c r="C474" s="508" t="s">
        <v>748</v>
      </c>
      <c r="D474" s="470" t="s">
        <v>749</v>
      </c>
      <c r="E474" s="471">
        <v>382</v>
      </c>
      <c r="F474" s="470" t="s">
        <v>953</v>
      </c>
      <c r="G474" s="470" t="s">
        <v>751</v>
      </c>
      <c r="H474" s="470" t="s">
        <v>12</v>
      </c>
      <c r="I474" s="470" t="s">
        <v>954</v>
      </c>
      <c r="J474" s="472" t="s">
        <v>955</v>
      </c>
      <c r="K474" s="470" t="s">
        <v>956</v>
      </c>
      <c r="L474" s="470" t="s">
        <v>957</v>
      </c>
      <c r="M474" s="470" t="s">
        <v>957</v>
      </c>
      <c r="N474" s="470" t="s">
        <v>833</v>
      </c>
      <c r="O474" s="472" t="s">
        <v>757</v>
      </c>
      <c r="P474" s="472" t="s">
        <v>738</v>
      </c>
      <c r="Q474" s="472" t="s">
        <v>758</v>
      </c>
      <c r="R474" s="472" t="s">
        <v>12</v>
      </c>
      <c r="S474" s="472" t="s">
        <v>12</v>
      </c>
      <c r="T474" s="472" t="s">
        <v>958</v>
      </c>
      <c r="U474" s="470" t="s">
        <v>959</v>
      </c>
      <c r="V474" s="470" t="s">
        <v>761</v>
      </c>
      <c r="W474" s="470" t="s">
        <v>960</v>
      </c>
      <c r="X474" s="470">
        <v>31</v>
      </c>
      <c r="Y474" s="470">
        <v>0</v>
      </c>
      <c r="Z474" s="470">
        <v>0</v>
      </c>
      <c r="AA474" s="470">
        <v>31</v>
      </c>
      <c r="AB474" s="470">
        <v>31</v>
      </c>
      <c r="AC474" s="473">
        <v>36950</v>
      </c>
      <c r="AD474" s="473">
        <v>36950</v>
      </c>
      <c r="AE474" s="473">
        <v>16628</v>
      </c>
      <c r="AF474" s="473">
        <v>6651</v>
      </c>
      <c r="AG474" s="473">
        <v>1600</v>
      </c>
      <c r="AH474" s="473">
        <v>200</v>
      </c>
      <c r="AI474" s="473">
        <v>1250</v>
      </c>
      <c r="AJ474" s="473">
        <v>0</v>
      </c>
      <c r="AK474" s="473">
        <v>0</v>
      </c>
      <c r="AL474" s="473">
        <v>0</v>
      </c>
      <c r="AM474" s="473">
        <v>0</v>
      </c>
      <c r="AN474" s="473">
        <v>0</v>
      </c>
      <c r="AO474" s="473">
        <v>0</v>
      </c>
      <c r="AP474" s="473">
        <v>0</v>
      </c>
      <c r="AQ474" s="473">
        <v>1800</v>
      </c>
      <c r="AR474" s="473">
        <v>8821</v>
      </c>
      <c r="AS474" s="473">
        <v>0</v>
      </c>
      <c r="AT474" s="473">
        <v>0</v>
      </c>
      <c r="AU474" s="473">
        <v>9246</v>
      </c>
      <c r="AV474" s="473">
        <v>46196</v>
      </c>
      <c r="AW474" s="474">
        <v>36950</v>
      </c>
      <c r="AX474" s="473">
        <v>0</v>
      </c>
      <c r="AY474" s="473">
        <v>0</v>
      </c>
      <c r="AZ474" s="475">
        <v>0</v>
      </c>
      <c r="BA474" s="475">
        <v>200</v>
      </c>
      <c r="BB474" s="475">
        <v>1800</v>
      </c>
      <c r="BC474" s="475">
        <v>0</v>
      </c>
      <c r="BD474" s="475">
        <v>0</v>
      </c>
      <c r="BE474" s="475">
        <v>0</v>
      </c>
      <c r="BF474" s="475">
        <v>0</v>
      </c>
      <c r="BG474" s="475">
        <v>2000</v>
      </c>
      <c r="BH474" s="476">
        <v>44196</v>
      </c>
      <c r="BI474" s="467"/>
      <c r="BJ474" s="468"/>
    </row>
    <row r="475" spans="1:62">
      <c r="A475" s="469">
        <v>45839</v>
      </c>
      <c r="B475" s="469" t="s">
        <v>747</v>
      </c>
      <c r="C475" s="508" t="s">
        <v>748</v>
      </c>
      <c r="D475" s="470" t="s">
        <v>749</v>
      </c>
      <c r="E475" s="471">
        <v>511</v>
      </c>
      <c r="F475" s="470" t="s">
        <v>961</v>
      </c>
      <c r="G475" s="470" t="s">
        <v>751</v>
      </c>
      <c r="H475" s="470" t="s">
        <v>12</v>
      </c>
      <c r="I475" s="470" t="s">
        <v>962</v>
      </c>
      <c r="J475" s="472" t="s">
        <v>963</v>
      </c>
      <c r="K475" s="470" t="s">
        <v>964</v>
      </c>
      <c r="L475" s="470" t="s">
        <v>957</v>
      </c>
      <c r="M475" s="470" t="s">
        <v>957</v>
      </c>
      <c r="N475" s="470" t="s">
        <v>833</v>
      </c>
      <c r="O475" s="472" t="s">
        <v>757</v>
      </c>
      <c r="P475" s="472" t="s">
        <v>738</v>
      </c>
      <c r="Q475" s="472" t="s">
        <v>758</v>
      </c>
      <c r="R475" s="472" t="s">
        <v>12</v>
      </c>
      <c r="S475" s="472" t="s">
        <v>12</v>
      </c>
      <c r="T475" s="472" t="s">
        <v>965</v>
      </c>
      <c r="U475" s="470" t="s">
        <v>966</v>
      </c>
      <c r="V475" s="470" t="s">
        <v>761</v>
      </c>
      <c r="W475" s="470" t="s">
        <v>845</v>
      </c>
      <c r="X475" s="470">
        <v>31</v>
      </c>
      <c r="Y475" s="470">
        <v>0</v>
      </c>
      <c r="Z475" s="470">
        <v>3</v>
      </c>
      <c r="AA475" s="470">
        <v>28</v>
      </c>
      <c r="AB475" s="470">
        <v>28</v>
      </c>
      <c r="AC475" s="473">
        <v>43308</v>
      </c>
      <c r="AD475" s="473">
        <v>43308</v>
      </c>
      <c r="AE475" s="473">
        <v>17603</v>
      </c>
      <c r="AF475" s="473">
        <v>7041</v>
      </c>
      <c r="AG475" s="473">
        <v>1445</v>
      </c>
      <c r="AH475" s="473">
        <v>181</v>
      </c>
      <c r="AI475" s="473">
        <v>1129</v>
      </c>
      <c r="AJ475" s="473">
        <v>1466</v>
      </c>
      <c r="AK475" s="473">
        <v>3521</v>
      </c>
      <c r="AL475" s="473">
        <v>2640</v>
      </c>
      <c r="AM475" s="473">
        <v>176</v>
      </c>
      <c r="AN475" s="473">
        <v>616</v>
      </c>
      <c r="AO475" s="473">
        <v>352</v>
      </c>
      <c r="AP475" s="473">
        <v>88</v>
      </c>
      <c r="AQ475" s="473">
        <v>1800</v>
      </c>
      <c r="AR475" s="473">
        <v>1059</v>
      </c>
      <c r="AS475" s="473">
        <v>0</v>
      </c>
      <c r="AT475" s="473">
        <v>0</v>
      </c>
      <c r="AU475" s="473">
        <v>2918</v>
      </c>
      <c r="AV475" s="473">
        <v>42035</v>
      </c>
      <c r="AW475" s="474">
        <v>39117</v>
      </c>
      <c r="AX475" s="473">
        <v>0</v>
      </c>
      <c r="AY475" s="473">
        <v>0</v>
      </c>
      <c r="AZ475" s="475">
        <v>0</v>
      </c>
      <c r="BA475" s="475">
        <v>200</v>
      </c>
      <c r="BB475" s="475">
        <v>1800</v>
      </c>
      <c r="BC475" s="475">
        <v>0</v>
      </c>
      <c r="BD475" s="475">
        <v>0</v>
      </c>
      <c r="BE475" s="475">
        <v>0</v>
      </c>
      <c r="BF475" s="475">
        <v>5000</v>
      </c>
      <c r="BG475" s="475">
        <v>7000</v>
      </c>
      <c r="BH475" s="476">
        <v>35035</v>
      </c>
      <c r="BI475" s="467"/>
      <c r="BJ475" s="468"/>
    </row>
    <row r="476" spans="1:62">
      <c r="A476" s="469">
        <v>45839</v>
      </c>
      <c r="B476" s="469" t="s">
        <v>747</v>
      </c>
      <c r="C476" s="508" t="s">
        <v>748</v>
      </c>
      <c r="D476" s="470" t="s">
        <v>749</v>
      </c>
      <c r="E476" s="471">
        <v>2062</v>
      </c>
      <c r="F476" s="470" t="s">
        <v>967</v>
      </c>
      <c r="G476" s="470" t="s">
        <v>751</v>
      </c>
      <c r="H476" s="470" t="s">
        <v>12</v>
      </c>
      <c r="I476" s="470" t="s">
        <v>968</v>
      </c>
      <c r="J476" s="472" t="s">
        <v>969</v>
      </c>
      <c r="K476" s="470" t="s">
        <v>970</v>
      </c>
      <c r="L476" s="470" t="s">
        <v>971</v>
      </c>
      <c r="M476" s="470" t="s">
        <v>971</v>
      </c>
      <c r="N476" s="470" t="s">
        <v>756</v>
      </c>
      <c r="O476" s="472" t="s">
        <v>792</v>
      </c>
      <c r="P476" s="472" t="s">
        <v>738</v>
      </c>
      <c r="Q476" s="472" t="s">
        <v>758</v>
      </c>
      <c r="R476" s="472" t="s">
        <v>12</v>
      </c>
      <c r="S476" s="472" t="s">
        <v>12</v>
      </c>
      <c r="T476" s="472" t="s">
        <v>972</v>
      </c>
      <c r="U476" s="470" t="s">
        <v>973</v>
      </c>
      <c r="V476" s="470" t="s">
        <v>761</v>
      </c>
      <c r="W476" s="470" t="s">
        <v>974</v>
      </c>
      <c r="X476" s="470">
        <v>31</v>
      </c>
      <c r="Y476" s="470">
        <v>0</v>
      </c>
      <c r="Z476" s="470">
        <v>1</v>
      </c>
      <c r="AA476" s="470">
        <v>30</v>
      </c>
      <c r="AB476" s="470">
        <v>30</v>
      </c>
      <c r="AC476" s="473">
        <v>181533</v>
      </c>
      <c r="AD476" s="473">
        <v>181533</v>
      </c>
      <c r="AE476" s="473">
        <v>79055</v>
      </c>
      <c r="AF476" s="473">
        <v>31622</v>
      </c>
      <c r="AG476" s="473">
        <v>1548</v>
      </c>
      <c r="AH476" s="473">
        <v>194</v>
      </c>
      <c r="AI476" s="473">
        <v>1210</v>
      </c>
      <c r="AJ476" s="473">
        <v>6585</v>
      </c>
      <c r="AK476" s="473">
        <v>15811</v>
      </c>
      <c r="AL476" s="473">
        <v>11858</v>
      </c>
      <c r="AM476" s="473">
        <v>791</v>
      </c>
      <c r="AN476" s="473">
        <v>2767</v>
      </c>
      <c r="AO476" s="473">
        <v>1581</v>
      </c>
      <c r="AP476" s="473">
        <v>395</v>
      </c>
      <c r="AQ476" s="473">
        <v>1800</v>
      </c>
      <c r="AR476" s="473">
        <v>20460</v>
      </c>
      <c r="AS476" s="473">
        <v>0</v>
      </c>
      <c r="AT476" s="473">
        <v>0</v>
      </c>
      <c r="AU476" s="473">
        <v>0</v>
      </c>
      <c r="AV476" s="473">
        <v>175677</v>
      </c>
      <c r="AW476" s="474">
        <v>175677</v>
      </c>
      <c r="AX476" s="473">
        <v>0</v>
      </c>
      <c r="AY476" s="473">
        <v>0</v>
      </c>
      <c r="AZ476" s="475">
        <v>18411</v>
      </c>
      <c r="BA476" s="475">
        <v>200</v>
      </c>
      <c r="BB476" s="475">
        <v>1800</v>
      </c>
      <c r="BC476" s="475">
        <v>0</v>
      </c>
      <c r="BD476" s="475">
        <v>0</v>
      </c>
      <c r="BE476" s="475">
        <v>0</v>
      </c>
      <c r="BF476" s="475">
        <v>0</v>
      </c>
      <c r="BG476" s="475">
        <v>20411</v>
      </c>
      <c r="BH476" s="476">
        <v>155266</v>
      </c>
      <c r="BI476" s="467"/>
      <c r="BJ476" s="468"/>
    </row>
    <row r="477" spans="1:62">
      <c r="A477" s="469">
        <v>45839</v>
      </c>
      <c r="B477" s="469" t="s">
        <v>747</v>
      </c>
      <c r="C477" s="508" t="s">
        <v>748</v>
      </c>
      <c r="D477" s="470" t="s">
        <v>749</v>
      </c>
      <c r="E477" s="471">
        <v>1092</v>
      </c>
      <c r="F477" s="470" t="s">
        <v>975</v>
      </c>
      <c r="G477" s="470" t="s">
        <v>751</v>
      </c>
      <c r="H477" s="470" t="s">
        <v>12</v>
      </c>
      <c r="I477" s="470" t="s">
        <v>976</v>
      </c>
      <c r="J477" s="472" t="s">
        <v>977</v>
      </c>
      <c r="K477" s="470" t="s">
        <v>978</v>
      </c>
      <c r="L477" s="470" t="s">
        <v>979</v>
      </c>
      <c r="M477" s="470" t="s">
        <v>980</v>
      </c>
      <c r="N477" s="470" t="s">
        <v>833</v>
      </c>
      <c r="O477" s="472" t="s">
        <v>757</v>
      </c>
      <c r="P477" s="472" t="s">
        <v>738</v>
      </c>
      <c r="Q477" s="472" t="s">
        <v>758</v>
      </c>
      <c r="R477" s="472" t="s">
        <v>12</v>
      </c>
      <c r="S477" s="472" t="s">
        <v>12</v>
      </c>
      <c r="T477" s="472" t="s">
        <v>981</v>
      </c>
      <c r="U477" s="470" t="s">
        <v>982</v>
      </c>
      <c r="V477" s="470" t="s">
        <v>761</v>
      </c>
      <c r="W477" s="470" t="s">
        <v>762</v>
      </c>
      <c r="X477" s="470">
        <v>31</v>
      </c>
      <c r="Y477" s="470">
        <v>0</v>
      </c>
      <c r="Z477" s="470">
        <v>0</v>
      </c>
      <c r="AA477" s="470">
        <v>31</v>
      </c>
      <c r="AB477" s="470">
        <v>31</v>
      </c>
      <c r="AC477" s="473">
        <v>71927</v>
      </c>
      <c r="AD477" s="473">
        <v>71927</v>
      </c>
      <c r="AE477" s="473">
        <v>32367</v>
      </c>
      <c r="AF477" s="473">
        <v>12947</v>
      </c>
      <c r="AG477" s="473">
        <v>1600</v>
      </c>
      <c r="AH477" s="473">
        <v>200</v>
      </c>
      <c r="AI477" s="473">
        <v>1250</v>
      </c>
      <c r="AJ477" s="473">
        <v>2696</v>
      </c>
      <c r="AK477" s="473">
        <v>6473</v>
      </c>
      <c r="AL477" s="473">
        <v>4855</v>
      </c>
      <c r="AM477" s="473">
        <v>324</v>
      </c>
      <c r="AN477" s="473">
        <v>1133</v>
      </c>
      <c r="AO477" s="473">
        <v>647</v>
      </c>
      <c r="AP477" s="473">
        <v>162</v>
      </c>
      <c r="AQ477" s="473">
        <v>1800</v>
      </c>
      <c r="AR477" s="473">
        <v>5473</v>
      </c>
      <c r="AS477" s="473">
        <v>0</v>
      </c>
      <c r="AT477" s="473">
        <v>0</v>
      </c>
      <c r="AU477" s="473">
        <v>0</v>
      </c>
      <c r="AV477" s="473">
        <v>71927</v>
      </c>
      <c r="AW477" s="474">
        <v>71927</v>
      </c>
      <c r="AX477" s="473">
        <v>0</v>
      </c>
      <c r="AY477" s="473">
        <v>0</v>
      </c>
      <c r="AZ477" s="475">
        <v>0</v>
      </c>
      <c r="BA477" s="475">
        <v>200</v>
      </c>
      <c r="BB477" s="475">
        <v>1800</v>
      </c>
      <c r="BC477" s="475">
        <v>0</v>
      </c>
      <c r="BD477" s="475">
        <v>0</v>
      </c>
      <c r="BE477" s="475">
        <v>0</v>
      </c>
      <c r="BF477" s="475">
        <v>0</v>
      </c>
      <c r="BG477" s="475">
        <v>2000</v>
      </c>
      <c r="BH477" s="476">
        <v>69927</v>
      </c>
      <c r="BI477" s="467"/>
      <c r="BJ477" s="468"/>
    </row>
    <row r="478" spans="1:62">
      <c r="A478" s="469">
        <v>45839</v>
      </c>
      <c r="B478" s="469" t="s">
        <v>747</v>
      </c>
      <c r="C478" s="508" t="s">
        <v>748</v>
      </c>
      <c r="D478" s="470" t="s">
        <v>749</v>
      </c>
      <c r="E478" s="471">
        <v>1506</v>
      </c>
      <c r="F478" s="470" t="s">
        <v>983</v>
      </c>
      <c r="G478" s="470" t="s">
        <v>751</v>
      </c>
      <c r="H478" s="470" t="s">
        <v>12</v>
      </c>
      <c r="I478" s="470" t="s">
        <v>984</v>
      </c>
      <c r="J478" s="472" t="s">
        <v>985</v>
      </c>
      <c r="K478" s="470" t="s">
        <v>986</v>
      </c>
      <c r="L478" s="470" t="s">
        <v>987</v>
      </c>
      <c r="M478" s="470" t="s">
        <v>987</v>
      </c>
      <c r="N478" s="470" t="s">
        <v>756</v>
      </c>
      <c r="O478" s="472" t="s">
        <v>757</v>
      </c>
      <c r="P478" s="472" t="s">
        <v>738</v>
      </c>
      <c r="Q478" s="472" t="s">
        <v>758</v>
      </c>
      <c r="R478" s="472" t="s">
        <v>12</v>
      </c>
      <c r="S478" s="472" t="s">
        <v>12</v>
      </c>
      <c r="T478" s="472" t="s">
        <v>988</v>
      </c>
      <c r="U478" s="470" t="s">
        <v>989</v>
      </c>
      <c r="V478" s="470" t="s">
        <v>761</v>
      </c>
      <c r="W478" s="470" t="s">
        <v>762</v>
      </c>
      <c r="X478" s="470">
        <v>31</v>
      </c>
      <c r="Y478" s="470">
        <v>0</v>
      </c>
      <c r="Z478" s="470">
        <v>1</v>
      </c>
      <c r="AA478" s="470">
        <v>30</v>
      </c>
      <c r="AB478" s="470">
        <v>30</v>
      </c>
      <c r="AC478" s="473">
        <v>49575</v>
      </c>
      <c r="AD478" s="473">
        <v>49575</v>
      </c>
      <c r="AE478" s="473">
        <v>21589</v>
      </c>
      <c r="AF478" s="473">
        <v>8636</v>
      </c>
      <c r="AG478" s="473">
        <v>1548</v>
      </c>
      <c r="AH478" s="473">
        <v>194</v>
      </c>
      <c r="AI478" s="473">
        <v>1210</v>
      </c>
      <c r="AJ478" s="473">
        <v>1798</v>
      </c>
      <c r="AK478" s="473">
        <v>4318</v>
      </c>
      <c r="AL478" s="473">
        <v>3238</v>
      </c>
      <c r="AM478" s="473">
        <v>216</v>
      </c>
      <c r="AN478" s="473">
        <v>756</v>
      </c>
      <c r="AO478" s="473">
        <v>432</v>
      </c>
      <c r="AP478" s="473">
        <v>108</v>
      </c>
      <c r="AQ478" s="473">
        <v>1800</v>
      </c>
      <c r="AR478" s="473">
        <v>2133</v>
      </c>
      <c r="AS478" s="473">
        <v>0</v>
      </c>
      <c r="AT478" s="473">
        <v>0</v>
      </c>
      <c r="AU478" s="473">
        <v>0</v>
      </c>
      <c r="AV478" s="473">
        <v>47976</v>
      </c>
      <c r="AW478" s="474">
        <v>47976</v>
      </c>
      <c r="AX478" s="473">
        <v>0</v>
      </c>
      <c r="AY478" s="473">
        <v>0</v>
      </c>
      <c r="AZ478" s="475">
        <v>0</v>
      </c>
      <c r="BA478" s="475">
        <v>200</v>
      </c>
      <c r="BB478" s="475">
        <v>1800</v>
      </c>
      <c r="BC478" s="475">
        <v>0</v>
      </c>
      <c r="BD478" s="475">
        <v>0</v>
      </c>
      <c r="BE478" s="475">
        <v>0</v>
      </c>
      <c r="BF478" s="475">
        <v>0</v>
      </c>
      <c r="BG478" s="475">
        <v>2000</v>
      </c>
      <c r="BH478" s="476">
        <v>45976</v>
      </c>
      <c r="BI478" s="467"/>
      <c r="BJ478" s="468"/>
    </row>
    <row r="479" spans="1:62">
      <c r="A479" s="469">
        <v>45839</v>
      </c>
      <c r="B479" s="469" t="s">
        <v>747</v>
      </c>
      <c r="C479" s="508" t="s">
        <v>748</v>
      </c>
      <c r="D479" s="470" t="s">
        <v>749</v>
      </c>
      <c r="E479" s="471">
        <v>1700</v>
      </c>
      <c r="F479" s="470" t="s">
        <v>990</v>
      </c>
      <c r="G479" s="470" t="s">
        <v>751</v>
      </c>
      <c r="H479" s="470" t="s">
        <v>12</v>
      </c>
      <c r="I479" s="470" t="s">
        <v>991</v>
      </c>
      <c r="J479" s="472" t="s">
        <v>992</v>
      </c>
      <c r="K479" s="470" t="s">
        <v>993</v>
      </c>
      <c r="L479" s="470" t="s">
        <v>994</v>
      </c>
      <c r="M479" s="470" t="s">
        <v>994</v>
      </c>
      <c r="N479" s="470" t="s">
        <v>777</v>
      </c>
      <c r="O479" s="472" t="s">
        <v>757</v>
      </c>
      <c r="P479" s="472" t="s">
        <v>738</v>
      </c>
      <c r="Q479" s="472" t="s">
        <v>758</v>
      </c>
      <c r="R479" s="472" t="s">
        <v>12</v>
      </c>
      <c r="S479" s="472" t="s">
        <v>12</v>
      </c>
      <c r="T479" s="472" t="s">
        <v>995</v>
      </c>
      <c r="U479" s="470" t="s">
        <v>996</v>
      </c>
      <c r="V479" s="470" t="s">
        <v>761</v>
      </c>
      <c r="W479" s="470" t="s">
        <v>859</v>
      </c>
      <c r="X479" s="470">
        <v>31</v>
      </c>
      <c r="Y479" s="470">
        <v>0</v>
      </c>
      <c r="Z479" s="470">
        <v>0</v>
      </c>
      <c r="AA479" s="470">
        <v>31</v>
      </c>
      <c r="AB479" s="470">
        <v>31</v>
      </c>
      <c r="AC479" s="473">
        <v>79907</v>
      </c>
      <c r="AD479" s="473">
        <v>79907</v>
      </c>
      <c r="AE479" s="473">
        <v>35958</v>
      </c>
      <c r="AF479" s="473">
        <v>14383</v>
      </c>
      <c r="AG479" s="473">
        <v>1600</v>
      </c>
      <c r="AH479" s="473">
        <v>200</v>
      </c>
      <c r="AI479" s="473">
        <v>1250</v>
      </c>
      <c r="AJ479" s="473">
        <v>2995</v>
      </c>
      <c r="AK479" s="473">
        <v>7192</v>
      </c>
      <c r="AL479" s="473">
        <v>5394</v>
      </c>
      <c r="AM479" s="473">
        <v>360</v>
      </c>
      <c r="AN479" s="473">
        <v>1259</v>
      </c>
      <c r="AO479" s="473">
        <v>719</v>
      </c>
      <c r="AP479" s="473">
        <v>180</v>
      </c>
      <c r="AQ479" s="473">
        <v>1800</v>
      </c>
      <c r="AR479" s="473">
        <v>6617</v>
      </c>
      <c r="AS479" s="473">
        <v>0</v>
      </c>
      <c r="AT479" s="473">
        <v>0</v>
      </c>
      <c r="AU479" s="473">
        <v>1683</v>
      </c>
      <c r="AV479" s="473">
        <v>81590</v>
      </c>
      <c r="AW479" s="474">
        <v>79907</v>
      </c>
      <c r="AX479" s="473">
        <v>0</v>
      </c>
      <c r="AY479" s="473">
        <v>0</v>
      </c>
      <c r="AZ479" s="475">
        <v>0</v>
      </c>
      <c r="BA479" s="475">
        <v>200</v>
      </c>
      <c r="BB479" s="475">
        <v>1800</v>
      </c>
      <c r="BC479" s="475">
        <v>0</v>
      </c>
      <c r="BD479" s="475">
        <v>0</v>
      </c>
      <c r="BE479" s="475">
        <v>0</v>
      </c>
      <c r="BF479" s="475">
        <v>0</v>
      </c>
      <c r="BG479" s="475">
        <v>2000</v>
      </c>
      <c r="BH479" s="476">
        <v>79590</v>
      </c>
      <c r="BI479" s="467"/>
      <c r="BJ479" s="468"/>
    </row>
    <row r="480" spans="1:62">
      <c r="A480" s="469">
        <v>45839</v>
      </c>
      <c r="B480" s="469" t="s">
        <v>747</v>
      </c>
      <c r="C480" s="508" t="s">
        <v>748</v>
      </c>
      <c r="D480" s="470" t="s">
        <v>749</v>
      </c>
      <c r="E480" s="471">
        <v>435</v>
      </c>
      <c r="F480" s="470" t="s">
        <v>997</v>
      </c>
      <c r="G480" s="470" t="s">
        <v>751</v>
      </c>
      <c r="H480" s="470" t="s">
        <v>12</v>
      </c>
      <c r="I480" s="470" t="s">
        <v>998</v>
      </c>
      <c r="J480" s="472" t="s">
        <v>999</v>
      </c>
      <c r="K480" s="470" t="s">
        <v>1000</v>
      </c>
      <c r="L480" s="470" t="s">
        <v>832</v>
      </c>
      <c r="M480" s="470" t="s">
        <v>832</v>
      </c>
      <c r="N480" s="470" t="s">
        <v>833</v>
      </c>
      <c r="O480" s="472" t="s">
        <v>757</v>
      </c>
      <c r="P480" s="472" t="s">
        <v>738</v>
      </c>
      <c r="Q480" s="472" t="s">
        <v>758</v>
      </c>
      <c r="R480" s="472" t="s">
        <v>12</v>
      </c>
      <c r="S480" s="472" t="s">
        <v>12</v>
      </c>
      <c r="T480" s="472" t="s">
        <v>1001</v>
      </c>
      <c r="U480" s="470" t="s">
        <v>1002</v>
      </c>
      <c r="V480" s="470" t="s">
        <v>761</v>
      </c>
      <c r="W480" s="470" t="s">
        <v>762</v>
      </c>
      <c r="X480" s="470">
        <v>31</v>
      </c>
      <c r="Y480" s="470">
        <v>0</v>
      </c>
      <c r="Z480" s="470">
        <v>0</v>
      </c>
      <c r="AA480" s="470">
        <v>31</v>
      </c>
      <c r="AB480" s="470">
        <v>31</v>
      </c>
      <c r="AC480" s="473">
        <v>33167</v>
      </c>
      <c r="AD480" s="473">
        <v>33167</v>
      </c>
      <c r="AE480" s="473">
        <v>14925</v>
      </c>
      <c r="AF480" s="473">
        <v>5970</v>
      </c>
      <c r="AG480" s="473">
        <v>1600</v>
      </c>
      <c r="AH480" s="473">
        <v>200</v>
      </c>
      <c r="AI480" s="473">
        <v>1250</v>
      </c>
      <c r="AJ480" s="473">
        <v>0</v>
      </c>
      <c r="AK480" s="473">
        <v>0</v>
      </c>
      <c r="AL480" s="473">
        <v>0</v>
      </c>
      <c r="AM480" s="473">
        <v>0</v>
      </c>
      <c r="AN480" s="473">
        <v>0</v>
      </c>
      <c r="AO480" s="473">
        <v>0</v>
      </c>
      <c r="AP480" s="473">
        <v>0</v>
      </c>
      <c r="AQ480" s="473">
        <v>1791</v>
      </c>
      <c r="AR480" s="473">
        <v>7431</v>
      </c>
      <c r="AS480" s="473">
        <v>0</v>
      </c>
      <c r="AT480" s="473">
        <v>0</v>
      </c>
      <c r="AU480" s="473">
        <v>7433</v>
      </c>
      <c r="AV480" s="473">
        <v>40600</v>
      </c>
      <c r="AW480" s="474">
        <v>33167</v>
      </c>
      <c r="AX480" s="473">
        <v>0</v>
      </c>
      <c r="AY480" s="473">
        <v>0</v>
      </c>
      <c r="AZ480" s="475">
        <v>0</v>
      </c>
      <c r="BA480" s="475">
        <v>200</v>
      </c>
      <c r="BB480" s="475">
        <v>1791</v>
      </c>
      <c r="BC480" s="475">
        <v>0</v>
      </c>
      <c r="BD480" s="475">
        <v>0</v>
      </c>
      <c r="BE480" s="475">
        <v>0</v>
      </c>
      <c r="BF480" s="475">
        <v>0</v>
      </c>
      <c r="BG480" s="475">
        <v>1991</v>
      </c>
      <c r="BH480" s="476">
        <v>38609</v>
      </c>
      <c r="BI480" s="467"/>
      <c r="BJ480" s="468"/>
    </row>
    <row r="481" spans="1:62">
      <c r="A481" s="469">
        <v>45839</v>
      </c>
      <c r="B481" s="469" t="s">
        <v>747</v>
      </c>
      <c r="C481" s="508" t="s">
        <v>748</v>
      </c>
      <c r="D481" s="470" t="s">
        <v>749</v>
      </c>
      <c r="E481" s="471">
        <v>1033</v>
      </c>
      <c r="F481" s="470" t="s">
        <v>668</v>
      </c>
      <c r="G481" s="470" t="s">
        <v>751</v>
      </c>
      <c r="H481" s="470" t="s">
        <v>12</v>
      </c>
      <c r="I481" s="470" t="s">
        <v>1003</v>
      </c>
      <c r="J481" s="472" t="s">
        <v>1004</v>
      </c>
      <c r="K481" s="470" t="s">
        <v>1005</v>
      </c>
      <c r="L481" s="470" t="s">
        <v>918</v>
      </c>
      <c r="M481" s="470" t="s">
        <v>1006</v>
      </c>
      <c r="N481" s="470" t="s">
        <v>777</v>
      </c>
      <c r="O481" s="472" t="s">
        <v>757</v>
      </c>
      <c r="P481" s="472" t="s">
        <v>738</v>
      </c>
      <c r="Q481" s="472" t="s">
        <v>758</v>
      </c>
      <c r="R481" s="472" t="s">
        <v>12</v>
      </c>
      <c r="S481" s="472" t="s">
        <v>12</v>
      </c>
      <c r="T481" s="472" t="s">
        <v>1007</v>
      </c>
      <c r="U481" s="470" t="s">
        <v>1008</v>
      </c>
      <c r="V481" s="470" t="s">
        <v>761</v>
      </c>
      <c r="W481" s="470" t="s">
        <v>1009</v>
      </c>
      <c r="X481" s="470">
        <v>31</v>
      </c>
      <c r="Y481" s="470">
        <v>0</v>
      </c>
      <c r="Z481" s="470">
        <v>0</v>
      </c>
      <c r="AA481" s="470">
        <v>31</v>
      </c>
      <c r="AB481" s="470">
        <v>31</v>
      </c>
      <c r="AC481" s="473">
        <v>118333</v>
      </c>
      <c r="AD481" s="473">
        <v>118333</v>
      </c>
      <c r="AE481" s="473">
        <v>53250</v>
      </c>
      <c r="AF481" s="473">
        <v>21300</v>
      </c>
      <c r="AG481" s="473">
        <v>1600</v>
      </c>
      <c r="AH481" s="473">
        <v>200</v>
      </c>
      <c r="AI481" s="473">
        <v>1250</v>
      </c>
      <c r="AJ481" s="473">
        <v>4436</v>
      </c>
      <c r="AK481" s="473">
        <v>10650</v>
      </c>
      <c r="AL481" s="473">
        <v>7988</v>
      </c>
      <c r="AM481" s="473">
        <v>533</v>
      </c>
      <c r="AN481" s="473">
        <v>1864</v>
      </c>
      <c r="AO481" s="473">
        <v>1065</v>
      </c>
      <c r="AP481" s="473">
        <v>266</v>
      </c>
      <c r="AQ481" s="473">
        <v>1800</v>
      </c>
      <c r="AR481" s="473">
        <v>12131</v>
      </c>
      <c r="AS481" s="473">
        <v>0</v>
      </c>
      <c r="AT481" s="473">
        <v>0</v>
      </c>
      <c r="AU481" s="473">
        <v>2026</v>
      </c>
      <c r="AV481" s="473">
        <v>120359</v>
      </c>
      <c r="AW481" s="474">
        <v>118333</v>
      </c>
      <c r="AX481" s="473">
        <v>0</v>
      </c>
      <c r="AY481" s="473">
        <v>0</v>
      </c>
      <c r="AZ481" s="475">
        <v>9383</v>
      </c>
      <c r="BA481" s="475">
        <v>200</v>
      </c>
      <c r="BB481" s="475">
        <v>1800</v>
      </c>
      <c r="BC481" s="475">
        <v>0</v>
      </c>
      <c r="BD481" s="475">
        <v>0</v>
      </c>
      <c r="BE481" s="475">
        <v>0</v>
      </c>
      <c r="BF481" s="475">
        <v>12500</v>
      </c>
      <c r="BG481" s="475">
        <v>23883</v>
      </c>
      <c r="BH481" s="476">
        <v>96476</v>
      </c>
      <c r="BI481" s="467"/>
      <c r="BJ481" s="468"/>
    </row>
    <row r="482" spans="1:62">
      <c r="A482" s="469">
        <v>45839</v>
      </c>
      <c r="B482" s="469" t="s">
        <v>747</v>
      </c>
      <c r="C482" s="508" t="s">
        <v>748</v>
      </c>
      <c r="D482" s="470" t="s">
        <v>749</v>
      </c>
      <c r="E482" s="471">
        <v>927</v>
      </c>
      <c r="F482" s="470" t="s">
        <v>1010</v>
      </c>
      <c r="G482" s="470" t="s">
        <v>751</v>
      </c>
      <c r="H482" s="470" t="s">
        <v>12</v>
      </c>
      <c r="I482" s="470" t="s">
        <v>1011</v>
      </c>
      <c r="J482" s="472" t="s">
        <v>1012</v>
      </c>
      <c r="K482" s="470" t="s">
        <v>1013</v>
      </c>
      <c r="L482" s="470" t="s">
        <v>816</v>
      </c>
      <c r="M482" s="470" t="s">
        <v>816</v>
      </c>
      <c r="N482" s="470" t="s">
        <v>777</v>
      </c>
      <c r="O482" s="472" t="s">
        <v>757</v>
      </c>
      <c r="P482" s="472" t="s">
        <v>738</v>
      </c>
      <c r="Q482" s="472" t="s">
        <v>758</v>
      </c>
      <c r="R482" s="472" t="s">
        <v>12</v>
      </c>
      <c r="S482" s="472" t="s">
        <v>12</v>
      </c>
      <c r="T482" s="472" t="s">
        <v>1014</v>
      </c>
      <c r="U482" s="470"/>
      <c r="V482" s="470"/>
      <c r="W482" s="470"/>
      <c r="X482" s="470">
        <v>31</v>
      </c>
      <c r="Y482" s="470">
        <v>0</v>
      </c>
      <c r="Z482" s="470">
        <v>1</v>
      </c>
      <c r="AA482" s="470">
        <v>0</v>
      </c>
      <c r="AB482" s="470">
        <v>0</v>
      </c>
      <c r="AC482" s="473">
        <v>72867</v>
      </c>
      <c r="AD482" s="473">
        <v>72867</v>
      </c>
      <c r="AE482" s="473">
        <v>0</v>
      </c>
      <c r="AF482" s="473">
        <v>0</v>
      </c>
      <c r="AG482" s="473">
        <v>0</v>
      </c>
      <c r="AH482" s="473">
        <v>0</v>
      </c>
      <c r="AI482" s="473">
        <v>0</v>
      </c>
      <c r="AJ482" s="473">
        <v>0</v>
      </c>
      <c r="AK482" s="473">
        <v>0</v>
      </c>
      <c r="AL482" s="473">
        <v>0</v>
      </c>
      <c r="AM482" s="473">
        <v>0</v>
      </c>
      <c r="AN482" s="473">
        <v>0</v>
      </c>
      <c r="AO482" s="473">
        <v>0</v>
      </c>
      <c r="AP482" s="473">
        <v>0</v>
      </c>
      <c r="AQ482" s="473">
        <v>0</v>
      </c>
      <c r="AR482" s="473">
        <v>0</v>
      </c>
      <c r="AS482" s="473">
        <v>0</v>
      </c>
      <c r="AT482" s="473">
        <v>0</v>
      </c>
      <c r="AU482" s="473">
        <v>0</v>
      </c>
      <c r="AV482" s="473">
        <v>0</v>
      </c>
      <c r="AW482" s="474">
        <v>0</v>
      </c>
      <c r="AX482" s="473">
        <v>0</v>
      </c>
      <c r="AY482" s="473">
        <v>0</v>
      </c>
      <c r="AZ482" s="475">
        <v>0</v>
      </c>
      <c r="BA482" s="475">
        <v>0</v>
      </c>
      <c r="BB482" s="475">
        <v>0</v>
      </c>
      <c r="BC482" s="475">
        <v>0</v>
      </c>
      <c r="BD482" s="475">
        <v>0</v>
      </c>
      <c r="BE482" s="475">
        <v>0</v>
      </c>
      <c r="BF482" s="475">
        <v>0</v>
      </c>
      <c r="BG482" s="475">
        <v>0</v>
      </c>
      <c r="BH482" s="476">
        <v>0</v>
      </c>
      <c r="BI482" s="467"/>
      <c r="BJ482" s="468"/>
    </row>
    <row r="483" spans="1:62">
      <c r="A483" s="469">
        <v>45839</v>
      </c>
      <c r="B483" s="469" t="s">
        <v>747</v>
      </c>
      <c r="C483" s="508" t="s">
        <v>748</v>
      </c>
      <c r="D483" s="470" t="s">
        <v>749</v>
      </c>
      <c r="E483" s="471">
        <v>1086</v>
      </c>
      <c r="F483" s="470" t="s">
        <v>1016</v>
      </c>
      <c r="G483" s="470" t="s">
        <v>812</v>
      </c>
      <c r="H483" s="470" t="s">
        <v>12</v>
      </c>
      <c r="I483" s="470" t="s">
        <v>1017</v>
      </c>
      <c r="J483" s="472" t="s">
        <v>1018</v>
      </c>
      <c r="K483" s="470" t="s">
        <v>1019</v>
      </c>
      <c r="L483" s="470" t="s">
        <v>816</v>
      </c>
      <c r="M483" s="470" t="s">
        <v>817</v>
      </c>
      <c r="N483" s="470" t="s">
        <v>777</v>
      </c>
      <c r="O483" s="472" t="s">
        <v>792</v>
      </c>
      <c r="P483" s="472" t="s">
        <v>738</v>
      </c>
      <c r="Q483" s="472" t="s">
        <v>758</v>
      </c>
      <c r="R483" s="472" t="s">
        <v>12</v>
      </c>
      <c r="S483" s="472" t="s">
        <v>12</v>
      </c>
      <c r="T483" s="472" t="s">
        <v>1021</v>
      </c>
      <c r="U483" s="470" t="s">
        <v>1022</v>
      </c>
      <c r="V483" s="470" t="s">
        <v>761</v>
      </c>
      <c r="W483" s="470" t="s">
        <v>771</v>
      </c>
      <c r="X483" s="470">
        <v>31</v>
      </c>
      <c r="Y483" s="470">
        <v>0</v>
      </c>
      <c r="Z483" s="470">
        <v>0</v>
      </c>
      <c r="AA483" s="470">
        <v>31</v>
      </c>
      <c r="AB483" s="470">
        <v>31</v>
      </c>
      <c r="AC483" s="473">
        <v>60208</v>
      </c>
      <c r="AD483" s="473">
        <v>60208</v>
      </c>
      <c r="AE483" s="473">
        <v>27094</v>
      </c>
      <c r="AF483" s="473">
        <v>10838</v>
      </c>
      <c r="AG483" s="473">
        <v>1600</v>
      </c>
      <c r="AH483" s="473">
        <v>200</v>
      </c>
      <c r="AI483" s="473">
        <v>1250</v>
      </c>
      <c r="AJ483" s="473">
        <v>2257</v>
      </c>
      <c r="AK483" s="473">
        <v>5419</v>
      </c>
      <c r="AL483" s="473">
        <v>4064</v>
      </c>
      <c r="AM483" s="473">
        <v>271</v>
      </c>
      <c r="AN483" s="473">
        <v>948</v>
      </c>
      <c r="AO483" s="473">
        <v>542</v>
      </c>
      <c r="AP483" s="473">
        <v>135</v>
      </c>
      <c r="AQ483" s="473">
        <v>1800</v>
      </c>
      <c r="AR483" s="473">
        <v>3790</v>
      </c>
      <c r="AS483" s="473">
        <v>0</v>
      </c>
      <c r="AT483" s="473">
        <v>6514</v>
      </c>
      <c r="AU483" s="473">
        <v>3720</v>
      </c>
      <c r="AV483" s="473">
        <v>70442</v>
      </c>
      <c r="AW483" s="474">
        <v>66722</v>
      </c>
      <c r="AX483" s="473">
        <v>0</v>
      </c>
      <c r="AY483" s="473">
        <v>0</v>
      </c>
      <c r="AZ483" s="475">
        <v>0</v>
      </c>
      <c r="BA483" s="475">
        <v>200</v>
      </c>
      <c r="BB483" s="475">
        <v>1800</v>
      </c>
      <c r="BC483" s="475">
        <v>0</v>
      </c>
      <c r="BD483" s="475">
        <v>0</v>
      </c>
      <c r="BE483" s="475">
        <v>0</v>
      </c>
      <c r="BF483" s="475">
        <v>0</v>
      </c>
      <c r="BG483" s="475">
        <v>2000</v>
      </c>
      <c r="BH483" s="476">
        <v>68442</v>
      </c>
      <c r="BI483" s="467"/>
      <c r="BJ483" s="468"/>
    </row>
    <row r="484" spans="1:62">
      <c r="A484" s="469">
        <v>45839</v>
      </c>
      <c r="B484" s="469" t="s">
        <v>747</v>
      </c>
      <c r="C484" s="508" t="s">
        <v>748</v>
      </c>
      <c r="D484" s="470" t="s">
        <v>749</v>
      </c>
      <c r="E484" s="471">
        <v>737</v>
      </c>
      <c r="F484" s="470" t="s">
        <v>1023</v>
      </c>
      <c r="G484" s="470" t="s">
        <v>751</v>
      </c>
      <c r="H484" s="470" t="s">
        <v>12</v>
      </c>
      <c r="I484" s="470" t="s">
        <v>1024</v>
      </c>
      <c r="J484" s="472" t="s">
        <v>1025</v>
      </c>
      <c r="K484" s="470" t="s">
        <v>1026</v>
      </c>
      <c r="L484" s="470" t="s">
        <v>979</v>
      </c>
      <c r="M484" s="470" t="s">
        <v>1027</v>
      </c>
      <c r="N484" s="470" t="s">
        <v>833</v>
      </c>
      <c r="O484" s="472" t="s">
        <v>757</v>
      </c>
      <c r="P484" s="472" t="s">
        <v>738</v>
      </c>
      <c r="Q484" s="472" t="s">
        <v>758</v>
      </c>
      <c r="R484" s="472" t="s">
        <v>12</v>
      </c>
      <c r="S484" s="472" t="s">
        <v>12</v>
      </c>
      <c r="T484" s="472" t="s">
        <v>1029</v>
      </c>
      <c r="U484" s="470" t="s">
        <v>1030</v>
      </c>
      <c r="V484" s="470" t="s">
        <v>761</v>
      </c>
      <c r="W484" s="470" t="s">
        <v>762</v>
      </c>
      <c r="X484" s="470">
        <v>31</v>
      </c>
      <c r="Y484" s="470">
        <v>0</v>
      </c>
      <c r="Z484" s="470">
        <v>0</v>
      </c>
      <c r="AA484" s="470">
        <v>31</v>
      </c>
      <c r="AB484" s="470">
        <v>31</v>
      </c>
      <c r="AC484" s="473">
        <v>22933</v>
      </c>
      <c r="AD484" s="473">
        <v>22933</v>
      </c>
      <c r="AE484" s="473">
        <v>10320</v>
      </c>
      <c r="AF484" s="473">
        <v>4128</v>
      </c>
      <c r="AG484" s="473">
        <v>1600</v>
      </c>
      <c r="AH484" s="473">
        <v>200</v>
      </c>
      <c r="AI484" s="473">
        <v>1250</v>
      </c>
      <c r="AJ484" s="473">
        <v>0</v>
      </c>
      <c r="AK484" s="473">
        <v>0</v>
      </c>
      <c r="AL484" s="473">
        <v>0</v>
      </c>
      <c r="AM484" s="473">
        <v>0</v>
      </c>
      <c r="AN484" s="473">
        <v>0</v>
      </c>
      <c r="AO484" s="473">
        <v>0</v>
      </c>
      <c r="AP484" s="473">
        <v>0</v>
      </c>
      <c r="AQ484" s="473">
        <v>1238</v>
      </c>
      <c r="AR484" s="473">
        <v>4197</v>
      </c>
      <c r="AS484" s="473">
        <v>0</v>
      </c>
      <c r="AT484" s="473">
        <v>0</v>
      </c>
      <c r="AU484" s="473">
        <v>4419</v>
      </c>
      <c r="AV484" s="473">
        <v>27352</v>
      </c>
      <c r="AW484" s="474">
        <v>22933</v>
      </c>
      <c r="AX484" s="473">
        <v>0</v>
      </c>
      <c r="AY484" s="473">
        <v>0</v>
      </c>
      <c r="AZ484" s="475">
        <v>0</v>
      </c>
      <c r="BA484" s="475">
        <v>200</v>
      </c>
      <c r="BB484" s="475">
        <v>1238</v>
      </c>
      <c r="BC484" s="475">
        <v>0</v>
      </c>
      <c r="BD484" s="475">
        <v>0</v>
      </c>
      <c r="BE484" s="475">
        <v>0</v>
      </c>
      <c r="BF484" s="475">
        <v>0</v>
      </c>
      <c r="BG484" s="475">
        <v>1438</v>
      </c>
      <c r="BH484" s="476">
        <v>25914</v>
      </c>
      <c r="BI484" s="467"/>
      <c r="BJ484" s="468"/>
    </row>
    <row r="485" spans="1:62">
      <c r="A485" s="469">
        <v>45839</v>
      </c>
      <c r="B485" s="469" t="s">
        <v>747</v>
      </c>
      <c r="C485" s="508" t="s">
        <v>748</v>
      </c>
      <c r="D485" s="470" t="s">
        <v>749</v>
      </c>
      <c r="E485" s="471">
        <v>649</v>
      </c>
      <c r="F485" s="470" t="s">
        <v>1031</v>
      </c>
      <c r="G485" s="470" t="s">
        <v>812</v>
      </c>
      <c r="H485" s="470" t="s">
        <v>12</v>
      </c>
      <c r="I485" s="470" t="s">
        <v>1032</v>
      </c>
      <c r="J485" s="472" t="s">
        <v>1033</v>
      </c>
      <c r="K485" s="470" t="s">
        <v>1034</v>
      </c>
      <c r="L485" s="470" t="s">
        <v>971</v>
      </c>
      <c r="M485" s="470" t="s">
        <v>1035</v>
      </c>
      <c r="N485" s="470" t="s">
        <v>833</v>
      </c>
      <c r="O485" s="472" t="s">
        <v>792</v>
      </c>
      <c r="P485" s="472" t="s">
        <v>738</v>
      </c>
      <c r="Q485" s="472" t="s">
        <v>758</v>
      </c>
      <c r="R485" s="472" t="s">
        <v>12</v>
      </c>
      <c r="S485" s="472" t="s">
        <v>12</v>
      </c>
      <c r="T485" s="472" t="s">
        <v>1036</v>
      </c>
      <c r="U485" s="470" t="s">
        <v>1037</v>
      </c>
      <c r="V485" s="470" t="s">
        <v>761</v>
      </c>
      <c r="W485" s="470" t="s">
        <v>762</v>
      </c>
      <c r="X485" s="470">
        <v>31</v>
      </c>
      <c r="Y485" s="470">
        <v>0</v>
      </c>
      <c r="Z485" s="470">
        <v>0.5</v>
      </c>
      <c r="AA485" s="470">
        <v>30.5</v>
      </c>
      <c r="AB485" s="470">
        <v>30.5</v>
      </c>
      <c r="AC485" s="473">
        <v>158333</v>
      </c>
      <c r="AD485" s="473">
        <v>158333</v>
      </c>
      <c r="AE485" s="473">
        <v>70101</v>
      </c>
      <c r="AF485" s="473">
        <v>28040</v>
      </c>
      <c r="AG485" s="473">
        <v>1574</v>
      </c>
      <c r="AH485" s="473">
        <v>197</v>
      </c>
      <c r="AI485" s="473">
        <v>1230</v>
      </c>
      <c r="AJ485" s="473">
        <v>5839</v>
      </c>
      <c r="AK485" s="473">
        <v>14020</v>
      </c>
      <c r="AL485" s="473">
        <v>10515</v>
      </c>
      <c r="AM485" s="473">
        <v>701</v>
      </c>
      <c r="AN485" s="473">
        <v>2454</v>
      </c>
      <c r="AO485" s="473">
        <v>1402</v>
      </c>
      <c r="AP485" s="473">
        <v>351</v>
      </c>
      <c r="AQ485" s="473">
        <v>1800</v>
      </c>
      <c r="AR485" s="473">
        <v>17555</v>
      </c>
      <c r="AS485" s="473">
        <v>0</v>
      </c>
      <c r="AT485" s="473">
        <v>0</v>
      </c>
      <c r="AU485" s="473">
        <v>0</v>
      </c>
      <c r="AV485" s="473">
        <v>155779</v>
      </c>
      <c r="AW485" s="474">
        <v>155779</v>
      </c>
      <c r="AX485" s="473">
        <v>0</v>
      </c>
      <c r="AY485" s="473">
        <v>0</v>
      </c>
      <c r="AZ485" s="475">
        <v>10000</v>
      </c>
      <c r="BA485" s="475">
        <v>200</v>
      </c>
      <c r="BB485" s="475">
        <v>1800</v>
      </c>
      <c r="BC485" s="475">
        <v>0</v>
      </c>
      <c r="BD485" s="475">
        <v>0</v>
      </c>
      <c r="BE485" s="475">
        <v>0</v>
      </c>
      <c r="BF485" s="475">
        <v>0</v>
      </c>
      <c r="BG485" s="475">
        <v>12000</v>
      </c>
      <c r="BH485" s="476">
        <v>143779</v>
      </c>
      <c r="BI485" s="467"/>
      <c r="BJ485" s="468"/>
    </row>
    <row r="486" spans="1:62">
      <c r="A486" s="469">
        <v>45839</v>
      </c>
      <c r="B486" s="469" t="s">
        <v>747</v>
      </c>
      <c r="C486" s="508" t="s">
        <v>748</v>
      </c>
      <c r="D486" s="470" t="s">
        <v>749</v>
      </c>
      <c r="E486" s="471">
        <v>1746</v>
      </c>
      <c r="F486" s="470" t="s">
        <v>1038</v>
      </c>
      <c r="G486" s="470" t="s">
        <v>751</v>
      </c>
      <c r="H486" s="470" t="s">
        <v>12</v>
      </c>
      <c r="I486" s="470" t="s">
        <v>1039</v>
      </c>
      <c r="J486" s="472" t="s">
        <v>1040</v>
      </c>
      <c r="K486" s="470" t="s">
        <v>1041</v>
      </c>
      <c r="L486" s="470" t="s">
        <v>1042</v>
      </c>
      <c r="M486" s="470" t="s">
        <v>1042</v>
      </c>
      <c r="N486" s="470" t="s">
        <v>833</v>
      </c>
      <c r="O486" s="472" t="s">
        <v>1043</v>
      </c>
      <c r="P486" s="472" t="s">
        <v>738</v>
      </c>
      <c r="Q486" s="472" t="s">
        <v>758</v>
      </c>
      <c r="R486" s="472" t="s">
        <v>12</v>
      </c>
      <c r="S486" s="472" t="s">
        <v>12</v>
      </c>
      <c r="T486" s="472" t="s">
        <v>1044</v>
      </c>
      <c r="U486" s="470" t="s">
        <v>1045</v>
      </c>
      <c r="V486" s="470" t="s">
        <v>761</v>
      </c>
      <c r="W486" s="470" t="s">
        <v>762</v>
      </c>
      <c r="X486" s="470">
        <v>31</v>
      </c>
      <c r="Y486" s="470">
        <v>0</v>
      </c>
      <c r="Z486" s="470">
        <v>0</v>
      </c>
      <c r="AA486" s="470">
        <v>31</v>
      </c>
      <c r="AB486" s="470">
        <v>31</v>
      </c>
      <c r="AC486" s="473">
        <v>28500</v>
      </c>
      <c r="AD486" s="473">
        <v>28500</v>
      </c>
      <c r="AE486" s="473">
        <v>12825</v>
      </c>
      <c r="AF486" s="473">
        <v>5130</v>
      </c>
      <c r="AG486" s="473">
        <v>1600</v>
      </c>
      <c r="AH486" s="473">
        <v>200</v>
      </c>
      <c r="AI486" s="473">
        <v>1250</v>
      </c>
      <c r="AJ486" s="473">
        <v>0</v>
      </c>
      <c r="AK486" s="473">
        <v>0</v>
      </c>
      <c r="AL486" s="473">
        <v>0</v>
      </c>
      <c r="AM486" s="473">
        <v>0</v>
      </c>
      <c r="AN486" s="473">
        <v>0</v>
      </c>
      <c r="AO486" s="473">
        <v>0</v>
      </c>
      <c r="AP486" s="473">
        <v>0</v>
      </c>
      <c r="AQ486" s="473">
        <v>1539</v>
      </c>
      <c r="AR486" s="473">
        <v>5956</v>
      </c>
      <c r="AS486" s="473">
        <v>0</v>
      </c>
      <c r="AT486" s="473">
        <v>0</v>
      </c>
      <c r="AU486" s="473">
        <v>7624</v>
      </c>
      <c r="AV486" s="473">
        <v>36124</v>
      </c>
      <c r="AW486" s="474">
        <v>28500</v>
      </c>
      <c r="AX486" s="473">
        <v>0</v>
      </c>
      <c r="AY486" s="473">
        <v>0</v>
      </c>
      <c r="AZ486" s="475">
        <v>0</v>
      </c>
      <c r="BA486" s="475">
        <v>200</v>
      </c>
      <c r="BB486" s="475">
        <v>1539</v>
      </c>
      <c r="BC486" s="475">
        <v>0</v>
      </c>
      <c r="BD486" s="475">
        <v>0</v>
      </c>
      <c r="BE486" s="475">
        <v>0</v>
      </c>
      <c r="BF486" s="475">
        <v>0</v>
      </c>
      <c r="BG486" s="475">
        <v>1739</v>
      </c>
      <c r="BH486" s="476">
        <v>34385</v>
      </c>
      <c r="BI486" s="467"/>
      <c r="BJ486" s="468"/>
    </row>
    <row r="487" spans="1:62">
      <c r="A487" s="469">
        <v>45839</v>
      </c>
      <c r="B487" s="469" t="s">
        <v>747</v>
      </c>
      <c r="C487" s="508" t="s">
        <v>748</v>
      </c>
      <c r="D487" s="470" t="s">
        <v>749</v>
      </c>
      <c r="E487" s="471">
        <v>1771</v>
      </c>
      <c r="F487" s="470" t="s">
        <v>1046</v>
      </c>
      <c r="G487" s="470" t="s">
        <v>751</v>
      </c>
      <c r="H487" s="470" t="s">
        <v>12</v>
      </c>
      <c r="I487" s="470" t="s">
        <v>781</v>
      </c>
      <c r="J487" s="472" t="s">
        <v>1047</v>
      </c>
      <c r="K487" s="470" t="s">
        <v>1048</v>
      </c>
      <c r="L487" s="470" t="s">
        <v>776</v>
      </c>
      <c r="M487" s="470" t="s">
        <v>776</v>
      </c>
      <c r="N487" s="470" t="s">
        <v>777</v>
      </c>
      <c r="O487" s="472" t="s">
        <v>757</v>
      </c>
      <c r="P487" s="472" t="s">
        <v>738</v>
      </c>
      <c r="Q487" s="472" t="s">
        <v>758</v>
      </c>
      <c r="R487" s="472" t="s">
        <v>12</v>
      </c>
      <c r="S487" s="472" t="s">
        <v>12</v>
      </c>
      <c r="T487" s="472" t="s">
        <v>1049</v>
      </c>
      <c r="U487" s="470" t="s">
        <v>1050</v>
      </c>
      <c r="V487" s="470" t="s">
        <v>761</v>
      </c>
      <c r="W487" s="470" t="s">
        <v>795</v>
      </c>
      <c r="X487" s="470">
        <v>31</v>
      </c>
      <c r="Y487" s="470">
        <v>0</v>
      </c>
      <c r="Z487" s="470">
        <v>0</v>
      </c>
      <c r="AA487" s="470">
        <v>31</v>
      </c>
      <c r="AB487" s="470">
        <v>31</v>
      </c>
      <c r="AC487" s="473">
        <v>92504</v>
      </c>
      <c r="AD487" s="473">
        <v>92504</v>
      </c>
      <c r="AE487" s="473">
        <v>41627</v>
      </c>
      <c r="AF487" s="473">
        <v>16651</v>
      </c>
      <c r="AG487" s="473">
        <v>1600</v>
      </c>
      <c r="AH487" s="473">
        <v>200</v>
      </c>
      <c r="AI487" s="473">
        <v>1250</v>
      </c>
      <c r="AJ487" s="473">
        <v>3468</v>
      </c>
      <c r="AK487" s="473">
        <v>8325</v>
      </c>
      <c r="AL487" s="473">
        <v>6244</v>
      </c>
      <c r="AM487" s="473">
        <v>416</v>
      </c>
      <c r="AN487" s="473">
        <v>1457</v>
      </c>
      <c r="AO487" s="473">
        <v>833</v>
      </c>
      <c r="AP487" s="473">
        <v>208</v>
      </c>
      <c r="AQ487" s="473">
        <v>1800</v>
      </c>
      <c r="AR487" s="473">
        <v>8425</v>
      </c>
      <c r="AS487" s="473">
        <v>0</v>
      </c>
      <c r="AT487" s="473">
        <v>0</v>
      </c>
      <c r="AU487" s="473">
        <v>4620</v>
      </c>
      <c r="AV487" s="473">
        <v>97124</v>
      </c>
      <c r="AW487" s="474">
        <v>92504</v>
      </c>
      <c r="AX487" s="473">
        <v>0</v>
      </c>
      <c r="AY487" s="473">
        <v>0</v>
      </c>
      <c r="AZ487" s="475">
        <v>0</v>
      </c>
      <c r="BA487" s="475">
        <v>200</v>
      </c>
      <c r="BB487" s="475">
        <v>1800</v>
      </c>
      <c r="BC487" s="475">
        <v>0</v>
      </c>
      <c r="BD487" s="475">
        <v>0</v>
      </c>
      <c r="BE487" s="475">
        <v>0</v>
      </c>
      <c r="BF487" s="475">
        <v>0</v>
      </c>
      <c r="BG487" s="475">
        <v>2000</v>
      </c>
      <c r="BH487" s="476">
        <v>95124</v>
      </c>
      <c r="BI487" s="467"/>
      <c r="BJ487" s="468"/>
    </row>
    <row r="488" spans="1:62">
      <c r="A488" s="469">
        <v>45839</v>
      </c>
      <c r="B488" s="469" t="s">
        <v>747</v>
      </c>
      <c r="C488" s="508" t="s">
        <v>748</v>
      </c>
      <c r="D488" s="470" t="s">
        <v>749</v>
      </c>
      <c r="E488" s="471">
        <v>901</v>
      </c>
      <c r="F488" s="470" t="s">
        <v>1051</v>
      </c>
      <c r="G488" s="470" t="s">
        <v>751</v>
      </c>
      <c r="H488" s="470" t="s">
        <v>12</v>
      </c>
      <c r="I488" s="470" t="s">
        <v>1052</v>
      </c>
      <c r="J488" s="472" t="s">
        <v>1053</v>
      </c>
      <c r="K488" s="470" t="s">
        <v>1054</v>
      </c>
      <c r="L488" s="470" t="s">
        <v>994</v>
      </c>
      <c r="M488" s="470" t="s">
        <v>994</v>
      </c>
      <c r="N488" s="470" t="s">
        <v>777</v>
      </c>
      <c r="O488" s="472" t="s">
        <v>757</v>
      </c>
      <c r="P488" s="472" t="s">
        <v>738</v>
      </c>
      <c r="Q488" s="472" t="s">
        <v>758</v>
      </c>
      <c r="R488" s="472" t="s">
        <v>12</v>
      </c>
      <c r="S488" s="472" t="s">
        <v>12</v>
      </c>
      <c r="T488" s="472" t="s">
        <v>1055</v>
      </c>
      <c r="U488" s="470" t="s">
        <v>1056</v>
      </c>
      <c r="V488" s="470" t="s">
        <v>761</v>
      </c>
      <c r="W488" s="470" t="s">
        <v>810</v>
      </c>
      <c r="X488" s="470">
        <v>31</v>
      </c>
      <c r="Y488" s="470">
        <v>0</v>
      </c>
      <c r="Z488" s="470">
        <v>0</v>
      </c>
      <c r="AA488" s="470">
        <v>31</v>
      </c>
      <c r="AB488" s="470">
        <v>31</v>
      </c>
      <c r="AC488" s="473">
        <v>74042</v>
      </c>
      <c r="AD488" s="473">
        <v>74042</v>
      </c>
      <c r="AE488" s="473">
        <v>33319</v>
      </c>
      <c r="AF488" s="473">
        <v>13328</v>
      </c>
      <c r="AG488" s="473">
        <v>1600</v>
      </c>
      <c r="AH488" s="473">
        <v>200</v>
      </c>
      <c r="AI488" s="473">
        <v>1250</v>
      </c>
      <c r="AJ488" s="473">
        <v>2775</v>
      </c>
      <c r="AK488" s="473">
        <v>6664</v>
      </c>
      <c r="AL488" s="473">
        <v>4998</v>
      </c>
      <c r="AM488" s="473">
        <v>333</v>
      </c>
      <c r="AN488" s="473">
        <v>1166</v>
      </c>
      <c r="AO488" s="473">
        <v>666</v>
      </c>
      <c r="AP488" s="473">
        <v>167</v>
      </c>
      <c r="AQ488" s="473">
        <v>1800</v>
      </c>
      <c r="AR488" s="473">
        <v>5776</v>
      </c>
      <c r="AS488" s="473">
        <v>0</v>
      </c>
      <c r="AT488" s="473">
        <v>0</v>
      </c>
      <c r="AU488" s="473">
        <v>34181</v>
      </c>
      <c r="AV488" s="473">
        <v>108223</v>
      </c>
      <c r="AW488" s="474">
        <v>74042</v>
      </c>
      <c r="AX488" s="473">
        <v>0</v>
      </c>
      <c r="AY488" s="473">
        <v>0</v>
      </c>
      <c r="AZ488" s="475">
        <v>0</v>
      </c>
      <c r="BA488" s="475">
        <v>200</v>
      </c>
      <c r="BB488" s="475">
        <v>1800</v>
      </c>
      <c r="BC488" s="475">
        <v>0</v>
      </c>
      <c r="BD488" s="475">
        <v>0</v>
      </c>
      <c r="BE488" s="475">
        <v>0</v>
      </c>
      <c r="BF488" s="475">
        <v>0</v>
      </c>
      <c r="BG488" s="475">
        <v>2000</v>
      </c>
      <c r="BH488" s="476">
        <v>106223</v>
      </c>
      <c r="BI488" s="467"/>
      <c r="BJ488" s="468"/>
    </row>
    <row r="489" spans="1:62">
      <c r="A489" s="469">
        <v>45839</v>
      </c>
      <c r="B489" s="469" t="s">
        <v>747</v>
      </c>
      <c r="C489" s="508" t="s">
        <v>748</v>
      </c>
      <c r="D489" s="470" t="s">
        <v>749</v>
      </c>
      <c r="E489" s="471">
        <v>1445</v>
      </c>
      <c r="F489" s="470" t="s">
        <v>1057</v>
      </c>
      <c r="G489" s="470" t="s">
        <v>751</v>
      </c>
      <c r="H489" s="470" t="s">
        <v>12</v>
      </c>
      <c r="I489" s="470" t="s">
        <v>1058</v>
      </c>
      <c r="J489" s="472" t="s">
        <v>1059</v>
      </c>
      <c r="K489" s="470" t="s">
        <v>1060</v>
      </c>
      <c r="L489" s="470" t="s">
        <v>800</v>
      </c>
      <c r="M489" s="470" t="s">
        <v>801</v>
      </c>
      <c r="N489" s="470" t="s">
        <v>756</v>
      </c>
      <c r="O489" s="472" t="s">
        <v>757</v>
      </c>
      <c r="P489" s="472" t="s">
        <v>738</v>
      </c>
      <c r="Q489" s="472" t="s">
        <v>758</v>
      </c>
      <c r="R489" s="472" t="s">
        <v>12</v>
      </c>
      <c r="S489" s="472" t="s">
        <v>12</v>
      </c>
      <c r="T489" s="472" t="s">
        <v>1061</v>
      </c>
      <c r="U489" s="470" t="s">
        <v>1062</v>
      </c>
      <c r="V489" s="470" t="s">
        <v>761</v>
      </c>
      <c r="W489" s="470" t="s">
        <v>1063</v>
      </c>
      <c r="X489" s="470">
        <v>31</v>
      </c>
      <c r="Y489" s="470">
        <v>0</v>
      </c>
      <c r="Z489" s="470">
        <v>0</v>
      </c>
      <c r="AA489" s="470">
        <v>31</v>
      </c>
      <c r="AB489" s="470">
        <v>31</v>
      </c>
      <c r="AC489" s="473">
        <v>50225</v>
      </c>
      <c r="AD489" s="473">
        <v>50225</v>
      </c>
      <c r="AE489" s="473">
        <v>22601</v>
      </c>
      <c r="AF489" s="473">
        <v>9040</v>
      </c>
      <c r="AG489" s="473">
        <v>1600</v>
      </c>
      <c r="AH489" s="473">
        <v>200</v>
      </c>
      <c r="AI489" s="473">
        <v>1250</v>
      </c>
      <c r="AJ489" s="473">
        <v>1883</v>
      </c>
      <c r="AK489" s="473">
        <v>4520</v>
      </c>
      <c r="AL489" s="473">
        <v>3390</v>
      </c>
      <c r="AM489" s="473">
        <v>226</v>
      </c>
      <c r="AN489" s="473">
        <v>791</v>
      </c>
      <c r="AO489" s="473">
        <v>452</v>
      </c>
      <c r="AP489" s="473">
        <v>113</v>
      </c>
      <c r="AQ489" s="473">
        <v>1800</v>
      </c>
      <c r="AR489" s="473">
        <v>2359</v>
      </c>
      <c r="AS489" s="473">
        <v>0</v>
      </c>
      <c r="AT489" s="473">
        <v>400</v>
      </c>
      <c r="AU489" s="473">
        <v>0</v>
      </c>
      <c r="AV489" s="473">
        <v>50625</v>
      </c>
      <c r="AW489" s="474">
        <v>50625</v>
      </c>
      <c r="AX489" s="473">
        <v>0</v>
      </c>
      <c r="AY489" s="473">
        <v>0</v>
      </c>
      <c r="AZ489" s="475">
        <v>0</v>
      </c>
      <c r="BA489" s="475">
        <v>200</v>
      </c>
      <c r="BB489" s="475">
        <v>1800</v>
      </c>
      <c r="BC489" s="475">
        <v>0</v>
      </c>
      <c r="BD489" s="475">
        <v>0</v>
      </c>
      <c r="BE489" s="475">
        <v>0</v>
      </c>
      <c r="BF489" s="475">
        <v>0</v>
      </c>
      <c r="BG489" s="475">
        <v>2000</v>
      </c>
      <c r="BH489" s="476">
        <v>48625</v>
      </c>
      <c r="BI489" s="467"/>
      <c r="BJ489" s="468"/>
    </row>
    <row r="490" spans="1:62">
      <c r="A490" s="469">
        <v>45839</v>
      </c>
      <c r="B490" s="469" t="s">
        <v>747</v>
      </c>
      <c r="C490" s="508" t="s">
        <v>748</v>
      </c>
      <c r="D490" s="470" t="s">
        <v>749</v>
      </c>
      <c r="E490" s="471">
        <v>1932</v>
      </c>
      <c r="F490" s="470" t="s">
        <v>1064</v>
      </c>
      <c r="G490" s="470" t="s">
        <v>751</v>
      </c>
      <c r="H490" s="470" t="s">
        <v>12</v>
      </c>
      <c r="I490" s="470" t="s">
        <v>1065</v>
      </c>
      <c r="J490" s="472" t="s">
        <v>1066</v>
      </c>
      <c r="K490" s="470" t="s">
        <v>1067</v>
      </c>
      <c r="L490" s="470" t="s">
        <v>1068</v>
      </c>
      <c r="M490" s="470" t="s">
        <v>1068</v>
      </c>
      <c r="N490" s="470" t="s">
        <v>756</v>
      </c>
      <c r="O490" s="472" t="s">
        <v>757</v>
      </c>
      <c r="P490" s="472" t="s">
        <v>738</v>
      </c>
      <c r="Q490" s="472" t="s">
        <v>758</v>
      </c>
      <c r="R490" s="472" t="s">
        <v>12</v>
      </c>
      <c r="S490" s="472" t="s">
        <v>12</v>
      </c>
      <c r="T490" s="472" t="s">
        <v>1069</v>
      </c>
      <c r="U490" s="470" t="s">
        <v>1070</v>
      </c>
      <c r="V490" s="470" t="s">
        <v>761</v>
      </c>
      <c r="W490" s="470" t="s">
        <v>859</v>
      </c>
      <c r="X490" s="470">
        <v>31</v>
      </c>
      <c r="Y490" s="470">
        <v>0</v>
      </c>
      <c r="Z490" s="470">
        <v>2.5</v>
      </c>
      <c r="AA490" s="470">
        <v>28.5</v>
      </c>
      <c r="AB490" s="470">
        <v>28.5</v>
      </c>
      <c r="AC490" s="473">
        <v>30700</v>
      </c>
      <c r="AD490" s="473">
        <v>30700</v>
      </c>
      <c r="AE490" s="473">
        <v>12701</v>
      </c>
      <c r="AF490" s="473">
        <v>5080</v>
      </c>
      <c r="AG490" s="473">
        <v>1471</v>
      </c>
      <c r="AH490" s="473">
        <v>184</v>
      </c>
      <c r="AI490" s="473">
        <v>1149</v>
      </c>
      <c r="AJ490" s="473">
        <v>0</v>
      </c>
      <c r="AK490" s="473">
        <v>0</v>
      </c>
      <c r="AL490" s="473">
        <v>0</v>
      </c>
      <c r="AM490" s="473">
        <v>0</v>
      </c>
      <c r="AN490" s="473">
        <v>0</v>
      </c>
      <c r="AO490" s="473">
        <v>0</v>
      </c>
      <c r="AP490" s="473">
        <v>0</v>
      </c>
      <c r="AQ490" s="473">
        <v>1524</v>
      </c>
      <c r="AR490" s="473">
        <v>6115</v>
      </c>
      <c r="AS490" s="473">
        <v>0</v>
      </c>
      <c r="AT490" s="473">
        <v>0</v>
      </c>
      <c r="AU490" s="473">
        <v>1241</v>
      </c>
      <c r="AV490" s="473">
        <v>29465</v>
      </c>
      <c r="AW490" s="474">
        <v>28224</v>
      </c>
      <c r="AX490" s="473">
        <v>0</v>
      </c>
      <c r="AY490" s="473">
        <v>0</v>
      </c>
      <c r="AZ490" s="475">
        <v>0</v>
      </c>
      <c r="BA490" s="475">
        <v>200</v>
      </c>
      <c r="BB490" s="475">
        <v>1524</v>
      </c>
      <c r="BC490" s="475">
        <v>0</v>
      </c>
      <c r="BD490" s="475">
        <v>0</v>
      </c>
      <c r="BE490" s="475">
        <v>0</v>
      </c>
      <c r="BF490" s="475">
        <v>0</v>
      </c>
      <c r="BG490" s="475">
        <v>1724</v>
      </c>
      <c r="BH490" s="476">
        <v>27741</v>
      </c>
      <c r="BI490" s="467"/>
      <c r="BJ490" s="468"/>
    </row>
    <row r="491" spans="1:62">
      <c r="A491" s="469">
        <v>45839</v>
      </c>
      <c r="B491" s="469" t="s">
        <v>747</v>
      </c>
      <c r="C491" s="508" t="s">
        <v>748</v>
      </c>
      <c r="D491" s="470" t="s">
        <v>749</v>
      </c>
      <c r="E491" s="471">
        <v>2014</v>
      </c>
      <c r="F491" s="470" t="s">
        <v>1071</v>
      </c>
      <c r="G491" s="470" t="s">
        <v>751</v>
      </c>
      <c r="H491" s="470" t="s">
        <v>12</v>
      </c>
      <c r="I491" s="470" t="s">
        <v>847</v>
      </c>
      <c r="J491" s="472" t="s">
        <v>1072</v>
      </c>
      <c r="K491" s="470" t="s">
        <v>1073</v>
      </c>
      <c r="L491" s="470" t="s">
        <v>1074</v>
      </c>
      <c r="M491" s="470" t="s">
        <v>832</v>
      </c>
      <c r="N491" s="470" t="s">
        <v>1075</v>
      </c>
      <c r="O491" s="472" t="s">
        <v>757</v>
      </c>
      <c r="P491" s="472" t="s">
        <v>738</v>
      </c>
      <c r="Q491" s="472" t="s">
        <v>758</v>
      </c>
      <c r="R491" s="472" t="s">
        <v>12</v>
      </c>
      <c r="S491" s="472" t="s">
        <v>12</v>
      </c>
      <c r="T491" s="472" t="s">
        <v>1076</v>
      </c>
      <c r="U491" s="470" t="s">
        <v>1077</v>
      </c>
      <c r="V491" s="470" t="s">
        <v>761</v>
      </c>
      <c r="W491" s="470" t="s">
        <v>762</v>
      </c>
      <c r="X491" s="470">
        <v>31</v>
      </c>
      <c r="Y491" s="470">
        <v>0</v>
      </c>
      <c r="Z491" s="470">
        <v>0</v>
      </c>
      <c r="AA491" s="470">
        <v>31</v>
      </c>
      <c r="AB491" s="470">
        <v>31</v>
      </c>
      <c r="AC491" s="473">
        <v>32033</v>
      </c>
      <c r="AD491" s="473">
        <v>32033</v>
      </c>
      <c r="AE491" s="473">
        <v>14415</v>
      </c>
      <c r="AF491" s="473">
        <v>5766</v>
      </c>
      <c r="AG491" s="473">
        <v>1600</v>
      </c>
      <c r="AH491" s="473">
        <v>200</v>
      </c>
      <c r="AI491" s="473">
        <v>1250</v>
      </c>
      <c r="AJ491" s="473">
        <v>0</v>
      </c>
      <c r="AK491" s="473">
        <v>0</v>
      </c>
      <c r="AL491" s="473">
        <v>0</v>
      </c>
      <c r="AM491" s="473">
        <v>0</v>
      </c>
      <c r="AN491" s="473">
        <v>0</v>
      </c>
      <c r="AO491" s="473">
        <v>0</v>
      </c>
      <c r="AP491" s="473">
        <v>0</v>
      </c>
      <c r="AQ491" s="473">
        <v>1730</v>
      </c>
      <c r="AR491" s="473">
        <v>7072</v>
      </c>
      <c r="AS491" s="473">
        <v>0</v>
      </c>
      <c r="AT491" s="473">
        <v>0</v>
      </c>
      <c r="AU491" s="473">
        <v>1326</v>
      </c>
      <c r="AV491" s="473">
        <v>33359</v>
      </c>
      <c r="AW491" s="474">
        <v>32033</v>
      </c>
      <c r="AX491" s="473">
        <v>0</v>
      </c>
      <c r="AY491" s="473">
        <v>0</v>
      </c>
      <c r="AZ491" s="475">
        <v>0</v>
      </c>
      <c r="BA491" s="475">
        <v>200</v>
      </c>
      <c r="BB491" s="475">
        <v>1730</v>
      </c>
      <c r="BC491" s="475">
        <v>0</v>
      </c>
      <c r="BD491" s="475">
        <v>0</v>
      </c>
      <c r="BE491" s="475">
        <v>0</v>
      </c>
      <c r="BF491" s="475">
        <v>0</v>
      </c>
      <c r="BG491" s="475">
        <v>1930</v>
      </c>
      <c r="BH491" s="476">
        <v>31429</v>
      </c>
      <c r="BI491" s="467"/>
      <c r="BJ491" s="468"/>
    </row>
    <row r="492" spans="1:62">
      <c r="A492" s="469">
        <v>45839</v>
      </c>
      <c r="B492" s="469" t="s">
        <v>747</v>
      </c>
      <c r="C492" s="508" t="s">
        <v>748</v>
      </c>
      <c r="D492" s="470" t="s">
        <v>749</v>
      </c>
      <c r="E492" s="471">
        <v>1480</v>
      </c>
      <c r="F492" s="470" t="s">
        <v>1078</v>
      </c>
      <c r="G492" s="470" t="s">
        <v>751</v>
      </c>
      <c r="H492" s="470" t="s">
        <v>12</v>
      </c>
      <c r="I492" s="470" t="s">
        <v>1079</v>
      </c>
      <c r="J492" s="472" t="s">
        <v>1080</v>
      </c>
      <c r="K492" s="470" t="s">
        <v>1081</v>
      </c>
      <c r="L492" s="470" t="s">
        <v>767</v>
      </c>
      <c r="M492" s="470" t="s">
        <v>767</v>
      </c>
      <c r="N492" s="470" t="s">
        <v>756</v>
      </c>
      <c r="O492" s="472" t="s">
        <v>757</v>
      </c>
      <c r="P492" s="472" t="s">
        <v>738</v>
      </c>
      <c r="Q492" s="472" t="s">
        <v>758</v>
      </c>
      <c r="R492" s="472" t="s">
        <v>12</v>
      </c>
      <c r="S492" s="472" t="s">
        <v>12</v>
      </c>
      <c r="T492" s="472" t="s">
        <v>1082</v>
      </c>
      <c r="U492" s="470" t="s">
        <v>1083</v>
      </c>
      <c r="V492" s="470" t="s">
        <v>761</v>
      </c>
      <c r="W492" s="470" t="s">
        <v>1084</v>
      </c>
      <c r="X492" s="470">
        <v>31</v>
      </c>
      <c r="Y492" s="470">
        <v>0</v>
      </c>
      <c r="Z492" s="470">
        <v>0</v>
      </c>
      <c r="AA492" s="470">
        <v>31</v>
      </c>
      <c r="AB492" s="470">
        <v>31</v>
      </c>
      <c r="AC492" s="473">
        <v>72817</v>
      </c>
      <c r="AD492" s="473">
        <v>72817</v>
      </c>
      <c r="AE492" s="473">
        <v>32768</v>
      </c>
      <c r="AF492" s="473">
        <v>13107</v>
      </c>
      <c r="AG492" s="473">
        <v>1600</v>
      </c>
      <c r="AH492" s="473">
        <v>200</v>
      </c>
      <c r="AI492" s="473">
        <v>1250</v>
      </c>
      <c r="AJ492" s="473">
        <v>2730</v>
      </c>
      <c r="AK492" s="473">
        <v>6554</v>
      </c>
      <c r="AL492" s="473">
        <v>4915</v>
      </c>
      <c r="AM492" s="473">
        <v>328</v>
      </c>
      <c r="AN492" s="473">
        <v>1147</v>
      </c>
      <c r="AO492" s="473">
        <v>655</v>
      </c>
      <c r="AP492" s="473">
        <v>164</v>
      </c>
      <c r="AQ492" s="473">
        <v>1800</v>
      </c>
      <c r="AR492" s="473">
        <v>5599</v>
      </c>
      <c r="AS492" s="473">
        <v>0</v>
      </c>
      <c r="AT492" s="473">
        <v>400</v>
      </c>
      <c r="AU492" s="473">
        <v>0</v>
      </c>
      <c r="AV492" s="473">
        <v>73217</v>
      </c>
      <c r="AW492" s="474">
        <v>73217</v>
      </c>
      <c r="AX492" s="473">
        <v>0</v>
      </c>
      <c r="AY492" s="473">
        <v>0</v>
      </c>
      <c r="AZ492" s="475">
        <v>0</v>
      </c>
      <c r="BA492" s="475">
        <v>200</v>
      </c>
      <c r="BB492" s="475">
        <v>1800</v>
      </c>
      <c r="BC492" s="475">
        <v>0</v>
      </c>
      <c r="BD492" s="475">
        <v>0</v>
      </c>
      <c r="BE492" s="475">
        <v>0</v>
      </c>
      <c r="BF492" s="475">
        <v>0</v>
      </c>
      <c r="BG492" s="475">
        <v>2000</v>
      </c>
      <c r="BH492" s="476">
        <v>71217</v>
      </c>
      <c r="BI492" s="467"/>
      <c r="BJ492" s="468"/>
    </row>
    <row r="493" spans="1:62">
      <c r="A493" s="469">
        <v>45839</v>
      </c>
      <c r="B493" s="469" t="s">
        <v>747</v>
      </c>
      <c r="C493" s="508" t="s">
        <v>748</v>
      </c>
      <c r="D493" s="470" t="s">
        <v>749</v>
      </c>
      <c r="E493" s="471">
        <v>405</v>
      </c>
      <c r="F493" s="470" t="s">
        <v>1085</v>
      </c>
      <c r="G493" s="470" t="s">
        <v>751</v>
      </c>
      <c r="H493" s="470" t="s">
        <v>12</v>
      </c>
      <c r="I493" s="470" t="s">
        <v>954</v>
      </c>
      <c r="J493" s="472" t="s">
        <v>1086</v>
      </c>
      <c r="K493" s="470" t="s">
        <v>1087</v>
      </c>
      <c r="L493" s="470" t="s">
        <v>832</v>
      </c>
      <c r="M493" s="470" t="s">
        <v>832</v>
      </c>
      <c r="N493" s="470" t="s">
        <v>833</v>
      </c>
      <c r="O493" s="472" t="s">
        <v>757</v>
      </c>
      <c r="P493" s="472" t="s">
        <v>738</v>
      </c>
      <c r="Q493" s="472" t="s">
        <v>758</v>
      </c>
      <c r="R493" s="472" t="s">
        <v>12</v>
      </c>
      <c r="S493" s="472" t="s">
        <v>12</v>
      </c>
      <c r="T493" s="472" t="s">
        <v>1088</v>
      </c>
      <c r="U493" s="470" t="s">
        <v>1089</v>
      </c>
      <c r="V493" s="470" t="s">
        <v>761</v>
      </c>
      <c r="W493" s="470" t="s">
        <v>762</v>
      </c>
      <c r="X493" s="470">
        <v>31</v>
      </c>
      <c r="Y493" s="470">
        <v>0</v>
      </c>
      <c r="Z493" s="470">
        <v>0</v>
      </c>
      <c r="AA493" s="470">
        <v>31</v>
      </c>
      <c r="AB493" s="470">
        <v>31</v>
      </c>
      <c r="AC493" s="473">
        <v>33167</v>
      </c>
      <c r="AD493" s="473">
        <v>33167</v>
      </c>
      <c r="AE493" s="473">
        <v>14925</v>
      </c>
      <c r="AF493" s="473">
        <v>5970</v>
      </c>
      <c r="AG493" s="473">
        <v>1600</v>
      </c>
      <c r="AH493" s="473">
        <v>200</v>
      </c>
      <c r="AI493" s="473">
        <v>1250</v>
      </c>
      <c r="AJ493" s="473">
        <v>0</v>
      </c>
      <c r="AK493" s="473">
        <v>0</v>
      </c>
      <c r="AL493" s="473">
        <v>0</v>
      </c>
      <c r="AM493" s="473">
        <v>0</v>
      </c>
      <c r="AN493" s="473">
        <v>0</v>
      </c>
      <c r="AO493" s="473">
        <v>0</v>
      </c>
      <c r="AP493" s="473">
        <v>0</v>
      </c>
      <c r="AQ493" s="473">
        <v>1791</v>
      </c>
      <c r="AR493" s="473">
        <v>7431</v>
      </c>
      <c r="AS493" s="473">
        <v>0</v>
      </c>
      <c r="AT493" s="473">
        <v>0</v>
      </c>
      <c r="AU493" s="473">
        <v>5578</v>
      </c>
      <c r="AV493" s="473">
        <v>38745</v>
      </c>
      <c r="AW493" s="474">
        <v>33167</v>
      </c>
      <c r="AX493" s="473">
        <v>0</v>
      </c>
      <c r="AY493" s="473">
        <v>0</v>
      </c>
      <c r="AZ493" s="475">
        <v>0</v>
      </c>
      <c r="BA493" s="475">
        <v>200</v>
      </c>
      <c r="BB493" s="475">
        <v>1791</v>
      </c>
      <c r="BC493" s="475">
        <v>0</v>
      </c>
      <c r="BD493" s="475">
        <v>0</v>
      </c>
      <c r="BE493" s="475">
        <v>0</v>
      </c>
      <c r="BF493" s="475">
        <v>0</v>
      </c>
      <c r="BG493" s="475">
        <v>1991</v>
      </c>
      <c r="BH493" s="476">
        <v>36754</v>
      </c>
      <c r="BI493" s="467"/>
      <c r="BJ493" s="468"/>
    </row>
    <row r="494" spans="1:62">
      <c r="A494" s="469">
        <v>45839</v>
      </c>
      <c r="B494" s="469" t="s">
        <v>747</v>
      </c>
      <c r="C494" s="508" t="s">
        <v>748</v>
      </c>
      <c r="D494" s="470" t="s">
        <v>749</v>
      </c>
      <c r="E494" s="471">
        <v>1916</v>
      </c>
      <c r="F494" s="470" t="s">
        <v>1090</v>
      </c>
      <c r="G494" s="470" t="s">
        <v>751</v>
      </c>
      <c r="H494" s="470" t="s">
        <v>12</v>
      </c>
      <c r="I494" s="470" t="s">
        <v>853</v>
      </c>
      <c r="J494" s="472" t="s">
        <v>1091</v>
      </c>
      <c r="K494" s="470" t="s">
        <v>1092</v>
      </c>
      <c r="L494" s="470" t="s">
        <v>776</v>
      </c>
      <c r="M494" s="470" t="s">
        <v>776</v>
      </c>
      <c r="N494" s="470" t="s">
        <v>777</v>
      </c>
      <c r="O494" s="472" t="s">
        <v>757</v>
      </c>
      <c r="P494" s="472" t="s">
        <v>738</v>
      </c>
      <c r="Q494" s="472" t="s">
        <v>758</v>
      </c>
      <c r="R494" s="472" t="s">
        <v>12</v>
      </c>
      <c r="S494" s="472" t="s">
        <v>12</v>
      </c>
      <c r="T494" s="472" t="s">
        <v>1093</v>
      </c>
      <c r="U494" s="470" t="s">
        <v>1094</v>
      </c>
      <c r="V494" s="470" t="s">
        <v>761</v>
      </c>
      <c r="W494" s="470" t="s">
        <v>1095</v>
      </c>
      <c r="X494" s="470">
        <v>31</v>
      </c>
      <c r="Y494" s="470">
        <v>0</v>
      </c>
      <c r="Z494" s="470">
        <v>0</v>
      </c>
      <c r="AA494" s="470">
        <v>31</v>
      </c>
      <c r="AB494" s="470">
        <v>31</v>
      </c>
      <c r="AC494" s="473">
        <v>94033</v>
      </c>
      <c r="AD494" s="473">
        <v>94033</v>
      </c>
      <c r="AE494" s="473">
        <v>42315</v>
      </c>
      <c r="AF494" s="473">
        <v>16926</v>
      </c>
      <c r="AG494" s="473">
        <v>1600</v>
      </c>
      <c r="AH494" s="473">
        <v>200</v>
      </c>
      <c r="AI494" s="473">
        <v>1250</v>
      </c>
      <c r="AJ494" s="473">
        <v>3525</v>
      </c>
      <c r="AK494" s="473">
        <v>8463</v>
      </c>
      <c r="AL494" s="473">
        <v>6347</v>
      </c>
      <c r="AM494" s="473">
        <v>423</v>
      </c>
      <c r="AN494" s="473">
        <v>1481</v>
      </c>
      <c r="AO494" s="473">
        <v>846</v>
      </c>
      <c r="AP494" s="473">
        <v>212</v>
      </c>
      <c r="AQ494" s="473">
        <v>1800</v>
      </c>
      <c r="AR494" s="473">
        <v>8645</v>
      </c>
      <c r="AS494" s="473">
        <v>0</v>
      </c>
      <c r="AT494" s="473">
        <v>0</v>
      </c>
      <c r="AU494" s="473">
        <v>0</v>
      </c>
      <c r="AV494" s="473">
        <v>94033</v>
      </c>
      <c r="AW494" s="474">
        <v>94033</v>
      </c>
      <c r="AX494" s="473">
        <v>0</v>
      </c>
      <c r="AY494" s="473">
        <v>0</v>
      </c>
      <c r="AZ494" s="475">
        <v>0</v>
      </c>
      <c r="BA494" s="475">
        <v>200</v>
      </c>
      <c r="BB494" s="475">
        <v>1800</v>
      </c>
      <c r="BC494" s="475">
        <v>0</v>
      </c>
      <c r="BD494" s="475">
        <v>0</v>
      </c>
      <c r="BE494" s="475">
        <v>0</v>
      </c>
      <c r="BF494" s="475">
        <v>0</v>
      </c>
      <c r="BG494" s="475">
        <v>2000</v>
      </c>
      <c r="BH494" s="476">
        <v>92033</v>
      </c>
      <c r="BI494" s="467"/>
      <c r="BJ494" s="468"/>
    </row>
    <row r="495" spans="1:62">
      <c r="A495" s="469">
        <v>45839</v>
      </c>
      <c r="B495" s="469" t="s">
        <v>747</v>
      </c>
      <c r="C495" s="508" t="s">
        <v>748</v>
      </c>
      <c r="D495" s="470" t="s">
        <v>749</v>
      </c>
      <c r="E495" s="471">
        <v>1093</v>
      </c>
      <c r="F495" s="470" t="s">
        <v>1096</v>
      </c>
      <c r="G495" s="470" t="s">
        <v>751</v>
      </c>
      <c r="H495" s="470" t="s">
        <v>12</v>
      </c>
      <c r="I495" s="470" t="s">
        <v>976</v>
      </c>
      <c r="J495" s="472" t="s">
        <v>1097</v>
      </c>
      <c r="K495" s="470" t="s">
        <v>1098</v>
      </c>
      <c r="L495" s="470" t="s">
        <v>816</v>
      </c>
      <c r="M495" s="470" t="s">
        <v>817</v>
      </c>
      <c r="N495" s="470" t="s">
        <v>777</v>
      </c>
      <c r="O495" s="472" t="s">
        <v>792</v>
      </c>
      <c r="P495" s="472" t="s">
        <v>738</v>
      </c>
      <c r="Q495" s="472" t="s">
        <v>758</v>
      </c>
      <c r="R495" s="472" t="s">
        <v>12</v>
      </c>
      <c r="S495" s="472" t="s">
        <v>12</v>
      </c>
      <c r="T495" s="472" t="s">
        <v>1099</v>
      </c>
      <c r="U495" s="470" t="s">
        <v>1100</v>
      </c>
      <c r="V495" s="470" t="s">
        <v>761</v>
      </c>
      <c r="W495" s="470" t="s">
        <v>1101</v>
      </c>
      <c r="X495" s="470">
        <v>31</v>
      </c>
      <c r="Y495" s="470">
        <v>0</v>
      </c>
      <c r="Z495" s="470">
        <v>0</v>
      </c>
      <c r="AA495" s="470">
        <v>31</v>
      </c>
      <c r="AB495" s="470">
        <v>31</v>
      </c>
      <c r="AC495" s="473">
        <v>96667</v>
      </c>
      <c r="AD495" s="473">
        <v>96667</v>
      </c>
      <c r="AE495" s="473">
        <v>43500</v>
      </c>
      <c r="AF495" s="473">
        <v>17400</v>
      </c>
      <c r="AG495" s="473">
        <v>1600</v>
      </c>
      <c r="AH495" s="473">
        <v>200</v>
      </c>
      <c r="AI495" s="473">
        <v>1250</v>
      </c>
      <c r="AJ495" s="473">
        <v>3624</v>
      </c>
      <c r="AK495" s="473">
        <v>8700</v>
      </c>
      <c r="AL495" s="473">
        <v>6525</v>
      </c>
      <c r="AM495" s="473">
        <v>435</v>
      </c>
      <c r="AN495" s="473">
        <v>1523</v>
      </c>
      <c r="AO495" s="473">
        <v>870</v>
      </c>
      <c r="AP495" s="473">
        <v>218</v>
      </c>
      <c r="AQ495" s="473">
        <v>1800</v>
      </c>
      <c r="AR495" s="473">
        <v>9022</v>
      </c>
      <c r="AS495" s="473">
        <v>0</v>
      </c>
      <c r="AT495" s="473">
        <v>0</v>
      </c>
      <c r="AU495" s="473">
        <v>8893</v>
      </c>
      <c r="AV495" s="473">
        <v>105560</v>
      </c>
      <c r="AW495" s="474">
        <v>96667</v>
      </c>
      <c r="AX495" s="473">
        <v>0</v>
      </c>
      <c r="AY495" s="473">
        <v>0</v>
      </c>
      <c r="AZ495" s="475">
        <v>0</v>
      </c>
      <c r="BA495" s="475">
        <v>200</v>
      </c>
      <c r="BB495" s="475">
        <v>1800</v>
      </c>
      <c r="BC495" s="475">
        <v>0</v>
      </c>
      <c r="BD495" s="475">
        <v>0</v>
      </c>
      <c r="BE495" s="475">
        <v>0</v>
      </c>
      <c r="BF495" s="475">
        <v>0</v>
      </c>
      <c r="BG495" s="475">
        <v>2000</v>
      </c>
      <c r="BH495" s="476">
        <v>103560</v>
      </c>
      <c r="BI495" s="467"/>
      <c r="BJ495" s="468"/>
    </row>
    <row r="496" spans="1:62">
      <c r="A496" s="469">
        <v>45839</v>
      </c>
      <c r="B496" s="469" t="s">
        <v>747</v>
      </c>
      <c r="C496" s="508" t="s">
        <v>748</v>
      </c>
      <c r="D496" s="470" t="s">
        <v>749</v>
      </c>
      <c r="E496" s="471">
        <v>2043</v>
      </c>
      <c r="F496" s="470" t="s">
        <v>1102</v>
      </c>
      <c r="G496" s="470" t="s">
        <v>751</v>
      </c>
      <c r="H496" s="470" t="s">
        <v>12</v>
      </c>
      <c r="I496" s="470" t="s">
        <v>1103</v>
      </c>
      <c r="J496" s="472" t="s">
        <v>1104</v>
      </c>
      <c r="K496" s="470" t="s">
        <v>1105</v>
      </c>
      <c r="L496" s="470" t="s">
        <v>1106</v>
      </c>
      <c r="M496" s="470" t="s">
        <v>1107</v>
      </c>
      <c r="N496" s="470" t="s">
        <v>1108</v>
      </c>
      <c r="O496" s="472" t="s">
        <v>757</v>
      </c>
      <c r="P496" s="472" t="s">
        <v>738</v>
      </c>
      <c r="Q496" s="472" t="s">
        <v>758</v>
      </c>
      <c r="R496" s="472" t="s">
        <v>12</v>
      </c>
      <c r="S496" s="472" t="s">
        <v>12</v>
      </c>
      <c r="T496" s="472" t="s">
        <v>1109</v>
      </c>
      <c r="U496" s="470" t="s">
        <v>1110</v>
      </c>
      <c r="V496" s="470" t="s">
        <v>761</v>
      </c>
      <c r="W496" s="470" t="s">
        <v>1111</v>
      </c>
      <c r="X496" s="470">
        <v>31</v>
      </c>
      <c r="Y496" s="470">
        <v>0</v>
      </c>
      <c r="Z496" s="470">
        <v>5.5</v>
      </c>
      <c r="AA496" s="470">
        <v>25.5</v>
      </c>
      <c r="AB496" s="470">
        <v>25.5</v>
      </c>
      <c r="AC496" s="473">
        <v>75000</v>
      </c>
      <c r="AD496" s="473">
        <v>75000</v>
      </c>
      <c r="AE496" s="473">
        <v>27762</v>
      </c>
      <c r="AF496" s="473">
        <v>11105</v>
      </c>
      <c r="AG496" s="473">
        <v>1316</v>
      </c>
      <c r="AH496" s="473">
        <v>165</v>
      </c>
      <c r="AI496" s="473">
        <v>1028</v>
      </c>
      <c r="AJ496" s="473">
        <v>2313</v>
      </c>
      <c r="AK496" s="473">
        <v>5552</v>
      </c>
      <c r="AL496" s="473">
        <v>4164</v>
      </c>
      <c r="AM496" s="473">
        <v>278</v>
      </c>
      <c r="AN496" s="473">
        <v>972</v>
      </c>
      <c r="AO496" s="473">
        <v>555</v>
      </c>
      <c r="AP496" s="473">
        <v>139</v>
      </c>
      <c r="AQ496" s="473">
        <v>1800</v>
      </c>
      <c r="AR496" s="473">
        <v>4545</v>
      </c>
      <c r="AS496" s="473">
        <v>0</v>
      </c>
      <c r="AT496" s="473">
        <v>0</v>
      </c>
      <c r="AU496" s="473">
        <v>0</v>
      </c>
      <c r="AV496" s="473">
        <v>61694</v>
      </c>
      <c r="AW496" s="474">
        <v>61694</v>
      </c>
      <c r="AX496" s="473">
        <v>0</v>
      </c>
      <c r="AY496" s="473">
        <v>0</v>
      </c>
      <c r="AZ496" s="475">
        <v>0</v>
      </c>
      <c r="BA496" s="475">
        <v>200</v>
      </c>
      <c r="BB496" s="475">
        <v>1800</v>
      </c>
      <c r="BC496" s="475">
        <v>0</v>
      </c>
      <c r="BD496" s="475">
        <v>0</v>
      </c>
      <c r="BE496" s="475">
        <v>0</v>
      </c>
      <c r="BF496" s="475">
        <v>0</v>
      </c>
      <c r="BG496" s="475">
        <v>2000</v>
      </c>
      <c r="BH496" s="476">
        <v>59694</v>
      </c>
      <c r="BI496" s="467"/>
      <c r="BJ496" s="468"/>
    </row>
    <row r="497" spans="1:62">
      <c r="A497" s="469">
        <v>45839</v>
      </c>
      <c r="B497" s="469" t="s">
        <v>747</v>
      </c>
      <c r="C497" s="508" t="s">
        <v>748</v>
      </c>
      <c r="D497" s="470" t="s">
        <v>749</v>
      </c>
      <c r="E497" s="471">
        <v>2156</v>
      </c>
      <c r="F497" s="470" t="s">
        <v>1302</v>
      </c>
      <c r="G497" s="470" t="s">
        <v>751</v>
      </c>
      <c r="H497" s="470" t="s">
        <v>12</v>
      </c>
      <c r="I497" s="470" t="s">
        <v>1286</v>
      </c>
      <c r="J497" s="472" t="s">
        <v>1303</v>
      </c>
      <c r="K497" s="470" t="s">
        <v>1304</v>
      </c>
      <c r="L497" s="470" t="s">
        <v>1305</v>
      </c>
      <c r="M497" s="470" t="s">
        <v>1305</v>
      </c>
      <c r="N497" s="470" t="s">
        <v>756</v>
      </c>
      <c r="O497" s="472" t="s">
        <v>792</v>
      </c>
      <c r="P497" s="472" t="s">
        <v>738</v>
      </c>
      <c r="Q497" s="472" t="s">
        <v>758</v>
      </c>
      <c r="R497" s="472" t="s">
        <v>12</v>
      </c>
      <c r="S497" s="472" t="s">
        <v>12</v>
      </c>
      <c r="T497" s="472" t="s">
        <v>1306</v>
      </c>
      <c r="U497" s="470" t="s">
        <v>1307</v>
      </c>
      <c r="V497" s="470" t="s">
        <v>761</v>
      </c>
      <c r="W497" s="470" t="s">
        <v>898</v>
      </c>
      <c r="X497" s="470">
        <v>31</v>
      </c>
      <c r="Y497" s="470">
        <v>0</v>
      </c>
      <c r="Z497" s="470">
        <v>1.5</v>
      </c>
      <c r="AA497" s="470">
        <v>29.5</v>
      </c>
      <c r="AB497" s="470">
        <v>29.5</v>
      </c>
      <c r="AC497" s="473">
        <v>67200</v>
      </c>
      <c r="AD497" s="473">
        <v>67200</v>
      </c>
      <c r="AE497" s="473">
        <v>28777</v>
      </c>
      <c r="AF497" s="473">
        <v>11511</v>
      </c>
      <c r="AG497" s="473">
        <v>1523</v>
      </c>
      <c r="AH497" s="473">
        <v>190</v>
      </c>
      <c r="AI497" s="473">
        <v>1190</v>
      </c>
      <c r="AJ497" s="473">
        <v>2397</v>
      </c>
      <c r="AK497" s="473">
        <v>5755</v>
      </c>
      <c r="AL497" s="473">
        <v>4317</v>
      </c>
      <c r="AM497" s="473">
        <v>288</v>
      </c>
      <c r="AN497" s="473">
        <v>1007</v>
      </c>
      <c r="AO497" s="473">
        <v>576</v>
      </c>
      <c r="AP497" s="473">
        <v>144</v>
      </c>
      <c r="AQ497" s="473">
        <v>1800</v>
      </c>
      <c r="AR497" s="473">
        <v>4473</v>
      </c>
      <c r="AS497" s="473">
        <v>0</v>
      </c>
      <c r="AT497" s="473">
        <v>0</v>
      </c>
      <c r="AU497" s="473">
        <v>0</v>
      </c>
      <c r="AV497" s="473">
        <v>63948</v>
      </c>
      <c r="AW497" s="474">
        <v>63948</v>
      </c>
      <c r="AX497" s="473">
        <v>0</v>
      </c>
      <c r="AY497" s="473">
        <v>0</v>
      </c>
      <c r="AZ497" s="475">
        <v>0</v>
      </c>
      <c r="BA497" s="475">
        <v>200</v>
      </c>
      <c r="BB497" s="475">
        <v>1800</v>
      </c>
      <c r="BC497" s="475">
        <v>0</v>
      </c>
      <c r="BD497" s="475">
        <v>0</v>
      </c>
      <c r="BE497" s="475">
        <v>0</v>
      </c>
      <c r="BF497" s="475">
        <v>0</v>
      </c>
      <c r="BG497" s="475">
        <v>2000</v>
      </c>
      <c r="BH497" s="476">
        <v>61948</v>
      </c>
      <c r="BI497" s="467"/>
      <c r="BJ497" s="468"/>
    </row>
    <row r="498" spans="1:62">
      <c r="A498" s="469">
        <v>45839</v>
      </c>
      <c r="B498" s="469" t="s">
        <v>747</v>
      </c>
      <c r="C498" s="508" t="s">
        <v>748</v>
      </c>
      <c r="D498" s="470" t="s">
        <v>749</v>
      </c>
      <c r="E498" s="471">
        <v>413</v>
      </c>
      <c r="F498" s="470" t="s">
        <v>1112</v>
      </c>
      <c r="G498" s="470" t="s">
        <v>751</v>
      </c>
      <c r="H498" s="470" t="s">
        <v>12</v>
      </c>
      <c r="I498" s="470" t="s">
        <v>1113</v>
      </c>
      <c r="J498" s="472" t="s">
        <v>1114</v>
      </c>
      <c r="K498" s="470" t="s">
        <v>1115</v>
      </c>
      <c r="L498" s="470" t="s">
        <v>856</v>
      </c>
      <c r="M498" s="470" t="s">
        <v>856</v>
      </c>
      <c r="N498" s="470" t="s">
        <v>756</v>
      </c>
      <c r="O498" s="472" t="s">
        <v>757</v>
      </c>
      <c r="P498" s="472" t="s">
        <v>738</v>
      </c>
      <c r="Q498" s="472" t="s">
        <v>758</v>
      </c>
      <c r="R498" s="472" t="s">
        <v>12</v>
      </c>
      <c r="S498" s="472" t="s">
        <v>12</v>
      </c>
      <c r="T498" s="472" t="s">
        <v>1117</v>
      </c>
      <c r="U498" s="470" t="s">
        <v>1118</v>
      </c>
      <c r="V498" s="470" t="s">
        <v>761</v>
      </c>
      <c r="W498" s="470" t="s">
        <v>762</v>
      </c>
      <c r="X498" s="470">
        <v>31</v>
      </c>
      <c r="Y498" s="470">
        <v>0</v>
      </c>
      <c r="Z498" s="470">
        <v>0</v>
      </c>
      <c r="AA498" s="470">
        <v>31</v>
      </c>
      <c r="AB498" s="470">
        <v>31</v>
      </c>
      <c r="AC498" s="473">
        <v>52975</v>
      </c>
      <c r="AD498" s="473">
        <v>52975</v>
      </c>
      <c r="AE498" s="473">
        <v>23839</v>
      </c>
      <c r="AF498" s="473">
        <v>9536</v>
      </c>
      <c r="AG498" s="473">
        <v>1600</v>
      </c>
      <c r="AH498" s="473">
        <v>200</v>
      </c>
      <c r="AI498" s="473">
        <v>1250</v>
      </c>
      <c r="AJ498" s="473">
        <v>1986</v>
      </c>
      <c r="AK498" s="473">
        <v>4768</v>
      </c>
      <c r="AL498" s="473">
        <v>3576</v>
      </c>
      <c r="AM498" s="473">
        <v>238</v>
      </c>
      <c r="AN498" s="473">
        <v>834</v>
      </c>
      <c r="AO498" s="473">
        <v>477</v>
      </c>
      <c r="AP498" s="473">
        <v>119</v>
      </c>
      <c r="AQ498" s="473">
        <v>1800</v>
      </c>
      <c r="AR498" s="473">
        <v>2752</v>
      </c>
      <c r="AS498" s="473">
        <v>0</v>
      </c>
      <c r="AT498" s="473">
        <v>1000</v>
      </c>
      <c r="AU498" s="473">
        <v>0</v>
      </c>
      <c r="AV498" s="473">
        <v>53975</v>
      </c>
      <c r="AW498" s="474">
        <v>53975</v>
      </c>
      <c r="AX498" s="473">
        <v>0</v>
      </c>
      <c r="AY498" s="473">
        <v>0</v>
      </c>
      <c r="AZ498" s="475">
        <v>0</v>
      </c>
      <c r="BA498" s="475">
        <v>200</v>
      </c>
      <c r="BB498" s="475">
        <v>1800</v>
      </c>
      <c r="BC498" s="475">
        <v>0</v>
      </c>
      <c r="BD498" s="475">
        <v>0</v>
      </c>
      <c r="BE498" s="475">
        <v>0</v>
      </c>
      <c r="BF498" s="475">
        <v>0</v>
      </c>
      <c r="BG498" s="475">
        <v>2000</v>
      </c>
      <c r="BH498" s="476">
        <v>51975</v>
      </c>
      <c r="BI498" s="467"/>
      <c r="BJ498" s="468"/>
    </row>
    <row r="499" spans="1:62">
      <c r="A499" s="469">
        <v>45839</v>
      </c>
      <c r="B499" s="469" t="s">
        <v>747</v>
      </c>
      <c r="C499" s="508" t="s">
        <v>748</v>
      </c>
      <c r="D499" s="470" t="s">
        <v>749</v>
      </c>
      <c r="E499" s="471">
        <v>1389</v>
      </c>
      <c r="F499" s="470" t="s">
        <v>1119</v>
      </c>
      <c r="G499" s="470" t="s">
        <v>751</v>
      </c>
      <c r="H499" s="470" t="s">
        <v>12</v>
      </c>
      <c r="I499" s="470" t="s">
        <v>1120</v>
      </c>
      <c r="J499" s="472" t="s">
        <v>1121</v>
      </c>
      <c r="K499" s="470" t="s">
        <v>1122</v>
      </c>
      <c r="L499" s="470" t="s">
        <v>1123</v>
      </c>
      <c r="M499" s="470" t="s">
        <v>1124</v>
      </c>
      <c r="N499" s="470" t="s">
        <v>1108</v>
      </c>
      <c r="O499" s="472" t="s">
        <v>757</v>
      </c>
      <c r="P499" s="472" t="s">
        <v>738</v>
      </c>
      <c r="Q499" s="472" t="s">
        <v>758</v>
      </c>
      <c r="R499" s="472" t="s">
        <v>12</v>
      </c>
      <c r="S499" s="472" t="s">
        <v>12</v>
      </c>
      <c r="T499" s="472" t="s">
        <v>1125</v>
      </c>
      <c r="U499" s="470" t="s">
        <v>1126</v>
      </c>
      <c r="V499" s="470" t="s">
        <v>761</v>
      </c>
      <c r="W499" s="470" t="s">
        <v>762</v>
      </c>
      <c r="X499" s="470">
        <v>31</v>
      </c>
      <c r="Y499" s="470">
        <v>0</v>
      </c>
      <c r="Z499" s="470">
        <v>0</v>
      </c>
      <c r="AA499" s="470">
        <v>31</v>
      </c>
      <c r="AB499" s="470">
        <v>31</v>
      </c>
      <c r="AC499" s="473">
        <v>57473</v>
      </c>
      <c r="AD499" s="473">
        <v>57473</v>
      </c>
      <c r="AE499" s="473">
        <v>25863</v>
      </c>
      <c r="AF499" s="473">
        <v>10345</v>
      </c>
      <c r="AG499" s="473">
        <v>1600</v>
      </c>
      <c r="AH499" s="473">
        <v>200</v>
      </c>
      <c r="AI499" s="473">
        <v>1250</v>
      </c>
      <c r="AJ499" s="473">
        <v>2154</v>
      </c>
      <c r="AK499" s="473">
        <v>5173</v>
      </c>
      <c r="AL499" s="473">
        <v>3879</v>
      </c>
      <c r="AM499" s="473">
        <v>259</v>
      </c>
      <c r="AN499" s="473">
        <v>905</v>
      </c>
      <c r="AO499" s="473">
        <v>517</v>
      </c>
      <c r="AP499" s="473">
        <v>129</v>
      </c>
      <c r="AQ499" s="473">
        <v>1800</v>
      </c>
      <c r="AR499" s="473">
        <v>3399</v>
      </c>
      <c r="AS499" s="473">
        <v>0</v>
      </c>
      <c r="AT499" s="473">
        <v>0</v>
      </c>
      <c r="AU499" s="473">
        <v>0</v>
      </c>
      <c r="AV499" s="473">
        <v>57473</v>
      </c>
      <c r="AW499" s="474">
        <v>57473</v>
      </c>
      <c r="AX499" s="473">
        <v>0</v>
      </c>
      <c r="AY499" s="473">
        <v>0</v>
      </c>
      <c r="AZ499" s="475">
        <v>0</v>
      </c>
      <c r="BA499" s="475">
        <v>200</v>
      </c>
      <c r="BB499" s="475">
        <v>1800</v>
      </c>
      <c r="BC499" s="475">
        <v>0</v>
      </c>
      <c r="BD499" s="475">
        <v>0</v>
      </c>
      <c r="BE499" s="475">
        <v>0</v>
      </c>
      <c r="BF499" s="475">
        <v>0</v>
      </c>
      <c r="BG499" s="475">
        <v>2000</v>
      </c>
      <c r="BH499" s="476">
        <v>55473</v>
      </c>
      <c r="BI499" s="467"/>
      <c r="BJ499" s="468"/>
    </row>
    <row r="500" spans="1:62">
      <c r="A500" s="469">
        <v>45839</v>
      </c>
      <c r="B500" s="469" t="s">
        <v>747</v>
      </c>
      <c r="C500" s="508" t="s">
        <v>748</v>
      </c>
      <c r="D500" s="470" t="s">
        <v>749</v>
      </c>
      <c r="E500" s="471">
        <v>1535</v>
      </c>
      <c r="F500" s="470" t="s">
        <v>1127</v>
      </c>
      <c r="G500" s="470" t="s">
        <v>751</v>
      </c>
      <c r="H500" s="470" t="s">
        <v>12</v>
      </c>
      <c r="I500" s="470" t="s">
        <v>1128</v>
      </c>
      <c r="J500" s="472" t="s">
        <v>1129</v>
      </c>
      <c r="K500" s="470" t="s">
        <v>1130</v>
      </c>
      <c r="L500" s="470" t="s">
        <v>1131</v>
      </c>
      <c r="M500" s="470" t="s">
        <v>1131</v>
      </c>
      <c r="N500" s="470" t="s">
        <v>756</v>
      </c>
      <c r="O500" s="472" t="s">
        <v>792</v>
      </c>
      <c r="P500" s="472" t="s">
        <v>738</v>
      </c>
      <c r="Q500" s="472" t="s">
        <v>758</v>
      </c>
      <c r="R500" s="472" t="s">
        <v>12</v>
      </c>
      <c r="S500" s="472" t="s">
        <v>12</v>
      </c>
      <c r="T500" s="472" t="s">
        <v>1132</v>
      </c>
      <c r="U500" s="470" t="s">
        <v>1133</v>
      </c>
      <c r="V500" s="470" t="s">
        <v>761</v>
      </c>
      <c r="W500" s="470" t="s">
        <v>1134</v>
      </c>
      <c r="X500" s="470">
        <v>31</v>
      </c>
      <c r="Y500" s="470">
        <v>0</v>
      </c>
      <c r="Z500" s="470">
        <v>3.5</v>
      </c>
      <c r="AA500" s="470">
        <v>27.5</v>
      </c>
      <c r="AB500" s="470">
        <v>27.5</v>
      </c>
      <c r="AC500" s="473">
        <v>95900</v>
      </c>
      <c r="AD500" s="473">
        <v>95900</v>
      </c>
      <c r="AE500" s="473">
        <v>38283</v>
      </c>
      <c r="AF500" s="473">
        <v>15313</v>
      </c>
      <c r="AG500" s="473">
        <v>1419</v>
      </c>
      <c r="AH500" s="473">
        <v>177</v>
      </c>
      <c r="AI500" s="473">
        <v>1109</v>
      </c>
      <c r="AJ500" s="473">
        <v>3189</v>
      </c>
      <c r="AK500" s="473">
        <v>7657</v>
      </c>
      <c r="AL500" s="473">
        <v>5742</v>
      </c>
      <c r="AM500" s="473">
        <v>383</v>
      </c>
      <c r="AN500" s="473">
        <v>1340</v>
      </c>
      <c r="AO500" s="473">
        <v>766</v>
      </c>
      <c r="AP500" s="473">
        <v>191</v>
      </c>
      <c r="AQ500" s="473">
        <v>1800</v>
      </c>
      <c r="AR500" s="473">
        <v>7704</v>
      </c>
      <c r="AS500" s="473">
        <v>0</v>
      </c>
      <c r="AT500" s="473">
        <v>0</v>
      </c>
      <c r="AU500" s="473">
        <v>0</v>
      </c>
      <c r="AV500" s="473">
        <v>85073</v>
      </c>
      <c r="AW500" s="474">
        <v>85073</v>
      </c>
      <c r="AX500" s="473">
        <v>0</v>
      </c>
      <c r="AY500" s="473">
        <v>0</v>
      </c>
      <c r="AZ500" s="475">
        <v>0</v>
      </c>
      <c r="BA500" s="475">
        <v>200</v>
      </c>
      <c r="BB500" s="475">
        <v>1800</v>
      </c>
      <c r="BC500" s="475">
        <v>0</v>
      </c>
      <c r="BD500" s="475">
        <v>0</v>
      </c>
      <c r="BE500" s="475">
        <v>0</v>
      </c>
      <c r="BF500" s="475">
        <v>0</v>
      </c>
      <c r="BG500" s="475">
        <v>2000</v>
      </c>
      <c r="BH500" s="476">
        <v>83073</v>
      </c>
      <c r="BI500" s="467"/>
      <c r="BJ500" s="468"/>
    </row>
    <row r="501" spans="1:62">
      <c r="A501" s="469">
        <v>45839</v>
      </c>
      <c r="B501" s="469" t="s">
        <v>747</v>
      </c>
      <c r="C501" s="508" t="s">
        <v>748</v>
      </c>
      <c r="D501" s="470" t="s">
        <v>749</v>
      </c>
      <c r="E501" s="471">
        <v>1409</v>
      </c>
      <c r="F501" s="470" t="s">
        <v>1135</v>
      </c>
      <c r="G501" s="470" t="s">
        <v>751</v>
      </c>
      <c r="H501" s="470" t="s">
        <v>12</v>
      </c>
      <c r="I501" s="470" t="s">
        <v>1136</v>
      </c>
      <c r="J501" s="472" t="s">
        <v>1137</v>
      </c>
      <c r="K501" s="470" t="s">
        <v>1138</v>
      </c>
      <c r="L501" s="470" t="s">
        <v>856</v>
      </c>
      <c r="M501" s="470" t="s">
        <v>856</v>
      </c>
      <c r="N501" s="470" t="s">
        <v>756</v>
      </c>
      <c r="O501" s="472" t="s">
        <v>757</v>
      </c>
      <c r="P501" s="472" t="s">
        <v>738</v>
      </c>
      <c r="Q501" s="472" t="s">
        <v>758</v>
      </c>
      <c r="R501" s="472" t="s">
        <v>12</v>
      </c>
      <c r="S501" s="472" t="s">
        <v>12</v>
      </c>
      <c r="T501" s="472" t="s">
        <v>1139</v>
      </c>
      <c r="U501" s="470" t="s">
        <v>1140</v>
      </c>
      <c r="V501" s="470" t="s">
        <v>761</v>
      </c>
      <c r="W501" s="470" t="s">
        <v>1111</v>
      </c>
      <c r="X501" s="470">
        <v>31</v>
      </c>
      <c r="Y501" s="470">
        <v>0</v>
      </c>
      <c r="Z501" s="470">
        <v>0</v>
      </c>
      <c r="AA501" s="470">
        <v>31</v>
      </c>
      <c r="AB501" s="470">
        <v>31</v>
      </c>
      <c r="AC501" s="473">
        <v>71417</v>
      </c>
      <c r="AD501" s="473">
        <v>71417</v>
      </c>
      <c r="AE501" s="473">
        <v>32138</v>
      </c>
      <c r="AF501" s="473">
        <v>12855</v>
      </c>
      <c r="AG501" s="473">
        <v>1600</v>
      </c>
      <c r="AH501" s="473">
        <v>200</v>
      </c>
      <c r="AI501" s="473">
        <v>1250</v>
      </c>
      <c r="AJ501" s="473">
        <v>2677</v>
      </c>
      <c r="AK501" s="473">
        <v>6428</v>
      </c>
      <c r="AL501" s="473">
        <v>4821</v>
      </c>
      <c r="AM501" s="473">
        <v>321</v>
      </c>
      <c r="AN501" s="473">
        <v>1125</v>
      </c>
      <c r="AO501" s="473">
        <v>643</v>
      </c>
      <c r="AP501" s="473">
        <v>161</v>
      </c>
      <c r="AQ501" s="473">
        <v>1800</v>
      </c>
      <c r="AR501" s="473">
        <v>5398</v>
      </c>
      <c r="AS501" s="473">
        <v>0</v>
      </c>
      <c r="AT501" s="473">
        <v>0</v>
      </c>
      <c r="AU501" s="473">
        <v>0</v>
      </c>
      <c r="AV501" s="473">
        <v>71417</v>
      </c>
      <c r="AW501" s="474">
        <v>71417</v>
      </c>
      <c r="AX501" s="473">
        <v>0</v>
      </c>
      <c r="AY501" s="473">
        <v>0</v>
      </c>
      <c r="AZ501" s="475">
        <v>0</v>
      </c>
      <c r="BA501" s="475">
        <v>200</v>
      </c>
      <c r="BB501" s="475">
        <v>1800</v>
      </c>
      <c r="BC501" s="475">
        <v>0</v>
      </c>
      <c r="BD501" s="475">
        <v>0</v>
      </c>
      <c r="BE501" s="475">
        <v>0</v>
      </c>
      <c r="BF501" s="475">
        <v>0</v>
      </c>
      <c r="BG501" s="475">
        <v>2000</v>
      </c>
      <c r="BH501" s="476">
        <v>69417</v>
      </c>
      <c r="BI501" s="467"/>
      <c r="BJ501" s="468"/>
    </row>
    <row r="502" spans="1:62">
      <c r="A502" s="469">
        <v>45839</v>
      </c>
      <c r="B502" s="469" t="s">
        <v>747</v>
      </c>
      <c r="C502" s="508" t="s">
        <v>748</v>
      </c>
      <c r="D502" s="470" t="s">
        <v>749</v>
      </c>
      <c r="E502" s="471">
        <v>2155</v>
      </c>
      <c r="F502" s="470" t="s">
        <v>1308</v>
      </c>
      <c r="G502" s="470" t="s">
        <v>751</v>
      </c>
      <c r="H502" s="470" t="s">
        <v>12</v>
      </c>
      <c r="I502" s="470" t="s">
        <v>1286</v>
      </c>
      <c r="J502" s="472" t="s">
        <v>1309</v>
      </c>
      <c r="K502" s="470" t="s">
        <v>1310</v>
      </c>
      <c r="L502" s="470" t="s">
        <v>1311</v>
      </c>
      <c r="M502" s="470" t="s">
        <v>1311</v>
      </c>
      <c r="N502" s="470" t="s">
        <v>756</v>
      </c>
      <c r="O502" s="472" t="s">
        <v>757</v>
      </c>
      <c r="P502" s="472" t="s">
        <v>738</v>
      </c>
      <c r="Q502" s="472" t="s">
        <v>758</v>
      </c>
      <c r="R502" s="472" t="s">
        <v>12</v>
      </c>
      <c r="S502" s="472" t="s">
        <v>12</v>
      </c>
      <c r="T502" s="472" t="s">
        <v>1312</v>
      </c>
      <c r="U502" s="470" t="s">
        <v>1313</v>
      </c>
      <c r="V502" s="470" t="s">
        <v>761</v>
      </c>
      <c r="W502" s="470" t="s">
        <v>898</v>
      </c>
      <c r="X502" s="470">
        <v>31</v>
      </c>
      <c r="Y502" s="470">
        <v>0</v>
      </c>
      <c r="Z502" s="470">
        <v>1</v>
      </c>
      <c r="AA502" s="470">
        <v>30</v>
      </c>
      <c r="AB502" s="470">
        <v>30</v>
      </c>
      <c r="AC502" s="473">
        <v>53200</v>
      </c>
      <c r="AD502" s="473">
        <v>53200</v>
      </c>
      <c r="AE502" s="473">
        <v>23168</v>
      </c>
      <c r="AF502" s="473">
        <v>9267</v>
      </c>
      <c r="AG502" s="473">
        <v>1548</v>
      </c>
      <c r="AH502" s="473">
        <v>194</v>
      </c>
      <c r="AI502" s="473">
        <v>1210</v>
      </c>
      <c r="AJ502" s="473">
        <v>1930</v>
      </c>
      <c r="AK502" s="473">
        <v>4634</v>
      </c>
      <c r="AL502" s="473">
        <v>3475</v>
      </c>
      <c r="AM502" s="473">
        <v>232</v>
      </c>
      <c r="AN502" s="473">
        <v>811</v>
      </c>
      <c r="AO502" s="473">
        <v>463</v>
      </c>
      <c r="AP502" s="473">
        <v>116</v>
      </c>
      <c r="AQ502" s="473">
        <v>1800</v>
      </c>
      <c r="AR502" s="473">
        <v>2636</v>
      </c>
      <c r="AS502" s="473">
        <v>0</v>
      </c>
      <c r="AT502" s="473">
        <v>0</v>
      </c>
      <c r="AU502" s="473">
        <v>0</v>
      </c>
      <c r="AV502" s="473">
        <v>51484</v>
      </c>
      <c r="AW502" s="474">
        <v>51484</v>
      </c>
      <c r="AX502" s="473">
        <v>0</v>
      </c>
      <c r="AY502" s="473">
        <v>0</v>
      </c>
      <c r="AZ502" s="475">
        <v>0</v>
      </c>
      <c r="BA502" s="475">
        <v>200</v>
      </c>
      <c r="BB502" s="475">
        <v>1800</v>
      </c>
      <c r="BC502" s="475">
        <v>0</v>
      </c>
      <c r="BD502" s="475">
        <v>0</v>
      </c>
      <c r="BE502" s="475">
        <v>0</v>
      </c>
      <c r="BF502" s="475">
        <v>0</v>
      </c>
      <c r="BG502" s="475">
        <v>2000</v>
      </c>
      <c r="BH502" s="476">
        <v>49484</v>
      </c>
      <c r="BI502" s="467"/>
      <c r="BJ502" s="468"/>
    </row>
    <row r="503" spans="1:62">
      <c r="A503" s="469">
        <v>45839</v>
      </c>
      <c r="B503" s="469" t="s">
        <v>747</v>
      </c>
      <c r="C503" s="508" t="s">
        <v>748</v>
      </c>
      <c r="D503" s="470" t="s">
        <v>749</v>
      </c>
      <c r="E503" s="471">
        <v>2147</v>
      </c>
      <c r="F503" s="470" t="s">
        <v>1314</v>
      </c>
      <c r="G503" s="470" t="s">
        <v>812</v>
      </c>
      <c r="H503" s="470" t="s">
        <v>12</v>
      </c>
      <c r="I503" s="470" t="s">
        <v>1286</v>
      </c>
      <c r="J503" s="472" t="s">
        <v>1315</v>
      </c>
      <c r="K503" s="470" t="s">
        <v>1316</v>
      </c>
      <c r="L503" s="470" t="s">
        <v>1317</v>
      </c>
      <c r="M503" s="470" t="s">
        <v>1317</v>
      </c>
      <c r="N503" s="470" t="s">
        <v>833</v>
      </c>
      <c r="O503" s="472" t="s">
        <v>757</v>
      </c>
      <c r="P503" s="472" t="s">
        <v>738</v>
      </c>
      <c r="Q503" s="472" t="s">
        <v>758</v>
      </c>
      <c r="R503" s="472" t="s">
        <v>12</v>
      </c>
      <c r="S503" s="472" t="s">
        <v>12</v>
      </c>
      <c r="T503" s="472" t="s">
        <v>1318</v>
      </c>
      <c r="U503" s="470" t="s">
        <v>1319</v>
      </c>
      <c r="V503" s="470" t="s">
        <v>761</v>
      </c>
      <c r="W503" s="470" t="s">
        <v>898</v>
      </c>
      <c r="X503" s="470">
        <v>31</v>
      </c>
      <c r="Y503" s="470">
        <v>0</v>
      </c>
      <c r="Z503" s="470">
        <v>0</v>
      </c>
      <c r="AA503" s="470">
        <v>31</v>
      </c>
      <c r="AB503" s="470">
        <v>31</v>
      </c>
      <c r="AC503" s="473">
        <v>28380</v>
      </c>
      <c r="AD503" s="473">
        <v>28380</v>
      </c>
      <c r="AE503" s="473">
        <v>12771</v>
      </c>
      <c r="AF503" s="473">
        <v>5108</v>
      </c>
      <c r="AG503" s="473">
        <v>1600</v>
      </c>
      <c r="AH503" s="473">
        <v>200</v>
      </c>
      <c r="AI503" s="473">
        <v>1250</v>
      </c>
      <c r="AJ503" s="473">
        <v>0</v>
      </c>
      <c r="AK503" s="473">
        <v>0</v>
      </c>
      <c r="AL503" s="473">
        <v>0</v>
      </c>
      <c r="AM503" s="473">
        <v>0</v>
      </c>
      <c r="AN503" s="473">
        <v>0</v>
      </c>
      <c r="AO503" s="473">
        <v>0</v>
      </c>
      <c r="AP503" s="473">
        <v>0</v>
      </c>
      <c r="AQ503" s="473">
        <v>1533</v>
      </c>
      <c r="AR503" s="473">
        <v>5918</v>
      </c>
      <c r="AS503" s="473">
        <v>0</v>
      </c>
      <c r="AT503" s="473">
        <v>0</v>
      </c>
      <c r="AU503" s="473">
        <v>0</v>
      </c>
      <c r="AV503" s="473">
        <v>28380</v>
      </c>
      <c r="AW503" s="474">
        <v>28380</v>
      </c>
      <c r="AX503" s="473">
        <v>0</v>
      </c>
      <c r="AY503" s="473">
        <v>0</v>
      </c>
      <c r="AZ503" s="475">
        <v>0</v>
      </c>
      <c r="BA503" s="475">
        <v>200</v>
      </c>
      <c r="BB503" s="475">
        <v>1533</v>
      </c>
      <c r="BC503" s="475">
        <v>0</v>
      </c>
      <c r="BD503" s="475">
        <v>0</v>
      </c>
      <c r="BE503" s="475">
        <v>0</v>
      </c>
      <c r="BF503" s="475">
        <v>0</v>
      </c>
      <c r="BG503" s="475">
        <v>1733</v>
      </c>
      <c r="BH503" s="476">
        <v>26647</v>
      </c>
      <c r="BI503" s="467"/>
      <c r="BJ503" s="468"/>
    </row>
    <row r="504" spans="1:62">
      <c r="A504" s="469">
        <v>45839</v>
      </c>
      <c r="B504" s="469" t="s">
        <v>747</v>
      </c>
      <c r="C504" s="508" t="s">
        <v>748</v>
      </c>
      <c r="D504" s="470" t="s">
        <v>749</v>
      </c>
      <c r="E504" s="471">
        <v>1263</v>
      </c>
      <c r="F504" s="470" t="s">
        <v>1141</v>
      </c>
      <c r="G504" s="470" t="s">
        <v>751</v>
      </c>
      <c r="H504" s="470" t="s">
        <v>12</v>
      </c>
      <c r="I504" s="470" t="s">
        <v>1142</v>
      </c>
      <c r="J504" s="472" t="s">
        <v>1143</v>
      </c>
      <c r="K504" s="470" t="s">
        <v>1144</v>
      </c>
      <c r="L504" s="470" t="s">
        <v>1305</v>
      </c>
      <c r="M504" s="470" t="s">
        <v>1305</v>
      </c>
      <c r="N504" s="470" t="s">
        <v>756</v>
      </c>
      <c r="O504" s="472" t="s">
        <v>757</v>
      </c>
      <c r="P504" s="472" t="s">
        <v>738</v>
      </c>
      <c r="Q504" s="472" t="s">
        <v>758</v>
      </c>
      <c r="R504" s="472" t="s">
        <v>12</v>
      </c>
      <c r="S504" s="472" t="s">
        <v>12</v>
      </c>
      <c r="T504" s="472" t="s">
        <v>1147</v>
      </c>
      <c r="U504" s="470" t="s">
        <v>1148</v>
      </c>
      <c r="V504" s="470" t="s">
        <v>761</v>
      </c>
      <c r="W504" s="470" t="s">
        <v>859</v>
      </c>
      <c r="X504" s="470">
        <v>31</v>
      </c>
      <c r="Y504" s="470">
        <v>0</v>
      </c>
      <c r="Z504" s="470">
        <v>0.5</v>
      </c>
      <c r="AA504" s="470">
        <v>30.5</v>
      </c>
      <c r="AB504" s="470">
        <v>30.5</v>
      </c>
      <c r="AC504" s="473">
        <v>55900</v>
      </c>
      <c r="AD504" s="473">
        <v>55900</v>
      </c>
      <c r="AE504" s="473">
        <v>24749</v>
      </c>
      <c r="AF504" s="473">
        <v>9900</v>
      </c>
      <c r="AG504" s="473">
        <v>1574</v>
      </c>
      <c r="AH504" s="473">
        <v>197</v>
      </c>
      <c r="AI504" s="473">
        <v>1230</v>
      </c>
      <c r="AJ504" s="473">
        <v>2062</v>
      </c>
      <c r="AK504" s="473">
        <v>4950</v>
      </c>
      <c r="AL504" s="473">
        <v>3712</v>
      </c>
      <c r="AM504" s="473">
        <v>247</v>
      </c>
      <c r="AN504" s="473">
        <v>866</v>
      </c>
      <c r="AO504" s="473">
        <v>495</v>
      </c>
      <c r="AP504" s="473">
        <v>124</v>
      </c>
      <c r="AQ504" s="473">
        <v>1800</v>
      </c>
      <c r="AR504" s="473">
        <v>3092</v>
      </c>
      <c r="AS504" s="473">
        <v>0</v>
      </c>
      <c r="AT504" s="473">
        <v>0</v>
      </c>
      <c r="AU504" s="473">
        <v>0</v>
      </c>
      <c r="AV504" s="473">
        <v>54998</v>
      </c>
      <c r="AW504" s="474">
        <v>54998</v>
      </c>
      <c r="AX504" s="473">
        <v>0</v>
      </c>
      <c r="AY504" s="473">
        <v>0</v>
      </c>
      <c r="AZ504" s="475">
        <v>0</v>
      </c>
      <c r="BA504" s="475">
        <v>200</v>
      </c>
      <c r="BB504" s="475">
        <v>1800</v>
      </c>
      <c r="BC504" s="475">
        <v>0</v>
      </c>
      <c r="BD504" s="475">
        <v>0</v>
      </c>
      <c r="BE504" s="475">
        <v>0</v>
      </c>
      <c r="BF504" s="475">
        <v>0</v>
      </c>
      <c r="BG504" s="475">
        <v>2000</v>
      </c>
      <c r="BH504" s="476">
        <v>52998</v>
      </c>
      <c r="BI504" s="467"/>
      <c r="BJ504" s="468"/>
    </row>
    <row r="505" spans="1:62">
      <c r="A505" s="469">
        <v>45839</v>
      </c>
      <c r="B505" s="469" t="s">
        <v>747</v>
      </c>
      <c r="C505" s="508" t="s">
        <v>748</v>
      </c>
      <c r="D505" s="470" t="s">
        <v>749</v>
      </c>
      <c r="E505" s="471">
        <v>1758</v>
      </c>
      <c r="F505" s="470" t="s">
        <v>1149</v>
      </c>
      <c r="G505" s="470" t="s">
        <v>751</v>
      </c>
      <c r="H505" s="470" t="s">
        <v>12</v>
      </c>
      <c r="I505" s="470" t="s">
        <v>1150</v>
      </c>
      <c r="J505" s="472" t="s">
        <v>1151</v>
      </c>
      <c r="K505" s="470" t="s">
        <v>1152</v>
      </c>
      <c r="L505" s="470" t="s">
        <v>856</v>
      </c>
      <c r="M505" s="470" t="s">
        <v>856</v>
      </c>
      <c r="N505" s="470" t="s">
        <v>756</v>
      </c>
      <c r="O505" s="472" t="s">
        <v>757</v>
      </c>
      <c r="P505" s="472" t="s">
        <v>738</v>
      </c>
      <c r="Q505" s="472" t="s">
        <v>758</v>
      </c>
      <c r="R505" s="472" t="s">
        <v>12</v>
      </c>
      <c r="S505" s="472" t="s">
        <v>12</v>
      </c>
      <c r="T505" s="472" t="s">
        <v>1153</v>
      </c>
      <c r="U505" s="470" t="s">
        <v>1154</v>
      </c>
      <c r="V505" s="470" t="s">
        <v>761</v>
      </c>
      <c r="W505" s="470" t="s">
        <v>1155</v>
      </c>
      <c r="X505" s="470">
        <v>31</v>
      </c>
      <c r="Y505" s="470">
        <v>0</v>
      </c>
      <c r="Z505" s="470">
        <v>0</v>
      </c>
      <c r="AA505" s="470">
        <v>31</v>
      </c>
      <c r="AB505" s="470">
        <v>31</v>
      </c>
      <c r="AC505" s="473">
        <v>68220</v>
      </c>
      <c r="AD505" s="473">
        <v>68220</v>
      </c>
      <c r="AE505" s="473">
        <v>30699</v>
      </c>
      <c r="AF505" s="473">
        <v>12280</v>
      </c>
      <c r="AG505" s="473">
        <v>1600</v>
      </c>
      <c r="AH505" s="473">
        <v>200</v>
      </c>
      <c r="AI505" s="473">
        <v>1250</v>
      </c>
      <c r="AJ505" s="473">
        <v>2557</v>
      </c>
      <c r="AK505" s="473">
        <v>6140</v>
      </c>
      <c r="AL505" s="473">
        <v>4605</v>
      </c>
      <c r="AM505" s="473">
        <v>307</v>
      </c>
      <c r="AN505" s="473">
        <v>1074</v>
      </c>
      <c r="AO505" s="473">
        <v>614</v>
      </c>
      <c r="AP505" s="473">
        <v>154</v>
      </c>
      <c r="AQ505" s="473">
        <v>1800</v>
      </c>
      <c r="AR505" s="473">
        <v>4940</v>
      </c>
      <c r="AS505" s="473">
        <v>0</v>
      </c>
      <c r="AT505" s="473">
        <v>0</v>
      </c>
      <c r="AU505" s="473">
        <v>1111</v>
      </c>
      <c r="AV505" s="473">
        <v>69331</v>
      </c>
      <c r="AW505" s="474">
        <v>68220</v>
      </c>
      <c r="AX505" s="473">
        <v>0</v>
      </c>
      <c r="AY505" s="473">
        <v>0</v>
      </c>
      <c r="AZ505" s="475">
        <v>0</v>
      </c>
      <c r="BA505" s="475">
        <v>200</v>
      </c>
      <c r="BB505" s="475">
        <v>1800</v>
      </c>
      <c r="BC505" s="475">
        <v>0</v>
      </c>
      <c r="BD505" s="475">
        <v>0</v>
      </c>
      <c r="BE505" s="475">
        <v>0</v>
      </c>
      <c r="BF505" s="475">
        <v>0</v>
      </c>
      <c r="BG505" s="475">
        <v>2000</v>
      </c>
      <c r="BH505" s="476">
        <v>67331</v>
      </c>
      <c r="BI505" s="467"/>
      <c r="BJ505" s="468"/>
    </row>
    <row r="506" spans="1:62">
      <c r="A506" s="469">
        <v>45839</v>
      </c>
      <c r="B506" s="469" t="s">
        <v>747</v>
      </c>
      <c r="C506" s="508" t="s">
        <v>748</v>
      </c>
      <c r="D506" s="470" t="s">
        <v>749</v>
      </c>
      <c r="E506" s="471">
        <v>1624</v>
      </c>
      <c r="F506" s="470" t="s">
        <v>1156</v>
      </c>
      <c r="G506" s="470" t="s">
        <v>751</v>
      </c>
      <c r="H506" s="470" t="s">
        <v>12</v>
      </c>
      <c r="I506" s="470" t="s">
        <v>1157</v>
      </c>
      <c r="J506" s="472" t="s">
        <v>1158</v>
      </c>
      <c r="K506" s="470" t="s">
        <v>1159</v>
      </c>
      <c r="L506" s="470" t="s">
        <v>987</v>
      </c>
      <c r="M506" s="470" t="s">
        <v>987</v>
      </c>
      <c r="N506" s="470" t="s">
        <v>756</v>
      </c>
      <c r="O506" s="472" t="s">
        <v>757</v>
      </c>
      <c r="P506" s="472" t="s">
        <v>738</v>
      </c>
      <c r="Q506" s="472" t="s">
        <v>758</v>
      </c>
      <c r="R506" s="472" t="s">
        <v>12</v>
      </c>
      <c r="S506" s="472" t="s">
        <v>12</v>
      </c>
      <c r="T506" s="472" t="s">
        <v>1160</v>
      </c>
      <c r="U506" s="470" t="s">
        <v>1161</v>
      </c>
      <c r="V506" s="470" t="s">
        <v>761</v>
      </c>
      <c r="W506" s="470" t="s">
        <v>898</v>
      </c>
      <c r="X506" s="470">
        <v>31</v>
      </c>
      <c r="Y506" s="470">
        <v>0</v>
      </c>
      <c r="Z506" s="470">
        <v>0</v>
      </c>
      <c r="AA506" s="470">
        <v>31</v>
      </c>
      <c r="AB506" s="470">
        <v>31</v>
      </c>
      <c r="AC506" s="473">
        <v>42042</v>
      </c>
      <c r="AD506" s="473">
        <v>42042</v>
      </c>
      <c r="AE506" s="473">
        <v>18919</v>
      </c>
      <c r="AF506" s="473">
        <v>7568</v>
      </c>
      <c r="AG506" s="473">
        <v>1600</v>
      </c>
      <c r="AH506" s="473">
        <v>200</v>
      </c>
      <c r="AI506" s="473">
        <v>1250</v>
      </c>
      <c r="AJ506" s="473">
        <v>1576</v>
      </c>
      <c r="AK506" s="473">
        <v>3784</v>
      </c>
      <c r="AL506" s="473">
        <v>2838</v>
      </c>
      <c r="AM506" s="473">
        <v>189</v>
      </c>
      <c r="AN506" s="473">
        <v>662</v>
      </c>
      <c r="AO506" s="473">
        <v>378</v>
      </c>
      <c r="AP506" s="473">
        <v>95</v>
      </c>
      <c r="AQ506" s="473">
        <v>1800</v>
      </c>
      <c r="AR506" s="473">
        <v>1183</v>
      </c>
      <c r="AS506" s="473">
        <v>0</v>
      </c>
      <c r="AT506" s="473">
        <v>1600</v>
      </c>
      <c r="AU506" s="473">
        <v>0</v>
      </c>
      <c r="AV506" s="473">
        <v>43642</v>
      </c>
      <c r="AW506" s="474">
        <v>43642</v>
      </c>
      <c r="AX506" s="473">
        <v>0</v>
      </c>
      <c r="AY506" s="473">
        <v>0</v>
      </c>
      <c r="AZ506" s="475">
        <v>0</v>
      </c>
      <c r="BA506" s="475">
        <v>200</v>
      </c>
      <c r="BB506" s="475">
        <v>1800</v>
      </c>
      <c r="BC506" s="475">
        <v>0</v>
      </c>
      <c r="BD506" s="475">
        <v>0</v>
      </c>
      <c r="BE506" s="475">
        <v>0</v>
      </c>
      <c r="BF506" s="475">
        <v>0</v>
      </c>
      <c r="BG506" s="475">
        <v>2000</v>
      </c>
      <c r="BH506" s="476">
        <v>41642</v>
      </c>
      <c r="BI506" s="467"/>
      <c r="BJ506" s="468"/>
    </row>
    <row r="507" spans="1:62">
      <c r="A507" s="469">
        <v>45839</v>
      </c>
      <c r="B507" s="469" t="s">
        <v>747</v>
      </c>
      <c r="C507" s="508" t="s">
        <v>748</v>
      </c>
      <c r="D507" s="470" t="s">
        <v>749</v>
      </c>
      <c r="E507" s="471">
        <v>1738</v>
      </c>
      <c r="F507" s="470" t="s">
        <v>1162</v>
      </c>
      <c r="G507" s="470" t="s">
        <v>751</v>
      </c>
      <c r="H507" s="470" t="s">
        <v>12</v>
      </c>
      <c r="I507" s="470" t="s">
        <v>938</v>
      </c>
      <c r="J507" s="472" t="s">
        <v>1163</v>
      </c>
      <c r="K507" s="470" t="s">
        <v>1164</v>
      </c>
      <c r="L507" s="470" t="s">
        <v>1165</v>
      </c>
      <c r="M507" s="470" t="s">
        <v>1165</v>
      </c>
      <c r="N507" s="470" t="s">
        <v>756</v>
      </c>
      <c r="O507" s="472" t="s">
        <v>757</v>
      </c>
      <c r="P507" s="472" t="s">
        <v>738</v>
      </c>
      <c r="Q507" s="472" t="s">
        <v>758</v>
      </c>
      <c r="R507" s="472" t="s">
        <v>12</v>
      </c>
      <c r="S507" s="472" t="s">
        <v>12</v>
      </c>
      <c r="T507" s="472" t="s">
        <v>1166</v>
      </c>
      <c r="U507" s="470" t="s">
        <v>1167</v>
      </c>
      <c r="V507" s="470" t="s">
        <v>761</v>
      </c>
      <c r="W507" s="470" t="s">
        <v>762</v>
      </c>
      <c r="X507" s="470">
        <v>31</v>
      </c>
      <c r="Y507" s="470">
        <v>0</v>
      </c>
      <c r="Z507" s="470">
        <v>0</v>
      </c>
      <c r="AA507" s="470">
        <v>31</v>
      </c>
      <c r="AB507" s="470">
        <v>31</v>
      </c>
      <c r="AC507" s="473">
        <v>35983</v>
      </c>
      <c r="AD507" s="473">
        <v>35983</v>
      </c>
      <c r="AE507" s="473">
        <v>16192</v>
      </c>
      <c r="AF507" s="473">
        <v>6477</v>
      </c>
      <c r="AG507" s="473">
        <v>1600</v>
      </c>
      <c r="AH507" s="473">
        <v>200</v>
      </c>
      <c r="AI507" s="473">
        <v>1250</v>
      </c>
      <c r="AJ507" s="473">
        <v>0</v>
      </c>
      <c r="AK507" s="473">
        <v>0</v>
      </c>
      <c r="AL507" s="473">
        <v>0</v>
      </c>
      <c r="AM507" s="473">
        <v>0</v>
      </c>
      <c r="AN507" s="473">
        <v>0</v>
      </c>
      <c r="AO507" s="473">
        <v>0</v>
      </c>
      <c r="AP507" s="473">
        <v>0</v>
      </c>
      <c r="AQ507" s="473">
        <v>1800</v>
      </c>
      <c r="AR507" s="473">
        <v>8464</v>
      </c>
      <c r="AS507" s="473">
        <v>0</v>
      </c>
      <c r="AT507" s="473">
        <v>600</v>
      </c>
      <c r="AU507" s="473">
        <v>0</v>
      </c>
      <c r="AV507" s="473">
        <v>36583</v>
      </c>
      <c r="AW507" s="474">
        <v>36583</v>
      </c>
      <c r="AX507" s="473">
        <v>0</v>
      </c>
      <c r="AY507" s="473">
        <v>0</v>
      </c>
      <c r="AZ507" s="475">
        <v>0</v>
      </c>
      <c r="BA507" s="475">
        <v>200</v>
      </c>
      <c r="BB507" s="475">
        <v>1800</v>
      </c>
      <c r="BC507" s="475">
        <v>0</v>
      </c>
      <c r="BD507" s="475">
        <v>0</v>
      </c>
      <c r="BE507" s="475">
        <v>0</v>
      </c>
      <c r="BF507" s="475">
        <v>0</v>
      </c>
      <c r="BG507" s="475">
        <v>2000</v>
      </c>
      <c r="BH507" s="476">
        <v>34583</v>
      </c>
      <c r="BI507" s="467"/>
      <c r="BJ507" s="468"/>
    </row>
    <row r="508" spans="1:62">
      <c r="A508" s="469">
        <v>45839</v>
      </c>
      <c r="B508" s="469" t="s">
        <v>747</v>
      </c>
      <c r="C508" s="508" t="s">
        <v>748</v>
      </c>
      <c r="D508" s="470" t="s">
        <v>749</v>
      </c>
      <c r="E508" s="471">
        <v>1510</v>
      </c>
      <c r="F508" s="470" t="s">
        <v>1168</v>
      </c>
      <c r="G508" s="470" t="s">
        <v>751</v>
      </c>
      <c r="H508" s="470" t="s">
        <v>12</v>
      </c>
      <c r="I508" s="470" t="s">
        <v>1169</v>
      </c>
      <c r="J508" s="472" t="s">
        <v>1170</v>
      </c>
      <c r="K508" s="470" t="s">
        <v>1171</v>
      </c>
      <c r="L508" s="470" t="s">
        <v>994</v>
      </c>
      <c r="M508" s="470" t="s">
        <v>1305</v>
      </c>
      <c r="N508" s="470" t="s">
        <v>777</v>
      </c>
      <c r="O508" s="472" t="s">
        <v>757</v>
      </c>
      <c r="P508" s="472" t="s">
        <v>738</v>
      </c>
      <c r="Q508" s="472" t="s">
        <v>758</v>
      </c>
      <c r="R508" s="472" t="s">
        <v>12</v>
      </c>
      <c r="S508" s="472" t="s">
        <v>12</v>
      </c>
      <c r="T508" s="472" t="s">
        <v>1173</v>
      </c>
      <c r="U508" s="470" t="s">
        <v>1174</v>
      </c>
      <c r="V508" s="470" t="s">
        <v>761</v>
      </c>
      <c r="W508" s="470" t="s">
        <v>762</v>
      </c>
      <c r="X508" s="470">
        <v>31</v>
      </c>
      <c r="Y508" s="470">
        <v>0</v>
      </c>
      <c r="Z508" s="470">
        <v>0</v>
      </c>
      <c r="AA508" s="470">
        <v>31</v>
      </c>
      <c r="AB508" s="470">
        <v>31</v>
      </c>
      <c r="AC508" s="473">
        <v>49307</v>
      </c>
      <c r="AD508" s="473">
        <v>49307</v>
      </c>
      <c r="AE508" s="473">
        <v>22188</v>
      </c>
      <c r="AF508" s="473">
        <v>8875</v>
      </c>
      <c r="AG508" s="473">
        <v>1600</v>
      </c>
      <c r="AH508" s="473">
        <v>200</v>
      </c>
      <c r="AI508" s="473">
        <v>1250</v>
      </c>
      <c r="AJ508" s="473">
        <v>1848</v>
      </c>
      <c r="AK508" s="473">
        <v>4438</v>
      </c>
      <c r="AL508" s="473">
        <v>3328</v>
      </c>
      <c r="AM508" s="473">
        <v>222</v>
      </c>
      <c r="AN508" s="473">
        <v>777</v>
      </c>
      <c r="AO508" s="473">
        <v>444</v>
      </c>
      <c r="AP508" s="473">
        <v>111</v>
      </c>
      <c r="AQ508" s="473">
        <v>1800</v>
      </c>
      <c r="AR508" s="473">
        <v>2226</v>
      </c>
      <c r="AS508" s="473">
        <v>0</v>
      </c>
      <c r="AT508" s="473">
        <v>0</v>
      </c>
      <c r="AU508" s="473">
        <v>1381</v>
      </c>
      <c r="AV508" s="473">
        <v>50688</v>
      </c>
      <c r="AW508" s="474">
        <v>49307</v>
      </c>
      <c r="AX508" s="473">
        <v>0</v>
      </c>
      <c r="AY508" s="473">
        <v>0</v>
      </c>
      <c r="AZ508" s="475">
        <v>0</v>
      </c>
      <c r="BA508" s="475">
        <v>200</v>
      </c>
      <c r="BB508" s="475">
        <v>1800</v>
      </c>
      <c r="BC508" s="475">
        <v>0</v>
      </c>
      <c r="BD508" s="475">
        <v>0</v>
      </c>
      <c r="BE508" s="475">
        <v>0</v>
      </c>
      <c r="BF508" s="475">
        <v>0</v>
      </c>
      <c r="BG508" s="475">
        <v>2000</v>
      </c>
      <c r="BH508" s="476">
        <v>48688</v>
      </c>
      <c r="BI508" s="467"/>
      <c r="BJ508" s="468"/>
    </row>
    <row r="509" spans="1:62">
      <c r="A509" s="469">
        <v>45839</v>
      </c>
      <c r="B509" s="469" t="s">
        <v>747</v>
      </c>
      <c r="C509" s="508" t="s">
        <v>748</v>
      </c>
      <c r="D509" s="470" t="s">
        <v>749</v>
      </c>
      <c r="E509" s="471">
        <v>2175</v>
      </c>
      <c r="F509" s="470" t="s">
        <v>1320</v>
      </c>
      <c r="G509" s="470" t="s">
        <v>812</v>
      </c>
      <c r="H509" s="470" t="s">
        <v>12</v>
      </c>
      <c r="I509" s="470" t="s">
        <v>1321</v>
      </c>
      <c r="J509" s="472" t="s">
        <v>1322</v>
      </c>
      <c r="K509" s="470" t="s">
        <v>1323</v>
      </c>
      <c r="L509" s="470" t="s">
        <v>1324</v>
      </c>
      <c r="M509" s="470" t="s">
        <v>1293</v>
      </c>
      <c r="N509" s="470" t="s">
        <v>756</v>
      </c>
      <c r="O509" s="472" t="s">
        <v>792</v>
      </c>
      <c r="P509" s="472" t="s">
        <v>738</v>
      </c>
      <c r="Q509" s="472" t="s">
        <v>758</v>
      </c>
      <c r="R509" s="472" t="s">
        <v>12</v>
      </c>
      <c r="S509" s="472" t="s">
        <v>12</v>
      </c>
      <c r="T509" s="472" t="s">
        <v>1325</v>
      </c>
      <c r="U509" s="470" t="s">
        <v>12</v>
      </c>
      <c r="V509" s="470" t="s">
        <v>12</v>
      </c>
      <c r="W509" s="470" t="s">
        <v>12</v>
      </c>
      <c r="X509" s="470">
        <v>31</v>
      </c>
      <c r="Y509" s="470">
        <v>0</v>
      </c>
      <c r="Z509" s="470">
        <v>0</v>
      </c>
      <c r="AA509" s="470">
        <v>17</v>
      </c>
      <c r="AB509" s="470">
        <v>17</v>
      </c>
      <c r="AC509" s="473">
        <v>137785</v>
      </c>
      <c r="AD509" s="473">
        <v>137785</v>
      </c>
      <c r="AE509" s="473">
        <v>34002</v>
      </c>
      <c r="AF509" s="473">
        <v>13601</v>
      </c>
      <c r="AG509" s="473">
        <v>877</v>
      </c>
      <c r="AH509" s="473">
        <v>200</v>
      </c>
      <c r="AI509" s="473">
        <v>685</v>
      </c>
      <c r="AJ509" s="473">
        <v>2832</v>
      </c>
      <c r="AK509" s="473">
        <v>6800</v>
      </c>
      <c r="AL509" s="473">
        <v>5100</v>
      </c>
      <c r="AM509" s="473">
        <v>340</v>
      </c>
      <c r="AN509" s="473">
        <v>1190</v>
      </c>
      <c r="AO509" s="473">
        <v>680</v>
      </c>
      <c r="AP509" s="473">
        <v>170</v>
      </c>
      <c r="AQ509" s="473">
        <v>1800</v>
      </c>
      <c r="AR509" s="473">
        <v>7283</v>
      </c>
      <c r="AS509" s="473">
        <v>0</v>
      </c>
      <c r="AT509" s="473">
        <v>0</v>
      </c>
      <c r="AU509" s="473">
        <v>0</v>
      </c>
      <c r="AV509" s="473">
        <v>75560</v>
      </c>
      <c r="AW509" s="474">
        <v>75560</v>
      </c>
      <c r="AX509" s="473">
        <v>0</v>
      </c>
      <c r="AY509" s="473">
        <v>0</v>
      </c>
      <c r="AZ509" s="475">
        <v>6530</v>
      </c>
      <c r="BA509" s="475">
        <v>200</v>
      </c>
      <c r="BB509" s="475">
        <v>1800</v>
      </c>
      <c r="BC509" s="475">
        <v>0</v>
      </c>
      <c r="BD509" s="475">
        <v>0</v>
      </c>
      <c r="BE509" s="475">
        <v>0</v>
      </c>
      <c r="BF509" s="475">
        <v>0</v>
      </c>
      <c r="BG509" s="475">
        <v>8530</v>
      </c>
      <c r="BH509" s="476">
        <v>67030</v>
      </c>
      <c r="BI509" s="467"/>
      <c r="BJ509" s="468"/>
    </row>
    <row r="510" spans="1:62">
      <c r="A510" s="469">
        <v>45839</v>
      </c>
      <c r="B510" s="469" t="s">
        <v>747</v>
      </c>
      <c r="C510" s="508" t="s">
        <v>748</v>
      </c>
      <c r="D510" s="470" t="s">
        <v>749</v>
      </c>
      <c r="E510" s="471">
        <v>1589</v>
      </c>
      <c r="F510" s="470" t="s">
        <v>1175</v>
      </c>
      <c r="G510" s="470" t="s">
        <v>751</v>
      </c>
      <c r="H510" s="470" t="s">
        <v>12</v>
      </c>
      <c r="I510" s="470" t="s">
        <v>1176</v>
      </c>
      <c r="J510" s="472" t="s">
        <v>1177</v>
      </c>
      <c r="K510" s="470" t="s">
        <v>1178</v>
      </c>
      <c r="L510" s="470" t="s">
        <v>755</v>
      </c>
      <c r="M510" s="470" t="s">
        <v>755</v>
      </c>
      <c r="N510" s="470" t="s">
        <v>756</v>
      </c>
      <c r="O510" s="472" t="s">
        <v>757</v>
      </c>
      <c r="P510" s="472" t="s">
        <v>738</v>
      </c>
      <c r="Q510" s="472" t="s">
        <v>758</v>
      </c>
      <c r="R510" s="472" t="s">
        <v>12</v>
      </c>
      <c r="S510" s="472" t="s">
        <v>12</v>
      </c>
      <c r="T510" s="472" t="s">
        <v>1179</v>
      </c>
      <c r="U510" s="470" t="s">
        <v>1180</v>
      </c>
      <c r="V510" s="470" t="s">
        <v>761</v>
      </c>
      <c r="W510" s="470" t="s">
        <v>762</v>
      </c>
      <c r="X510" s="470">
        <v>31</v>
      </c>
      <c r="Y510" s="470">
        <v>0</v>
      </c>
      <c r="Z510" s="470">
        <v>0</v>
      </c>
      <c r="AA510" s="470">
        <v>31</v>
      </c>
      <c r="AB510" s="470">
        <v>31</v>
      </c>
      <c r="AC510" s="473">
        <v>34250</v>
      </c>
      <c r="AD510" s="473">
        <v>34250</v>
      </c>
      <c r="AE510" s="473">
        <v>15413</v>
      </c>
      <c r="AF510" s="473">
        <v>6165</v>
      </c>
      <c r="AG510" s="473">
        <v>1600</v>
      </c>
      <c r="AH510" s="473">
        <v>200</v>
      </c>
      <c r="AI510" s="473">
        <v>1250</v>
      </c>
      <c r="AJ510" s="473">
        <v>0</v>
      </c>
      <c r="AK510" s="473">
        <v>0</v>
      </c>
      <c r="AL510" s="473">
        <v>0</v>
      </c>
      <c r="AM510" s="473">
        <v>0</v>
      </c>
      <c r="AN510" s="473">
        <v>0</v>
      </c>
      <c r="AO510" s="473">
        <v>0</v>
      </c>
      <c r="AP510" s="473">
        <v>0</v>
      </c>
      <c r="AQ510" s="473">
        <v>1800</v>
      </c>
      <c r="AR510" s="473">
        <v>7822</v>
      </c>
      <c r="AS510" s="473">
        <v>0</v>
      </c>
      <c r="AT510" s="473">
        <v>400</v>
      </c>
      <c r="AU510" s="473">
        <v>0</v>
      </c>
      <c r="AV510" s="473">
        <v>34650</v>
      </c>
      <c r="AW510" s="474">
        <v>34650</v>
      </c>
      <c r="AX510" s="473">
        <v>0</v>
      </c>
      <c r="AY510" s="473">
        <v>0</v>
      </c>
      <c r="AZ510" s="475">
        <v>0</v>
      </c>
      <c r="BA510" s="475">
        <v>200</v>
      </c>
      <c r="BB510" s="475">
        <v>1800</v>
      </c>
      <c r="BC510" s="475">
        <v>0</v>
      </c>
      <c r="BD510" s="475">
        <v>0</v>
      </c>
      <c r="BE510" s="475">
        <v>0</v>
      </c>
      <c r="BF510" s="475">
        <v>0</v>
      </c>
      <c r="BG510" s="475">
        <v>2000</v>
      </c>
      <c r="BH510" s="476">
        <v>32650</v>
      </c>
      <c r="BI510" s="467"/>
      <c r="BJ510" s="468"/>
    </row>
    <row r="511" spans="1:62">
      <c r="A511" s="469">
        <v>45839</v>
      </c>
      <c r="B511" s="469" t="s">
        <v>747</v>
      </c>
      <c r="C511" s="508" t="s">
        <v>748</v>
      </c>
      <c r="D511" s="470" t="s">
        <v>749</v>
      </c>
      <c r="E511" s="471">
        <v>2069</v>
      </c>
      <c r="F511" s="470" t="s">
        <v>1181</v>
      </c>
      <c r="G511" s="470" t="s">
        <v>751</v>
      </c>
      <c r="H511" s="470" t="s">
        <v>12</v>
      </c>
      <c r="I511" s="470" t="s">
        <v>1182</v>
      </c>
      <c r="J511" s="472" t="s">
        <v>1183</v>
      </c>
      <c r="K511" s="470" t="s">
        <v>1184</v>
      </c>
      <c r="L511" s="470" t="s">
        <v>767</v>
      </c>
      <c r="M511" s="470" t="s">
        <v>767</v>
      </c>
      <c r="N511" s="470" t="s">
        <v>756</v>
      </c>
      <c r="O511" s="472" t="s">
        <v>757</v>
      </c>
      <c r="P511" s="472" t="s">
        <v>738</v>
      </c>
      <c r="Q511" s="472" t="s">
        <v>758</v>
      </c>
      <c r="R511" s="472" t="s">
        <v>12</v>
      </c>
      <c r="S511" s="472" t="s">
        <v>12</v>
      </c>
      <c r="T511" s="472" t="s">
        <v>1185</v>
      </c>
      <c r="U511" s="470" t="s">
        <v>1186</v>
      </c>
      <c r="V511" s="470" t="s">
        <v>761</v>
      </c>
      <c r="W511" s="470" t="s">
        <v>1187</v>
      </c>
      <c r="X511" s="470">
        <v>31</v>
      </c>
      <c r="Y511" s="470">
        <v>0</v>
      </c>
      <c r="Z511" s="470">
        <v>0</v>
      </c>
      <c r="AA511" s="470">
        <v>31</v>
      </c>
      <c r="AB511" s="470">
        <v>31</v>
      </c>
      <c r="AC511" s="473">
        <v>70000</v>
      </c>
      <c r="AD511" s="473">
        <v>70000</v>
      </c>
      <c r="AE511" s="473">
        <v>31500</v>
      </c>
      <c r="AF511" s="473">
        <v>12600</v>
      </c>
      <c r="AG511" s="473">
        <v>1600</v>
      </c>
      <c r="AH511" s="473">
        <v>200</v>
      </c>
      <c r="AI511" s="473">
        <v>1250</v>
      </c>
      <c r="AJ511" s="473">
        <v>2624</v>
      </c>
      <c r="AK511" s="473">
        <v>6300</v>
      </c>
      <c r="AL511" s="473">
        <v>4725</v>
      </c>
      <c r="AM511" s="473">
        <v>315</v>
      </c>
      <c r="AN511" s="473">
        <v>1103</v>
      </c>
      <c r="AO511" s="473">
        <v>630</v>
      </c>
      <c r="AP511" s="473">
        <v>158</v>
      </c>
      <c r="AQ511" s="473">
        <v>1800</v>
      </c>
      <c r="AR511" s="473">
        <v>5195</v>
      </c>
      <c r="AS511" s="473">
        <v>0</v>
      </c>
      <c r="AT511" s="473">
        <v>800</v>
      </c>
      <c r="AU511" s="473">
        <v>0</v>
      </c>
      <c r="AV511" s="473">
        <v>70800</v>
      </c>
      <c r="AW511" s="474">
        <v>70800</v>
      </c>
      <c r="AX511" s="473">
        <v>0</v>
      </c>
      <c r="AY511" s="473">
        <v>0</v>
      </c>
      <c r="AZ511" s="475">
        <v>0</v>
      </c>
      <c r="BA511" s="475">
        <v>200</v>
      </c>
      <c r="BB511" s="475">
        <v>1800</v>
      </c>
      <c r="BC511" s="475">
        <v>0</v>
      </c>
      <c r="BD511" s="475">
        <v>0</v>
      </c>
      <c r="BE511" s="475">
        <v>0</v>
      </c>
      <c r="BF511" s="475">
        <v>0</v>
      </c>
      <c r="BG511" s="475">
        <v>2000</v>
      </c>
      <c r="BH511" s="476">
        <v>68800</v>
      </c>
      <c r="BI511" s="467"/>
      <c r="BJ511" s="468"/>
    </row>
    <row r="512" spans="1:62">
      <c r="A512" s="469">
        <v>45839</v>
      </c>
      <c r="B512" s="469" t="s">
        <v>747</v>
      </c>
      <c r="C512" s="508" t="s">
        <v>748</v>
      </c>
      <c r="D512" s="470" t="s">
        <v>749</v>
      </c>
      <c r="E512" s="471">
        <v>454</v>
      </c>
      <c r="F512" s="470" t="s">
        <v>1188</v>
      </c>
      <c r="G512" s="470" t="s">
        <v>751</v>
      </c>
      <c r="H512" s="470" t="s">
        <v>12</v>
      </c>
      <c r="I512" s="470" t="s">
        <v>1189</v>
      </c>
      <c r="J512" s="472" t="s">
        <v>1190</v>
      </c>
      <c r="K512" s="470" t="s">
        <v>1191</v>
      </c>
      <c r="L512" s="470" t="s">
        <v>1192</v>
      </c>
      <c r="M512" s="470" t="s">
        <v>1165</v>
      </c>
      <c r="N512" s="470" t="s">
        <v>756</v>
      </c>
      <c r="O512" s="472" t="s">
        <v>757</v>
      </c>
      <c r="P512" s="472" t="s">
        <v>738</v>
      </c>
      <c r="Q512" s="472" t="s">
        <v>758</v>
      </c>
      <c r="R512" s="472" t="s">
        <v>12</v>
      </c>
      <c r="S512" s="472" t="s">
        <v>12</v>
      </c>
      <c r="T512" s="472" t="s">
        <v>1193</v>
      </c>
      <c r="U512" s="470" t="s">
        <v>1194</v>
      </c>
      <c r="V512" s="470" t="s">
        <v>761</v>
      </c>
      <c r="W512" s="470" t="s">
        <v>1195</v>
      </c>
      <c r="X512" s="470">
        <v>31</v>
      </c>
      <c r="Y512" s="470">
        <v>0</v>
      </c>
      <c r="Z512" s="470">
        <v>0</v>
      </c>
      <c r="AA512" s="470">
        <v>31</v>
      </c>
      <c r="AB512" s="470">
        <v>31</v>
      </c>
      <c r="AC512" s="473">
        <v>27925</v>
      </c>
      <c r="AD512" s="473">
        <v>27925</v>
      </c>
      <c r="AE512" s="473">
        <v>12566</v>
      </c>
      <c r="AF512" s="473">
        <v>5026</v>
      </c>
      <c r="AG512" s="473">
        <v>1600</v>
      </c>
      <c r="AH512" s="473">
        <v>200</v>
      </c>
      <c r="AI512" s="473">
        <v>1250</v>
      </c>
      <c r="AJ512" s="473">
        <v>0</v>
      </c>
      <c r="AK512" s="473">
        <v>0</v>
      </c>
      <c r="AL512" s="473">
        <v>0</v>
      </c>
      <c r="AM512" s="473">
        <v>0</v>
      </c>
      <c r="AN512" s="473">
        <v>0</v>
      </c>
      <c r="AO512" s="473">
        <v>0</v>
      </c>
      <c r="AP512" s="473">
        <v>0</v>
      </c>
      <c r="AQ512" s="473">
        <v>1508</v>
      </c>
      <c r="AR512" s="473">
        <v>5775</v>
      </c>
      <c r="AS512" s="473">
        <v>0</v>
      </c>
      <c r="AT512" s="473">
        <v>0</v>
      </c>
      <c r="AU512" s="473">
        <v>5891</v>
      </c>
      <c r="AV512" s="473">
        <v>33816</v>
      </c>
      <c r="AW512" s="474">
        <v>27925</v>
      </c>
      <c r="AX512" s="473">
        <v>0</v>
      </c>
      <c r="AY512" s="473">
        <v>0</v>
      </c>
      <c r="AZ512" s="475">
        <v>0</v>
      </c>
      <c r="BA512" s="475">
        <v>200</v>
      </c>
      <c r="BB512" s="475">
        <v>1508</v>
      </c>
      <c r="BC512" s="475">
        <v>0</v>
      </c>
      <c r="BD512" s="475">
        <v>0</v>
      </c>
      <c r="BE512" s="475">
        <v>0</v>
      </c>
      <c r="BF512" s="475">
        <v>0</v>
      </c>
      <c r="BG512" s="475">
        <v>1708</v>
      </c>
      <c r="BH512" s="476">
        <v>32108</v>
      </c>
      <c r="BI512" s="467"/>
      <c r="BJ512" s="468"/>
    </row>
    <row r="513" spans="1:62">
      <c r="A513" s="469">
        <v>45839</v>
      </c>
      <c r="B513" s="469" t="s">
        <v>747</v>
      </c>
      <c r="C513" s="508" t="s">
        <v>748</v>
      </c>
      <c r="D513" s="470" t="s">
        <v>749</v>
      </c>
      <c r="E513" s="471">
        <v>1515</v>
      </c>
      <c r="F513" s="470" t="s">
        <v>1196</v>
      </c>
      <c r="G513" s="470" t="s">
        <v>751</v>
      </c>
      <c r="H513" s="470" t="s">
        <v>12</v>
      </c>
      <c r="I513" s="470" t="s">
        <v>878</v>
      </c>
      <c r="J513" s="472" t="s">
        <v>1197</v>
      </c>
      <c r="K513" s="470" t="s">
        <v>1198</v>
      </c>
      <c r="L513" s="470" t="s">
        <v>942</v>
      </c>
      <c r="M513" s="470" t="s">
        <v>942</v>
      </c>
      <c r="N513" s="470" t="s">
        <v>777</v>
      </c>
      <c r="O513" s="472" t="s">
        <v>792</v>
      </c>
      <c r="P513" s="472" t="s">
        <v>738</v>
      </c>
      <c r="Q513" s="472" t="s">
        <v>758</v>
      </c>
      <c r="R513" s="472" t="s">
        <v>12</v>
      </c>
      <c r="S513" s="472" t="s">
        <v>12</v>
      </c>
      <c r="T513" s="472" t="s">
        <v>1199</v>
      </c>
      <c r="U513" s="470" t="s">
        <v>1200</v>
      </c>
      <c r="V513" s="470" t="s">
        <v>761</v>
      </c>
      <c r="W513" s="470" t="s">
        <v>1201</v>
      </c>
      <c r="X513" s="470">
        <v>31</v>
      </c>
      <c r="Y513" s="470">
        <v>0</v>
      </c>
      <c r="Z513" s="470">
        <v>0</v>
      </c>
      <c r="AA513" s="470">
        <v>31</v>
      </c>
      <c r="AB513" s="470">
        <v>31</v>
      </c>
      <c r="AC513" s="473">
        <v>184245</v>
      </c>
      <c r="AD513" s="473">
        <v>184245</v>
      </c>
      <c r="AE513" s="473">
        <v>82910</v>
      </c>
      <c r="AF513" s="473">
        <v>33164</v>
      </c>
      <c r="AG513" s="473">
        <v>1600</v>
      </c>
      <c r="AH513" s="473">
        <v>200</v>
      </c>
      <c r="AI513" s="473">
        <v>1250</v>
      </c>
      <c r="AJ513" s="473">
        <v>6906</v>
      </c>
      <c r="AK513" s="473">
        <v>16582</v>
      </c>
      <c r="AL513" s="473">
        <v>12437</v>
      </c>
      <c r="AM513" s="473">
        <v>829</v>
      </c>
      <c r="AN513" s="473">
        <v>2902</v>
      </c>
      <c r="AO513" s="473">
        <v>1658</v>
      </c>
      <c r="AP513" s="473">
        <v>415</v>
      </c>
      <c r="AQ513" s="473">
        <v>1800</v>
      </c>
      <c r="AR513" s="473">
        <v>21592</v>
      </c>
      <c r="AS513" s="473">
        <v>0</v>
      </c>
      <c r="AT513" s="473">
        <v>0</v>
      </c>
      <c r="AU513" s="473">
        <v>0</v>
      </c>
      <c r="AV513" s="473">
        <v>184245</v>
      </c>
      <c r="AW513" s="474">
        <v>184245</v>
      </c>
      <c r="AX513" s="473">
        <v>0</v>
      </c>
      <c r="AY513" s="473">
        <v>0</v>
      </c>
      <c r="AZ513" s="475">
        <v>26101</v>
      </c>
      <c r="BA513" s="475">
        <v>200</v>
      </c>
      <c r="BB513" s="475">
        <v>1800</v>
      </c>
      <c r="BC513" s="475">
        <v>0</v>
      </c>
      <c r="BD513" s="475">
        <v>0</v>
      </c>
      <c r="BE513" s="475">
        <v>0</v>
      </c>
      <c r="BF513" s="475">
        <v>0</v>
      </c>
      <c r="BG513" s="475">
        <v>28101</v>
      </c>
      <c r="BH513" s="476">
        <v>156144</v>
      </c>
      <c r="BI513" s="467"/>
      <c r="BJ513" s="468"/>
    </row>
    <row r="514" spans="1:62">
      <c r="A514" s="469">
        <v>45839</v>
      </c>
      <c r="B514" s="469" t="s">
        <v>747</v>
      </c>
      <c r="C514" s="508" t="s">
        <v>748</v>
      </c>
      <c r="D514" s="470" t="s">
        <v>749</v>
      </c>
      <c r="E514" s="471">
        <v>2015</v>
      </c>
      <c r="F514" s="470" t="s">
        <v>1202</v>
      </c>
      <c r="G514" s="470" t="s">
        <v>751</v>
      </c>
      <c r="H514" s="470" t="s">
        <v>12</v>
      </c>
      <c r="I514" s="470" t="s">
        <v>847</v>
      </c>
      <c r="J514" s="472" t="s">
        <v>1203</v>
      </c>
      <c r="K514" s="470" t="s">
        <v>1204</v>
      </c>
      <c r="L514" s="470" t="s">
        <v>824</v>
      </c>
      <c r="M514" s="470" t="s">
        <v>824</v>
      </c>
      <c r="N514" s="470" t="s">
        <v>777</v>
      </c>
      <c r="O514" s="472" t="s">
        <v>757</v>
      </c>
      <c r="P514" s="472" t="s">
        <v>738</v>
      </c>
      <c r="Q514" s="472" t="s">
        <v>758</v>
      </c>
      <c r="R514" s="472" t="s">
        <v>12</v>
      </c>
      <c r="S514" s="472" t="s">
        <v>12</v>
      </c>
      <c r="T514" s="472" t="s">
        <v>1205</v>
      </c>
      <c r="U514" s="470" t="s">
        <v>1206</v>
      </c>
      <c r="V514" s="470" t="s">
        <v>761</v>
      </c>
      <c r="W514" s="470" t="s">
        <v>762</v>
      </c>
      <c r="X514" s="470">
        <v>31</v>
      </c>
      <c r="Y514" s="470">
        <v>0</v>
      </c>
      <c r="Z514" s="470">
        <v>0</v>
      </c>
      <c r="AA514" s="470">
        <v>31</v>
      </c>
      <c r="AB514" s="470">
        <v>31</v>
      </c>
      <c r="AC514" s="473">
        <v>56533</v>
      </c>
      <c r="AD514" s="473">
        <v>56533</v>
      </c>
      <c r="AE514" s="473">
        <v>25440</v>
      </c>
      <c r="AF514" s="473">
        <v>10176</v>
      </c>
      <c r="AG514" s="473">
        <v>1600</v>
      </c>
      <c r="AH514" s="473">
        <v>200</v>
      </c>
      <c r="AI514" s="473">
        <v>1250</v>
      </c>
      <c r="AJ514" s="473">
        <v>2119</v>
      </c>
      <c r="AK514" s="473">
        <v>5088</v>
      </c>
      <c r="AL514" s="473">
        <v>3816</v>
      </c>
      <c r="AM514" s="473">
        <v>254</v>
      </c>
      <c r="AN514" s="473">
        <v>890</v>
      </c>
      <c r="AO514" s="473">
        <v>509</v>
      </c>
      <c r="AP514" s="473">
        <v>127</v>
      </c>
      <c r="AQ514" s="473">
        <v>1800</v>
      </c>
      <c r="AR514" s="473">
        <v>3264</v>
      </c>
      <c r="AS514" s="473">
        <v>0</v>
      </c>
      <c r="AT514" s="473">
        <v>5653</v>
      </c>
      <c r="AU514" s="473">
        <v>2727</v>
      </c>
      <c r="AV514" s="473">
        <v>64913</v>
      </c>
      <c r="AW514" s="474">
        <v>62186</v>
      </c>
      <c r="AX514" s="473">
        <v>0</v>
      </c>
      <c r="AY514" s="473">
        <v>0</v>
      </c>
      <c r="AZ514" s="475">
        <v>0</v>
      </c>
      <c r="BA514" s="475">
        <v>200</v>
      </c>
      <c r="BB514" s="475">
        <v>1800</v>
      </c>
      <c r="BC514" s="475">
        <v>0</v>
      </c>
      <c r="BD514" s="475">
        <v>0</v>
      </c>
      <c r="BE514" s="475">
        <v>0</v>
      </c>
      <c r="BF514" s="475">
        <v>0</v>
      </c>
      <c r="BG514" s="475">
        <v>2000</v>
      </c>
      <c r="BH514" s="476">
        <v>62913</v>
      </c>
      <c r="BI514" s="467"/>
      <c r="BJ514" s="468"/>
    </row>
    <row r="515" spans="1:62">
      <c r="A515" s="469">
        <v>45839</v>
      </c>
      <c r="B515" s="469" t="s">
        <v>747</v>
      </c>
      <c r="C515" s="508" t="s">
        <v>748</v>
      </c>
      <c r="D515" s="470" t="s">
        <v>749</v>
      </c>
      <c r="E515" s="471">
        <v>1166</v>
      </c>
      <c r="F515" s="470" t="s">
        <v>1207</v>
      </c>
      <c r="G515" s="470" t="s">
        <v>751</v>
      </c>
      <c r="H515" s="470" t="s">
        <v>12</v>
      </c>
      <c r="I515" s="470" t="s">
        <v>1208</v>
      </c>
      <c r="J515" s="472" t="s">
        <v>1209</v>
      </c>
      <c r="K515" s="470" t="s">
        <v>1210</v>
      </c>
      <c r="L515" s="470" t="s">
        <v>1329</v>
      </c>
      <c r="M515" s="470" t="s">
        <v>1330</v>
      </c>
      <c r="N515" s="470" t="s">
        <v>756</v>
      </c>
      <c r="O515" s="472" t="s">
        <v>757</v>
      </c>
      <c r="P515" s="472" t="s">
        <v>738</v>
      </c>
      <c r="Q515" s="472" t="s">
        <v>758</v>
      </c>
      <c r="R515" s="472" t="s">
        <v>12</v>
      </c>
      <c r="S515" s="472" t="s">
        <v>12</v>
      </c>
      <c r="T515" s="472" t="s">
        <v>1213</v>
      </c>
      <c r="U515" s="470" t="s">
        <v>1214</v>
      </c>
      <c r="V515" s="470" t="s">
        <v>761</v>
      </c>
      <c r="W515" s="470" t="s">
        <v>859</v>
      </c>
      <c r="X515" s="470">
        <v>31</v>
      </c>
      <c r="Y515" s="470">
        <v>0</v>
      </c>
      <c r="Z515" s="470">
        <v>3</v>
      </c>
      <c r="AA515" s="470">
        <v>28</v>
      </c>
      <c r="AB515" s="470">
        <v>28</v>
      </c>
      <c r="AC515" s="473">
        <v>59983</v>
      </c>
      <c r="AD515" s="473">
        <v>59983</v>
      </c>
      <c r="AE515" s="473">
        <v>24380</v>
      </c>
      <c r="AF515" s="473">
        <v>9752</v>
      </c>
      <c r="AG515" s="473">
        <v>1445</v>
      </c>
      <c r="AH515" s="473">
        <v>181</v>
      </c>
      <c r="AI515" s="473">
        <v>1129</v>
      </c>
      <c r="AJ515" s="473">
        <v>2031</v>
      </c>
      <c r="AK515" s="473">
        <v>4876</v>
      </c>
      <c r="AL515" s="473">
        <v>3657</v>
      </c>
      <c r="AM515" s="473">
        <v>244</v>
      </c>
      <c r="AN515" s="473">
        <v>853</v>
      </c>
      <c r="AO515" s="473">
        <v>488</v>
      </c>
      <c r="AP515" s="473">
        <v>122</v>
      </c>
      <c r="AQ515" s="473">
        <v>1800</v>
      </c>
      <c r="AR515" s="473">
        <v>3220</v>
      </c>
      <c r="AS515" s="473">
        <v>0</v>
      </c>
      <c r="AT515" s="473">
        <v>200</v>
      </c>
      <c r="AU515" s="473">
        <v>0</v>
      </c>
      <c r="AV515" s="473">
        <v>54378</v>
      </c>
      <c r="AW515" s="474">
        <v>54378</v>
      </c>
      <c r="AX515" s="473">
        <v>0</v>
      </c>
      <c r="AY515" s="473">
        <v>0</v>
      </c>
      <c r="AZ515" s="475">
        <v>0</v>
      </c>
      <c r="BA515" s="475">
        <v>200</v>
      </c>
      <c r="BB515" s="475">
        <v>1800</v>
      </c>
      <c r="BC515" s="475">
        <v>0</v>
      </c>
      <c r="BD515" s="475">
        <v>0</v>
      </c>
      <c r="BE515" s="475">
        <v>0</v>
      </c>
      <c r="BF515" s="475">
        <v>0</v>
      </c>
      <c r="BG515" s="475">
        <v>2000</v>
      </c>
      <c r="BH515" s="476">
        <v>52378</v>
      </c>
      <c r="BI515" s="467"/>
      <c r="BJ515" s="468"/>
    </row>
    <row r="516" spans="1:62">
      <c r="A516" s="469">
        <v>45839</v>
      </c>
      <c r="B516" s="469" t="s">
        <v>747</v>
      </c>
      <c r="C516" s="508" t="s">
        <v>748</v>
      </c>
      <c r="D516" s="470" t="s">
        <v>749</v>
      </c>
      <c r="E516" s="471">
        <v>247</v>
      </c>
      <c r="F516" s="470" t="s">
        <v>1215</v>
      </c>
      <c r="G516" s="470" t="s">
        <v>751</v>
      </c>
      <c r="H516" s="470" t="s">
        <v>12</v>
      </c>
      <c r="I516" s="470" t="s">
        <v>1216</v>
      </c>
      <c r="J516" s="472" t="s">
        <v>1217</v>
      </c>
      <c r="K516" s="470" t="s">
        <v>1218</v>
      </c>
      <c r="L516" s="470" t="s">
        <v>894</v>
      </c>
      <c r="M516" s="470" t="s">
        <v>1027</v>
      </c>
      <c r="N516" s="470" t="s">
        <v>756</v>
      </c>
      <c r="O516" s="472" t="s">
        <v>757</v>
      </c>
      <c r="P516" s="472" t="s">
        <v>738</v>
      </c>
      <c r="Q516" s="472" t="s">
        <v>758</v>
      </c>
      <c r="R516" s="472" t="s">
        <v>12</v>
      </c>
      <c r="S516" s="472" t="s">
        <v>12</v>
      </c>
      <c r="T516" s="472" t="s">
        <v>1219</v>
      </c>
      <c r="U516" s="470" t="s">
        <v>1220</v>
      </c>
      <c r="V516" s="470" t="s">
        <v>761</v>
      </c>
      <c r="W516" s="470" t="s">
        <v>960</v>
      </c>
      <c r="X516" s="470">
        <v>31</v>
      </c>
      <c r="Y516" s="470">
        <v>0</v>
      </c>
      <c r="Z516" s="470">
        <v>0</v>
      </c>
      <c r="AA516" s="470">
        <v>31</v>
      </c>
      <c r="AB516" s="470">
        <v>31</v>
      </c>
      <c r="AC516" s="473">
        <v>34308</v>
      </c>
      <c r="AD516" s="473">
        <v>34308</v>
      </c>
      <c r="AE516" s="473">
        <v>15439</v>
      </c>
      <c r="AF516" s="473">
        <v>6176</v>
      </c>
      <c r="AG516" s="473">
        <v>1600</v>
      </c>
      <c r="AH516" s="473">
        <v>200</v>
      </c>
      <c r="AI516" s="473">
        <v>1250</v>
      </c>
      <c r="AJ516" s="473">
        <v>0</v>
      </c>
      <c r="AK516" s="473">
        <v>0</v>
      </c>
      <c r="AL516" s="473">
        <v>0</v>
      </c>
      <c r="AM516" s="473">
        <v>0</v>
      </c>
      <c r="AN516" s="473">
        <v>0</v>
      </c>
      <c r="AO516" s="473">
        <v>0</v>
      </c>
      <c r="AP516" s="473">
        <v>0</v>
      </c>
      <c r="AQ516" s="473">
        <v>1800</v>
      </c>
      <c r="AR516" s="473">
        <v>7843</v>
      </c>
      <c r="AS516" s="473">
        <v>0</v>
      </c>
      <c r="AT516" s="473">
        <v>0</v>
      </c>
      <c r="AU516" s="473">
        <v>4563</v>
      </c>
      <c r="AV516" s="473">
        <v>38871</v>
      </c>
      <c r="AW516" s="474">
        <v>34308</v>
      </c>
      <c r="AX516" s="473">
        <v>0</v>
      </c>
      <c r="AY516" s="473">
        <v>0</v>
      </c>
      <c r="AZ516" s="475">
        <v>0</v>
      </c>
      <c r="BA516" s="475">
        <v>200</v>
      </c>
      <c r="BB516" s="475">
        <v>1800</v>
      </c>
      <c r="BC516" s="475">
        <v>0</v>
      </c>
      <c r="BD516" s="475">
        <v>0</v>
      </c>
      <c r="BE516" s="475">
        <v>0</v>
      </c>
      <c r="BF516" s="475">
        <v>0</v>
      </c>
      <c r="BG516" s="475">
        <v>2000</v>
      </c>
      <c r="BH516" s="476">
        <v>36871</v>
      </c>
      <c r="BI516" s="467"/>
      <c r="BJ516" s="468"/>
    </row>
    <row r="517" spans="1:62">
      <c r="A517" s="469">
        <v>45839</v>
      </c>
      <c r="B517" s="469" t="s">
        <v>747</v>
      </c>
      <c r="C517" s="508" t="s">
        <v>748</v>
      </c>
      <c r="D517" s="470" t="s">
        <v>749</v>
      </c>
      <c r="E517" s="471">
        <v>1237</v>
      </c>
      <c r="F517" s="470" t="s">
        <v>1221</v>
      </c>
      <c r="G517" s="470" t="s">
        <v>751</v>
      </c>
      <c r="H517" s="470" t="s">
        <v>12</v>
      </c>
      <c r="I517" s="470" t="s">
        <v>1222</v>
      </c>
      <c r="J517" s="472" t="s">
        <v>1223</v>
      </c>
      <c r="K517" s="470" t="s">
        <v>1224</v>
      </c>
      <c r="L517" s="470" t="s">
        <v>800</v>
      </c>
      <c r="M517" s="470" t="s">
        <v>801</v>
      </c>
      <c r="N517" s="470" t="s">
        <v>756</v>
      </c>
      <c r="O517" s="472" t="s">
        <v>757</v>
      </c>
      <c r="P517" s="472" t="s">
        <v>738</v>
      </c>
      <c r="Q517" s="472" t="s">
        <v>758</v>
      </c>
      <c r="R517" s="472" t="s">
        <v>12</v>
      </c>
      <c r="S517" s="472" t="s">
        <v>12</v>
      </c>
      <c r="T517" s="472" t="s">
        <v>1225</v>
      </c>
      <c r="U517" s="470" t="s">
        <v>1226</v>
      </c>
      <c r="V517" s="470" t="s">
        <v>761</v>
      </c>
      <c r="W517" s="470" t="s">
        <v>762</v>
      </c>
      <c r="X517" s="470">
        <v>31</v>
      </c>
      <c r="Y517" s="470">
        <v>0</v>
      </c>
      <c r="Z517" s="470">
        <v>2.5</v>
      </c>
      <c r="AA517" s="470">
        <v>28.5</v>
      </c>
      <c r="AB517" s="470">
        <v>28.5</v>
      </c>
      <c r="AC517" s="473">
        <v>31644</v>
      </c>
      <c r="AD517" s="473">
        <v>31644</v>
      </c>
      <c r="AE517" s="473">
        <v>13091</v>
      </c>
      <c r="AF517" s="473">
        <v>5236</v>
      </c>
      <c r="AG517" s="473">
        <v>1471</v>
      </c>
      <c r="AH517" s="473">
        <v>184</v>
      </c>
      <c r="AI517" s="473">
        <v>1149</v>
      </c>
      <c r="AJ517" s="473">
        <v>0</v>
      </c>
      <c r="AK517" s="473">
        <v>0</v>
      </c>
      <c r="AL517" s="473">
        <v>0</v>
      </c>
      <c r="AM517" s="473">
        <v>0</v>
      </c>
      <c r="AN517" s="473">
        <v>0</v>
      </c>
      <c r="AO517" s="473">
        <v>0</v>
      </c>
      <c r="AP517" s="473">
        <v>0</v>
      </c>
      <c r="AQ517" s="473">
        <v>1571</v>
      </c>
      <c r="AR517" s="473">
        <v>6390</v>
      </c>
      <c r="AS517" s="473">
        <v>0</v>
      </c>
      <c r="AT517" s="473">
        <v>0</v>
      </c>
      <c r="AU517" s="473">
        <v>0</v>
      </c>
      <c r="AV517" s="473">
        <v>29092</v>
      </c>
      <c r="AW517" s="474">
        <v>29092</v>
      </c>
      <c r="AX517" s="473">
        <v>0</v>
      </c>
      <c r="AY517" s="473">
        <v>0</v>
      </c>
      <c r="AZ517" s="475">
        <v>0</v>
      </c>
      <c r="BA517" s="475">
        <v>200</v>
      </c>
      <c r="BB517" s="475">
        <v>1571</v>
      </c>
      <c r="BC517" s="475">
        <v>0</v>
      </c>
      <c r="BD517" s="475">
        <v>0</v>
      </c>
      <c r="BE517" s="475">
        <v>0</v>
      </c>
      <c r="BF517" s="475">
        <v>0</v>
      </c>
      <c r="BG517" s="475">
        <v>1771</v>
      </c>
      <c r="BH517" s="476">
        <v>27321</v>
      </c>
      <c r="BI517" s="467"/>
      <c r="BJ517" s="468"/>
    </row>
    <row r="518" spans="1:62">
      <c r="A518" s="469">
        <v>45839</v>
      </c>
      <c r="B518" s="469" t="s">
        <v>747</v>
      </c>
      <c r="C518" s="508" t="s">
        <v>748</v>
      </c>
      <c r="D518" s="470" t="s">
        <v>749</v>
      </c>
      <c r="E518" s="471">
        <v>1941</v>
      </c>
      <c r="F518" s="470" t="s">
        <v>1227</v>
      </c>
      <c r="G518" s="470" t="s">
        <v>751</v>
      </c>
      <c r="H518" s="470" t="s">
        <v>12</v>
      </c>
      <c r="I518" s="470" t="s">
        <v>1228</v>
      </c>
      <c r="J518" s="472" t="s">
        <v>1229</v>
      </c>
      <c r="K518" s="470" t="s">
        <v>1230</v>
      </c>
      <c r="L518" s="470" t="s">
        <v>1165</v>
      </c>
      <c r="M518" s="470" t="s">
        <v>1165</v>
      </c>
      <c r="N518" s="470" t="s">
        <v>756</v>
      </c>
      <c r="O518" s="472" t="s">
        <v>757</v>
      </c>
      <c r="P518" s="472" t="s">
        <v>738</v>
      </c>
      <c r="Q518" s="472" t="s">
        <v>758</v>
      </c>
      <c r="R518" s="472" t="s">
        <v>12</v>
      </c>
      <c r="S518" s="472" t="s">
        <v>12</v>
      </c>
      <c r="T518" s="472" t="s">
        <v>1231</v>
      </c>
      <c r="U518" s="470" t="s">
        <v>1232</v>
      </c>
      <c r="V518" s="470" t="s">
        <v>761</v>
      </c>
      <c r="W518" s="470" t="s">
        <v>907</v>
      </c>
      <c r="X518" s="470">
        <v>31</v>
      </c>
      <c r="Y518" s="470">
        <v>0</v>
      </c>
      <c r="Z518" s="470">
        <v>0</v>
      </c>
      <c r="AA518" s="470">
        <v>31</v>
      </c>
      <c r="AB518" s="470">
        <v>31</v>
      </c>
      <c r="AC518" s="473">
        <v>34033</v>
      </c>
      <c r="AD518" s="473">
        <v>34033</v>
      </c>
      <c r="AE518" s="473">
        <v>15315</v>
      </c>
      <c r="AF518" s="473">
        <v>6126</v>
      </c>
      <c r="AG518" s="473">
        <v>1600</v>
      </c>
      <c r="AH518" s="473">
        <v>200</v>
      </c>
      <c r="AI518" s="473">
        <v>1250</v>
      </c>
      <c r="AJ518" s="473">
        <v>0</v>
      </c>
      <c r="AK518" s="473">
        <v>0</v>
      </c>
      <c r="AL518" s="473">
        <v>0</v>
      </c>
      <c r="AM518" s="473">
        <v>0</v>
      </c>
      <c r="AN518" s="473">
        <v>0</v>
      </c>
      <c r="AO518" s="473">
        <v>0</v>
      </c>
      <c r="AP518" s="473">
        <v>0</v>
      </c>
      <c r="AQ518" s="473">
        <v>1800</v>
      </c>
      <c r="AR518" s="473">
        <v>7742</v>
      </c>
      <c r="AS518" s="473">
        <v>0</v>
      </c>
      <c r="AT518" s="473">
        <v>0</v>
      </c>
      <c r="AU518" s="473">
        <v>880</v>
      </c>
      <c r="AV518" s="473">
        <v>34913</v>
      </c>
      <c r="AW518" s="474">
        <v>34033</v>
      </c>
      <c r="AX518" s="473">
        <v>0</v>
      </c>
      <c r="AY518" s="473">
        <v>0</v>
      </c>
      <c r="AZ518" s="475">
        <v>0</v>
      </c>
      <c r="BA518" s="475">
        <v>200</v>
      </c>
      <c r="BB518" s="475">
        <v>1800</v>
      </c>
      <c r="BC518" s="475">
        <v>0</v>
      </c>
      <c r="BD518" s="475">
        <v>0</v>
      </c>
      <c r="BE518" s="475">
        <v>0</v>
      </c>
      <c r="BF518" s="475">
        <v>0</v>
      </c>
      <c r="BG518" s="475">
        <v>2000</v>
      </c>
      <c r="BH518" s="476">
        <v>32913</v>
      </c>
      <c r="BI518" s="467"/>
      <c r="BJ518" s="468"/>
    </row>
    <row r="519" spans="1:62">
      <c r="A519" s="469">
        <v>45839</v>
      </c>
      <c r="B519" s="469" t="s">
        <v>747</v>
      </c>
      <c r="C519" s="508" t="s">
        <v>748</v>
      </c>
      <c r="D519" s="470" t="s">
        <v>749</v>
      </c>
      <c r="E519" s="471">
        <v>1950</v>
      </c>
      <c r="F519" s="470" t="s">
        <v>1233</v>
      </c>
      <c r="G519" s="470" t="s">
        <v>751</v>
      </c>
      <c r="H519" s="470" t="s">
        <v>12</v>
      </c>
      <c r="I519" s="470" t="s">
        <v>1234</v>
      </c>
      <c r="J519" s="472" t="s">
        <v>1235</v>
      </c>
      <c r="K519" s="470" t="s">
        <v>1236</v>
      </c>
      <c r="L519" s="470" t="s">
        <v>800</v>
      </c>
      <c r="M519" s="470" t="s">
        <v>800</v>
      </c>
      <c r="N519" s="470" t="s">
        <v>756</v>
      </c>
      <c r="O519" s="472" t="s">
        <v>1043</v>
      </c>
      <c r="P519" s="472" t="s">
        <v>738</v>
      </c>
      <c r="Q519" s="472" t="s">
        <v>758</v>
      </c>
      <c r="R519" s="472" t="s">
        <v>12</v>
      </c>
      <c r="S519" s="472" t="s">
        <v>12</v>
      </c>
      <c r="T519" s="472" t="s">
        <v>1237</v>
      </c>
      <c r="U519" s="470" t="s">
        <v>1238</v>
      </c>
      <c r="V519" s="470" t="s">
        <v>836</v>
      </c>
      <c r="W519" s="470" t="s">
        <v>1239</v>
      </c>
      <c r="X519" s="470">
        <v>31</v>
      </c>
      <c r="Y519" s="470">
        <v>0</v>
      </c>
      <c r="Z519" s="470">
        <v>0</v>
      </c>
      <c r="AA519" s="470">
        <v>31</v>
      </c>
      <c r="AB519" s="470">
        <v>31</v>
      </c>
      <c r="AC519" s="473">
        <v>35283</v>
      </c>
      <c r="AD519" s="473">
        <v>35283</v>
      </c>
      <c r="AE519" s="473">
        <v>15877</v>
      </c>
      <c r="AF519" s="473">
        <v>6351</v>
      </c>
      <c r="AG519" s="473">
        <v>1600</v>
      </c>
      <c r="AH519" s="473">
        <v>200</v>
      </c>
      <c r="AI519" s="473">
        <v>1250</v>
      </c>
      <c r="AJ519" s="473">
        <v>0</v>
      </c>
      <c r="AK519" s="473">
        <v>0</v>
      </c>
      <c r="AL519" s="473">
        <v>0</v>
      </c>
      <c r="AM519" s="473">
        <v>0</v>
      </c>
      <c r="AN519" s="473">
        <v>0</v>
      </c>
      <c r="AO519" s="473">
        <v>0</v>
      </c>
      <c r="AP519" s="473">
        <v>0</v>
      </c>
      <c r="AQ519" s="473">
        <v>1800</v>
      </c>
      <c r="AR519" s="473">
        <v>8205</v>
      </c>
      <c r="AS519" s="473">
        <v>0</v>
      </c>
      <c r="AT519" s="473">
        <v>0</v>
      </c>
      <c r="AU519" s="473">
        <v>0</v>
      </c>
      <c r="AV519" s="473">
        <v>35283</v>
      </c>
      <c r="AW519" s="474">
        <v>35283</v>
      </c>
      <c r="AX519" s="473">
        <v>0</v>
      </c>
      <c r="AY519" s="473">
        <v>0</v>
      </c>
      <c r="AZ519" s="475">
        <v>0</v>
      </c>
      <c r="BA519" s="475">
        <v>200</v>
      </c>
      <c r="BB519" s="475">
        <v>1800</v>
      </c>
      <c r="BC519" s="475">
        <v>0</v>
      </c>
      <c r="BD519" s="475">
        <v>0</v>
      </c>
      <c r="BE519" s="475">
        <v>0</v>
      </c>
      <c r="BF519" s="475">
        <v>0</v>
      </c>
      <c r="BG519" s="475">
        <v>2000</v>
      </c>
      <c r="BH519" s="476">
        <v>33283</v>
      </c>
      <c r="BI519" s="467"/>
      <c r="BJ519" s="468"/>
    </row>
    <row r="520" spans="1:62">
      <c r="A520" s="469">
        <v>45839</v>
      </c>
      <c r="B520" s="469" t="s">
        <v>747</v>
      </c>
      <c r="C520" s="508" t="s">
        <v>748</v>
      </c>
      <c r="D520" s="470" t="s">
        <v>749</v>
      </c>
      <c r="E520" s="471">
        <v>1370</v>
      </c>
      <c r="F520" s="470" t="s">
        <v>1240</v>
      </c>
      <c r="G520" s="470" t="s">
        <v>751</v>
      </c>
      <c r="H520" s="470" t="s">
        <v>12</v>
      </c>
      <c r="I520" s="470" t="s">
        <v>1241</v>
      </c>
      <c r="J520" s="472" t="s">
        <v>1242</v>
      </c>
      <c r="K520" s="470" t="s">
        <v>1243</v>
      </c>
      <c r="L520" s="470" t="s">
        <v>979</v>
      </c>
      <c r="M520" s="470" t="s">
        <v>1244</v>
      </c>
      <c r="N520" s="470" t="s">
        <v>833</v>
      </c>
      <c r="O520" s="472" t="s">
        <v>757</v>
      </c>
      <c r="P520" s="472" t="s">
        <v>738</v>
      </c>
      <c r="Q520" s="472" t="s">
        <v>758</v>
      </c>
      <c r="R520" s="472" t="s">
        <v>12</v>
      </c>
      <c r="S520" s="472" t="s">
        <v>12</v>
      </c>
      <c r="T520" s="472" t="s">
        <v>1245</v>
      </c>
      <c r="U520" s="470" t="s">
        <v>1246</v>
      </c>
      <c r="V520" s="470" t="s">
        <v>761</v>
      </c>
      <c r="W520" s="470" t="s">
        <v>762</v>
      </c>
      <c r="X520" s="470">
        <v>31</v>
      </c>
      <c r="Y520" s="470">
        <v>0</v>
      </c>
      <c r="Z520" s="470">
        <v>0</v>
      </c>
      <c r="AA520" s="470">
        <v>31</v>
      </c>
      <c r="AB520" s="470">
        <v>31</v>
      </c>
      <c r="AC520" s="473">
        <v>33000</v>
      </c>
      <c r="AD520" s="473">
        <v>33000</v>
      </c>
      <c r="AE520" s="473">
        <v>14850</v>
      </c>
      <c r="AF520" s="473">
        <v>5940</v>
      </c>
      <c r="AG520" s="473">
        <v>1600</v>
      </c>
      <c r="AH520" s="473">
        <v>200</v>
      </c>
      <c r="AI520" s="473">
        <v>1250</v>
      </c>
      <c r="AJ520" s="473">
        <v>0</v>
      </c>
      <c r="AK520" s="473">
        <v>0</v>
      </c>
      <c r="AL520" s="473">
        <v>0</v>
      </c>
      <c r="AM520" s="473">
        <v>0</v>
      </c>
      <c r="AN520" s="473">
        <v>0</v>
      </c>
      <c r="AO520" s="473">
        <v>0</v>
      </c>
      <c r="AP520" s="473">
        <v>0</v>
      </c>
      <c r="AQ520" s="473">
        <v>1782</v>
      </c>
      <c r="AR520" s="473">
        <v>7378</v>
      </c>
      <c r="AS520" s="473">
        <v>0</v>
      </c>
      <c r="AT520" s="473">
        <v>484</v>
      </c>
      <c r="AU520" s="473">
        <v>0</v>
      </c>
      <c r="AV520" s="473">
        <v>33484</v>
      </c>
      <c r="AW520" s="474">
        <v>33484</v>
      </c>
      <c r="AX520" s="473">
        <v>0</v>
      </c>
      <c r="AY520" s="473">
        <v>0</v>
      </c>
      <c r="AZ520" s="475">
        <v>0</v>
      </c>
      <c r="BA520" s="475">
        <v>200</v>
      </c>
      <c r="BB520" s="475">
        <v>1782</v>
      </c>
      <c r="BC520" s="475">
        <v>0</v>
      </c>
      <c r="BD520" s="475">
        <v>0</v>
      </c>
      <c r="BE520" s="475">
        <v>0</v>
      </c>
      <c r="BF520" s="475">
        <v>0</v>
      </c>
      <c r="BG520" s="475">
        <v>1982</v>
      </c>
      <c r="BH520" s="476">
        <v>31502</v>
      </c>
      <c r="BI520" s="467"/>
      <c r="BJ520" s="468"/>
    </row>
    <row r="521" spans="1:62">
      <c r="A521" s="469">
        <v>45839</v>
      </c>
      <c r="B521" s="469" t="s">
        <v>747</v>
      </c>
      <c r="C521" s="508" t="s">
        <v>748</v>
      </c>
      <c r="D521" s="470" t="s">
        <v>749</v>
      </c>
      <c r="E521" s="471">
        <v>2049</v>
      </c>
      <c r="F521" s="470" t="s">
        <v>1247</v>
      </c>
      <c r="G521" s="470" t="s">
        <v>751</v>
      </c>
      <c r="H521" s="470" t="s">
        <v>12</v>
      </c>
      <c r="I521" s="470" t="s">
        <v>1248</v>
      </c>
      <c r="J521" s="472" t="s">
        <v>1249</v>
      </c>
      <c r="K521" s="470" t="s">
        <v>1250</v>
      </c>
      <c r="L521" s="470" t="s">
        <v>824</v>
      </c>
      <c r="M521" s="470" t="s">
        <v>824</v>
      </c>
      <c r="N521" s="470" t="s">
        <v>756</v>
      </c>
      <c r="O521" s="472" t="s">
        <v>757</v>
      </c>
      <c r="P521" s="472" t="s">
        <v>738</v>
      </c>
      <c r="Q521" s="472" t="s">
        <v>758</v>
      </c>
      <c r="R521" s="472" t="s">
        <v>12</v>
      </c>
      <c r="S521" s="472" t="s">
        <v>12</v>
      </c>
      <c r="T521" s="472" t="s">
        <v>1251</v>
      </c>
      <c r="U521" s="470" t="s">
        <v>1252</v>
      </c>
      <c r="V521" s="470" t="s">
        <v>761</v>
      </c>
      <c r="W521" s="470" t="s">
        <v>859</v>
      </c>
      <c r="X521" s="470">
        <v>31</v>
      </c>
      <c r="Y521" s="470">
        <v>0</v>
      </c>
      <c r="Z521" s="470">
        <v>2</v>
      </c>
      <c r="AA521" s="470">
        <v>29</v>
      </c>
      <c r="AB521" s="470">
        <v>29</v>
      </c>
      <c r="AC521" s="473">
        <v>27713</v>
      </c>
      <c r="AD521" s="473">
        <v>27713</v>
      </c>
      <c r="AE521" s="473">
        <v>11666</v>
      </c>
      <c r="AF521" s="473">
        <v>4666</v>
      </c>
      <c r="AG521" s="473">
        <v>1497</v>
      </c>
      <c r="AH521" s="473">
        <v>187</v>
      </c>
      <c r="AI521" s="473">
        <v>1169</v>
      </c>
      <c r="AJ521" s="473">
        <v>0</v>
      </c>
      <c r="AK521" s="473">
        <v>0</v>
      </c>
      <c r="AL521" s="473">
        <v>0</v>
      </c>
      <c r="AM521" s="473">
        <v>0</v>
      </c>
      <c r="AN521" s="473">
        <v>0</v>
      </c>
      <c r="AO521" s="473">
        <v>0</v>
      </c>
      <c r="AP521" s="473">
        <v>0</v>
      </c>
      <c r="AQ521" s="473">
        <v>1400</v>
      </c>
      <c r="AR521" s="473">
        <v>5340</v>
      </c>
      <c r="AS521" s="473">
        <v>0</v>
      </c>
      <c r="AT521" s="473">
        <v>0</v>
      </c>
      <c r="AU521" s="473">
        <v>1100</v>
      </c>
      <c r="AV521" s="473">
        <v>27025</v>
      </c>
      <c r="AW521" s="474">
        <v>25925</v>
      </c>
      <c r="AX521" s="473">
        <v>0</v>
      </c>
      <c r="AY521" s="473">
        <v>0</v>
      </c>
      <c r="AZ521" s="475">
        <v>0</v>
      </c>
      <c r="BA521" s="475">
        <v>200</v>
      </c>
      <c r="BB521" s="475">
        <v>1400</v>
      </c>
      <c r="BC521" s="475">
        <v>0</v>
      </c>
      <c r="BD521" s="475">
        <v>0</v>
      </c>
      <c r="BE521" s="475">
        <v>0</v>
      </c>
      <c r="BF521" s="475">
        <v>0</v>
      </c>
      <c r="BG521" s="475">
        <v>1600</v>
      </c>
      <c r="BH521" s="476">
        <v>25425</v>
      </c>
      <c r="BI521" s="467"/>
      <c r="BJ521" s="468"/>
    </row>
    <row r="522" spans="1:62">
      <c r="A522" s="469">
        <v>45839</v>
      </c>
      <c r="B522" s="469" t="s">
        <v>747</v>
      </c>
      <c r="C522" s="508" t="s">
        <v>748</v>
      </c>
      <c r="D522" s="470" t="s">
        <v>749</v>
      </c>
      <c r="E522" s="471">
        <v>1121</v>
      </c>
      <c r="F522" s="470" t="s">
        <v>1253</v>
      </c>
      <c r="G522" s="470" t="s">
        <v>751</v>
      </c>
      <c r="H522" s="470" t="s">
        <v>12</v>
      </c>
      <c r="I522" s="470" t="s">
        <v>1254</v>
      </c>
      <c r="J522" s="472" t="s">
        <v>1255</v>
      </c>
      <c r="K522" s="470" t="s">
        <v>1256</v>
      </c>
      <c r="L522" s="470" t="s">
        <v>918</v>
      </c>
      <c r="M522" s="470" t="s">
        <v>1006</v>
      </c>
      <c r="N522" s="470" t="s">
        <v>777</v>
      </c>
      <c r="O522" s="472" t="s">
        <v>757</v>
      </c>
      <c r="P522" s="472" t="s">
        <v>738</v>
      </c>
      <c r="Q522" s="472" t="s">
        <v>758</v>
      </c>
      <c r="R522" s="472" t="s">
        <v>12</v>
      </c>
      <c r="S522" s="472" t="s">
        <v>12</v>
      </c>
      <c r="T522" s="472" t="s">
        <v>1257</v>
      </c>
      <c r="U522" s="470" t="s">
        <v>1258</v>
      </c>
      <c r="V522" s="470" t="s">
        <v>761</v>
      </c>
      <c r="W522" s="470" t="s">
        <v>1259</v>
      </c>
      <c r="X522" s="470">
        <v>31</v>
      </c>
      <c r="Y522" s="470">
        <v>0</v>
      </c>
      <c r="Z522" s="470">
        <v>0</v>
      </c>
      <c r="AA522" s="470">
        <v>31</v>
      </c>
      <c r="AB522" s="470">
        <v>31</v>
      </c>
      <c r="AC522" s="473">
        <v>206500</v>
      </c>
      <c r="AD522" s="473">
        <v>206500</v>
      </c>
      <c r="AE522" s="473">
        <v>92925</v>
      </c>
      <c r="AF522" s="473">
        <v>37170</v>
      </c>
      <c r="AG522" s="473">
        <v>1600</v>
      </c>
      <c r="AH522" s="473">
        <v>200</v>
      </c>
      <c r="AI522" s="473">
        <v>1250</v>
      </c>
      <c r="AJ522" s="473">
        <v>7741</v>
      </c>
      <c r="AK522" s="473">
        <v>18585</v>
      </c>
      <c r="AL522" s="473">
        <v>13939</v>
      </c>
      <c r="AM522" s="473">
        <v>929</v>
      </c>
      <c r="AN522" s="473">
        <v>3252</v>
      </c>
      <c r="AO522" s="473">
        <v>1859</v>
      </c>
      <c r="AP522" s="473">
        <v>465</v>
      </c>
      <c r="AQ522" s="473">
        <v>1800</v>
      </c>
      <c r="AR522" s="473">
        <v>24785</v>
      </c>
      <c r="AS522" s="473">
        <v>0</v>
      </c>
      <c r="AT522" s="473">
        <v>0</v>
      </c>
      <c r="AU522" s="473">
        <v>16376</v>
      </c>
      <c r="AV522" s="473">
        <v>222876</v>
      </c>
      <c r="AW522" s="474">
        <v>206500</v>
      </c>
      <c r="AX522" s="473">
        <v>0</v>
      </c>
      <c r="AY522" s="473">
        <v>0</v>
      </c>
      <c r="AZ522" s="475">
        <v>36961</v>
      </c>
      <c r="BA522" s="475">
        <v>200</v>
      </c>
      <c r="BB522" s="475">
        <v>1800</v>
      </c>
      <c r="BC522" s="475">
        <v>0</v>
      </c>
      <c r="BD522" s="475">
        <v>0</v>
      </c>
      <c r="BE522" s="475">
        <v>0</v>
      </c>
      <c r="BF522" s="475">
        <v>0</v>
      </c>
      <c r="BG522" s="475">
        <v>38961</v>
      </c>
      <c r="BH522" s="476">
        <v>183915</v>
      </c>
      <c r="BI522" s="467"/>
      <c r="BJ522" s="468"/>
    </row>
    <row r="523" spans="1:62">
      <c r="A523" s="469">
        <v>45839</v>
      </c>
      <c r="B523" s="469" t="s">
        <v>747</v>
      </c>
      <c r="C523" s="508" t="s">
        <v>748</v>
      </c>
      <c r="D523" s="470" t="s">
        <v>749</v>
      </c>
      <c r="E523" s="471">
        <v>1496</v>
      </c>
      <c r="F523" s="470" t="s">
        <v>1260</v>
      </c>
      <c r="G523" s="470" t="s">
        <v>751</v>
      </c>
      <c r="H523" s="470" t="s">
        <v>12</v>
      </c>
      <c r="I523" s="470" t="s">
        <v>1261</v>
      </c>
      <c r="J523" s="472" t="s">
        <v>1262</v>
      </c>
      <c r="K523" s="470" t="s">
        <v>1263</v>
      </c>
      <c r="L523" s="470" t="s">
        <v>856</v>
      </c>
      <c r="M523" s="470" t="s">
        <v>856</v>
      </c>
      <c r="N523" s="470" t="s">
        <v>756</v>
      </c>
      <c r="O523" s="472" t="s">
        <v>757</v>
      </c>
      <c r="P523" s="472" t="s">
        <v>738</v>
      </c>
      <c r="Q523" s="472" t="s">
        <v>758</v>
      </c>
      <c r="R523" s="472" t="s">
        <v>12</v>
      </c>
      <c r="S523" s="472" t="s">
        <v>12</v>
      </c>
      <c r="T523" s="472" t="s">
        <v>1264</v>
      </c>
      <c r="U523" s="470" t="s">
        <v>1265</v>
      </c>
      <c r="V523" s="470" t="s">
        <v>761</v>
      </c>
      <c r="W523" s="470" t="s">
        <v>876</v>
      </c>
      <c r="X523" s="470">
        <v>31</v>
      </c>
      <c r="Y523" s="470">
        <v>0</v>
      </c>
      <c r="Z523" s="470">
        <v>0</v>
      </c>
      <c r="AA523" s="470">
        <v>31</v>
      </c>
      <c r="AB523" s="470">
        <v>31</v>
      </c>
      <c r="AC523" s="473">
        <v>55383</v>
      </c>
      <c r="AD523" s="473">
        <v>55383</v>
      </c>
      <c r="AE523" s="473">
        <v>24922</v>
      </c>
      <c r="AF523" s="473">
        <v>9969</v>
      </c>
      <c r="AG523" s="473">
        <v>1600</v>
      </c>
      <c r="AH523" s="473">
        <v>200</v>
      </c>
      <c r="AI523" s="473">
        <v>1250</v>
      </c>
      <c r="AJ523" s="473">
        <v>2076</v>
      </c>
      <c r="AK523" s="473">
        <v>4984</v>
      </c>
      <c r="AL523" s="473">
        <v>3738</v>
      </c>
      <c r="AM523" s="473">
        <v>249</v>
      </c>
      <c r="AN523" s="473">
        <v>872</v>
      </c>
      <c r="AO523" s="473">
        <v>498</v>
      </c>
      <c r="AP523" s="473">
        <v>125</v>
      </c>
      <c r="AQ523" s="473">
        <v>1800</v>
      </c>
      <c r="AR523" s="473">
        <v>3100</v>
      </c>
      <c r="AS523" s="473">
        <v>0</v>
      </c>
      <c r="AT523" s="473">
        <v>200</v>
      </c>
      <c r="AU523" s="473">
        <v>0</v>
      </c>
      <c r="AV523" s="473">
        <v>55583</v>
      </c>
      <c r="AW523" s="474">
        <v>55583</v>
      </c>
      <c r="AX523" s="473">
        <v>0</v>
      </c>
      <c r="AY523" s="473">
        <v>0</v>
      </c>
      <c r="AZ523" s="475">
        <v>0</v>
      </c>
      <c r="BA523" s="475">
        <v>200</v>
      </c>
      <c r="BB523" s="475">
        <v>1800</v>
      </c>
      <c r="BC523" s="475">
        <v>0</v>
      </c>
      <c r="BD523" s="475">
        <v>0</v>
      </c>
      <c r="BE523" s="475">
        <v>0</v>
      </c>
      <c r="BF523" s="475">
        <v>0</v>
      </c>
      <c r="BG523" s="475">
        <v>2000</v>
      </c>
      <c r="BH523" s="476">
        <v>53583</v>
      </c>
      <c r="BI523" s="467"/>
      <c r="BJ523" s="468"/>
    </row>
    <row r="524" spans="1:62">
      <c r="A524" s="469">
        <v>45901</v>
      </c>
      <c r="B524" s="469" t="s">
        <v>747</v>
      </c>
      <c r="C524" s="508" t="s">
        <v>748</v>
      </c>
      <c r="D524" s="470" t="s">
        <v>749</v>
      </c>
      <c r="E524" s="471">
        <v>1488</v>
      </c>
      <c r="F524" s="470" t="s">
        <v>750</v>
      </c>
      <c r="G524" s="470" t="s">
        <v>751</v>
      </c>
      <c r="H524" s="470" t="s">
        <v>12</v>
      </c>
      <c r="I524" s="470" t="s">
        <v>752</v>
      </c>
      <c r="J524" s="472" t="s">
        <v>753</v>
      </c>
      <c r="K524" s="470" t="s">
        <v>754</v>
      </c>
      <c r="L524" s="470" t="s">
        <v>755</v>
      </c>
      <c r="M524" s="470" t="s">
        <v>755</v>
      </c>
      <c r="N524" s="470" t="s">
        <v>756</v>
      </c>
      <c r="O524" s="472" t="s">
        <v>757</v>
      </c>
      <c r="P524" s="472" t="s">
        <v>738</v>
      </c>
      <c r="Q524" s="472" t="s">
        <v>758</v>
      </c>
      <c r="R524" s="472" t="s">
        <v>12</v>
      </c>
      <c r="S524" s="472" t="s">
        <v>12</v>
      </c>
      <c r="T524" s="472" t="s">
        <v>759</v>
      </c>
      <c r="U524" s="470" t="s">
        <v>760</v>
      </c>
      <c r="V524" s="470" t="s">
        <v>761</v>
      </c>
      <c r="W524" s="470" t="s">
        <v>762</v>
      </c>
      <c r="X524" s="470">
        <v>30</v>
      </c>
      <c r="Y524" s="470">
        <v>0</v>
      </c>
      <c r="Z524" s="470">
        <v>1</v>
      </c>
      <c r="AA524" s="470">
        <v>29</v>
      </c>
      <c r="AB524" s="470">
        <v>29</v>
      </c>
      <c r="AC524" s="473">
        <v>42989</v>
      </c>
      <c r="AD524" s="473">
        <v>42989</v>
      </c>
      <c r="AE524" s="473">
        <v>18700</v>
      </c>
      <c r="AF524" s="473">
        <v>7480</v>
      </c>
      <c r="AG524" s="473">
        <v>1547</v>
      </c>
      <c r="AH524" s="473">
        <v>193</v>
      </c>
      <c r="AI524" s="473">
        <v>1208</v>
      </c>
      <c r="AJ524" s="473">
        <v>1558</v>
      </c>
      <c r="AK524" s="473">
        <v>3740</v>
      </c>
      <c r="AL524" s="473">
        <v>2805</v>
      </c>
      <c r="AM524" s="473">
        <v>187</v>
      </c>
      <c r="AN524" s="473">
        <v>655</v>
      </c>
      <c r="AO524" s="473">
        <v>374</v>
      </c>
      <c r="AP524" s="473">
        <v>94</v>
      </c>
      <c r="AQ524" s="473">
        <v>1800</v>
      </c>
      <c r="AR524" s="473">
        <v>1215</v>
      </c>
      <c r="AS524" s="473">
        <v>0</v>
      </c>
      <c r="AT524" s="473">
        <v>2200</v>
      </c>
      <c r="AU524" s="473">
        <v>0</v>
      </c>
      <c r="AV524" s="473">
        <v>43756</v>
      </c>
      <c r="AW524" s="474">
        <v>43756</v>
      </c>
      <c r="AX524" s="473">
        <v>0</v>
      </c>
      <c r="AY524" s="473">
        <v>0</v>
      </c>
      <c r="AZ524" s="475">
        <v>0</v>
      </c>
      <c r="BA524" s="475">
        <v>200</v>
      </c>
      <c r="BB524" s="475">
        <v>1800</v>
      </c>
      <c r="BC524" s="475">
        <v>0</v>
      </c>
      <c r="BD524" s="475">
        <v>0</v>
      </c>
      <c r="BE524" s="475">
        <v>0</v>
      </c>
      <c r="BF524" s="475">
        <v>0</v>
      </c>
      <c r="BG524" s="475">
        <v>2000</v>
      </c>
      <c r="BH524" s="476">
        <v>41756</v>
      </c>
      <c r="BI524" s="467"/>
      <c r="BJ524" s="468"/>
    </row>
    <row r="525" spans="1:62">
      <c r="A525" s="469">
        <v>45901</v>
      </c>
      <c r="B525" s="469" t="s">
        <v>747</v>
      </c>
      <c r="C525" s="508" t="s">
        <v>748</v>
      </c>
      <c r="D525" s="470" t="s">
        <v>749</v>
      </c>
      <c r="E525" s="471">
        <v>241</v>
      </c>
      <c r="F525" s="470" t="s">
        <v>763</v>
      </c>
      <c r="G525" s="470" t="s">
        <v>751</v>
      </c>
      <c r="H525" s="470" t="s">
        <v>12</v>
      </c>
      <c r="I525" s="470" t="s">
        <v>764</v>
      </c>
      <c r="J525" s="472" t="s">
        <v>765</v>
      </c>
      <c r="K525" s="470" t="s">
        <v>766</v>
      </c>
      <c r="L525" s="470" t="s">
        <v>767</v>
      </c>
      <c r="M525" s="470" t="s">
        <v>1266</v>
      </c>
      <c r="N525" s="470" t="s">
        <v>756</v>
      </c>
      <c r="O525" s="472" t="s">
        <v>792</v>
      </c>
      <c r="P525" s="472" t="s">
        <v>738</v>
      </c>
      <c r="Q525" s="472" t="s">
        <v>758</v>
      </c>
      <c r="R525" s="472" t="s">
        <v>12</v>
      </c>
      <c r="S525" s="472" t="s">
        <v>12</v>
      </c>
      <c r="T525" s="472" t="s">
        <v>769</v>
      </c>
      <c r="U525" s="470" t="s">
        <v>770</v>
      </c>
      <c r="V525" s="470" t="s">
        <v>761</v>
      </c>
      <c r="W525" s="470" t="s">
        <v>771</v>
      </c>
      <c r="X525" s="470">
        <v>30</v>
      </c>
      <c r="Y525" s="470">
        <v>0</v>
      </c>
      <c r="Z525" s="470">
        <v>2.5</v>
      </c>
      <c r="AA525" s="470">
        <v>27.5</v>
      </c>
      <c r="AB525" s="470">
        <v>27.5</v>
      </c>
      <c r="AC525" s="473">
        <v>66833</v>
      </c>
      <c r="AD525" s="473">
        <v>66833</v>
      </c>
      <c r="AE525" s="473">
        <v>27569</v>
      </c>
      <c r="AF525" s="473">
        <v>11028</v>
      </c>
      <c r="AG525" s="473">
        <v>1467</v>
      </c>
      <c r="AH525" s="473">
        <v>183</v>
      </c>
      <c r="AI525" s="473">
        <v>1146</v>
      </c>
      <c r="AJ525" s="473">
        <v>2297</v>
      </c>
      <c r="AK525" s="473">
        <v>5514</v>
      </c>
      <c r="AL525" s="473">
        <v>4135</v>
      </c>
      <c r="AM525" s="473">
        <v>276</v>
      </c>
      <c r="AN525" s="473">
        <v>965</v>
      </c>
      <c r="AO525" s="473">
        <v>551</v>
      </c>
      <c r="AP525" s="473">
        <v>138</v>
      </c>
      <c r="AQ525" s="473">
        <v>1800</v>
      </c>
      <c r="AR525" s="473">
        <v>4195</v>
      </c>
      <c r="AS525" s="473">
        <v>0</v>
      </c>
      <c r="AT525" s="473">
        <v>0</v>
      </c>
      <c r="AU525" s="473">
        <v>0</v>
      </c>
      <c r="AV525" s="473">
        <v>61264</v>
      </c>
      <c r="AW525" s="474">
        <v>61264</v>
      </c>
      <c r="AX525" s="473">
        <v>0</v>
      </c>
      <c r="AY525" s="473">
        <v>0</v>
      </c>
      <c r="AZ525" s="475">
        <v>0</v>
      </c>
      <c r="BA525" s="475">
        <v>200</v>
      </c>
      <c r="BB525" s="475">
        <v>1800</v>
      </c>
      <c r="BC525" s="475">
        <v>0</v>
      </c>
      <c r="BD525" s="475">
        <v>0</v>
      </c>
      <c r="BE525" s="475">
        <v>0</v>
      </c>
      <c r="BF525" s="475">
        <v>0</v>
      </c>
      <c r="BG525" s="475">
        <v>2000</v>
      </c>
      <c r="BH525" s="476">
        <v>59264</v>
      </c>
      <c r="BI525" s="467"/>
      <c r="BJ525" s="468"/>
    </row>
    <row r="526" spans="1:62">
      <c r="A526" s="469">
        <v>45901</v>
      </c>
      <c r="B526" s="469" t="s">
        <v>747</v>
      </c>
      <c r="C526" s="508" t="s">
        <v>748</v>
      </c>
      <c r="D526" s="470" t="s">
        <v>749</v>
      </c>
      <c r="E526" s="471">
        <v>2163</v>
      </c>
      <c r="F526" s="470" t="s">
        <v>1267</v>
      </c>
      <c r="G526" s="470" t="s">
        <v>751</v>
      </c>
      <c r="H526" s="470" t="s">
        <v>12</v>
      </c>
      <c r="I526" s="470" t="s">
        <v>1268</v>
      </c>
      <c r="J526" s="472" t="s">
        <v>1269</v>
      </c>
      <c r="K526" s="470" t="s">
        <v>1270</v>
      </c>
      <c r="L526" s="470" t="s">
        <v>1271</v>
      </c>
      <c r="M526" s="470" t="s">
        <v>942</v>
      </c>
      <c r="N526" s="470" t="s">
        <v>756</v>
      </c>
      <c r="O526" s="472" t="s">
        <v>1272</v>
      </c>
      <c r="P526" s="472" t="s">
        <v>738</v>
      </c>
      <c r="Q526" s="472" t="s">
        <v>758</v>
      </c>
      <c r="R526" s="472" t="s">
        <v>12</v>
      </c>
      <c r="S526" s="472" t="s">
        <v>12</v>
      </c>
      <c r="T526" s="472" t="s">
        <v>1273</v>
      </c>
      <c r="U526" s="470" t="s">
        <v>1274</v>
      </c>
      <c r="V526" s="470" t="s">
        <v>761</v>
      </c>
      <c r="W526" s="470" t="s">
        <v>1111</v>
      </c>
      <c r="X526" s="470">
        <v>30</v>
      </c>
      <c r="Y526" s="470">
        <v>0</v>
      </c>
      <c r="Z526" s="470">
        <v>1</v>
      </c>
      <c r="AA526" s="470">
        <v>29</v>
      </c>
      <c r="AB526" s="470">
        <v>29</v>
      </c>
      <c r="AC526" s="473">
        <v>235700</v>
      </c>
      <c r="AD526" s="473">
        <v>235700</v>
      </c>
      <c r="AE526" s="473">
        <v>102529</v>
      </c>
      <c r="AF526" s="473">
        <v>41012</v>
      </c>
      <c r="AG526" s="473">
        <v>1547</v>
      </c>
      <c r="AH526" s="473">
        <v>193</v>
      </c>
      <c r="AI526" s="473">
        <v>1208</v>
      </c>
      <c r="AJ526" s="473">
        <v>8541</v>
      </c>
      <c r="AK526" s="473">
        <v>20506</v>
      </c>
      <c r="AL526" s="473">
        <v>15379</v>
      </c>
      <c r="AM526" s="473">
        <v>1025</v>
      </c>
      <c r="AN526" s="473">
        <v>3589</v>
      </c>
      <c r="AO526" s="473">
        <v>2051</v>
      </c>
      <c r="AP526" s="473">
        <v>513</v>
      </c>
      <c r="AQ526" s="473">
        <v>1800</v>
      </c>
      <c r="AR526" s="473">
        <v>27950</v>
      </c>
      <c r="AS526" s="473">
        <v>0</v>
      </c>
      <c r="AT526" s="473">
        <v>0</v>
      </c>
      <c r="AU526" s="473">
        <v>1382</v>
      </c>
      <c r="AV526" s="473">
        <v>229225</v>
      </c>
      <c r="AW526" s="474">
        <v>227843</v>
      </c>
      <c r="AX526" s="473">
        <v>0</v>
      </c>
      <c r="AY526" s="473">
        <v>0</v>
      </c>
      <c r="AZ526" s="475">
        <v>22379</v>
      </c>
      <c r="BA526" s="475">
        <v>200</v>
      </c>
      <c r="BB526" s="475">
        <v>1800</v>
      </c>
      <c r="BC526" s="475">
        <v>0</v>
      </c>
      <c r="BD526" s="475">
        <v>0</v>
      </c>
      <c r="BE526" s="475">
        <v>0</v>
      </c>
      <c r="BF526" s="475">
        <v>0</v>
      </c>
      <c r="BG526" s="475">
        <v>24379</v>
      </c>
      <c r="BH526" s="476">
        <v>204846</v>
      </c>
      <c r="BI526" s="467"/>
      <c r="BJ526" s="468"/>
    </row>
    <row r="527" spans="1:62">
      <c r="A527" s="469">
        <v>45901</v>
      </c>
      <c r="B527" s="469" t="s">
        <v>747</v>
      </c>
      <c r="C527" s="508" t="s">
        <v>748</v>
      </c>
      <c r="D527" s="470" t="s">
        <v>749</v>
      </c>
      <c r="E527" s="471">
        <v>2020</v>
      </c>
      <c r="F527" s="470" t="s">
        <v>772</v>
      </c>
      <c r="G527" s="470" t="s">
        <v>751</v>
      </c>
      <c r="H527" s="470" t="s">
        <v>12</v>
      </c>
      <c r="I527" s="470" t="s">
        <v>773</v>
      </c>
      <c r="J527" s="472" t="s">
        <v>774</v>
      </c>
      <c r="K527" s="470" t="s">
        <v>775</v>
      </c>
      <c r="L527" s="470" t="s">
        <v>776</v>
      </c>
      <c r="M527" s="470" t="s">
        <v>776</v>
      </c>
      <c r="N527" s="470" t="s">
        <v>777</v>
      </c>
      <c r="O527" s="472" t="s">
        <v>757</v>
      </c>
      <c r="P527" s="472" t="s">
        <v>738</v>
      </c>
      <c r="Q527" s="472" t="s">
        <v>758</v>
      </c>
      <c r="R527" s="472" t="s">
        <v>12</v>
      </c>
      <c r="S527" s="472" t="s">
        <v>12</v>
      </c>
      <c r="T527" s="472" t="s">
        <v>778</v>
      </c>
      <c r="U527" s="470" t="s">
        <v>779</v>
      </c>
      <c r="V527" s="470" t="s">
        <v>761</v>
      </c>
      <c r="W527" s="470" t="s">
        <v>762</v>
      </c>
      <c r="X527" s="470">
        <v>30</v>
      </c>
      <c r="Y527" s="470">
        <v>0</v>
      </c>
      <c r="Z527" s="470">
        <v>0</v>
      </c>
      <c r="AA527" s="470">
        <v>30</v>
      </c>
      <c r="AB527" s="470">
        <v>30</v>
      </c>
      <c r="AC527" s="473">
        <v>68450</v>
      </c>
      <c r="AD527" s="473">
        <v>68450</v>
      </c>
      <c r="AE527" s="473">
        <v>30803</v>
      </c>
      <c r="AF527" s="473">
        <v>12321</v>
      </c>
      <c r="AG527" s="473">
        <v>1600</v>
      </c>
      <c r="AH527" s="473">
        <v>200</v>
      </c>
      <c r="AI527" s="473">
        <v>1250</v>
      </c>
      <c r="AJ527" s="473">
        <v>2566</v>
      </c>
      <c r="AK527" s="473">
        <v>6161</v>
      </c>
      <c r="AL527" s="473">
        <v>4620</v>
      </c>
      <c r="AM527" s="473">
        <v>308</v>
      </c>
      <c r="AN527" s="473">
        <v>1078</v>
      </c>
      <c r="AO527" s="473">
        <v>616</v>
      </c>
      <c r="AP527" s="473">
        <v>154</v>
      </c>
      <c r="AQ527" s="473">
        <v>1800</v>
      </c>
      <c r="AR527" s="473">
        <v>4973</v>
      </c>
      <c r="AS527" s="473">
        <v>0</v>
      </c>
      <c r="AT527" s="473">
        <v>0</v>
      </c>
      <c r="AU527" s="473">
        <v>4097</v>
      </c>
      <c r="AV527" s="473">
        <v>72547</v>
      </c>
      <c r="AW527" s="474">
        <v>68450</v>
      </c>
      <c r="AX527" s="473">
        <v>0</v>
      </c>
      <c r="AY527" s="473">
        <v>0</v>
      </c>
      <c r="AZ527" s="475">
        <v>0</v>
      </c>
      <c r="BA527" s="475">
        <v>200</v>
      </c>
      <c r="BB527" s="475">
        <v>1800</v>
      </c>
      <c r="BC527" s="475">
        <v>0</v>
      </c>
      <c r="BD527" s="475">
        <v>0</v>
      </c>
      <c r="BE527" s="475">
        <v>0</v>
      </c>
      <c r="BF527" s="475">
        <v>0</v>
      </c>
      <c r="BG527" s="475">
        <v>2000</v>
      </c>
      <c r="BH527" s="476">
        <v>70547</v>
      </c>
      <c r="BI527" s="467"/>
      <c r="BJ527" s="468"/>
    </row>
    <row r="528" spans="1:62">
      <c r="A528" s="469">
        <v>45901</v>
      </c>
      <c r="B528" s="469" t="s">
        <v>747</v>
      </c>
      <c r="C528" s="508" t="s">
        <v>748</v>
      </c>
      <c r="D528" s="470" t="s">
        <v>749</v>
      </c>
      <c r="E528" s="471">
        <v>1770</v>
      </c>
      <c r="F528" s="470" t="s">
        <v>780</v>
      </c>
      <c r="G528" s="470" t="s">
        <v>751</v>
      </c>
      <c r="H528" s="470" t="s">
        <v>12</v>
      </c>
      <c r="I528" s="470" t="s">
        <v>781</v>
      </c>
      <c r="J528" s="472" t="s">
        <v>782</v>
      </c>
      <c r="K528" s="470" t="s">
        <v>783</v>
      </c>
      <c r="L528" s="470" t="s">
        <v>1338</v>
      </c>
      <c r="M528" s="470" t="s">
        <v>1338</v>
      </c>
      <c r="N528" s="470" t="s">
        <v>1275</v>
      </c>
      <c r="O528" s="472" t="s">
        <v>757</v>
      </c>
      <c r="P528" s="472" t="s">
        <v>738</v>
      </c>
      <c r="Q528" s="472" t="s">
        <v>758</v>
      </c>
      <c r="R528" s="472" t="s">
        <v>12</v>
      </c>
      <c r="S528" s="472" t="s">
        <v>12</v>
      </c>
      <c r="T528" s="472" t="s">
        <v>784</v>
      </c>
      <c r="U528" s="470" t="s">
        <v>785</v>
      </c>
      <c r="V528" s="470" t="s">
        <v>761</v>
      </c>
      <c r="W528" s="470" t="s">
        <v>786</v>
      </c>
      <c r="X528" s="470">
        <v>30</v>
      </c>
      <c r="Y528" s="470">
        <v>0</v>
      </c>
      <c r="Z528" s="470">
        <v>0</v>
      </c>
      <c r="AA528" s="470">
        <v>30</v>
      </c>
      <c r="AB528" s="470">
        <v>30</v>
      </c>
      <c r="AC528" s="473">
        <v>109350</v>
      </c>
      <c r="AD528" s="473">
        <v>109350</v>
      </c>
      <c r="AE528" s="473">
        <v>49208</v>
      </c>
      <c r="AF528" s="473">
        <v>19683</v>
      </c>
      <c r="AG528" s="473">
        <v>1600</v>
      </c>
      <c r="AH528" s="473">
        <v>200</v>
      </c>
      <c r="AI528" s="473">
        <v>1250</v>
      </c>
      <c r="AJ528" s="473">
        <v>4099</v>
      </c>
      <c r="AK528" s="473">
        <v>9842</v>
      </c>
      <c r="AL528" s="473">
        <v>7381</v>
      </c>
      <c r="AM528" s="473">
        <v>492</v>
      </c>
      <c r="AN528" s="473">
        <v>1722</v>
      </c>
      <c r="AO528" s="473">
        <v>984</v>
      </c>
      <c r="AP528" s="473">
        <v>246</v>
      </c>
      <c r="AQ528" s="473">
        <v>1800</v>
      </c>
      <c r="AR528" s="473">
        <v>10843</v>
      </c>
      <c r="AS528" s="473">
        <v>0</v>
      </c>
      <c r="AT528" s="473">
        <v>0</v>
      </c>
      <c r="AU528" s="473">
        <v>0</v>
      </c>
      <c r="AV528" s="473">
        <v>109350</v>
      </c>
      <c r="AW528" s="474">
        <v>109350</v>
      </c>
      <c r="AX528" s="473">
        <v>0</v>
      </c>
      <c r="AY528" s="473">
        <v>0</v>
      </c>
      <c r="AZ528" s="475">
        <v>7548</v>
      </c>
      <c r="BA528" s="475">
        <v>200</v>
      </c>
      <c r="BB528" s="475">
        <v>1800</v>
      </c>
      <c r="BC528" s="475">
        <v>0</v>
      </c>
      <c r="BD528" s="475">
        <v>0</v>
      </c>
      <c r="BE528" s="475">
        <v>0</v>
      </c>
      <c r="BF528" s="475">
        <v>0</v>
      </c>
      <c r="BG528" s="475">
        <v>9548</v>
      </c>
      <c r="BH528" s="476">
        <v>99802</v>
      </c>
      <c r="BI528" s="467"/>
      <c r="BJ528" s="468"/>
    </row>
    <row r="529" spans="1:62">
      <c r="A529" s="469">
        <v>45901</v>
      </c>
      <c r="B529" s="469" t="s">
        <v>747</v>
      </c>
      <c r="C529" s="508" t="s">
        <v>748</v>
      </c>
      <c r="D529" s="470" t="s">
        <v>749</v>
      </c>
      <c r="E529" s="471">
        <v>2072</v>
      </c>
      <c r="F529" s="470" t="s">
        <v>787</v>
      </c>
      <c r="G529" s="470" t="s">
        <v>751</v>
      </c>
      <c r="H529" s="470" t="s">
        <v>12</v>
      </c>
      <c r="I529" s="470" t="s">
        <v>788</v>
      </c>
      <c r="J529" s="472" t="s">
        <v>789</v>
      </c>
      <c r="K529" s="470" t="s">
        <v>790</v>
      </c>
      <c r="L529" s="470" t="s">
        <v>791</v>
      </c>
      <c r="M529" s="470" t="s">
        <v>791</v>
      </c>
      <c r="N529" s="470" t="s">
        <v>756</v>
      </c>
      <c r="O529" s="472" t="s">
        <v>792</v>
      </c>
      <c r="P529" s="472" t="s">
        <v>738</v>
      </c>
      <c r="Q529" s="472" t="s">
        <v>758</v>
      </c>
      <c r="R529" s="472" t="s">
        <v>12</v>
      </c>
      <c r="S529" s="472" t="s">
        <v>12</v>
      </c>
      <c r="T529" s="472" t="s">
        <v>793</v>
      </c>
      <c r="U529" s="470" t="s">
        <v>794</v>
      </c>
      <c r="V529" s="470" t="s">
        <v>761</v>
      </c>
      <c r="W529" s="470" t="s">
        <v>795</v>
      </c>
      <c r="X529" s="470">
        <v>30</v>
      </c>
      <c r="Y529" s="470">
        <v>0</v>
      </c>
      <c r="Z529" s="470">
        <v>2</v>
      </c>
      <c r="AA529" s="470">
        <v>28</v>
      </c>
      <c r="AB529" s="470">
        <v>28</v>
      </c>
      <c r="AC529" s="473">
        <v>123200</v>
      </c>
      <c r="AD529" s="473">
        <v>123200</v>
      </c>
      <c r="AE529" s="473">
        <v>51744</v>
      </c>
      <c r="AF529" s="473">
        <v>20698</v>
      </c>
      <c r="AG529" s="473">
        <v>1493</v>
      </c>
      <c r="AH529" s="473">
        <v>187</v>
      </c>
      <c r="AI529" s="473">
        <v>1167</v>
      </c>
      <c r="AJ529" s="473">
        <v>4310</v>
      </c>
      <c r="AK529" s="473">
        <v>10349</v>
      </c>
      <c r="AL529" s="473">
        <v>7762</v>
      </c>
      <c r="AM529" s="473">
        <v>517</v>
      </c>
      <c r="AN529" s="473">
        <v>1811</v>
      </c>
      <c r="AO529" s="473">
        <v>1035</v>
      </c>
      <c r="AP529" s="473">
        <v>259</v>
      </c>
      <c r="AQ529" s="473">
        <v>1800</v>
      </c>
      <c r="AR529" s="473">
        <v>11855</v>
      </c>
      <c r="AS529" s="473">
        <v>0</v>
      </c>
      <c r="AT529" s="473">
        <v>0</v>
      </c>
      <c r="AU529" s="473">
        <v>2415</v>
      </c>
      <c r="AV529" s="473">
        <v>117402</v>
      </c>
      <c r="AW529" s="474">
        <v>114987</v>
      </c>
      <c r="AX529" s="473">
        <v>0</v>
      </c>
      <c r="AY529" s="473">
        <v>0</v>
      </c>
      <c r="AZ529" s="475">
        <v>6964</v>
      </c>
      <c r="BA529" s="475">
        <v>200</v>
      </c>
      <c r="BB529" s="475">
        <v>1800</v>
      </c>
      <c r="BC529" s="475">
        <v>0</v>
      </c>
      <c r="BD529" s="475">
        <v>0</v>
      </c>
      <c r="BE529" s="475">
        <v>0</v>
      </c>
      <c r="BF529" s="475">
        <v>0</v>
      </c>
      <c r="BG529" s="475">
        <v>8964</v>
      </c>
      <c r="BH529" s="476">
        <v>108438</v>
      </c>
      <c r="BI529" s="467"/>
      <c r="BJ529" s="468"/>
    </row>
    <row r="530" spans="1:62">
      <c r="A530" s="469">
        <v>45901</v>
      </c>
      <c r="B530" s="469" t="s">
        <v>747</v>
      </c>
      <c r="C530" s="508" t="s">
        <v>748</v>
      </c>
      <c r="D530" s="470" t="s">
        <v>749</v>
      </c>
      <c r="E530" s="471">
        <v>1440</v>
      </c>
      <c r="F530" s="470" t="s">
        <v>796</v>
      </c>
      <c r="G530" s="470" t="s">
        <v>751</v>
      </c>
      <c r="H530" s="470" t="s">
        <v>12</v>
      </c>
      <c r="I530" s="470" t="s">
        <v>797</v>
      </c>
      <c r="J530" s="472" t="s">
        <v>798</v>
      </c>
      <c r="K530" s="470" t="s">
        <v>799</v>
      </c>
      <c r="L530" s="470" t="s">
        <v>800</v>
      </c>
      <c r="M530" s="470" t="s">
        <v>801</v>
      </c>
      <c r="N530" s="470" t="s">
        <v>756</v>
      </c>
      <c r="O530" s="472" t="s">
        <v>757</v>
      </c>
      <c r="P530" s="472" t="s">
        <v>738</v>
      </c>
      <c r="Q530" s="472" t="s">
        <v>758</v>
      </c>
      <c r="R530" s="472" t="s">
        <v>12</v>
      </c>
      <c r="S530" s="472" t="s">
        <v>12</v>
      </c>
      <c r="T530" s="472" t="s">
        <v>802</v>
      </c>
      <c r="U530" s="470" t="s">
        <v>803</v>
      </c>
      <c r="V530" s="470" t="s">
        <v>761</v>
      </c>
      <c r="W530" s="470" t="s">
        <v>762</v>
      </c>
      <c r="X530" s="470">
        <v>30</v>
      </c>
      <c r="Y530" s="470">
        <v>0</v>
      </c>
      <c r="Z530" s="470">
        <v>0</v>
      </c>
      <c r="AA530" s="470">
        <v>30</v>
      </c>
      <c r="AB530" s="470">
        <v>30</v>
      </c>
      <c r="AC530" s="473">
        <v>38617</v>
      </c>
      <c r="AD530" s="473">
        <v>38617</v>
      </c>
      <c r="AE530" s="473">
        <v>17378</v>
      </c>
      <c r="AF530" s="473">
        <v>6951</v>
      </c>
      <c r="AG530" s="473">
        <v>1600</v>
      </c>
      <c r="AH530" s="473">
        <v>200</v>
      </c>
      <c r="AI530" s="473">
        <v>1250</v>
      </c>
      <c r="AJ530" s="473">
        <v>0</v>
      </c>
      <c r="AK530" s="473">
        <v>0</v>
      </c>
      <c r="AL530" s="473">
        <v>0</v>
      </c>
      <c r="AM530" s="473">
        <v>0</v>
      </c>
      <c r="AN530" s="473">
        <v>0</v>
      </c>
      <c r="AO530" s="473">
        <v>0</v>
      </c>
      <c r="AP530" s="473">
        <v>0</v>
      </c>
      <c r="AQ530" s="473">
        <v>1800</v>
      </c>
      <c r="AR530" s="473">
        <v>9438</v>
      </c>
      <c r="AS530" s="473">
        <v>0</v>
      </c>
      <c r="AT530" s="473">
        <v>0</v>
      </c>
      <c r="AU530" s="473">
        <v>0</v>
      </c>
      <c r="AV530" s="473">
        <v>38617</v>
      </c>
      <c r="AW530" s="474">
        <v>38617</v>
      </c>
      <c r="AX530" s="473">
        <v>0</v>
      </c>
      <c r="AY530" s="473">
        <v>0</v>
      </c>
      <c r="AZ530" s="475">
        <v>0</v>
      </c>
      <c r="BA530" s="475">
        <v>200</v>
      </c>
      <c r="BB530" s="475">
        <v>1800</v>
      </c>
      <c r="BC530" s="475">
        <v>0</v>
      </c>
      <c r="BD530" s="475">
        <v>0</v>
      </c>
      <c r="BE530" s="475">
        <v>0</v>
      </c>
      <c r="BF530" s="475">
        <v>0</v>
      </c>
      <c r="BG530" s="475">
        <v>2000</v>
      </c>
      <c r="BH530" s="476">
        <v>36617</v>
      </c>
      <c r="BI530" s="467"/>
      <c r="BJ530" s="468"/>
    </row>
    <row r="531" spans="1:62">
      <c r="A531" s="469">
        <v>45901</v>
      </c>
      <c r="B531" s="469" t="s">
        <v>747</v>
      </c>
      <c r="C531" s="508" t="s">
        <v>748</v>
      </c>
      <c r="D531" s="470" t="s">
        <v>749</v>
      </c>
      <c r="E531" s="471">
        <v>1484</v>
      </c>
      <c r="F531" s="470" t="s">
        <v>811</v>
      </c>
      <c r="G531" s="470" t="s">
        <v>812</v>
      </c>
      <c r="H531" s="470" t="s">
        <v>12</v>
      </c>
      <c r="I531" s="470" t="s">
        <v>813</v>
      </c>
      <c r="J531" s="472" t="s">
        <v>814</v>
      </c>
      <c r="K531" s="470" t="s">
        <v>815</v>
      </c>
      <c r="L531" s="470" t="s">
        <v>1292</v>
      </c>
      <c r="M531" s="470" t="s">
        <v>1292</v>
      </c>
      <c r="N531" s="470" t="s">
        <v>1275</v>
      </c>
      <c r="O531" s="472" t="s">
        <v>792</v>
      </c>
      <c r="P531" s="472" t="s">
        <v>738</v>
      </c>
      <c r="Q531" s="472" t="s">
        <v>758</v>
      </c>
      <c r="R531" s="472" t="s">
        <v>12</v>
      </c>
      <c r="S531" s="472" t="s">
        <v>12</v>
      </c>
      <c r="T531" s="472" t="s">
        <v>818</v>
      </c>
      <c r="U531" s="470" t="s">
        <v>819</v>
      </c>
      <c r="V531" s="470" t="s">
        <v>761</v>
      </c>
      <c r="W531" s="470" t="s">
        <v>762</v>
      </c>
      <c r="X531" s="470">
        <v>30</v>
      </c>
      <c r="Y531" s="470">
        <v>0</v>
      </c>
      <c r="Z531" s="470">
        <v>1</v>
      </c>
      <c r="AA531" s="470">
        <v>29</v>
      </c>
      <c r="AB531" s="470">
        <v>29</v>
      </c>
      <c r="AC531" s="473">
        <v>111343</v>
      </c>
      <c r="AD531" s="473">
        <v>111343</v>
      </c>
      <c r="AE531" s="473">
        <v>48434</v>
      </c>
      <c r="AF531" s="473">
        <v>19374</v>
      </c>
      <c r="AG531" s="473">
        <v>1547</v>
      </c>
      <c r="AH531" s="473">
        <v>193</v>
      </c>
      <c r="AI531" s="473">
        <v>1208</v>
      </c>
      <c r="AJ531" s="473">
        <v>4035</v>
      </c>
      <c r="AK531" s="473">
        <v>9687</v>
      </c>
      <c r="AL531" s="473">
        <v>7265</v>
      </c>
      <c r="AM531" s="473">
        <v>484</v>
      </c>
      <c r="AN531" s="473">
        <v>1695</v>
      </c>
      <c r="AO531" s="473">
        <v>969</v>
      </c>
      <c r="AP531" s="473">
        <v>242</v>
      </c>
      <c r="AQ531" s="473">
        <v>1800</v>
      </c>
      <c r="AR531" s="473">
        <v>10699</v>
      </c>
      <c r="AS531" s="473">
        <v>0</v>
      </c>
      <c r="AT531" s="473">
        <v>0</v>
      </c>
      <c r="AU531" s="473">
        <v>0</v>
      </c>
      <c r="AV531" s="473">
        <v>107632</v>
      </c>
      <c r="AW531" s="474">
        <v>107632</v>
      </c>
      <c r="AX531" s="473">
        <v>0</v>
      </c>
      <c r="AY531" s="473">
        <v>0</v>
      </c>
      <c r="AZ531" s="475">
        <v>8833</v>
      </c>
      <c r="BA531" s="475">
        <v>200</v>
      </c>
      <c r="BB531" s="475">
        <v>1800</v>
      </c>
      <c r="BC531" s="475">
        <v>0</v>
      </c>
      <c r="BD531" s="475">
        <v>0</v>
      </c>
      <c r="BE531" s="475">
        <v>0</v>
      </c>
      <c r="BF531" s="475">
        <v>0</v>
      </c>
      <c r="BG531" s="475">
        <v>10833</v>
      </c>
      <c r="BH531" s="476">
        <v>96799</v>
      </c>
      <c r="BI531" s="467"/>
      <c r="BJ531" s="468"/>
    </row>
    <row r="532" spans="1:62">
      <c r="A532" s="469">
        <v>45901</v>
      </c>
      <c r="B532" s="469" t="s">
        <v>747</v>
      </c>
      <c r="C532" s="508" t="s">
        <v>748</v>
      </c>
      <c r="D532" s="470" t="s">
        <v>749</v>
      </c>
      <c r="E532" s="471">
        <v>2216</v>
      </c>
      <c r="F532" s="470" t="s">
        <v>1339</v>
      </c>
      <c r="G532" s="470" t="s">
        <v>751</v>
      </c>
      <c r="H532" s="470" t="s">
        <v>12</v>
      </c>
      <c r="I532" s="470" t="s">
        <v>1340</v>
      </c>
      <c r="J532" s="472" t="s">
        <v>1341</v>
      </c>
      <c r="K532" s="470" t="s">
        <v>1342</v>
      </c>
      <c r="L532" s="470" t="s">
        <v>1305</v>
      </c>
      <c r="M532" s="470" t="s">
        <v>1305</v>
      </c>
      <c r="N532" s="470" t="s">
        <v>1108</v>
      </c>
      <c r="O532" s="472" t="s">
        <v>757</v>
      </c>
      <c r="P532" s="472" t="s">
        <v>738</v>
      </c>
      <c r="Q532" s="472" t="s">
        <v>758</v>
      </c>
      <c r="R532" s="472" t="s">
        <v>12</v>
      </c>
      <c r="S532" s="472" t="s">
        <v>12</v>
      </c>
      <c r="T532" s="472" t="s">
        <v>1343</v>
      </c>
      <c r="U532" s="470" t="s">
        <v>1344</v>
      </c>
      <c r="V532" s="470" t="s">
        <v>761</v>
      </c>
      <c r="W532" s="470" t="s">
        <v>1301</v>
      </c>
      <c r="X532" s="470">
        <v>30</v>
      </c>
      <c r="Y532" s="470">
        <v>0</v>
      </c>
      <c r="Z532" s="470">
        <v>0</v>
      </c>
      <c r="AA532" s="470">
        <v>16</v>
      </c>
      <c r="AB532" s="470">
        <v>16</v>
      </c>
      <c r="AC532" s="473">
        <v>65700</v>
      </c>
      <c r="AD532" s="473">
        <v>65700</v>
      </c>
      <c r="AE532" s="473">
        <v>15768</v>
      </c>
      <c r="AF532" s="473">
        <v>6307</v>
      </c>
      <c r="AG532" s="473">
        <v>853</v>
      </c>
      <c r="AH532" s="473">
        <v>200</v>
      </c>
      <c r="AI532" s="473">
        <v>667</v>
      </c>
      <c r="AJ532" s="473">
        <v>1313</v>
      </c>
      <c r="AK532" s="473">
        <v>3154</v>
      </c>
      <c r="AL532" s="473">
        <v>2365</v>
      </c>
      <c r="AM532" s="473">
        <v>158</v>
      </c>
      <c r="AN532" s="473">
        <v>552</v>
      </c>
      <c r="AO532" s="473">
        <v>315</v>
      </c>
      <c r="AP532" s="473">
        <v>79</v>
      </c>
      <c r="AQ532" s="473">
        <v>1800</v>
      </c>
      <c r="AR532" s="473">
        <v>1509</v>
      </c>
      <c r="AS532" s="473">
        <v>0</v>
      </c>
      <c r="AT532" s="473">
        <v>0</v>
      </c>
      <c r="AU532" s="473">
        <v>0</v>
      </c>
      <c r="AV532" s="473">
        <v>35040</v>
      </c>
      <c r="AW532" s="474">
        <v>35040</v>
      </c>
      <c r="AX532" s="473">
        <v>0</v>
      </c>
      <c r="AY532" s="473">
        <v>0</v>
      </c>
      <c r="AZ532" s="475">
        <v>0</v>
      </c>
      <c r="BA532" s="475">
        <v>200</v>
      </c>
      <c r="BB532" s="475">
        <v>1800</v>
      </c>
      <c r="BC532" s="475">
        <v>0</v>
      </c>
      <c r="BD532" s="475">
        <v>0</v>
      </c>
      <c r="BE532" s="475">
        <v>0</v>
      </c>
      <c r="BF532" s="475">
        <v>0</v>
      </c>
      <c r="BG532" s="475">
        <v>2000</v>
      </c>
      <c r="BH532" s="476">
        <v>33040</v>
      </c>
      <c r="BI532" s="467"/>
      <c r="BJ532" s="468"/>
    </row>
    <row r="533" spans="1:62">
      <c r="A533" s="469">
        <v>45901</v>
      </c>
      <c r="B533" s="469" t="s">
        <v>747</v>
      </c>
      <c r="C533" s="508" t="s">
        <v>748</v>
      </c>
      <c r="D533" s="470" t="s">
        <v>749</v>
      </c>
      <c r="E533" s="471">
        <v>1599</v>
      </c>
      <c r="F533" s="470" t="s">
        <v>820</v>
      </c>
      <c r="G533" s="470" t="s">
        <v>751</v>
      </c>
      <c r="H533" s="470" t="s">
        <v>12</v>
      </c>
      <c r="I533" s="470" t="s">
        <v>821</v>
      </c>
      <c r="J533" s="472" t="s">
        <v>822</v>
      </c>
      <c r="K533" s="470" t="s">
        <v>823</v>
      </c>
      <c r="L533" s="470" t="s">
        <v>1345</v>
      </c>
      <c r="M533" s="470" t="s">
        <v>1345</v>
      </c>
      <c r="N533" s="470" t="s">
        <v>1275</v>
      </c>
      <c r="O533" s="472" t="s">
        <v>757</v>
      </c>
      <c r="P533" s="472" t="s">
        <v>738</v>
      </c>
      <c r="Q533" s="472" t="s">
        <v>758</v>
      </c>
      <c r="R533" s="472" t="s">
        <v>12</v>
      </c>
      <c r="S533" s="472" t="s">
        <v>12</v>
      </c>
      <c r="T533" s="472" t="s">
        <v>825</v>
      </c>
      <c r="U533" s="470" t="s">
        <v>826</v>
      </c>
      <c r="V533" s="470" t="s">
        <v>761</v>
      </c>
      <c r="W533" s="470" t="s">
        <v>827</v>
      </c>
      <c r="X533" s="470">
        <v>30</v>
      </c>
      <c r="Y533" s="470">
        <v>0</v>
      </c>
      <c r="Z533" s="470">
        <v>1</v>
      </c>
      <c r="AA533" s="470">
        <v>29</v>
      </c>
      <c r="AB533" s="470">
        <v>29</v>
      </c>
      <c r="AC533" s="473">
        <v>51640</v>
      </c>
      <c r="AD533" s="473">
        <v>51640</v>
      </c>
      <c r="AE533" s="473">
        <v>22464</v>
      </c>
      <c r="AF533" s="473">
        <v>8986</v>
      </c>
      <c r="AG533" s="473">
        <v>1547</v>
      </c>
      <c r="AH533" s="473">
        <v>193</v>
      </c>
      <c r="AI533" s="473">
        <v>1208</v>
      </c>
      <c r="AJ533" s="473">
        <v>1871</v>
      </c>
      <c r="AK533" s="473">
        <v>4493</v>
      </c>
      <c r="AL533" s="473">
        <v>3370</v>
      </c>
      <c r="AM533" s="473">
        <v>225</v>
      </c>
      <c r="AN533" s="473">
        <v>786</v>
      </c>
      <c r="AO533" s="473">
        <v>449</v>
      </c>
      <c r="AP533" s="473">
        <v>112</v>
      </c>
      <c r="AQ533" s="473">
        <v>1800</v>
      </c>
      <c r="AR533" s="473">
        <v>2415</v>
      </c>
      <c r="AS533" s="473">
        <v>0</v>
      </c>
      <c r="AT533" s="473">
        <v>0</v>
      </c>
      <c r="AU533" s="473">
        <v>4755</v>
      </c>
      <c r="AV533" s="473">
        <v>54674</v>
      </c>
      <c r="AW533" s="474">
        <v>49919</v>
      </c>
      <c r="AX533" s="473">
        <v>0</v>
      </c>
      <c r="AY533" s="473">
        <v>0</v>
      </c>
      <c r="AZ533" s="475">
        <v>0</v>
      </c>
      <c r="BA533" s="475">
        <v>200</v>
      </c>
      <c r="BB533" s="475">
        <v>1800</v>
      </c>
      <c r="BC533" s="475">
        <v>0</v>
      </c>
      <c r="BD533" s="475">
        <v>0</v>
      </c>
      <c r="BE533" s="475">
        <v>0</v>
      </c>
      <c r="BF533" s="475">
        <v>0</v>
      </c>
      <c r="BG533" s="475">
        <v>2000</v>
      </c>
      <c r="BH533" s="476">
        <v>52674</v>
      </c>
      <c r="BI533" s="467"/>
      <c r="BJ533" s="468"/>
    </row>
    <row r="534" spans="1:62">
      <c r="A534" s="469">
        <v>45901</v>
      </c>
      <c r="B534" s="469" t="s">
        <v>747</v>
      </c>
      <c r="C534" s="508" t="s">
        <v>748</v>
      </c>
      <c r="D534" s="470" t="s">
        <v>749</v>
      </c>
      <c r="E534" s="471">
        <v>1180</v>
      </c>
      <c r="F534" s="470" t="s">
        <v>828</v>
      </c>
      <c r="G534" s="470" t="s">
        <v>751</v>
      </c>
      <c r="H534" s="470" t="s">
        <v>12</v>
      </c>
      <c r="I534" s="470" t="s">
        <v>829</v>
      </c>
      <c r="J534" s="472" t="s">
        <v>830</v>
      </c>
      <c r="K534" s="470" t="s">
        <v>831</v>
      </c>
      <c r="L534" s="470" t="s">
        <v>832</v>
      </c>
      <c r="M534" s="470" t="s">
        <v>832</v>
      </c>
      <c r="N534" s="470" t="s">
        <v>833</v>
      </c>
      <c r="O534" s="472" t="s">
        <v>757</v>
      </c>
      <c r="P534" s="472" t="s">
        <v>738</v>
      </c>
      <c r="Q534" s="472" t="s">
        <v>758</v>
      </c>
      <c r="R534" s="472" t="s">
        <v>12</v>
      </c>
      <c r="S534" s="472" t="s">
        <v>12</v>
      </c>
      <c r="T534" s="472" t="s">
        <v>834</v>
      </c>
      <c r="U534" s="470" t="s">
        <v>835</v>
      </c>
      <c r="V534" s="470" t="s">
        <v>836</v>
      </c>
      <c r="W534" s="470" t="s">
        <v>837</v>
      </c>
      <c r="X534" s="470">
        <v>30</v>
      </c>
      <c r="Y534" s="470">
        <v>0</v>
      </c>
      <c r="Z534" s="470">
        <v>1</v>
      </c>
      <c r="AA534" s="470">
        <v>29</v>
      </c>
      <c r="AB534" s="470">
        <v>29</v>
      </c>
      <c r="AC534" s="473">
        <v>28042</v>
      </c>
      <c r="AD534" s="473">
        <v>28042</v>
      </c>
      <c r="AE534" s="473">
        <v>12198</v>
      </c>
      <c r="AF534" s="473">
        <v>4879</v>
      </c>
      <c r="AG534" s="473">
        <v>1547</v>
      </c>
      <c r="AH534" s="473">
        <v>193</v>
      </c>
      <c r="AI534" s="473">
        <v>1208</v>
      </c>
      <c r="AJ534" s="473">
        <v>0</v>
      </c>
      <c r="AK534" s="473">
        <v>0</v>
      </c>
      <c r="AL534" s="473">
        <v>0</v>
      </c>
      <c r="AM534" s="473">
        <v>0</v>
      </c>
      <c r="AN534" s="473">
        <v>0</v>
      </c>
      <c r="AO534" s="473">
        <v>0</v>
      </c>
      <c r="AP534" s="473">
        <v>0</v>
      </c>
      <c r="AQ534" s="473">
        <v>1464</v>
      </c>
      <c r="AR534" s="473">
        <v>5618</v>
      </c>
      <c r="AS534" s="473">
        <v>0</v>
      </c>
      <c r="AT534" s="473">
        <v>0</v>
      </c>
      <c r="AU534" s="473">
        <v>3641</v>
      </c>
      <c r="AV534" s="473">
        <v>30748</v>
      </c>
      <c r="AW534" s="474">
        <v>27107</v>
      </c>
      <c r="AX534" s="473">
        <v>0</v>
      </c>
      <c r="AY534" s="473">
        <v>0</v>
      </c>
      <c r="AZ534" s="475">
        <v>0</v>
      </c>
      <c r="BA534" s="475">
        <v>200</v>
      </c>
      <c r="BB534" s="475">
        <v>1464</v>
      </c>
      <c r="BC534" s="475">
        <v>0</v>
      </c>
      <c r="BD534" s="475">
        <v>0</v>
      </c>
      <c r="BE534" s="475">
        <v>0</v>
      </c>
      <c r="BF534" s="475">
        <v>0</v>
      </c>
      <c r="BG534" s="475">
        <v>1664</v>
      </c>
      <c r="BH534" s="476">
        <v>29084</v>
      </c>
      <c r="BI534" s="467"/>
      <c r="BJ534" s="468"/>
    </row>
    <row r="535" spans="1:62">
      <c r="A535" s="469">
        <v>45901</v>
      </c>
      <c r="B535" s="469" t="s">
        <v>747</v>
      </c>
      <c r="C535" s="508" t="s">
        <v>748</v>
      </c>
      <c r="D535" s="470" t="s">
        <v>749</v>
      </c>
      <c r="E535" s="471">
        <v>48</v>
      </c>
      <c r="F535" s="470" t="s">
        <v>838</v>
      </c>
      <c r="G535" s="470" t="s">
        <v>751</v>
      </c>
      <c r="H535" s="470" t="s">
        <v>12</v>
      </c>
      <c r="I535" s="470" t="s">
        <v>839</v>
      </c>
      <c r="J535" s="472" t="s">
        <v>840</v>
      </c>
      <c r="K535" s="470" t="s">
        <v>841</v>
      </c>
      <c r="L535" s="470" t="s">
        <v>842</v>
      </c>
      <c r="M535" s="470" t="s">
        <v>842</v>
      </c>
      <c r="N535" s="470" t="s">
        <v>1275</v>
      </c>
      <c r="O535" s="472" t="s">
        <v>792</v>
      </c>
      <c r="P535" s="472" t="s">
        <v>738</v>
      </c>
      <c r="Q535" s="472" t="s">
        <v>758</v>
      </c>
      <c r="R535" s="472" t="s">
        <v>12</v>
      </c>
      <c r="S535" s="472" t="s">
        <v>12</v>
      </c>
      <c r="T535" s="472" t="s">
        <v>843</v>
      </c>
      <c r="U535" s="470" t="s">
        <v>844</v>
      </c>
      <c r="V535" s="470" t="s">
        <v>761</v>
      </c>
      <c r="W535" s="470" t="s">
        <v>845</v>
      </c>
      <c r="X535" s="470">
        <v>30</v>
      </c>
      <c r="Y535" s="470">
        <v>0</v>
      </c>
      <c r="Z535" s="470">
        <v>0</v>
      </c>
      <c r="AA535" s="470">
        <v>30</v>
      </c>
      <c r="AB535" s="470">
        <v>30</v>
      </c>
      <c r="AC535" s="473">
        <v>107967</v>
      </c>
      <c r="AD535" s="473">
        <v>107967</v>
      </c>
      <c r="AE535" s="473">
        <v>48585</v>
      </c>
      <c r="AF535" s="473">
        <v>19434</v>
      </c>
      <c r="AG535" s="473">
        <v>1600</v>
      </c>
      <c r="AH535" s="473">
        <v>200</v>
      </c>
      <c r="AI535" s="473">
        <v>1250</v>
      </c>
      <c r="AJ535" s="473">
        <v>4047</v>
      </c>
      <c r="AK535" s="473">
        <v>9717</v>
      </c>
      <c r="AL535" s="473">
        <v>7288</v>
      </c>
      <c r="AM535" s="473">
        <v>486</v>
      </c>
      <c r="AN535" s="473">
        <v>1700</v>
      </c>
      <c r="AO535" s="473">
        <v>972</v>
      </c>
      <c r="AP535" s="473">
        <v>243</v>
      </c>
      <c r="AQ535" s="473">
        <v>1800</v>
      </c>
      <c r="AR535" s="473">
        <v>10645</v>
      </c>
      <c r="AS535" s="473">
        <v>0</v>
      </c>
      <c r="AT535" s="473">
        <v>0</v>
      </c>
      <c r="AU535" s="473">
        <v>0</v>
      </c>
      <c r="AV535" s="473">
        <v>107967</v>
      </c>
      <c r="AW535" s="474">
        <v>107967</v>
      </c>
      <c r="AX535" s="473">
        <v>0</v>
      </c>
      <c r="AY535" s="473">
        <v>0</v>
      </c>
      <c r="AZ535" s="475">
        <v>5903</v>
      </c>
      <c r="BA535" s="475">
        <v>200</v>
      </c>
      <c r="BB535" s="475">
        <v>1800</v>
      </c>
      <c r="BC535" s="475">
        <v>0</v>
      </c>
      <c r="BD535" s="475">
        <v>0</v>
      </c>
      <c r="BE535" s="475">
        <v>0</v>
      </c>
      <c r="BF535" s="475">
        <v>15000</v>
      </c>
      <c r="BG535" s="475">
        <v>22903</v>
      </c>
      <c r="BH535" s="476">
        <v>85064</v>
      </c>
      <c r="BI535" s="467"/>
      <c r="BJ535" s="468"/>
    </row>
    <row r="536" spans="1:62">
      <c r="A536" s="469">
        <v>45901</v>
      </c>
      <c r="B536" s="469" t="s">
        <v>747</v>
      </c>
      <c r="C536" s="508" t="s">
        <v>748</v>
      </c>
      <c r="D536" s="470" t="s">
        <v>749</v>
      </c>
      <c r="E536" s="471">
        <v>2017</v>
      </c>
      <c r="F536" s="470" t="s">
        <v>846</v>
      </c>
      <c r="G536" s="470" t="s">
        <v>751</v>
      </c>
      <c r="H536" s="470" t="s">
        <v>12</v>
      </c>
      <c r="I536" s="470" t="s">
        <v>847</v>
      </c>
      <c r="J536" s="472" t="s">
        <v>848</v>
      </c>
      <c r="K536" s="470" t="s">
        <v>849</v>
      </c>
      <c r="L536" s="470" t="s">
        <v>824</v>
      </c>
      <c r="M536" s="470" t="s">
        <v>824</v>
      </c>
      <c r="N536" s="470" t="s">
        <v>1275</v>
      </c>
      <c r="O536" s="472" t="s">
        <v>1276</v>
      </c>
      <c r="P536" s="472" t="s">
        <v>738</v>
      </c>
      <c r="Q536" s="472" t="s">
        <v>758</v>
      </c>
      <c r="R536" s="472" t="s">
        <v>12</v>
      </c>
      <c r="S536" s="472" t="s">
        <v>12</v>
      </c>
      <c r="T536" s="472" t="s">
        <v>850</v>
      </c>
      <c r="U536" s="470" t="s">
        <v>851</v>
      </c>
      <c r="V536" s="470" t="s">
        <v>761</v>
      </c>
      <c r="W536" s="470" t="s">
        <v>762</v>
      </c>
      <c r="X536" s="470">
        <v>30</v>
      </c>
      <c r="Y536" s="470">
        <v>0</v>
      </c>
      <c r="Z536" s="470">
        <v>0</v>
      </c>
      <c r="AA536" s="470">
        <v>30</v>
      </c>
      <c r="AB536" s="470">
        <v>30</v>
      </c>
      <c r="AC536" s="473">
        <v>56533</v>
      </c>
      <c r="AD536" s="473">
        <v>56533</v>
      </c>
      <c r="AE536" s="473">
        <v>25440</v>
      </c>
      <c r="AF536" s="473">
        <v>10176</v>
      </c>
      <c r="AG536" s="473">
        <v>1600</v>
      </c>
      <c r="AH536" s="473">
        <v>200</v>
      </c>
      <c r="AI536" s="473">
        <v>1250</v>
      </c>
      <c r="AJ536" s="473">
        <v>2119</v>
      </c>
      <c r="AK536" s="473">
        <v>5088</v>
      </c>
      <c r="AL536" s="473">
        <v>3816</v>
      </c>
      <c r="AM536" s="473">
        <v>254</v>
      </c>
      <c r="AN536" s="473">
        <v>890</v>
      </c>
      <c r="AO536" s="473">
        <v>509</v>
      </c>
      <c r="AP536" s="473">
        <v>127</v>
      </c>
      <c r="AQ536" s="473">
        <v>1800</v>
      </c>
      <c r="AR536" s="473">
        <v>3264</v>
      </c>
      <c r="AS536" s="473">
        <v>0</v>
      </c>
      <c r="AT536" s="473">
        <v>0</v>
      </c>
      <c r="AU536" s="473">
        <v>2013</v>
      </c>
      <c r="AV536" s="473">
        <v>58546</v>
      </c>
      <c r="AW536" s="474">
        <v>56533</v>
      </c>
      <c r="AX536" s="473">
        <v>0</v>
      </c>
      <c r="AY536" s="473">
        <v>0</v>
      </c>
      <c r="AZ536" s="475">
        <v>0</v>
      </c>
      <c r="BA536" s="475">
        <v>200</v>
      </c>
      <c r="BB536" s="475">
        <v>1800</v>
      </c>
      <c r="BC536" s="475">
        <v>0</v>
      </c>
      <c r="BD536" s="475">
        <v>0</v>
      </c>
      <c r="BE536" s="475">
        <v>0</v>
      </c>
      <c r="BF536" s="475">
        <v>0</v>
      </c>
      <c r="BG536" s="475">
        <v>2000</v>
      </c>
      <c r="BH536" s="476">
        <v>56546</v>
      </c>
      <c r="BI536" s="467"/>
      <c r="BJ536" s="468"/>
    </row>
    <row r="537" spans="1:62">
      <c r="A537" s="469">
        <v>45901</v>
      </c>
      <c r="B537" s="469" t="s">
        <v>747</v>
      </c>
      <c r="C537" s="508" t="s">
        <v>748</v>
      </c>
      <c r="D537" s="470" t="s">
        <v>749</v>
      </c>
      <c r="E537" s="471">
        <v>1914</v>
      </c>
      <c r="F537" s="470" t="s">
        <v>852</v>
      </c>
      <c r="G537" s="470" t="s">
        <v>751</v>
      </c>
      <c r="H537" s="470" t="s">
        <v>12</v>
      </c>
      <c r="I537" s="470" t="s">
        <v>853</v>
      </c>
      <c r="J537" s="472" t="s">
        <v>854</v>
      </c>
      <c r="K537" s="470" t="s">
        <v>855</v>
      </c>
      <c r="L537" s="470" t="s">
        <v>856</v>
      </c>
      <c r="M537" s="470" t="s">
        <v>856</v>
      </c>
      <c r="N537" s="470" t="s">
        <v>756</v>
      </c>
      <c r="O537" s="472" t="s">
        <v>757</v>
      </c>
      <c r="P537" s="472" t="s">
        <v>738</v>
      </c>
      <c r="Q537" s="472" t="s">
        <v>758</v>
      </c>
      <c r="R537" s="472" t="s">
        <v>12</v>
      </c>
      <c r="S537" s="472" t="s">
        <v>12</v>
      </c>
      <c r="T537" s="472" t="s">
        <v>857</v>
      </c>
      <c r="U537" s="470" t="s">
        <v>858</v>
      </c>
      <c r="V537" s="470" t="s">
        <v>761</v>
      </c>
      <c r="W537" s="470" t="s">
        <v>859</v>
      </c>
      <c r="X537" s="470">
        <v>30</v>
      </c>
      <c r="Y537" s="470">
        <v>0</v>
      </c>
      <c r="Z537" s="470">
        <v>0</v>
      </c>
      <c r="AA537" s="470">
        <v>30</v>
      </c>
      <c r="AB537" s="470">
        <v>30</v>
      </c>
      <c r="AC537" s="473">
        <v>74033</v>
      </c>
      <c r="AD537" s="473">
        <v>74033</v>
      </c>
      <c r="AE537" s="473">
        <v>33315</v>
      </c>
      <c r="AF537" s="473">
        <v>13326</v>
      </c>
      <c r="AG537" s="473">
        <v>1600</v>
      </c>
      <c r="AH537" s="473">
        <v>200</v>
      </c>
      <c r="AI537" s="473">
        <v>1250</v>
      </c>
      <c r="AJ537" s="473">
        <v>2775</v>
      </c>
      <c r="AK537" s="473">
        <v>6663</v>
      </c>
      <c r="AL537" s="473">
        <v>4997</v>
      </c>
      <c r="AM537" s="473">
        <v>333</v>
      </c>
      <c r="AN537" s="473">
        <v>1166</v>
      </c>
      <c r="AO537" s="473">
        <v>666</v>
      </c>
      <c r="AP537" s="473">
        <v>167</v>
      </c>
      <c r="AQ537" s="473">
        <v>1800</v>
      </c>
      <c r="AR537" s="473">
        <v>5775</v>
      </c>
      <c r="AS537" s="473">
        <v>0</v>
      </c>
      <c r="AT537" s="473">
        <v>0</v>
      </c>
      <c r="AU537" s="473">
        <v>1936</v>
      </c>
      <c r="AV537" s="473">
        <v>75969</v>
      </c>
      <c r="AW537" s="474">
        <v>74033</v>
      </c>
      <c r="AX537" s="473">
        <v>0</v>
      </c>
      <c r="AY537" s="473">
        <v>0</v>
      </c>
      <c r="AZ537" s="475">
        <v>0</v>
      </c>
      <c r="BA537" s="475">
        <v>200</v>
      </c>
      <c r="BB537" s="475">
        <v>1800</v>
      </c>
      <c r="BC537" s="475">
        <v>0</v>
      </c>
      <c r="BD537" s="475">
        <v>0</v>
      </c>
      <c r="BE537" s="475">
        <v>0</v>
      </c>
      <c r="BF537" s="475">
        <v>0</v>
      </c>
      <c r="BG537" s="475">
        <v>2000</v>
      </c>
      <c r="BH537" s="476">
        <v>73969</v>
      </c>
      <c r="BI537" s="467"/>
      <c r="BJ537" s="468"/>
    </row>
    <row r="538" spans="1:62">
      <c r="A538" s="469">
        <v>45901</v>
      </c>
      <c r="B538" s="469" t="s">
        <v>747</v>
      </c>
      <c r="C538" s="508" t="s">
        <v>748</v>
      </c>
      <c r="D538" s="470" t="s">
        <v>749</v>
      </c>
      <c r="E538" s="471">
        <v>2186</v>
      </c>
      <c r="F538" s="470" t="s">
        <v>1277</v>
      </c>
      <c r="G538" s="470" t="s">
        <v>751</v>
      </c>
      <c r="H538" s="470" t="s">
        <v>12</v>
      </c>
      <c r="I538" s="470" t="s">
        <v>1278</v>
      </c>
      <c r="J538" s="472" t="s">
        <v>1279</v>
      </c>
      <c r="K538" s="470" t="s">
        <v>1280</v>
      </c>
      <c r="L538" s="470" t="s">
        <v>980</v>
      </c>
      <c r="M538" s="470" t="s">
        <v>980</v>
      </c>
      <c r="N538" s="470" t="s">
        <v>1275</v>
      </c>
      <c r="O538" s="472" t="s">
        <v>757</v>
      </c>
      <c r="P538" s="472" t="s">
        <v>738</v>
      </c>
      <c r="Q538" s="472" t="s">
        <v>758</v>
      </c>
      <c r="R538" s="472" t="s">
        <v>12</v>
      </c>
      <c r="S538" s="472" t="s">
        <v>12</v>
      </c>
      <c r="T538" s="472" t="s">
        <v>1281</v>
      </c>
      <c r="U538" s="470" t="s">
        <v>1282</v>
      </c>
      <c r="V538" s="470" t="s">
        <v>761</v>
      </c>
      <c r="W538" s="470" t="s">
        <v>762</v>
      </c>
      <c r="X538" s="470">
        <v>30</v>
      </c>
      <c r="Y538" s="470">
        <v>0</v>
      </c>
      <c r="Z538" s="470">
        <v>0.5</v>
      </c>
      <c r="AA538" s="470">
        <v>29.5</v>
      </c>
      <c r="AB538" s="470">
        <v>29.5</v>
      </c>
      <c r="AC538" s="473">
        <v>63200</v>
      </c>
      <c r="AD538" s="473">
        <v>63200</v>
      </c>
      <c r="AE538" s="473">
        <v>27966</v>
      </c>
      <c r="AF538" s="473">
        <v>11186</v>
      </c>
      <c r="AG538" s="473">
        <v>1573</v>
      </c>
      <c r="AH538" s="473">
        <v>197</v>
      </c>
      <c r="AI538" s="473">
        <v>1229</v>
      </c>
      <c r="AJ538" s="473">
        <v>2330</v>
      </c>
      <c r="AK538" s="473">
        <v>5593</v>
      </c>
      <c r="AL538" s="473">
        <v>4195</v>
      </c>
      <c r="AM538" s="473">
        <v>280</v>
      </c>
      <c r="AN538" s="473">
        <v>979</v>
      </c>
      <c r="AO538" s="473">
        <v>559</v>
      </c>
      <c r="AP538" s="473">
        <v>140</v>
      </c>
      <c r="AQ538" s="473">
        <v>1800</v>
      </c>
      <c r="AR538" s="473">
        <v>4120</v>
      </c>
      <c r="AS538" s="473">
        <v>0</v>
      </c>
      <c r="AT538" s="473">
        <v>0</v>
      </c>
      <c r="AU538" s="473">
        <v>0</v>
      </c>
      <c r="AV538" s="473">
        <v>62147</v>
      </c>
      <c r="AW538" s="474">
        <v>62147</v>
      </c>
      <c r="AX538" s="473">
        <v>0</v>
      </c>
      <c r="AY538" s="473">
        <v>0</v>
      </c>
      <c r="AZ538" s="475">
        <v>0</v>
      </c>
      <c r="BA538" s="475">
        <v>200</v>
      </c>
      <c r="BB538" s="475">
        <v>1800</v>
      </c>
      <c r="BC538" s="475">
        <v>0</v>
      </c>
      <c r="BD538" s="475">
        <v>0</v>
      </c>
      <c r="BE538" s="475">
        <v>0</v>
      </c>
      <c r="BF538" s="475">
        <v>0</v>
      </c>
      <c r="BG538" s="475">
        <v>2000</v>
      </c>
      <c r="BH538" s="476">
        <v>60147</v>
      </c>
      <c r="BI538" s="467"/>
      <c r="BJ538" s="468"/>
    </row>
    <row r="539" spans="1:62">
      <c r="A539" s="469">
        <v>45901</v>
      </c>
      <c r="B539" s="469" t="s">
        <v>747</v>
      </c>
      <c r="C539" s="508" t="s">
        <v>748</v>
      </c>
      <c r="D539" s="470" t="s">
        <v>749</v>
      </c>
      <c r="E539" s="471">
        <v>1209</v>
      </c>
      <c r="F539" s="470" t="s">
        <v>868</v>
      </c>
      <c r="G539" s="470" t="s">
        <v>751</v>
      </c>
      <c r="H539" s="470" t="s">
        <v>12</v>
      </c>
      <c r="I539" s="470" t="s">
        <v>869</v>
      </c>
      <c r="J539" s="472" t="s">
        <v>870</v>
      </c>
      <c r="K539" s="470" t="s">
        <v>871</v>
      </c>
      <c r="L539" s="470" t="s">
        <v>873</v>
      </c>
      <c r="M539" s="470" t="s">
        <v>873</v>
      </c>
      <c r="N539" s="470" t="s">
        <v>833</v>
      </c>
      <c r="O539" s="472" t="s">
        <v>757</v>
      </c>
      <c r="P539" s="472" t="s">
        <v>738</v>
      </c>
      <c r="Q539" s="472" t="s">
        <v>758</v>
      </c>
      <c r="R539" s="472" t="s">
        <v>12</v>
      </c>
      <c r="S539" s="472" t="s">
        <v>12</v>
      </c>
      <c r="T539" s="472" t="s">
        <v>874</v>
      </c>
      <c r="U539" s="470" t="s">
        <v>875</v>
      </c>
      <c r="V539" s="470" t="s">
        <v>761</v>
      </c>
      <c r="W539" s="470" t="s">
        <v>876</v>
      </c>
      <c r="X539" s="470">
        <v>30</v>
      </c>
      <c r="Y539" s="470">
        <v>0</v>
      </c>
      <c r="Z539" s="470">
        <v>0</v>
      </c>
      <c r="AA539" s="470">
        <v>30</v>
      </c>
      <c r="AB539" s="470">
        <v>30</v>
      </c>
      <c r="AC539" s="473">
        <v>83333</v>
      </c>
      <c r="AD539" s="473">
        <v>83333</v>
      </c>
      <c r="AE539" s="473">
        <v>37500</v>
      </c>
      <c r="AF539" s="473">
        <v>15000</v>
      </c>
      <c r="AG539" s="473">
        <v>1600</v>
      </c>
      <c r="AH539" s="473">
        <v>200</v>
      </c>
      <c r="AI539" s="473">
        <v>1250</v>
      </c>
      <c r="AJ539" s="473">
        <v>3124</v>
      </c>
      <c r="AK539" s="473">
        <v>7500</v>
      </c>
      <c r="AL539" s="473">
        <v>5625</v>
      </c>
      <c r="AM539" s="473">
        <v>375</v>
      </c>
      <c r="AN539" s="473">
        <v>1313</v>
      </c>
      <c r="AO539" s="473">
        <v>750</v>
      </c>
      <c r="AP539" s="473">
        <v>188</v>
      </c>
      <c r="AQ539" s="473">
        <v>1800</v>
      </c>
      <c r="AR539" s="473">
        <v>7108</v>
      </c>
      <c r="AS539" s="473">
        <v>0</v>
      </c>
      <c r="AT539" s="473">
        <v>0</v>
      </c>
      <c r="AU539" s="473">
        <v>455</v>
      </c>
      <c r="AV539" s="473">
        <v>83788</v>
      </c>
      <c r="AW539" s="474">
        <v>83333</v>
      </c>
      <c r="AX539" s="473">
        <v>0</v>
      </c>
      <c r="AY539" s="473">
        <v>0</v>
      </c>
      <c r="AZ539" s="475">
        <v>0</v>
      </c>
      <c r="BA539" s="475">
        <v>200</v>
      </c>
      <c r="BB539" s="475">
        <v>1800</v>
      </c>
      <c r="BC539" s="475">
        <v>0</v>
      </c>
      <c r="BD539" s="475">
        <v>0</v>
      </c>
      <c r="BE539" s="475">
        <v>0</v>
      </c>
      <c r="BF539" s="475">
        <v>0</v>
      </c>
      <c r="BG539" s="475">
        <v>2000</v>
      </c>
      <c r="BH539" s="476">
        <v>81788</v>
      </c>
      <c r="BI539" s="467"/>
      <c r="BJ539" s="468"/>
    </row>
    <row r="540" spans="1:62">
      <c r="A540" s="469">
        <v>45901</v>
      </c>
      <c r="B540" s="469" t="s">
        <v>747</v>
      </c>
      <c r="C540" s="508" t="s">
        <v>748</v>
      </c>
      <c r="D540" s="470" t="s">
        <v>749</v>
      </c>
      <c r="E540" s="471">
        <v>1517</v>
      </c>
      <c r="F540" s="470" t="s">
        <v>877</v>
      </c>
      <c r="G540" s="470" t="s">
        <v>751</v>
      </c>
      <c r="H540" s="470" t="s">
        <v>12</v>
      </c>
      <c r="I540" s="470" t="s">
        <v>878</v>
      </c>
      <c r="J540" s="472" t="s">
        <v>879</v>
      </c>
      <c r="K540" s="470" t="s">
        <v>880</v>
      </c>
      <c r="L540" s="470" t="s">
        <v>881</v>
      </c>
      <c r="M540" s="470" t="s">
        <v>881</v>
      </c>
      <c r="N540" s="470" t="s">
        <v>833</v>
      </c>
      <c r="O540" s="472" t="s">
        <v>757</v>
      </c>
      <c r="P540" s="472" t="s">
        <v>738</v>
      </c>
      <c r="Q540" s="472" t="s">
        <v>758</v>
      </c>
      <c r="R540" s="472" t="s">
        <v>12</v>
      </c>
      <c r="S540" s="472" t="s">
        <v>12</v>
      </c>
      <c r="T540" s="472" t="s">
        <v>882</v>
      </c>
      <c r="U540" s="470" t="s">
        <v>883</v>
      </c>
      <c r="V540" s="470" t="s">
        <v>761</v>
      </c>
      <c r="W540" s="470" t="s">
        <v>859</v>
      </c>
      <c r="X540" s="470">
        <v>30</v>
      </c>
      <c r="Y540" s="470">
        <v>0</v>
      </c>
      <c r="Z540" s="470">
        <v>0.5</v>
      </c>
      <c r="AA540" s="470">
        <v>29.5</v>
      </c>
      <c r="AB540" s="470">
        <v>29.5</v>
      </c>
      <c r="AC540" s="473">
        <v>47190</v>
      </c>
      <c r="AD540" s="473">
        <v>47190</v>
      </c>
      <c r="AE540" s="473">
        <v>20882</v>
      </c>
      <c r="AF540" s="473">
        <v>8353</v>
      </c>
      <c r="AG540" s="473">
        <v>1573</v>
      </c>
      <c r="AH540" s="473">
        <v>197</v>
      </c>
      <c r="AI540" s="473">
        <v>1229</v>
      </c>
      <c r="AJ540" s="473">
        <v>1739</v>
      </c>
      <c r="AK540" s="473">
        <v>4176</v>
      </c>
      <c r="AL540" s="473">
        <v>3132</v>
      </c>
      <c r="AM540" s="473">
        <v>209</v>
      </c>
      <c r="AN540" s="473">
        <v>731</v>
      </c>
      <c r="AO540" s="473">
        <v>418</v>
      </c>
      <c r="AP540" s="473">
        <v>104</v>
      </c>
      <c r="AQ540" s="473">
        <v>1800</v>
      </c>
      <c r="AR540" s="473">
        <v>1861</v>
      </c>
      <c r="AS540" s="473">
        <v>0</v>
      </c>
      <c r="AT540" s="473">
        <v>0</v>
      </c>
      <c r="AU540" s="473">
        <v>0</v>
      </c>
      <c r="AV540" s="473">
        <v>46404</v>
      </c>
      <c r="AW540" s="474">
        <v>46404</v>
      </c>
      <c r="AX540" s="473">
        <v>0</v>
      </c>
      <c r="AY540" s="473">
        <v>160</v>
      </c>
      <c r="AZ540" s="475">
        <v>0</v>
      </c>
      <c r="BA540" s="475">
        <v>200</v>
      </c>
      <c r="BB540" s="475">
        <v>1800</v>
      </c>
      <c r="BC540" s="475">
        <v>0</v>
      </c>
      <c r="BD540" s="475">
        <v>0</v>
      </c>
      <c r="BE540" s="475">
        <v>0</v>
      </c>
      <c r="BF540" s="475">
        <v>0</v>
      </c>
      <c r="BG540" s="475">
        <v>2160</v>
      </c>
      <c r="BH540" s="476">
        <v>44244</v>
      </c>
      <c r="BI540" s="467"/>
      <c r="BJ540" s="468"/>
    </row>
    <row r="541" spans="1:62">
      <c r="A541" s="469">
        <v>45901</v>
      </c>
      <c r="B541" s="469" t="s">
        <v>747</v>
      </c>
      <c r="C541" s="508" t="s">
        <v>748</v>
      </c>
      <c r="D541" s="470" t="s">
        <v>749</v>
      </c>
      <c r="E541" s="471">
        <v>1202</v>
      </c>
      <c r="F541" s="470" t="s">
        <v>884</v>
      </c>
      <c r="G541" s="470" t="s">
        <v>751</v>
      </c>
      <c r="H541" s="470" t="s">
        <v>12</v>
      </c>
      <c r="I541" s="470" t="s">
        <v>885</v>
      </c>
      <c r="J541" s="472" t="s">
        <v>886</v>
      </c>
      <c r="K541" s="470" t="s">
        <v>887</v>
      </c>
      <c r="L541" s="470" t="s">
        <v>1346</v>
      </c>
      <c r="M541" s="470" t="s">
        <v>1346</v>
      </c>
      <c r="N541" s="470" t="s">
        <v>1275</v>
      </c>
      <c r="O541" s="472" t="s">
        <v>757</v>
      </c>
      <c r="P541" s="472" t="s">
        <v>738</v>
      </c>
      <c r="Q541" s="472" t="s">
        <v>758</v>
      </c>
      <c r="R541" s="472" t="s">
        <v>12</v>
      </c>
      <c r="S541" s="472" t="s">
        <v>12</v>
      </c>
      <c r="T541" s="472" t="s">
        <v>888</v>
      </c>
      <c r="U541" s="470" t="s">
        <v>889</v>
      </c>
      <c r="V541" s="470" t="s">
        <v>761</v>
      </c>
      <c r="W541" s="470" t="s">
        <v>762</v>
      </c>
      <c r="X541" s="470">
        <v>30</v>
      </c>
      <c r="Y541" s="470">
        <v>0</v>
      </c>
      <c r="Z541" s="470">
        <v>0</v>
      </c>
      <c r="AA541" s="470">
        <v>30</v>
      </c>
      <c r="AB541" s="470">
        <v>30</v>
      </c>
      <c r="AC541" s="473">
        <v>98333</v>
      </c>
      <c r="AD541" s="473">
        <v>98333</v>
      </c>
      <c r="AE541" s="473">
        <v>44250</v>
      </c>
      <c r="AF541" s="473">
        <v>17700</v>
      </c>
      <c r="AG541" s="473">
        <v>1600</v>
      </c>
      <c r="AH541" s="473">
        <v>200</v>
      </c>
      <c r="AI541" s="473">
        <v>1250</v>
      </c>
      <c r="AJ541" s="473">
        <v>3686</v>
      </c>
      <c r="AK541" s="473">
        <v>8850</v>
      </c>
      <c r="AL541" s="473">
        <v>6638</v>
      </c>
      <c r="AM541" s="473">
        <v>443</v>
      </c>
      <c r="AN541" s="473">
        <v>1549</v>
      </c>
      <c r="AO541" s="473">
        <v>885</v>
      </c>
      <c r="AP541" s="473">
        <v>221</v>
      </c>
      <c r="AQ541" s="473">
        <v>1800</v>
      </c>
      <c r="AR541" s="473">
        <v>9261</v>
      </c>
      <c r="AS541" s="473">
        <v>0</v>
      </c>
      <c r="AT541" s="473">
        <v>0</v>
      </c>
      <c r="AU541" s="473">
        <v>2957</v>
      </c>
      <c r="AV541" s="473">
        <v>101290</v>
      </c>
      <c r="AW541" s="474">
        <v>98333</v>
      </c>
      <c r="AX541" s="473">
        <v>0</v>
      </c>
      <c r="AY541" s="473">
        <v>0</v>
      </c>
      <c r="AZ541" s="475">
        <v>0</v>
      </c>
      <c r="BA541" s="475">
        <v>200</v>
      </c>
      <c r="BB541" s="475">
        <v>1800</v>
      </c>
      <c r="BC541" s="475">
        <v>0</v>
      </c>
      <c r="BD541" s="475">
        <v>0</v>
      </c>
      <c r="BE541" s="475">
        <v>0</v>
      </c>
      <c r="BF541" s="475">
        <v>0</v>
      </c>
      <c r="BG541" s="475">
        <v>2000</v>
      </c>
      <c r="BH541" s="476">
        <v>99290</v>
      </c>
      <c r="BI541" s="467"/>
      <c r="BJ541" s="468"/>
    </row>
    <row r="542" spans="1:62">
      <c r="A542" s="469">
        <v>45901</v>
      </c>
      <c r="B542" s="469" t="s">
        <v>747</v>
      </c>
      <c r="C542" s="508" t="s">
        <v>748</v>
      </c>
      <c r="D542" s="470" t="s">
        <v>749</v>
      </c>
      <c r="E542" s="471">
        <v>1205</v>
      </c>
      <c r="F542" s="470" t="s">
        <v>890</v>
      </c>
      <c r="G542" s="470" t="s">
        <v>751</v>
      </c>
      <c r="H542" s="470" t="s">
        <v>12</v>
      </c>
      <c r="I542" s="470" t="s">
        <v>891</v>
      </c>
      <c r="J542" s="472" t="s">
        <v>892</v>
      </c>
      <c r="K542" s="470" t="s">
        <v>893</v>
      </c>
      <c r="L542" s="470" t="s">
        <v>894</v>
      </c>
      <c r="M542" s="470" t="s">
        <v>895</v>
      </c>
      <c r="N542" s="470" t="s">
        <v>777</v>
      </c>
      <c r="O542" s="472" t="s">
        <v>757</v>
      </c>
      <c r="P542" s="472" t="s">
        <v>738</v>
      </c>
      <c r="Q542" s="472" t="s">
        <v>758</v>
      </c>
      <c r="R542" s="472" t="s">
        <v>12</v>
      </c>
      <c r="S542" s="472" t="s">
        <v>12</v>
      </c>
      <c r="T542" s="472" t="s">
        <v>896</v>
      </c>
      <c r="U542" s="470" t="s">
        <v>897</v>
      </c>
      <c r="V542" s="470" t="s">
        <v>761</v>
      </c>
      <c r="W542" s="470" t="s">
        <v>898</v>
      </c>
      <c r="X542" s="470">
        <v>30</v>
      </c>
      <c r="Y542" s="470">
        <v>0</v>
      </c>
      <c r="Z542" s="470">
        <v>0</v>
      </c>
      <c r="AA542" s="470">
        <v>17</v>
      </c>
      <c r="AB542" s="470">
        <v>17</v>
      </c>
      <c r="AC542" s="473">
        <v>32307</v>
      </c>
      <c r="AD542" s="473">
        <v>32307</v>
      </c>
      <c r="AE542" s="473">
        <v>8238</v>
      </c>
      <c r="AF542" s="473">
        <v>3295</v>
      </c>
      <c r="AG542" s="473">
        <v>907</v>
      </c>
      <c r="AH542" s="473">
        <v>200</v>
      </c>
      <c r="AI542" s="473">
        <v>708</v>
      </c>
      <c r="AJ542" s="473">
        <v>0</v>
      </c>
      <c r="AK542" s="473">
        <v>0</v>
      </c>
      <c r="AL542" s="473">
        <v>0</v>
      </c>
      <c r="AM542" s="473">
        <v>0</v>
      </c>
      <c r="AN542" s="473">
        <v>0</v>
      </c>
      <c r="AO542" s="473">
        <v>0</v>
      </c>
      <c r="AP542" s="473">
        <v>0</v>
      </c>
      <c r="AQ542" s="473">
        <v>989</v>
      </c>
      <c r="AR542" s="473">
        <v>3970</v>
      </c>
      <c r="AS542" s="473">
        <v>0</v>
      </c>
      <c r="AT542" s="473">
        <v>0</v>
      </c>
      <c r="AU542" s="473">
        <v>112</v>
      </c>
      <c r="AV542" s="473">
        <v>18419</v>
      </c>
      <c r="AW542" s="474">
        <v>18307</v>
      </c>
      <c r="AX542" s="473">
        <v>0</v>
      </c>
      <c r="AY542" s="473">
        <v>0</v>
      </c>
      <c r="AZ542" s="475">
        <v>0</v>
      </c>
      <c r="BA542" s="475">
        <v>200</v>
      </c>
      <c r="BB542" s="475">
        <v>989</v>
      </c>
      <c r="BC542" s="475">
        <v>0</v>
      </c>
      <c r="BD542" s="475">
        <v>0</v>
      </c>
      <c r="BE542" s="475">
        <v>0</v>
      </c>
      <c r="BF542" s="475">
        <v>0</v>
      </c>
      <c r="BG542" s="475">
        <v>1189</v>
      </c>
      <c r="BH542" s="476">
        <v>17230</v>
      </c>
      <c r="BI542" s="467"/>
      <c r="BJ542" s="468"/>
    </row>
    <row r="543" spans="1:62">
      <c r="A543" s="469">
        <v>45901</v>
      </c>
      <c r="B543" s="469" t="s">
        <v>747</v>
      </c>
      <c r="C543" s="508" t="s">
        <v>748</v>
      </c>
      <c r="D543" s="470" t="s">
        <v>749</v>
      </c>
      <c r="E543" s="471">
        <v>2234</v>
      </c>
      <c r="F543" s="470" t="s">
        <v>1347</v>
      </c>
      <c r="G543" s="470" t="s">
        <v>751</v>
      </c>
      <c r="H543" s="470" t="s">
        <v>12</v>
      </c>
      <c r="I543" s="470" t="s">
        <v>1348</v>
      </c>
      <c r="J543" s="472" t="s">
        <v>1349</v>
      </c>
      <c r="K543" s="470" t="s">
        <v>1350</v>
      </c>
      <c r="L543" s="470" t="s">
        <v>1351</v>
      </c>
      <c r="M543" s="470" t="s">
        <v>1351</v>
      </c>
      <c r="N543" s="470" t="s">
        <v>833</v>
      </c>
      <c r="O543" s="472" t="s">
        <v>757</v>
      </c>
      <c r="P543" s="472" t="s">
        <v>738</v>
      </c>
      <c r="Q543" s="472" t="s">
        <v>758</v>
      </c>
      <c r="R543" s="472" t="s">
        <v>12</v>
      </c>
      <c r="S543" s="472" t="s">
        <v>12</v>
      </c>
      <c r="T543" s="472" t="s">
        <v>1352</v>
      </c>
      <c r="U543" s="470" t="s">
        <v>1353</v>
      </c>
      <c r="V543" s="470" t="s">
        <v>761</v>
      </c>
      <c r="W543" s="470" t="s">
        <v>1354</v>
      </c>
      <c r="X543" s="470">
        <v>30</v>
      </c>
      <c r="Y543" s="470">
        <v>0</v>
      </c>
      <c r="Z543" s="470">
        <v>0</v>
      </c>
      <c r="AA543" s="470">
        <v>1</v>
      </c>
      <c r="AB543" s="470">
        <v>1</v>
      </c>
      <c r="AC543" s="473">
        <v>52200</v>
      </c>
      <c r="AD543" s="473">
        <v>52200</v>
      </c>
      <c r="AE543" s="473">
        <v>783</v>
      </c>
      <c r="AF543" s="473">
        <v>313</v>
      </c>
      <c r="AG543" s="473">
        <v>53</v>
      </c>
      <c r="AH543" s="473">
        <v>200</v>
      </c>
      <c r="AI543" s="473">
        <v>42</v>
      </c>
      <c r="AJ543" s="473">
        <v>65</v>
      </c>
      <c r="AK543" s="473">
        <v>157</v>
      </c>
      <c r="AL543" s="473">
        <v>117</v>
      </c>
      <c r="AM543" s="473">
        <v>8</v>
      </c>
      <c r="AN543" s="473">
        <v>27</v>
      </c>
      <c r="AO543" s="473">
        <v>16</v>
      </c>
      <c r="AP543" s="473">
        <v>4</v>
      </c>
      <c r="AQ543" s="473">
        <v>94</v>
      </c>
      <c r="AR543" s="473">
        <v>-139</v>
      </c>
      <c r="AS543" s="473">
        <v>0</v>
      </c>
      <c r="AT543" s="473">
        <v>0</v>
      </c>
      <c r="AU543" s="473">
        <v>0</v>
      </c>
      <c r="AV543" s="473">
        <v>1740</v>
      </c>
      <c r="AW543" s="474">
        <v>1740</v>
      </c>
      <c r="AX543" s="473">
        <v>0</v>
      </c>
      <c r="AY543" s="473">
        <v>0</v>
      </c>
      <c r="AZ543" s="475">
        <v>0</v>
      </c>
      <c r="BA543" s="475">
        <v>0</v>
      </c>
      <c r="BB543" s="475">
        <v>94</v>
      </c>
      <c r="BC543" s="475">
        <v>0</v>
      </c>
      <c r="BD543" s="475">
        <v>0</v>
      </c>
      <c r="BE543" s="475">
        <v>0</v>
      </c>
      <c r="BF543" s="475">
        <v>0</v>
      </c>
      <c r="BG543" s="475">
        <v>94</v>
      </c>
      <c r="BH543" s="476">
        <v>1646</v>
      </c>
      <c r="BI543" s="467"/>
      <c r="BJ543" s="468"/>
    </row>
    <row r="544" spans="1:62">
      <c r="A544" s="469">
        <v>45901</v>
      </c>
      <c r="B544" s="469" t="s">
        <v>747</v>
      </c>
      <c r="C544" s="508" t="s">
        <v>748</v>
      </c>
      <c r="D544" s="470" t="s">
        <v>749</v>
      </c>
      <c r="E544" s="471">
        <v>748</v>
      </c>
      <c r="F544" s="470" t="s">
        <v>899</v>
      </c>
      <c r="G544" s="470" t="s">
        <v>751</v>
      </c>
      <c r="H544" s="470" t="s">
        <v>12</v>
      </c>
      <c r="I544" s="470" t="s">
        <v>900</v>
      </c>
      <c r="J544" s="472" t="s">
        <v>901</v>
      </c>
      <c r="K544" s="470" t="s">
        <v>902</v>
      </c>
      <c r="L544" s="470" t="s">
        <v>1283</v>
      </c>
      <c r="M544" s="470" t="s">
        <v>1284</v>
      </c>
      <c r="N544" s="470" t="s">
        <v>904</v>
      </c>
      <c r="O544" s="472" t="s">
        <v>757</v>
      </c>
      <c r="P544" s="472" t="s">
        <v>738</v>
      </c>
      <c r="Q544" s="472" t="s">
        <v>758</v>
      </c>
      <c r="R544" s="472" t="s">
        <v>12</v>
      </c>
      <c r="S544" s="472" t="s">
        <v>12</v>
      </c>
      <c r="T544" s="472" t="s">
        <v>905</v>
      </c>
      <c r="U544" s="470" t="s">
        <v>906</v>
      </c>
      <c r="V544" s="470" t="s">
        <v>761</v>
      </c>
      <c r="W544" s="470" t="s">
        <v>907</v>
      </c>
      <c r="X544" s="470">
        <v>30</v>
      </c>
      <c r="Y544" s="470">
        <v>0</v>
      </c>
      <c r="Z544" s="470">
        <v>0</v>
      </c>
      <c r="AA544" s="470">
        <v>30</v>
      </c>
      <c r="AB544" s="470">
        <v>30</v>
      </c>
      <c r="AC544" s="473">
        <v>62333</v>
      </c>
      <c r="AD544" s="473">
        <v>62333</v>
      </c>
      <c r="AE544" s="473">
        <v>28050</v>
      </c>
      <c r="AF544" s="473">
        <v>11220</v>
      </c>
      <c r="AG544" s="473">
        <v>1600</v>
      </c>
      <c r="AH544" s="473">
        <v>200</v>
      </c>
      <c r="AI544" s="473">
        <v>1250</v>
      </c>
      <c r="AJ544" s="473">
        <v>2337</v>
      </c>
      <c r="AK544" s="473">
        <v>5610</v>
      </c>
      <c r="AL544" s="473">
        <v>4208</v>
      </c>
      <c r="AM544" s="473">
        <v>281</v>
      </c>
      <c r="AN544" s="473">
        <v>982</v>
      </c>
      <c r="AO544" s="473">
        <v>561</v>
      </c>
      <c r="AP544" s="473">
        <v>140</v>
      </c>
      <c r="AQ544" s="473">
        <v>1800</v>
      </c>
      <c r="AR544" s="473">
        <v>4094</v>
      </c>
      <c r="AS544" s="473">
        <v>0</v>
      </c>
      <c r="AT544" s="473">
        <v>0</v>
      </c>
      <c r="AU544" s="473">
        <v>2129</v>
      </c>
      <c r="AV544" s="473">
        <v>64462</v>
      </c>
      <c r="AW544" s="474">
        <v>62333</v>
      </c>
      <c r="AX544" s="473">
        <v>0</v>
      </c>
      <c r="AY544" s="473">
        <v>0</v>
      </c>
      <c r="AZ544" s="475">
        <v>0</v>
      </c>
      <c r="BA544" s="475">
        <v>200</v>
      </c>
      <c r="BB544" s="475">
        <v>1800</v>
      </c>
      <c r="BC544" s="475">
        <v>0</v>
      </c>
      <c r="BD544" s="475">
        <v>0</v>
      </c>
      <c r="BE544" s="475">
        <v>0</v>
      </c>
      <c r="BF544" s="475">
        <v>15000</v>
      </c>
      <c r="BG544" s="475">
        <v>17000</v>
      </c>
      <c r="BH544" s="476">
        <v>47462</v>
      </c>
      <c r="BI544" s="467"/>
      <c r="BJ544" s="468"/>
    </row>
    <row r="545" spans="1:62">
      <c r="A545" s="469">
        <v>45901</v>
      </c>
      <c r="B545" s="469" t="s">
        <v>747</v>
      </c>
      <c r="C545" s="508" t="s">
        <v>748</v>
      </c>
      <c r="D545" s="470" t="s">
        <v>749</v>
      </c>
      <c r="E545" s="471">
        <v>2214</v>
      </c>
      <c r="F545" s="470" t="s">
        <v>1355</v>
      </c>
      <c r="G545" s="470" t="s">
        <v>751</v>
      </c>
      <c r="H545" s="470" t="s">
        <v>12</v>
      </c>
      <c r="I545" s="470" t="s">
        <v>1340</v>
      </c>
      <c r="J545" s="472" t="s">
        <v>1356</v>
      </c>
      <c r="K545" s="470" t="s">
        <v>1357</v>
      </c>
      <c r="L545" s="470" t="s">
        <v>1358</v>
      </c>
      <c r="M545" s="470" t="s">
        <v>1358</v>
      </c>
      <c r="N545" s="470" t="s">
        <v>1108</v>
      </c>
      <c r="O545" s="472" t="s">
        <v>757</v>
      </c>
      <c r="P545" s="472" t="s">
        <v>738</v>
      </c>
      <c r="Q545" s="472" t="s">
        <v>758</v>
      </c>
      <c r="R545" s="472" t="s">
        <v>12</v>
      </c>
      <c r="S545" s="472" t="s">
        <v>12</v>
      </c>
      <c r="T545" s="472" t="s">
        <v>1359</v>
      </c>
      <c r="U545" s="470" t="s">
        <v>1360</v>
      </c>
      <c r="V545" s="470" t="s">
        <v>761</v>
      </c>
      <c r="W545" s="470" t="s">
        <v>1361</v>
      </c>
      <c r="X545" s="470">
        <v>30</v>
      </c>
      <c r="Y545" s="470">
        <v>0</v>
      </c>
      <c r="Z545" s="470">
        <v>0</v>
      </c>
      <c r="AA545" s="470">
        <v>16</v>
      </c>
      <c r="AB545" s="470">
        <v>16</v>
      </c>
      <c r="AC545" s="473">
        <v>54867</v>
      </c>
      <c r="AD545" s="473">
        <v>54867</v>
      </c>
      <c r="AE545" s="473">
        <v>13168</v>
      </c>
      <c r="AF545" s="473">
        <v>5267</v>
      </c>
      <c r="AG545" s="473">
        <v>853</v>
      </c>
      <c r="AH545" s="473">
        <v>200</v>
      </c>
      <c r="AI545" s="473">
        <v>667</v>
      </c>
      <c r="AJ545" s="473">
        <v>1097</v>
      </c>
      <c r="AK545" s="473">
        <v>2634</v>
      </c>
      <c r="AL545" s="473">
        <v>1975</v>
      </c>
      <c r="AM545" s="473">
        <v>132</v>
      </c>
      <c r="AN545" s="473">
        <v>461</v>
      </c>
      <c r="AO545" s="473">
        <v>263</v>
      </c>
      <c r="AP545" s="473">
        <v>66</v>
      </c>
      <c r="AQ545" s="473">
        <v>1580</v>
      </c>
      <c r="AR545" s="473">
        <v>899</v>
      </c>
      <c r="AS545" s="473">
        <v>0</v>
      </c>
      <c r="AT545" s="473">
        <v>0</v>
      </c>
      <c r="AU545" s="473">
        <v>0</v>
      </c>
      <c r="AV545" s="473">
        <v>29262</v>
      </c>
      <c r="AW545" s="474">
        <v>29262</v>
      </c>
      <c r="AX545" s="473">
        <v>0</v>
      </c>
      <c r="AY545" s="473">
        <v>0</v>
      </c>
      <c r="AZ545" s="475">
        <v>0</v>
      </c>
      <c r="BA545" s="475">
        <v>200</v>
      </c>
      <c r="BB545" s="475">
        <v>1580</v>
      </c>
      <c r="BC545" s="475">
        <v>0</v>
      </c>
      <c r="BD545" s="475">
        <v>0</v>
      </c>
      <c r="BE545" s="475">
        <v>0</v>
      </c>
      <c r="BF545" s="475">
        <v>0</v>
      </c>
      <c r="BG545" s="475">
        <v>1780</v>
      </c>
      <c r="BH545" s="476">
        <v>27482</v>
      </c>
      <c r="BI545" s="467"/>
      <c r="BJ545" s="468"/>
    </row>
    <row r="546" spans="1:62">
      <c r="A546" s="469">
        <v>45901</v>
      </c>
      <c r="B546" s="469" t="s">
        <v>747</v>
      </c>
      <c r="C546" s="508" t="s">
        <v>748</v>
      </c>
      <c r="D546" s="470" t="s">
        <v>749</v>
      </c>
      <c r="E546" s="471">
        <v>2152</v>
      </c>
      <c r="F546" s="470" t="s">
        <v>1285</v>
      </c>
      <c r="G546" s="470" t="s">
        <v>751</v>
      </c>
      <c r="H546" s="470" t="s">
        <v>12</v>
      </c>
      <c r="I546" s="470" t="s">
        <v>1286</v>
      </c>
      <c r="J546" s="472" t="s">
        <v>1287</v>
      </c>
      <c r="K546" s="470" t="s">
        <v>1288</v>
      </c>
      <c r="L546" s="470" t="s">
        <v>1165</v>
      </c>
      <c r="M546" s="470" t="s">
        <v>1165</v>
      </c>
      <c r="N546" s="470" t="s">
        <v>756</v>
      </c>
      <c r="O546" s="472" t="s">
        <v>757</v>
      </c>
      <c r="P546" s="472" t="s">
        <v>738</v>
      </c>
      <c r="Q546" s="472" t="s">
        <v>758</v>
      </c>
      <c r="R546" s="472" t="s">
        <v>12</v>
      </c>
      <c r="S546" s="472" t="s">
        <v>12</v>
      </c>
      <c r="T546" s="472" t="s">
        <v>1289</v>
      </c>
      <c r="U546" s="470" t="s">
        <v>1290</v>
      </c>
      <c r="V546" s="470" t="s">
        <v>761</v>
      </c>
      <c r="W546" s="470" t="s">
        <v>898</v>
      </c>
      <c r="X546" s="470">
        <v>30</v>
      </c>
      <c r="Y546" s="470">
        <v>0</v>
      </c>
      <c r="Z546" s="470">
        <v>0</v>
      </c>
      <c r="AA546" s="470">
        <v>30</v>
      </c>
      <c r="AB546" s="470">
        <v>30</v>
      </c>
      <c r="AC546" s="473">
        <v>32760</v>
      </c>
      <c r="AD546" s="473">
        <v>32760</v>
      </c>
      <c r="AE546" s="473">
        <v>14742</v>
      </c>
      <c r="AF546" s="473">
        <v>5897</v>
      </c>
      <c r="AG546" s="473">
        <v>1600</v>
      </c>
      <c r="AH546" s="473">
        <v>200</v>
      </c>
      <c r="AI546" s="473">
        <v>1250</v>
      </c>
      <c r="AJ546" s="473">
        <v>0</v>
      </c>
      <c r="AK546" s="473">
        <v>0</v>
      </c>
      <c r="AL546" s="473">
        <v>0</v>
      </c>
      <c r="AM546" s="473">
        <v>0</v>
      </c>
      <c r="AN546" s="473">
        <v>0</v>
      </c>
      <c r="AO546" s="473">
        <v>0</v>
      </c>
      <c r="AP546" s="473">
        <v>0</v>
      </c>
      <c r="AQ546" s="473">
        <v>1769</v>
      </c>
      <c r="AR546" s="473">
        <v>7302</v>
      </c>
      <c r="AS546" s="473">
        <v>0</v>
      </c>
      <c r="AT546" s="473">
        <v>0</v>
      </c>
      <c r="AU546" s="473">
        <v>0</v>
      </c>
      <c r="AV546" s="473">
        <v>32760</v>
      </c>
      <c r="AW546" s="474">
        <v>32760</v>
      </c>
      <c r="AX546" s="473">
        <v>0</v>
      </c>
      <c r="AY546" s="473">
        <v>0</v>
      </c>
      <c r="AZ546" s="475">
        <v>0</v>
      </c>
      <c r="BA546" s="475">
        <v>200</v>
      </c>
      <c r="BB546" s="475">
        <v>1769</v>
      </c>
      <c r="BC546" s="475">
        <v>0</v>
      </c>
      <c r="BD546" s="475">
        <v>0</v>
      </c>
      <c r="BE546" s="475">
        <v>0</v>
      </c>
      <c r="BF546" s="475">
        <v>0</v>
      </c>
      <c r="BG546" s="475">
        <v>1969</v>
      </c>
      <c r="BH546" s="476">
        <v>30791</v>
      </c>
      <c r="BI546" s="467"/>
      <c r="BJ546" s="468"/>
    </row>
    <row r="547" spans="1:62">
      <c r="A547" s="469">
        <v>45901</v>
      </c>
      <c r="B547" s="469" t="s">
        <v>747</v>
      </c>
      <c r="C547" s="508" t="s">
        <v>748</v>
      </c>
      <c r="D547" s="470" t="s">
        <v>749</v>
      </c>
      <c r="E547" s="471">
        <v>1875</v>
      </c>
      <c r="F547" s="470" t="s">
        <v>908</v>
      </c>
      <c r="G547" s="470" t="s">
        <v>751</v>
      </c>
      <c r="H547" s="470" t="s">
        <v>12</v>
      </c>
      <c r="I547" s="470" t="s">
        <v>909</v>
      </c>
      <c r="J547" s="472" t="s">
        <v>910</v>
      </c>
      <c r="K547" s="470" t="s">
        <v>911</v>
      </c>
      <c r="L547" s="470" t="s">
        <v>1338</v>
      </c>
      <c r="M547" s="470" t="s">
        <v>776</v>
      </c>
      <c r="N547" s="470" t="s">
        <v>1275</v>
      </c>
      <c r="O547" s="472" t="s">
        <v>757</v>
      </c>
      <c r="P547" s="472" t="s">
        <v>738</v>
      </c>
      <c r="Q547" s="472" t="s">
        <v>758</v>
      </c>
      <c r="R547" s="472" t="s">
        <v>12</v>
      </c>
      <c r="S547" s="472" t="s">
        <v>12</v>
      </c>
      <c r="T547" s="472" t="s">
        <v>912</v>
      </c>
      <c r="U547" s="470" t="s">
        <v>913</v>
      </c>
      <c r="V547" s="470" t="s">
        <v>761</v>
      </c>
      <c r="W547" s="470" t="s">
        <v>859</v>
      </c>
      <c r="X547" s="470">
        <v>30</v>
      </c>
      <c r="Y547" s="470">
        <v>0</v>
      </c>
      <c r="Z547" s="470">
        <v>0</v>
      </c>
      <c r="AA547" s="470">
        <v>30</v>
      </c>
      <c r="AB547" s="470">
        <v>30</v>
      </c>
      <c r="AC547" s="473">
        <v>65840</v>
      </c>
      <c r="AD547" s="473">
        <v>65840</v>
      </c>
      <c r="AE547" s="473">
        <v>29628</v>
      </c>
      <c r="AF547" s="473">
        <v>11851</v>
      </c>
      <c r="AG547" s="473">
        <v>1600</v>
      </c>
      <c r="AH547" s="473">
        <v>200</v>
      </c>
      <c r="AI547" s="473">
        <v>1250</v>
      </c>
      <c r="AJ547" s="473">
        <v>2468</v>
      </c>
      <c r="AK547" s="473">
        <v>5926</v>
      </c>
      <c r="AL547" s="473">
        <v>4444</v>
      </c>
      <c r="AM547" s="473">
        <v>296</v>
      </c>
      <c r="AN547" s="473">
        <v>1037</v>
      </c>
      <c r="AO547" s="473">
        <v>593</v>
      </c>
      <c r="AP547" s="473">
        <v>148</v>
      </c>
      <c r="AQ547" s="473">
        <v>1800</v>
      </c>
      <c r="AR547" s="473">
        <v>4599</v>
      </c>
      <c r="AS547" s="473">
        <v>0</v>
      </c>
      <c r="AT547" s="473">
        <v>0</v>
      </c>
      <c r="AU547" s="473">
        <v>3575</v>
      </c>
      <c r="AV547" s="473">
        <v>69415</v>
      </c>
      <c r="AW547" s="474">
        <v>65840</v>
      </c>
      <c r="AX547" s="473">
        <v>0</v>
      </c>
      <c r="AY547" s="473">
        <v>0</v>
      </c>
      <c r="AZ547" s="475">
        <v>0</v>
      </c>
      <c r="BA547" s="475">
        <v>200</v>
      </c>
      <c r="BB547" s="475">
        <v>1800</v>
      </c>
      <c r="BC547" s="475">
        <v>0</v>
      </c>
      <c r="BD547" s="475">
        <v>0</v>
      </c>
      <c r="BE547" s="475">
        <v>0</v>
      </c>
      <c r="BF547" s="475">
        <v>0</v>
      </c>
      <c r="BG547" s="475">
        <v>2000</v>
      </c>
      <c r="BH547" s="476">
        <v>67415</v>
      </c>
      <c r="BI547" s="467"/>
      <c r="BJ547" s="468"/>
    </row>
    <row r="548" spans="1:62">
      <c r="A548" s="469">
        <v>45901</v>
      </c>
      <c r="B548" s="469" t="s">
        <v>747</v>
      </c>
      <c r="C548" s="508" t="s">
        <v>748</v>
      </c>
      <c r="D548" s="470" t="s">
        <v>749</v>
      </c>
      <c r="E548" s="471">
        <v>1135</v>
      </c>
      <c r="F548" s="470" t="s">
        <v>914</v>
      </c>
      <c r="G548" s="470" t="s">
        <v>751</v>
      </c>
      <c r="H548" s="470" t="s">
        <v>12</v>
      </c>
      <c r="I548" s="470" t="s">
        <v>915</v>
      </c>
      <c r="J548" s="472" t="s">
        <v>916</v>
      </c>
      <c r="K548" s="470" t="s">
        <v>917</v>
      </c>
      <c r="L548" s="470" t="s">
        <v>1291</v>
      </c>
      <c r="M548" s="470" t="s">
        <v>1291</v>
      </c>
      <c r="N548" s="470" t="s">
        <v>1275</v>
      </c>
      <c r="O548" s="472" t="s">
        <v>792</v>
      </c>
      <c r="P548" s="472" t="s">
        <v>738</v>
      </c>
      <c r="Q548" s="472" t="s">
        <v>758</v>
      </c>
      <c r="R548" s="472" t="s">
        <v>12</v>
      </c>
      <c r="S548" s="472" t="s">
        <v>12</v>
      </c>
      <c r="T548" s="472" t="s">
        <v>919</v>
      </c>
      <c r="U548" s="470" t="s">
        <v>920</v>
      </c>
      <c r="V548" s="470" t="s">
        <v>761</v>
      </c>
      <c r="W548" s="470" t="s">
        <v>921</v>
      </c>
      <c r="X548" s="470">
        <v>30</v>
      </c>
      <c r="Y548" s="470">
        <v>0</v>
      </c>
      <c r="Z548" s="470">
        <v>0</v>
      </c>
      <c r="AA548" s="470">
        <v>30</v>
      </c>
      <c r="AB548" s="470">
        <v>30</v>
      </c>
      <c r="AC548" s="473">
        <v>146667</v>
      </c>
      <c r="AD548" s="473">
        <v>146667</v>
      </c>
      <c r="AE548" s="473">
        <v>66000</v>
      </c>
      <c r="AF548" s="473">
        <v>26400</v>
      </c>
      <c r="AG548" s="473">
        <v>1600</v>
      </c>
      <c r="AH548" s="473">
        <v>200</v>
      </c>
      <c r="AI548" s="473">
        <v>1250</v>
      </c>
      <c r="AJ548" s="473">
        <v>5498</v>
      </c>
      <c r="AK548" s="473">
        <v>13200</v>
      </c>
      <c r="AL548" s="473">
        <v>9900</v>
      </c>
      <c r="AM548" s="473">
        <v>660</v>
      </c>
      <c r="AN548" s="473">
        <v>2310</v>
      </c>
      <c r="AO548" s="473">
        <v>1320</v>
      </c>
      <c r="AP548" s="473">
        <v>330</v>
      </c>
      <c r="AQ548" s="473">
        <v>1800</v>
      </c>
      <c r="AR548" s="473">
        <v>16199</v>
      </c>
      <c r="AS548" s="473">
        <v>0</v>
      </c>
      <c r="AT548" s="473">
        <v>4731</v>
      </c>
      <c r="AU548" s="473">
        <v>5928</v>
      </c>
      <c r="AV548" s="473">
        <v>157326</v>
      </c>
      <c r="AW548" s="474">
        <v>151398</v>
      </c>
      <c r="AX548" s="473">
        <v>0</v>
      </c>
      <c r="AY548" s="473">
        <v>0</v>
      </c>
      <c r="AZ548" s="475">
        <v>17841</v>
      </c>
      <c r="BA548" s="475">
        <v>200</v>
      </c>
      <c r="BB548" s="475">
        <v>1800</v>
      </c>
      <c r="BC548" s="475">
        <v>0</v>
      </c>
      <c r="BD548" s="475">
        <v>0</v>
      </c>
      <c r="BE548" s="475">
        <v>0</v>
      </c>
      <c r="BF548" s="475">
        <v>0</v>
      </c>
      <c r="BG548" s="475">
        <v>19841</v>
      </c>
      <c r="BH548" s="476">
        <v>137485</v>
      </c>
      <c r="BI548" s="467"/>
      <c r="BJ548" s="468"/>
    </row>
    <row r="549" spans="1:62">
      <c r="A549" s="469">
        <v>45901</v>
      </c>
      <c r="B549" s="469" t="s">
        <v>747</v>
      </c>
      <c r="C549" s="508" t="s">
        <v>748</v>
      </c>
      <c r="D549" s="470" t="s">
        <v>749</v>
      </c>
      <c r="E549" s="471">
        <v>1997</v>
      </c>
      <c r="F549" s="470" t="s">
        <v>922</v>
      </c>
      <c r="G549" s="470" t="s">
        <v>751</v>
      </c>
      <c r="H549" s="470" t="s">
        <v>12</v>
      </c>
      <c r="I549" s="470" t="s">
        <v>923</v>
      </c>
      <c r="J549" s="472" t="s">
        <v>924</v>
      </c>
      <c r="K549" s="470" t="s">
        <v>925</v>
      </c>
      <c r="L549" s="470" t="s">
        <v>926</v>
      </c>
      <c r="M549" s="470" t="s">
        <v>927</v>
      </c>
      <c r="N549" s="470" t="s">
        <v>756</v>
      </c>
      <c r="O549" s="472" t="s">
        <v>757</v>
      </c>
      <c r="P549" s="472" t="s">
        <v>738</v>
      </c>
      <c r="Q549" s="472" t="s">
        <v>758</v>
      </c>
      <c r="R549" s="472" t="s">
        <v>12</v>
      </c>
      <c r="S549" s="472" t="s">
        <v>12</v>
      </c>
      <c r="T549" s="472" t="s">
        <v>928</v>
      </c>
      <c r="U549" s="470" t="s">
        <v>929</v>
      </c>
      <c r="V549" s="470" t="s">
        <v>761</v>
      </c>
      <c r="W549" s="470" t="s">
        <v>762</v>
      </c>
      <c r="X549" s="470">
        <v>30</v>
      </c>
      <c r="Y549" s="470">
        <v>0</v>
      </c>
      <c r="Z549" s="470">
        <v>0</v>
      </c>
      <c r="AA549" s="470">
        <v>30</v>
      </c>
      <c r="AB549" s="470">
        <v>30</v>
      </c>
      <c r="AC549" s="473">
        <v>36067</v>
      </c>
      <c r="AD549" s="473">
        <v>36067</v>
      </c>
      <c r="AE549" s="473">
        <v>16230</v>
      </c>
      <c r="AF549" s="473">
        <v>6492</v>
      </c>
      <c r="AG549" s="473">
        <v>1600</v>
      </c>
      <c r="AH549" s="473">
        <v>200</v>
      </c>
      <c r="AI549" s="473">
        <v>1250</v>
      </c>
      <c r="AJ549" s="473">
        <v>0</v>
      </c>
      <c r="AK549" s="473">
        <v>0</v>
      </c>
      <c r="AL549" s="473">
        <v>0</v>
      </c>
      <c r="AM549" s="473">
        <v>0</v>
      </c>
      <c r="AN549" s="473">
        <v>0</v>
      </c>
      <c r="AO549" s="473">
        <v>0</v>
      </c>
      <c r="AP549" s="473">
        <v>0</v>
      </c>
      <c r="AQ549" s="473">
        <v>1800</v>
      </c>
      <c r="AR549" s="473">
        <v>8495</v>
      </c>
      <c r="AS549" s="473">
        <v>0</v>
      </c>
      <c r="AT549" s="473">
        <v>0</v>
      </c>
      <c r="AU549" s="473">
        <v>0</v>
      </c>
      <c r="AV549" s="473">
        <v>36067</v>
      </c>
      <c r="AW549" s="474">
        <v>36067</v>
      </c>
      <c r="AX549" s="473">
        <v>0</v>
      </c>
      <c r="AY549" s="473">
        <v>0</v>
      </c>
      <c r="AZ549" s="475">
        <v>0</v>
      </c>
      <c r="BA549" s="475">
        <v>200</v>
      </c>
      <c r="BB549" s="475">
        <v>1800</v>
      </c>
      <c r="BC549" s="475">
        <v>0</v>
      </c>
      <c r="BD549" s="475">
        <v>0</v>
      </c>
      <c r="BE549" s="475">
        <v>0</v>
      </c>
      <c r="BF549" s="475">
        <v>0</v>
      </c>
      <c r="BG549" s="475">
        <v>2000</v>
      </c>
      <c r="BH549" s="476">
        <v>34067</v>
      </c>
      <c r="BI549" s="467"/>
      <c r="BJ549" s="468"/>
    </row>
    <row r="550" spans="1:62">
      <c r="A550" s="469">
        <v>45901</v>
      </c>
      <c r="B550" s="469" t="s">
        <v>747</v>
      </c>
      <c r="C550" s="508" t="s">
        <v>748</v>
      </c>
      <c r="D550" s="470" t="s">
        <v>749</v>
      </c>
      <c r="E550" s="471">
        <v>726</v>
      </c>
      <c r="F550" s="470" t="s">
        <v>930</v>
      </c>
      <c r="G550" s="470" t="s">
        <v>812</v>
      </c>
      <c r="H550" s="470" t="s">
        <v>12</v>
      </c>
      <c r="I550" s="470" t="s">
        <v>931</v>
      </c>
      <c r="J550" s="472" t="s">
        <v>932</v>
      </c>
      <c r="K550" s="470" t="s">
        <v>933</v>
      </c>
      <c r="L550" s="470" t="s">
        <v>934</v>
      </c>
      <c r="M550" s="470" t="s">
        <v>934</v>
      </c>
      <c r="N550" s="470" t="s">
        <v>1075</v>
      </c>
      <c r="O550" s="472" t="s">
        <v>757</v>
      </c>
      <c r="P550" s="472" t="s">
        <v>738</v>
      </c>
      <c r="Q550" s="472" t="s">
        <v>758</v>
      </c>
      <c r="R550" s="472" t="s">
        <v>12</v>
      </c>
      <c r="S550" s="472" t="s">
        <v>12</v>
      </c>
      <c r="T550" s="472" t="s">
        <v>935</v>
      </c>
      <c r="U550" s="470" t="s">
        <v>936</v>
      </c>
      <c r="V550" s="470" t="s">
        <v>761</v>
      </c>
      <c r="W550" s="470" t="s">
        <v>762</v>
      </c>
      <c r="X550" s="470">
        <v>30</v>
      </c>
      <c r="Y550" s="470">
        <v>0</v>
      </c>
      <c r="Z550" s="470">
        <v>0</v>
      </c>
      <c r="AA550" s="470">
        <v>30</v>
      </c>
      <c r="AB550" s="470">
        <v>30</v>
      </c>
      <c r="AC550" s="473">
        <v>27904</v>
      </c>
      <c r="AD550" s="473">
        <v>27904</v>
      </c>
      <c r="AE550" s="473">
        <v>12557</v>
      </c>
      <c r="AF550" s="473">
        <v>5023</v>
      </c>
      <c r="AG550" s="473">
        <v>1600</v>
      </c>
      <c r="AH550" s="473">
        <v>200</v>
      </c>
      <c r="AI550" s="473">
        <v>1250</v>
      </c>
      <c r="AJ550" s="473">
        <v>0</v>
      </c>
      <c r="AK550" s="473">
        <v>0</v>
      </c>
      <c r="AL550" s="473">
        <v>0</v>
      </c>
      <c r="AM550" s="473">
        <v>0</v>
      </c>
      <c r="AN550" s="473">
        <v>0</v>
      </c>
      <c r="AO550" s="473">
        <v>0</v>
      </c>
      <c r="AP550" s="473">
        <v>0</v>
      </c>
      <c r="AQ550" s="473">
        <v>1507</v>
      </c>
      <c r="AR550" s="473">
        <v>5767</v>
      </c>
      <c r="AS550" s="473">
        <v>0</v>
      </c>
      <c r="AT550" s="473">
        <v>0</v>
      </c>
      <c r="AU550" s="473">
        <v>0</v>
      </c>
      <c r="AV550" s="473">
        <v>27904</v>
      </c>
      <c r="AW550" s="474">
        <v>27904</v>
      </c>
      <c r="AX550" s="473">
        <v>0</v>
      </c>
      <c r="AY550" s="473">
        <v>0</v>
      </c>
      <c r="AZ550" s="475">
        <v>0</v>
      </c>
      <c r="BA550" s="475">
        <v>200</v>
      </c>
      <c r="BB550" s="475">
        <v>1507</v>
      </c>
      <c r="BC550" s="475">
        <v>0</v>
      </c>
      <c r="BD550" s="475">
        <v>0</v>
      </c>
      <c r="BE550" s="475">
        <v>0</v>
      </c>
      <c r="BF550" s="475">
        <v>0</v>
      </c>
      <c r="BG550" s="475">
        <v>1707</v>
      </c>
      <c r="BH550" s="476">
        <v>26197</v>
      </c>
      <c r="BI550" s="467"/>
      <c r="BJ550" s="468"/>
    </row>
    <row r="551" spans="1:62">
      <c r="A551" s="469">
        <v>45901</v>
      </c>
      <c r="B551" s="469" t="s">
        <v>747</v>
      </c>
      <c r="C551" s="508" t="s">
        <v>748</v>
      </c>
      <c r="D551" s="470" t="s">
        <v>749</v>
      </c>
      <c r="E551" s="471">
        <v>1722</v>
      </c>
      <c r="F551" s="470" t="s">
        <v>937</v>
      </c>
      <c r="G551" s="470" t="s">
        <v>751</v>
      </c>
      <c r="H551" s="470" t="s">
        <v>12</v>
      </c>
      <c r="I551" s="470" t="s">
        <v>938</v>
      </c>
      <c r="J551" s="472" t="s">
        <v>939</v>
      </c>
      <c r="K551" s="470" t="s">
        <v>940</v>
      </c>
      <c r="L551" s="470" t="s">
        <v>941</v>
      </c>
      <c r="M551" s="470" t="s">
        <v>941</v>
      </c>
      <c r="N551" s="470" t="s">
        <v>756</v>
      </c>
      <c r="O551" s="472" t="s">
        <v>943</v>
      </c>
      <c r="P551" s="472" t="s">
        <v>738</v>
      </c>
      <c r="Q551" s="472" t="s">
        <v>758</v>
      </c>
      <c r="R551" s="472" t="s">
        <v>12</v>
      </c>
      <c r="S551" s="472" t="s">
        <v>12</v>
      </c>
      <c r="T551" s="472" t="s">
        <v>944</v>
      </c>
      <c r="U551" s="470" t="s">
        <v>945</v>
      </c>
      <c r="V551" s="470" t="s">
        <v>761</v>
      </c>
      <c r="W551" s="470" t="s">
        <v>946</v>
      </c>
      <c r="X551" s="470">
        <v>30</v>
      </c>
      <c r="Y551" s="470">
        <v>0</v>
      </c>
      <c r="Z551" s="470">
        <v>0</v>
      </c>
      <c r="AA551" s="470">
        <v>30</v>
      </c>
      <c r="AB551" s="470">
        <v>30</v>
      </c>
      <c r="AC551" s="473">
        <v>434795</v>
      </c>
      <c r="AD551" s="473">
        <v>434795</v>
      </c>
      <c r="AE551" s="473">
        <v>195658</v>
      </c>
      <c r="AF551" s="473">
        <v>78263</v>
      </c>
      <c r="AG551" s="473">
        <v>1600</v>
      </c>
      <c r="AH551" s="473">
        <v>200</v>
      </c>
      <c r="AI551" s="473">
        <v>1250</v>
      </c>
      <c r="AJ551" s="473">
        <v>16298</v>
      </c>
      <c r="AK551" s="473">
        <v>39132</v>
      </c>
      <c r="AL551" s="473">
        <v>29349</v>
      </c>
      <c r="AM551" s="473">
        <v>1957</v>
      </c>
      <c r="AN551" s="473">
        <v>6848</v>
      </c>
      <c r="AO551" s="473">
        <v>3913</v>
      </c>
      <c r="AP551" s="473">
        <v>978</v>
      </c>
      <c r="AQ551" s="473">
        <v>1800</v>
      </c>
      <c r="AR551" s="473">
        <v>57549</v>
      </c>
      <c r="AS551" s="473">
        <v>0</v>
      </c>
      <c r="AT551" s="473">
        <v>0</v>
      </c>
      <c r="AU551" s="473">
        <v>3002</v>
      </c>
      <c r="AV551" s="473">
        <v>437797</v>
      </c>
      <c r="AW551" s="474">
        <v>434795</v>
      </c>
      <c r="AX551" s="473">
        <v>0</v>
      </c>
      <c r="AY551" s="473">
        <v>0</v>
      </c>
      <c r="AZ551" s="475">
        <v>144974</v>
      </c>
      <c r="BA551" s="475">
        <v>200</v>
      </c>
      <c r="BB551" s="475">
        <v>1800</v>
      </c>
      <c r="BC551" s="475">
        <v>0</v>
      </c>
      <c r="BD551" s="475">
        <v>0</v>
      </c>
      <c r="BE551" s="475">
        <v>0</v>
      </c>
      <c r="BF551" s="475">
        <v>0</v>
      </c>
      <c r="BG551" s="475">
        <v>146974</v>
      </c>
      <c r="BH551" s="476">
        <v>290823</v>
      </c>
      <c r="BI551" s="467"/>
      <c r="BJ551" s="468"/>
    </row>
    <row r="552" spans="1:62">
      <c r="A552" s="469">
        <v>45901</v>
      </c>
      <c r="B552" s="469" t="s">
        <v>747</v>
      </c>
      <c r="C552" s="508" t="s">
        <v>748</v>
      </c>
      <c r="D552" s="470" t="s">
        <v>749</v>
      </c>
      <c r="E552" s="471">
        <v>1937</v>
      </c>
      <c r="F552" s="470" t="s">
        <v>947</v>
      </c>
      <c r="G552" s="470" t="s">
        <v>751</v>
      </c>
      <c r="H552" s="470" t="s">
        <v>12</v>
      </c>
      <c r="I552" s="470" t="s">
        <v>948</v>
      </c>
      <c r="J552" s="472" t="s">
        <v>949</v>
      </c>
      <c r="K552" s="470" t="s">
        <v>950</v>
      </c>
      <c r="L552" s="470" t="s">
        <v>824</v>
      </c>
      <c r="M552" s="470" t="s">
        <v>824</v>
      </c>
      <c r="N552" s="470" t="s">
        <v>1275</v>
      </c>
      <c r="O552" s="472" t="s">
        <v>1276</v>
      </c>
      <c r="P552" s="472" t="s">
        <v>738</v>
      </c>
      <c r="Q552" s="472" t="s">
        <v>758</v>
      </c>
      <c r="R552" s="472" t="s">
        <v>12</v>
      </c>
      <c r="S552" s="472" t="s">
        <v>12</v>
      </c>
      <c r="T552" s="472" t="s">
        <v>951</v>
      </c>
      <c r="U552" s="470" t="s">
        <v>952</v>
      </c>
      <c r="V552" s="470" t="s">
        <v>761</v>
      </c>
      <c r="W552" s="470" t="s">
        <v>859</v>
      </c>
      <c r="X552" s="470">
        <v>30</v>
      </c>
      <c r="Y552" s="470">
        <v>0</v>
      </c>
      <c r="Z552" s="470">
        <v>0</v>
      </c>
      <c r="AA552" s="470">
        <v>30</v>
      </c>
      <c r="AB552" s="470">
        <v>30</v>
      </c>
      <c r="AC552" s="473">
        <v>31533</v>
      </c>
      <c r="AD552" s="473">
        <v>31533</v>
      </c>
      <c r="AE552" s="473">
        <v>14190</v>
      </c>
      <c r="AF552" s="473">
        <v>5676</v>
      </c>
      <c r="AG552" s="473">
        <v>1600</v>
      </c>
      <c r="AH552" s="473">
        <v>200</v>
      </c>
      <c r="AI552" s="473">
        <v>1250</v>
      </c>
      <c r="AJ552" s="473">
        <v>0</v>
      </c>
      <c r="AK552" s="473">
        <v>0</v>
      </c>
      <c r="AL552" s="473">
        <v>0</v>
      </c>
      <c r="AM552" s="473">
        <v>0</v>
      </c>
      <c r="AN552" s="473">
        <v>0</v>
      </c>
      <c r="AO552" s="473">
        <v>0</v>
      </c>
      <c r="AP552" s="473">
        <v>0</v>
      </c>
      <c r="AQ552" s="473">
        <v>1703</v>
      </c>
      <c r="AR552" s="473">
        <v>6914</v>
      </c>
      <c r="AS552" s="473">
        <v>0</v>
      </c>
      <c r="AT552" s="473">
        <v>0</v>
      </c>
      <c r="AU552" s="473">
        <v>3078</v>
      </c>
      <c r="AV552" s="473">
        <v>34611</v>
      </c>
      <c r="AW552" s="474">
        <v>31533</v>
      </c>
      <c r="AX552" s="473">
        <v>0</v>
      </c>
      <c r="AY552" s="473">
        <v>0</v>
      </c>
      <c r="AZ552" s="475">
        <v>0</v>
      </c>
      <c r="BA552" s="475">
        <v>200</v>
      </c>
      <c r="BB552" s="475">
        <v>1703</v>
      </c>
      <c r="BC552" s="475">
        <v>0</v>
      </c>
      <c r="BD552" s="475">
        <v>0</v>
      </c>
      <c r="BE552" s="475">
        <v>0</v>
      </c>
      <c r="BF552" s="475">
        <v>0</v>
      </c>
      <c r="BG552" s="475">
        <v>1903</v>
      </c>
      <c r="BH552" s="476">
        <v>32708</v>
      </c>
      <c r="BI552" s="467"/>
      <c r="BJ552" s="468"/>
    </row>
    <row r="553" spans="1:62">
      <c r="A553" s="469">
        <v>45901</v>
      </c>
      <c r="B553" s="469" t="s">
        <v>747</v>
      </c>
      <c r="C553" s="508" t="s">
        <v>748</v>
      </c>
      <c r="D553" s="470" t="s">
        <v>749</v>
      </c>
      <c r="E553" s="471">
        <v>382</v>
      </c>
      <c r="F553" s="470" t="s">
        <v>953</v>
      </c>
      <c r="G553" s="470" t="s">
        <v>751</v>
      </c>
      <c r="H553" s="470" t="s">
        <v>12</v>
      </c>
      <c r="I553" s="470" t="s">
        <v>954</v>
      </c>
      <c r="J553" s="472" t="s">
        <v>955</v>
      </c>
      <c r="K553" s="470" t="s">
        <v>956</v>
      </c>
      <c r="L553" s="470" t="s">
        <v>1305</v>
      </c>
      <c r="M553" s="470" t="s">
        <v>1305</v>
      </c>
      <c r="N553" s="470" t="s">
        <v>833</v>
      </c>
      <c r="O553" s="472" t="s">
        <v>757</v>
      </c>
      <c r="P553" s="472" t="s">
        <v>738</v>
      </c>
      <c r="Q553" s="472" t="s">
        <v>758</v>
      </c>
      <c r="R553" s="472" t="s">
        <v>12</v>
      </c>
      <c r="S553" s="472" t="s">
        <v>12</v>
      </c>
      <c r="T553" s="472" t="s">
        <v>958</v>
      </c>
      <c r="U553" s="470" t="s">
        <v>959</v>
      </c>
      <c r="V553" s="470" t="s">
        <v>761</v>
      </c>
      <c r="W553" s="470" t="s">
        <v>960</v>
      </c>
      <c r="X553" s="470">
        <v>30</v>
      </c>
      <c r="Y553" s="470">
        <v>0</v>
      </c>
      <c r="Z553" s="470">
        <v>1</v>
      </c>
      <c r="AA553" s="470">
        <v>29</v>
      </c>
      <c r="AB553" s="470">
        <v>29</v>
      </c>
      <c r="AC553" s="473">
        <v>36950</v>
      </c>
      <c r="AD553" s="473">
        <v>36950</v>
      </c>
      <c r="AE553" s="473">
        <v>16073</v>
      </c>
      <c r="AF553" s="473">
        <v>6429</v>
      </c>
      <c r="AG553" s="473">
        <v>1547</v>
      </c>
      <c r="AH553" s="473">
        <v>193</v>
      </c>
      <c r="AI553" s="473">
        <v>1208</v>
      </c>
      <c r="AJ553" s="473">
        <v>0</v>
      </c>
      <c r="AK553" s="473">
        <v>0</v>
      </c>
      <c r="AL553" s="473">
        <v>0</v>
      </c>
      <c r="AM553" s="473">
        <v>0</v>
      </c>
      <c r="AN553" s="473">
        <v>0</v>
      </c>
      <c r="AO553" s="473">
        <v>0</v>
      </c>
      <c r="AP553" s="473">
        <v>0</v>
      </c>
      <c r="AQ553" s="473">
        <v>1800</v>
      </c>
      <c r="AR553" s="473">
        <v>8468</v>
      </c>
      <c r="AS553" s="473">
        <v>0</v>
      </c>
      <c r="AT553" s="473">
        <v>0</v>
      </c>
      <c r="AU553" s="473">
        <v>7375</v>
      </c>
      <c r="AV553" s="473">
        <v>43093</v>
      </c>
      <c r="AW553" s="474">
        <v>35718</v>
      </c>
      <c r="AX553" s="473">
        <v>0</v>
      </c>
      <c r="AY553" s="473">
        <v>0</v>
      </c>
      <c r="AZ553" s="475">
        <v>0</v>
      </c>
      <c r="BA553" s="475">
        <v>200</v>
      </c>
      <c r="BB553" s="475">
        <v>1800</v>
      </c>
      <c r="BC553" s="475">
        <v>0</v>
      </c>
      <c r="BD553" s="475">
        <v>0</v>
      </c>
      <c r="BE553" s="475">
        <v>0</v>
      </c>
      <c r="BF553" s="475">
        <v>0</v>
      </c>
      <c r="BG553" s="475">
        <v>2000</v>
      </c>
      <c r="BH553" s="476">
        <v>41093</v>
      </c>
      <c r="BI553" s="467"/>
      <c r="BJ553" s="468"/>
    </row>
    <row r="554" spans="1:62">
      <c r="A554" s="469">
        <v>45901</v>
      </c>
      <c r="B554" s="469" t="s">
        <v>747</v>
      </c>
      <c r="C554" s="508" t="s">
        <v>748</v>
      </c>
      <c r="D554" s="470" t="s">
        <v>749</v>
      </c>
      <c r="E554" s="471">
        <v>511</v>
      </c>
      <c r="F554" s="470" t="s">
        <v>961</v>
      </c>
      <c r="G554" s="470" t="s">
        <v>751</v>
      </c>
      <c r="H554" s="470" t="s">
        <v>12</v>
      </c>
      <c r="I554" s="470" t="s">
        <v>962</v>
      </c>
      <c r="J554" s="472" t="s">
        <v>963</v>
      </c>
      <c r="K554" s="470" t="s">
        <v>964</v>
      </c>
      <c r="L554" s="470" t="s">
        <v>1351</v>
      </c>
      <c r="M554" s="470" t="s">
        <v>957</v>
      </c>
      <c r="N554" s="470" t="s">
        <v>833</v>
      </c>
      <c r="O554" s="472" t="s">
        <v>757</v>
      </c>
      <c r="P554" s="472" t="s">
        <v>738</v>
      </c>
      <c r="Q554" s="472" t="s">
        <v>758</v>
      </c>
      <c r="R554" s="472" t="s">
        <v>12</v>
      </c>
      <c r="S554" s="472" t="s">
        <v>12</v>
      </c>
      <c r="T554" s="472" t="s">
        <v>965</v>
      </c>
      <c r="U554" s="470" t="s">
        <v>966</v>
      </c>
      <c r="V554" s="470" t="s">
        <v>761</v>
      </c>
      <c r="W554" s="470" t="s">
        <v>845</v>
      </c>
      <c r="X554" s="470">
        <v>30</v>
      </c>
      <c r="Y554" s="470">
        <v>0</v>
      </c>
      <c r="Z554" s="470">
        <v>0</v>
      </c>
      <c r="AA554" s="470">
        <v>30</v>
      </c>
      <c r="AB554" s="470">
        <v>30</v>
      </c>
      <c r="AC554" s="473">
        <v>43308</v>
      </c>
      <c r="AD554" s="473">
        <v>43308</v>
      </c>
      <c r="AE554" s="473">
        <v>19489</v>
      </c>
      <c r="AF554" s="473">
        <v>7796</v>
      </c>
      <c r="AG554" s="473">
        <v>1600</v>
      </c>
      <c r="AH554" s="473">
        <v>200</v>
      </c>
      <c r="AI554" s="473">
        <v>1250</v>
      </c>
      <c r="AJ554" s="473">
        <v>1623</v>
      </c>
      <c r="AK554" s="473">
        <v>3898</v>
      </c>
      <c r="AL554" s="473">
        <v>2923</v>
      </c>
      <c r="AM554" s="473">
        <v>195</v>
      </c>
      <c r="AN554" s="473">
        <v>682</v>
      </c>
      <c r="AO554" s="473">
        <v>390</v>
      </c>
      <c r="AP554" s="473">
        <v>97</v>
      </c>
      <c r="AQ554" s="473">
        <v>1800</v>
      </c>
      <c r="AR554" s="473">
        <v>1365</v>
      </c>
      <c r="AS554" s="473">
        <v>0</v>
      </c>
      <c r="AT554" s="473">
        <v>0</v>
      </c>
      <c r="AU554" s="473">
        <v>5163</v>
      </c>
      <c r="AV554" s="473">
        <v>48471</v>
      </c>
      <c r="AW554" s="474">
        <v>43308</v>
      </c>
      <c r="AX554" s="473">
        <v>0</v>
      </c>
      <c r="AY554" s="473">
        <v>0</v>
      </c>
      <c r="AZ554" s="475">
        <v>0</v>
      </c>
      <c r="BA554" s="475">
        <v>200</v>
      </c>
      <c r="BB554" s="475">
        <v>1800</v>
      </c>
      <c r="BC554" s="475">
        <v>0</v>
      </c>
      <c r="BD554" s="475">
        <v>0</v>
      </c>
      <c r="BE554" s="475">
        <v>0</v>
      </c>
      <c r="BF554" s="475">
        <v>5000</v>
      </c>
      <c r="BG554" s="475">
        <v>7000</v>
      </c>
      <c r="BH554" s="476">
        <v>41471</v>
      </c>
      <c r="BI554" s="467"/>
      <c r="BJ554" s="468"/>
    </row>
    <row r="555" spans="1:62">
      <c r="A555" s="469">
        <v>45901</v>
      </c>
      <c r="B555" s="469" t="s">
        <v>747</v>
      </c>
      <c r="C555" s="508" t="s">
        <v>748</v>
      </c>
      <c r="D555" s="470" t="s">
        <v>749</v>
      </c>
      <c r="E555" s="471">
        <v>2062</v>
      </c>
      <c r="F555" s="470" t="s">
        <v>967</v>
      </c>
      <c r="G555" s="470" t="s">
        <v>751</v>
      </c>
      <c r="H555" s="470" t="s">
        <v>12</v>
      </c>
      <c r="I555" s="470" t="s">
        <v>968</v>
      </c>
      <c r="J555" s="472" t="s">
        <v>969</v>
      </c>
      <c r="K555" s="470" t="s">
        <v>970</v>
      </c>
      <c r="L555" s="470" t="s">
        <v>971</v>
      </c>
      <c r="M555" s="470" t="s">
        <v>971</v>
      </c>
      <c r="N555" s="470" t="s">
        <v>756</v>
      </c>
      <c r="O555" s="472" t="s">
        <v>792</v>
      </c>
      <c r="P555" s="472" t="s">
        <v>738</v>
      </c>
      <c r="Q555" s="472" t="s">
        <v>758</v>
      </c>
      <c r="R555" s="472" t="s">
        <v>12</v>
      </c>
      <c r="S555" s="472" t="s">
        <v>12</v>
      </c>
      <c r="T555" s="472" t="s">
        <v>972</v>
      </c>
      <c r="U555" s="470" t="s">
        <v>1362</v>
      </c>
      <c r="V555" s="470" t="s">
        <v>761</v>
      </c>
      <c r="W555" s="470" t="s">
        <v>974</v>
      </c>
      <c r="X555" s="470">
        <v>30</v>
      </c>
      <c r="Y555" s="470">
        <v>0</v>
      </c>
      <c r="Z555" s="470">
        <v>0</v>
      </c>
      <c r="AA555" s="470">
        <v>30</v>
      </c>
      <c r="AB555" s="470">
        <v>30</v>
      </c>
      <c r="AC555" s="473">
        <v>181533</v>
      </c>
      <c r="AD555" s="473">
        <v>181533</v>
      </c>
      <c r="AE555" s="473">
        <v>81690</v>
      </c>
      <c r="AF555" s="473">
        <v>32676</v>
      </c>
      <c r="AG555" s="473">
        <v>1600</v>
      </c>
      <c r="AH555" s="473">
        <v>200</v>
      </c>
      <c r="AI555" s="473">
        <v>1250</v>
      </c>
      <c r="AJ555" s="473">
        <v>6805</v>
      </c>
      <c r="AK555" s="473">
        <v>16338</v>
      </c>
      <c r="AL555" s="473">
        <v>12254</v>
      </c>
      <c r="AM555" s="473">
        <v>817</v>
      </c>
      <c r="AN555" s="473">
        <v>2859</v>
      </c>
      <c r="AO555" s="473">
        <v>1634</v>
      </c>
      <c r="AP555" s="473">
        <v>408</v>
      </c>
      <c r="AQ555" s="473">
        <v>1800</v>
      </c>
      <c r="AR555" s="473">
        <v>21202</v>
      </c>
      <c r="AS555" s="473">
        <v>0</v>
      </c>
      <c r="AT555" s="473">
        <v>0</v>
      </c>
      <c r="AU555" s="473">
        <v>8280</v>
      </c>
      <c r="AV555" s="473">
        <v>189813</v>
      </c>
      <c r="AW555" s="474">
        <v>181533</v>
      </c>
      <c r="AX555" s="473">
        <v>0</v>
      </c>
      <c r="AY555" s="473">
        <v>0</v>
      </c>
      <c r="AZ555" s="475">
        <v>18208</v>
      </c>
      <c r="BA555" s="475">
        <v>200</v>
      </c>
      <c r="BB555" s="475">
        <v>1800</v>
      </c>
      <c r="BC555" s="475">
        <v>0</v>
      </c>
      <c r="BD555" s="475">
        <v>0</v>
      </c>
      <c r="BE555" s="475">
        <v>0</v>
      </c>
      <c r="BF555" s="475">
        <v>0</v>
      </c>
      <c r="BG555" s="475">
        <v>20208</v>
      </c>
      <c r="BH555" s="476">
        <v>169605</v>
      </c>
      <c r="BI555" s="467"/>
      <c r="BJ555" s="468"/>
    </row>
    <row r="556" spans="1:62">
      <c r="A556" s="469">
        <v>45901</v>
      </c>
      <c r="B556" s="469" t="s">
        <v>747</v>
      </c>
      <c r="C556" s="508" t="s">
        <v>748</v>
      </c>
      <c r="D556" s="470" t="s">
        <v>749</v>
      </c>
      <c r="E556" s="471">
        <v>1092</v>
      </c>
      <c r="F556" s="470" t="s">
        <v>975</v>
      </c>
      <c r="G556" s="470" t="s">
        <v>751</v>
      </c>
      <c r="H556" s="470" t="s">
        <v>12</v>
      </c>
      <c r="I556" s="470" t="s">
        <v>976</v>
      </c>
      <c r="J556" s="472" t="s">
        <v>977</v>
      </c>
      <c r="K556" s="470" t="s">
        <v>978</v>
      </c>
      <c r="L556" s="470" t="s">
        <v>1345</v>
      </c>
      <c r="M556" s="470" t="s">
        <v>1345</v>
      </c>
      <c r="N556" s="470" t="s">
        <v>1275</v>
      </c>
      <c r="O556" s="472" t="s">
        <v>757</v>
      </c>
      <c r="P556" s="472" t="s">
        <v>738</v>
      </c>
      <c r="Q556" s="472" t="s">
        <v>758</v>
      </c>
      <c r="R556" s="472" t="s">
        <v>12</v>
      </c>
      <c r="S556" s="472" t="s">
        <v>12</v>
      </c>
      <c r="T556" s="472" t="s">
        <v>981</v>
      </c>
      <c r="U556" s="470" t="s">
        <v>982</v>
      </c>
      <c r="V556" s="470" t="s">
        <v>761</v>
      </c>
      <c r="W556" s="470" t="s">
        <v>762</v>
      </c>
      <c r="X556" s="470">
        <v>30</v>
      </c>
      <c r="Y556" s="470">
        <v>0</v>
      </c>
      <c r="Z556" s="470">
        <v>0</v>
      </c>
      <c r="AA556" s="470">
        <v>30</v>
      </c>
      <c r="AB556" s="470">
        <v>30</v>
      </c>
      <c r="AC556" s="473">
        <v>71927</v>
      </c>
      <c r="AD556" s="473">
        <v>71927</v>
      </c>
      <c r="AE556" s="473">
        <v>32367</v>
      </c>
      <c r="AF556" s="473">
        <v>12947</v>
      </c>
      <c r="AG556" s="473">
        <v>1600</v>
      </c>
      <c r="AH556" s="473">
        <v>200</v>
      </c>
      <c r="AI556" s="473">
        <v>1250</v>
      </c>
      <c r="AJ556" s="473">
        <v>2696</v>
      </c>
      <c r="AK556" s="473">
        <v>6473</v>
      </c>
      <c r="AL556" s="473">
        <v>4855</v>
      </c>
      <c r="AM556" s="473">
        <v>324</v>
      </c>
      <c r="AN556" s="473">
        <v>1133</v>
      </c>
      <c r="AO556" s="473">
        <v>647</v>
      </c>
      <c r="AP556" s="473">
        <v>162</v>
      </c>
      <c r="AQ556" s="473">
        <v>1800</v>
      </c>
      <c r="AR556" s="473">
        <v>5473</v>
      </c>
      <c r="AS556" s="473">
        <v>0</v>
      </c>
      <c r="AT556" s="473">
        <v>0</v>
      </c>
      <c r="AU556" s="473">
        <v>1538</v>
      </c>
      <c r="AV556" s="473">
        <v>73465</v>
      </c>
      <c r="AW556" s="474">
        <v>71927</v>
      </c>
      <c r="AX556" s="473">
        <v>0</v>
      </c>
      <c r="AY556" s="473">
        <v>0</v>
      </c>
      <c r="AZ556" s="475">
        <v>0</v>
      </c>
      <c r="BA556" s="475">
        <v>200</v>
      </c>
      <c r="BB556" s="475">
        <v>1800</v>
      </c>
      <c r="BC556" s="475">
        <v>0</v>
      </c>
      <c r="BD556" s="475">
        <v>0</v>
      </c>
      <c r="BE556" s="475">
        <v>0</v>
      </c>
      <c r="BF556" s="475">
        <v>0</v>
      </c>
      <c r="BG556" s="475">
        <v>2000</v>
      </c>
      <c r="BH556" s="476">
        <v>71465</v>
      </c>
      <c r="BI556" s="467"/>
      <c r="BJ556" s="468"/>
    </row>
    <row r="557" spans="1:62">
      <c r="A557" s="469">
        <v>45901</v>
      </c>
      <c r="B557" s="469" t="s">
        <v>747</v>
      </c>
      <c r="C557" s="508" t="s">
        <v>748</v>
      </c>
      <c r="D557" s="470" t="s">
        <v>749</v>
      </c>
      <c r="E557" s="471">
        <v>1506</v>
      </c>
      <c r="F557" s="470" t="s">
        <v>983</v>
      </c>
      <c r="G557" s="470" t="s">
        <v>751</v>
      </c>
      <c r="H557" s="470" t="s">
        <v>12</v>
      </c>
      <c r="I557" s="470" t="s">
        <v>984</v>
      </c>
      <c r="J557" s="472" t="s">
        <v>985</v>
      </c>
      <c r="K557" s="470" t="s">
        <v>986</v>
      </c>
      <c r="L557" s="470" t="s">
        <v>987</v>
      </c>
      <c r="M557" s="470" t="s">
        <v>987</v>
      </c>
      <c r="N557" s="470" t="s">
        <v>756</v>
      </c>
      <c r="O557" s="472" t="s">
        <v>757</v>
      </c>
      <c r="P557" s="472" t="s">
        <v>738</v>
      </c>
      <c r="Q557" s="472" t="s">
        <v>758</v>
      </c>
      <c r="R557" s="472" t="s">
        <v>12</v>
      </c>
      <c r="S557" s="472" t="s">
        <v>12</v>
      </c>
      <c r="T557" s="472" t="s">
        <v>988</v>
      </c>
      <c r="U557" s="470" t="s">
        <v>989</v>
      </c>
      <c r="V557" s="470" t="s">
        <v>761</v>
      </c>
      <c r="W557" s="470" t="s">
        <v>762</v>
      </c>
      <c r="X557" s="470">
        <v>30</v>
      </c>
      <c r="Y557" s="470">
        <v>0</v>
      </c>
      <c r="Z557" s="470">
        <v>0.5</v>
      </c>
      <c r="AA557" s="470">
        <v>29.5</v>
      </c>
      <c r="AB557" s="470">
        <v>29.5</v>
      </c>
      <c r="AC557" s="473">
        <v>49575</v>
      </c>
      <c r="AD557" s="473">
        <v>49575</v>
      </c>
      <c r="AE557" s="473">
        <v>21937</v>
      </c>
      <c r="AF557" s="473">
        <v>8775</v>
      </c>
      <c r="AG557" s="473">
        <v>1573</v>
      </c>
      <c r="AH557" s="473">
        <v>197</v>
      </c>
      <c r="AI557" s="473">
        <v>1229</v>
      </c>
      <c r="AJ557" s="473">
        <v>1827</v>
      </c>
      <c r="AK557" s="473">
        <v>4387</v>
      </c>
      <c r="AL557" s="473">
        <v>3291</v>
      </c>
      <c r="AM557" s="473">
        <v>219</v>
      </c>
      <c r="AN557" s="473">
        <v>768</v>
      </c>
      <c r="AO557" s="473">
        <v>439</v>
      </c>
      <c r="AP557" s="473">
        <v>110</v>
      </c>
      <c r="AQ557" s="473">
        <v>1800</v>
      </c>
      <c r="AR557" s="473">
        <v>2197</v>
      </c>
      <c r="AS557" s="473">
        <v>0</v>
      </c>
      <c r="AT557" s="473">
        <v>0</v>
      </c>
      <c r="AU557" s="473">
        <v>0</v>
      </c>
      <c r="AV557" s="473">
        <v>48749</v>
      </c>
      <c r="AW557" s="474">
        <v>48749</v>
      </c>
      <c r="AX557" s="473">
        <v>0</v>
      </c>
      <c r="AY557" s="473">
        <v>0</v>
      </c>
      <c r="AZ557" s="475">
        <v>0</v>
      </c>
      <c r="BA557" s="475">
        <v>200</v>
      </c>
      <c r="BB557" s="475">
        <v>1800</v>
      </c>
      <c r="BC557" s="475">
        <v>0</v>
      </c>
      <c r="BD557" s="475">
        <v>0</v>
      </c>
      <c r="BE557" s="475">
        <v>0</v>
      </c>
      <c r="BF557" s="475">
        <v>0</v>
      </c>
      <c r="BG557" s="475">
        <v>2000</v>
      </c>
      <c r="BH557" s="476">
        <v>46749</v>
      </c>
      <c r="BI557" s="467"/>
      <c r="BJ557" s="468"/>
    </row>
    <row r="558" spans="1:62">
      <c r="A558" s="469">
        <v>45901</v>
      </c>
      <c r="B558" s="469" t="s">
        <v>747</v>
      </c>
      <c r="C558" s="508" t="s">
        <v>748</v>
      </c>
      <c r="D558" s="470" t="s">
        <v>749</v>
      </c>
      <c r="E558" s="471">
        <v>1700</v>
      </c>
      <c r="F558" s="470" t="s">
        <v>990</v>
      </c>
      <c r="G558" s="470" t="s">
        <v>751</v>
      </c>
      <c r="H558" s="470" t="s">
        <v>12</v>
      </c>
      <c r="I558" s="470" t="s">
        <v>991</v>
      </c>
      <c r="J558" s="472" t="s">
        <v>992</v>
      </c>
      <c r="K558" s="470" t="s">
        <v>993</v>
      </c>
      <c r="L558" s="470" t="s">
        <v>1345</v>
      </c>
      <c r="M558" s="470" t="s">
        <v>1345</v>
      </c>
      <c r="N558" s="470" t="s">
        <v>1275</v>
      </c>
      <c r="O558" s="472" t="s">
        <v>757</v>
      </c>
      <c r="P558" s="472" t="s">
        <v>738</v>
      </c>
      <c r="Q558" s="472" t="s">
        <v>758</v>
      </c>
      <c r="R558" s="472" t="s">
        <v>12</v>
      </c>
      <c r="S558" s="472" t="s">
        <v>12</v>
      </c>
      <c r="T558" s="472" t="s">
        <v>995</v>
      </c>
      <c r="U558" s="470" t="s">
        <v>996</v>
      </c>
      <c r="V558" s="470" t="s">
        <v>761</v>
      </c>
      <c r="W558" s="470" t="s">
        <v>859</v>
      </c>
      <c r="X558" s="470">
        <v>30</v>
      </c>
      <c r="Y558" s="470">
        <v>0</v>
      </c>
      <c r="Z558" s="470">
        <v>3</v>
      </c>
      <c r="AA558" s="470">
        <v>27</v>
      </c>
      <c r="AB558" s="470">
        <v>27</v>
      </c>
      <c r="AC558" s="473">
        <v>79907</v>
      </c>
      <c r="AD558" s="473">
        <v>79907</v>
      </c>
      <c r="AE558" s="473">
        <v>32362</v>
      </c>
      <c r="AF558" s="473">
        <v>12945</v>
      </c>
      <c r="AG558" s="473">
        <v>1440</v>
      </c>
      <c r="AH558" s="473">
        <v>180</v>
      </c>
      <c r="AI558" s="473">
        <v>1125</v>
      </c>
      <c r="AJ558" s="473">
        <v>2696</v>
      </c>
      <c r="AK558" s="473">
        <v>6472</v>
      </c>
      <c r="AL558" s="473">
        <v>4854</v>
      </c>
      <c r="AM558" s="473">
        <v>324</v>
      </c>
      <c r="AN558" s="473">
        <v>1133</v>
      </c>
      <c r="AO558" s="473">
        <v>647</v>
      </c>
      <c r="AP558" s="473">
        <v>162</v>
      </c>
      <c r="AQ558" s="473">
        <v>1800</v>
      </c>
      <c r="AR558" s="473">
        <v>5776</v>
      </c>
      <c r="AS558" s="473">
        <v>0</v>
      </c>
      <c r="AT558" s="473">
        <v>0</v>
      </c>
      <c r="AU558" s="473">
        <v>2701</v>
      </c>
      <c r="AV558" s="473">
        <v>74617</v>
      </c>
      <c r="AW558" s="474">
        <v>71916</v>
      </c>
      <c r="AX558" s="473">
        <v>0</v>
      </c>
      <c r="AY558" s="473">
        <v>0</v>
      </c>
      <c r="AZ558" s="475">
        <v>0</v>
      </c>
      <c r="BA558" s="475">
        <v>200</v>
      </c>
      <c r="BB558" s="475">
        <v>1800</v>
      </c>
      <c r="BC558" s="475">
        <v>0</v>
      </c>
      <c r="BD558" s="475">
        <v>0</v>
      </c>
      <c r="BE558" s="475">
        <v>0</v>
      </c>
      <c r="BF558" s="475">
        <v>0</v>
      </c>
      <c r="BG558" s="475">
        <v>2000</v>
      </c>
      <c r="BH558" s="476">
        <v>72617</v>
      </c>
      <c r="BI558" s="467"/>
      <c r="BJ558" s="468"/>
    </row>
    <row r="559" spans="1:62">
      <c r="A559" s="469">
        <v>45901</v>
      </c>
      <c r="B559" s="469" t="s">
        <v>747</v>
      </c>
      <c r="C559" s="508" t="s">
        <v>748</v>
      </c>
      <c r="D559" s="470" t="s">
        <v>749</v>
      </c>
      <c r="E559" s="471">
        <v>435</v>
      </c>
      <c r="F559" s="470" t="s">
        <v>997</v>
      </c>
      <c r="G559" s="470" t="s">
        <v>751</v>
      </c>
      <c r="H559" s="470" t="s">
        <v>12</v>
      </c>
      <c r="I559" s="470" t="s">
        <v>998</v>
      </c>
      <c r="J559" s="472" t="s">
        <v>999</v>
      </c>
      <c r="K559" s="470" t="s">
        <v>1000</v>
      </c>
      <c r="L559" s="470" t="s">
        <v>832</v>
      </c>
      <c r="M559" s="470" t="s">
        <v>832</v>
      </c>
      <c r="N559" s="470" t="s">
        <v>833</v>
      </c>
      <c r="O559" s="472" t="s">
        <v>757</v>
      </c>
      <c r="P559" s="472" t="s">
        <v>738</v>
      </c>
      <c r="Q559" s="472" t="s">
        <v>758</v>
      </c>
      <c r="R559" s="472" t="s">
        <v>12</v>
      </c>
      <c r="S559" s="472" t="s">
        <v>12</v>
      </c>
      <c r="T559" s="472" t="s">
        <v>1001</v>
      </c>
      <c r="U559" s="470" t="s">
        <v>1002</v>
      </c>
      <c r="V559" s="470" t="s">
        <v>761</v>
      </c>
      <c r="W559" s="470" t="s">
        <v>762</v>
      </c>
      <c r="X559" s="470">
        <v>30</v>
      </c>
      <c r="Y559" s="470">
        <v>0</v>
      </c>
      <c r="Z559" s="470">
        <v>0</v>
      </c>
      <c r="AA559" s="470">
        <v>30</v>
      </c>
      <c r="AB559" s="470">
        <v>30</v>
      </c>
      <c r="AC559" s="473">
        <v>33167</v>
      </c>
      <c r="AD559" s="473">
        <v>33167</v>
      </c>
      <c r="AE559" s="473">
        <v>14925</v>
      </c>
      <c r="AF559" s="473">
        <v>5970</v>
      </c>
      <c r="AG559" s="473">
        <v>1600</v>
      </c>
      <c r="AH559" s="473">
        <v>200</v>
      </c>
      <c r="AI559" s="473">
        <v>1250</v>
      </c>
      <c r="AJ559" s="473">
        <v>0</v>
      </c>
      <c r="AK559" s="473">
        <v>0</v>
      </c>
      <c r="AL559" s="473">
        <v>0</v>
      </c>
      <c r="AM559" s="473">
        <v>0</v>
      </c>
      <c r="AN559" s="473">
        <v>0</v>
      </c>
      <c r="AO559" s="473">
        <v>0</v>
      </c>
      <c r="AP559" s="473">
        <v>0</v>
      </c>
      <c r="AQ559" s="473">
        <v>1791</v>
      </c>
      <c r="AR559" s="473">
        <v>7431</v>
      </c>
      <c r="AS559" s="473">
        <v>0</v>
      </c>
      <c r="AT559" s="473">
        <v>0</v>
      </c>
      <c r="AU559" s="473">
        <v>8610</v>
      </c>
      <c r="AV559" s="473">
        <v>41777</v>
      </c>
      <c r="AW559" s="474">
        <v>33167</v>
      </c>
      <c r="AX559" s="473">
        <v>0</v>
      </c>
      <c r="AY559" s="473">
        <v>0</v>
      </c>
      <c r="AZ559" s="475">
        <v>0</v>
      </c>
      <c r="BA559" s="475">
        <v>200</v>
      </c>
      <c r="BB559" s="475">
        <v>1791</v>
      </c>
      <c r="BC559" s="475">
        <v>0</v>
      </c>
      <c r="BD559" s="475">
        <v>0</v>
      </c>
      <c r="BE559" s="475">
        <v>0</v>
      </c>
      <c r="BF559" s="475">
        <v>0</v>
      </c>
      <c r="BG559" s="475">
        <v>1991</v>
      </c>
      <c r="BH559" s="476">
        <v>39786</v>
      </c>
      <c r="BI559" s="467"/>
      <c r="BJ559" s="468"/>
    </row>
    <row r="560" spans="1:62">
      <c r="A560" s="469">
        <v>45901</v>
      </c>
      <c r="B560" s="469" t="s">
        <v>747</v>
      </c>
      <c r="C560" s="508" t="s">
        <v>748</v>
      </c>
      <c r="D560" s="470" t="s">
        <v>749</v>
      </c>
      <c r="E560" s="471">
        <v>1033</v>
      </c>
      <c r="F560" s="470" t="s">
        <v>668</v>
      </c>
      <c r="G560" s="470" t="s">
        <v>751</v>
      </c>
      <c r="H560" s="470" t="s">
        <v>12</v>
      </c>
      <c r="I560" s="470" t="s">
        <v>1003</v>
      </c>
      <c r="J560" s="472" t="s">
        <v>1004</v>
      </c>
      <c r="K560" s="470" t="s">
        <v>1005</v>
      </c>
      <c r="L560" s="470" t="s">
        <v>1291</v>
      </c>
      <c r="M560" s="470" t="s">
        <v>1291</v>
      </c>
      <c r="N560" s="470" t="s">
        <v>1275</v>
      </c>
      <c r="O560" s="472" t="s">
        <v>757</v>
      </c>
      <c r="P560" s="472" t="s">
        <v>738</v>
      </c>
      <c r="Q560" s="472" t="s">
        <v>758</v>
      </c>
      <c r="R560" s="472" t="s">
        <v>12</v>
      </c>
      <c r="S560" s="472" t="s">
        <v>12</v>
      </c>
      <c r="T560" s="472" t="s">
        <v>1007</v>
      </c>
      <c r="U560" s="470" t="s">
        <v>1008</v>
      </c>
      <c r="V560" s="470" t="s">
        <v>761</v>
      </c>
      <c r="W560" s="470" t="s">
        <v>1009</v>
      </c>
      <c r="X560" s="470">
        <v>30</v>
      </c>
      <c r="Y560" s="470">
        <v>0</v>
      </c>
      <c r="Z560" s="470">
        <v>1</v>
      </c>
      <c r="AA560" s="470">
        <v>29</v>
      </c>
      <c r="AB560" s="470">
        <v>29</v>
      </c>
      <c r="AC560" s="473">
        <v>118333</v>
      </c>
      <c r="AD560" s="473">
        <v>118333</v>
      </c>
      <c r="AE560" s="473">
        <v>51475</v>
      </c>
      <c r="AF560" s="473">
        <v>20590</v>
      </c>
      <c r="AG560" s="473">
        <v>1547</v>
      </c>
      <c r="AH560" s="473">
        <v>193</v>
      </c>
      <c r="AI560" s="473">
        <v>1208</v>
      </c>
      <c r="AJ560" s="473">
        <v>4288</v>
      </c>
      <c r="AK560" s="473">
        <v>10295</v>
      </c>
      <c r="AL560" s="473">
        <v>7721</v>
      </c>
      <c r="AM560" s="473">
        <v>515</v>
      </c>
      <c r="AN560" s="473">
        <v>1802</v>
      </c>
      <c r="AO560" s="473">
        <v>1030</v>
      </c>
      <c r="AP560" s="473">
        <v>257</v>
      </c>
      <c r="AQ560" s="473">
        <v>1800</v>
      </c>
      <c r="AR560" s="473">
        <v>11668</v>
      </c>
      <c r="AS560" s="473">
        <v>0</v>
      </c>
      <c r="AT560" s="473">
        <v>0</v>
      </c>
      <c r="AU560" s="473">
        <v>3805</v>
      </c>
      <c r="AV560" s="473">
        <v>118194</v>
      </c>
      <c r="AW560" s="474">
        <v>114389</v>
      </c>
      <c r="AX560" s="473">
        <v>0</v>
      </c>
      <c r="AY560" s="473">
        <v>0</v>
      </c>
      <c r="AZ560" s="475">
        <v>9648</v>
      </c>
      <c r="BA560" s="475">
        <v>200</v>
      </c>
      <c r="BB560" s="475">
        <v>1800</v>
      </c>
      <c r="BC560" s="475">
        <v>0</v>
      </c>
      <c r="BD560" s="475">
        <v>0</v>
      </c>
      <c r="BE560" s="475">
        <v>0</v>
      </c>
      <c r="BF560" s="475">
        <v>12500</v>
      </c>
      <c r="BG560" s="475">
        <v>24148</v>
      </c>
      <c r="BH560" s="476">
        <v>94046</v>
      </c>
      <c r="BI560" s="467"/>
      <c r="BJ560" s="468"/>
    </row>
    <row r="561" spans="1:62">
      <c r="A561" s="469">
        <v>45901</v>
      </c>
      <c r="B561" s="469" t="s">
        <v>747</v>
      </c>
      <c r="C561" s="508" t="s">
        <v>748</v>
      </c>
      <c r="D561" s="470" t="s">
        <v>749</v>
      </c>
      <c r="E561" s="471">
        <v>1086</v>
      </c>
      <c r="F561" s="470" t="s">
        <v>1016</v>
      </c>
      <c r="G561" s="470" t="s">
        <v>812</v>
      </c>
      <c r="H561" s="470" t="s">
        <v>12</v>
      </c>
      <c r="I561" s="470" t="s">
        <v>1017</v>
      </c>
      <c r="J561" s="472" t="s">
        <v>1018</v>
      </c>
      <c r="K561" s="470" t="s">
        <v>1019</v>
      </c>
      <c r="L561" s="470" t="s">
        <v>1293</v>
      </c>
      <c r="M561" s="470" t="s">
        <v>1293</v>
      </c>
      <c r="N561" s="470" t="s">
        <v>1275</v>
      </c>
      <c r="O561" s="472" t="s">
        <v>757</v>
      </c>
      <c r="P561" s="472" t="s">
        <v>738</v>
      </c>
      <c r="Q561" s="472" t="s">
        <v>758</v>
      </c>
      <c r="R561" s="472" t="s">
        <v>12</v>
      </c>
      <c r="S561" s="472" t="s">
        <v>12</v>
      </c>
      <c r="T561" s="472" t="s">
        <v>1021</v>
      </c>
      <c r="U561" s="470" t="s">
        <v>1022</v>
      </c>
      <c r="V561" s="470" t="s">
        <v>761</v>
      </c>
      <c r="W561" s="470" t="s">
        <v>771</v>
      </c>
      <c r="X561" s="470">
        <v>30</v>
      </c>
      <c r="Y561" s="470">
        <v>0</v>
      </c>
      <c r="Z561" s="470">
        <v>0</v>
      </c>
      <c r="AA561" s="470">
        <v>30</v>
      </c>
      <c r="AB561" s="470">
        <v>30</v>
      </c>
      <c r="AC561" s="473">
        <v>60208</v>
      </c>
      <c r="AD561" s="473">
        <v>60208</v>
      </c>
      <c r="AE561" s="473">
        <v>27094</v>
      </c>
      <c r="AF561" s="473">
        <v>10838</v>
      </c>
      <c r="AG561" s="473">
        <v>1600</v>
      </c>
      <c r="AH561" s="473">
        <v>200</v>
      </c>
      <c r="AI561" s="473">
        <v>1250</v>
      </c>
      <c r="AJ561" s="473">
        <v>2257</v>
      </c>
      <c r="AK561" s="473">
        <v>5419</v>
      </c>
      <c r="AL561" s="473">
        <v>4064</v>
      </c>
      <c r="AM561" s="473">
        <v>271</v>
      </c>
      <c r="AN561" s="473">
        <v>948</v>
      </c>
      <c r="AO561" s="473">
        <v>542</v>
      </c>
      <c r="AP561" s="473">
        <v>135</v>
      </c>
      <c r="AQ561" s="473">
        <v>1800</v>
      </c>
      <c r="AR561" s="473">
        <v>3790</v>
      </c>
      <c r="AS561" s="473">
        <v>0</v>
      </c>
      <c r="AT561" s="473">
        <v>0</v>
      </c>
      <c r="AU561" s="473">
        <v>1960</v>
      </c>
      <c r="AV561" s="473">
        <v>62168</v>
      </c>
      <c r="AW561" s="474">
        <v>60208</v>
      </c>
      <c r="AX561" s="473">
        <v>0</v>
      </c>
      <c r="AY561" s="473">
        <v>0</v>
      </c>
      <c r="AZ561" s="475">
        <v>0</v>
      </c>
      <c r="BA561" s="475">
        <v>200</v>
      </c>
      <c r="BB561" s="475">
        <v>1800</v>
      </c>
      <c r="BC561" s="475">
        <v>0</v>
      </c>
      <c r="BD561" s="475">
        <v>0</v>
      </c>
      <c r="BE561" s="475">
        <v>0</v>
      </c>
      <c r="BF561" s="475">
        <v>0</v>
      </c>
      <c r="BG561" s="475">
        <v>2000</v>
      </c>
      <c r="BH561" s="476">
        <v>60168</v>
      </c>
      <c r="BI561" s="467"/>
      <c r="BJ561" s="468"/>
    </row>
    <row r="562" spans="1:62">
      <c r="A562" s="469">
        <v>45901</v>
      </c>
      <c r="B562" s="469" t="s">
        <v>747</v>
      </c>
      <c r="C562" s="508" t="s">
        <v>748</v>
      </c>
      <c r="D562" s="470" t="s">
        <v>749</v>
      </c>
      <c r="E562" s="471">
        <v>737</v>
      </c>
      <c r="F562" s="470" t="s">
        <v>1023</v>
      </c>
      <c r="G562" s="470" t="s">
        <v>751</v>
      </c>
      <c r="H562" s="470" t="s">
        <v>12</v>
      </c>
      <c r="I562" s="470" t="s">
        <v>1024</v>
      </c>
      <c r="J562" s="472" t="s">
        <v>1025</v>
      </c>
      <c r="K562" s="470" t="s">
        <v>1026</v>
      </c>
      <c r="L562" s="470" t="s">
        <v>979</v>
      </c>
      <c r="M562" s="470" t="s">
        <v>979</v>
      </c>
      <c r="N562" s="470" t="s">
        <v>833</v>
      </c>
      <c r="O562" s="472" t="s">
        <v>757</v>
      </c>
      <c r="P562" s="472" t="s">
        <v>738</v>
      </c>
      <c r="Q562" s="472" t="s">
        <v>758</v>
      </c>
      <c r="R562" s="472" t="s">
        <v>12</v>
      </c>
      <c r="S562" s="472" t="s">
        <v>12</v>
      </c>
      <c r="T562" s="472" t="s">
        <v>1029</v>
      </c>
      <c r="U562" s="470" t="s">
        <v>1030</v>
      </c>
      <c r="V562" s="470" t="s">
        <v>761</v>
      </c>
      <c r="W562" s="470" t="s">
        <v>762</v>
      </c>
      <c r="X562" s="470">
        <v>30</v>
      </c>
      <c r="Y562" s="470">
        <v>0</v>
      </c>
      <c r="Z562" s="470">
        <v>0</v>
      </c>
      <c r="AA562" s="470">
        <v>30</v>
      </c>
      <c r="AB562" s="470">
        <v>30</v>
      </c>
      <c r="AC562" s="473">
        <v>22933</v>
      </c>
      <c r="AD562" s="473">
        <v>22933</v>
      </c>
      <c r="AE562" s="473">
        <v>10320</v>
      </c>
      <c r="AF562" s="473">
        <v>4128</v>
      </c>
      <c r="AG562" s="473">
        <v>1600</v>
      </c>
      <c r="AH562" s="473">
        <v>200</v>
      </c>
      <c r="AI562" s="473">
        <v>1250</v>
      </c>
      <c r="AJ562" s="473">
        <v>0</v>
      </c>
      <c r="AK562" s="473">
        <v>0</v>
      </c>
      <c r="AL562" s="473">
        <v>0</v>
      </c>
      <c r="AM562" s="473">
        <v>0</v>
      </c>
      <c r="AN562" s="473">
        <v>0</v>
      </c>
      <c r="AO562" s="473">
        <v>0</v>
      </c>
      <c r="AP562" s="473">
        <v>0</v>
      </c>
      <c r="AQ562" s="473">
        <v>1238</v>
      </c>
      <c r="AR562" s="473">
        <v>4197</v>
      </c>
      <c r="AS562" s="473">
        <v>0</v>
      </c>
      <c r="AT562" s="473">
        <v>0</v>
      </c>
      <c r="AU562" s="473">
        <v>6973</v>
      </c>
      <c r="AV562" s="473">
        <v>29906</v>
      </c>
      <c r="AW562" s="474">
        <v>22933</v>
      </c>
      <c r="AX562" s="473">
        <v>0</v>
      </c>
      <c r="AY562" s="473">
        <v>0</v>
      </c>
      <c r="AZ562" s="475">
        <v>0</v>
      </c>
      <c r="BA562" s="475">
        <v>200</v>
      </c>
      <c r="BB562" s="475">
        <v>1238</v>
      </c>
      <c r="BC562" s="475">
        <v>0</v>
      </c>
      <c r="BD562" s="475">
        <v>0</v>
      </c>
      <c r="BE562" s="475">
        <v>0</v>
      </c>
      <c r="BF562" s="475">
        <v>0</v>
      </c>
      <c r="BG562" s="475">
        <v>1438</v>
      </c>
      <c r="BH562" s="476">
        <v>28468</v>
      </c>
      <c r="BI562" s="467"/>
      <c r="BJ562" s="468"/>
    </row>
    <row r="563" spans="1:62">
      <c r="A563" s="469">
        <v>45901</v>
      </c>
      <c r="B563" s="469" t="s">
        <v>747</v>
      </c>
      <c r="C563" s="508" t="s">
        <v>748</v>
      </c>
      <c r="D563" s="470" t="s">
        <v>749</v>
      </c>
      <c r="E563" s="471">
        <v>649</v>
      </c>
      <c r="F563" s="470" t="s">
        <v>1031</v>
      </c>
      <c r="G563" s="470" t="s">
        <v>812</v>
      </c>
      <c r="H563" s="470" t="s">
        <v>12</v>
      </c>
      <c r="I563" s="470" t="s">
        <v>1032</v>
      </c>
      <c r="J563" s="472" t="s">
        <v>1033</v>
      </c>
      <c r="K563" s="470" t="s">
        <v>1034</v>
      </c>
      <c r="L563" s="470" t="s">
        <v>971</v>
      </c>
      <c r="M563" s="470" t="s">
        <v>971</v>
      </c>
      <c r="N563" s="470" t="s">
        <v>833</v>
      </c>
      <c r="O563" s="472" t="s">
        <v>792</v>
      </c>
      <c r="P563" s="472" t="s">
        <v>738</v>
      </c>
      <c r="Q563" s="472" t="s">
        <v>758</v>
      </c>
      <c r="R563" s="472" t="s">
        <v>12</v>
      </c>
      <c r="S563" s="472" t="s">
        <v>12</v>
      </c>
      <c r="T563" s="472" t="s">
        <v>1036</v>
      </c>
      <c r="U563" s="470" t="s">
        <v>1037</v>
      </c>
      <c r="V563" s="470" t="s">
        <v>761</v>
      </c>
      <c r="W563" s="470" t="s">
        <v>762</v>
      </c>
      <c r="X563" s="470">
        <v>30</v>
      </c>
      <c r="Y563" s="470">
        <v>0</v>
      </c>
      <c r="Z563" s="470">
        <v>0</v>
      </c>
      <c r="AA563" s="470">
        <v>30</v>
      </c>
      <c r="AB563" s="470">
        <v>30</v>
      </c>
      <c r="AC563" s="473">
        <v>158333</v>
      </c>
      <c r="AD563" s="473">
        <v>158333</v>
      </c>
      <c r="AE563" s="473">
        <v>71250</v>
      </c>
      <c r="AF563" s="473">
        <v>28500</v>
      </c>
      <c r="AG563" s="473">
        <v>1600</v>
      </c>
      <c r="AH563" s="473">
        <v>200</v>
      </c>
      <c r="AI563" s="473">
        <v>1250</v>
      </c>
      <c r="AJ563" s="473">
        <v>5935</v>
      </c>
      <c r="AK563" s="473">
        <v>14250</v>
      </c>
      <c r="AL563" s="473">
        <v>10688</v>
      </c>
      <c r="AM563" s="473">
        <v>713</v>
      </c>
      <c r="AN563" s="473">
        <v>2494</v>
      </c>
      <c r="AO563" s="473">
        <v>1425</v>
      </c>
      <c r="AP563" s="473">
        <v>356</v>
      </c>
      <c r="AQ563" s="473">
        <v>1800</v>
      </c>
      <c r="AR563" s="473">
        <v>17872</v>
      </c>
      <c r="AS563" s="473">
        <v>0</v>
      </c>
      <c r="AT563" s="473">
        <v>0</v>
      </c>
      <c r="AU563" s="473">
        <v>6403</v>
      </c>
      <c r="AV563" s="473">
        <v>164736</v>
      </c>
      <c r="AW563" s="474">
        <v>158333</v>
      </c>
      <c r="AX563" s="473">
        <v>0</v>
      </c>
      <c r="AY563" s="473">
        <v>0</v>
      </c>
      <c r="AZ563" s="475">
        <v>10000</v>
      </c>
      <c r="BA563" s="475">
        <v>200</v>
      </c>
      <c r="BB563" s="475">
        <v>1800</v>
      </c>
      <c r="BC563" s="475">
        <v>0</v>
      </c>
      <c r="BD563" s="475">
        <v>0</v>
      </c>
      <c r="BE563" s="475">
        <v>0</v>
      </c>
      <c r="BF563" s="475">
        <v>0</v>
      </c>
      <c r="BG563" s="475">
        <v>12000</v>
      </c>
      <c r="BH563" s="476">
        <v>152736</v>
      </c>
      <c r="BI563" s="467"/>
      <c r="BJ563" s="468"/>
    </row>
    <row r="564" spans="1:62">
      <c r="A564" s="469">
        <v>45901</v>
      </c>
      <c r="B564" s="469" t="s">
        <v>747</v>
      </c>
      <c r="C564" s="508" t="s">
        <v>748</v>
      </c>
      <c r="D564" s="470" t="s">
        <v>749</v>
      </c>
      <c r="E564" s="471">
        <v>1746</v>
      </c>
      <c r="F564" s="470" t="s">
        <v>1038</v>
      </c>
      <c r="G564" s="470" t="s">
        <v>751</v>
      </c>
      <c r="H564" s="470" t="s">
        <v>12</v>
      </c>
      <c r="I564" s="470" t="s">
        <v>1039</v>
      </c>
      <c r="J564" s="472" t="s">
        <v>1040</v>
      </c>
      <c r="K564" s="470" t="s">
        <v>1041</v>
      </c>
      <c r="L564" s="470" t="s">
        <v>1042</v>
      </c>
      <c r="M564" s="470" t="s">
        <v>1042</v>
      </c>
      <c r="N564" s="470" t="s">
        <v>833</v>
      </c>
      <c r="O564" s="472" t="s">
        <v>1043</v>
      </c>
      <c r="P564" s="472" t="s">
        <v>738</v>
      </c>
      <c r="Q564" s="472" t="s">
        <v>758</v>
      </c>
      <c r="R564" s="472" t="s">
        <v>12</v>
      </c>
      <c r="S564" s="472" t="s">
        <v>12</v>
      </c>
      <c r="T564" s="472" t="s">
        <v>1044</v>
      </c>
      <c r="U564" s="470" t="s">
        <v>1045</v>
      </c>
      <c r="V564" s="470" t="s">
        <v>761</v>
      </c>
      <c r="W564" s="470" t="s">
        <v>762</v>
      </c>
      <c r="X564" s="470">
        <v>30</v>
      </c>
      <c r="Y564" s="470">
        <v>0</v>
      </c>
      <c r="Z564" s="470">
        <v>2</v>
      </c>
      <c r="AA564" s="470">
        <v>28</v>
      </c>
      <c r="AB564" s="470">
        <v>28</v>
      </c>
      <c r="AC564" s="473">
        <v>28500</v>
      </c>
      <c r="AD564" s="473">
        <v>28500</v>
      </c>
      <c r="AE564" s="473">
        <v>11970</v>
      </c>
      <c r="AF564" s="473">
        <v>4788</v>
      </c>
      <c r="AG564" s="473">
        <v>1493</v>
      </c>
      <c r="AH564" s="473">
        <v>187</v>
      </c>
      <c r="AI564" s="473">
        <v>1167</v>
      </c>
      <c r="AJ564" s="473">
        <v>0</v>
      </c>
      <c r="AK564" s="473">
        <v>0</v>
      </c>
      <c r="AL564" s="473">
        <v>0</v>
      </c>
      <c r="AM564" s="473">
        <v>0</v>
      </c>
      <c r="AN564" s="473">
        <v>0</v>
      </c>
      <c r="AO564" s="473">
        <v>0</v>
      </c>
      <c r="AP564" s="473">
        <v>0</v>
      </c>
      <c r="AQ564" s="473">
        <v>1436</v>
      </c>
      <c r="AR564" s="473">
        <v>5559</v>
      </c>
      <c r="AS564" s="473">
        <v>0</v>
      </c>
      <c r="AT564" s="473">
        <v>0</v>
      </c>
      <c r="AU564" s="473">
        <v>7378</v>
      </c>
      <c r="AV564" s="473">
        <v>33978</v>
      </c>
      <c r="AW564" s="474">
        <v>26600</v>
      </c>
      <c r="AX564" s="473">
        <v>0</v>
      </c>
      <c r="AY564" s="473">
        <v>0</v>
      </c>
      <c r="AZ564" s="475">
        <v>0</v>
      </c>
      <c r="BA564" s="475">
        <v>200</v>
      </c>
      <c r="BB564" s="475">
        <v>1436</v>
      </c>
      <c r="BC564" s="475">
        <v>0</v>
      </c>
      <c r="BD564" s="475">
        <v>0</v>
      </c>
      <c r="BE564" s="475">
        <v>0</v>
      </c>
      <c r="BF564" s="475">
        <v>0</v>
      </c>
      <c r="BG564" s="475">
        <v>1636</v>
      </c>
      <c r="BH564" s="476">
        <v>32342</v>
      </c>
      <c r="BI564" s="467"/>
      <c r="BJ564" s="468"/>
    </row>
    <row r="565" spans="1:62">
      <c r="A565" s="469">
        <v>45901</v>
      </c>
      <c r="B565" s="469" t="s">
        <v>747</v>
      </c>
      <c r="C565" s="508" t="s">
        <v>748</v>
      </c>
      <c r="D565" s="470" t="s">
        <v>749</v>
      </c>
      <c r="E565" s="471">
        <v>1771</v>
      </c>
      <c r="F565" s="470" t="s">
        <v>1046</v>
      </c>
      <c r="G565" s="470" t="s">
        <v>751</v>
      </c>
      <c r="H565" s="470" t="s">
        <v>12</v>
      </c>
      <c r="I565" s="470" t="s">
        <v>781</v>
      </c>
      <c r="J565" s="472" t="s">
        <v>1047</v>
      </c>
      <c r="K565" s="470" t="s">
        <v>1048</v>
      </c>
      <c r="L565" s="470" t="s">
        <v>1338</v>
      </c>
      <c r="M565" s="470" t="s">
        <v>1338</v>
      </c>
      <c r="N565" s="470" t="s">
        <v>1275</v>
      </c>
      <c r="O565" s="472" t="s">
        <v>757</v>
      </c>
      <c r="P565" s="472" t="s">
        <v>738</v>
      </c>
      <c r="Q565" s="472" t="s">
        <v>758</v>
      </c>
      <c r="R565" s="472" t="s">
        <v>12</v>
      </c>
      <c r="S565" s="472" t="s">
        <v>12</v>
      </c>
      <c r="T565" s="472" t="s">
        <v>1049</v>
      </c>
      <c r="U565" s="470" t="s">
        <v>1050</v>
      </c>
      <c r="V565" s="470" t="s">
        <v>761</v>
      </c>
      <c r="W565" s="470" t="s">
        <v>795</v>
      </c>
      <c r="X565" s="470">
        <v>30</v>
      </c>
      <c r="Y565" s="470">
        <v>0</v>
      </c>
      <c r="Z565" s="470">
        <v>0</v>
      </c>
      <c r="AA565" s="470">
        <v>30</v>
      </c>
      <c r="AB565" s="470">
        <v>30</v>
      </c>
      <c r="AC565" s="473">
        <v>92504</v>
      </c>
      <c r="AD565" s="473">
        <v>92504</v>
      </c>
      <c r="AE565" s="473">
        <v>41627</v>
      </c>
      <c r="AF565" s="473">
        <v>16651</v>
      </c>
      <c r="AG565" s="473">
        <v>1600</v>
      </c>
      <c r="AH565" s="473">
        <v>200</v>
      </c>
      <c r="AI565" s="473">
        <v>1250</v>
      </c>
      <c r="AJ565" s="473">
        <v>3468</v>
      </c>
      <c r="AK565" s="473">
        <v>8325</v>
      </c>
      <c r="AL565" s="473">
        <v>6244</v>
      </c>
      <c r="AM565" s="473">
        <v>416</v>
      </c>
      <c r="AN565" s="473">
        <v>1457</v>
      </c>
      <c r="AO565" s="473">
        <v>833</v>
      </c>
      <c r="AP565" s="473">
        <v>208</v>
      </c>
      <c r="AQ565" s="473">
        <v>1800</v>
      </c>
      <c r="AR565" s="473">
        <v>8425</v>
      </c>
      <c r="AS565" s="473">
        <v>0</v>
      </c>
      <c r="AT565" s="473">
        <v>2500</v>
      </c>
      <c r="AU565" s="473">
        <v>0</v>
      </c>
      <c r="AV565" s="473">
        <v>95004</v>
      </c>
      <c r="AW565" s="474">
        <v>95004</v>
      </c>
      <c r="AX565" s="473">
        <v>0</v>
      </c>
      <c r="AY565" s="473">
        <v>0</v>
      </c>
      <c r="AZ565" s="475">
        <v>0</v>
      </c>
      <c r="BA565" s="475">
        <v>200</v>
      </c>
      <c r="BB565" s="475">
        <v>1800</v>
      </c>
      <c r="BC565" s="475">
        <v>0</v>
      </c>
      <c r="BD565" s="475">
        <v>0</v>
      </c>
      <c r="BE565" s="475">
        <v>0</v>
      </c>
      <c r="BF565" s="475">
        <v>0</v>
      </c>
      <c r="BG565" s="475">
        <v>2000</v>
      </c>
      <c r="BH565" s="476">
        <v>93004</v>
      </c>
      <c r="BI565" s="467"/>
      <c r="BJ565" s="468"/>
    </row>
    <row r="566" spans="1:62">
      <c r="A566" s="469">
        <v>45901</v>
      </c>
      <c r="B566" s="469" t="s">
        <v>747</v>
      </c>
      <c r="C566" s="508" t="s">
        <v>748</v>
      </c>
      <c r="D566" s="470" t="s">
        <v>749</v>
      </c>
      <c r="E566" s="471">
        <v>1445</v>
      </c>
      <c r="F566" s="470" t="s">
        <v>1057</v>
      </c>
      <c r="G566" s="470" t="s">
        <v>751</v>
      </c>
      <c r="H566" s="470" t="s">
        <v>12</v>
      </c>
      <c r="I566" s="470" t="s">
        <v>1058</v>
      </c>
      <c r="J566" s="472" t="s">
        <v>1059</v>
      </c>
      <c r="K566" s="470" t="s">
        <v>1060</v>
      </c>
      <c r="L566" s="470" t="s">
        <v>800</v>
      </c>
      <c r="M566" s="470" t="s">
        <v>801</v>
      </c>
      <c r="N566" s="470" t="s">
        <v>756</v>
      </c>
      <c r="O566" s="472" t="s">
        <v>757</v>
      </c>
      <c r="P566" s="472" t="s">
        <v>738</v>
      </c>
      <c r="Q566" s="472" t="s">
        <v>758</v>
      </c>
      <c r="R566" s="472" t="s">
        <v>12</v>
      </c>
      <c r="S566" s="472" t="s">
        <v>12</v>
      </c>
      <c r="T566" s="472" t="s">
        <v>1061</v>
      </c>
      <c r="U566" s="470" t="s">
        <v>1062</v>
      </c>
      <c r="V566" s="470" t="s">
        <v>761</v>
      </c>
      <c r="W566" s="470" t="s">
        <v>1063</v>
      </c>
      <c r="X566" s="470">
        <v>30</v>
      </c>
      <c r="Y566" s="470">
        <v>0</v>
      </c>
      <c r="Z566" s="470">
        <v>0</v>
      </c>
      <c r="AA566" s="470">
        <v>30</v>
      </c>
      <c r="AB566" s="470">
        <v>30</v>
      </c>
      <c r="AC566" s="473">
        <v>50225</v>
      </c>
      <c r="AD566" s="473">
        <v>50225</v>
      </c>
      <c r="AE566" s="473">
        <v>22601</v>
      </c>
      <c r="AF566" s="473">
        <v>9040</v>
      </c>
      <c r="AG566" s="473">
        <v>1600</v>
      </c>
      <c r="AH566" s="473">
        <v>200</v>
      </c>
      <c r="AI566" s="473">
        <v>1250</v>
      </c>
      <c r="AJ566" s="473">
        <v>1883</v>
      </c>
      <c r="AK566" s="473">
        <v>4520</v>
      </c>
      <c r="AL566" s="473">
        <v>3390</v>
      </c>
      <c r="AM566" s="473">
        <v>226</v>
      </c>
      <c r="AN566" s="473">
        <v>791</v>
      </c>
      <c r="AO566" s="473">
        <v>452</v>
      </c>
      <c r="AP566" s="473">
        <v>113</v>
      </c>
      <c r="AQ566" s="473">
        <v>1800</v>
      </c>
      <c r="AR566" s="473">
        <v>2359</v>
      </c>
      <c r="AS566" s="473">
        <v>0</v>
      </c>
      <c r="AT566" s="473">
        <v>0</v>
      </c>
      <c r="AU566" s="473">
        <v>0</v>
      </c>
      <c r="AV566" s="473">
        <v>50225</v>
      </c>
      <c r="AW566" s="474">
        <v>50225</v>
      </c>
      <c r="AX566" s="473">
        <v>0</v>
      </c>
      <c r="AY566" s="473">
        <v>0</v>
      </c>
      <c r="AZ566" s="475">
        <v>0</v>
      </c>
      <c r="BA566" s="475">
        <v>200</v>
      </c>
      <c r="BB566" s="475">
        <v>1800</v>
      </c>
      <c r="BC566" s="475">
        <v>0</v>
      </c>
      <c r="BD566" s="475">
        <v>0</v>
      </c>
      <c r="BE566" s="475">
        <v>0</v>
      </c>
      <c r="BF566" s="475">
        <v>0</v>
      </c>
      <c r="BG566" s="475">
        <v>2000</v>
      </c>
      <c r="BH566" s="476">
        <v>48225</v>
      </c>
      <c r="BI566" s="467"/>
      <c r="BJ566" s="468"/>
    </row>
    <row r="567" spans="1:62">
      <c r="A567" s="469">
        <v>45901</v>
      </c>
      <c r="B567" s="469" t="s">
        <v>747</v>
      </c>
      <c r="C567" s="508" t="s">
        <v>748</v>
      </c>
      <c r="D567" s="470" t="s">
        <v>749</v>
      </c>
      <c r="E567" s="471">
        <v>1932</v>
      </c>
      <c r="F567" s="470" t="s">
        <v>1064</v>
      </c>
      <c r="G567" s="470" t="s">
        <v>751</v>
      </c>
      <c r="H567" s="470" t="s">
        <v>12</v>
      </c>
      <c r="I567" s="470" t="s">
        <v>1065</v>
      </c>
      <c r="J567" s="472" t="s">
        <v>1066</v>
      </c>
      <c r="K567" s="470" t="s">
        <v>1067</v>
      </c>
      <c r="L567" s="470" t="s">
        <v>1068</v>
      </c>
      <c r="M567" s="470" t="s">
        <v>1068</v>
      </c>
      <c r="N567" s="470" t="s">
        <v>756</v>
      </c>
      <c r="O567" s="472" t="s">
        <v>757</v>
      </c>
      <c r="P567" s="472" t="s">
        <v>738</v>
      </c>
      <c r="Q567" s="472" t="s">
        <v>758</v>
      </c>
      <c r="R567" s="472" t="s">
        <v>12</v>
      </c>
      <c r="S567" s="472" t="s">
        <v>12</v>
      </c>
      <c r="T567" s="472" t="s">
        <v>1069</v>
      </c>
      <c r="U567" s="470" t="s">
        <v>1070</v>
      </c>
      <c r="V567" s="470" t="s">
        <v>761</v>
      </c>
      <c r="W567" s="470" t="s">
        <v>859</v>
      </c>
      <c r="X567" s="470">
        <v>30</v>
      </c>
      <c r="Y567" s="470">
        <v>0</v>
      </c>
      <c r="Z567" s="470">
        <v>1</v>
      </c>
      <c r="AA567" s="470">
        <v>29</v>
      </c>
      <c r="AB567" s="470">
        <v>29</v>
      </c>
      <c r="AC567" s="473">
        <v>30700</v>
      </c>
      <c r="AD567" s="473">
        <v>30700</v>
      </c>
      <c r="AE567" s="473">
        <v>13355</v>
      </c>
      <c r="AF567" s="473">
        <v>5342</v>
      </c>
      <c r="AG567" s="473">
        <v>1547</v>
      </c>
      <c r="AH567" s="473">
        <v>193</v>
      </c>
      <c r="AI567" s="473">
        <v>1208</v>
      </c>
      <c r="AJ567" s="473">
        <v>0</v>
      </c>
      <c r="AK567" s="473">
        <v>0</v>
      </c>
      <c r="AL567" s="473">
        <v>0</v>
      </c>
      <c r="AM567" s="473">
        <v>0</v>
      </c>
      <c r="AN567" s="473">
        <v>0</v>
      </c>
      <c r="AO567" s="473">
        <v>0</v>
      </c>
      <c r="AP567" s="473">
        <v>0</v>
      </c>
      <c r="AQ567" s="473">
        <v>1603</v>
      </c>
      <c r="AR567" s="473">
        <v>6429</v>
      </c>
      <c r="AS567" s="473">
        <v>0</v>
      </c>
      <c r="AT567" s="473">
        <v>0</v>
      </c>
      <c r="AU567" s="473">
        <v>4043</v>
      </c>
      <c r="AV567" s="473">
        <v>33720</v>
      </c>
      <c r="AW567" s="474">
        <v>29677</v>
      </c>
      <c r="AX567" s="473">
        <v>0</v>
      </c>
      <c r="AY567" s="473">
        <v>0</v>
      </c>
      <c r="AZ567" s="475">
        <v>0</v>
      </c>
      <c r="BA567" s="475">
        <v>200</v>
      </c>
      <c r="BB567" s="475">
        <v>1603</v>
      </c>
      <c r="BC567" s="475">
        <v>0</v>
      </c>
      <c r="BD567" s="475">
        <v>0</v>
      </c>
      <c r="BE567" s="475">
        <v>0</v>
      </c>
      <c r="BF567" s="475">
        <v>0</v>
      </c>
      <c r="BG567" s="475">
        <v>1803</v>
      </c>
      <c r="BH567" s="476">
        <v>31917</v>
      </c>
      <c r="BI567" s="467"/>
      <c r="BJ567" s="468"/>
    </row>
    <row r="568" spans="1:62">
      <c r="A568" s="469">
        <v>45901</v>
      </c>
      <c r="B568" s="469" t="s">
        <v>747</v>
      </c>
      <c r="C568" s="508" t="s">
        <v>748</v>
      </c>
      <c r="D568" s="470" t="s">
        <v>749</v>
      </c>
      <c r="E568" s="471">
        <v>2221</v>
      </c>
      <c r="F568" s="470" t="s">
        <v>1363</v>
      </c>
      <c r="G568" s="470" t="s">
        <v>812</v>
      </c>
      <c r="H568" s="470" t="s">
        <v>12</v>
      </c>
      <c r="I568" s="470" t="s">
        <v>1364</v>
      </c>
      <c r="J568" s="472" t="s">
        <v>1365</v>
      </c>
      <c r="K568" s="470" t="s">
        <v>1366</v>
      </c>
      <c r="L568" s="470" t="s">
        <v>1305</v>
      </c>
      <c r="M568" s="470" t="s">
        <v>1305</v>
      </c>
      <c r="N568" s="470" t="s">
        <v>756</v>
      </c>
      <c r="O568" s="472" t="s">
        <v>757</v>
      </c>
      <c r="P568" s="472" t="s">
        <v>738</v>
      </c>
      <c r="Q568" s="472" t="s">
        <v>758</v>
      </c>
      <c r="R568" s="472" t="s">
        <v>12</v>
      </c>
      <c r="S568" s="472" t="s">
        <v>12</v>
      </c>
      <c r="T568" s="472" t="s">
        <v>1367</v>
      </c>
      <c r="U568" s="470">
        <v>0</v>
      </c>
      <c r="V568" s="470">
        <v>0</v>
      </c>
      <c r="W568" s="470">
        <v>0</v>
      </c>
      <c r="X568" s="470">
        <v>30</v>
      </c>
      <c r="Y568" s="470">
        <v>0</v>
      </c>
      <c r="Z568" s="470">
        <v>0</v>
      </c>
      <c r="AA568" s="470">
        <v>8</v>
      </c>
      <c r="AB568" s="470">
        <v>8</v>
      </c>
      <c r="AC568" s="473">
        <v>81533</v>
      </c>
      <c r="AD568" s="473">
        <v>81533</v>
      </c>
      <c r="AE568" s="473">
        <v>9784</v>
      </c>
      <c r="AF568" s="473">
        <v>3914</v>
      </c>
      <c r="AG568" s="473">
        <v>427</v>
      </c>
      <c r="AH568" s="473">
        <v>200</v>
      </c>
      <c r="AI568" s="473">
        <v>333</v>
      </c>
      <c r="AJ568" s="473">
        <v>815</v>
      </c>
      <c r="AK568" s="473">
        <v>1957</v>
      </c>
      <c r="AL568" s="473">
        <v>1468</v>
      </c>
      <c r="AM568" s="473">
        <v>98</v>
      </c>
      <c r="AN568" s="473">
        <v>342</v>
      </c>
      <c r="AO568" s="473">
        <v>196</v>
      </c>
      <c r="AP568" s="473">
        <v>49</v>
      </c>
      <c r="AQ568" s="473">
        <v>1174</v>
      </c>
      <c r="AR568" s="473">
        <v>985</v>
      </c>
      <c r="AS568" s="473">
        <v>0</v>
      </c>
      <c r="AT568" s="473">
        <v>0</v>
      </c>
      <c r="AU568" s="473">
        <v>0</v>
      </c>
      <c r="AV568" s="473">
        <v>21742</v>
      </c>
      <c r="AW568" s="474">
        <v>21742</v>
      </c>
      <c r="AX568" s="473">
        <v>0</v>
      </c>
      <c r="AY568" s="473">
        <v>0</v>
      </c>
      <c r="AZ568" s="475">
        <v>0</v>
      </c>
      <c r="BA568" s="475">
        <v>175</v>
      </c>
      <c r="BB568" s="475">
        <v>1174</v>
      </c>
      <c r="BC568" s="475">
        <v>0</v>
      </c>
      <c r="BD568" s="475">
        <v>0</v>
      </c>
      <c r="BE568" s="475">
        <v>0</v>
      </c>
      <c r="BF568" s="475">
        <v>0</v>
      </c>
      <c r="BG568" s="475">
        <v>1349</v>
      </c>
      <c r="BH568" s="476">
        <v>20393</v>
      </c>
      <c r="BI568" s="467" t="s">
        <v>1368</v>
      </c>
      <c r="BJ568" s="468"/>
    </row>
    <row r="569" spans="1:62">
      <c r="A569" s="469">
        <v>45901</v>
      </c>
      <c r="B569" s="469" t="s">
        <v>747</v>
      </c>
      <c r="C569" s="508" t="s">
        <v>748</v>
      </c>
      <c r="D569" s="470" t="s">
        <v>749</v>
      </c>
      <c r="E569" s="471">
        <v>2014</v>
      </c>
      <c r="F569" s="470" t="s">
        <v>1071</v>
      </c>
      <c r="G569" s="470" t="s">
        <v>751</v>
      </c>
      <c r="H569" s="470" t="s">
        <v>12</v>
      </c>
      <c r="I569" s="470" t="s">
        <v>847</v>
      </c>
      <c r="J569" s="472" t="s">
        <v>1072</v>
      </c>
      <c r="K569" s="470" t="s">
        <v>1073</v>
      </c>
      <c r="L569" s="470" t="s">
        <v>1074</v>
      </c>
      <c r="M569" s="470" t="s">
        <v>1074</v>
      </c>
      <c r="N569" s="470" t="s">
        <v>833</v>
      </c>
      <c r="O569" s="472" t="s">
        <v>757</v>
      </c>
      <c r="P569" s="472" t="s">
        <v>738</v>
      </c>
      <c r="Q569" s="472" t="s">
        <v>758</v>
      </c>
      <c r="R569" s="472" t="s">
        <v>12</v>
      </c>
      <c r="S569" s="472" t="s">
        <v>12</v>
      </c>
      <c r="T569" s="472" t="s">
        <v>1076</v>
      </c>
      <c r="U569" s="470" t="s">
        <v>1077</v>
      </c>
      <c r="V569" s="470" t="s">
        <v>761</v>
      </c>
      <c r="W569" s="470" t="s">
        <v>762</v>
      </c>
      <c r="X569" s="470">
        <v>30</v>
      </c>
      <c r="Y569" s="470">
        <v>0</v>
      </c>
      <c r="Z569" s="470">
        <v>0</v>
      </c>
      <c r="AA569" s="470">
        <v>30</v>
      </c>
      <c r="AB569" s="470">
        <v>30</v>
      </c>
      <c r="AC569" s="473">
        <v>32033</v>
      </c>
      <c r="AD569" s="473">
        <v>32033</v>
      </c>
      <c r="AE569" s="473">
        <v>14415</v>
      </c>
      <c r="AF569" s="473">
        <v>5766</v>
      </c>
      <c r="AG569" s="473">
        <v>1600</v>
      </c>
      <c r="AH569" s="473">
        <v>200</v>
      </c>
      <c r="AI569" s="473">
        <v>1250</v>
      </c>
      <c r="AJ569" s="473">
        <v>0</v>
      </c>
      <c r="AK569" s="473">
        <v>0</v>
      </c>
      <c r="AL569" s="473">
        <v>0</v>
      </c>
      <c r="AM569" s="473">
        <v>0</v>
      </c>
      <c r="AN569" s="473">
        <v>0</v>
      </c>
      <c r="AO569" s="473">
        <v>0</v>
      </c>
      <c r="AP569" s="473">
        <v>0</v>
      </c>
      <c r="AQ569" s="473">
        <v>1730</v>
      </c>
      <c r="AR569" s="473">
        <v>7072</v>
      </c>
      <c r="AS569" s="473">
        <v>0</v>
      </c>
      <c r="AT569" s="473">
        <v>0</v>
      </c>
      <c r="AU569" s="473">
        <v>2633</v>
      </c>
      <c r="AV569" s="473">
        <v>34666</v>
      </c>
      <c r="AW569" s="474">
        <v>32033</v>
      </c>
      <c r="AX569" s="473">
        <v>0</v>
      </c>
      <c r="AY569" s="473">
        <v>0</v>
      </c>
      <c r="AZ569" s="475">
        <v>0</v>
      </c>
      <c r="BA569" s="475">
        <v>200</v>
      </c>
      <c r="BB569" s="475">
        <v>1730</v>
      </c>
      <c r="BC569" s="475">
        <v>0</v>
      </c>
      <c r="BD569" s="475">
        <v>0</v>
      </c>
      <c r="BE569" s="475">
        <v>0</v>
      </c>
      <c r="BF569" s="475">
        <v>0</v>
      </c>
      <c r="BG569" s="475">
        <v>1930</v>
      </c>
      <c r="BH569" s="476">
        <v>32736</v>
      </c>
      <c r="BI569" s="467"/>
      <c r="BJ569" s="468"/>
    </row>
    <row r="570" spans="1:62">
      <c r="A570" s="469">
        <v>45901</v>
      </c>
      <c r="B570" s="469" t="s">
        <v>747</v>
      </c>
      <c r="C570" s="508" t="s">
        <v>748</v>
      </c>
      <c r="D570" s="470" t="s">
        <v>749</v>
      </c>
      <c r="E570" s="471">
        <v>2190</v>
      </c>
      <c r="F570" s="470" t="s">
        <v>1294</v>
      </c>
      <c r="G570" s="470" t="s">
        <v>751</v>
      </c>
      <c r="H570" s="470" t="s">
        <v>12</v>
      </c>
      <c r="I570" s="470" t="s">
        <v>1295</v>
      </c>
      <c r="J570" s="472" t="s">
        <v>1296</v>
      </c>
      <c r="K570" s="470" t="s">
        <v>1297</v>
      </c>
      <c r="L570" s="470" t="s">
        <v>1298</v>
      </c>
      <c r="M570" s="470" t="s">
        <v>1298</v>
      </c>
      <c r="N570" s="470" t="s">
        <v>1075</v>
      </c>
      <c r="O570" s="472" t="s">
        <v>757</v>
      </c>
      <c r="P570" s="472" t="s">
        <v>738</v>
      </c>
      <c r="Q570" s="472" t="s">
        <v>758</v>
      </c>
      <c r="R570" s="472" t="s">
        <v>12</v>
      </c>
      <c r="S570" s="472" t="s">
        <v>12</v>
      </c>
      <c r="T570" s="472" t="s">
        <v>1299</v>
      </c>
      <c r="U570" s="470" t="s">
        <v>1300</v>
      </c>
      <c r="V570" s="470" t="s">
        <v>761</v>
      </c>
      <c r="W570" s="470" t="s">
        <v>1301</v>
      </c>
      <c r="X570" s="470">
        <v>30</v>
      </c>
      <c r="Y570" s="470">
        <v>0</v>
      </c>
      <c r="Z570" s="470">
        <v>0</v>
      </c>
      <c r="AA570" s="470">
        <v>30</v>
      </c>
      <c r="AB570" s="470">
        <v>30</v>
      </c>
      <c r="AC570" s="473">
        <v>24438</v>
      </c>
      <c r="AD570" s="473">
        <v>24438</v>
      </c>
      <c r="AE570" s="473">
        <v>10997</v>
      </c>
      <c r="AF570" s="473">
        <v>4399</v>
      </c>
      <c r="AG570" s="473">
        <v>1600</v>
      </c>
      <c r="AH570" s="473">
        <v>200</v>
      </c>
      <c r="AI570" s="473">
        <v>1250</v>
      </c>
      <c r="AJ570" s="473">
        <v>0</v>
      </c>
      <c r="AK570" s="473">
        <v>0</v>
      </c>
      <c r="AL570" s="473">
        <v>0</v>
      </c>
      <c r="AM570" s="473">
        <v>0</v>
      </c>
      <c r="AN570" s="473">
        <v>0</v>
      </c>
      <c r="AO570" s="473">
        <v>0</v>
      </c>
      <c r="AP570" s="473">
        <v>0</v>
      </c>
      <c r="AQ570" s="473">
        <v>1320</v>
      </c>
      <c r="AR570" s="473">
        <v>4672</v>
      </c>
      <c r="AS570" s="473">
        <v>0</v>
      </c>
      <c r="AT570" s="473">
        <v>0</v>
      </c>
      <c r="AU570" s="473">
        <v>1967</v>
      </c>
      <c r="AV570" s="473">
        <v>26405</v>
      </c>
      <c r="AW570" s="474">
        <v>24438</v>
      </c>
      <c r="AX570" s="473">
        <v>0</v>
      </c>
      <c r="AY570" s="473">
        <v>0</v>
      </c>
      <c r="AZ570" s="475">
        <v>0</v>
      </c>
      <c r="BA570" s="475">
        <v>200</v>
      </c>
      <c r="BB570" s="475">
        <v>1320</v>
      </c>
      <c r="BC570" s="475">
        <v>0</v>
      </c>
      <c r="BD570" s="475">
        <v>0</v>
      </c>
      <c r="BE570" s="475">
        <v>0</v>
      </c>
      <c r="BF570" s="475">
        <v>0</v>
      </c>
      <c r="BG570" s="475">
        <v>1520</v>
      </c>
      <c r="BH570" s="476">
        <v>24885</v>
      </c>
      <c r="BI570" s="467"/>
      <c r="BJ570" s="468"/>
    </row>
    <row r="571" spans="1:62">
      <c r="A571" s="469">
        <v>45901</v>
      </c>
      <c r="B571" s="469" t="s">
        <v>747</v>
      </c>
      <c r="C571" s="508" t="s">
        <v>748</v>
      </c>
      <c r="D571" s="470" t="s">
        <v>749</v>
      </c>
      <c r="E571" s="471">
        <v>1480</v>
      </c>
      <c r="F571" s="470" t="s">
        <v>1078</v>
      </c>
      <c r="G571" s="470" t="s">
        <v>751</v>
      </c>
      <c r="H571" s="470" t="s">
        <v>12</v>
      </c>
      <c r="I571" s="470" t="s">
        <v>1079</v>
      </c>
      <c r="J571" s="472" t="s">
        <v>1080</v>
      </c>
      <c r="K571" s="470" t="s">
        <v>1081</v>
      </c>
      <c r="L571" s="470" t="s">
        <v>767</v>
      </c>
      <c r="M571" s="470" t="s">
        <v>767</v>
      </c>
      <c r="N571" s="470" t="s">
        <v>756</v>
      </c>
      <c r="O571" s="472" t="s">
        <v>757</v>
      </c>
      <c r="P571" s="472" t="s">
        <v>738</v>
      </c>
      <c r="Q571" s="472" t="s">
        <v>758</v>
      </c>
      <c r="R571" s="472" t="s">
        <v>12</v>
      </c>
      <c r="S571" s="472" t="s">
        <v>12</v>
      </c>
      <c r="T571" s="472" t="s">
        <v>1082</v>
      </c>
      <c r="U571" s="470" t="s">
        <v>1083</v>
      </c>
      <c r="V571" s="470" t="s">
        <v>761</v>
      </c>
      <c r="W571" s="470" t="s">
        <v>1084</v>
      </c>
      <c r="X571" s="470">
        <v>30</v>
      </c>
      <c r="Y571" s="470">
        <v>0</v>
      </c>
      <c r="Z571" s="470">
        <v>0</v>
      </c>
      <c r="AA571" s="470">
        <v>30</v>
      </c>
      <c r="AB571" s="470">
        <v>30</v>
      </c>
      <c r="AC571" s="473">
        <v>72817</v>
      </c>
      <c r="AD571" s="473">
        <v>72817</v>
      </c>
      <c r="AE571" s="473">
        <v>32768</v>
      </c>
      <c r="AF571" s="473">
        <v>13107</v>
      </c>
      <c r="AG571" s="473">
        <v>1600</v>
      </c>
      <c r="AH571" s="473">
        <v>200</v>
      </c>
      <c r="AI571" s="473">
        <v>1250</v>
      </c>
      <c r="AJ571" s="473">
        <v>2730</v>
      </c>
      <c r="AK571" s="473">
        <v>6554</v>
      </c>
      <c r="AL571" s="473">
        <v>4915</v>
      </c>
      <c r="AM571" s="473">
        <v>328</v>
      </c>
      <c r="AN571" s="473">
        <v>1147</v>
      </c>
      <c r="AO571" s="473">
        <v>655</v>
      </c>
      <c r="AP571" s="473">
        <v>164</v>
      </c>
      <c r="AQ571" s="473">
        <v>1800</v>
      </c>
      <c r="AR571" s="473">
        <v>5599</v>
      </c>
      <c r="AS571" s="473">
        <v>0</v>
      </c>
      <c r="AT571" s="473">
        <v>0</v>
      </c>
      <c r="AU571" s="473">
        <v>0</v>
      </c>
      <c r="AV571" s="473">
        <v>72817</v>
      </c>
      <c r="AW571" s="474">
        <v>72817</v>
      </c>
      <c r="AX571" s="473">
        <v>0</v>
      </c>
      <c r="AY571" s="473">
        <v>0</v>
      </c>
      <c r="AZ571" s="475">
        <v>0</v>
      </c>
      <c r="BA571" s="475">
        <v>200</v>
      </c>
      <c r="BB571" s="475">
        <v>1800</v>
      </c>
      <c r="BC571" s="475">
        <v>0</v>
      </c>
      <c r="BD571" s="475">
        <v>0</v>
      </c>
      <c r="BE571" s="475">
        <v>0</v>
      </c>
      <c r="BF571" s="475">
        <v>0</v>
      </c>
      <c r="BG571" s="475">
        <v>2000</v>
      </c>
      <c r="BH571" s="476">
        <v>70817</v>
      </c>
      <c r="BI571" s="467"/>
      <c r="BJ571" s="468"/>
    </row>
    <row r="572" spans="1:62">
      <c r="A572" s="469">
        <v>45901</v>
      </c>
      <c r="B572" s="469" t="s">
        <v>747</v>
      </c>
      <c r="C572" s="508" t="s">
        <v>748</v>
      </c>
      <c r="D572" s="470" t="s">
        <v>749</v>
      </c>
      <c r="E572" s="471">
        <v>405</v>
      </c>
      <c r="F572" s="470" t="s">
        <v>1085</v>
      </c>
      <c r="G572" s="470" t="s">
        <v>751</v>
      </c>
      <c r="H572" s="470" t="s">
        <v>12</v>
      </c>
      <c r="I572" s="470" t="s">
        <v>954</v>
      </c>
      <c r="J572" s="472" t="s">
        <v>1086</v>
      </c>
      <c r="K572" s="470" t="s">
        <v>1087</v>
      </c>
      <c r="L572" s="470" t="s">
        <v>832</v>
      </c>
      <c r="M572" s="470" t="s">
        <v>832</v>
      </c>
      <c r="N572" s="470" t="s">
        <v>833</v>
      </c>
      <c r="O572" s="472" t="s">
        <v>757</v>
      </c>
      <c r="P572" s="472" t="s">
        <v>738</v>
      </c>
      <c r="Q572" s="472" t="s">
        <v>758</v>
      </c>
      <c r="R572" s="472" t="s">
        <v>12</v>
      </c>
      <c r="S572" s="472" t="s">
        <v>12</v>
      </c>
      <c r="T572" s="472" t="s">
        <v>1088</v>
      </c>
      <c r="U572" s="470" t="s">
        <v>1089</v>
      </c>
      <c r="V572" s="470" t="s">
        <v>761</v>
      </c>
      <c r="W572" s="470" t="s">
        <v>762</v>
      </c>
      <c r="X572" s="470">
        <v>30</v>
      </c>
      <c r="Y572" s="470">
        <v>0</v>
      </c>
      <c r="Z572" s="470">
        <v>0</v>
      </c>
      <c r="AA572" s="470">
        <v>30</v>
      </c>
      <c r="AB572" s="470">
        <v>30</v>
      </c>
      <c r="AC572" s="473">
        <v>33167</v>
      </c>
      <c r="AD572" s="473">
        <v>33167</v>
      </c>
      <c r="AE572" s="473">
        <v>14925</v>
      </c>
      <c r="AF572" s="473">
        <v>5970</v>
      </c>
      <c r="AG572" s="473">
        <v>1600</v>
      </c>
      <c r="AH572" s="473">
        <v>200</v>
      </c>
      <c r="AI572" s="473">
        <v>1250</v>
      </c>
      <c r="AJ572" s="473">
        <v>0</v>
      </c>
      <c r="AK572" s="473">
        <v>0</v>
      </c>
      <c r="AL572" s="473">
        <v>0</v>
      </c>
      <c r="AM572" s="473">
        <v>0</v>
      </c>
      <c r="AN572" s="473">
        <v>0</v>
      </c>
      <c r="AO572" s="473">
        <v>0</v>
      </c>
      <c r="AP572" s="473">
        <v>0</v>
      </c>
      <c r="AQ572" s="473">
        <v>1791</v>
      </c>
      <c r="AR572" s="473">
        <v>7431</v>
      </c>
      <c r="AS572" s="473">
        <v>0</v>
      </c>
      <c r="AT572" s="473">
        <v>0</v>
      </c>
      <c r="AU572" s="473">
        <v>6877</v>
      </c>
      <c r="AV572" s="473">
        <v>40044</v>
      </c>
      <c r="AW572" s="474">
        <v>33167</v>
      </c>
      <c r="AX572" s="473">
        <v>0</v>
      </c>
      <c r="AY572" s="473">
        <v>0</v>
      </c>
      <c r="AZ572" s="475">
        <v>0</v>
      </c>
      <c r="BA572" s="475">
        <v>200</v>
      </c>
      <c r="BB572" s="475">
        <v>1791</v>
      </c>
      <c r="BC572" s="475">
        <v>0</v>
      </c>
      <c r="BD572" s="475">
        <v>0</v>
      </c>
      <c r="BE572" s="475">
        <v>0</v>
      </c>
      <c r="BF572" s="475">
        <v>0</v>
      </c>
      <c r="BG572" s="475">
        <v>1991</v>
      </c>
      <c r="BH572" s="476">
        <v>38053</v>
      </c>
      <c r="BI572" s="467"/>
      <c r="BJ572" s="468"/>
    </row>
    <row r="573" spans="1:62">
      <c r="A573" s="469">
        <v>45901</v>
      </c>
      <c r="B573" s="469" t="s">
        <v>747</v>
      </c>
      <c r="C573" s="508" t="s">
        <v>748</v>
      </c>
      <c r="D573" s="470" t="s">
        <v>749</v>
      </c>
      <c r="E573" s="471">
        <v>1916</v>
      </c>
      <c r="F573" s="470" t="s">
        <v>1090</v>
      </c>
      <c r="G573" s="470" t="s">
        <v>751</v>
      </c>
      <c r="H573" s="470" t="s">
        <v>12</v>
      </c>
      <c r="I573" s="470" t="s">
        <v>853</v>
      </c>
      <c r="J573" s="472" t="s">
        <v>1091</v>
      </c>
      <c r="K573" s="470" t="s">
        <v>1092</v>
      </c>
      <c r="L573" s="470" t="s">
        <v>776</v>
      </c>
      <c r="M573" s="470" t="s">
        <v>776</v>
      </c>
      <c r="N573" s="470" t="s">
        <v>777</v>
      </c>
      <c r="O573" s="472" t="s">
        <v>757</v>
      </c>
      <c r="P573" s="472" t="s">
        <v>738</v>
      </c>
      <c r="Q573" s="472" t="s">
        <v>758</v>
      </c>
      <c r="R573" s="472" t="s">
        <v>12</v>
      </c>
      <c r="S573" s="472" t="s">
        <v>12</v>
      </c>
      <c r="T573" s="472" t="s">
        <v>1093</v>
      </c>
      <c r="U573" s="470" t="s">
        <v>1094</v>
      </c>
      <c r="V573" s="470" t="s">
        <v>761</v>
      </c>
      <c r="W573" s="470" t="s">
        <v>1095</v>
      </c>
      <c r="X573" s="470">
        <v>30</v>
      </c>
      <c r="Y573" s="470">
        <v>0</v>
      </c>
      <c r="Z573" s="470">
        <v>0</v>
      </c>
      <c r="AA573" s="470">
        <v>30</v>
      </c>
      <c r="AB573" s="470">
        <v>30</v>
      </c>
      <c r="AC573" s="473">
        <v>94033</v>
      </c>
      <c r="AD573" s="473">
        <v>94033</v>
      </c>
      <c r="AE573" s="473">
        <v>42315</v>
      </c>
      <c r="AF573" s="473">
        <v>16926</v>
      </c>
      <c r="AG573" s="473">
        <v>1600</v>
      </c>
      <c r="AH573" s="473">
        <v>200</v>
      </c>
      <c r="AI573" s="473">
        <v>1250</v>
      </c>
      <c r="AJ573" s="473">
        <v>3525</v>
      </c>
      <c r="AK573" s="473">
        <v>8463</v>
      </c>
      <c r="AL573" s="473">
        <v>6347</v>
      </c>
      <c r="AM573" s="473">
        <v>423</v>
      </c>
      <c r="AN573" s="473">
        <v>1481</v>
      </c>
      <c r="AO573" s="473">
        <v>846</v>
      </c>
      <c r="AP573" s="473">
        <v>212</v>
      </c>
      <c r="AQ573" s="473">
        <v>1800</v>
      </c>
      <c r="AR573" s="473">
        <v>8645</v>
      </c>
      <c r="AS573" s="473">
        <v>0</v>
      </c>
      <c r="AT573" s="473">
        <v>0</v>
      </c>
      <c r="AU573" s="473">
        <v>0</v>
      </c>
      <c r="AV573" s="473">
        <v>94033</v>
      </c>
      <c r="AW573" s="474">
        <v>94033</v>
      </c>
      <c r="AX573" s="473">
        <v>0</v>
      </c>
      <c r="AY573" s="473">
        <v>0</v>
      </c>
      <c r="AZ573" s="475">
        <v>0</v>
      </c>
      <c r="BA573" s="475">
        <v>200</v>
      </c>
      <c r="BB573" s="475">
        <v>1800</v>
      </c>
      <c r="BC573" s="475">
        <v>0</v>
      </c>
      <c r="BD573" s="475">
        <v>0</v>
      </c>
      <c r="BE573" s="475">
        <v>0</v>
      </c>
      <c r="BF573" s="475">
        <v>0</v>
      </c>
      <c r="BG573" s="475">
        <v>2000</v>
      </c>
      <c r="BH573" s="476">
        <v>92033</v>
      </c>
      <c r="BI573" s="467"/>
      <c r="BJ573" s="468"/>
    </row>
    <row r="574" spans="1:62">
      <c r="A574" s="469">
        <v>45901</v>
      </c>
      <c r="B574" s="469" t="s">
        <v>747</v>
      </c>
      <c r="C574" s="508" t="s">
        <v>748</v>
      </c>
      <c r="D574" s="470" t="s">
        <v>749</v>
      </c>
      <c r="E574" s="471">
        <v>1093</v>
      </c>
      <c r="F574" s="470" t="s">
        <v>1096</v>
      </c>
      <c r="G574" s="470" t="s">
        <v>751</v>
      </c>
      <c r="H574" s="470" t="s">
        <v>12</v>
      </c>
      <c r="I574" s="470" t="s">
        <v>976</v>
      </c>
      <c r="J574" s="472" t="s">
        <v>1097</v>
      </c>
      <c r="K574" s="470" t="s">
        <v>1098</v>
      </c>
      <c r="L574" s="470" t="s">
        <v>1293</v>
      </c>
      <c r="M574" s="470" t="s">
        <v>1293</v>
      </c>
      <c r="N574" s="470" t="s">
        <v>1275</v>
      </c>
      <c r="O574" s="472" t="s">
        <v>792</v>
      </c>
      <c r="P574" s="472" t="s">
        <v>738</v>
      </c>
      <c r="Q574" s="472" t="s">
        <v>758</v>
      </c>
      <c r="R574" s="472" t="s">
        <v>12</v>
      </c>
      <c r="S574" s="472" t="s">
        <v>12</v>
      </c>
      <c r="T574" s="472" t="s">
        <v>1099</v>
      </c>
      <c r="U574" s="470" t="s">
        <v>1100</v>
      </c>
      <c r="V574" s="470" t="s">
        <v>761</v>
      </c>
      <c r="W574" s="470" t="s">
        <v>1101</v>
      </c>
      <c r="X574" s="470">
        <v>30</v>
      </c>
      <c r="Y574" s="470">
        <v>0</v>
      </c>
      <c r="Z574" s="470">
        <v>0</v>
      </c>
      <c r="AA574" s="470">
        <v>30</v>
      </c>
      <c r="AB574" s="470">
        <v>30</v>
      </c>
      <c r="AC574" s="473">
        <v>96667</v>
      </c>
      <c r="AD574" s="473">
        <v>96667</v>
      </c>
      <c r="AE574" s="473">
        <v>43500</v>
      </c>
      <c r="AF574" s="473">
        <v>17400</v>
      </c>
      <c r="AG574" s="473">
        <v>1600</v>
      </c>
      <c r="AH574" s="473">
        <v>200</v>
      </c>
      <c r="AI574" s="473">
        <v>1250</v>
      </c>
      <c r="AJ574" s="473">
        <v>3624</v>
      </c>
      <c r="AK574" s="473">
        <v>8700</v>
      </c>
      <c r="AL574" s="473">
        <v>6525</v>
      </c>
      <c r="AM574" s="473">
        <v>435</v>
      </c>
      <c r="AN574" s="473">
        <v>1523</v>
      </c>
      <c r="AO574" s="473">
        <v>870</v>
      </c>
      <c r="AP574" s="473">
        <v>218</v>
      </c>
      <c r="AQ574" s="473">
        <v>1800</v>
      </c>
      <c r="AR574" s="473">
        <v>9022</v>
      </c>
      <c r="AS574" s="473">
        <v>0</v>
      </c>
      <c r="AT574" s="473">
        <v>0</v>
      </c>
      <c r="AU574" s="473">
        <v>8732</v>
      </c>
      <c r="AV574" s="473">
        <v>105399</v>
      </c>
      <c r="AW574" s="474">
        <v>96667</v>
      </c>
      <c r="AX574" s="473">
        <v>0</v>
      </c>
      <c r="AY574" s="473">
        <v>0</v>
      </c>
      <c r="AZ574" s="475">
        <v>0</v>
      </c>
      <c r="BA574" s="475">
        <v>200</v>
      </c>
      <c r="BB574" s="475">
        <v>1800</v>
      </c>
      <c r="BC574" s="475">
        <v>0</v>
      </c>
      <c r="BD574" s="475">
        <v>0</v>
      </c>
      <c r="BE574" s="475">
        <v>0</v>
      </c>
      <c r="BF574" s="475">
        <v>0</v>
      </c>
      <c r="BG574" s="475">
        <v>2000</v>
      </c>
      <c r="BH574" s="476">
        <v>103399</v>
      </c>
      <c r="BI574" s="467"/>
      <c r="BJ574" s="468"/>
    </row>
    <row r="575" spans="1:62">
      <c r="A575" s="469">
        <v>45901</v>
      </c>
      <c r="B575" s="469" t="s">
        <v>747</v>
      </c>
      <c r="C575" s="508" t="s">
        <v>748</v>
      </c>
      <c r="D575" s="470" t="s">
        <v>749</v>
      </c>
      <c r="E575" s="471">
        <v>2043</v>
      </c>
      <c r="F575" s="470" t="s">
        <v>1102</v>
      </c>
      <c r="G575" s="470" t="s">
        <v>751</v>
      </c>
      <c r="H575" s="470" t="s">
        <v>12</v>
      </c>
      <c r="I575" s="470" t="s">
        <v>1103</v>
      </c>
      <c r="J575" s="472" t="s">
        <v>1104</v>
      </c>
      <c r="K575" s="470" t="s">
        <v>1105</v>
      </c>
      <c r="L575" s="470" t="s">
        <v>1106</v>
      </c>
      <c r="M575" s="470" t="s">
        <v>1107</v>
      </c>
      <c r="N575" s="470" t="s">
        <v>1108</v>
      </c>
      <c r="O575" s="472" t="s">
        <v>757</v>
      </c>
      <c r="P575" s="472" t="s">
        <v>738</v>
      </c>
      <c r="Q575" s="472" t="s">
        <v>758</v>
      </c>
      <c r="R575" s="472" t="s">
        <v>12</v>
      </c>
      <c r="S575" s="472" t="s">
        <v>12</v>
      </c>
      <c r="T575" s="472" t="s">
        <v>1109</v>
      </c>
      <c r="U575" s="470" t="s">
        <v>1369</v>
      </c>
      <c r="V575" s="470" t="s">
        <v>1370</v>
      </c>
      <c r="W575" s="470" t="s">
        <v>1371</v>
      </c>
      <c r="X575" s="470">
        <v>30</v>
      </c>
      <c r="Y575" s="470">
        <v>0</v>
      </c>
      <c r="Z575" s="470">
        <v>0</v>
      </c>
      <c r="AA575" s="470">
        <v>30</v>
      </c>
      <c r="AB575" s="470">
        <v>30</v>
      </c>
      <c r="AC575" s="473">
        <v>75000</v>
      </c>
      <c r="AD575" s="473">
        <v>75000</v>
      </c>
      <c r="AE575" s="473">
        <v>33750</v>
      </c>
      <c r="AF575" s="473">
        <v>13500</v>
      </c>
      <c r="AG575" s="473">
        <v>1600</v>
      </c>
      <c r="AH575" s="473">
        <v>200</v>
      </c>
      <c r="AI575" s="473">
        <v>1250</v>
      </c>
      <c r="AJ575" s="473">
        <v>2811</v>
      </c>
      <c r="AK575" s="473">
        <v>6750</v>
      </c>
      <c r="AL575" s="473">
        <v>5063</v>
      </c>
      <c r="AM575" s="473">
        <v>338</v>
      </c>
      <c r="AN575" s="473">
        <v>1181</v>
      </c>
      <c r="AO575" s="473">
        <v>675</v>
      </c>
      <c r="AP575" s="473">
        <v>169</v>
      </c>
      <c r="AQ575" s="473">
        <v>1800</v>
      </c>
      <c r="AR575" s="473">
        <v>5913</v>
      </c>
      <c r="AS575" s="473">
        <v>0</v>
      </c>
      <c r="AT575" s="473">
        <v>0</v>
      </c>
      <c r="AU575" s="473">
        <v>0</v>
      </c>
      <c r="AV575" s="473">
        <v>75000</v>
      </c>
      <c r="AW575" s="474">
        <v>75000</v>
      </c>
      <c r="AX575" s="473">
        <v>0</v>
      </c>
      <c r="AY575" s="473">
        <v>0</v>
      </c>
      <c r="AZ575" s="475">
        <v>0</v>
      </c>
      <c r="BA575" s="475">
        <v>200</v>
      </c>
      <c r="BB575" s="475">
        <v>1800</v>
      </c>
      <c r="BC575" s="475">
        <v>0</v>
      </c>
      <c r="BD575" s="475">
        <v>0</v>
      </c>
      <c r="BE575" s="475">
        <v>0</v>
      </c>
      <c r="BF575" s="475">
        <v>0</v>
      </c>
      <c r="BG575" s="475">
        <v>2000</v>
      </c>
      <c r="BH575" s="476">
        <v>73000</v>
      </c>
      <c r="BI575" s="467"/>
      <c r="BJ575" s="468"/>
    </row>
    <row r="576" spans="1:62">
      <c r="A576" s="469">
        <v>45901</v>
      </c>
      <c r="B576" s="469" t="s">
        <v>747</v>
      </c>
      <c r="C576" s="508" t="s">
        <v>748</v>
      </c>
      <c r="D576" s="470" t="s">
        <v>749</v>
      </c>
      <c r="E576" s="471">
        <v>2156</v>
      </c>
      <c r="F576" s="470" t="s">
        <v>1302</v>
      </c>
      <c r="G576" s="470" t="s">
        <v>751</v>
      </c>
      <c r="H576" s="470" t="s">
        <v>12</v>
      </c>
      <c r="I576" s="470" t="s">
        <v>1286</v>
      </c>
      <c r="J576" s="472" t="s">
        <v>1303</v>
      </c>
      <c r="K576" s="470" t="s">
        <v>1304</v>
      </c>
      <c r="L576" s="470" t="s">
        <v>1305</v>
      </c>
      <c r="M576" s="470" t="s">
        <v>1305</v>
      </c>
      <c r="N576" s="470" t="s">
        <v>756</v>
      </c>
      <c r="O576" s="472" t="s">
        <v>792</v>
      </c>
      <c r="P576" s="472" t="s">
        <v>738</v>
      </c>
      <c r="Q576" s="472" t="s">
        <v>758</v>
      </c>
      <c r="R576" s="472" t="s">
        <v>12</v>
      </c>
      <c r="S576" s="472" t="s">
        <v>12</v>
      </c>
      <c r="T576" s="472" t="s">
        <v>1306</v>
      </c>
      <c r="U576" s="470" t="s">
        <v>1307</v>
      </c>
      <c r="V576" s="470" t="s">
        <v>761</v>
      </c>
      <c r="W576" s="470" t="s">
        <v>898</v>
      </c>
      <c r="X576" s="470">
        <v>30</v>
      </c>
      <c r="Y576" s="470">
        <v>0</v>
      </c>
      <c r="Z576" s="470">
        <v>3.5</v>
      </c>
      <c r="AA576" s="470">
        <v>26.5</v>
      </c>
      <c r="AB576" s="470">
        <v>26.5</v>
      </c>
      <c r="AC576" s="473">
        <v>67200</v>
      </c>
      <c r="AD576" s="473">
        <v>67200</v>
      </c>
      <c r="AE576" s="473">
        <v>26712</v>
      </c>
      <c r="AF576" s="473">
        <v>10685</v>
      </c>
      <c r="AG576" s="473">
        <v>1413</v>
      </c>
      <c r="AH576" s="473">
        <v>177</v>
      </c>
      <c r="AI576" s="473">
        <v>1104</v>
      </c>
      <c r="AJ576" s="473">
        <v>2225</v>
      </c>
      <c r="AK576" s="473">
        <v>5342</v>
      </c>
      <c r="AL576" s="473">
        <v>4007</v>
      </c>
      <c r="AM576" s="473">
        <v>267</v>
      </c>
      <c r="AN576" s="473">
        <v>935</v>
      </c>
      <c r="AO576" s="473">
        <v>534</v>
      </c>
      <c r="AP576" s="473">
        <v>134</v>
      </c>
      <c r="AQ576" s="473">
        <v>1800</v>
      </c>
      <c r="AR576" s="473">
        <v>4025</v>
      </c>
      <c r="AS576" s="473">
        <v>0</v>
      </c>
      <c r="AT576" s="473">
        <v>0</v>
      </c>
      <c r="AU576" s="473">
        <v>0</v>
      </c>
      <c r="AV576" s="473">
        <v>59360</v>
      </c>
      <c r="AW576" s="474">
        <v>59360</v>
      </c>
      <c r="AX576" s="473">
        <v>0</v>
      </c>
      <c r="AY576" s="473">
        <v>0</v>
      </c>
      <c r="AZ576" s="475">
        <v>0</v>
      </c>
      <c r="BA576" s="475">
        <v>200</v>
      </c>
      <c r="BB576" s="475">
        <v>1800</v>
      </c>
      <c r="BC576" s="475">
        <v>0</v>
      </c>
      <c r="BD576" s="475">
        <v>0</v>
      </c>
      <c r="BE576" s="475">
        <v>0</v>
      </c>
      <c r="BF576" s="475">
        <v>0</v>
      </c>
      <c r="BG576" s="475">
        <v>2000</v>
      </c>
      <c r="BH576" s="476">
        <v>57360</v>
      </c>
      <c r="BI576" s="467"/>
      <c r="BJ576" s="468"/>
    </row>
    <row r="577" spans="1:62">
      <c r="A577" s="469">
        <v>45901</v>
      </c>
      <c r="B577" s="469" t="s">
        <v>747</v>
      </c>
      <c r="C577" s="508" t="s">
        <v>748</v>
      </c>
      <c r="D577" s="470" t="s">
        <v>749</v>
      </c>
      <c r="E577" s="471">
        <v>413</v>
      </c>
      <c r="F577" s="470" t="s">
        <v>1112</v>
      </c>
      <c r="G577" s="470" t="s">
        <v>751</v>
      </c>
      <c r="H577" s="470" t="s">
        <v>12</v>
      </c>
      <c r="I577" s="470" t="s">
        <v>1113</v>
      </c>
      <c r="J577" s="472" t="s">
        <v>1114</v>
      </c>
      <c r="K577" s="470" t="s">
        <v>1115</v>
      </c>
      <c r="L577" s="470" t="s">
        <v>856</v>
      </c>
      <c r="M577" s="470" t="s">
        <v>856</v>
      </c>
      <c r="N577" s="470" t="s">
        <v>756</v>
      </c>
      <c r="O577" s="472" t="s">
        <v>757</v>
      </c>
      <c r="P577" s="472" t="s">
        <v>738</v>
      </c>
      <c r="Q577" s="472" t="s">
        <v>758</v>
      </c>
      <c r="R577" s="472" t="s">
        <v>12</v>
      </c>
      <c r="S577" s="472" t="s">
        <v>12</v>
      </c>
      <c r="T577" s="472" t="s">
        <v>1117</v>
      </c>
      <c r="U577" s="470" t="s">
        <v>1118</v>
      </c>
      <c r="V577" s="470" t="s">
        <v>761</v>
      </c>
      <c r="W577" s="470" t="s">
        <v>762</v>
      </c>
      <c r="X577" s="470">
        <v>30</v>
      </c>
      <c r="Y577" s="470">
        <v>0</v>
      </c>
      <c r="Z577" s="470">
        <v>0</v>
      </c>
      <c r="AA577" s="470">
        <v>30</v>
      </c>
      <c r="AB577" s="470">
        <v>30</v>
      </c>
      <c r="AC577" s="473">
        <v>52975</v>
      </c>
      <c r="AD577" s="473">
        <v>52975</v>
      </c>
      <c r="AE577" s="473">
        <v>23839</v>
      </c>
      <c r="AF577" s="473">
        <v>9536</v>
      </c>
      <c r="AG577" s="473">
        <v>1600</v>
      </c>
      <c r="AH577" s="473">
        <v>200</v>
      </c>
      <c r="AI577" s="473">
        <v>1250</v>
      </c>
      <c r="AJ577" s="473">
        <v>1986</v>
      </c>
      <c r="AK577" s="473">
        <v>4768</v>
      </c>
      <c r="AL577" s="473">
        <v>3576</v>
      </c>
      <c r="AM577" s="473">
        <v>238</v>
      </c>
      <c r="AN577" s="473">
        <v>834</v>
      </c>
      <c r="AO577" s="473">
        <v>477</v>
      </c>
      <c r="AP577" s="473">
        <v>119</v>
      </c>
      <c r="AQ577" s="473">
        <v>1800</v>
      </c>
      <c r="AR577" s="473">
        <v>2752</v>
      </c>
      <c r="AS577" s="473">
        <v>0</v>
      </c>
      <c r="AT577" s="473">
        <v>1200</v>
      </c>
      <c r="AU577" s="473">
        <v>0</v>
      </c>
      <c r="AV577" s="473">
        <v>54175</v>
      </c>
      <c r="AW577" s="474">
        <v>54175</v>
      </c>
      <c r="AX577" s="473">
        <v>0</v>
      </c>
      <c r="AY577" s="473">
        <v>0</v>
      </c>
      <c r="AZ577" s="475">
        <v>0</v>
      </c>
      <c r="BA577" s="475">
        <v>200</v>
      </c>
      <c r="BB577" s="475">
        <v>1800</v>
      </c>
      <c r="BC577" s="475">
        <v>0</v>
      </c>
      <c r="BD577" s="475">
        <v>0</v>
      </c>
      <c r="BE577" s="475">
        <v>0</v>
      </c>
      <c r="BF577" s="475">
        <v>0</v>
      </c>
      <c r="BG577" s="475">
        <v>2000</v>
      </c>
      <c r="BH577" s="476">
        <v>52175</v>
      </c>
      <c r="BI577" s="467"/>
      <c r="BJ577" s="468"/>
    </row>
    <row r="578" spans="1:62">
      <c r="A578" s="469">
        <v>45901</v>
      </c>
      <c r="B578" s="469" t="s">
        <v>747</v>
      </c>
      <c r="C578" s="508" t="s">
        <v>748</v>
      </c>
      <c r="D578" s="470" t="s">
        <v>749</v>
      </c>
      <c r="E578" s="471">
        <v>1389</v>
      </c>
      <c r="F578" s="470" t="s">
        <v>1119</v>
      </c>
      <c r="G578" s="470" t="s">
        <v>751</v>
      </c>
      <c r="H578" s="470" t="s">
        <v>12</v>
      </c>
      <c r="I578" s="470" t="s">
        <v>1120</v>
      </c>
      <c r="J578" s="472" t="s">
        <v>1121</v>
      </c>
      <c r="K578" s="470" t="s">
        <v>1122</v>
      </c>
      <c r="L578" s="470" t="s">
        <v>1123</v>
      </c>
      <c r="M578" s="470" t="s">
        <v>1124</v>
      </c>
      <c r="N578" s="470" t="s">
        <v>1108</v>
      </c>
      <c r="O578" s="472" t="s">
        <v>757</v>
      </c>
      <c r="P578" s="472" t="s">
        <v>738</v>
      </c>
      <c r="Q578" s="472" t="s">
        <v>758</v>
      </c>
      <c r="R578" s="472" t="s">
        <v>12</v>
      </c>
      <c r="S578" s="472" t="s">
        <v>12</v>
      </c>
      <c r="T578" s="472" t="s">
        <v>1125</v>
      </c>
      <c r="U578" s="470" t="s">
        <v>1126</v>
      </c>
      <c r="V578" s="470" t="s">
        <v>761</v>
      </c>
      <c r="W578" s="470" t="s">
        <v>762</v>
      </c>
      <c r="X578" s="470">
        <v>30</v>
      </c>
      <c r="Y578" s="470">
        <v>0</v>
      </c>
      <c r="Z578" s="470">
        <v>0</v>
      </c>
      <c r="AA578" s="470">
        <v>30</v>
      </c>
      <c r="AB578" s="470">
        <v>30</v>
      </c>
      <c r="AC578" s="473">
        <v>57473</v>
      </c>
      <c r="AD578" s="473">
        <v>57473</v>
      </c>
      <c r="AE578" s="473">
        <v>25863</v>
      </c>
      <c r="AF578" s="473">
        <v>10345</v>
      </c>
      <c r="AG578" s="473">
        <v>1600</v>
      </c>
      <c r="AH578" s="473">
        <v>200</v>
      </c>
      <c r="AI578" s="473">
        <v>1250</v>
      </c>
      <c r="AJ578" s="473">
        <v>2154</v>
      </c>
      <c r="AK578" s="473">
        <v>5173</v>
      </c>
      <c r="AL578" s="473">
        <v>3879</v>
      </c>
      <c r="AM578" s="473">
        <v>259</v>
      </c>
      <c r="AN578" s="473">
        <v>905</v>
      </c>
      <c r="AO578" s="473">
        <v>517</v>
      </c>
      <c r="AP578" s="473">
        <v>129</v>
      </c>
      <c r="AQ578" s="473">
        <v>1800</v>
      </c>
      <c r="AR578" s="473">
        <v>3399</v>
      </c>
      <c r="AS578" s="473">
        <v>0</v>
      </c>
      <c r="AT578" s="473">
        <v>0</v>
      </c>
      <c r="AU578" s="473">
        <v>0</v>
      </c>
      <c r="AV578" s="473">
        <v>57473</v>
      </c>
      <c r="AW578" s="474">
        <v>57473</v>
      </c>
      <c r="AX578" s="473">
        <v>0</v>
      </c>
      <c r="AY578" s="473">
        <v>0</v>
      </c>
      <c r="AZ578" s="475">
        <v>0</v>
      </c>
      <c r="BA578" s="475">
        <v>200</v>
      </c>
      <c r="BB578" s="475">
        <v>1800</v>
      </c>
      <c r="BC578" s="475">
        <v>0</v>
      </c>
      <c r="BD578" s="475">
        <v>0</v>
      </c>
      <c r="BE578" s="475">
        <v>0</v>
      </c>
      <c r="BF578" s="475">
        <v>0</v>
      </c>
      <c r="BG578" s="475">
        <v>2000</v>
      </c>
      <c r="BH578" s="476">
        <v>55473</v>
      </c>
      <c r="BI578" s="467"/>
      <c r="BJ578" s="468"/>
    </row>
    <row r="579" spans="1:62">
      <c r="A579" s="469">
        <v>45901</v>
      </c>
      <c r="B579" s="469" t="s">
        <v>747</v>
      </c>
      <c r="C579" s="508" t="s">
        <v>748</v>
      </c>
      <c r="D579" s="470" t="s">
        <v>749</v>
      </c>
      <c r="E579" s="471">
        <v>1535</v>
      </c>
      <c r="F579" s="470" t="s">
        <v>1127</v>
      </c>
      <c r="G579" s="470" t="s">
        <v>751</v>
      </c>
      <c r="H579" s="470" t="s">
        <v>12</v>
      </c>
      <c r="I579" s="470" t="s">
        <v>1128</v>
      </c>
      <c r="J579" s="472" t="s">
        <v>1129</v>
      </c>
      <c r="K579" s="470" t="s">
        <v>1130</v>
      </c>
      <c r="L579" s="470" t="s">
        <v>1131</v>
      </c>
      <c r="M579" s="470" t="s">
        <v>1131</v>
      </c>
      <c r="N579" s="470" t="s">
        <v>756</v>
      </c>
      <c r="O579" s="472" t="s">
        <v>792</v>
      </c>
      <c r="P579" s="472" t="s">
        <v>738</v>
      </c>
      <c r="Q579" s="472" t="s">
        <v>758</v>
      </c>
      <c r="R579" s="472" t="s">
        <v>12</v>
      </c>
      <c r="S579" s="472" t="s">
        <v>12</v>
      </c>
      <c r="T579" s="472" t="s">
        <v>1132</v>
      </c>
      <c r="U579" s="470" t="s">
        <v>1133</v>
      </c>
      <c r="V579" s="470" t="s">
        <v>761</v>
      </c>
      <c r="W579" s="470" t="s">
        <v>1134</v>
      </c>
      <c r="X579" s="470">
        <v>30</v>
      </c>
      <c r="Y579" s="470">
        <v>0</v>
      </c>
      <c r="Z579" s="470">
        <v>7</v>
      </c>
      <c r="AA579" s="470">
        <v>23</v>
      </c>
      <c r="AB579" s="470">
        <v>23</v>
      </c>
      <c r="AC579" s="473">
        <v>95900</v>
      </c>
      <c r="AD579" s="473">
        <v>95900</v>
      </c>
      <c r="AE579" s="473">
        <v>33085</v>
      </c>
      <c r="AF579" s="473">
        <v>13234</v>
      </c>
      <c r="AG579" s="473">
        <v>1227</v>
      </c>
      <c r="AH579" s="473">
        <v>153</v>
      </c>
      <c r="AI579" s="473">
        <v>958</v>
      </c>
      <c r="AJ579" s="473">
        <v>2756</v>
      </c>
      <c r="AK579" s="473">
        <v>6617</v>
      </c>
      <c r="AL579" s="473">
        <v>4963</v>
      </c>
      <c r="AM579" s="473">
        <v>331</v>
      </c>
      <c r="AN579" s="473">
        <v>1158</v>
      </c>
      <c r="AO579" s="473">
        <v>662</v>
      </c>
      <c r="AP579" s="473">
        <v>165</v>
      </c>
      <c r="AQ579" s="473">
        <v>1800</v>
      </c>
      <c r="AR579" s="473">
        <v>6414</v>
      </c>
      <c r="AS579" s="473">
        <v>0</v>
      </c>
      <c r="AT579" s="473">
        <v>0</v>
      </c>
      <c r="AU579" s="473">
        <v>0</v>
      </c>
      <c r="AV579" s="473">
        <v>73523</v>
      </c>
      <c r="AW579" s="474">
        <v>73523</v>
      </c>
      <c r="AX579" s="473">
        <v>0</v>
      </c>
      <c r="AY579" s="473">
        <v>160</v>
      </c>
      <c r="AZ579" s="475">
        <v>0</v>
      </c>
      <c r="BA579" s="475">
        <v>200</v>
      </c>
      <c r="BB579" s="475">
        <v>1800</v>
      </c>
      <c r="BC579" s="475">
        <v>0</v>
      </c>
      <c r="BD579" s="475">
        <v>0</v>
      </c>
      <c r="BE579" s="475">
        <v>0</v>
      </c>
      <c r="BF579" s="475">
        <v>0</v>
      </c>
      <c r="BG579" s="475">
        <v>2160</v>
      </c>
      <c r="BH579" s="476">
        <v>71363</v>
      </c>
      <c r="BI579" s="467"/>
      <c r="BJ579" s="468"/>
    </row>
    <row r="580" spans="1:62">
      <c r="A580" s="469">
        <v>45901</v>
      </c>
      <c r="B580" s="469" t="s">
        <v>747</v>
      </c>
      <c r="C580" s="508" t="s">
        <v>748</v>
      </c>
      <c r="D580" s="470" t="s">
        <v>749</v>
      </c>
      <c r="E580" s="471">
        <v>1409</v>
      </c>
      <c r="F580" s="470" t="s">
        <v>1135</v>
      </c>
      <c r="G580" s="470" t="s">
        <v>751</v>
      </c>
      <c r="H580" s="470" t="s">
        <v>12</v>
      </c>
      <c r="I580" s="470" t="s">
        <v>1136</v>
      </c>
      <c r="J580" s="472" t="s">
        <v>1137</v>
      </c>
      <c r="K580" s="470" t="s">
        <v>1138</v>
      </c>
      <c r="L580" s="470" t="s">
        <v>856</v>
      </c>
      <c r="M580" s="470" t="s">
        <v>856</v>
      </c>
      <c r="N580" s="470" t="s">
        <v>756</v>
      </c>
      <c r="O580" s="472" t="s">
        <v>757</v>
      </c>
      <c r="P580" s="472" t="s">
        <v>738</v>
      </c>
      <c r="Q580" s="472" t="s">
        <v>758</v>
      </c>
      <c r="R580" s="472" t="s">
        <v>12</v>
      </c>
      <c r="S580" s="472" t="s">
        <v>12</v>
      </c>
      <c r="T580" s="472" t="s">
        <v>1139</v>
      </c>
      <c r="U580" s="470" t="s">
        <v>1140</v>
      </c>
      <c r="V580" s="470" t="s">
        <v>761</v>
      </c>
      <c r="W580" s="470" t="s">
        <v>1111</v>
      </c>
      <c r="X580" s="470">
        <v>30</v>
      </c>
      <c r="Y580" s="470">
        <v>0</v>
      </c>
      <c r="Z580" s="470">
        <v>0.5</v>
      </c>
      <c r="AA580" s="470">
        <v>29.5</v>
      </c>
      <c r="AB580" s="470">
        <v>29.5</v>
      </c>
      <c r="AC580" s="473">
        <v>71417</v>
      </c>
      <c r="AD580" s="473">
        <v>71417</v>
      </c>
      <c r="AE580" s="473">
        <v>31602</v>
      </c>
      <c r="AF580" s="473">
        <v>12641</v>
      </c>
      <c r="AG580" s="473">
        <v>1573</v>
      </c>
      <c r="AH580" s="473">
        <v>197</v>
      </c>
      <c r="AI580" s="473">
        <v>1229</v>
      </c>
      <c r="AJ580" s="473">
        <v>2632</v>
      </c>
      <c r="AK580" s="473">
        <v>6320</v>
      </c>
      <c r="AL580" s="473">
        <v>4740</v>
      </c>
      <c r="AM580" s="473">
        <v>316</v>
      </c>
      <c r="AN580" s="473">
        <v>1106</v>
      </c>
      <c r="AO580" s="473">
        <v>632</v>
      </c>
      <c r="AP580" s="473">
        <v>158</v>
      </c>
      <c r="AQ580" s="473">
        <v>1800</v>
      </c>
      <c r="AR580" s="473">
        <v>5281</v>
      </c>
      <c r="AS580" s="473">
        <v>0</v>
      </c>
      <c r="AT580" s="473">
        <v>0</v>
      </c>
      <c r="AU580" s="473">
        <v>0</v>
      </c>
      <c r="AV580" s="473">
        <v>70227</v>
      </c>
      <c r="AW580" s="474">
        <v>70227</v>
      </c>
      <c r="AX580" s="473">
        <v>0</v>
      </c>
      <c r="AY580" s="473">
        <v>0</v>
      </c>
      <c r="AZ580" s="475">
        <v>0</v>
      </c>
      <c r="BA580" s="475">
        <v>200</v>
      </c>
      <c r="BB580" s="475">
        <v>1800</v>
      </c>
      <c r="BC580" s="475">
        <v>0</v>
      </c>
      <c r="BD580" s="475">
        <v>0</v>
      </c>
      <c r="BE580" s="475">
        <v>0</v>
      </c>
      <c r="BF580" s="475">
        <v>0</v>
      </c>
      <c r="BG580" s="475">
        <v>2000</v>
      </c>
      <c r="BH580" s="476">
        <v>68227</v>
      </c>
      <c r="BI580" s="467"/>
      <c r="BJ580" s="468"/>
    </row>
    <row r="581" spans="1:62">
      <c r="A581" s="469">
        <v>45901</v>
      </c>
      <c r="B581" s="469" t="s">
        <v>747</v>
      </c>
      <c r="C581" s="508" t="s">
        <v>748</v>
      </c>
      <c r="D581" s="470" t="s">
        <v>749</v>
      </c>
      <c r="E581" s="471">
        <v>2155</v>
      </c>
      <c r="F581" s="470" t="s">
        <v>1308</v>
      </c>
      <c r="G581" s="470" t="s">
        <v>751</v>
      </c>
      <c r="H581" s="470" t="s">
        <v>12</v>
      </c>
      <c r="I581" s="470" t="s">
        <v>1286</v>
      </c>
      <c r="J581" s="472" t="s">
        <v>1309</v>
      </c>
      <c r="K581" s="470" t="s">
        <v>1310</v>
      </c>
      <c r="L581" s="470" t="s">
        <v>1311</v>
      </c>
      <c r="M581" s="470" t="s">
        <v>1311</v>
      </c>
      <c r="N581" s="470" t="s">
        <v>756</v>
      </c>
      <c r="O581" s="472" t="s">
        <v>757</v>
      </c>
      <c r="P581" s="472" t="s">
        <v>738</v>
      </c>
      <c r="Q581" s="472" t="s">
        <v>758</v>
      </c>
      <c r="R581" s="472" t="s">
        <v>12</v>
      </c>
      <c r="S581" s="472" t="s">
        <v>12</v>
      </c>
      <c r="T581" s="472" t="s">
        <v>1312</v>
      </c>
      <c r="U581" s="470" t="s">
        <v>1313</v>
      </c>
      <c r="V581" s="470" t="s">
        <v>761</v>
      </c>
      <c r="W581" s="470" t="s">
        <v>898</v>
      </c>
      <c r="X581" s="470">
        <v>30</v>
      </c>
      <c r="Y581" s="470">
        <v>0</v>
      </c>
      <c r="Z581" s="470">
        <v>2</v>
      </c>
      <c r="AA581" s="470">
        <v>28</v>
      </c>
      <c r="AB581" s="470">
        <v>28</v>
      </c>
      <c r="AC581" s="473">
        <v>53200</v>
      </c>
      <c r="AD581" s="473">
        <v>53200</v>
      </c>
      <c r="AE581" s="473">
        <v>22344</v>
      </c>
      <c r="AF581" s="473">
        <v>8938</v>
      </c>
      <c r="AG581" s="473">
        <v>1493</v>
      </c>
      <c r="AH581" s="473">
        <v>187</v>
      </c>
      <c r="AI581" s="473">
        <v>1167</v>
      </c>
      <c r="AJ581" s="473">
        <v>1861</v>
      </c>
      <c r="AK581" s="473">
        <v>4469</v>
      </c>
      <c r="AL581" s="473">
        <v>3352</v>
      </c>
      <c r="AM581" s="473">
        <v>223</v>
      </c>
      <c r="AN581" s="473">
        <v>782</v>
      </c>
      <c r="AO581" s="473">
        <v>447</v>
      </c>
      <c r="AP581" s="473">
        <v>112</v>
      </c>
      <c r="AQ581" s="473">
        <v>1800</v>
      </c>
      <c r="AR581" s="473">
        <v>2478</v>
      </c>
      <c r="AS581" s="473">
        <v>0</v>
      </c>
      <c r="AT581" s="473">
        <v>0</v>
      </c>
      <c r="AU581" s="473">
        <v>0</v>
      </c>
      <c r="AV581" s="473">
        <v>49653</v>
      </c>
      <c r="AW581" s="474">
        <v>49653</v>
      </c>
      <c r="AX581" s="473">
        <v>0</v>
      </c>
      <c r="AY581" s="473">
        <v>0</v>
      </c>
      <c r="AZ581" s="475">
        <v>0</v>
      </c>
      <c r="BA581" s="475">
        <v>200</v>
      </c>
      <c r="BB581" s="475">
        <v>1800</v>
      </c>
      <c r="BC581" s="475">
        <v>0</v>
      </c>
      <c r="BD581" s="475">
        <v>0</v>
      </c>
      <c r="BE581" s="475">
        <v>0</v>
      </c>
      <c r="BF581" s="475">
        <v>0</v>
      </c>
      <c r="BG581" s="475">
        <v>2000</v>
      </c>
      <c r="BH581" s="476">
        <v>47653</v>
      </c>
      <c r="BI581" s="467"/>
      <c r="BJ581" s="468"/>
    </row>
    <row r="582" spans="1:62">
      <c r="A582" s="469">
        <v>45901</v>
      </c>
      <c r="B582" s="469" t="s">
        <v>747</v>
      </c>
      <c r="C582" s="508" t="s">
        <v>748</v>
      </c>
      <c r="D582" s="470" t="s">
        <v>749</v>
      </c>
      <c r="E582" s="471">
        <v>2232</v>
      </c>
      <c r="F582" s="470" t="s">
        <v>1372</v>
      </c>
      <c r="G582" s="470" t="s">
        <v>751</v>
      </c>
      <c r="H582" s="470" t="s">
        <v>12</v>
      </c>
      <c r="I582" s="470" t="s">
        <v>1348</v>
      </c>
      <c r="J582" s="472" t="s">
        <v>1373</v>
      </c>
      <c r="K582" s="470" t="s">
        <v>1374</v>
      </c>
      <c r="L582" s="470" t="s">
        <v>1375</v>
      </c>
      <c r="M582" s="470" t="s">
        <v>1375</v>
      </c>
      <c r="N582" s="470" t="s">
        <v>756</v>
      </c>
      <c r="O582" s="472" t="s">
        <v>757</v>
      </c>
      <c r="P582" s="472" t="s">
        <v>738</v>
      </c>
      <c r="Q582" s="472" t="s">
        <v>758</v>
      </c>
      <c r="R582" s="472" t="s">
        <v>12</v>
      </c>
      <c r="S582" s="472" t="s">
        <v>12</v>
      </c>
      <c r="T582" s="472" t="s">
        <v>1376</v>
      </c>
      <c r="U582" s="470" t="s">
        <v>1377</v>
      </c>
      <c r="V582" s="470" t="s">
        <v>1378</v>
      </c>
      <c r="W582" s="470" t="s">
        <v>1379</v>
      </c>
      <c r="X582" s="470">
        <v>30</v>
      </c>
      <c r="Y582" s="470">
        <v>0</v>
      </c>
      <c r="Z582" s="470">
        <v>0</v>
      </c>
      <c r="AA582" s="470">
        <v>1</v>
      </c>
      <c r="AB582" s="470">
        <v>1</v>
      </c>
      <c r="AC582" s="473">
        <v>89867</v>
      </c>
      <c r="AD582" s="473">
        <v>89867</v>
      </c>
      <c r="AE582" s="473">
        <v>1348</v>
      </c>
      <c r="AF582" s="473">
        <v>539</v>
      </c>
      <c r="AG582" s="473">
        <v>53</v>
      </c>
      <c r="AH582" s="473">
        <v>200</v>
      </c>
      <c r="AI582" s="473">
        <v>42</v>
      </c>
      <c r="AJ582" s="473">
        <v>112</v>
      </c>
      <c r="AK582" s="473">
        <v>270</v>
      </c>
      <c r="AL582" s="473">
        <v>202</v>
      </c>
      <c r="AM582" s="473">
        <v>13</v>
      </c>
      <c r="AN582" s="473">
        <v>47</v>
      </c>
      <c r="AO582" s="473">
        <v>27</v>
      </c>
      <c r="AP582" s="473">
        <v>7</v>
      </c>
      <c r="AQ582" s="473">
        <v>162</v>
      </c>
      <c r="AR582" s="473">
        <v>-26</v>
      </c>
      <c r="AS582" s="473">
        <v>0</v>
      </c>
      <c r="AT582" s="473">
        <v>0</v>
      </c>
      <c r="AU582" s="473">
        <v>0</v>
      </c>
      <c r="AV582" s="473">
        <v>2996</v>
      </c>
      <c r="AW582" s="474">
        <v>2996</v>
      </c>
      <c r="AX582" s="473">
        <v>0</v>
      </c>
      <c r="AY582" s="473">
        <v>0</v>
      </c>
      <c r="AZ582" s="475">
        <v>0</v>
      </c>
      <c r="BA582" s="475">
        <v>0</v>
      </c>
      <c r="BB582" s="475">
        <v>162</v>
      </c>
      <c r="BC582" s="475">
        <v>0</v>
      </c>
      <c r="BD582" s="475">
        <v>0</v>
      </c>
      <c r="BE582" s="475">
        <v>0</v>
      </c>
      <c r="BF582" s="475">
        <v>0</v>
      </c>
      <c r="BG582" s="475">
        <v>162</v>
      </c>
      <c r="BH582" s="476">
        <v>2834</v>
      </c>
      <c r="BI582" s="467"/>
      <c r="BJ582" s="468"/>
    </row>
    <row r="583" spans="1:62">
      <c r="A583" s="469">
        <v>45901</v>
      </c>
      <c r="B583" s="469" t="s">
        <v>747</v>
      </c>
      <c r="C583" s="508" t="s">
        <v>748</v>
      </c>
      <c r="D583" s="470" t="s">
        <v>749</v>
      </c>
      <c r="E583" s="471">
        <v>2147</v>
      </c>
      <c r="F583" s="470" t="s">
        <v>1314</v>
      </c>
      <c r="G583" s="470" t="s">
        <v>812</v>
      </c>
      <c r="H583" s="470" t="s">
        <v>12</v>
      </c>
      <c r="I583" s="470" t="s">
        <v>1286</v>
      </c>
      <c r="J583" s="472" t="s">
        <v>1315</v>
      </c>
      <c r="K583" s="470" t="s">
        <v>1316</v>
      </c>
      <c r="L583" s="470" t="s">
        <v>1317</v>
      </c>
      <c r="M583" s="470" t="s">
        <v>1317</v>
      </c>
      <c r="N583" s="470" t="s">
        <v>833</v>
      </c>
      <c r="O583" s="472" t="s">
        <v>757</v>
      </c>
      <c r="P583" s="472" t="s">
        <v>738</v>
      </c>
      <c r="Q583" s="472" t="s">
        <v>758</v>
      </c>
      <c r="R583" s="472" t="s">
        <v>12</v>
      </c>
      <c r="S583" s="472" t="s">
        <v>12</v>
      </c>
      <c r="T583" s="472" t="s">
        <v>1318</v>
      </c>
      <c r="U583" s="470" t="s">
        <v>1319</v>
      </c>
      <c r="V583" s="470" t="s">
        <v>761</v>
      </c>
      <c r="W583" s="470" t="s">
        <v>898</v>
      </c>
      <c r="X583" s="470">
        <v>30</v>
      </c>
      <c r="Y583" s="470">
        <v>0</v>
      </c>
      <c r="Z583" s="470">
        <v>0</v>
      </c>
      <c r="AA583" s="470">
        <v>30</v>
      </c>
      <c r="AB583" s="470">
        <v>30</v>
      </c>
      <c r="AC583" s="473">
        <v>28380</v>
      </c>
      <c r="AD583" s="473">
        <v>28380</v>
      </c>
      <c r="AE583" s="473">
        <v>12771</v>
      </c>
      <c r="AF583" s="473">
        <v>5108</v>
      </c>
      <c r="AG583" s="473">
        <v>1600</v>
      </c>
      <c r="AH583" s="473">
        <v>200</v>
      </c>
      <c r="AI583" s="473">
        <v>1250</v>
      </c>
      <c r="AJ583" s="473">
        <v>0</v>
      </c>
      <c r="AK583" s="473">
        <v>0</v>
      </c>
      <c r="AL583" s="473">
        <v>0</v>
      </c>
      <c r="AM583" s="473">
        <v>0</v>
      </c>
      <c r="AN583" s="473">
        <v>0</v>
      </c>
      <c r="AO583" s="473">
        <v>0</v>
      </c>
      <c r="AP583" s="473">
        <v>0</v>
      </c>
      <c r="AQ583" s="473">
        <v>1533</v>
      </c>
      <c r="AR583" s="473">
        <v>5918</v>
      </c>
      <c r="AS583" s="473">
        <v>0</v>
      </c>
      <c r="AT583" s="473">
        <v>0</v>
      </c>
      <c r="AU583" s="473">
        <v>0</v>
      </c>
      <c r="AV583" s="473">
        <v>28380</v>
      </c>
      <c r="AW583" s="474">
        <v>28380</v>
      </c>
      <c r="AX583" s="473">
        <v>0</v>
      </c>
      <c r="AY583" s="473">
        <v>0</v>
      </c>
      <c r="AZ583" s="475">
        <v>0</v>
      </c>
      <c r="BA583" s="475">
        <v>200</v>
      </c>
      <c r="BB583" s="475">
        <v>1533</v>
      </c>
      <c r="BC583" s="475">
        <v>0</v>
      </c>
      <c r="BD583" s="475">
        <v>0</v>
      </c>
      <c r="BE583" s="475">
        <v>0</v>
      </c>
      <c r="BF583" s="475">
        <v>0</v>
      </c>
      <c r="BG583" s="475">
        <v>1733</v>
      </c>
      <c r="BH583" s="476">
        <v>26647</v>
      </c>
      <c r="BI583" s="467"/>
      <c r="BJ583" s="468"/>
    </row>
    <row r="584" spans="1:62">
      <c r="A584" s="469">
        <v>45901</v>
      </c>
      <c r="B584" s="469" t="s">
        <v>747</v>
      </c>
      <c r="C584" s="508" t="s">
        <v>748</v>
      </c>
      <c r="D584" s="470" t="s">
        <v>749</v>
      </c>
      <c r="E584" s="471">
        <v>1263</v>
      </c>
      <c r="F584" s="470" t="s">
        <v>1141</v>
      </c>
      <c r="G584" s="470" t="s">
        <v>751</v>
      </c>
      <c r="H584" s="470" t="s">
        <v>12</v>
      </c>
      <c r="I584" s="470" t="s">
        <v>1142</v>
      </c>
      <c r="J584" s="472" t="s">
        <v>1143</v>
      </c>
      <c r="K584" s="470" t="s">
        <v>1144</v>
      </c>
      <c r="L584" s="470" t="s">
        <v>1305</v>
      </c>
      <c r="M584" s="470" t="s">
        <v>1305</v>
      </c>
      <c r="N584" s="470" t="s">
        <v>756</v>
      </c>
      <c r="O584" s="472" t="s">
        <v>757</v>
      </c>
      <c r="P584" s="472" t="s">
        <v>738</v>
      </c>
      <c r="Q584" s="472" t="s">
        <v>758</v>
      </c>
      <c r="R584" s="472" t="s">
        <v>12</v>
      </c>
      <c r="S584" s="472" t="s">
        <v>12</v>
      </c>
      <c r="T584" s="472" t="s">
        <v>1147</v>
      </c>
      <c r="U584" s="470" t="s">
        <v>1148</v>
      </c>
      <c r="V584" s="470" t="s">
        <v>761</v>
      </c>
      <c r="W584" s="470" t="s">
        <v>859</v>
      </c>
      <c r="X584" s="470">
        <v>30</v>
      </c>
      <c r="Y584" s="470">
        <v>0</v>
      </c>
      <c r="Z584" s="470">
        <v>0</v>
      </c>
      <c r="AA584" s="470">
        <v>30</v>
      </c>
      <c r="AB584" s="470">
        <v>30</v>
      </c>
      <c r="AC584" s="473">
        <v>55900</v>
      </c>
      <c r="AD584" s="473">
        <v>55900</v>
      </c>
      <c r="AE584" s="473">
        <v>25155</v>
      </c>
      <c r="AF584" s="473">
        <v>10062</v>
      </c>
      <c r="AG584" s="473">
        <v>1600</v>
      </c>
      <c r="AH584" s="473">
        <v>200</v>
      </c>
      <c r="AI584" s="473">
        <v>1250</v>
      </c>
      <c r="AJ584" s="473">
        <v>2095</v>
      </c>
      <c r="AK584" s="473">
        <v>5031</v>
      </c>
      <c r="AL584" s="473">
        <v>3773</v>
      </c>
      <c r="AM584" s="473">
        <v>252</v>
      </c>
      <c r="AN584" s="473">
        <v>880</v>
      </c>
      <c r="AO584" s="473">
        <v>503</v>
      </c>
      <c r="AP584" s="473">
        <v>126</v>
      </c>
      <c r="AQ584" s="473">
        <v>1800</v>
      </c>
      <c r="AR584" s="473">
        <v>3173</v>
      </c>
      <c r="AS584" s="473">
        <v>0</v>
      </c>
      <c r="AT584" s="473">
        <v>0</v>
      </c>
      <c r="AU584" s="473">
        <v>585</v>
      </c>
      <c r="AV584" s="473">
        <v>56485</v>
      </c>
      <c r="AW584" s="474">
        <v>55900</v>
      </c>
      <c r="AX584" s="473">
        <v>0</v>
      </c>
      <c r="AY584" s="473">
        <v>0</v>
      </c>
      <c r="AZ584" s="475">
        <v>0</v>
      </c>
      <c r="BA584" s="475">
        <v>200</v>
      </c>
      <c r="BB584" s="475">
        <v>1800</v>
      </c>
      <c r="BC584" s="475">
        <v>0</v>
      </c>
      <c r="BD584" s="475">
        <v>0</v>
      </c>
      <c r="BE584" s="475">
        <v>0</v>
      </c>
      <c r="BF584" s="475">
        <v>0</v>
      </c>
      <c r="BG584" s="475">
        <v>2000</v>
      </c>
      <c r="BH584" s="476">
        <v>54485</v>
      </c>
      <c r="BI584" s="467"/>
      <c r="BJ584" s="468"/>
    </row>
    <row r="585" spans="1:62">
      <c r="A585" s="469">
        <v>45901</v>
      </c>
      <c r="B585" s="469" t="s">
        <v>747</v>
      </c>
      <c r="C585" s="508" t="s">
        <v>748</v>
      </c>
      <c r="D585" s="470" t="s">
        <v>749</v>
      </c>
      <c r="E585" s="471">
        <v>2218</v>
      </c>
      <c r="F585" s="470" t="s">
        <v>1380</v>
      </c>
      <c r="G585" s="470" t="s">
        <v>751</v>
      </c>
      <c r="H585" s="470" t="s">
        <v>12</v>
      </c>
      <c r="I585" s="470" t="s">
        <v>1340</v>
      </c>
      <c r="J585" s="472" t="s">
        <v>1381</v>
      </c>
      <c r="K585" s="470" t="s">
        <v>1382</v>
      </c>
      <c r="L585" s="470" t="s">
        <v>1383</v>
      </c>
      <c r="M585" s="470" t="s">
        <v>903</v>
      </c>
      <c r="N585" s="470" t="s">
        <v>1384</v>
      </c>
      <c r="O585" s="472" t="s">
        <v>757</v>
      </c>
      <c r="P585" s="472" t="s">
        <v>738</v>
      </c>
      <c r="Q585" s="472" t="s">
        <v>758</v>
      </c>
      <c r="R585" s="472" t="s">
        <v>12</v>
      </c>
      <c r="S585" s="472" t="s">
        <v>12</v>
      </c>
      <c r="T585" s="472" t="s">
        <v>1385</v>
      </c>
      <c r="U585" s="470" t="s">
        <v>1386</v>
      </c>
      <c r="V585" s="470" t="s">
        <v>761</v>
      </c>
      <c r="W585" s="470" t="s">
        <v>1387</v>
      </c>
      <c r="X585" s="470">
        <v>30</v>
      </c>
      <c r="Y585" s="470">
        <v>0</v>
      </c>
      <c r="Z585" s="470">
        <v>0</v>
      </c>
      <c r="AA585" s="470">
        <v>16</v>
      </c>
      <c r="AB585" s="470">
        <v>16</v>
      </c>
      <c r="AC585" s="473">
        <v>53200</v>
      </c>
      <c r="AD585" s="473">
        <v>53200</v>
      </c>
      <c r="AE585" s="473">
        <v>12768</v>
      </c>
      <c r="AF585" s="473">
        <v>5107</v>
      </c>
      <c r="AG585" s="473">
        <v>853</v>
      </c>
      <c r="AH585" s="473">
        <v>200</v>
      </c>
      <c r="AI585" s="473">
        <v>667</v>
      </c>
      <c r="AJ585" s="473">
        <v>1064</v>
      </c>
      <c r="AK585" s="473">
        <v>2554</v>
      </c>
      <c r="AL585" s="473">
        <v>1915</v>
      </c>
      <c r="AM585" s="473">
        <v>128</v>
      </c>
      <c r="AN585" s="473">
        <v>447</v>
      </c>
      <c r="AO585" s="473">
        <v>255</v>
      </c>
      <c r="AP585" s="473">
        <v>64</v>
      </c>
      <c r="AQ585" s="473">
        <v>1532</v>
      </c>
      <c r="AR585" s="473">
        <v>819</v>
      </c>
      <c r="AS585" s="473">
        <v>0</v>
      </c>
      <c r="AT585" s="473">
        <v>0</v>
      </c>
      <c r="AU585" s="473">
        <v>96</v>
      </c>
      <c r="AV585" s="473">
        <v>28469</v>
      </c>
      <c r="AW585" s="474">
        <v>28373</v>
      </c>
      <c r="AX585" s="473">
        <v>0</v>
      </c>
      <c r="AY585" s="473">
        <v>0</v>
      </c>
      <c r="AZ585" s="475">
        <v>0</v>
      </c>
      <c r="BA585" s="475">
        <v>200</v>
      </c>
      <c r="BB585" s="475">
        <v>1532</v>
      </c>
      <c r="BC585" s="475">
        <v>0</v>
      </c>
      <c r="BD585" s="475">
        <v>0</v>
      </c>
      <c r="BE585" s="475">
        <v>0</v>
      </c>
      <c r="BF585" s="475">
        <v>0</v>
      </c>
      <c r="BG585" s="475">
        <v>1732</v>
      </c>
      <c r="BH585" s="476">
        <v>26737</v>
      </c>
      <c r="BI585" s="467"/>
      <c r="BJ585" s="468"/>
    </row>
    <row r="586" spans="1:62">
      <c r="A586" s="469">
        <v>45901</v>
      </c>
      <c r="B586" s="469" t="s">
        <v>747</v>
      </c>
      <c r="C586" s="508" t="s">
        <v>748</v>
      </c>
      <c r="D586" s="470" t="s">
        <v>749</v>
      </c>
      <c r="E586" s="471">
        <v>1758</v>
      </c>
      <c r="F586" s="470" t="s">
        <v>1149</v>
      </c>
      <c r="G586" s="470" t="s">
        <v>751</v>
      </c>
      <c r="H586" s="470" t="s">
        <v>12</v>
      </c>
      <c r="I586" s="470" t="s">
        <v>1150</v>
      </c>
      <c r="J586" s="472" t="s">
        <v>1151</v>
      </c>
      <c r="K586" s="470" t="s">
        <v>1152</v>
      </c>
      <c r="L586" s="470" t="s">
        <v>856</v>
      </c>
      <c r="M586" s="470" t="s">
        <v>856</v>
      </c>
      <c r="N586" s="470" t="s">
        <v>756</v>
      </c>
      <c r="O586" s="472" t="s">
        <v>757</v>
      </c>
      <c r="P586" s="472" t="s">
        <v>738</v>
      </c>
      <c r="Q586" s="472" t="s">
        <v>758</v>
      </c>
      <c r="R586" s="472" t="s">
        <v>12</v>
      </c>
      <c r="S586" s="472" t="s">
        <v>12</v>
      </c>
      <c r="T586" s="472" t="s">
        <v>1153</v>
      </c>
      <c r="U586" s="470" t="s">
        <v>1154</v>
      </c>
      <c r="V586" s="470" t="s">
        <v>761</v>
      </c>
      <c r="W586" s="470" t="s">
        <v>1155</v>
      </c>
      <c r="X586" s="470">
        <v>30</v>
      </c>
      <c r="Y586" s="470">
        <v>0</v>
      </c>
      <c r="Z586" s="470">
        <v>0</v>
      </c>
      <c r="AA586" s="470">
        <v>30</v>
      </c>
      <c r="AB586" s="470">
        <v>30</v>
      </c>
      <c r="AC586" s="473">
        <v>68220</v>
      </c>
      <c r="AD586" s="473">
        <v>68220</v>
      </c>
      <c r="AE586" s="473">
        <v>30699</v>
      </c>
      <c r="AF586" s="473">
        <v>12280</v>
      </c>
      <c r="AG586" s="473">
        <v>1600</v>
      </c>
      <c r="AH586" s="473">
        <v>200</v>
      </c>
      <c r="AI586" s="473">
        <v>1250</v>
      </c>
      <c r="AJ586" s="473">
        <v>2557</v>
      </c>
      <c r="AK586" s="473">
        <v>6140</v>
      </c>
      <c r="AL586" s="473">
        <v>4605</v>
      </c>
      <c r="AM586" s="473">
        <v>307</v>
      </c>
      <c r="AN586" s="473">
        <v>1074</v>
      </c>
      <c r="AO586" s="473">
        <v>614</v>
      </c>
      <c r="AP586" s="473">
        <v>154</v>
      </c>
      <c r="AQ586" s="473">
        <v>1800</v>
      </c>
      <c r="AR586" s="473">
        <v>4940</v>
      </c>
      <c r="AS586" s="473">
        <v>0</v>
      </c>
      <c r="AT586" s="473">
        <v>0</v>
      </c>
      <c r="AU586" s="473">
        <v>440</v>
      </c>
      <c r="AV586" s="473">
        <v>68660</v>
      </c>
      <c r="AW586" s="474">
        <v>68220</v>
      </c>
      <c r="AX586" s="473">
        <v>0</v>
      </c>
      <c r="AY586" s="473">
        <v>0</v>
      </c>
      <c r="AZ586" s="475">
        <v>0</v>
      </c>
      <c r="BA586" s="475">
        <v>200</v>
      </c>
      <c r="BB586" s="475">
        <v>1800</v>
      </c>
      <c r="BC586" s="475">
        <v>0</v>
      </c>
      <c r="BD586" s="475">
        <v>0</v>
      </c>
      <c r="BE586" s="475">
        <v>0</v>
      </c>
      <c r="BF586" s="475">
        <v>0</v>
      </c>
      <c r="BG586" s="475">
        <v>2000</v>
      </c>
      <c r="BH586" s="476">
        <v>66660</v>
      </c>
      <c r="BI586" s="467"/>
      <c r="BJ586" s="468"/>
    </row>
    <row r="587" spans="1:62">
      <c r="A587" s="469">
        <v>45901</v>
      </c>
      <c r="B587" s="469" t="s">
        <v>747</v>
      </c>
      <c r="C587" s="508" t="s">
        <v>748</v>
      </c>
      <c r="D587" s="470" t="s">
        <v>749</v>
      </c>
      <c r="E587" s="471">
        <v>1624</v>
      </c>
      <c r="F587" s="470" t="s">
        <v>1156</v>
      </c>
      <c r="G587" s="470" t="s">
        <v>751</v>
      </c>
      <c r="H587" s="470" t="s">
        <v>12</v>
      </c>
      <c r="I587" s="470" t="s">
        <v>1157</v>
      </c>
      <c r="J587" s="472" t="s">
        <v>1158</v>
      </c>
      <c r="K587" s="470" t="s">
        <v>1159</v>
      </c>
      <c r="L587" s="470" t="s">
        <v>987</v>
      </c>
      <c r="M587" s="470" t="s">
        <v>987</v>
      </c>
      <c r="N587" s="470" t="s">
        <v>756</v>
      </c>
      <c r="O587" s="472" t="s">
        <v>757</v>
      </c>
      <c r="P587" s="472" t="s">
        <v>738</v>
      </c>
      <c r="Q587" s="472" t="s">
        <v>758</v>
      </c>
      <c r="R587" s="472" t="s">
        <v>12</v>
      </c>
      <c r="S587" s="472" t="s">
        <v>12</v>
      </c>
      <c r="T587" s="472" t="s">
        <v>1160</v>
      </c>
      <c r="U587" s="470" t="s">
        <v>1161</v>
      </c>
      <c r="V587" s="470" t="s">
        <v>761</v>
      </c>
      <c r="W587" s="470" t="s">
        <v>898</v>
      </c>
      <c r="X587" s="470">
        <v>30</v>
      </c>
      <c r="Y587" s="470">
        <v>0</v>
      </c>
      <c r="Z587" s="470">
        <v>0</v>
      </c>
      <c r="AA587" s="470">
        <v>30</v>
      </c>
      <c r="AB587" s="470">
        <v>30</v>
      </c>
      <c r="AC587" s="473">
        <v>42042</v>
      </c>
      <c r="AD587" s="473">
        <v>42042</v>
      </c>
      <c r="AE587" s="473">
        <v>18919</v>
      </c>
      <c r="AF587" s="473">
        <v>7568</v>
      </c>
      <c r="AG587" s="473">
        <v>1600</v>
      </c>
      <c r="AH587" s="473">
        <v>200</v>
      </c>
      <c r="AI587" s="473">
        <v>1250</v>
      </c>
      <c r="AJ587" s="473">
        <v>1576</v>
      </c>
      <c r="AK587" s="473">
        <v>3784</v>
      </c>
      <c r="AL587" s="473">
        <v>2838</v>
      </c>
      <c r="AM587" s="473">
        <v>189</v>
      </c>
      <c r="AN587" s="473">
        <v>662</v>
      </c>
      <c r="AO587" s="473">
        <v>378</v>
      </c>
      <c r="AP587" s="473">
        <v>95</v>
      </c>
      <c r="AQ587" s="473">
        <v>1800</v>
      </c>
      <c r="AR587" s="473">
        <v>1183</v>
      </c>
      <c r="AS587" s="473">
        <v>0</v>
      </c>
      <c r="AT587" s="473">
        <v>2200</v>
      </c>
      <c r="AU587" s="473">
        <v>0</v>
      </c>
      <c r="AV587" s="473">
        <v>44242</v>
      </c>
      <c r="AW587" s="474">
        <v>44242</v>
      </c>
      <c r="AX587" s="473">
        <v>0</v>
      </c>
      <c r="AY587" s="473">
        <v>0</v>
      </c>
      <c r="AZ587" s="475">
        <v>0</v>
      </c>
      <c r="BA587" s="475">
        <v>200</v>
      </c>
      <c r="BB587" s="475">
        <v>1800</v>
      </c>
      <c r="BC587" s="475">
        <v>0</v>
      </c>
      <c r="BD587" s="475">
        <v>0</v>
      </c>
      <c r="BE587" s="475">
        <v>0</v>
      </c>
      <c r="BF587" s="475">
        <v>0</v>
      </c>
      <c r="BG587" s="475">
        <v>2000</v>
      </c>
      <c r="BH587" s="476">
        <v>42242</v>
      </c>
      <c r="BI587" s="467"/>
      <c r="BJ587" s="468"/>
    </row>
    <row r="588" spans="1:62">
      <c r="A588" s="469">
        <v>45901</v>
      </c>
      <c r="B588" s="469" t="s">
        <v>747</v>
      </c>
      <c r="C588" s="508" t="s">
        <v>748</v>
      </c>
      <c r="D588" s="470" t="s">
        <v>749</v>
      </c>
      <c r="E588" s="471">
        <v>1738</v>
      </c>
      <c r="F588" s="470" t="s">
        <v>1162</v>
      </c>
      <c r="G588" s="470" t="s">
        <v>751</v>
      </c>
      <c r="H588" s="470" t="s">
        <v>12</v>
      </c>
      <c r="I588" s="470" t="s">
        <v>938</v>
      </c>
      <c r="J588" s="472" t="s">
        <v>1163</v>
      </c>
      <c r="K588" s="470" t="s">
        <v>1164</v>
      </c>
      <c r="L588" s="470" t="s">
        <v>1165</v>
      </c>
      <c r="M588" s="470" t="s">
        <v>1165</v>
      </c>
      <c r="N588" s="470" t="s">
        <v>756</v>
      </c>
      <c r="O588" s="472" t="s">
        <v>757</v>
      </c>
      <c r="P588" s="472" t="s">
        <v>738</v>
      </c>
      <c r="Q588" s="472" t="s">
        <v>758</v>
      </c>
      <c r="R588" s="472" t="s">
        <v>12</v>
      </c>
      <c r="S588" s="472" t="s">
        <v>12</v>
      </c>
      <c r="T588" s="472" t="s">
        <v>1166</v>
      </c>
      <c r="U588" s="470" t="s">
        <v>1167</v>
      </c>
      <c r="V588" s="470" t="s">
        <v>761</v>
      </c>
      <c r="W588" s="470" t="s">
        <v>762</v>
      </c>
      <c r="X588" s="470">
        <v>30</v>
      </c>
      <c r="Y588" s="470">
        <v>0</v>
      </c>
      <c r="Z588" s="470">
        <v>0</v>
      </c>
      <c r="AA588" s="470">
        <v>30</v>
      </c>
      <c r="AB588" s="470">
        <v>30</v>
      </c>
      <c r="AC588" s="473">
        <v>35983</v>
      </c>
      <c r="AD588" s="473">
        <v>35983</v>
      </c>
      <c r="AE588" s="473">
        <v>16192</v>
      </c>
      <c r="AF588" s="473">
        <v>6477</v>
      </c>
      <c r="AG588" s="473">
        <v>1600</v>
      </c>
      <c r="AH588" s="473">
        <v>200</v>
      </c>
      <c r="AI588" s="473">
        <v>1250</v>
      </c>
      <c r="AJ588" s="473">
        <v>0</v>
      </c>
      <c r="AK588" s="473">
        <v>0</v>
      </c>
      <c r="AL588" s="473">
        <v>0</v>
      </c>
      <c r="AM588" s="473">
        <v>0</v>
      </c>
      <c r="AN588" s="473">
        <v>0</v>
      </c>
      <c r="AO588" s="473">
        <v>0</v>
      </c>
      <c r="AP588" s="473">
        <v>0</v>
      </c>
      <c r="AQ588" s="473">
        <v>1800</v>
      </c>
      <c r="AR588" s="473">
        <v>8464</v>
      </c>
      <c r="AS588" s="473">
        <v>0</v>
      </c>
      <c r="AT588" s="473">
        <v>1800</v>
      </c>
      <c r="AU588" s="473">
        <v>0</v>
      </c>
      <c r="AV588" s="473">
        <v>37783</v>
      </c>
      <c r="AW588" s="474">
        <v>37783</v>
      </c>
      <c r="AX588" s="473">
        <v>0</v>
      </c>
      <c r="AY588" s="473">
        <v>0</v>
      </c>
      <c r="AZ588" s="475">
        <v>0</v>
      </c>
      <c r="BA588" s="475">
        <v>200</v>
      </c>
      <c r="BB588" s="475">
        <v>1800</v>
      </c>
      <c r="BC588" s="475">
        <v>0</v>
      </c>
      <c r="BD588" s="475">
        <v>0</v>
      </c>
      <c r="BE588" s="475">
        <v>0</v>
      </c>
      <c r="BF588" s="475">
        <v>0</v>
      </c>
      <c r="BG588" s="475">
        <v>2000</v>
      </c>
      <c r="BH588" s="476">
        <v>35783</v>
      </c>
      <c r="BI588" s="467"/>
      <c r="BJ588" s="468"/>
    </row>
    <row r="589" spans="1:62">
      <c r="A589" s="469">
        <v>45901</v>
      </c>
      <c r="B589" s="469" t="s">
        <v>747</v>
      </c>
      <c r="C589" s="508" t="s">
        <v>748</v>
      </c>
      <c r="D589" s="470" t="s">
        <v>749</v>
      </c>
      <c r="E589" s="471">
        <v>1510</v>
      </c>
      <c r="F589" s="470" t="s">
        <v>1168</v>
      </c>
      <c r="G589" s="470" t="s">
        <v>751</v>
      </c>
      <c r="H589" s="470" t="s">
        <v>12</v>
      </c>
      <c r="I589" s="470" t="s">
        <v>1169</v>
      </c>
      <c r="J589" s="472" t="s">
        <v>1170</v>
      </c>
      <c r="K589" s="470" t="s">
        <v>1171</v>
      </c>
      <c r="L589" s="470" t="s">
        <v>994</v>
      </c>
      <c r="M589" s="470" t="s">
        <v>1305</v>
      </c>
      <c r="N589" s="470" t="s">
        <v>777</v>
      </c>
      <c r="O589" s="472" t="s">
        <v>757</v>
      </c>
      <c r="P589" s="472" t="s">
        <v>738</v>
      </c>
      <c r="Q589" s="472" t="s">
        <v>758</v>
      </c>
      <c r="R589" s="472" t="s">
        <v>12</v>
      </c>
      <c r="S589" s="472" t="s">
        <v>12</v>
      </c>
      <c r="T589" s="472" t="s">
        <v>1173</v>
      </c>
      <c r="U589" s="470" t="s">
        <v>1174</v>
      </c>
      <c r="V589" s="470" t="s">
        <v>761</v>
      </c>
      <c r="W589" s="470" t="s">
        <v>762</v>
      </c>
      <c r="X589" s="470">
        <v>30</v>
      </c>
      <c r="Y589" s="470">
        <v>0</v>
      </c>
      <c r="Z589" s="470">
        <v>0</v>
      </c>
      <c r="AA589" s="470">
        <v>15</v>
      </c>
      <c r="AB589" s="470">
        <v>15</v>
      </c>
      <c r="AC589" s="473">
        <v>49307</v>
      </c>
      <c r="AD589" s="473">
        <v>49307</v>
      </c>
      <c r="AE589" s="473">
        <v>11094</v>
      </c>
      <c r="AF589" s="473">
        <v>4438</v>
      </c>
      <c r="AG589" s="473">
        <v>800</v>
      </c>
      <c r="AH589" s="473">
        <v>200</v>
      </c>
      <c r="AI589" s="473">
        <v>625</v>
      </c>
      <c r="AJ589" s="473">
        <v>924</v>
      </c>
      <c r="AK589" s="473">
        <v>2219</v>
      </c>
      <c r="AL589" s="473">
        <v>1664</v>
      </c>
      <c r="AM589" s="473">
        <v>111</v>
      </c>
      <c r="AN589" s="473">
        <v>388</v>
      </c>
      <c r="AO589" s="473">
        <v>222</v>
      </c>
      <c r="AP589" s="473">
        <v>55</v>
      </c>
      <c r="AQ589" s="473">
        <v>1331</v>
      </c>
      <c r="AR589" s="473">
        <v>583</v>
      </c>
      <c r="AS589" s="473">
        <v>0</v>
      </c>
      <c r="AT589" s="473">
        <v>0</v>
      </c>
      <c r="AU589" s="473">
        <v>0</v>
      </c>
      <c r="AV589" s="473">
        <v>24654</v>
      </c>
      <c r="AW589" s="474">
        <v>24654</v>
      </c>
      <c r="AX589" s="473">
        <v>0</v>
      </c>
      <c r="AY589" s="473">
        <v>0</v>
      </c>
      <c r="AZ589" s="475">
        <v>0</v>
      </c>
      <c r="BA589" s="475">
        <v>200</v>
      </c>
      <c r="BB589" s="475">
        <v>1331</v>
      </c>
      <c r="BC589" s="475">
        <v>0</v>
      </c>
      <c r="BD589" s="475">
        <v>0</v>
      </c>
      <c r="BE589" s="475">
        <v>0</v>
      </c>
      <c r="BF589" s="475">
        <v>0</v>
      </c>
      <c r="BG589" s="475">
        <v>1531</v>
      </c>
      <c r="BH589" s="476">
        <v>23123</v>
      </c>
      <c r="BI589" s="467"/>
      <c r="BJ589" s="468"/>
    </row>
    <row r="590" spans="1:62">
      <c r="A590" s="469">
        <v>45901</v>
      </c>
      <c r="B590" s="469" t="s">
        <v>747</v>
      </c>
      <c r="C590" s="508" t="s">
        <v>748</v>
      </c>
      <c r="D590" s="470" t="s">
        <v>749</v>
      </c>
      <c r="E590" s="471">
        <v>2175</v>
      </c>
      <c r="F590" s="470" t="s">
        <v>1320</v>
      </c>
      <c r="G590" s="470" t="s">
        <v>812</v>
      </c>
      <c r="H590" s="470" t="s">
        <v>12</v>
      </c>
      <c r="I590" s="470" t="s">
        <v>1321</v>
      </c>
      <c r="J590" s="472" t="s">
        <v>1322</v>
      </c>
      <c r="K590" s="470" t="s">
        <v>1323</v>
      </c>
      <c r="L590" s="470" t="s">
        <v>1324</v>
      </c>
      <c r="M590" s="470" t="s">
        <v>1293</v>
      </c>
      <c r="N590" s="470" t="s">
        <v>756</v>
      </c>
      <c r="O590" s="472" t="s">
        <v>792</v>
      </c>
      <c r="P590" s="472" t="s">
        <v>738</v>
      </c>
      <c r="Q590" s="472" t="s">
        <v>758</v>
      </c>
      <c r="R590" s="472" t="s">
        <v>12</v>
      </c>
      <c r="S590" s="472" t="s">
        <v>12</v>
      </c>
      <c r="T590" s="472" t="s">
        <v>1325</v>
      </c>
      <c r="U590" s="470" t="s">
        <v>1326</v>
      </c>
      <c r="V590" s="470" t="s">
        <v>761</v>
      </c>
      <c r="W590" s="470" t="s">
        <v>1327</v>
      </c>
      <c r="X590" s="470">
        <v>30</v>
      </c>
      <c r="Y590" s="470">
        <v>0</v>
      </c>
      <c r="Z590" s="470">
        <v>3</v>
      </c>
      <c r="AA590" s="470">
        <v>27</v>
      </c>
      <c r="AB590" s="470">
        <v>27</v>
      </c>
      <c r="AC590" s="473">
        <v>137785</v>
      </c>
      <c r="AD590" s="473">
        <v>137785</v>
      </c>
      <c r="AE590" s="473">
        <v>55803</v>
      </c>
      <c r="AF590" s="473">
        <v>22321</v>
      </c>
      <c r="AG590" s="473">
        <v>1440</v>
      </c>
      <c r="AH590" s="473">
        <v>180</v>
      </c>
      <c r="AI590" s="473">
        <v>1125</v>
      </c>
      <c r="AJ590" s="473">
        <v>4648</v>
      </c>
      <c r="AK590" s="473">
        <v>11161</v>
      </c>
      <c r="AL590" s="473">
        <v>8370</v>
      </c>
      <c r="AM590" s="473">
        <v>558</v>
      </c>
      <c r="AN590" s="473">
        <v>1953</v>
      </c>
      <c r="AO590" s="473">
        <v>1116</v>
      </c>
      <c r="AP590" s="473">
        <v>279</v>
      </c>
      <c r="AQ590" s="473">
        <v>1800</v>
      </c>
      <c r="AR590" s="473">
        <v>13253</v>
      </c>
      <c r="AS590" s="473">
        <v>0</v>
      </c>
      <c r="AT590" s="473">
        <v>0</v>
      </c>
      <c r="AU590" s="473">
        <v>0</v>
      </c>
      <c r="AV590" s="473">
        <v>124007</v>
      </c>
      <c r="AW590" s="474">
        <v>124007</v>
      </c>
      <c r="AX590" s="473">
        <v>0</v>
      </c>
      <c r="AY590" s="473">
        <v>0</v>
      </c>
      <c r="AZ590" s="475">
        <v>0</v>
      </c>
      <c r="BA590" s="475">
        <v>200</v>
      </c>
      <c r="BB590" s="475">
        <v>1800</v>
      </c>
      <c r="BC590" s="475">
        <v>0</v>
      </c>
      <c r="BD590" s="475">
        <v>0</v>
      </c>
      <c r="BE590" s="475">
        <v>0</v>
      </c>
      <c r="BF590" s="475">
        <v>0</v>
      </c>
      <c r="BG590" s="475">
        <v>2000</v>
      </c>
      <c r="BH590" s="476">
        <v>122007</v>
      </c>
      <c r="BI590" s="467"/>
      <c r="BJ590" s="468"/>
    </row>
    <row r="591" spans="1:62">
      <c r="A591" s="469">
        <v>45901</v>
      </c>
      <c r="B591" s="469" t="s">
        <v>747</v>
      </c>
      <c r="C591" s="508" t="s">
        <v>748</v>
      </c>
      <c r="D591" s="470" t="s">
        <v>749</v>
      </c>
      <c r="E591" s="471">
        <v>1589</v>
      </c>
      <c r="F591" s="470" t="s">
        <v>1175</v>
      </c>
      <c r="G591" s="470" t="s">
        <v>751</v>
      </c>
      <c r="H591" s="470" t="s">
        <v>12</v>
      </c>
      <c r="I591" s="470" t="s">
        <v>1176</v>
      </c>
      <c r="J591" s="472" t="s">
        <v>1177</v>
      </c>
      <c r="K591" s="470" t="s">
        <v>1178</v>
      </c>
      <c r="L591" s="470" t="s">
        <v>755</v>
      </c>
      <c r="M591" s="470" t="s">
        <v>755</v>
      </c>
      <c r="N591" s="470" t="s">
        <v>756</v>
      </c>
      <c r="O591" s="472" t="s">
        <v>757</v>
      </c>
      <c r="P591" s="472" t="s">
        <v>738</v>
      </c>
      <c r="Q591" s="472" t="s">
        <v>758</v>
      </c>
      <c r="R591" s="472" t="s">
        <v>12</v>
      </c>
      <c r="S591" s="472" t="s">
        <v>12</v>
      </c>
      <c r="T591" s="472" t="s">
        <v>1179</v>
      </c>
      <c r="U591" s="470" t="s">
        <v>1180</v>
      </c>
      <c r="V591" s="470" t="s">
        <v>761</v>
      </c>
      <c r="W591" s="470" t="s">
        <v>762</v>
      </c>
      <c r="X591" s="470">
        <v>30</v>
      </c>
      <c r="Y591" s="470">
        <v>0</v>
      </c>
      <c r="Z591" s="470">
        <v>0</v>
      </c>
      <c r="AA591" s="470">
        <v>30</v>
      </c>
      <c r="AB591" s="470">
        <v>30</v>
      </c>
      <c r="AC591" s="473">
        <v>34250</v>
      </c>
      <c r="AD591" s="473">
        <v>34250</v>
      </c>
      <c r="AE591" s="473">
        <v>15413</v>
      </c>
      <c r="AF591" s="473">
        <v>6165</v>
      </c>
      <c r="AG591" s="473">
        <v>1600</v>
      </c>
      <c r="AH591" s="473">
        <v>200</v>
      </c>
      <c r="AI591" s="473">
        <v>1250</v>
      </c>
      <c r="AJ591" s="473">
        <v>0</v>
      </c>
      <c r="AK591" s="473">
        <v>0</v>
      </c>
      <c r="AL591" s="473">
        <v>0</v>
      </c>
      <c r="AM591" s="473">
        <v>0</v>
      </c>
      <c r="AN591" s="473">
        <v>0</v>
      </c>
      <c r="AO591" s="473">
        <v>0</v>
      </c>
      <c r="AP591" s="473">
        <v>0</v>
      </c>
      <c r="AQ591" s="473">
        <v>1800</v>
      </c>
      <c r="AR591" s="473">
        <v>7822</v>
      </c>
      <c r="AS591" s="473">
        <v>0</v>
      </c>
      <c r="AT591" s="473">
        <v>0</v>
      </c>
      <c r="AU591" s="473">
        <v>0</v>
      </c>
      <c r="AV591" s="473">
        <v>34250</v>
      </c>
      <c r="AW591" s="474">
        <v>34250</v>
      </c>
      <c r="AX591" s="473">
        <v>0</v>
      </c>
      <c r="AY591" s="473">
        <v>0</v>
      </c>
      <c r="AZ591" s="475">
        <v>0</v>
      </c>
      <c r="BA591" s="475">
        <v>200</v>
      </c>
      <c r="BB591" s="475">
        <v>1800</v>
      </c>
      <c r="BC591" s="475">
        <v>0</v>
      </c>
      <c r="BD591" s="475">
        <v>0</v>
      </c>
      <c r="BE591" s="475">
        <v>0</v>
      </c>
      <c r="BF591" s="475">
        <v>0</v>
      </c>
      <c r="BG591" s="475">
        <v>2000</v>
      </c>
      <c r="BH591" s="476">
        <v>32250</v>
      </c>
      <c r="BI591" s="467"/>
      <c r="BJ591" s="468"/>
    </row>
    <row r="592" spans="1:62">
      <c r="A592" s="469">
        <v>45901</v>
      </c>
      <c r="B592" s="469" t="s">
        <v>747</v>
      </c>
      <c r="C592" s="508" t="s">
        <v>748</v>
      </c>
      <c r="D592" s="470" t="s">
        <v>749</v>
      </c>
      <c r="E592" s="471">
        <v>2069</v>
      </c>
      <c r="F592" s="470" t="s">
        <v>1181</v>
      </c>
      <c r="G592" s="470" t="s">
        <v>751</v>
      </c>
      <c r="H592" s="470" t="s">
        <v>12</v>
      </c>
      <c r="I592" s="470" t="s">
        <v>1182</v>
      </c>
      <c r="J592" s="472" t="s">
        <v>1183</v>
      </c>
      <c r="K592" s="470" t="s">
        <v>1184</v>
      </c>
      <c r="L592" s="470" t="s">
        <v>767</v>
      </c>
      <c r="M592" s="470" t="s">
        <v>767</v>
      </c>
      <c r="N592" s="470" t="s">
        <v>756</v>
      </c>
      <c r="O592" s="472" t="s">
        <v>792</v>
      </c>
      <c r="P592" s="472" t="s">
        <v>738</v>
      </c>
      <c r="Q592" s="472" t="s">
        <v>758</v>
      </c>
      <c r="R592" s="472" t="s">
        <v>12</v>
      </c>
      <c r="S592" s="472" t="s">
        <v>12</v>
      </c>
      <c r="T592" s="472" t="s">
        <v>1185</v>
      </c>
      <c r="U592" s="470" t="s">
        <v>1186</v>
      </c>
      <c r="V592" s="470" t="s">
        <v>761</v>
      </c>
      <c r="W592" s="470" t="s">
        <v>1187</v>
      </c>
      <c r="X592" s="470">
        <v>30</v>
      </c>
      <c r="Y592" s="470">
        <v>0</v>
      </c>
      <c r="Z592" s="470">
        <v>0</v>
      </c>
      <c r="AA592" s="470">
        <v>30</v>
      </c>
      <c r="AB592" s="470">
        <v>30</v>
      </c>
      <c r="AC592" s="473">
        <v>70000</v>
      </c>
      <c r="AD592" s="473">
        <v>70000</v>
      </c>
      <c r="AE592" s="473">
        <v>31500</v>
      </c>
      <c r="AF592" s="473">
        <v>12600</v>
      </c>
      <c r="AG592" s="473">
        <v>1600</v>
      </c>
      <c r="AH592" s="473">
        <v>200</v>
      </c>
      <c r="AI592" s="473">
        <v>1250</v>
      </c>
      <c r="AJ592" s="473">
        <v>2624</v>
      </c>
      <c r="AK592" s="473">
        <v>6300</v>
      </c>
      <c r="AL592" s="473">
        <v>4725</v>
      </c>
      <c r="AM592" s="473">
        <v>315</v>
      </c>
      <c r="AN592" s="473">
        <v>1103</v>
      </c>
      <c r="AO592" s="473">
        <v>630</v>
      </c>
      <c r="AP592" s="473">
        <v>158</v>
      </c>
      <c r="AQ592" s="473">
        <v>1800</v>
      </c>
      <c r="AR592" s="473">
        <v>5195</v>
      </c>
      <c r="AS592" s="473">
        <v>0</v>
      </c>
      <c r="AT592" s="473">
        <v>2000</v>
      </c>
      <c r="AU592" s="473">
        <v>0</v>
      </c>
      <c r="AV592" s="473">
        <v>72000</v>
      </c>
      <c r="AW592" s="474">
        <v>72000</v>
      </c>
      <c r="AX592" s="473">
        <v>0</v>
      </c>
      <c r="AY592" s="473">
        <v>0</v>
      </c>
      <c r="AZ592" s="475">
        <v>0</v>
      </c>
      <c r="BA592" s="475">
        <v>200</v>
      </c>
      <c r="BB592" s="475">
        <v>1800</v>
      </c>
      <c r="BC592" s="475">
        <v>0</v>
      </c>
      <c r="BD592" s="475">
        <v>0</v>
      </c>
      <c r="BE592" s="475">
        <v>0</v>
      </c>
      <c r="BF592" s="475">
        <v>0</v>
      </c>
      <c r="BG592" s="475">
        <v>2000</v>
      </c>
      <c r="BH592" s="476">
        <v>70000</v>
      </c>
      <c r="BI592" s="467"/>
      <c r="BJ592" s="468"/>
    </row>
    <row r="593" spans="1:62">
      <c r="A593" s="469">
        <v>45901</v>
      </c>
      <c r="B593" s="469" t="s">
        <v>747</v>
      </c>
      <c r="C593" s="508" t="s">
        <v>748</v>
      </c>
      <c r="D593" s="470" t="s">
        <v>749</v>
      </c>
      <c r="E593" s="471">
        <v>454</v>
      </c>
      <c r="F593" s="470" t="s">
        <v>1188</v>
      </c>
      <c r="G593" s="470" t="s">
        <v>751</v>
      </c>
      <c r="H593" s="470" t="s">
        <v>12</v>
      </c>
      <c r="I593" s="470" t="s">
        <v>1189</v>
      </c>
      <c r="J593" s="472" t="s">
        <v>1190</v>
      </c>
      <c r="K593" s="470" t="s">
        <v>1191</v>
      </c>
      <c r="L593" s="470" t="s">
        <v>1328</v>
      </c>
      <c r="M593" s="470" t="s">
        <v>1328</v>
      </c>
      <c r="N593" s="470" t="s">
        <v>756</v>
      </c>
      <c r="O593" s="472" t="s">
        <v>757</v>
      </c>
      <c r="P593" s="472" t="s">
        <v>738</v>
      </c>
      <c r="Q593" s="472" t="s">
        <v>758</v>
      </c>
      <c r="R593" s="472" t="s">
        <v>12</v>
      </c>
      <c r="S593" s="472" t="s">
        <v>12</v>
      </c>
      <c r="T593" s="472" t="s">
        <v>1193</v>
      </c>
      <c r="U593" s="470" t="s">
        <v>1194</v>
      </c>
      <c r="V593" s="470" t="s">
        <v>761</v>
      </c>
      <c r="W593" s="470" t="s">
        <v>1195</v>
      </c>
      <c r="X593" s="470">
        <v>30</v>
      </c>
      <c r="Y593" s="470">
        <v>0</v>
      </c>
      <c r="Z593" s="470">
        <v>0</v>
      </c>
      <c r="AA593" s="470">
        <v>19</v>
      </c>
      <c r="AB593" s="470">
        <v>19</v>
      </c>
      <c r="AC593" s="473">
        <v>27925</v>
      </c>
      <c r="AD593" s="473">
        <v>27925</v>
      </c>
      <c r="AE593" s="473">
        <v>7959</v>
      </c>
      <c r="AF593" s="473">
        <v>3184</v>
      </c>
      <c r="AG593" s="473">
        <v>1013</v>
      </c>
      <c r="AH593" s="473">
        <v>200</v>
      </c>
      <c r="AI593" s="473">
        <v>792</v>
      </c>
      <c r="AJ593" s="473">
        <v>0</v>
      </c>
      <c r="AK593" s="473">
        <v>0</v>
      </c>
      <c r="AL593" s="473">
        <v>0</v>
      </c>
      <c r="AM593" s="473">
        <v>0</v>
      </c>
      <c r="AN593" s="473">
        <v>0</v>
      </c>
      <c r="AO593" s="473">
        <v>0</v>
      </c>
      <c r="AP593" s="473">
        <v>0</v>
      </c>
      <c r="AQ593" s="473">
        <v>955</v>
      </c>
      <c r="AR593" s="473">
        <v>3583</v>
      </c>
      <c r="AS593" s="473">
        <v>0</v>
      </c>
      <c r="AT593" s="473">
        <v>0</v>
      </c>
      <c r="AU593" s="473">
        <v>0</v>
      </c>
      <c r="AV593" s="473">
        <v>17686</v>
      </c>
      <c r="AW593" s="474">
        <v>17686</v>
      </c>
      <c r="AX593" s="473">
        <v>0</v>
      </c>
      <c r="AY593" s="473">
        <v>0</v>
      </c>
      <c r="AZ593" s="475">
        <v>0</v>
      </c>
      <c r="BA593" s="475">
        <v>200</v>
      </c>
      <c r="BB593" s="475">
        <v>955</v>
      </c>
      <c r="BC593" s="475">
        <v>0</v>
      </c>
      <c r="BD593" s="475">
        <v>0</v>
      </c>
      <c r="BE593" s="475">
        <v>0</v>
      </c>
      <c r="BF593" s="475">
        <v>0</v>
      </c>
      <c r="BG593" s="475">
        <v>1155</v>
      </c>
      <c r="BH593" s="476">
        <v>16531</v>
      </c>
      <c r="BI593" s="467"/>
      <c r="BJ593" s="468"/>
    </row>
    <row r="594" spans="1:62">
      <c r="A594" s="469">
        <v>45901</v>
      </c>
      <c r="B594" s="469" t="s">
        <v>747</v>
      </c>
      <c r="C594" s="508" t="s">
        <v>748</v>
      </c>
      <c r="D594" s="470" t="s">
        <v>749</v>
      </c>
      <c r="E594" s="471">
        <v>1515</v>
      </c>
      <c r="F594" s="470" t="s">
        <v>1196</v>
      </c>
      <c r="G594" s="470" t="s">
        <v>751</v>
      </c>
      <c r="H594" s="470" t="s">
        <v>12</v>
      </c>
      <c r="I594" s="470" t="s">
        <v>878</v>
      </c>
      <c r="J594" s="472" t="s">
        <v>1197</v>
      </c>
      <c r="K594" s="470" t="s">
        <v>1198</v>
      </c>
      <c r="L594" s="470" t="s">
        <v>942</v>
      </c>
      <c r="M594" s="470" t="s">
        <v>942</v>
      </c>
      <c r="N594" s="470" t="s">
        <v>1275</v>
      </c>
      <c r="O594" s="472" t="s">
        <v>1272</v>
      </c>
      <c r="P594" s="472" t="s">
        <v>738</v>
      </c>
      <c r="Q594" s="472" t="s">
        <v>758</v>
      </c>
      <c r="R594" s="472" t="s">
        <v>12</v>
      </c>
      <c r="S594" s="472" t="s">
        <v>12</v>
      </c>
      <c r="T594" s="472" t="s">
        <v>1199</v>
      </c>
      <c r="U594" s="470" t="s">
        <v>1200</v>
      </c>
      <c r="V594" s="470" t="s">
        <v>761</v>
      </c>
      <c r="W594" s="470" t="s">
        <v>1201</v>
      </c>
      <c r="X594" s="470">
        <v>30</v>
      </c>
      <c r="Y594" s="470">
        <v>0</v>
      </c>
      <c r="Z594" s="470">
        <v>0</v>
      </c>
      <c r="AA594" s="470">
        <v>30</v>
      </c>
      <c r="AB594" s="470">
        <v>30</v>
      </c>
      <c r="AC594" s="473">
        <v>184245</v>
      </c>
      <c r="AD594" s="473">
        <v>184245</v>
      </c>
      <c r="AE594" s="473">
        <v>82910</v>
      </c>
      <c r="AF594" s="473">
        <v>33164</v>
      </c>
      <c r="AG594" s="473">
        <v>1600</v>
      </c>
      <c r="AH594" s="473">
        <v>200</v>
      </c>
      <c r="AI594" s="473">
        <v>1250</v>
      </c>
      <c r="AJ594" s="473">
        <v>6906</v>
      </c>
      <c r="AK594" s="473">
        <v>16582</v>
      </c>
      <c r="AL594" s="473">
        <v>12437</v>
      </c>
      <c r="AM594" s="473">
        <v>829</v>
      </c>
      <c r="AN594" s="473">
        <v>2902</v>
      </c>
      <c r="AO594" s="473">
        <v>1658</v>
      </c>
      <c r="AP594" s="473">
        <v>415</v>
      </c>
      <c r="AQ594" s="473">
        <v>1800</v>
      </c>
      <c r="AR594" s="473">
        <v>21592</v>
      </c>
      <c r="AS594" s="473">
        <v>0</v>
      </c>
      <c r="AT594" s="473">
        <v>0</v>
      </c>
      <c r="AU594" s="473">
        <v>0</v>
      </c>
      <c r="AV594" s="473">
        <v>184245</v>
      </c>
      <c r="AW594" s="474">
        <v>184245</v>
      </c>
      <c r="AX594" s="473">
        <v>0</v>
      </c>
      <c r="AY594" s="473">
        <v>0</v>
      </c>
      <c r="AZ594" s="475">
        <v>26142</v>
      </c>
      <c r="BA594" s="475">
        <v>200</v>
      </c>
      <c r="BB594" s="475">
        <v>1800</v>
      </c>
      <c r="BC594" s="475">
        <v>0</v>
      </c>
      <c r="BD594" s="475">
        <v>0</v>
      </c>
      <c r="BE594" s="475">
        <v>0</v>
      </c>
      <c r="BF594" s="475">
        <v>0</v>
      </c>
      <c r="BG594" s="475">
        <v>28142</v>
      </c>
      <c r="BH594" s="476">
        <v>156103</v>
      </c>
      <c r="BI594" s="467"/>
      <c r="BJ594" s="468"/>
    </row>
    <row r="595" spans="1:62">
      <c r="A595" s="469">
        <v>45901</v>
      </c>
      <c r="B595" s="469" t="s">
        <v>747</v>
      </c>
      <c r="C595" s="508" t="s">
        <v>748</v>
      </c>
      <c r="D595" s="470" t="s">
        <v>749</v>
      </c>
      <c r="E595" s="471">
        <v>2015</v>
      </c>
      <c r="F595" s="470" t="s">
        <v>1202</v>
      </c>
      <c r="G595" s="470" t="s">
        <v>751</v>
      </c>
      <c r="H595" s="470" t="s">
        <v>12</v>
      </c>
      <c r="I595" s="470" t="s">
        <v>847</v>
      </c>
      <c r="J595" s="472" t="s">
        <v>1203</v>
      </c>
      <c r="K595" s="470" t="s">
        <v>1204</v>
      </c>
      <c r="L595" s="470" t="s">
        <v>824</v>
      </c>
      <c r="M595" s="470" t="s">
        <v>824</v>
      </c>
      <c r="N595" s="470" t="s">
        <v>1275</v>
      </c>
      <c r="O595" s="472" t="s">
        <v>1276</v>
      </c>
      <c r="P595" s="472" t="s">
        <v>738</v>
      </c>
      <c r="Q595" s="472" t="s">
        <v>758</v>
      </c>
      <c r="R595" s="472" t="s">
        <v>12</v>
      </c>
      <c r="S595" s="472" t="s">
        <v>12</v>
      </c>
      <c r="T595" s="472" t="s">
        <v>1205</v>
      </c>
      <c r="U595" s="470" t="s">
        <v>1206</v>
      </c>
      <c r="V595" s="470" t="s">
        <v>761</v>
      </c>
      <c r="W595" s="470" t="s">
        <v>762</v>
      </c>
      <c r="X595" s="470">
        <v>30</v>
      </c>
      <c r="Y595" s="470">
        <v>0</v>
      </c>
      <c r="Z595" s="470">
        <v>0</v>
      </c>
      <c r="AA595" s="470">
        <v>30</v>
      </c>
      <c r="AB595" s="470">
        <v>30</v>
      </c>
      <c r="AC595" s="473">
        <v>56533</v>
      </c>
      <c r="AD595" s="473">
        <v>56533</v>
      </c>
      <c r="AE595" s="473">
        <v>25440</v>
      </c>
      <c r="AF595" s="473">
        <v>10176</v>
      </c>
      <c r="AG595" s="473">
        <v>1600</v>
      </c>
      <c r="AH595" s="473">
        <v>200</v>
      </c>
      <c r="AI595" s="473">
        <v>1250</v>
      </c>
      <c r="AJ595" s="473">
        <v>2119</v>
      </c>
      <c r="AK595" s="473">
        <v>5088</v>
      </c>
      <c r="AL595" s="473">
        <v>3816</v>
      </c>
      <c r="AM595" s="473">
        <v>254</v>
      </c>
      <c r="AN595" s="473">
        <v>890</v>
      </c>
      <c r="AO595" s="473">
        <v>509</v>
      </c>
      <c r="AP595" s="473">
        <v>127</v>
      </c>
      <c r="AQ595" s="473">
        <v>1800</v>
      </c>
      <c r="AR595" s="473">
        <v>3264</v>
      </c>
      <c r="AS595" s="473">
        <v>0</v>
      </c>
      <c r="AT595" s="473">
        <v>0</v>
      </c>
      <c r="AU595" s="473">
        <v>2636</v>
      </c>
      <c r="AV595" s="473">
        <v>59169</v>
      </c>
      <c r="AW595" s="474">
        <v>56533</v>
      </c>
      <c r="AX595" s="473">
        <v>0</v>
      </c>
      <c r="AY595" s="473">
        <v>0</v>
      </c>
      <c r="AZ595" s="475">
        <v>0</v>
      </c>
      <c r="BA595" s="475">
        <v>200</v>
      </c>
      <c r="BB595" s="475">
        <v>1800</v>
      </c>
      <c r="BC595" s="475">
        <v>0</v>
      </c>
      <c r="BD595" s="475">
        <v>0</v>
      </c>
      <c r="BE595" s="475">
        <v>0</v>
      </c>
      <c r="BF595" s="475">
        <v>0</v>
      </c>
      <c r="BG595" s="475">
        <v>2000</v>
      </c>
      <c r="BH595" s="476">
        <v>57169</v>
      </c>
      <c r="BI595" s="467"/>
      <c r="BJ595" s="468"/>
    </row>
    <row r="596" spans="1:62">
      <c r="A596" s="469">
        <v>45901</v>
      </c>
      <c r="B596" s="469" t="s">
        <v>747</v>
      </c>
      <c r="C596" s="508" t="s">
        <v>748</v>
      </c>
      <c r="D596" s="470" t="s">
        <v>749</v>
      </c>
      <c r="E596" s="471">
        <v>1166</v>
      </c>
      <c r="F596" s="470" t="s">
        <v>1207</v>
      </c>
      <c r="G596" s="470" t="s">
        <v>751</v>
      </c>
      <c r="H596" s="470" t="s">
        <v>12</v>
      </c>
      <c r="I596" s="470" t="s">
        <v>1208</v>
      </c>
      <c r="J596" s="472" t="s">
        <v>1209</v>
      </c>
      <c r="K596" s="470" t="s">
        <v>1210</v>
      </c>
      <c r="L596" s="470" t="s">
        <v>1329</v>
      </c>
      <c r="M596" s="470" t="s">
        <v>1330</v>
      </c>
      <c r="N596" s="470" t="s">
        <v>756</v>
      </c>
      <c r="O596" s="472" t="s">
        <v>757</v>
      </c>
      <c r="P596" s="472" t="s">
        <v>738</v>
      </c>
      <c r="Q596" s="472" t="s">
        <v>758</v>
      </c>
      <c r="R596" s="472" t="s">
        <v>12</v>
      </c>
      <c r="S596" s="472" t="s">
        <v>12</v>
      </c>
      <c r="T596" s="472" t="s">
        <v>1213</v>
      </c>
      <c r="U596" s="470" t="s">
        <v>1214</v>
      </c>
      <c r="V596" s="470" t="s">
        <v>761</v>
      </c>
      <c r="W596" s="470" t="s">
        <v>859</v>
      </c>
      <c r="X596" s="470">
        <v>30</v>
      </c>
      <c r="Y596" s="470">
        <v>0</v>
      </c>
      <c r="Z596" s="470">
        <v>0</v>
      </c>
      <c r="AA596" s="470">
        <v>30</v>
      </c>
      <c r="AB596" s="470">
        <v>30</v>
      </c>
      <c r="AC596" s="473">
        <v>59983</v>
      </c>
      <c r="AD596" s="473">
        <v>59983</v>
      </c>
      <c r="AE596" s="473">
        <v>26992</v>
      </c>
      <c r="AF596" s="473">
        <v>10797</v>
      </c>
      <c r="AG596" s="473">
        <v>1600</v>
      </c>
      <c r="AH596" s="473">
        <v>200</v>
      </c>
      <c r="AI596" s="473">
        <v>1250</v>
      </c>
      <c r="AJ596" s="473">
        <v>2248</v>
      </c>
      <c r="AK596" s="473">
        <v>5398</v>
      </c>
      <c r="AL596" s="473">
        <v>4049</v>
      </c>
      <c r="AM596" s="473">
        <v>270</v>
      </c>
      <c r="AN596" s="473">
        <v>945</v>
      </c>
      <c r="AO596" s="473">
        <v>540</v>
      </c>
      <c r="AP596" s="473">
        <v>135</v>
      </c>
      <c r="AQ596" s="473">
        <v>1800</v>
      </c>
      <c r="AR596" s="473">
        <v>3759</v>
      </c>
      <c r="AS596" s="473">
        <v>0</v>
      </c>
      <c r="AT596" s="473">
        <v>400</v>
      </c>
      <c r="AU596" s="473">
        <v>1427</v>
      </c>
      <c r="AV596" s="473">
        <v>61810</v>
      </c>
      <c r="AW596" s="474">
        <v>60383</v>
      </c>
      <c r="AX596" s="473">
        <v>0</v>
      </c>
      <c r="AY596" s="473">
        <v>0</v>
      </c>
      <c r="AZ596" s="475">
        <v>0</v>
      </c>
      <c r="BA596" s="475">
        <v>200</v>
      </c>
      <c r="BB596" s="475">
        <v>1800</v>
      </c>
      <c r="BC596" s="475">
        <v>0</v>
      </c>
      <c r="BD596" s="475">
        <v>0</v>
      </c>
      <c r="BE596" s="475">
        <v>0</v>
      </c>
      <c r="BF596" s="475">
        <v>0</v>
      </c>
      <c r="BG596" s="475">
        <v>2000</v>
      </c>
      <c r="BH596" s="476">
        <v>59810</v>
      </c>
      <c r="BI596" s="467"/>
      <c r="BJ596" s="468"/>
    </row>
    <row r="597" spans="1:62">
      <c r="A597" s="469">
        <v>45901</v>
      </c>
      <c r="B597" s="469" t="s">
        <v>747</v>
      </c>
      <c r="C597" s="508" t="s">
        <v>748</v>
      </c>
      <c r="D597" s="470" t="s">
        <v>749</v>
      </c>
      <c r="E597" s="471">
        <v>247</v>
      </c>
      <c r="F597" s="470" t="s">
        <v>1215</v>
      </c>
      <c r="G597" s="470" t="s">
        <v>751</v>
      </c>
      <c r="H597" s="470" t="s">
        <v>12</v>
      </c>
      <c r="I597" s="470" t="s">
        <v>1216</v>
      </c>
      <c r="J597" s="472" t="s">
        <v>1217</v>
      </c>
      <c r="K597" s="470" t="s">
        <v>1218</v>
      </c>
      <c r="L597" s="470" t="s">
        <v>894</v>
      </c>
      <c r="M597" s="470" t="s">
        <v>1027</v>
      </c>
      <c r="N597" s="470" t="s">
        <v>756</v>
      </c>
      <c r="O597" s="472" t="s">
        <v>757</v>
      </c>
      <c r="P597" s="472" t="s">
        <v>738</v>
      </c>
      <c r="Q597" s="472" t="s">
        <v>758</v>
      </c>
      <c r="R597" s="472" t="s">
        <v>12</v>
      </c>
      <c r="S597" s="472" t="s">
        <v>12</v>
      </c>
      <c r="T597" s="472" t="s">
        <v>1219</v>
      </c>
      <c r="U597" s="470" t="s">
        <v>1220</v>
      </c>
      <c r="V597" s="470" t="s">
        <v>761</v>
      </c>
      <c r="W597" s="470" t="s">
        <v>960</v>
      </c>
      <c r="X597" s="470">
        <v>30</v>
      </c>
      <c r="Y597" s="470">
        <v>0</v>
      </c>
      <c r="Z597" s="470">
        <v>0</v>
      </c>
      <c r="AA597" s="470">
        <v>30</v>
      </c>
      <c r="AB597" s="470">
        <v>30</v>
      </c>
      <c r="AC597" s="473">
        <v>34308</v>
      </c>
      <c r="AD597" s="473">
        <v>34308</v>
      </c>
      <c r="AE597" s="473">
        <v>15439</v>
      </c>
      <c r="AF597" s="473">
        <v>6176</v>
      </c>
      <c r="AG597" s="473">
        <v>1600</v>
      </c>
      <c r="AH597" s="473">
        <v>200</v>
      </c>
      <c r="AI597" s="473">
        <v>1250</v>
      </c>
      <c r="AJ597" s="473">
        <v>0</v>
      </c>
      <c r="AK597" s="473">
        <v>0</v>
      </c>
      <c r="AL597" s="473">
        <v>0</v>
      </c>
      <c r="AM597" s="473">
        <v>0</v>
      </c>
      <c r="AN597" s="473">
        <v>0</v>
      </c>
      <c r="AO597" s="473">
        <v>0</v>
      </c>
      <c r="AP597" s="473">
        <v>0</v>
      </c>
      <c r="AQ597" s="473">
        <v>1800</v>
      </c>
      <c r="AR597" s="473">
        <v>7843</v>
      </c>
      <c r="AS597" s="473">
        <v>0</v>
      </c>
      <c r="AT597" s="473">
        <v>600</v>
      </c>
      <c r="AU597" s="473">
        <v>5418</v>
      </c>
      <c r="AV597" s="473">
        <v>40326</v>
      </c>
      <c r="AW597" s="474">
        <v>34908</v>
      </c>
      <c r="AX597" s="473">
        <v>0</v>
      </c>
      <c r="AY597" s="473">
        <v>0</v>
      </c>
      <c r="AZ597" s="475">
        <v>0</v>
      </c>
      <c r="BA597" s="475">
        <v>200</v>
      </c>
      <c r="BB597" s="475">
        <v>1800</v>
      </c>
      <c r="BC597" s="475">
        <v>0</v>
      </c>
      <c r="BD597" s="475">
        <v>0</v>
      </c>
      <c r="BE597" s="475">
        <v>0</v>
      </c>
      <c r="BF597" s="475">
        <v>0</v>
      </c>
      <c r="BG597" s="475">
        <v>2000</v>
      </c>
      <c r="BH597" s="476">
        <v>38326</v>
      </c>
      <c r="BI597" s="467"/>
      <c r="BJ597" s="468"/>
    </row>
    <row r="598" spans="1:62">
      <c r="A598" s="469">
        <v>45901</v>
      </c>
      <c r="B598" s="469" t="s">
        <v>747</v>
      </c>
      <c r="C598" s="508" t="s">
        <v>748</v>
      </c>
      <c r="D598" s="470" t="s">
        <v>749</v>
      </c>
      <c r="E598" s="471">
        <v>1237</v>
      </c>
      <c r="F598" s="470" t="s">
        <v>1221</v>
      </c>
      <c r="G598" s="470" t="s">
        <v>751</v>
      </c>
      <c r="H598" s="470" t="s">
        <v>12</v>
      </c>
      <c r="I598" s="470" t="s">
        <v>1222</v>
      </c>
      <c r="J598" s="472" t="s">
        <v>1223</v>
      </c>
      <c r="K598" s="470" t="s">
        <v>1224</v>
      </c>
      <c r="L598" s="470" t="s">
        <v>800</v>
      </c>
      <c r="M598" s="470" t="s">
        <v>801</v>
      </c>
      <c r="N598" s="470" t="s">
        <v>756</v>
      </c>
      <c r="O598" s="472" t="s">
        <v>757</v>
      </c>
      <c r="P598" s="472" t="s">
        <v>738</v>
      </c>
      <c r="Q598" s="472" t="s">
        <v>758</v>
      </c>
      <c r="R598" s="472" t="s">
        <v>12</v>
      </c>
      <c r="S598" s="472" t="s">
        <v>12</v>
      </c>
      <c r="T598" s="472" t="s">
        <v>1225</v>
      </c>
      <c r="U598" s="470" t="s">
        <v>1226</v>
      </c>
      <c r="V598" s="470" t="s">
        <v>761</v>
      </c>
      <c r="W598" s="470" t="s">
        <v>762</v>
      </c>
      <c r="X598" s="470">
        <v>30</v>
      </c>
      <c r="Y598" s="470">
        <v>0</v>
      </c>
      <c r="Z598" s="470">
        <v>2</v>
      </c>
      <c r="AA598" s="470">
        <v>28</v>
      </c>
      <c r="AB598" s="470">
        <v>28</v>
      </c>
      <c r="AC598" s="473">
        <v>31644</v>
      </c>
      <c r="AD598" s="473">
        <v>31644</v>
      </c>
      <c r="AE598" s="473">
        <v>13290</v>
      </c>
      <c r="AF598" s="473">
        <v>5316</v>
      </c>
      <c r="AG598" s="473">
        <v>1493</v>
      </c>
      <c r="AH598" s="473">
        <v>187</v>
      </c>
      <c r="AI598" s="473">
        <v>1167</v>
      </c>
      <c r="AJ598" s="473">
        <v>0</v>
      </c>
      <c r="AK598" s="473">
        <v>0</v>
      </c>
      <c r="AL598" s="473">
        <v>0</v>
      </c>
      <c r="AM598" s="473">
        <v>0</v>
      </c>
      <c r="AN598" s="473">
        <v>0</v>
      </c>
      <c r="AO598" s="473">
        <v>0</v>
      </c>
      <c r="AP598" s="473">
        <v>0</v>
      </c>
      <c r="AQ598" s="473">
        <v>1595</v>
      </c>
      <c r="AR598" s="473">
        <v>6486</v>
      </c>
      <c r="AS598" s="473">
        <v>0</v>
      </c>
      <c r="AT598" s="473">
        <v>800</v>
      </c>
      <c r="AU598" s="473">
        <v>0</v>
      </c>
      <c r="AV598" s="473">
        <v>30334</v>
      </c>
      <c r="AW598" s="474">
        <v>30334</v>
      </c>
      <c r="AX598" s="473">
        <v>0</v>
      </c>
      <c r="AY598" s="473">
        <v>0</v>
      </c>
      <c r="AZ598" s="475">
        <v>0</v>
      </c>
      <c r="BA598" s="475">
        <v>200</v>
      </c>
      <c r="BB598" s="475">
        <v>1595</v>
      </c>
      <c r="BC598" s="475">
        <v>0</v>
      </c>
      <c r="BD598" s="475">
        <v>0</v>
      </c>
      <c r="BE598" s="475">
        <v>0</v>
      </c>
      <c r="BF598" s="475">
        <v>0</v>
      </c>
      <c r="BG598" s="475">
        <v>1795</v>
      </c>
      <c r="BH598" s="476">
        <v>28539</v>
      </c>
      <c r="BI598" s="467"/>
      <c r="BJ598" s="468"/>
    </row>
    <row r="599" spans="1:62">
      <c r="A599" s="469">
        <v>45901</v>
      </c>
      <c r="B599" s="469" t="s">
        <v>747</v>
      </c>
      <c r="C599" s="508" t="s">
        <v>748</v>
      </c>
      <c r="D599" s="470" t="s">
        <v>749</v>
      </c>
      <c r="E599" s="471">
        <v>1941</v>
      </c>
      <c r="F599" s="470" t="s">
        <v>1227</v>
      </c>
      <c r="G599" s="470" t="s">
        <v>751</v>
      </c>
      <c r="H599" s="470" t="s">
        <v>12</v>
      </c>
      <c r="I599" s="470" t="s">
        <v>1228</v>
      </c>
      <c r="J599" s="472" t="s">
        <v>1229</v>
      </c>
      <c r="K599" s="470" t="s">
        <v>1230</v>
      </c>
      <c r="L599" s="470" t="s">
        <v>1165</v>
      </c>
      <c r="M599" s="470" t="s">
        <v>1165</v>
      </c>
      <c r="N599" s="470" t="s">
        <v>756</v>
      </c>
      <c r="O599" s="472" t="s">
        <v>757</v>
      </c>
      <c r="P599" s="472" t="s">
        <v>738</v>
      </c>
      <c r="Q599" s="472" t="s">
        <v>758</v>
      </c>
      <c r="R599" s="472" t="s">
        <v>12</v>
      </c>
      <c r="S599" s="472" t="s">
        <v>12</v>
      </c>
      <c r="T599" s="472" t="s">
        <v>1231</v>
      </c>
      <c r="U599" s="470" t="s">
        <v>1232</v>
      </c>
      <c r="V599" s="470" t="s">
        <v>761</v>
      </c>
      <c r="W599" s="470" t="s">
        <v>907</v>
      </c>
      <c r="X599" s="470">
        <v>30</v>
      </c>
      <c r="Y599" s="470">
        <v>0</v>
      </c>
      <c r="Z599" s="470">
        <v>0</v>
      </c>
      <c r="AA599" s="470">
        <v>30</v>
      </c>
      <c r="AB599" s="470">
        <v>30</v>
      </c>
      <c r="AC599" s="473">
        <v>43800</v>
      </c>
      <c r="AD599" s="473">
        <v>43800</v>
      </c>
      <c r="AE599" s="473">
        <v>19710</v>
      </c>
      <c r="AF599" s="473">
        <v>7884</v>
      </c>
      <c r="AG599" s="473">
        <v>1600</v>
      </c>
      <c r="AH599" s="473">
        <v>200</v>
      </c>
      <c r="AI599" s="473">
        <v>1250</v>
      </c>
      <c r="AJ599" s="473">
        <v>1642</v>
      </c>
      <c r="AK599" s="473">
        <v>3942</v>
      </c>
      <c r="AL599" s="473">
        <v>2957</v>
      </c>
      <c r="AM599" s="473">
        <v>197</v>
      </c>
      <c r="AN599" s="473">
        <v>690</v>
      </c>
      <c r="AO599" s="473">
        <v>394</v>
      </c>
      <c r="AP599" s="473">
        <v>99</v>
      </c>
      <c r="AQ599" s="473">
        <v>1800</v>
      </c>
      <c r="AR599" s="473">
        <v>1435</v>
      </c>
      <c r="AS599" s="473">
        <v>0</v>
      </c>
      <c r="AT599" s="473">
        <v>0</v>
      </c>
      <c r="AU599" s="473">
        <v>440</v>
      </c>
      <c r="AV599" s="473">
        <v>44240</v>
      </c>
      <c r="AW599" s="474">
        <v>43800</v>
      </c>
      <c r="AX599" s="473">
        <v>0</v>
      </c>
      <c r="AY599" s="473">
        <v>0</v>
      </c>
      <c r="AZ599" s="475">
        <v>0</v>
      </c>
      <c r="BA599" s="475">
        <v>200</v>
      </c>
      <c r="BB599" s="475">
        <v>1800</v>
      </c>
      <c r="BC599" s="475">
        <v>0</v>
      </c>
      <c r="BD599" s="475">
        <v>0</v>
      </c>
      <c r="BE599" s="475">
        <v>0</v>
      </c>
      <c r="BF599" s="475">
        <v>0</v>
      </c>
      <c r="BG599" s="475">
        <v>2000</v>
      </c>
      <c r="BH599" s="476">
        <v>42240</v>
      </c>
      <c r="BI599" s="467"/>
      <c r="BJ599" s="468"/>
    </row>
    <row r="600" spans="1:62">
      <c r="A600" s="469">
        <v>45901</v>
      </c>
      <c r="B600" s="469" t="s">
        <v>747</v>
      </c>
      <c r="C600" s="508" t="s">
        <v>748</v>
      </c>
      <c r="D600" s="470" t="s">
        <v>749</v>
      </c>
      <c r="E600" s="471">
        <v>1950</v>
      </c>
      <c r="F600" s="470" t="s">
        <v>1233</v>
      </c>
      <c r="G600" s="470" t="s">
        <v>751</v>
      </c>
      <c r="H600" s="470" t="s">
        <v>12</v>
      </c>
      <c r="I600" s="470" t="s">
        <v>1234</v>
      </c>
      <c r="J600" s="472" t="s">
        <v>1235</v>
      </c>
      <c r="K600" s="470" t="s">
        <v>1236</v>
      </c>
      <c r="L600" s="470" t="s">
        <v>800</v>
      </c>
      <c r="M600" s="470" t="s">
        <v>800</v>
      </c>
      <c r="N600" s="470" t="s">
        <v>756</v>
      </c>
      <c r="O600" s="472" t="s">
        <v>1043</v>
      </c>
      <c r="P600" s="472" t="s">
        <v>738</v>
      </c>
      <c r="Q600" s="472" t="s">
        <v>758</v>
      </c>
      <c r="R600" s="472" t="s">
        <v>12</v>
      </c>
      <c r="S600" s="472" t="s">
        <v>12</v>
      </c>
      <c r="T600" s="472" t="s">
        <v>1237</v>
      </c>
      <c r="U600" s="470" t="s">
        <v>1238</v>
      </c>
      <c r="V600" s="470" t="s">
        <v>836</v>
      </c>
      <c r="W600" s="470" t="s">
        <v>1239</v>
      </c>
      <c r="X600" s="470">
        <v>30</v>
      </c>
      <c r="Y600" s="470">
        <v>0</v>
      </c>
      <c r="Z600" s="470">
        <v>0</v>
      </c>
      <c r="AA600" s="470">
        <v>30</v>
      </c>
      <c r="AB600" s="470">
        <v>30</v>
      </c>
      <c r="AC600" s="473">
        <v>35283</v>
      </c>
      <c r="AD600" s="473">
        <v>35283</v>
      </c>
      <c r="AE600" s="473">
        <v>15877</v>
      </c>
      <c r="AF600" s="473">
        <v>6351</v>
      </c>
      <c r="AG600" s="473">
        <v>1600</v>
      </c>
      <c r="AH600" s="473">
        <v>200</v>
      </c>
      <c r="AI600" s="473">
        <v>1250</v>
      </c>
      <c r="AJ600" s="473">
        <v>0</v>
      </c>
      <c r="AK600" s="473">
        <v>0</v>
      </c>
      <c r="AL600" s="473">
        <v>0</v>
      </c>
      <c r="AM600" s="473">
        <v>0</v>
      </c>
      <c r="AN600" s="473">
        <v>0</v>
      </c>
      <c r="AO600" s="473">
        <v>0</v>
      </c>
      <c r="AP600" s="473">
        <v>0</v>
      </c>
      <c r="AQ600" s="473">
        <v>1800</v>
      </c>
      <c r="AR600" s="473">
        <v>8205</v>
      </c>
      <c r="AS600" s="473">
        <v>0</v>
      </c>
      <c r="AT600" s="473">
        <v>0</v>
      </c>
      <c r="AU600" s="473">
        <v>0</v>
      </c>
      <c r="AV600" s="473">
        <v>35283</v>
      </c>
      <c r="AW600" s="474">
        <v>35283</v>
      </c>
      <c r="AX600" s="473">
        <v>0</v>
      </c>
      <c r="AY600" s="473">
        <v>0</v>
      </c>
      <c r="AZ600" s="475">
        <v>0</v>
      </c>
      <c r="BA600" s="475">
        <v>200</v>
      </c>
      <c r="BB600" s="475">
        <v>1800</v>
      </c>
      <c r="BC600" s="475">
        <v>0</v>
      </c>
      <c r="BD600" s="475">
        <v>0</v>
      </c>
      <c r="BE600" s="475">
        <v>0</v>
      </c>
      <c r="BF600" s="475">
        <v>0</v>
      </c>
      <c r="BG600" s="475">
        <v>2000</v>
      </c>
      <c r="BH600" s="476">
        <v>33283</v>
      </c>
      <c r="BI600" s="467"/>
      <c r="BJ600" s="468"/>
    </row>
    <row r="601" spans="1:62">
      <c r="A601" s="469">
        <v>45901</v>
      </c>
      <c r="B601" s="469" t="s">
        <v>747</v>
      </c>
      <c r="C601" s="508" t="s">
        <v>748</v>
      </c>
      <c r="D601" s="470" t="s">
        <v>749</v>
      </c>
      <c r="E601" s="471">
        <v>1370</v>
      </c>
      <c r="F601" s="470" t="s">
        <v>1240</v>
      </c>
      <c r="G601" s="470" t="s">
        <v>751</v>
      </c>
      <c r="H601" s="470" t="s">
        <v>12</v>
      </c>
      <c r="I601" s="470" t="s">
        <v>1241</v>
      </c>
      <c r="J601" s="472" t="s">
        <v>1242</v>
      </c>
      <c r="K601" s="470" t="s">
        <v>1243</v>
      </c>
      <c r="L601" s="470" t="s">
        <v>979</v>
      </c>
      <c r="M601" s="470" t="s">
        <v>979</v>
      </c>
      <c r="N601" s="470" t="s">
        <v>833</v>
      </c>
      <c r="O601" s="472" t="s">
        <v>757</v>
      </c>
      <c r="P601" s="472" t="s">
        <v>738</v>
      </c>
      <c r="Q601" s="472" t="s">
        <v>758</v>
      </c>
      <c r="R601" s="472" t="s">
        <v>12</v>
      </c>
      <c r="S601" s="472" t="s">
        <v>12</v>
      </c>
      <c r="T601" s="472" t="s">
        <v>1245</v>
      </c>
      <c r="U601" s="470" t="s">
        <v>1246</v>
      </c>
      <c r="V601" s="470" t="s">
        <v>761</v>
      </c>
      <c r="W601" s="470" t="s">
        <v>762</v>
      </c>
      <c r="X601" s="470">
        <v>30</v>
      </c>
      <c r="Y601" s="470">
        <v>0</v>
      </c>
      <c r="Z601" s="470">
        <v>0</v>
      </c>
      <c r="AA601" s="470">
        <v>30</v>
      </c>
      <c r="AB601" s="470">
        <v>30</v>
      </c>
      <c r="AC601" s="473">
        <v>33000</v>
      </c>
      <c r="AD601" s="473">
        <v>33000</v>
      </c>
      <c r="AE601" s="473">
        <v>14850</v>
      </c>
      <c r="AF601" s="473">
        <v>5940</v>
      </c>
      <c r="AG601" s="473">
        <v>1600</v>
      </c>
      <c r="AH601" s="473">
        <v>200</v>
      </c>
      <c r="AI601" s="473">
        <v>1250</v>
      </c>
      <c r="AJ601" s="473">
        <v>0</v>
      </c>
      <c r="AK601" s="473">
        <v>0</v>
      </c>
      <c r="AL601" s="473">
        <v>0</v>
      </c>
      <c r="AM601" s="473">
        <v>0</v>
      </c>
      <c r="AN601" s="473">
        <v>0</v>
      </c>
      <c r="AO601" s="473">
        <v>0</v>
      </c>
      <c r="AP601" s="473">
        <v>0</v>
      </c>
      <c r="AQ601" s="473">
        <v>1782</v>
      </c>
      <c r="AR601" s="473">
        <v>7378</v>
      </c>
      <c r="AS601" s="473">
        <v>0</v>
      </c>
      <c r="AT601" s="473">
        <v>0</v>
      </c>
      <c r="AU601" s="473">
        <v>0</v>
      </c>
      <c r="AV601" s="473">
        <v>33000</v>
      </c>
      <c r="AW601" s="474">
        <v>33000</v>
      </c>
      <c r="AX601" s="473">
        <v>0</v>
      </c>
      <c r="AY601" s="473">
        <v>0</v>
      </c>
      <c r="AZ601" s="475">
        <v>0</v>
      </c>
      <c r="BA601" s="475">
        <v>200</v>
      </c>
      <c r="BB601" s="475">
        <v>1782</v>
      </c>
      <c r="BC601" s="475">
        <v>0</v>
      </c>
      <c r="BD601" s="475">
        <v>0</v>
      </c>
      <c r="BE601" s="475">
        <v>0</v>
      </c>
      <c r="BF601" s="475">
        <v>6250</v>
      </c>
      <c r="BG601" s="475">
        <v>8232</v>
      </c>
      <c r="BH601" s="476">
        <v>24768</v>
      </c>
      <c r="BI601" s="467"/>
      <c r="BJ601" s="468"/>
    </row>
    <row r="602" spans="1:62">
      <c r="A602" s="469">
        <v>45901</v>
      </c>
      <c r="B602" s="469" t="s">
        <v>747</v>
      </c>
      <c r="C602" s="508" t="s">
        <v>748</v>
      </c>
      <c r="D602" s="470" t="s">
        <v>749</v>
      </c>
      <c r="E602" s="471">
        <v>2049</v>
      </c>
      <c r="F602" s="470" t="s">
        <v>1247</v>
      </c>
      <c r="G602" s="470" t="s">
        <v>751</v>
      </c>
      <c r="H602" s="470" t="s">
        <v>12</v>
      </c>
      <c r="I602" s="470" t="s">
        <v>1248</v>
      </c>
      <c r="J602" s="472" t="s">
        <v>1249</v>
      </c>
      <c r="K602" s="470" t="s">
        <v>1250</v>
      </c>
      <c r="L602" s="470" t="s">
        <v>824</v>
      </c>
      <c r="M602" s="470" t="s">
        <v>824</v>
      </c>
      <c r="N602" s="470" t="s">
        <v>756</v>
      </c>
      <c r="O602" s="472" t="s">
        <v>1276</v>
      </c>
      <c r="P602" s="472" t="s">
        <v>738</v>
      </c>
      <c r="Q602" s="472" t="s">
        <v>758</v>
      </c>
      <c r="R602" s="472" t="s">
        <v>12</v>
      </c>
      <c r="S602" s="472" t="s">
        <v>12</v>
      </c>
      <c r="T602" s="472" t="s">
        <v>1251</v>
      </c>
      <c r="U602" s="470" t="s">
        <v>1252</v>
      </c>
      <c r="V602" s="470" t="s">
        <v>761</v>
      </c>
      <c r="W602" s="470" t="s">
        <v>859</v>
      </c>
      <c r="X602" s="470">
        <v>30</v>
      </c>
      <c r="Y602" s="470">
        <v>0</v>
      </c>
      <c r="Z602" s="470">
        <v>0</v>
      </c>
      <c r="AA602" s="470">
        <v>30</v>
      </c>
      <c r="AB602" s="470">
        <v>30</v>
      </c>
      <c r="AC602" s="473">
        <v>27713</v>
      </c>
      <c r="AD602" s="473">
        <v>27713</v>
      </c>
      <c r="AE602" s="473">
        <v>12471</v>
      </c>
      <c r="AF602" s="473">
        <v>4988</v>
      </c>
      <c r="AG602" s="473">
        <v>1600</v>
      </c>
      <c r="AH602" s="473">
        <v>200</v>
      </c>
      <c r="AI602" s="473">
        <v>1250</v>
      </c>
      <c r="AJ602" s="473">
        <v>0</v>
      </c>
      <c r="AK602" s="473">
        <v>0</v>
      </c>
      <c r="AL602" s="473">
        <v>0</v>
      </c>
      <c r="AM602" s="473">
        <v>0</v>
      </c>
      <c r="AN602" s="473">
        <v>0</v>
      </c>
      <c r="AO602" s="473">
        <v>0</v>
      </c>
      <c r="AP602" s="473">
        <v>0</v>
      </c>
      <c r="AQ602" s="473">
        <v>1497</v>
      </c>
      <c r="AR602" s="473">
        <v>5707</v>
      </c>
      <c r="AS602" s="473">
        <v>0</v>
      </c>
      <c r="AT602" s="473">
        <v>0</v>
      </c>
      <c r="AU602" s="473">
        <v>973</v>
      </c>
      <c r="AV602" s="473">
        <v>28686</v>
      </c>
      <c r="AW602" s="474">
        <v>27713</v>
      </c>
      <c r="AX602" s="473">
        <v>0</v>
      </c>
      <c r="AY602" s="473">
        <v>160</v>
      </c>
      <c r="AZ602" s="475">
        <v>0</v>
      </c>
      <c r="BA602" s="475">
        <v>200</v>
      </c>
      <c r="BB602" s="475">
        <v>1497</v>
      </c>
      <c r="BC602" s="475">
        <v>0</v>
      </c>
      <c r="BD602" s="475">
        <v>0</v>
      </c>
      <c r="BE602" s="475">
        <v>0</v>
      </c>
      <c r="BF602" s="475">
        <v>0</v>
      </c>
      <c r="BG602" s="475">
        <v>1857</v>
      </c>
      <c r="BH602" s="476">
        <v>26829</v>
      </c>
      <c r="BI602" s="467"/>
      <c r="BJ602" s="468"/>
    </row>
    <row r="603" spans="1:62">
      <c r="A603" s="469">
        <v>45901</v>
      </c>
      <c r="B603" s="469" t="s">
        <v>747</v>
      </c>
      <c r="C603" s="508" t="s">
        <v>748</v>
      </c>
      <c r="D603" s="470" t="s">
        <v>749</v>
      </c>
      <c r="E603" s="471">
        <v>1121</v>
      </c>
      <c r="F603" s="470" t="s">
        <v>1253</v>
      </c>
      <c r="G603" s="470" t="s">
        <v>751</v>
      </c>
      <c r="H603" s="470" t="s">
        <v>12</v>
      </c>
      <c r="I603" s="470" t="s">
        <v>1254</v>
      </c>
      <c r="J603" s="472" t="s">
        <v>1255</v>
      </c>
      <c r="K603" s="470" t="s">
        <v>1256</v>
      </c>
      <c r="L603" s="470" t="s">
        <v>1291</v>
      </c>
      <c r="M603" s="470" t="s">
        <v>1291</v>
      </c>
      <c r="N603" s="470" t="s">
        <v>1275</v>
      </c>
      <c r="O603" s="472" t="s">
        <v>792</v>
      </c>
      <c r="P603" s="472" t="s">
        <v>738</v>
      </c>
      <c r="Q603" s="472" t="s">
        <v>758</v>
      </c>
      <c r="R603" s="472" t="s">
        <v>12</v>
      </c>
      <c r="S603" s="472" t="s">
        <v>12</v>
      </c>
      <c r="T603" s="472" t="s">
        <v>1257</v>
      </c>
      <c r="U603" s="470" t="s">
        <v>1258</v>
      </c>
      <c r="V603" s="470" t="s">
        <v>761</v>
      </c>
      <c r="W603" s="470" t="s">
        <v>1259</v>
      </c>
      <c r="X603" s="470">
        <v>30</v>
      </c>
      <c r="Y603" s="470">
        <v>0</v>
      </c>
      <c r="Z603" s="470">
        <v>0</v>
      </c>
      <c r="AA603" s="470">
        <v>30</v>
      </c>
      <c r="AB603" s="470">
        <v>30</v>
      </c>
      <c r="AC603" s="473">
        <v>206500</v>
      </c>
      <c r="AD603" s="473">
        <v>206500</v>
      </c>
      <c r="AE603" s="473">
        <v>92925</v>
      </c>
      <c r="AF603" s="473">
        <v>37170</v>
      </c>
      <c r="AG603" s="473">
        <v>1600</v>
      </c>
      <c r="AH603" s="473">
        <v>200</v>
      </c>
      <c r="AI603" s="473">
        <v>1250</v>
      </c>
      <c r="AJ603" s="473">
        <v>7741</v>
      </c>
      <c r="AK603" s="473">
        <v>18585</v>
      </c>
      <c r="AL603" s="473">
        <v>13939</v>
      </c>
      <c r="AM603" s="473">
        <v>929</v>
      </c>
      <c r="AN603" s="473">
        <v>3252</v>
      </c>
      <c r="AO603" s="473">
        <v>1859</v>
      </c>
      <c r="AP603" s="473">
        <v>465</v>
      </c>
      <c r="AQ603" s="473">
        <v>1800</v>
      </c>
      <c r="AR603" s="473">
        <v>24785</v>
      </c>
      <c r="AS603" s="473">
        <v>0</v>
      </c>
      <c r="AT603" s="473">
        <v>0</v>
      </c>
      <c r="AU603" s="473">
        <v>18599</v>
      </c>
      <c r="AV603" s="473">
        <v>225099</v>
      </c>
      <c r="AW603" s="474">
        <v>206500</v>
      </c>
      <c r="AX603" s="473">
        <v>0</v>
      </c>
      <c r="AY603" s="473">
        <v>0</v>
      </c>
      <c r="AZ603" s="475">
        <v>40641</v>
      </c>
      <c r="BA603" s="475">
        <v>200</v>
      </c>
      <c r="BB603" s="475">
        <v>1800</v>
      </c>
      <c r="BC603" s="475">
        <v>0</v>
      </c>
      <c r="BD603" s="475">
        <v>0</v>
      </c>
      <c r="BE603" s="475">
        <v>0</v>
      </c>
      <c r="BF603" s="475">
        <v>0</v>
      </c>
      <c r="BG603" s="475">
        <v>42641</v>
      </c>
      <c r="BH603" s="476">
        <v>182458</v>
      </c>
      <c r="BI603" s="467"/>
      <c r="BJ603" s="468"/>
    </row>
    <row r="604" spans="1:62">
      <c r="A604" s="469">
        <v>45901</v>
      </c>
      <c r="B604" s="469" t="s">
        <v>747</v>
      </c>
      <c r="C604" s="508" t="s">
        <v>748</v>
      </c>
      <c r="D604" s="470" t="s">
        <v>749</v>
      </c>
      <c r="E604" s="471">
        <v>1496</v>
      </c>
      <c r="F604" s="470" t="s">
        <v>1260</v>
      </c>
      <c r="G604" s="470" t="s">
        <v>751</v>
      </c>
      <c r="H604" s="470" t="s">
        <v>12</v>
      </c>
      <c r="I604" s="470" t="s">
        <v>1261</v>
      </c>
      <c r="J604" s="472" t="s">
        <v>1262</v>
      </c>
      <c r="K604" s="470" t="s">
        <v>1263</v>
      </c>
      <c r="L604" s="470" t="s">
        <v>856</v>
      </c>
      <c r="M604" s="470" t="s">
        <v>856</v>
      </c>
      <c r="N604" s="470" t="s">
        <v>756</v>
      </c>
      <c r="O604" s="472" t="s">
        <v>757</v>
      </c>
      <c r="P604" s="472" t="s">
        <v>738</v>
      </c>
      <c r="Q604" s="472" t="s">
        <v>758</v>
      </c>
      <c r="R604" s="472" t="s">
        <v>12</v>
      </c>
      <c r="S604" s="472" t="s">
        <v>12</v>
      </c>
      <c r="T604" s="472" t="s">
        <v>1264</v>
      </c>
      <c r="U604" s="470" t="s">
        <v>1265</v>
      </c>
      <c r="V604" s="470" t="s">
        <v>761</v>
      </c>
      <c r="W604" s="470" t="s">
        <v>876</v>
      </c>
      <c r="X604" s="470">
        <v>30</v>
      </c>
      <c r="Y604" s="470">
        <v>0</v>
      </c>
      <c r="Z604" s="470">
        <v>0</v>
      </c>
      <c r="AA604" s="470">
        <v>30</v>
      </c>
      <c r="AB604" s="470">
        <v>30</v>
      </c>
      <c r="AC604" s="473">
        <v>55383</v>
      </c>
      <c r="AD604" s="473">
        <v>55383</v>
      </c>
      <c r="AE604" s="473">
        <v>24922</v>
      </c>
      <c r="AF604" s="473">
        <v>9969</v>
      </c>
      <c r="AG604" s="473">
        <v>1600</v>
      </c>
      <c r="AH604" s="473">
        <v>200</v>
      </c>
      <c r="AI604" s="473">
        <v>1250</v>
      </c>
      <c r="AJ604" s="473">
        <v>2076</v>
      </c>
      <c r="AK604" s="473">
        <v>4984</v>
      </c>
      <c r="AL604" s="473">
        <v>3738</v>
      </c>
      <c r="AM604" s="473">
        <v>249</v>
      </c>
      <c r="AN604" s="473">
        <v>872</v>
      </c>
      <c r="AO604" s="473">
        <v>498</v>
      </c>
      <c r="AP604" s="473">
        <v>125</v>
      </c>
      <c r="AQ604" s="473">
        <v>1800</v>
      </c>
      <c r="AR604" s="473">
        <v>3100</v>
      </c>
      <c r="AS604" s="473">
        <v>0</v>
      </c>
      <c r="AT604" s="473">
        <v>0</v>
      </c>
      <c r="AU604" s="473">
        <v>0</v>
      </c>
      <c r="AV604" s="473">
        <v>55383</v>
      </c>
      <c r="AW604" s="474">
        <v>55383</v>
      </c>
      <c r="AX604" s="473">
        <v>0</v>
      </c>
      <c r="AY604" s="473">
        <v>0</v>
      </c>
      <c r="AZ604" s="475">
        <v>0</v>
      </c>
      <c r="BA604" s="475">
        <v>200</v>
      </c>
      <c r="BB604" s="475">
        <v>1800</v>
      </c>
      <c r="BC604" s="475">
        <v>0</v>
      </c>
      <c r="BD604" s="475">
        <v>0</v>
      </c>
      <c r="BE604" s="475">
        <v>0</v>
      </c>
      <c r="BF604" s="475">
        <v>0</v>
      </c>
      <c r="BG604" s="475">
        <v>2000</v>
      </c>
      <c r="BH604" s="476">
        <v>53383</v>
      </c>
      <c r="BI604" s="467"/>
      <c r="BJ604" s="468"/>
    </row>
    <row r="605" spans="1:62">
      <c r="A605" s="469">
        <v>45931</v>
      </c>
      <c r="B605" s="469" t="s">
        <v>747</v>
      </c>
      <c r="C605" s="508" t="s">
        <v>748</v>
      </c>
      <c r="D605" s="470" t="s">
        <v>749</v>
      </c>
      <c r="E605" s="471">
        <v>1488</v>
      </c>
      <c r="F605" s="470" t="s">
        <v>750</v>
      </c>
      <c r="G605" s="470" t="s">
        <v>751</v>
      </c>
      <c r="H605" s="470" t="s">
        <v>12</v>
      </c>
      <c r="I605" s="470" t="s">
        <v>752</v>
      </c>
      <c r="J605" s="472" t="s">
        <v>753</v>
      </c>
      <c r="K605" s="470" t="s">
        <v>754</v>
      </c>
      <c r="L605" s="470" t="s">
        <v>755</v>
      </c>
      <c r="M605" s="470" t="s">
        <v>755</v>
      </c>
      <c r="N605" s="470" t="s">
        <v>756</v>
      </c>
      <c r="O605" s="472" t="s">
        <v>757</v>
      </c>
      <c r="P605" s="472" t="s">
        <v>738</v>
      </c>
      <c r="Q605" s="472" t="s">
        <v>758</v>
      </c>
      <c r="R605" s="472" t="s">
        <v>12</v>
      </c>
      <c r="S605" s="472" t="s">
        <v>12</v>
      </c>
      <c r="T605" s="472" t="s">
        <v>759</v>
      </c>
      <c r="U605" s="470" t="s">
        <v>760</v>
      </c>
      <c r="V605" s="470" t="s">
        <v>761</v>
      </c>
      <c r="W605" s="470" t="s">
        <v>762</v>
      </c>
      <c r="X605" s="470">
        <v>31</v>
      </c>
      <c r="Y605" s="470">
        <v>0</v>
      </c>
      <c r="Z605" s="470">
        <v>0</v>
      </c>
      <c r="AA605" s="470">
        <v>31</v>
      </c>
      <c r="AB605" s="470">
        <v>31</v>
      </c>
      <c r="AC605" s="473">
        <v>42989</v>
      </c>
      <c r="AD605" s="473">
        <v>42989</v>
      </c>
      <c r="AE605" s="473">
        <v>19345</v>
      </c>
      <c r="AF605" s="473">
        <v>7738</v>
      </c>
      <c r="AG605" s="473">
        <v>1600</v>
      </c>
      <c r="AH605" s="473">
        <v>200</v>
      </c>
      <c r="AI605" s="473">
        <v>1250</v>
      </c>
      <c r="AJ605" s="473">
        <v>1611</v>
      </c>
      <c r="AK605" s="473">
        <v>3869</v>
      </c>
      <c r="AL605" s="473">
        <v>2902</v>
      </c>
      <c r="AM605" s="473">
        <v>193</v>
      </c>
      <c r="AN605" s="473">
        <v>677</v>
      </c>
      <c r="AO605" s="473">
        <v>387</v>
      </c>
      <c r="AP605" s="473">
        <v>97</v>
      </c>
      <c r="AQ605" s="473">
        <v>1800</v>
      </c>
      <c r="AR605" s="473">
        <v>1320</v>
      </c>
      <c r="AS605" s="473">
        <v>0</v>
      </c>
      <c r="AT605" s="473">
        <v>2800</v>
      </c>
      <c r="AU605" s="473">
        <v>567</v>
      </c>
      <c r="AV605" s="473">
        <v>46356</v>
      </c>
      <c r="AW605" s="474">
        <v>45789</v>
      </c>
      <c r="AX605" s="473">
        <v>0</v>
      </c>
      <c r="AY605" s="473">
        <v>0</v>
      </c>
      <c r="AZ605" s="475">
        <v>0</v>
      </c>
      <c r="BA605" s="475">
        <v>200</v>
      </c>
      <c r="BB605" s="475">
        <v>1800</v>
      </c>
      <c r="BC605" s="475">
        <v>0</v>
      </c>
      <c r="BD605" s="475">
        <v>0</v>
      </c>
      <c r="BE605" s="475">
        <v>0</v>
      </c>
      <c r="BF605" s="475">
        <v>0</v>
      </c>
      <c r="BG605" s="475">
        <v>2000</v>
      </c>
      <c r="BH605" s="476">
        <v>44356</v>
      </c>
      <c r="BI605" s="467"/>
      <c r="BJ605" s="468"/>
    </row>
    <row r="606" spans="1:62">
      <c r="A606" s="469">
        <v>45931</v>
      </c>
      <c r="B606" s="469" t="s">
        <v>747</v>
      </c>
      <c r="C606" s="508" t="s">
        <v>748</v>
      </c>
      <c r="D606" s="470" t="s">
        <v>749</v>
      </c>
      <c r="E606" s="471">
        <v>241</v>
      </c>
      <c r="F606" s="470" t="s">
        <v>763</v>
      </c>
      <c r="G606" s="470" t="s">
        <v>751</v>
      </c>
      <c r="H606" s="470" t="s">
        <v>12</v>
      </c>
      <c r="I606" s="470" t="s">
        <v>764</v>
      </c>
      <c r="J606" s="472" t="s">
        <v>765</v>
      </c>
      <c r="K606" s="470" t="s">
        <v>766</v>
      </c>
      <c r="L606" s="470" t="s">
        <v>767</v>
      </c>
      <c r="M606" s="470" t="s">
        <v>1266</v>
      </c>
      <c r="N606" s="470" t="s">
        <v>756</v>
      </c>
      <c r="O606" s="472" t="s">
        <v>792</v>
      </c>
      <c r="P606" s="472" t="s">
        <v>738</v>
      </c>
      <c r="Q606" s="472" t="s">
        <v>758</v>
      </c>
      <c r="R606" s="472" t="s">
        <v>12</v>
      </c>
      <c r="S606" s="472" t="s">
        <v>12</v>
      </c>
      <c r="T606" s="472" t="s">
        <v>769</v>
      </c>
      <c r="U606" s="470" t="s">
        <v>770</v>
      </c>
      <c r="V606" s="470" t="s">
        <v>761</v>
      </c>
      <c r="W606" s="470" t="s">
        <v>771</v>
      </c>
      <c r="X606" s="470">
        <v>31</v>
      </c>
      <c r="Y606" s="470">
        <v>0</v>
      </c>
      <c r="Z606" s="470">
        <v>8</v>
      </c>
      <c r="AA606" s="470">
        <v>23</v>
      </c>
      <c r="AB606" s="470">
        <v>23</v>
      </c>
      <c r="AC606" s="473">
        <v>66833</v>
      </c>
      <c r="AD606" s="473">
        <v>66833</v>
      </c>
      <c r="AE606" s="473">
        <v>22314</v>
      </c>
      <c r="AF606" s="473">
        <v>8926</v>
      </c>
      <c r="AG606" s="473">
        <v>1187</v>
      </c>
      <c r="AH606" s="473">
        <v>148</v>
      </c>
      <c r="AI606" s="473">
        <v>927</v>
      </c>
      <c r="AJ606" s="473">
        <v>1859</v>
      </c>
      <c r="AK606" s="473">
        <v>4463</v>
      </c>
      <c r="AL606" s="473">
        <v>3347</v>
      </c>
      <c r="AM606" s="473">
        <v>223</v>
      </c>
      <c r="AN606" s="473">
        <v>781</v>
      </c>
      <c r="AO606" s="473">
        <v>446</v>
      </c>
      <c r="AP606" s="473">
        <v>112</v>
      </c>
      <c r="AQ606" s="473">
        <v>1800</v>
      </c>
      <c r="AR606" s="473">
        <v>3053</v>
      </c>
      <c r="AS606" s="473">
        <v>0</v>
      </c>
      <c r="AT606" s="473">
        <v>0</v>
      </c>
      <c r="AU606" s="473">
        <v>0</v>
      </c>
      <c r="AV606" s="473">
        <v>49586</v>
      </c>
      <c r="AW606" s="474">
        <v>49586</v>
      </c>
      <c r="AX606" s="473">
        <v>0</v>
      </c>
      <c r="AY606" s="473">
        <v>0</v>
      </c>
      <c r="AZ606" s="475">
        <v>0</v>
      </c>
      <c r="BA606" s="475">
        <v>200</v>
      </c>
      <c r="BB606" s="475">
        <v>1800</v>
      </c>
      <c r="BC606" s="475">
        <v>0</v>
      </c>
      <c r="BD606" s="475">
        <v>0</v>
      </c>
      <c r="BE606" s="475">
        <v>0</v>
      </c>
      <c r="BF606" s="475">
        <v>0</v>
      </c>
      <c r="BG606" s="475">
        <v>2000</v>
      </c>
      <c r="BH606" s="476">
        <v>47586</v>
      </c>
      <c r="BI606" s="467"/>
      <c r="BJ606" s="468"/>
    </row>
    <row r="607" spans="1:62">
      <c r="A607" s="469">
        <v>45931</v>
      </c>
      <c r="B607" s="469" t="s">
        <v>747</v>
      </c>
      <c r="C607" s="508" t="s">
        <v>748</v>
      </c>
      <c r="D607" s="470" t="s">
        <v>749</v>
      </c>
      <c r="E607" s="471">
        <v>2163</v>
      </c>
      <c r="F607" s="470" t="s">
        <v>1267</v>
      </c>
      <c r="G607" s="470" t="s">
        <v>751</v>
      </c>
      <c r="H607" s="470" t="s">
        <v>12</v>
      </c>
      <c r="I607" s="470" t="s">
        <v>1268</v>
      </c>
      <c r="J607" s="472" t="s">
        <v>1269</v>
      </c>
      <c r="K607" s="470" t="s">
        <v>1270</v>
      </c>
      <c r="L607" s="470" t="s">
        <v>1271</v>
      </c>
      <c r="M607" s="470" t="s">
        <v>942</v>
      </c>
      <c r="N607" s="470" t="s">
        <v>756</v>
      </c>
      <c r="O607" s="472" t="s">
        <v>1272</v>
      </c>
      <c r="P607" s="472" t="s">
        <v>738</v>
      </c>
      <c r="Q607" s="472" t="s">
        <v>758</v>
      </c>
      <c r="R607" s="472" t="s">
        <v>12</v>
      </c>
      <c r="S607" s="472" t="s">
        <v>12</v>
      </c>
      <c r="T607" s="472" t="s">
        <v>1273</v>
      </c>
      <c r="U607" s="470" t="s">
        <v>1274</v>
      </c>
      <c r="V607" s="470" t="s">
        <v>761</v>
      </c>
      <c r="W607" s="470" t="s">
        <v>1111</v>
      </c>
      <c r="X607" s="470">
        <v>31</v>
      </c>
      <c r="Y607" s="470">
        <v>0</v>
      </c>
      <c r="Z607" s="470">
        <v>2</v>
      </c>
      <c r="AA607" s="470">
        <v>29</v>
      </c>
      <c r="AB607" s="470">
        <v>29</v>
      </c>
      <c r="AC607" s="473">
        <v>235700</v>
      </c>
      <c r="AD607" s="473">
        <v>235700</v>
      </c>
      <c r="AE607" s="473">
        <v>99222</v>
      </c>
      <c r="AF607" s="473">
        <v>39689</v>
      </c>
      <c r="AG607" s="473">
        <v>1497</v>
      </c>
      <c r="AH607" s="473">
        <v>187</v>
      </c>
      <c r="AI607" s="473">
        <v>1169</v>
      </c>
      <c r="AJ607" s="473">
        <v>8265</v>
      </c>
      <c r="AK607" s="473">
        <v>19844</v>
      </c>
      <c r="AL607" s="473">
        <v>14883</v>
      </c>
      <c r="AM607" s="473">
        <v>992</v>
      </c>
      <c r="AN607" s="473">
        <v>3473</v>
      </c>
      <c r="AO607" s="473">
        <v>1984</v>
      </c>
      <c r="AP607" s="473">
        <v>496</v>
      </c>
      <c r="AQ607" s="473">
        <v>1800</v>
      </c>
      <c r="AR607" s="473">
        <v>26993</v>
      </c>
      <c r="AS607" s="473">
        <v>0</v>
      </c>
      <c r="AT607" s="473">
        <v>0</v>
      </c>
      <c r="AU607" s="473">
        <v>815</v>
      </c>
      <c r="AV607" s="473">
        <v>221309</v>
      </c>
      <c r="AW607" s="474">
        <v>220494</v>
      </c>
      <c r="AX607" s="473">
        <v>0</v>
      </c>
      <c r="AY607" s="473">
        <v>3898</v>
      </c>
      <c r="AZ607" s="475">
        <v>21608</v>
      </c>
      <c r="BA607" s="475">
        <v>200</v>
      </c>
      <c r="BB607" s="475">
        <v>1800</v>
      </c>
      <c r="BC607" s="475">
        <v>0</v>
      </c>
      <c r="BD607" s="475">
        <v>0</v>
      </c>
      <c r="BE607" s="475">
        <v>0</v>
      </c>
      <c r="BF607" s="475">
        <v>0</v>
      </c>
      <c r="BG607" s="475">
        <v>27506</v>
      </c>
      <c r="BH607" s="476">
        <v>193803</v>
      </c>
      <c r="BI607" s="467"/>
      <c r="BJ607" s="468"/>
    </row>
    <row r="608" spans="1:62">
      <c r="A608" s="469">
        <v>45931</v>
      </c>
      <c r="B608" s="469" t="s">
        <v>747</v>
      </c>
      <c r="C608" s="508" t="s">
        <v>748</v>
      </c>
      <c r="D608" s="470" t="s">
        <v>749</v>
      </c>
      <c r="E608" s="471">
        <v>2020</v>
      </c>
      <c r="F608" s="470" t="s">
        <v>772</v>
      </c>
      <c r="G608" s="470" t="s">
        <v>751</v>
      </c>
      <c r="H608" s="470" t="s">
        <v>12</v>
      </c>
      <c r="I608" s="470" t="s">
        <v>773</v>
      </c>
      <c r="J608" s="472" t="s">
        <v>774</v>
      </c>
      <c r="K608" s="470" t="s">
        <v>775</v>
      </c>
      <c r="L608" s="470" t="s">
        <v>776</v>
      </c>
      <c r="M608" s="470" t="s">
        <v>776</v>
      </c>
      <c r="N608" s="470" t="s">
        <v>777</v>
      </c>
      <c r="O608" s="472" t="s">
        <v>757</v>
      </c>
      <c r="P608" s="472" t="s">
        <v>738</v>
      </c>
      <c r="Q608" s="472" t="s">
        <v>758</v>
      </c>
      <c r="R608" s="472" t="s">
        <v>12</v>
      </c>
      <c r="S608" s="472" t="s">
        <v>12</v>
      </c>
      <c r="T608" s="472" t="s">
        <v>778</v>
      </c>
      <c r="U608" s="470" t="s">
        <v>779</v>
      </c>
      <c r="V608" s="470" t="s">
        <v>761</v>
      </c>
      <c r="W608" s="470" t="s">
        <v>762</v>
      </c>
      <c r="X608" s="470">
        <v>31</v>
      </c>
      <c r="Y608" s="470">
        <v>0</v>
      </c>
      <c r="Z608" s="470">
        <v>0</v>
      </c>
      <c r="AA608" s="470">
        <v>31</v>
      </c>
      <c r="AB608" s="470">
        <v>31</v>
      </c>
      <c r="AC608" s="473">
        <v>68450</v>
      </c>
      <c r="AD608" s="473">
        <v>68450</v>
      </c>
      <c r="AE608" s="473">
        <v>30803</v>
      </c>
      <c r="AF608" s="473">
        <v>12321</v>
      </c>
      <c r="AG608" s="473">
        <v>1600</v>
      </c>
      <c r="AH608" s="473">
        <v>200</v>
      </c>
      <c r="AI608" s="473">
        <v>1250</v>
      </c>
      <c r="AJ608" s="473">
        <v>2566</v>
      </c>
      <c r="AK608" s="473">
        <v>6161</v>
      </c>
      <c r="AL608" s="473">
        <v>4620</v>
      </c>
      <c r="AM608" s="473">
        <v>308</v>
      </c>
      <c r="AN608" s="473">
        <v>1078</v>
      </c>
      <c r="AO608" s="473">
        <v>616</v>
      </c>
      <c r="AP608" s="473">
        <v>154</v>
      </c>
      <c r="AQ608" s="473">
        <v>1800</v>
      </c>
      <c r="AR608" s="473">
        <v>4973</v>
      </c>
      <c r="AS608" s="473">
        <v>0</v>
      </c>
      <c r="AT608" s="473">
        <v>0</v>
      </c>
      <c r="AU608" s="473">
        <v>0</v>
      </c>
      <c r="AV608" s="473">
        <v>68450</v>
      </c>
      <c r="AW608" s="474">
        <v>68450</v>
      </c>
      <c r="AX608" s="473">
        <v>0</v>
      </c>
      <c r="AY608" s="473">
        <v>0</v>
      </c>
      <c r="AZ608" s="475">
        <v>0</v>
      </c>
      <c r="BA608" s="475">
        <v>200</v>
      </c>
      <c r="BB608" s="475">
        <v>1800</v>
      </c>
      <c r="BC608" s="475">
        <v>0</v>
      </c>
      <c r="BD608" s="475">
        <v>0</v>
      </c>
      <c r="BE608" s="475">
        <v>0</v>
      </c>
      <c r="BF608" s="475">
        <v>0</v>
      </c>
      <c r="BG608" s="475">
        <v>2000</v>
      </c>
      <c r="BH608" s="476">
        <v>66450</v>
      </c>
      <c r="BI608" s="467"/>
      <c r="BJ608" s="468"/>
    </row>
    <row r="609" spans="1:62">
      <c r="A609" s="469">
        <v>45931</v>
      </c>
      <c r="B609" s="469" t="s">
        <v>747</v>
      </c>
      <c r="C609" s="508" t="s">
        <v>748</v>
      </c>
      <c r="D609" s="470" t="s">
        <v>749</v>
      </c>
      <c r="E609" s="471">
        <v>1770</v>
      </c>
      <c r="F609" s="470" t="s">
        <v>780</v>
      </c>
      <c r="G609" s="470" t="s">
        <v>751</v>
      </c>
      <c r="H609" s="470" t="s">
        <v>12</v>
      </c>
      <c r="I609" s="470" t="s">
        <v>781</v>
      </c>
      <c r="J609" s="472" t="s">
        <v>782</v>
      </c>
      <c r="K609" s="470" t="s">
        <v>783</v>
      </c>
      <c r="L609" s="470" t="s">
        <v>1338</v>
      </c>
      <c r="M609" s="470" t="s">
        <v>1338</v>
      </c>
      <c r="N609" s="470" t="s">
        <v>1275</v>
      </c>
      <c r="O609" s="472" t="s">
        <v>757</v>
      </c>
      <c r="P609" s="472" t="s">
        <v>738</v>
      </c>
      <c r="Q609" s="472" t="s">
        <v>758</v>
      </c>
      <c r="R609" s="472" t="s">
        <v>12</v>
      </c>
      <c r="S609" s="472" t="s">
        <v>12</v>
      </c>
      <c r="T609" s="472" t="s">
        <v>784</v>
      </c>
      <c r="U609" s="470" t="s">
        <v>785</v>
      </c>
      <c r="V609" s="470" t="s">
        <v>761</v>
      </c>
      <c r="W609" s="470" t="s">
        <v>786</v>
      </c>
      <c r="X609" s="470">
        <v>31</v>
      </c>
      <c r="Y609" s="470">
        <v>0</v>
      </c>
      <c r="Z609" s="470">
        <v>0</v>
      </c>
      <c r="AA609" s="470">
        <v>18</v>
      </c>
      <c r="AB609" s="470">
        <v>18</v>
      </c>
      <c r="AC609" s="473">
        <v>109350</v>
      </c>
      <c r="AD609" s="473">
        <v>109350</v>
      </c>
      <c r="AE609" s="473">
        <v>28572</v>
      </c>
      <c r="AF609" s="473">
        <v>11429</v>
      </c>
      <c r="AG609" s="473">
        <v>929</v>
      </c>
      <c r="AH609" s="473">
        <v>200</v>
      </c>
      <c r="AI609" s="473">
        <v>726</v>
      </c>
      <c r="AJ609" s="473">
        <v>2380</v>
      </c>
      <c r="AK609" s="473">
        <v>5714</v>
      </c>
      <c r="AL609" s="473">
        <v>4286</v>
      </c>
      <c r="AM609" s="473">
        <v>286</v>
      </c>
      <c r="AN609" s="473">
        <v>1000</v>
      </c>
      <c r="AO609" s="473">
        <v>571</v>
      </c>
      <c r="AP609" s="473">
        <v>143</v>
      </c>
      <c r="AQ609" s="473">
        <v>1800</v>
      </c>
      <c r="AR609" s="473">
        <v>5458</v>
      </c>
      <c r="AS609" s="473">
        <v>0</v>
      </c>
      <c r="AT609" s="473">
        <v>0</v>
      </c>
      <c r="AU609" s="473">
        <v>0</v>
      </c>
      <c r="AV609" s="473">
        <v>63494</v>
      </c>
      <c r="AW609" s="474">
        <v>63494</v>
      </c>
      <c r="AX609" s="473">
        <v>0</v>
      </c>
      <c r="AY609" s="473">
        <v>0</v>
      </c>
      <c r="AZ609" s="475">
        <v>7548</v>
      </c>
      <c r="BA609" s="475">
        <v>200</v>
      </c>
      <c r="BB609" s="475">
        <v>1800</v>
      </c>
      <c r="BC609" s="475">
        <v>0</v>
      </c>
      <c r="BD609" s="475">
        <v>0</v>
      </c>
      <c r="BE609" s="475">
        <v>0</v>
      </c>
      <c r="BF609" s="475">
        <v>0</v>
      </c>
      <c r="BG609" s="475">
        <v>9548</v>
      </c>
      <c r="BH609" s="476">
        <v>53946</v>
      </c>
      <c r="BI609" s="467"/>
      <c r="BJ609" s="468"/>
    </row>
    <row r="610" spans="1:62">
      <c r="A610" s="469">
        <v>45931</v>
      </c>
      <c r="B610" s="469" t="s">
        <v>747</v>
      </c>
      <c r="C610" s="508" t="s">
        <v>748</v>
      </c>
      <c r="D610" s="470" t="s">
        <v>749</v>
      </c>
      <c r="E610" s="471">
        <v>2072</v>
      </c>
      <c r="F610" s="470" t="s">
        <v>787</v>
      </c>
      <c r="G610" s="470" t="s">
        <v>751</v>
      </c>
      <c r="H610" s="470" t="s">
        <v>12</v>
      </c>
      <c r="I610" s="470" t="s">
        <v>788</v>
      </c>
      <c r="J610" s="472" t="s">
        <v>789</v>
      </c>
      <c r="K610" s="470" t="s">
        <v>790</v>
      </c>
      <c r="L610" s="470" t="s">
        <v>791</v>
      </c>
      <c r="M610" s="470" t="s">
        <v>791</v>
      </c>
      <c r="N610" s="470" t="s">
        <v>756</v>
      </c>
      <c r="O610" s="472" t="s">
        <v>792</v>
      </c>
      <c r="P610" s="472" t="s">
        <v>738</v>
      </c>
      <c r="Q610" s="472" t="s">
        <v>758</v>
      </c>
      <c r="R610" s="472" t="s">
        <v>12</v>
      </c>
      <c r="S610" s="472" t="s">
        <v>12</v>
      </c>
      <c r="T610" s="472" t="s">
        <v>793</v>
      </c>
      <c r="U610" s="470" t="s">
        <v>794</v>
      </c>
      <c r="V610" s="470" t="s">
        <v>761</v>
      </c>
      <c r="W610" s="470" t="s">
        <v>795</v>
      </c>
      <c r="X610" s="470">
        <v>31</v>
      </c>
      <c r="Y610" s="470">
        <v>0</v>
      </c>
      <c r="Z610" s="470">
        <v>0</v>
      </c>
      <c r="AA610" s="470">
        <v>31</v>
      </c>
      <c r="AB610" s="470">
        <v>31</v>
      </c>
      <c r="AC610" s="473">
        <v>123200</v>
      </c>
      <c r="AD610" s="473">
        <v>123200</v>
      </c>
      <c r="AE610" s="473">
        <v>55440</v>
      </c>
      <c r="AF610" s="473">
        <v>22176</v>
      </c>
      <c r="AG610" s="473">
        <v>1600</v>
      </c>
      <c r="AH610" s="473">
        <v>200</v>
      </c>
      <c r="AI610" s="473">
        <v>1250</v>
      </c>
      <c r="AJ610" s="473">
        <v>4618</v>
      </c>
      <c r="AK610" s="473">
        <v>11088</v>
      </c>
      <c r="AL610" s="473">
        <v>8316</v>
      </c>
      <c r="AM610" s="473">
        <v>554</v>
      </c>
      <c r="AN610" s="473">
        <v>1940</v>
      </c>
      <c r="AO610" s="473">
        <v>1109</v>
      </c>
      <c r="AP610" s="473">
        <v>277</v>
      </c>
      <c r="AQ610" s="473">
        <v>1800</v>
      </c>
      <c r="AR610" s="473">
        <v>12832</v>
      </c>
      <c r="AS610" s="473">
        <v>0</v>
      </c>
      <c r="AT610" s="473">
        <v>0</v>
      </c>
      <c r="AU610" s="473">
        <v>621</v>
      </c>
      <c r="AV610" s="473">
        <v>123821</v>
      </c>
      <c r="AW610" s="474">
        <v>123200</v>
      </c>
      <c r="AX610" s="473">
        <v>0</v>
      </c>
      <c r="AY610" s="473">
        <v>0</v>
      </c>
      <c r="AZ610" s="475">
        <v>6767</v>
      </c>
      <c r="BA610" s="475">
        <v>200</v>
      </c>
      <c r="BB610" s="475">
        <v>1800</v>
      </c>
      <c r="BC610" s="475">
        <v>0</v>
      </c>
      <c r="BD610" s="475">
        <v>0</v>
      </c>
      <c r="BE610" s="475">
        <v>0</v>
      </c>
      <c r="BF610" s="475">
        <v>0</v>
      </c>
      <c r="BG610" s="475">
        <v>8767</v>
      </c>
      <c r="BH610" s="476">
        <v>115054</v>
      </c>
      <c r="BI610" s="467"/>
      <c r="BJ610" s="468"/>
    </row>
    <row r="611" spans="1:62">
      <c r="A611" s="469">
        <v>45931</v>
      </c>
      <c r="B611" s="469" t="s">
        <v>747</v>
      </c>
      <c r="C611" s="508" t="s">
        <v>748</v>
      </c>
      <c r="D611" s="470" t="s">
        <v>749</v>
      </c>
      <c r="E611" s="471">
        <v>1440</v>
      </c>
      <c r="F611" s="470" t="s">
        <v>796</v>
      </c>
      <c r="G611" s="470" t="s">
        <v>751</v>
      </c>
      <c r="H611" s="470" t="s">
        <v>12</v>
      </c>
      <c r="I611" s="470" t="s">
        <v>797</v>
      </c>
      <c r="J611" s="472" t="s">
        <v>798</v>
      </c>
      <c r="K611" s="470" t="s">
        <v>799</v>
      </c>
      <c r="L611" s="470" t="s">
        <v>800</v>
      </c>
      <c r="M611" s="470" t="s">
        <v>801</v>
      </c>
      <c r="N611" s="470" t="s">
        <v>756</v>
      </c>
      <c r="O611" s="472" t="s">
        <v>757</v>
      </c>
      <c r="P611" s="472" t="s">
        <v>738</v>
      </c>
      <c r="Q611" s="472" t="s">
        <v>758</v>
      </c>
      <c r="R611" s="472" t="s">
        <v>12</v>
      </c>
      <c r="S611" s="472" t="s">
        <v>12</v>
      </c>
      <c r="T611" s="472" t="s">
        <v>802</v>
      </c>
      <c r="U611" s="470" t="s">
        <v>803</v>
      </c>
      <c r="V611" s="470" t="s">
        <v>761</v>
      </c>
      <c r="W611" s="470" t="s">
        <v>762</v>
      </c>
      <c r="X611" s="470">
        <v>31</v>
      </c>
      <c r="Y611" s="470">
        <v>0</v>
      </c>
      <c r="Z611" s="470">
        <v>0.5</v>
      </c>
      <c r="AA611" s="470">
        <v>30.5</v>
      </c>
      <c r="AB611" s="470">
        <v>30.5</v>
      </c>
      <c r="AC611" s="473">
        <v>38617</v>
      </c>
      <c r="AD611" s="473">
        <v>38617</v>
      </c>
      <c r="AE611" s="473">
        <v>17097</v>
      </c>
      <c r="AF611" s="473">
        <v>6839</v>
      </c>
      <c r="AG611" s="473">
        <v>1574</v>
      </c>
      <c r="AH611" s="473">
        <v>197</v>
      </c>
      <c r="AI611" s="473">
        <v>1230</v>
      </c>
      <c r="AJ611" s="473">
        <v>0</v>
      </c>
      <c r="AK611" s="473">
        <v>0</v>
      </c>
      <c r="AL611" s="473">
        <v>0</v>
      </c>
      <c r="AM611" s="473">
        <v>0</v>
      </c>
      <c r="AN611" s="473">
        <v>0</v>
      </c>
      <c r="AO611" s="473">
        <v>0</v>
      </c>
      <c r="AP611" s="473">
        <v>0</v>
      </c>
      <c r="AQ611" s="473">
        <v>1800</v>
      </c>
      <c r="AR611" s="473">
        <v>9257</v>
      </c>
      <c r="AS611" s="473">
        <v>0</v>
      </c>
      <c r="AT611" s="473">
        <v>0</v>
      </c>
      <c r="AU611" s="473">
        <v>0</v>
      </c>
      <c r="AV611" s="473">
        <v>37994</v>
      </c>
      <c r="AW611" s="474">
        <v>37994</v>
      </c>
      <c r="AX611" s="473">
        <v>0</v>
      </c>
      <c r="AY611" s="473">
        <v>0</v>
      </c>
      <c r="AZ611" s="475">
        <v>0</v>
      </c>
      <c r="BA611" s="475">
        <v>200</v>
      </c>
      <c r="BB611" s="475">
        <v>1800</v>
      </c>
      <c r="BC611" s="475">
        <v>0</v>
      </c>
      <c r="BD611" s="475">
        <v>0</v>
      </c>
      <c r="BE611" s="475">
        <v>0</v>
      </c>
      <c r="BF611" s="475">
        <v>0</v>
      </c>
      <c r="BG611" s="475">
        <v>2000</v>
      </c>
      <c r="BH611" s="476">
        <v>35994</v>
      </c>
      <c r="BI611" s="467"/>
      <c r="BJ611" s="468"/>
    </row>
    <row r="612" spans="1:62">
      <c r="A612" s="469">
        <v>45931</v>
      </c>
      <c r="B612" s="469" t="s">
        <v>747</v>
      </c>
      <c r="C612" s="508" t="s">
        <v>748</v>
      </c>
      <c r="D612" s="470" t="s">
        <v>749</v>
      </c>
      <c r="E612" s="471">
        <v>1484</v>
      </c>
      <c r="F612" s="470" t="s">
        <v>811</v>
      </c>
      <c r="G612" s="470" t="s">
        <v>812</v>
      </c>
      <c r="H612" s="470" t="s">
        <v>12</v>
      </c>
      <c r="I612" s="470" t="s">
        <v>813</v>
      </c>
      <c r="J612" s="472" t="s">
        <v>814</v>
      </c>
      <c r="K612" s="470" t="s">
        <v>815</v>
      </c>
      <c r="L612" s="470" t="s">
        <v>1292</v>
      </c>
      <c r="M612" s="470" t="s">
        <v>1292</v>
      </c>
      <c r="N612" s="470" t="s">
        <v>1275</v>
      </c>
      <c r="O612" s="472" t="s">
        <v>792</v>
      </c>
      <c r="P612" s="472" t="s">
        <v>738</v>
      </c>
      <c r="Q612" s="472" t="s">
        <v>758</v>
      </c>
      <c r="R612" s="472" t="s">
        <v>12</v>
      </c>
      <c r="S612" s="472" t="s">
        <v>12</v>
      </c>
      <c r="T612" s="472" t="s">
        <v>818</v>
      </c>
      <c r="U612" s="470" t="s">
        <v>819</v>
      </c>
      <c r="V612" s="470" t="s">
        <v>761</v>
      </c>
      <c r="W612" s="470" t="s">
        <v>762</v>
      </c>
      <c r="X612" s="470">
        <v>31</v>
      </c>
      <c r="Y612" s="470">
        <v>0</v>
      </c>
      <c r="Z612" s="470">
        <v>0</v>
      </c>
      <c r="AA612" s="470">
        <v>31</v>
      </c>
      <c r="AB612" s="470">
        <v>31</v>
      </c>
      <c r="AC612" s="473">
        <v>111343</v>
      </c>
      <c r="AD612" s="473">
        <v>111343</v>
      </c>
      <c r="AE612" s="473">
        <v>50104</v>
      </c>
      <c r="AF612" s="473">
        <v>20042</v>
      </c>
      <c r="AG612" s="473">
        <v>1600</v>
      </c>
      <c r="AH612" s="473">
        <v>200</v>
      </c>
      <c r="AI612" s="473">
        <v>1250</v>
      </c>
      <c r="AJ612" s="473">
        <v>4174</v>
      </c>
      <c r="AK612" s="473">
        <v>10021</v>
      </c>
      <c r="AL612" s="473">
        <v>7516</v>
      </c>
      <c r="AM612" s="473">
        <v>501</v>
      </c>
      <c r="AN612" s="473">
        <v>1754</v>
      </c>
      <c r="AO612" s="473">
        <v>1002</v>
      </c>
      <c r="AP612" s="473">
        <v>251</v>
      </c>
      <c r="AQ612" s="473">
        <v>1800</v>
      </c>
      <c r="AR612" s="473">
        <v>11128</v>
      </c>
      <c r="AS612" s="473">
        <v>0</v>
      </c>
      <c r="AT612" s="473">
        <v>0</v>
      </c>
      <c r="AU612" s="473">
        <v>0</v>
      </c>
      <c r="AV612" s="473">
        <v>111343</v>
      </c>
      <c r="AW612" s="474">
        <v>111343</v>
      </c>
      <c r="AX612" s="473">
        <v>0</v>
      </c>
      <c r="AY612" s="473">
        <v>0</v>
      </c>
      <c r="AZ612" s="475">
        <v>8736</v>
      </c>
      <c r="BA612" s="475">
        <v>200</v>
      </c>
      <c r="BB612" s="475">
        <v>1800</v>
      </c>
      <c r="BC612" s="475">
        <v>0</v>
      </c>
      <c r="BD612" s="475">
        <v>0</v>
      </c>
      <c r="BE612" s="475">
        <v>0</v>
      </c>
      <c r="BF612" s="475">
        <v>0</v>
      </c>
      <c r="BG612" s="475">
        <v>10736</v>
      </c>
      <c r="BH612" s="476">
        <v>100607</v>
      </c>
      <c r="BI612" s="467"/>
      <c r="BJ612" s="468"/>
    </row>
    <row r="613" spans="1:62">
      <c r="A613" s="469">
        <v>45931</v>
      </c>
      <c r="B613" s="469" t="s">
        <v>747</v>
      </c>
      <c r="C613" s="508" t="s">
        <v>748</v>
      </c>
      <c r="D613" s="470" t="s">
        <v>749</v>
      </c>
      <c r="E613" s="471">
        <v>2216</v>
      </c>
      <c r="F613" s="470" t="s">
        <v>1339</v>
      </c>
      <c r="G613" s="470" t="s">
        <v>751</v>
      </c>
      <c r="H613" s="470" t="s">
        <v>12</v>
      </c>
      <c r="I613" s="470" t="s">
        <v>1340</v>
      </c>
      <c r="J613" s="472" t="s">
        <v>1341</v>
      </c>
      <c r="K613" s="470" t="s">
        <v>1342</v>
      </c>
      <c r="L613" s="470" t="s">
        <v>1305</v>
      </c>
      <c r="M613" s="470" t="s">
        <v>1305</v>
      </c>
      <c r="N613" s="470" t="s">
        <v>1108</v>
      </c>
      <c r="O613" s="472" t="s">
        <v>757</v>
      </c>
      <c r="P613" s="472" t="s">
        <v>738</v>
      </c>
      <c r="Q613" s="472" t="s">
        <v>758</v>
      </c>
      <c r="R613" s="472" t="s">
        <v>12</v>
      </c>
      <c r="S613" s="472" t="s">
        <v>12</v>
      </c>
      <c r="T613" s="472" t="s">
        <v>1343</v>
      </c>
      <c r="U613" s="470" t="s">
        <v>1344</v>
      </c>
      <c r="V613" s="470" t="s">
        <v>761</v>
      </c>
      <c r="W613" s="470" t="s">
        <v>1301</v>
      </c>
      <c r="X613" s="470">
        <v>31</v>
      </c>
      <c r="Y613" s="470">
        <v>0</v>
      </c>
      <c r="Z613" s="470">
        <v>0</v>
      </c>
      <c r="AA613" s="470">
        <v>31</v>
      </c>
      <c r="AB613" s="470">
        <v>31</v>
      </c>
      <c r="AC613" s="473">
        <v>65700</v>
      </c>
      <c r="AD613" s="473">
        <v>65700</v>
      </c>
      <c r="AE613" s="473">
        <v>29565</v>
      </c>
      <c r="AF613" s="473">
        <v>11826</v>
      </c>
      <c r="AG613" s="473">
        <v>1600</v>
      </c>
      <c r="AH613" s="473">
        <v>200</v>
      </c>
      <c r="AI613" s="473">
        <v>1250</v>
      </c>
      <c r="AJ613" s="473">
        <v>2463</v>
      </c>
      <c r="AK613" s="473">
        <v>5913</v>
      </c>
      <c r="AL613" s="473">
        <v>4435</v>
      </c>
      <c r="AM613" s="473">
        <v>296</v>
      </c>
      <c r="AN613" s="473">
        <v>1035</v>
      </c>
      <c r="AO613" s="473">
        <v>591</v>
      </c>
      <c r="AP613" s="473">
        <v>148</v>
      </c>
      <c r="AQ613" s="473">
        <v>1800</v>
      </c>
      <c r="AR613" s="473">
        <v>4578</v>
      </c>
      <c r="AS613" s="473">
        <v>0</v>
      </c>
      <c r="AT613" s="473">
        <v>0</v>
      </c>
      <c r="AU613" s="473">
        <v>0</v>
      </c>
      <c r="AV613" s="473">
        <v>65700</v>
      </c>
      <c r="AW613" s="474">
        <v>65700</v>
      </c>
      <c r="AX613" s="473">
        <v>0</v>
      </c>
      <c r="AY613" s="473">
        <v>0</v>
      </c>
      <c r="AZ613" s="475">
        <v>0</v>
      </c>
      <c r="BA613" s="475">
        <v>200</v>
      </c>
      <c r="BB613" s="475">
        <v>1800</v>
      </c>
      <c r="BC613" s="475">
        <v>0</v>
      </c>
      <c r="BD613" s="475">
        <v>0</v>
      </c>
      <c r="BE613" s="475">
        <v>0</v>
      </c>
      <c r="BF613" s="475">
        <v>0</v>
      </c>
      <c r="BG613" s="475">
        <v>2000</v>
      </c>
      <c r="BH613" s="476">
        <v>63700</v>
      </c>
      <c r="BI613" s="467"/>
      <c r="BJ613" s="468"/>
    </row>
    <row r="614" spans="1:62">
      <c r="A614" s="469">
        <v>45931</v>
      </c>
      <c r="B614" s="469" t="s">
        <v>747</v>
      </c>
      <c r="C614" s="508" t="s">
        <v>748</v>
      </c>
      <c r="D614" s="470" t="s">
        <v>749</v>
      </c>
      <c r="E614" s="471">
        <v>2247</v>
      </c>
      <c r="F614" s="470" t="s">
        <v>1388</v>
      </c>
      <c r="G614" s="470" t="s">
        <v>751</v>
      </c>
      <c r="H614" s="470" t="s">
        <v>12</v>
      </c>
      <c r="I614" s="470" t="s">
        <v>1389</v>
      </c>
      <c r="J614" s="472" t="s">
        <v>1390</v>
      </c>
      <c r="K614" s="470" t="s">
        <v>1391</v>
      </c>
      <c r="L614" s="470" t="s">
        <v>1293</v>
      </c>
      <c r="M614" s="470" t="s">
        <v>1293</v>
      </c>
      <c r="N614" s="470" t="s">
        <v>756</v>
      </c>
      <c r="O614" s="472" t="s">
        <v>757</v>
      </c>
      <c r="P614" s="472" t="s">
        <v>738</v>
      </c>
      <c r="Q614" s="472" t="s">
        <v>758</v>
      </c>
      <c r="R614" s="472" t="s">
        <v>12</v>
      </c>
      <c r="S614" s="472" t="s">
        <v>12</v>
      </c>
      <c r="T614" s="472" t="s">
        <v>1392</v>
      </c>
      <c r="U614" s="470" t="s">
        <v>1393</v>
      </c>
      <c r="V614" s="470" t="s">
        <v>761</v>
      </c>
      <c r="W614" s="470" t="s">
        <v>1394</v>
      </c>
      <c r="X614" s="470">
        <v>31</v>
      </c>
      <c r="Y614" s="470">
        <v>0</v>
      </c>
      <c r="Z614" s="470">
        <v>0</v>
      </c>
      <c r="AA614" s="470">
        <v>25</v>
      </c>
      <c r="AB614" s="470">
        <v>25</v>
      </c>
      <c r="AC614" s="473">
        <v>88200</v>
      </c>
      <c r="AD614" s="473">
        <v>88200</v>
      </c>
      <c r="AE614" s="473">
        <v>32008</v>
      </c>
      <c r="AF614" s="473">
        <v>12803</v>
      </c>
      <c r="AG614" s="473">
        <v>1290</v>
      </c>
      <c r="AH614" s="473">
        <v>200</v>
      </c>
      <c r="AI614" s="473">
        <v>1008</v>
      </c>
      <c r="AJ614" s="473">
        <v>2666</v>
      </c>
      <c r="AK614" s="473">
        <v>6402</v>
      </c>
      <c r="AL614" s="473">
        <v>4801</v>
      </c>
      <c r="AM614" s="473">
        <v>320</v>
      </c>
      <c r="AN614" s="473">
        <v>1120</v>
      </c>
      <c r="AO614" s="473">
        <v>640</v>
      </c>
      <c r="AP614" s="473">
        <v>160</v>
      </c>
      <c r="AQ614" s="473">
        <v>1800</v>
      </c>
      <c r="AR614" s="473">
        <v>5911</v>
      </c>
      <c r="AS614" s="473">
        <v>0</v>
      </c>
      <c r="AT614" s="473">
        <v>0</v>
      </c>
      <c r="AU614" s="473">
        <v>0</v>
      </c>
      <c r="AV614" s="473">
        <v>71129</v>
      </c>
      <c r="AW614" s="474">
        <v>71129</v>
      </c>
      <c r="AX614" s="473">
        <v>0</v>
      </c>
      <c r="AY614" s="473">
        <v>0</v>
      </c>
      <c r="AZ614" s="475">
        <v>0</v>
      </c>
      <c r="BA614" s="475">
        <v>200</v>
      </c>
      <c r="BB614" s="475">
        <v>1800</v>
      </c>
      <c r="BC614" s="475">
        <v>0</v>
      </c>
      <c r="BD614" s="475">
        <v>0</v>
      </c>
      <c r="BE614" s="475">
        <v>0</v>
      </c>
      <c r="BF614" s="475">
        <v>0</v>
      </c>
      <c r="BG614" s="475">
        <v>2000</v>
      </c>
      <c r="BH614" s="476">
        <v>69129</v>
      </c>
      <c r="BI614" s="467"/>
      <c r="BJ614" s="468"/>
    </row>
    <row r="615" spans="1:62">
      <c r="A615" s="469">
        <v>45931</v>
      </c>
      <c r="B615" s="469" t="s">
        <v>747</v>
      </c>
      <c r="C615" s="508" t="s">
        <v>748</v>
      </c>
      <c r="D615" s="470" t="s">
        <v>749</v>
      </c>
      <c r="E615" s="471">
        <v>1599</v>
      </c>
      <c r="F615" s="470" t="s">
        <v>820</v>
      </c>
      <c r="G615" s="470" t="s">
        <v>751</v>
      </c>
      <c r="H615" s="470" t="s">
        <v>12</v>
      </c>
      <c r="I615" s="470" t="s">
        <v>821</v>
      </c>
      <c r="J615" s="472" t="s">
        <v>822</v>
      </c>
      <c r="K615" s="470" t="s">
        <v>823</v>
      </c>
      <c r="L615" s="470" t="s">
        <v>1345</v>
      </c>
      <c r="M615" s="470" t="s">
        <v>1345</v>
      </c>
      <c r="N615" s="470" t="s">
        <v>1275</v>
      </c>
      <c r="O615" s="472" t="s">
        <v>757</v>
      </c>
      <c r="P615" s="472" t="s">
        <v>738</v>
      </c>
      <c r="Q615" s="472" t="s">
        <v>758</v>
      </c>
      <c r="R615" s="472" t="s">
        <v>12</v>
      </c>
      <c r="S615" s="472" t="s">
        <v>12</v>
      </c>
      <c r="T615" s="472" t="s">
        <v>825</v>
      </c>
      <c r="U615" s="470" t="s">
        <v>826</v>
      </c>
      <c r="V615" s="470" t="s">
        <v>761</v>
      </c>
      <c r="W615" s="470" t="s">
        <v>827</v>
      </c>
      <c r="X615" s="470">
        <v>31</v>
      </c>
      <c r="Y615" s="470">
        <v>0</v>
      </c>
      <c r="Z615" s="470">
        <v>0</v>
      </c>
      <c r="AA615" s="470">
        <v>31</v>
      </c>
      <c r="AB615" s="470">
        <v>31</v>
      </c>
      <c r="AC615" s="473">
        <v>51640</v>
      </c>
      <c r="AD615" s="473">
        <v>51640</v>
      </c>
      <c r="AE615" s="473">
        <v>23238</v>
      </c>
      <c r="AF615" s="473">
        <v>9295</v>
      </c>
      <c r="AG615" s="473">
        <v>1600</v>
      </c>
      <c r="AH615" s="473">
        <v>200</v>
      </c>
      <c r="AI615" s="473">
        <v>1250</v>
      </c>
      <c r="AJ615" s="473">
        <v>1936</v>
      </c>
      <c r="AK615" s="473">
        <v>4648</v>
      </c>
      <c r="AL615" s="473">
        <v>3486</v>
      </c>
      <c r="AM615" s="473">
        <v>232</v>
      </c>
      <c r="AN615" s="473">
        <v>813</v>
      </c>
      <c r="AO615" s="473">
        <v>465</v>
      </c>
      <c r="AP615" s="473">
        <v>116</v>
      </c>
      <c r="AQ615" s="473">
        <v>1800</v>
      </c>
      <c r="AR615" s="473">
        <v>2561</v>
      </c>
      <c r="AS615" s="473">
        <v>0</v>
      </c>
      <c r="AT615" s="473">
        <v>0</v>
      </c>
      <c r="AU615" s="473">
        <v>1606</v>
      </c>
      <c r="AV615" s="473">
        <v>53246</v>
      </c>
      <c r="AW615" s="474">
        <v>51640</v>
      </c>
      <c r="AX615" s="473">
        <v>0</v>
      </c>
      <c r="AY615" s="473">
        <v>0</v>
      </c>
      <c r="AZ615" s="475">
        <v>0</v>
      </c>
      <c r="BA615" s="475">
        <v>200</v>
      </c>
      <c r="BB615" s="475">
        <v>1800</v>
      </c>
      <c r="BC615" s="475">
        <v>0</v>
      </c>
      <c r="BD615" s="475">
        <v>0</v>
      </c>
      <c r="BE615" s="475">
        <v>0</v>
      </c>
      <c r="BF615" s="475">
        <v>0</v>
      </c>
      <c r="BG615" s="475">
        <v>2000</v>
      </c>
      <c r="BH615" s="476">
        <v>51246</v>
      </c>
      <c r="BI615" s="467"/>
      <c r="BJ615" s="468"/>
    </row>
    <row r="616" spans="1:62">
      <c r="A616" s="469">
        <v>45931</v>
      </c>
      <c r="B616" s="469" t="s">
        <v>747</v>
      </c>
      <c r="C616" s="508" t="s">
        <v>748</v>
      </c>
      <c r="D616" s="470" t="s">
        <v>749</v>
      </c>
      <c r="E616" s="471">
        <v>1180</v>
      </c>
      <c r="F616" s="470" t="s">
        <v>828</v>
      </c>
      <c r="G616" s="470" t="s">
        <v>751</v>
      </c>
      <c r="H616" s="470" t="s">
        <v>12</v>
      </c>
      <c r="I616" s="470" t="s">
        <v>829</v>
      </c>
      <c r="J616" s="472" t="s">
        <v>830</v>
      </c>
      <c r="K616" s="470" t="s">
        <v>831</v>
      </c>
      <c r="L616" s="470" t="s">
        <v>832</v>
      </c>
      <c r="M616" s="470" t="s">
        <v>832</v>
      </c>
      <c r="N616" s="470" t="s">
        <v>833</v>
      </c>
      <c r="O616" s="472" t="s">
        <v>757</v>
      </c>
      <c r="P616" s="472" t="s">
        <v>738</v>
      </c>
      <c r="Q616" s="472" t="s">
        <v>758</v>
      </c>
      <c r="R616" s="472" t="s">
        <v>12</v>
      </c>
      <c r="S616" s="472" t="s">
        <v>12</v>
      </c>
      <c r="T616" s="472" t="s">
        <v>834</v>
      </c>
      <c r="U616" s="470" t="s">
        <v>835</v>
      </c>
      <c r="V616" s="470" t="s">
        <v>761</v>
      </c>
      <c r="W616" s="470" t="s">
        <v>837</v>
      </c>
      <c r="X616" s="470">
        <v>31</v>
      </c>
      <c r="Y616" s="470">
        <v>0</v>
      </c>
      <c r="Z616" s="470">
        <v>0</v>
      </c>
      <c r="AA616" s="470">
        <v>31</v>
      </c>
      <c r="AB616" s="470">
        <v>31</v>
      </c>
      <c r="AC616" s="473">
        <v>28042</v>
      </c>
      <c r="AD616" s="473">
        <v>28042</v>
      </c>
      <c r="AE616" s="473">
        <v>12619</v>
      </c>
      <c r="AF616" s="473">
        <v>5048</v>
      </c>
      <c r="AG616" s="473">
        <v>1600</v>
      </c>
      <c r="AH616" s="473">
        <v>200</v>
      </c>
      <c r="AI616" s="473">
        <v>1250</v>
      </c>
      <c r="AJ616" s="473">
        <v>0</v>
      </c>
      <c r="AK616" s="473">
        <v>0</v>
      </c>
      <c r="AL616" s="473">
        <v>0</v>
      </c>
      <c r="AM616" s="473">
        <v>0</v>
      </c>
      <c r="AN616" s="473">
        <v>0</v>
      </c>
      <c r="AO616" s="473">
        <v>0</v>
      </c>
      <c r="AP616" s="473">
        <v>0</v>
      </c>
      <c r="AQ616" s="473">
        <v>1514</v>
      </c>
      <c r="AR616" s="473">
        <v>5811</v>
      </c>
      <c r="AS616" s="473">
        <v>0</v>
      </c>
      <c r="AT616" s="473">
        <v>0</v>
      </c>
      <c r="AU616" s="473">
        <v>1038</v>
      </c>
      <c r="AV616" s="473">
        <v>29080</v>
      </c>
      <c r="AW616" s="474">
        <v>28042</v>
      </c>
      <c r="AX616" s="473">
        <v>0</v>
      </c>
      <c r="AY616" s="473">
        <v>0</v>
      </c>
      <c r="AZ616" s="475">
        <v>0</v>
      </c>
      <c r="BA616" s="475">
        <v>200</v>
      </c>
      <c r="BB616" s="475">
        <v>1514</v>
      </c>
      <c r="BC616" s="475">
        <v>0</v>
      </c>
      <c r="BD616" s="475">
        <v>0</v>
      </c>
      <c r="BE616" s="475">
        <v>0</v>
      </c>
      <c r="BF616" s="475">
        <v>0</v>
      </c>
      <c r="BG616" s="475">
        <v>1714</v>
      </c>
      <c r="BH616" s="476">
        <v>27366</v>
      </c>
      <c r="BI616" s="467"/>
      <c r="BJ616" s="468"/>
    </row>
    <row r="617" spans="1:62">
      <c r="A617" s="469">
        <v>45931</v>
      </c>
      <c r="B617" s="469" t="s">
        <v>747</v>
      </c>
      <c r="C617" s="508" t="s">
        <v>748</v>
      </c>
      <c r="D617" s="470" t="s">
        <v>749</v>
      </c>
      <c r="E617" s="471">
        <v>48</v>
      </c>
      <c r="F617" s="470" t="s">
        <v>838</v>
      </c>
      <c r="G617" s="470" t="s">
        <v>751</v>
      </c>
      <c r="H617" s="470" t="s">
        <v>12</v>
      </c>
      <c r="I617" s="470" t="s">
        <v>839</v>
      </c>
      <c r="J617" s="472" t="s">
        <v>840</v>
      </c>
      <c r="K617" s="470" t="s">
        <v>841</v>
      </c>
      <c r="L617" s="470" t="s">
        <v>842</v>
      </c>
      <c r="M617" s="470" t="s">
        <v>842</v>
      </c>
      <c r="N617" s="470" t="s">
        <v>1275</v>
      </c>
      <c r="O617" s="472" t="s">
        <v>792</v>
      </c>
      <c r="P617" s="472" t="s">
        <v>738</v>
      </c>
      <c r="Q617" s="472" t="s">
        <v>758</v>
      </c>
      <c r="R617" s="472" t="s">
        <v>12</v>
      </c>
      <c r="S617" s="472" t="s">
        <v>12</v>
      </c>
      <c r="T617" s="472" t="s">
        <v>843</v>
      </c>
      <c r="U617" s="470" t="s">
        <v>844</v>
      </c>
      <c r="V617" s="470" t="s">
        <v>761</v>
      </c>
      <c r="W617" s="470" t="s">
        <v>845</v>
      </c>
      <c r="X617" s="470">
        <v>31</v>
      </c>
      <c r="Y617" s="470">
        <v>0</v>
      </c>
      <c r="Z617" s="470">
        <v>0</v>
      </c>
      <c r="AA617" s="470">
        <v>31</v>
      </c>
      <c r="AB617" s="470">
        <v>31</v>
      </c>
      <c r="AC617" s="473">
        <v>107967</v>
      </c>
      <c r="AD617" s="473">
        <v>107967</v>
      </c>
      <c r="AE617" s="473">
        <v>48585</v>
      </c>
      <c r="AF617" s="473">
        <v>19434</v>
      </c>
      <c r="AG617" s="473">
        <v>1600</v>
      </c>
      <c r="AH617" s="473">
        <v>200</v>
      </c>
      <c r="AI617" s="473">
        <v>1250</v>
      </c>
      <c r="AJ617" s="473">
        <v>4047</v>
      </c>
      <c r="AK617" s="473">
        <v>9717</v>
      </c>
      <c r="AL617" s="473">
        <v>7288</v>
      </c>
      <c r="AM617" s="473">
        <v>486</v>
      </c>
      <c r="AN617" s="473">
        <v>1700</v>
      </c>
      <c r="AO617" s="473">
        <v>972</v>
      </c>
      <c r="AP617" s="473">
        <v>243</v>
      </c>
      <c r="AQ617" s="473">
        <v>1800</v>
      </c>
      <c r="AR617" s="473">
        <v>10645</v>
      </c>
      <c r="AS617" s="473">
        <v>0</v>
      </c>
      <c r="AT617" s="473">
        <v>0</v>
      </c>
      <c r="AU617" s="473">
        <v>902</v>
      </c>
      <c r="AV617" s="473">
        <v>108869</v>
      </c>
      <c r="AW617" s="474">
        <v>107967</v>
      </c>
      <c r="AX617" s="473">
        <v>0</v>
      </c>
      <c r="AY617" s="473">
        <v>0</v>
      </c>
      <c r="AZ617" s="475">
        <v>5903</v>
      </c>
      <c r="BA617" s="475">
        <v>200</v>
      </c>
      <c r="BB617" s="475">
        <v>1800</v>
      </c>
      <c r="BC617" s="475">
        <v>0</v>
      </c>
      <c r="BD617" s="475">
        <v>0</v>
      </c>
      <c r="BE617" s="475">
        <v>0</v>
      </c>
      <c r="BF617" s="475">
        <v>15000</v>
      </c>
      <c r="BG617" s="475">
        <v>22903</v>
      </c>
      <c r="BH617" s="476">
        <v>85966</v>
      </c>
      <c r="BI617" s="467"/>
      <c r="BJ617" s="468"/>
    </row>
    <row r="618" spans="1:62">
      <c r="A618" s="469">
        <v>45931</v>
      </c>
      <c r="B618" s="469" t="s">
        <v>747</v>
      </c>
      <c r="C618" s="508" t="s">
        <v>748</v>
      </c>
      <c r="D618" s="470" t="s">
        <v>749</v>
      </c>
      <c r="E618" s="471">
        <v>2246</v>
      </c>
      <c r="F618" s="470" t="s">
        <v>1395</v>
      </c>
      <c r="G618" s="470" t="s">
        <v>751</v>
      </c>
      <c r="H618" s="470" t="s">
        <v>12</v>
      </c>
      <c r="I618" s="470" t="s">
        <v>1396</v>
      </c>
      <c r="J618" s="472" t="s">
        <v>1397</v>
      </c>
      <c r="K618" s="470" t="s">
        <v>1398</v>
      </c>
      <c r="L618" s="470" t="s">
        <v>1399</v>
      </c>
      <c r="M618" s="470" t="s">
        <v>1292</v>
      </c>
      <c r="N618" s="470" t="s">
        <v>756</v>
      </c>
      <c r="O618" s="472" t="s">
        <v>792</v>
      </c>
      <c r="P618" s="472" t="s">
        <v>738</v>
      </c>
      <c r="Q618" s="472" t="s">
        <v>758</v>
      </c>
      <c r="R618" s="472" t="s">
        <v>12</v>
      </c>
      <c r="S618" s="472" t="s">
        <v>12</v>
      </c>
      <c r="T618" s="472" t="s">
        <v>1400</v>
      </c>
      <c r="U618" s="470" t="s">
        <v>1401</v>
      </c>
      <c r="V618" s="470" t="s">
        <v>761</v>
      </c>
      <c r="W618" s="470" t="s">
        <v>1387</v>
      </c>
      <c r="X618" s="470">
        <v>31</v>
      </c>
      <c r="Y618" s="470">
        <v>0</v>
      </c>
      <c r="Z618" s="470">
        <v>0</v>
      </c>
      <c r="AA618" s="470">
        <v>18</v>
      </c>
      <c r="AB618" s="470">
        <v>18</v>
      </c>
      <c r="AC618" s="473">
        <v>123200</v>
      </c>
      <c r="AD618" s="473">
        <v>123200</v>
      </c>
      <c r="AE618" s="473">
        <v>32191</v>
      </c>
      <c r="AF618" s="473">
        <v>12876</v>
      </c>
      <c r="AG618" s="473">
        <v>929</v>
      </c>
      <c r="AH618" s="473">
        <v>200</v>
      </c>
      <c r="AI618" s="473">
        <v>726</v>
      </c>
      <c r="AJ618" s="473">
        <v>2682</v>
      </c>
      <c r="AK618" s="473">
        <v>6438</v>
      </c>
      <c r="AL618" s="473">
        <v>4829</v>
      </c>
      <c r="AM618" s="473">
        <v>322</v>
      </c>
      <c r="AN618" s="473">
        <v>1127</v>
      </c>
      <c r="AO618" s="473">
        <v>644</v>
      </c>
      <c r="AP618" s="473">
        <v>161</v>
      </c>
      <c r="AQ618" s="473">
        <v>1800</v>
      </c>
      <c r="AR618" s="473">
        <v>6610</v>
      </c>
      <c r="AS618" s="473">
        <v>0</v>
      </c>
      <c r="AT618" s="473">
        <v>0</v>
      </c>
      <c r="AU618" s="473">
        <v>0</v>
      </c>
      <c r="AV618" s="473">
        <v>71535</v>
      </c>
      <c r="AW618" s="474">
        <v>71535</v>
      </c>
      <c r="AX618" s="473">
        <v>0</v>
      </c>
      <c r="AY618" s="473">
        <v>0</v>
      </c>
      <c r="AZ618" s="475">
        <v>0</v>
      </c>
      <c r="BA618" s="475">
        <v>200</v>
      </c>
      <c r="BB618" s="475">
        <v>1800</v>
      </c>
      <c r="BC618" s="475">
        <v>0</v>
      </c>
      <c r="BD618" s="475">
        <v>0</v>
      </c>
      <c r="BE618" s="475">
        <v>0</v>
      </c>
      <c r="BF618" s="475">
        <v>0</v>
      </c>
      <c r="BG618" s="475">
        <v>2000</v>
      </c>
      <c r="BH618" s="476">
        <v>69535</v>
      </c>
      <c r="BI618" s="467"/>
      <c r="BJ618" s="468"/>
    </row>
    <row r="619" spans="1:62">
      <c r="A619" s="469">
        <v>45931</v>
      </c>
      <c r="B619" s="469" t="s">
        <v>747</v>
      </c>
      <c r="C619" s="508" t="s">
        <v>748</v>
      </c>
      <c r="D619" s="470" t="s">
        <v>749</v>
      </c>
      <c r="E619" s="471">
        <v>2017</v>
      </c>
      <c r="F619" s="470" t="s">
        <v>846</v>
      </c>
      <c r="G619" s="470" t="s">
        <v>751</v>
      </c>
      <c r="H619" s="470" t="s">
        <v>12</v>
      </c>
      <c r="I619" s="470" t="s">
        <v>847</v>
      </c>
      <c r="J619" s="472" t="s">
        <v>848</v>
      </c>
      <c r="K619" s="470" t="s">
        <v>849</v>
      </c>
      <c r="L619" s="470" t="s">
        <v>824</v>
      </c>
      <c r="M619" s="470" t="s">
        <v>824</v>
      </c>
      <c r="N619" s="470" t="s">
        <v>1275</v>
      </c>
      <c r="O619" s="472" t="s">
        <v>1276</v>
      </c>
      <c r="P619" s="472" t="s">
        <v>738</v>
      </c>
      <c r="Q619" s="472" t="s">
        <v>758</v>
      </c>
      <c r="R619" s="472" t="s">
        <v>12</v>
      </c>
      <c r="S619" s="472" t="s">
        <v>12</v>
      </c>
      <c r="T619" s="472" t="s">
        <v>850</v>
      </c>
      <c r="U619" s="470" t="s">
        <v>851</v>
      </c>
      <c r="V619" s="470" t="s">
        <v>761</v>
      </c>
      <c r="W619" s="470" t="s">
        <v>762</v>
      </c>
      <c r="X619" s="470">
        <v>31</v>
      </c>
      <c r="Y619" s="470">
        <v>0</v>
      </c>
      <c r="Z619" s="470">
        <v>0</v>
      </c>
      <c r="AA619" s="470">
        <v>31</v>
      </c>
      <c r="AB619" s="470">
        <v>31</v>
      </c>
      <c r="AC619" s="473">
        <v>56533</v>
      </c>
      <c r="AD619" s="473">
        <v>56533</v>
      </c>
      <c r="AE619" s="473">
        <v>25440</v>
      </c>
      <c r="AF619" s="473">
        <v>10176</v>
      </c>
      <c r="AG619" s="473">
        <v>1600</v>
      </c>
      <c r="AH619" s="473">
        <v>200</v>
      </c>
      <c r="AI619" s="473">
        <v>1250</v>
      </c>
      <c r="AJ619" s="473">
        <v>2119</v>
      </c>
      <c r="AK619" s="473">
        <v>5088</v>
      </c>
      <c r="AL619" s="473">
        <v>3816</v>
      </c>
      <c r="AM619" s="473">
        <v>254</v>
      </c>
      <c r="AN619" s="473">
        <v>890</v>
      </c>
      <c r="AO619" s="473">
        <v>509</v>
      </c>
      <c r="AP619" s="473">
        <v>127</v>
      </c>
      <c r="AQ619" s="473">
        <v>1800</v>
      </c>
      <c r="AR619" s="473">
        <v>3264</v>
      </c>
      <c r="AS619" s="473">
        <v>0</v>
      </c>
      <c r="AT619" s="473">
        <v>0</v>
      </c>
      <c r="AU619" s="473">
        <v>1902</v>
      </c>
      <c r="AV619" s="473">
        <v>58435</v>
      </c>
      <c r="AW619" s="474">
        <v>56533</v>
      </c>
      <c r="AX619" s="473">
        <v>0</v>
      </c>
      <c r="AY619" s="473">
        <v>0</v>
      </c>
      <c r="AZ619" s="475">
        <v>0</v>
      </c>
      <c r="BA619" s="475">
        <v>200</v>
      </c>
      <c r="BB619" s="475">
        <v>1800</v>
      </c>
      <c r="BC619" s="475">
        <v>0</v>
      </c>
      <c r="BD619" s="475">
        <v>0</v>
      </c>
      <c r="BE619" s="475">
        <v>0</v>
      </c>
      <c r="BF619" s="475">
        <v>0</v>
      </c>
      <c r="BG619" s="475">
        <v>2000</v>
      </c>
      <c r="BH619" s="476">
        <v>56435</v>
      </c>
      <c r="BI619" s="467"/>
      <c r="BJ619" s="468"/>
    </row>
    <row r="620" spans="1:62">
      <c r="A620" s="469">
        <v>45931</v>
      </c>
      <c r="B620" s="469" t="s">
        <v>747</v>
      </c>
      <c r="C620" s="508" t="s">
        <v>748</v>
      </c>
      <c r="D620" s="470" t="s">
        <v>749</v>
      </c>
      <c r="E620" s="471">
        <v>1914</v>
      </c>
      <c r="F620" s="470" t="s">
        <v>852</v>
      </c>
      <c r="G620" s="470" t="s">
        <v>751</v>
      </c>
      <c r="H620" s="470" t="s">
        <v>12</v>
      </c>
      <c r="I620" s="470" t="s">
        <v>853</v>
      </c>
      <c r="J620" s="472" t="s">
        <v>854</v>
      </c>
      <c r="K620" s="470" t="s">
        <v>855</v>
      </c>
      <c r="L620" s="470" t="s">
        <v>856</v>
      </c>
      <c r="M620" s="470" t="s">
        <v>856</v>
      </c>
      <c r="N620" s="470" t="s">
        <v>756</v>
      </c>
      <c r="O620" s="472" t="s">
        <v>757</v>
      </c>
      <c r="P620" s="472" t="s">
        <v>738</v>
      </c>
      <c r="Q620" s="472" t="s">
        <v>758</v>
      </c>
      <c r="R620" s="472" t="s">
        <v>12</v>
      </c>
      <c r="S620" s="472" t="s">
        <v>12</v>
      </c>
      <c r="T620" s="472" t="s">
        <v>857</v>
      </c>
      <c r="U620" s="470" t="s">
        <v>858</v>
      </c>
      <c r="V620" s="470" t="s">
        <v>761</v>
      </c>
      <c r="W620" s="470" t="s">
        <v>859</v>
      </c>
      <c r="X620" s="470">
        <v>31</v>
      </c>
      <c r="Y620" s="470">
        <v>0</v>
      </c>
      <c r="Z620" s="470">
        <v>0</v>
      </c>
      <c r="AA620" s="470">
        <v>31</v>
      </c>
      <c r="AB620" s="470">
        <v>31</v>
      </c>
      <c r="AC620" s="473">
        <v>74033</v>
      </c>
      <c r="AD620" s="473">
        <v>74033</v>
      </c>
      <c r="AE620" s="473">
        <v>33315</v>
      </c>
      <c r="AF620" s="473">
        <v>13326</v>
      </c>
      <c r="AG620" s="473">
        <v>1600</v>
      </c>
      <c r="AH620" s="473">
        <v>200</v>
      </c>
      <c r="AI620" s="473">
        <v>1250</v>
      </c>
      <c r="AJ620" s="473">
        <v>2775</v>
      </c>
      <c r="AK620" s="473">
        <v>6663</v>
      </c>
      <c r="AL620" s="473">
        <v>4997</v>
      </c>
      <c r="AM620" s="473">
        <v>333</v>
      </c>
      <c r="AN620" s="473">
        <v>1166</v>
      </c>
      <c r="AO620" s="473">
        <v>666</v>
      </c>
      <c r="AP620" s="473">
        <v>167</v>
      </c>
      <c r="AQ620" s="473">
        <v>1800</v>
      </c>
      <c r="AR620" s="473">
        <v>5775</v>
      </c>
      <c r="AS620" s="473">
        <v>0</v>
      </c>
      <c r="AT620" s="473">
        <v>0</v>
      </c>
      <c r="AU620" s="473">
        <v>1540</v>
      </c>
      <c r="AV620" s="473">
        <v>75573</v>
      </c>
      <c r="AW620" s="474">
        <v>74033</v>
      </c>
      <c r="AX620" s="473">
        <v>0</v>
      </c>
      <c r="AY620" s="473">
        <v>0</v>
      </c>
      <c r="AZ620" s="475">
        <v>0</v>
      </c>
      <c r="BA620" s="475">
        <v>200</v>
      </c>
      <c r="BB620" s="475">
        <v>1800</v>
      </c>
      <c r="BC620" s="475">
        <v>0</v>
      </c>
      <c r="BD620" s="475">
        <v>0</v>
      </c>
      <c r="BE620" s="475">
        <v>0</v>
      </c>
      <c r="BF620" s="475">
        <v>0</v>
      </c>
      <c r="BG620" s="475">
        <v>2000</v>
      </c>
      <c r="BH620" s="476">
        <v>73573</v>
      </c>
      <c r="BI620" s="467"/>
      <c r="BJ620" s="468"/>
    </row>
    <row r="621" spans="1:62">
      <c r="A621" s="469">
        <v>45931</v>
      </c>
      <c r="B621" s="469" t="s">
        <v>747</v>
      </c>
      <c r="C621" s="508" t="s">
        <v>748</v>
      </c>
      <c r="D621" s="470" t="s">
        <v>749</v>
      </c>
      <c r="E621" s="471">
        <v>2186</v>
      </c>
      <c r="F621" s="470" t="s">
        <v>1277</v>
      </c>
      <c r="G621" s="470" t="s">
        <v>751</v>
      </c>
      <c r="H621" s="470" t="s">
        <v>12</v>
      </c>
      <c r="I621" s="470" t="s">
        <v>1278</v>
      </c>
      <c r="J621" s="472" t="s">
        <v>1279</v>
      </c>
      <c r="K621" s="470" t="s">
        <v>1280</v>
      </c>
      <c r="L621" s="470" t="s">
        <v>980</v>
      </c>
      <c r="M621" s="470" t="s">
        <v>980</v>
      </c>
      <c r="N621" s="470" t="s">
        <v>1275</v>
      </c>
      <c r="O621" s="472" t="s">
        <v>757</v>
      </c>
      <c r="P621" s="472" t="s">
        <v>738</v>
      </c>
      <c r="Q621" s="472" t="s">
        <v>758</v>
      </c>
      <c r="R621" s="472" t="s">
        <v>12</v>
      </c>
      <c r="S621" s="472" t="s">
        <v>12</v>
      </c>
      <c r="T621" s="472" t="s">
        <v>1281</v>
      </c>
      <c r="U621" s="470" t="s">
        <v>1282</v>
      </c>
      <c r="V621" s="470" t="s">
        <v>761</v>
      </c>
      <c r="W621" s="470" t="s">
        <v>762</v>
      </c>
      <c r="X621" s="470">
        <v>31</v>
      </c>
      <c r="Y621" s="470">
        <v>0</v>
      </c>
      <c r="Z621" s="470">
        <v>0</v>
      </c>
      <c r="AA621" s="470">
        <v>31</v>
      </c>
      <c r="AB621" s="470">
        <v>31</v>
      </c>
      <c r="AC621" s="473">
        <v>63200</v>
      </c>
      <c r="AD621" s="473">
        <v>63200</v>
      </c>
      <c r="AE621" s="473">
        <v>28440</v>
      </c>
      <c r="AF621" s="473">
        <v>11376</v>
      </c>
      <c r="AG621" s="473">
        <v>1600</v>
      </c>
      <c r="AH621" s="473">
        <v>200</v>
      </c>
      <c r="AI621" s="473">
        <v>1250</v>
      </c>
      <c r="AJ621" s="473">
        <v>2369</v>
      </c>
      <c r="AK621" s="473">
        <v>5688</v>
      </c>
      <c r="AL621" s="473">
        <v>4266</v>
      </c>
      <c r="AM621" s="473">
        <v>284</v>
      </c>
      <c r="AN621" s="473">
        <v>995</v>
      </c>
      <c r="AO621" s="473">
        <v>569</v>
      </c>
      <c r="AP621" s="473">
        <v>142</v>
      </c>
      <c r="AQ621" s="473">
        <v>1800</v>
      </c>
      <c r="AR621" s="473">
        <v>4221</v>
      </c>
      <c r="AS621" s="473">
        <v>0</v>
      </c>
      <c r="AT621" s="473">
        <v>0</v>
      </c>
      <c r="AU621" s="473">
        <v>0</v>
      </c>
      <c r="AV621" s="473">
        <v>63200</v>
      </c>
      <c r="AW621" s="474">
        <v>63200</v>
      </c>
      <c r="AX621" s="473">
        <v>0</v>
      </c>
      <c r="AY621" s="473">
        <v>0</v>
      </c>
      <c r="AZ621" s="475">
        <v>0</v>
      </c>
      <c r="BA621" s="475">
        <v>200</v>
      </c>
      <c r="BB621" s="475">
        <v>1800</v>
      </c>
      <c r="BC621" s="475">
        <v>0</v>
      </c>
      <c r="BD621" s="475">
        <v>0</v>
      </c>
      <c r="BE621" s="475">
        <v>0</v>
      </c>
      <c r="BF621" s="475">
        <v>0</v>
      </c>
      <c r="BG621" s="475">
        <v>2000</v>
      </c>
      <c r="BH621" s="476">
        <v>61200</v>
      </c>
      <c r="BI621" s="467"/>
      <c r="BJ621" s="468"/>
    </row>
    <row r="622" spans="1:62">
      <c r="A622" s="469">
        <v>45931</v>
      </c>
      <c r="B622" s="469" t="s">
        <v>747</v>
      </c>
      <c r="C622" s="508" t="s">
        <v>748</v>
      </c>
      <c r="D622" s="470" t="s">
        <v>749</v>
      </c>
      <c r="E622" s="471">
        <v>1209</v>
      </c>
      <c r="F622" s="470" t="s">
        <v>868</v>
      </c>
      <c r="G622" s="470" t="s">
        <v>751</v>
      </c>
      <c r="H622" s="470" t="s">
        <v>12</v>
      </c>
      <c r="I622" s="470" t="s">
        <v>869</v>
      </c>
      <c r="J622" s="472" t="s">
        <v>870</v>
      </c>
      <c r="K622" s="470" t="s">
        <v>871</v>
      </c>
      <c r="L622" s="470" t="s">
        <v>873</v>
      </c>
      <c r="M622" s="470" t="s">
        <v>873</v>
      </c>
      <c r="N622" s="470" t="s">
        <v>833</v>
      </c>
      <c r="O622" s="472" t="s">
        <v>757</v>
      </c>
      <c r="P622" s="472" t="s">
        <v>738</v>
      </c>
      <c r="Q622" s="472" t="s">
        <v>758</v>
      </c>
      <c r="R622" s="472" t="s">
        <v>12</v>
      </c>
      <c r="S622" s="472" t="s">
        <v>12</v>
      </c>
      <c r="T622" s="472" t="s">
        <v>874</v>
      </c>
      <c r="U622" s="470" t="s">
        <v>875</v>
      </c>
      <c r="V622" s="470" t="s">
        <v>761</v>
      </c>
      <c r="W622" s="470" t="s">
        <v>876</v>
      </c>
      <c r="X622" s="470">
        <v>31</v>
      </c>
      <c r="Y622" s="470">
        <v>0</v>
      </c>
      <c r="Z622" s="470">
        <v>0</v>
      </c>
      <c r="AA622" s="470">
        <v>31</v>
      </c>
      <c r="AB622" s="470">
        <v>31</v>
      </c>
      <c r="AC622" s="473">
        <v>83333</v>
      </c>
      <c r="AD622" s="473">
        <v>83333</v>
      </c>
      <c r="AE622" s="473">
        <v>37500</v>
      </c>
      <c r="AF622" s="473">
        <v>15000</v>
      </c>
      <c r="AG622" s="473">
        <v>1600</v>
      </c>
      <c r="AH622" s="473">
        <v>200</v>
      </c>
      <c r="AI622" s="473">
        <v>1250</v>
      </c>
      <c r="AJ622" s="473">
        <v>3124</v>
      </c>
      <c r="AK622" s="473">
        <v>7500</v>
      </c>
      <c r="AL622" s="473">
        <v>5625</v>
      </c>
      <c r="AM622" s="473">
        <v>375</v>
      </c>
      <c r="AN622" s="473">
        <v>1313</v>
      </c>
      <c r="AO622" s="473">
        <v>750</v>
      </c>
      <c r="AP622" s="473">
        <v>188</v>
      </c>
      <c r="AQ622" s="473">
        <v>1800</v>
      </c>
      <c r="AR622" s="473">
        <v>7108</v>
      </c>
      <c r="AS622" s="473">
        <v>0</v>
      </c>
      <c r="AT622" s="473">
        <v>0</v>
      </c>
      <c r="AU622" s="473">
        <v>3392</v>
      </c>
      <c r="AV622" s="473">
        <v>86725</v>
      </c>
      <c r="AW622" s="474">
        <v>83333</v>
      </c>
      <c r="AX622" s="473">
        <v>0</v>
      </c>
      <c r="AY622" s="473">
        <v>0</v>
      </c>
      <c r="AZ622" s="475">
        <v>0</v>
      </c>
      <c r="BA622" s="475">
        <v>200</v>
      </c>
      <c r="BB622" s="475">
        <v>1800</v>
      </c>
      <c r="BC622" s="475">
        <v>0</v>
      </c>
      <c r="BD622" s="475">
        <v>0</v>
      </c>
      <c r="BE622" s="475">
        <v>0</v>
      </c>
      <c r="BF622" s="475">
        <v>0</v>
      </c>
      <c r="BG622" s="475">
        <v>2000</v>
      </c>
      <c r="BH622" s="476">
        <v>84725</v>
      </c>
      <c r="BI622" s="467"/>
      <c r="BJ622" s="468"/>
    </row>
    <row r="623" spans="1:62">
      <c r="A623" s="469">
        <v>45931</v>
      </c>
      <c r="B623" s="469" t="s">
        <v>747</v>
      </c>
      <c r="C623" s="508" t="s">
        <v>748</v>
      </c>
      <c r="D623" s="470" t="s">
        <v>749</v>
      </c>
      <c r="E623" s="471">
        <v>1517</v>
      </c>
      <c r="F623" s="470" t="s">
        <v>877</v>
      </c>
      <c r="G623" s="470" t="s">
        <v>751</v>
      </c>
      <c r="H623" s="470" t="s">
        <v>12</v>
      </c>
      <c r="I623" s="470" t="s">
        <v>878</v>
      </c>
      <c r="J623" s="472" t="s">
        <v>879</v>
      </c>
      <c r="K623" s="470" t="s">
        <v>880</v>
      </c>
      <c r="L623" s="470" t="s">
        <v>881</v>
      </c>
      <c r="M623" s="470" t="s">
        <v>881</v>
      </c>
      <c r="N623" s="470" t="s">
        <v>833</v>
      </c>
      <c r="O623" s="472" t="s">
        <v>757</v>
      </c>
      <c r="P623" s="472" t="s">
        <v>738</v>
      </c>
      <c r="Q623" s="472" t="s">
        <v>758</v>
      </c>
      <c r="R623" s="472" t="s">
        <v>12</v>
      </c>
      <c r="S623" s="472" t="s">
        <v>12</v>
      </c>
      <c r="T623" s="472" t="s">
        <v>882</v>
      </c>
      <c r="U623" s="470" t="s">
        <v>883</v>
      </c>
      <c r="V623" s="470" t="s">
        <v>761</v>
      </c>
      <c r="W623" s="470" t="s">
        <v>859</v>
      </c>
      <c r="X623" s="470">
        <v>31</v>
      </c>
      <c r="Y623" s="470">
        <v>0</v>
      </c>
      <c r="Z623" s="470">
        <v>0.5</v>
      </c>
      <c r="AA623" s="470">
        <v>30.5</v>
      </c>
      <c r="AB623" s="470">
        <v>30.5</v>
      </c>
      <c r="AC623" s="473">
        <v>47190</v>
      </c>
      <c r="AD623" s="473">
        <v>47190</v>
      </c>
      <c r="AE623" s="473">
        <v>20893</v>
      </c>
      <c r="AF623" s="473">
        <v>8357</v>
      </c>
      <c r="AG623" s="473">
        <v>1574</v>
      </c>
      <c r="AH623" s="473">
        <v>197</v>
      </c>
      <c r="AI623" s="473">
        <v>1230</v>
      </c>
      <c r="AJ623" s="473">
        <v>1740</v>
      </c>
      <c r="AK623" s="473">
        <v>4179</v>
      </c>
      <c r="AL623" s="473">
        <v>3134</v>
      </c>
      <c r="AM623" s="473">
        <v>209</v>
      </c>
      <c r="AN623" s="473">
        <v>731</v>
      </c>
      <c r="AO623" s="473">
        <v>418</v>
      </c>
      <c r="AP623" s="473">
        <v>104</v>
      </c>
      <c r="AQ623" s="473">
        <v>1800</v>
      </c>
      <c r="AR623" s="473">
        <v>1863</v>
      </c>
      <c r="AS623" s="473">
        <v>0</v>
      </c>
      <c r="AT623" s="473">
        <v>0</v>
      </c>
      <c r="AU623" s="473">
        <v>0</v>
      </c>
      <c r="AV623" s="473">
        <v>46429</v>
      </c>
      <c r="AW623" s="474">
        <v>46429</v>
      </c>
      <c r="AX623" s="473">
        <v>0</v>
      </c>
      <c r="AY623" s="473">
        <v>0</v>
      </c>
      <c r="AZ623" s="475">
        <v>0</v>
      </c>
      <c r="BA623" s="475">
        <v>200</v>
      </c>
      <c r="BB623" s="475">
        <v>1800</v>
      </c>
      <c r="BC623" s="475">
        <v>0</v>
      </c>
      <c r="BD623" s="475">
        <v>0</v>
      </c>
      <c r="BE623" s="475">
        <v>0</v>
      </c>
      <c r="BF623" s="475">
        <v>0</v>
      </c>
      <c r="BG623" s="475">
        <v>2000</v>
      </c>
      <c r="BH623" s="476">
        <v>44429</v>
      </c>
      <c r="BI623" s="467"/>
      <c r="BJ623" s="468"/>
    </row>
    <row r="624" spans="1:62">
      <c r="A624" s="469">
        <v>45931</v>
      </c>
      <c r="B624" s="469" t="s">
        <v>747</v>
      </c>
      <c r="C624" s="508" t="s">
        <v>748</v>
      </c>
      <c r="D624" s="470" t="s">
        <v>749</v>
      </c>
      <c r="E624" s="471">
        <v>1202</v>
      </c>
      <c r="F624" s="470" t="s">
        <v>884</v>
      </c>
      <c r="G624" s="470" t="s">
        <v>751</v>
      </c>
      <c r="H624" s="470" t="s">
        <v>12</v>
      </c>
      <c r="I624" s="470" t="s">
        <v>885</v>
      </c>
      <c r="J624" s="472" t="s">
        <v>886</v>
      </c>
      <c r="K624" s="470" t="s">
        <v>887</v>
      </c>
      <c r="L624" s="470" t="s">
        <v>1346</v>
      </c>
      <c r="M624" s="470" t="s">
        <v>1346</v>
      </c>
      <c r="N624" s="470" t="s">
        <v>1275</v>
      </c>
      <c r="O624" s="472" t="s">
        <v>757</v>
      </c>
      <c r="P624" s="472" t="s">
        <v>738</v>
      </c>
      <c r="Q624" s="472" t="s">
        <v>758</v>
      </c>
      <c r="R624" s="472" t="s">
        <v>12</v>
      </c>
      <c r="S624" s="472" t="s">
        <v>12</v>
      </c>
      <c r="T624" s="472" t="s">
        <v>888</v>
      </c>
      <c r="U624" s="470" t="s">
        <v>889</v>
      </c>
      <c r="V624" s="470" t="s">
        <v>761</v>
      </c>
      <c r="W624" s="470" t="s">
        <v>762</v>
      </c>
      <c r="X624" s="470">
        <v>31</v>
      </c>
      <c r="Y624" s="470">
        <v>0</v>
      </c>
      <c r="Z624" s="470">
        <v>1</v>
      </c>
      <c r="AA624" s="470">
        <v>30</v>
      </c>
      <c r="AB624" s="470">
        <v>30</v>
      </c>
      <c r="AC624" s="473">
        <v>98333</v>
      </c>
      <c r="AD624" s="473">
        <v>98333</v>
      </c>
      <c r="AE624" s="473">
        <v>42822</v>
      </c>
      <c r="AF624" s="473">
        <v>17129</v>
      </c>
      <c r="AG624" s="473">
        <v>1548</v>
      </c>
      <c r="AH624" s="473">
        <v>194</v>
      </c>
      <c r="AI624" s="473">
        <v>1210</v>
      </c>
      <c r="AJ624" s="473">
        <v>3567</v>
      </c>
      <c r="AK624" s="473">
        <v>8564</v>
      </c>
      <c r="AL624" s="473">
        <v>6423</v>
      </c>
      <c r="AM624" s="473">
        <v>428</v>
      </c>
      <c r="AN624" s="473">
        <v>1499</v>
      </c>
      <c r="AO624" s="473">
        <v>856</v>
      </c>
      <c r="AP624" s="473">
        <v>214</v>
      </c>
      <c r="AQ624" s="473">
        <v>1800</v>
      </c>
      <c r="AR624" s="473">
        <v>8907</v>
      </c>
      <c r="AS624" s="473">
        <v>0</v>
      </c>
      <c r="AT624" s="473">
        <v>0</v>
      </c>
      <c r="AU624" s="473">
        <v>1712</v>
      </c>
      <c r="AV624" s="473">
        <v>96873</v>
      </c>
      <c r="AW624" s="474">
        <v>95161</v>
      </c>
      <c r="AX624" s="473">
        <v>0</v>
      </c>
      <c r="AY624" s="473">
        <v>0</v>
      </c>
      <c r="AZ624" s="475">
        <v>0</v>
      </c>
      <c r="BA624" s="475">
        <v>200</v>
      </c>
      <c r="BB624" s="475">
        <v>1800</v>
      </c>
      <c r="BC624" s="475">
        <v>0</v>
      </c>
      <c r="BD624" s="475">
        <v>0</v>
      </c>
      <c r="BE624" s="475">
        <v>0</v>
      </c>
      <c r="BF624" s="475">
        <v>0</v>
      </c>
      <c r="BG624" s="475">
        <v>2000</v>
      </c>
      <c r="BH624" s="476">
        <v>94873</v>
      </c>
      <c r="BI624" s="467"/>
      <c r="BJ624" s="468"/>
    </row>
    <row r="625" spans="1:62">
      <c r="A625" s="469">
        <v>45931</v>
      </c>
      <c r="B625" s="469" t="s">
        <v>747</v>
      </c>
      <c r="C625" s="508" t="s">
        <v>748</v>
      </c>
      <c r="D625" s="470" t="s">
        <v>749</v>
      </c>
      <c r="E625" s="471">
        <v>2234</v>
      </c>
      <c r="F625" s="470" t="s">
        <v>1347</v>
      </c>
      <c r="G625" s="470" t="s">
        <v>751</v>
      </c>
      <c r="H625" s="470" t="s">
        <v>12</v>
      </c>
      <c r="I625" s="470" t="s">
        <v>1348</v>
      </c>
      <c r="J625" s="472" t="s">
        <v>1349</v>
      </c>
      <c r="K625" s="470" t="s">
        <v>1350</v>
      </c>
      <c r="L625" s="470" t="s">
        <v>1351</v>
      </c>
      <c r="M625" s="470" t="s">
        <v>1351</v>
      </c>
      <c r="N625" s="470" t="s">
        <v>833</v>
      </c>
      <c r="O625" s="472" t="s">
        <v>757</v>
      </c>
      <c r="P625" s="472" t="s">
        <v>738</v>
      </c>
      <c r="Q625" s="472" t="s">
        <v>758</v>
      </c>
      <c r="R625" s="472" t="s">
        <v>12</v>
      </c>
      <c r="S625" s="472" t="s">
        <v>12</v>
      </c>
      <c r="T625" s="472" t="s">
        <v>1352</v>
      </c>
      <c r="U625" s="470" t="s">
        <v>1353</v>
      </c>
      <c r="V625" s="470" t="s">
        <v>761</v>
      </c>
      <c r="W625" s="470" t="s">
        <v>1354</v>
      </c>
      <c r="X625" s="470">
        <v>31</v>
      </c>
      <c r="Y625" s="470">
        <v>0</v>
      </c>
      <c r="Z625" s="470">
        <v>0</v>
      </c>
      <c r="AA625" s="470">
        <v>31</v>
      </c>
      <c r="AB625" s="470">
        <v>31</v>
      </c>
      <c r="AC625" s="473">
        <v>52200</v>
      </c>
      <c r="AD625" s="473">
        <v>52200</v>
      </c>
      <c r="AE625" s="473">
        <v>23490</v>
      </c>
      <c r="AF625" s="473">
        <v>9396</v>
      </c>
      <c r="AG625" s="473">
        <v>1600</v>
      </c>
      <c r="AH625" s="473">
        <v>200</v>
      </c>
      <c r="AI625" s="473">
        <v>1250</v>
      </c>
      <c r="AJ625" s="473">
        <v>1957</v>
      </c>
      <c r="AK625" s="473">
        <v>4698</v>
      </c>
      <c r="AL625" s="473">
        <v>3524</v>
      </c>
      <c r="AM625" s="473">
        <v>235</v>
      </c>
      <c r="AN625" s="473">
        <v>822</v>
      </c>
      <c r="AO625" s="473">
        <v>470</v>
      </c>
      <c r="AP625" s="473">
        <v>117</v>
      </c>
      <c r="AQ625" s="473">
        <v>1800</v>
      </c>
      <c r="AR625" s="473">
        <v>2641</v>
      </c>
      <c r="AS625" s="473">
        <v>0</v>
      </c>
      <c r="AT625" s="473">
        <v>0</v>
      </c>
      <c r="AU625" s="473">
        <v>0</v>
      </c>
      <c r="AV625" s="473">
        <v>52200</v>
      </c>
      <c r="AW625" s="474">
        <v>52200</v>
      </c>
      <c r="AX625" s="473">
        <v>0</v>
      </c>
      <c r="AY625" s="473">
        <v>0</v>
      </c>
      <c r="AZ625" s="475">
        <v>0</v>
      </c>
      <c r="BA625" s="475">
        <v>200</v>
      </c>
      <c r="BB625" s="475">
        <v>1800</v>
      </c>
      <c r="BC625" s="475">
        <v>0</v>
      </c>
      <c r="BD625" s="475">
        <v>0</v>
      </c>
      <c r="BE625" s="475">
        <v>0</v>
      </c>
      <c r="BF625" s="475">
        <v>0</v>
      </c>
      <c r="BG625" s="475">
        <v>2000</v>
      </c>
      <c r="BH625" s="476">
        <v>50200</v>
      </c>
      <c r="BI625" s="467"/>
      <c r="BJ625" s="468"/>
    </row>
    <row r="626" spans="1:62">
      <c r="A626" s="469">
        <v>45931</v>
      </c>
      <c r="B626" s="469" t="s">
        <v>747</v>
      </c>
      <c r="C626" s="508" t="s">
        <v>748</v>
      </c>
      <c r="D626" s="470" t="s">
        <v>749</v>
      </c>
      <c r="E626" s="471">
        <v>748</v>
      </c>
      <c r="F626" s="470" t="s">
        <v>899</v>
      </c>
      <c r="G626" s="470" t="s">
        <v>751</v>
      </c>
      <c r="H626" s="470" t="s">
        <v>12</v>
      </c>
      <c r="I626" s="470" t="s">
        <v>900</v>
      </c>
      <c r="J626" s="472" t="s">
        <v>901</v>
      </c>
      <c r="K626" s="470" t="s">
        <v>902</v>
      </c>
      <c r="L626" s="470" t="s">
        <v>1283</v>
      </c>
      <c r="M626" s="470" t="s">
        <v>1284</v>
      </c>
      <c r="N626" s="470" t="s">
        <v>904</v>
      </c>
      <c r="O626" s="472" t="s">
        <v>757</v>
      </c>
      <c r="P626" s="472" t="s">
        <v>738</v>
      </c>
      <c r="Q626" s="472" t="s">
        <v>758</v>
      </c>
      <c r="R626" s="472" t="s">
        <v>12</v>
      </c>
      <c r="S626" s="472" t="s">
        <v>12</v>
      </c>
      <c r="T626" s="472" t="s">
        <v>905</v>
      </c>
      <c r="U626" s="470" t="s">
        <v>906</v>
      </c>
      <c r="V626" s="470" t="s">
        <v>761</v>
      </c>
      <c r="W626" s="470" t="s">
        <v>907</v>
      </c>
      <c r="X626" s="470">
        <v>31</v>
      </c>
      <c r="Y626" s="470">
        <v>0</v>
      </c>
      <c r="Z626" s="470">
        <v>0</v>
      </c>
      <c r="AA626" s="470">
        <v>31</v>
      </c>
      <c r="AB626" s="470">
        <v>31</v>
      </c>
      <c r="AC626" s="473">
        <v>62333</v>
      </c>
      <c r="AD626" s="473">
        <v>62333</v>
      </c>
      <c r="AE626" s="473">
        <v>28050</v>
      </c>
      <c r="AF626" s="473">
        <v>11220</v>
      </c>
      <c r="AG626" s="473">
        <v>1600</v>
      </c>
      <c r="AH626" s="473">
        <v>200</v>
      </c>
      <c r="AI626" s="473">
        <v>1250</v>
      </c>
      <c r="AJ626" s="473">
        <v>2337</v>
      </c>
      <c r="AK626" s="473">
        <v>5610</v>
      </c>
      <c r="AL626" s="473">
        <v>4208</v>
      </c>
      <c r="AM626" s="473">
        <v>281</v>
      </c>
      <c r="AN626" s="473">
        <v>982</v>
      </c>
      <c r="AO626" s="473">
        <v>561</v>
      </c>
      <c r="AP626" s="473">
        <v>140</v>
      </c>
      <c r="AQ626" s="473">
        <v>1800</v>
      </c>
      <c r="AR626" s="473">
        <v>4094</v>
      </c>
      <c r="AS626" s="473">
        <v>0</v>
      </c>
      <c r="AT626" s="473">
        <v>0</v>
      </c>
      <c r="AU626" s="473">
        <v>1624</v>
      </c>
      <c r="AV626" s="473">
        <v>63957</v>
      </c>
      <c r="AW626" s="474">
        <v>62333</v>
      </c>
      <c r="AX626" s="473">
        <v>0</v>
      </c>
      <c r="AY626" s="473">
        <v>0</v>
      </c>
      <c r="AZ626" s="475">
        <v>0</v>
      </c>
      <c r="BA626" s="475">
        <v>200</v>
      </c>
      <c r="BB626" s="475">
        <v>1800</v>
      </c>
      <c r="BC626" s="475">
        <v>0</v>
      </c>
      <c r="BD626" s="475">
        <v>0</v>
      </c>
      <c r="BE626" s="475">
        <v>0</v>
      </c>
      <c r="BF626" s="475">
        <v>0</v>
      </c>
      <c r="BG626" s="475">
        <v>2000</v>
      </c>
      <c r="BH626" s="476">
        <v>61957</v>
      </c>
      <c r="BI626" s="467"/>
      <c r="BJ626" s="468"/>
    </row>
    <row r="627" spans="1:62">
      <c r="A627" s="469">
        <v>45931</v>
      </c>
      <c r="B627" s="469" t="s">
        <v>747</v>
      </c>
      <c r="C627" s="508" t="s">
        <v>748</v>
      </c>
      <c r="D627" s="470" t="s">
        <v>749</v>
      </c>
      <c r="E627" s="471">
        <v>2214</v>
      </c>
      <c r="F627" s="470" t="s">
        <v>1355</v>
      </c>
      <c r="G627" s="470" t="s">
        <v>751</v>
      </c>
      <c r="H627" s="470" t="s">
        <v>12</v>
      </c>
      <c r="I627" s="470" t="s">
        <v>1340</v>
      </c>
      <c r="J627" s="472" t="s">
        <v>1356</v>
      </c>
      <c r="K627" s="470" t="s">
        <v>1357</v>
      </c>
      <c r="L627" s="470" t="s">
        <v>1358</v>
      </c>
      <c r="M627" s="470" t="s">
        <v>1358</v>
      </c>
      <c r="N627" s="470" t="s">
        <v>1108</v>
      </c>
      <c r="O627" s="472" t="s">
        <v>757</v>
      </c>
      <c r="P627" s="472" t="s">
        <v>738</v>
      </c>
      <c r="Q627" s="472" t="s">
        <v>758</v>
      </c>
      <c r="R627" s="472" t="s">
        <v>12</v>
      </c>
      <c r="S627" s="472" t="s">
        <v>12</v>
      </c>
      <c r="T627" s="472" t="s">
        <v>1359</v>
      </c>
      <c r="U627" s="470" t="s">
        <v>1360</v>
      </c>
      <c r="V627" s="470" t="s">
        <v>761</v>
      </c>
      <c r="W627" s="470" t="s">
        <v>1361</v>
      </c>
      <c r="X627" s="470">
        <v>31</v>
      </c>
      <c r="Y627" s="470">
        <v>0</v>
      </c>
      <c r="Z627" s="470">
        <v>0</v>
      </c>
      <c r="AA627" s="470">
        <v>31</v>
      </c>
      <c r="AB627" s="470">
        <v>31</v>
      </c>
      <c r="AC627" s="473">
        <v>54867</v>
      </c>
      <c r="AD627" s="473">
        <v>54867</v>
      </c>
      <c r="AE627" s="473">
        <v>24690</v>
      </c>
      <c r="AF627" s="473">
        <v>9876</v>
      </c>
      <c r="AG627" s="473">
        <v>1600</v>
      </c>
      <c r="AH627" s="473">
        <v>200</v>
      </c>
      <c r="AI627" s="473">
        <v>1250</v>
      </c>
      <c r="AJ627" s="473">
        <v>2057</v>
      </c>
      <c r="AK627" s="473">
        <v>4938</v>
      </c>
      <c r="AL627" s="473">
        <v>3704</v>
      </c>
      <c r="AM627" s="473">
        <v>247</v>
      </c>
      <c r="AN627" s="473">
        <v>864</v>
      </c>
      <c r="AO627" s="473">
        <v>494</v>
      </c>
      <c r="AP627" s="473">
        <v>123</v>
      </c>
      <c r="AQ627" s="473">
        <v>1800</v>
      </c>
      <c r="AR627" s="473">
        <v>3024</v>
      </c>
      <c r="AS627" s="473">
        <v>0</v>
      </c>
      <c r="AT627" s="473">
        <v>0</v>
      </c>
      <c r="AU627" s="473">
        <v>0</v>
      </c>
      <c r="AV627" s="473">
        <v>54867</v>
      </c>
      <c r="AW627" s="474">
        <v>54867</v>
      </c>
      <c r="AX627" s="473">
        <v>0</v>
      </c>
      <c r="AY627" s="473">
        <v>0</v>
      </c>
      <c r="AZ627" s="475">
        <v>0</v>
      </c>
      <c r="BA627" s="475">
        <v>200</v>
      </c>
      <c r="BB627" s="475">
        <v>1800</v>
      </c>
      <c r="BC627" s="475">
        <v>0</v>
      </c>
      <c r="BD627" s="475">
        <v>0</v>
      </c>
      <c r="BE627" s="475">
        <v>0</v>
      </c>
      <c r="BF627" s="475">
        <v>0</v>
      </c>
      <c r="BG627" s="475">
        <v>2000</v>
      </c>
      <c r="BH627" s="476">
        <v>52867</v>
      </c>
      <c r="BI627" s="467"/>
      <c r="BJ627" s="468"/>
    </row>
    <row r="628" spans="1:62">
      <c r="A628" s="469">
        <v>45931</v>
      </c>
      <c r="B628" s="469" t="s">
        <v>747</v>
      </c>
      <c r="C628" s="508" t="s">
        <v>748</v>
      </c>
      <c r="D628" s="470" t="s">
        <v>749</v>
      </c>
      <c r="E628" s="471">
        <v>2239</v>
      </c>
      <c r="F628" s="470" t="s">
        <v>1402</v>
      </c>
      <c r="G628" s="470" t="s">
        <v>812</v>
      </c>
      <c r="H628" s="470" t="s">
        <v>12</v>
      </c>
      <c r="I628" s="470" t="s">
        <v>1389</v>
      </c>
      <c r="J628" s="472" t="s">
        <v>1403</v>
      </c>
      <c r="K628" s="470" t="s">
        <v>1404</v>
      </c>
      <c r="L628" s="470" t="s">
        <v>872</v>
      </c>
      <c r="M628" s="470" t="s">
        <v>872</v>
      </c>
      <c r="N628" s="470" t="s">
        <v>833</v>
      </c>
      <c r="O628" s="472" t="s">
        <v>757</v>
      </c>
      <c r="P628" s="472" t="s">
        <v>738</v>
      </c>
      <c r="Q628" s="472" t="s">
        <v>758</v>
      </c>
      <c r="R628" s="472" t="s">
        <v>12</v>
      </c>
      <c r="S628" s="472" t="s">
        <v>12</v>
      </c>
      <c r="T628" s="472" t="s">
        <v>1405</v>
      </c>
      <c r="U628" s="470" t="s">
        <v>1406</v>
      </c>
      <c r="V628" s="470" t="s">
        <v>761</v>
      </c>
      <c r="W628" s="470" t="s">
        <v>859</v>
      </c>
      <c r="X628" s="470">
        <v>31</v>
      </c>
      <c r="Y628" s="470">
        <v>0</v>
      </c>
      <c r="Z628" s="470">
        <v>0</v>
      </c>
      <c r="AA628" s="470">
        <v>25</v>
      </c>
      <c r="AB628" s="470">
        <v>25</v>
      </c>
      <c r="AC628" s="473">
        <v>88067</v>
      </c>
      <c r="AD628" s="473">
        <v>88067</v>
      </c>
      <c r="AE628" s="473">
        <v>31960</v>
      </c>
      <c r="AF628" s="473">
        <v>12784</v>
      </c>
      <c r="AG628" s="473">
        <v>1290</v>
      </c>
      <c r="AH628" s="473">
        <v>200</v>
      </c>
      <c r="AI628" s="473">
        <v>1008</v>
      </c>
      <c r="AJ628" s="473">
        <v>2662</v>
      </c>
      <c r="AK628" s="473">
        <v>6392</v>
      </c>
      <c r="AL628" s="473">
        <v>4794</v>
      </c>
      <c r="AM628" s="473">
        <v>320</v>
      </c>
      <c r="AN628" s="473">
        <v>1119</v>
      </c>
      <c r="AO628" s="473">
        <v>639</v>
      </c>
      <c r="AP628" s="473">
        <v>160</v>
      </c>
      <c r="AQ628" s="473">
        <v>1800</v>
      </c>
      <c r="AR628" s="473">
        <v>5894</v>
      </c>
      <c r="AS628" s="473">
        <v>0</v>
      </c>
      <c r="AT628" s="473">
        <v>0</v>
      </c>
      <c r="AU628" s="473">
        <v>7371</v>
      </c>
      <c r="AV628" s="473">
        <v>78393</v>
      </c>
      <c r="AW628" s="474">
        <v>71022</v>
      </c>
      <c r="AX628" s="473">
        <v>0</v>
      </c>
      <c r="AY628" s="473">
        <v>0</v>
      </c>
      <c r="AZ628" s="475">
        <v>0</v>
      </c>
      <c r="BA628" s="475">
        <v>200</v>
      </c>
      <c r="BB628" s="475">
        <v>1800</v>
      </c>
      <c r="BC628" s="475">
        <v>0</v>
      </c>
      <c r="BD628" s="475">
        <v>0</v>
      </c>
      <c r="BE628" s="475">
        <v>0</v>
      </c>
      <c r="BF628" s="475">
        <v>0</v>
      </c>
      <c r="BG628" s="475">
        <v>2000</v>
      </c>
      <c r="BH628" s="476">
        <v>76393</v>
      </c>
      <c r="BI628" s="467"/>
      <c r="BJ628" s="468"/>
    </row>
    <row r="629" spans="1:62">
      <c r="A629" s="469">
        <v>45931</v>
      </c>
      <c r="B629" s="469" t="s">
        <v>747</v>
      </c>
      <c r="C629" s="508" t="s">
        <v>748</v>
      </c>
      <c r="D629" s="470" t="s">
        <v>749</v>
      </c>
      <c r="E629" s="471">
        <v>2152</v>
      </c>
      <c r="F629" s="470" t="s">
        <v>1285</v>
      </c>
      <c r="G629" s="470" t="s">
        <v>751</v>
      </c>
      <c r="H629" s="470" t="s">
        <v>12</v>
      </c>
      <c r="I629" s="470" t="s">
        <v>1286</v>
      </c>
      <c r="J629" s="472" t="s">
        <v>1287</v>
      </c>
      <c r="K629" s="470" t="s">
        <v>1288</v>
      </c>
      <c r="L629" s="470" t="s">
        <v>1165</v>
      </c>
      <c r="M629" s="470" t="s">
        <v>1165</v>
      </c>
      <c r="N629" s="470" t="s">
        <v>756</v>
      </c>
      <c r="O629" s="472" t="s">
        <v>757</v>
      </c>
      <c r="P629" s="472" t="s">
        <v>738</v>
      </c>
      <c r="Q629" s="472" t="s">
        <v>758</v>
      </c>
      <c r="R629" s="472" t="s">
        <v>12</v>
      </c>
      <c r="S629" s="472" t="s">
        <v>12</v>
      </c>
      <c r="T629" s="472" t="s">
        <v>1289</v>
      </c>
      <c r="U629" s="470" t="s">
        <v>1290</v>
      </c>
      <c r="V629" s="470" t="s">
        <v>761</v>
      </c>
      <c r="W629" s="470" t="s">
        <v>898</v>
      </c>
      <c r="X629" s="470">
        <v>31</v>
      </c>
      <c r="Y629" s="470">
        <v>0</v>
      </c>
      <c r="Z629" s="470">
        <v>2</v>
      </c>
      <c r="AA629" s="470">
        <v>29</v>
      </c>
      <c r="AB629" s="470">
        <v>29</v>
      </c>
      <c r="AC629" s="473">
        <v>32760</v>
      </c>
      <c r="AD629" s="473">
        <v>32760</v>
      </c>
      <c r="AE629" s="473">
        <v>13791</v>
      </c>
      <c r="AF629" s="473">
        <v>5516</v>
      </c>
      <c r="AG629" s="473">
        <v>1497</v>
      </c>
      <c r="AH629" s="473">
        <v>187</v>
      </c>
      <c r="AI629" s="473">
        <v>1169</v>
      </c>
      <c r="AJ629" s="473">
        <v>0</v>
      </c>
      <c r="AK629" s="473">
        <v>0</v>
      </c>
      <c r="AL629" s="473">
        <v>0</v>
      </c>
      <c r="AM629" s="473">
        <v>0</v>
      </c>
      <c r="AN629" s="473">
        <v>0</v>
      </c>
      <c r="AO629" s="473">
        <v>0</v>
      </c>
      <c r="AP629" s="473">
        <v>0</v>
      </c>
      <c r="AQ629" s="473">
        <v>1655</v>
      </c>
      <c r="AR629" s="473">
        <v>6831</v>
      </c>
      <c r="AS629" s="473">
        <v>0</v>
      </c>
      <c r="AT629" s="473">
        <v>0</v>
      </c>
      <c r="AU629" s="473">
        <v>0</v>
      </c>
      <c r="AV629" s="473">
        <v>30646</v>
      </c>
      <c r="AW629" s="474">
        <v>30646</v>
      </c>
      <c r="AX629" s="473">
        <v>0</v>
      </c>
      <c r="AY629" s="473">
        <v>0</v>
      </c>
      <c r="AZ629" s="475">
        <v>0</v>
      </c>
      <c r="BA629" s="475">
        <v>200</v>
      </c>
      <c r="BB629" s="475">
        <v>1655</v>
      </c>
      <c r="BC629" s="475">
        <v>0</v>
      </c>
      <c r="BD629" s="475">
        <v>0</v>
      </c>
      <c r="BE629" s="475">
        <v>0</v>
      </c>
      <c r="BF629" s="475">
        <v>0</v>
      </c>
      <c r="BG629" s="475">
        <v>1855</v>
      </c>
      <c r="BH629" s="476">
        <v>28791</v>
      </c>
      <c r="BI629" s="467"/>
      <c r="BJ629" s="468"/>
    </row>
    <row r="630" spans="1:62">
      <c r="A630" s="469">
        <v>45931</v>
      </c>
      <c r="B630" s="469" t="s">
        <v>747</v>
      </c>
      <c r="C630" s="508" t="s">
        <v>748</v>
      </c>
      <c r="D630" s="470" t="s">
        <v>749</v>
      </c>
      <c r="E630" s="471">
        <v>1875</v>
      </c>
      <c r="F630" s="470" t="s">
        <v>908</v>
      </c>
      <c r="G630" s="470" t="s">
        <v>751</v>
      </c>
      <c r="H630" s="470" t="s">
        <v>12</v>
      </c>
      <c r="I630" s="470" t="s">
        <v>909</v>
      </c>
      <c r="J630" s="472" t="s">
        <v>910</v>
      </c>
      <c r="K630" s="470" t="s">
        <v>911</v>
      </c>
      <c r="L630" s="470" t="s">
        <v>1338</v>
      </c>
      <c r="M630" s="470" t="s">
        <v>776</v>
      </c>
      <c r="N630" s="470" t="s">
        <v>1275</v>
      </c>
      <c r="O630" s="472" t="s">
        <v>757</v>
      </c>
      <c r="P630" s="472" t="s">
        <v>738</v>
      </c>
      <c r="Q630" s="472" t="s">
        <v>758</v>
      </c>
      <c r="R630" s="472" t="s">
        <v>12</v>
      </c>
      <c r="S630" s="472" t="s">
        <v>12</v>
      </c>
      <c r="T630" s="472" t="s">
        <v>912</v>
      </c>
      <c r="U630" s="470" t="s">
        <v>913</v>
      </c>
      <c r="V630" s="470" t="s">
        <v>761</v>
      </c>
      <c r="W630" s="470" t="s">
        <v>859</v>
      </c>
      <c r="X630" s="470">
        <v>31</v>
      </c>
      <c r="Y630" s="470">
        <v>0</v>
      </c>
      <c r="Z630" s="470">
        <v>0</v>
      </c>
      <c r="AA630" s="470">
        <v>31</v>
      </c>
      <c r="AB630" s="470">
        <v>31</v>
      </c>
      <c r="AC630" s="473">
        <v>65840</v>
      </c>
      <c r="AD630" s="473">
        <v>65840</v>
      </c>
      <c r="AE630" s="473">
        <v>29628</v>
      </c>
      <c r="AF630" s="473">
        <v>11851</v>
      </c>
      <c r="AG630" s="473">
        <v>1600</v>
      </c>
      <c r="AH630" s="473">
        <v>200</v>
      </c>
      <c r="AI630" s="473">
        <v>1250</v>
      </c>
      <c r="AJ630" s="473">
        <v>2468</v>
      </c>
      <c r="AK630" s="473">
        <v>5926</v>
      </c>
      <c r="AL630" s="473">
        <v>4444</v>
      </c>
      <c r="AM630" s="473">
        <v>296</v>
      </c>
      <c r="AN630" s="473">
        <v>1037</v>
      </c>
      <c r="AO630" s="473">
        <v>593</v>
      </c>
      <c r="AP630" s="473">
        <v>148</v>
      </c>
      <c r="AQ630" s="473">
        <v>1800</v>
      </c>
      <c r="AR630" s="473">
        <v>4599</v>
      </c>
      <c r="AS630" s="473">
        <v>0</v>
      </c>
      <c r="AT630" s="473">
        <v>0</v>
      </c>
      <c r="AU630" s="473">
        <v>3367</v>
      </c>
      <c r="AV630" s="473">
        <v>69207</v>
      </c>
      <c r="AW630" s="474">
        <v>65840</v>
      </c>
      <c r="AX630" s="473">
        <v>0</v>
      </c>
      <c r="AY630" s="473">
        <v>0</v>
      </c>
      <c r="AZ630" s="475">
        <v>0</v>
      </c>
      <c r="BA630" s="475">
        <v>200</v>
      </c>
      <c r="BB630" s="475">
        <v>1800</v>
      </c>
      <c r="BC630" s="475">
        <v>0</v>
      </c>
      <c r="BD630" s="475">
        <v>0</v>
      </c>
      <c r="BE630" s="475">
        <v>0</v>
      </c>
      <c r="BF630" s="475">
        <v>0</v>
      </c>
      <c r="BG630" s="475">
        <v>2000</v>
      </c>
      <c r="BH630" s="476">
        <v>67207</v>
      </c>
      <c r="BI630" s="467"/>
      <c r="BJ630" s="468"/>
    </row>
    <row r="631" spans="1:62">
      <c r="A631" s="469">
        <v>45931</v>
      </c>
      <c r="B631" s="469" t="s">
        <v>747</v>
      </c>
      <c r="C631" s="508" t="s">
        <v>748</v>
      </c>
      <c r="D631" s="470" t="s">
        <v>749</v>
      </c>
      <c r="E631" s="471">
        <v>1135</v>
      </c>
      <c r="F631" s="470" t="s">
        <v>914</v>
      </c>
      <c r="G631" s="470" t="s">
        <v>751</v>
      </c>
      <c r="H631" s="470" t="s">
        <v>12</v>
      </c>
      <c r="I631" s="470" t="s">
        <v>915</v>
      </c>
      <c r="J631" s="472" t="s">
        <v>916</v>
      </c>
      <c r="K631" s="470" t="s">
        <v>917</v>
      </c>
      <c r="L631" s="470" t="s">
        <v>1291</v>
      </c>
      <c r="M631" s="470" t="s">
        <v>1291</v>
      </c>
      <c r="N631" s="470" t="s">
        <v>1275</v>
      </c>
      <c r="O631" s="472" t="s">
        <v>792</v>
      </c>
      <c r="P631" s="472" t="s">
        <v>738</v>
      </c>
      <c r="Q631" s="472" t="s">
        <v>758</v>
      </c>
      <c r="R631" s="472" t="s">
        <v>12</v>
      </c>
      <c r="S631" s="472" t="s">
        <v>12</v>
      </c>
      <c r="T631" s="472" t="s">
        <v>919</v>
      </c>
      <c r="U631" s="470" t="s">
        <v>920</v>
      </c>
      <c r="V631" s="470" t="s">
        <v>761</v>
      </c>
      <c r="W631" s="470" t="s">
        <v>921</v>
      </c>
      <c r="X631" s="470">
        <v>31</v>
      </c>
      <c r="Y631" s="470">
        <v>0</v>
      </c>
      <c r="Z631" s="470">
        <v>0</v>
      </c>
      <c r="AA631" s="470">
        <v>31</v>
      </c>
      <c r="AB631" s="470">
        <v>31</v>
      </c>
      <c r="AC631" s="473">
        <v>146667</v>
      </c>
      <c r="AD631" s="473">
        <v>146667</v>
      </c>
      <c r="AE631" s="473">
        <v>66000</v>
      </c>
      <c r="AF631" s="473">
        <v>26400</v>
      </c>
      <c r="AG631" s="473">
        <v>1600</v>
      </c>
      <c r="AH631" s="473">
        <v>200</v>
      </c>
      <c r="AI631" s="473">
        <v>1250</v>
      </c>
      <c r="AJ631" s="473">
        <v>5498</v>
      </c>
      <c r="AK631" s="473">
        <v>13200</v>
      </c>
      <c r="AL631" s="473">
        <v>9900</v>
      </c>
      <c r="AM631" s="473">
        <v>660</v>
      </c>
      <c r="AN631" s="473">
        <v>2310</v>
      </c>
      <c r="AO631" s="473">
        <v>1320</v>
      </c>
      <c r="AP631" s="473">
        <v>330</v>
      </c>
      <c r="AQ631" s="473">
        <v>1800</v>
      </c>
      <c r="AR631" s="473">
        <v>16199</v>
      </c>
      <c r="AS631" s="473">
        <v>0</v>
      </c>
      <c r="AT631" s="473">
        <v>0</v>
      </c>
      <c r="AU631" s="473">
        <v>11552</v>
      </c>
      <c r="AV631" s="473">
        <v>158219</v>
      </c>
      <c r="AW631" s="474">
        <v>146667</v>
      </c>
      <c r="AX631" s="473">
        <v>0</v>
      </c>
      <c r="AY631" s="473">
        <v>0</v>
      </c>
      <c r="AZ631" s="475">
        <v>18242</v>
      </c>
      <c r="BA631" s="475">
        <v>200</v>
      </c>
      <c r="BB631" s="475">
        <v>1800</v>
      </c>
      <c r="BC631" s="475">
        <v>0</v>
      </c>
      <c r="BD631" s="475">
        <v>0</v>
      </c>
      <c r="BE631" s="475">
        <v>0</v>
      </c>
      <c r="BF631" s="475">
        <v>0</v>
      </c>
      <c r="BG631" s="475">
        <v>20242</v>
      </c>
      <c r="BH631" s="476">
        <v>137977</v>
      </c>
      <c r="BI631" s="467"/>
      <c r="BJ631" s="468"/>
    </row>
    <row r="632" spans="1:62">
      <c r="A632" s="469">
        <v>45931</v>
      </c>
      <c r="B632" s="469" t="s">
        <v>747</v>
      </c>
      <c r="C632" s="508" t="s">
        <v>748</v>
      </c>
      <c r="D632" s="470" t="s">
        <v>749</v>
      </c>
      <c r="E632" s="471">
        <v>1997</v>
      </c>
      <c r="F632" s="470" t="s">
        <v>922</v>
      </c>
      <c r="G632" s="470" t="s">
        <v>751</v>
      </c>
      <c r="H632" s="470" t="s">
        <v>12</v>
      </c>
      <c r="I632" s="470" t="s">
        <v>923</v>
      </c>
      <c r="J632" s="472" t="s">
        <v>924</v>
      </c>
      <c r="K632" s="470" t="s">
        <v>925</v>
      </c>
      <c r="L632" s="470" t="s">
        <v>926</v>
      </c>
      <c r="M632" s="470" t="s">
        <v>927</v>
      </c>
      <c r="N632" s="470" t="s">
        <v>756</v>
      </c>
      <c r="O632" s="472" t="s">
        <v>757</v>
      </c>
      <c r="P632" s="472" t="s">
        <v>738</v>
      </c>
      <c r="Q632" s="472" t="s">
        <v>758</v>
      </c>
      <c r="R632" s="472" t="s">
        <v>12</v>
      </c>
      <c r="S632" s="472" t="s">
        <v>12</v>
      </c>
      <c r="T632" s="472" t="s">
        <v>928</v>
      </c>
      <c r="U632" s="470" t="s">
        <v>929</v>
      </c>
      <c r="V632" s="470" t="s">
        <v>761</v>
      </c>
      <c r="W632" s="470" t="s">
        <v>762</v>
      </c>
      <c r="X632" s="470">
        <v>31</v>
      </c>
      <c r="Y632" s="470">
        <v>0</v>
      </c>
      <c r="Z632" s="470">
        <v>0</v>
      </c>
      <c r="AA632" s="470">
        <v>31</v>
      </c>
      <c r="AB632" s="470">
        <v>31</v>
      </c>
      <c r="AC632" s="473">
        <v>36067</v>
      </c>
      <c r="AD632" s="473">
        <v>36067</v>
      </c>
      <c r="AE632" s="473">
        <v>16230</v>
      </c>
      <c r="AF632" s="473">
        <v>6492</v>
      </c>
      <c r="AG632" s="473">
        <v>1600</v>
      </c>
      <c r="AH632" s="473">
        <v>200</v>
      </c>
      <c r="AI632" s="473">
        <v>1250</v>
      </c>
      <c r="AJ632" s="473">
        <v>0</v>
      </c>
      <c r="AK632" s="473">
        <v>0</v>
      </c>
      <c r="AL632" s="473">
        <v>0</v>
      </c>
      <c r="AM632" s="473">
        <v>0</v>
      </c>
      <c r="AN632" s="473">
        <v>0</v>
      </c>
      <c r="AO632" s="473">
        <v>0</v>
      </c>
      <c r="AP632" s="473">
        <v>0</v>
      </c>
      <c r="AQ632" s="473">
        <v>1800</v>
      </c>
      <c r="AR632" s="473">
        <v>8495</v>
      </c>
      <c r="AS632" s="473">
        <v>0</v>
      </c>
      <c r="AT632" s="473">
        <v>0</v>
      </c>
      <c r="AU632" s="473">
        <v>0</v>
      </c>
      <c r="AV632" s="473">
        <v>36067</v>
      </c>
      <c r="AW632" s="474">
        <v>36067</v>
      </c>
      <c r="AX632" s="473">
        <v>0</v>
      </c>
      <c r="AY632" s="473">
        <v>0</v>
      </c>
      <c r="AZ632" s="475">
        <v>0</v>
      </c>
      <c r="BA632" s="475">
        <v>200</v>
      </c>
      <c r="BB632" s="475">
        <v>1800</v>
      </c>
      <c r="BC632" s="475">
        <v>0</v>
      </c>
      <c r="BD632" s="475">
        <v>0</v>
      </c>
      <c r="BE632" s="475">
        <v>0</v>
      </c>
      <c r="BF632" s="475">
        <v>0</v>
      </c>
      <c r="BG632" s="475">
        <v>2000</v>
      </c>
      <c r="BH632" s="476">
        <v>34067</v>
      </c>
      <c r="BI632" s="467"/>
      <c r="BJ632" s="468"/>
    </row>
    <row r="633" spans="1:62">
      <c r="A633" s="469">
        <v>45931</v>
      </c>
      <c r="B633" s="469" t="s">
        <v>747</v>
      </c>
      <c r="C633" s="508" t="s">
        <v>748</v>
      </c>
      <c r="D633" s="470" t="s">
        <v>749</v>
      </c>
      <c r="E633" s="471">
        <v>726</v>
      </c>
      <c r="F633" s="470" t="s">
        <v>930</v>
      </c>
      <c r="G633" s="470" t="s">
        <v>812</v>
      </c>
      <c r="H633" s="470" t="s">
        <v>12</v>
      </c>
      <c r="I633" s="470" t="s">
        <v>931</v>
      </c>
      <c r="J633" s="472" t="s">
        <v>932</v>
      </c>
      <c r="K633" s="470" t="s">
        <v>933</v>
      </c>
      <c r="L633" s="470" t="s">
        <v>934</v>
      </c>
      <c r="M633" s="470" t="s">
        <v>934</v>
      </c>
      <c r="N633" s="470" t="s">
        <v>1075</v>
      </c>
      <c r="O633" s="472" t="s">
        <v>757</v>
      </c>
      <c r="P633" s="472" t="s">
        <v>738</v>
      </c>
      <c r="Q633" s="472" t="s">
        <v>758</v>
      </c>
      <c r="R633" s="472" t="s">
        <v>12</v>
      </c>
      <c r="S633" s="472" t="s">
        <v>12</v>
      </c>
      <c r="T633" s="472" t="s">
        <v>935</v>
      </c>
      <c r="U633" s="470" t="s">
        <v>936</v>
      </c>
      <c r="V633" s="470" t="s">
        <v>761</v>
      </c>
      <c r="W633" s="470" t="s">
        <v>762</v>
      </c>
      <c r="X633" s="470">
        <v>31</v>
      </c>
      <c r="Y633" s="470">
        <v>0</v>
      </c>
      <c r="Z633" s="470">
        <v>0</v>
      </c>
      <c r="AA633" s="470">
        <v>31</v>
      </c>
      <c r="AB633" s="470">
        <v>31</v>
      </c>
      <c r="AC633" s="473">
        <v>27904</v>
      </c>
      <c r="AD633" s="473">
        <v>27904</v>
      </c>
      <c r="AE633" s="473">
        <v>12557</v>
      </c>
      <c r="AF633" s="473">
        <v>5023</v>
      </c>
      <c r="AG633" s="473">
        <v>1600</v>
      </c>
      <c r="AH633" s="473">
        <v>200</v>
      </c>
      <c r="AI633" s="473">
        <v>1250</v>
      </c>
      <c r="AJ633" s="473">
        <v>0</v>
      </c>
      <c r="AK633" s="473">
        <v>0</v>
      </c>
      <c r="AL633" s="473">
        <v>0</v>
      </c>
      <c r="AM633" s="473">
        <v>0</v>
      </c>
      <c r="AN633" s="473">
        <v>0</v>
      </c>
      <c r="AO633" s="473">
        <v>0</v>
      </c>
      <c r="AP633" s="473">
        <v>0</v>
      </c>
      <c r="AQ633" s="473">
        <v>1507</v>
      </c>
      <c r="AR633" s="473">
        <v>5767</v>
      </c>
      <c r="AS633" s="473">
        <v>0</v>
      </c>
      <c r="AT633" s="473">
        <v>0</v>
      </c>
      <c r="AU633" s="473">
        <v>0</v>
      </c>
      <c r="AV633" s="473">
        <v>27904</v>
      </c>
      <c r="AW633" s="474">
        <v>27904</v>
      </c>
      <c r="AX633" s="473">
        <v>0</v>
      </c>
      <c r="AY633" s="473">
        <v>0</v>
      </c>
      <c r="AZ633" s="475">
        <v>0</v>
      </c>
      <c r="BA633" s="475">
        <v>200</v>
      </c>
      <c r="BB633" s="475">
        <v>1507</v>
      </c>
      <c r="BC633" s="475">
        <v>0</v>
      </c>
      <c r="BD633" s="475">
        <v>0</v>
      </c>
      <c r="BE633" s="475">
        <v>0</v>
      </c>
      <c r="BF633" s="475">
        <v>0</v>
      </c>
      <c r="BG633" s="475">
        <v>1707</v>
      </c>
      <c r="BH633" s="476">
        <v>26197</v>
      </c>
      <c r="BI633" s="467"/>
      <c r="BJ633" s="468"/>
    </row>
    <row r="634" spans="1:62">
      <c r="A634" s="469">
        <v>45931</v>
      </c>
      <c r="B634" s="469" t="s">
        <v>747</v>
      </c>
      <c r="C634" s="508" t="s">
        <v>748</v>
      </c>
      <c r="D634" s="470" t="s">
        <v>749</v>
      </c>
      <c r="E634" s="471">
        <v>1722</v>
      </c>
      <c r="F634" s="470" t="s">
        <v>937</v>
      </c>
      <c r="G634" s="470" t="s">
        <v>751</v>
      </c>
      <c r="H634" s="470" t="s">
        <v>12</v>
      </c>
      <c r="I634" s="470" t="s">
        <v>938</v>
      </c>
      <c r="J634" s="472" t="s">
        <v>939</v>
      </c>
      <c r="K634" s="470" t="s">
        <v>940</v>
      </c>
      <c r="L634" s="470" t="s">
        <v>941</v>
      </c>
      <c r="M634" s="470" t="s">
        <v>941</v>
      </c>
      <c r="N634" s="470" t="s">
        <v>756</v>
      </c>
      <c r="O634" s="472" t="s">
        <v>943</v>
      </c>
      <c r="P634" s="472" t="s">
        <v>738</v>
      </c>
      <c r="Q634" s="472" t="s">
        <v>758</v>
      </c>
      <c r="R634" s="472" t="s">
        <v>12</v>
      </c>
      <c r="S634" s="472" t="s">
        <v>12</v>
      </c>
      <c r="T634" s="472" t="s">
        <v>944</v>
      </c>
      <c r="U634" s="470" t="s">
        <v>945</v>
      </c>
      <c r="V634" s="470" t="s">
        <v>761</v>
      </c>
      <c r="W634" s="470" t="s">
        <v>946</v>
      </c>
      <c r="X634" s="470">
        <v>31</v>
      </c>
      <c r="Y634" s="470">
        <v>0</v>
      </c>
      <c r="Z634" s="470">
        <v>1</v>
      </c>
      <c r="AA634" s="470">
        <v>30</v>
      </c>
      <c r="AB634" s="470">
        <v>30</v>
      </c>
      <c r="AC634" s="473">
        <v>434795</v>
      </c>
      <c r="AD634" s="473">
        <v>434795</v>
      </c>
      <c r="AE634" s="473">
        <v>189346</v>
      </c>
      <c r="AF634" s="473">
        <v>75738</v>
      </c>
      <c r="AG634" s="473">
        <v>1548</v>
      </c>
      <c r="AH634" s="473">
        <v>194</v>
      </c>
      <c r="AI634" s="473">
        <v>1210</v>
      </c>
      <c r="AJ634" s="473">
        <v>15773</v>
      </c>
      <c r="AK634" s="473">
        <v>37869</v>
      </c>
      <c r="AL634" s="473">
        <v>28402</v>
      </c>
      <c r="AM634" s="473">
        <v>1893</v>
      </c>
      <c r="AN634" s="473">
        <v>6627</v>
      </c>
      <c r="AO634" s="473">
        <v>3787</v>
      </c>
      <c r="AP634" s="473">
        <v>947</v>
      </c>
      <c r="AQ634" s="473">
        <v>1800</v>
      </c>
      <c r="AR634" s="473">
        <v>55635</v>
      </c>
      <c r="AS634" s="473">
        <v>0</v>
      </c>
      <c r="AT634" s="473">
        <v>0</v>
      </c>
      <c r="AU634" s="473">
        <v>0</v>
      </c>
      <c r="AV634" s="473">
        <v>420769</v>
      </c>
      <c r="AW634" s="474">
        <v>420769</v>
      </c>
      <c r="AX634" s="473">
        <v>0</v>
      </c>
      <c r="AY634" s="473">
        <v>0</v>
      </c>
      <c r="AZ634" s="475">
        <v>144974</v>
      </c>
      <c r="BA634" s="475">
        <v>200</v>
      </c>
      <c r="BB634" s="475">
        <v>1800</v>
      </c>
      <c r="BC634" s="475">
        <v>0</v>
      </c>
      <c r="BD634" s="475">
        <v>0</v>
      </c>
      <c r="BE634" s="475">
        <v>0</v>
      </c>
      <c r="BF634" s="475">
        <v>0</v>
      </c>
      <c r="BG634" s="475">
        <v>146974</v>
      </c>
      <c r="BH634" s="476">
        <v>273795</v>
      </c>
      <c r="BI634" s="467"/>
      <c r="BJ634" s="468"/>
    </row>
    <row r="635" spans="1:62">
      <c r="A635" s="469">
        <v>45931</v>
      </c>
      <c r="B635" s="469" t="s">
        <v>747</v>
      </c>
      <c r="C635" s="508" t="s">
        <v>748</v>
      </c>
      <c r="D635" s="470" t="s">
        <v>749</v>
      </c>
      <c r="E635" s="471">
        <v>2241</v>
      </c>
      <c r="F635" s="470" t="s">
        <v>1407</v>
      </c>
      <c r="G635" s="470" t="s">
        <v>812</v>
      </c>
      <c r="H635" s="470" t="s">
        <v>12</v>
      </c>
      <c r="I635" s="470" t="s">
        <v>1408</v>
      </c>
      <c r="J635" s="472" t="s">
        <v>1409</v>
      </c>
      <c r="K635" s="470" t="s">
        <v>1410</v>
      </c>
      <c r="L635" s="470" t="s">
        <v>1411</v>
      </c>
      <c r="M635" s="470" t="s">
        <v>1411</v>
      </c>
      <c r="N635" s="470" t="s">
        <v>1275</v>
      </c>
      <c r="O635" s="472" t="s">
        <v>757</v>
      </c>
      <c r="P635" s="472" t="s">
        <v>738</v>
      </c>
      <c r="Q635" s="472" t="s">
        <v>758</v>
      </c>
      <c r="R635" s="472" t="s">
        <v>12</v>
      </c>
      <c r="S635" s="472" t="s">
        <v>12</v>
      </c>
      <c r="T635" s="472" t="s">
        <v>1412</v>
      </c>
      <c r="U635" s="470" t="s">
        <v>1413</v>
      </c>
      <c r="V635" s="470" t="s">
        <v>761</v>
      </c>
      <c r="W635" s="470" t="s">
        <v>1414</v>
      </c>
      <c r="X635" s="470">
        <v>31</v>
      </c>
      <c r="Y635" s="470">
        <v>0</v>
      </c>
      <c r="Z635" s="470">
        <v>0</v>
      </c>
      <c r="AA635" s="470">
        <v>23</v>
      </c>
      <c r="AB635" s="470">
        <v>23</v>
      </c>
      <c r="AC635" s="473">
        <v>47367</v>
      </c>
      <c r="AD635" s="473">
        <v>47367</v>
      </c>
      <c r="AE635" s="473">
        <v>15814</v>
      </c>
      <c r="AF635" s="473">
        <v>6326</v>
      </c>
      <c r="AG635" s="473">
        <v>1187</v>
      </c>
      <c r="AH635" s="473">
        <v>200</v>
      </c>
      <c r="AI635" s="473">
        <v>927</v>
      </c>
      <c r="AJ635" s="473">
        <v>1317</v>
      </c>
      <c r="AK635" s="473">
        <v>3163</v>
      </c>
      <c r="AL635" s="473">
        <v>2372</v>
      </c>
      <c r="AM635" s="473">
        <v>158</v>
      </c>
      <c r="AN635" s="473">
        <v>553</v>
      </c>
      <c r="AO635" s="473">
        <v>316</v>
      </c>
      <c r="AP635" s="473">
        <v>79</v>
      </c>
      <c r="AQ635" s="473">
        <v>1800</v>
      </c>
      <c r="AR635" s="473">
        <v>931</v>
      </c>
      <c r="AS635" s="473">
        <v>0</v>
      </c>
      <c r="AT635" s="473">
        <v>0</v>
      </c>
      <c r="AU635" s="473">
        <v>0</v>
      </c>
      <c r="AV635" s="473">
        <v>35143</v>
      </c>
      <c r="AW635" s="474">
        <v>35143</v>
      </c>
      <c r="AX635" s="473">
        <v>0</v>
      </c>
      <c r="AY635" s="473">
        <v>0</v>
      </c>
      <c r="AZ635" s="475">
        <v>0</v>
      </c>
      <c r="BA635" s="475">
        <v>200</v>
      </c>
      <c r="BB635" s="475">
        <v>1800</v>
      </c>
      <c r="BC635" s="475">
        <v>0</v>
      </c>
      <c r="BD635" s="475">
        <v>0</v>
      </c>
      <c r="BE635" s="475">
        <v>0</v>
      </c>
      <c r="BF635" s="475">
        <v>0</v>
      </c>
      <c r="BG635" s="475">
        <v>2000</v>
      </c>
      <c r="BH635" s="476">
        <v>33143</v>
      </c>
      <c r="BI635" s="467"/>
      <c r="BJ635" s="468"/>
    </row>
    <row r="636" spans="1:62">
      <c r="A636" s="469">
        <v>45931</v>
      </c>
      <c r="B636" s="469" t="s">
        <v>747</v>
      </c>
      <c r="C636" s="508" t="s">
        <v>748</v>
      </c>
      <c r="D636" s="470" t="s">
        <v>749</v>
      </c>
      <c r="E636" s="471">
        <v>1937</v>
      </c>
      <c r="F636" s="470" t="s">
        <v>947</v>
      </c>
      <c r="G636" s="470" t="s">
        <v>751</v>
      </c>
      <c r="H636" s="470" t="s">
        <v>12</v>
      </c>
      <c r="I636" s="470" t="s">
        <v>948</v>
      </c>
      <c r="J636" s="472" t="s">
        <v>949</v>
      </c>
      <c r="K636" s="470" t="s">
        <v>950</v>
      </c>
      <c r="L636" s="470" t="s">
        <v>824</v>
      </c>
      <c r="M636" s="470" t="s">
        <v>824</v>
      </c>
      <c r="N636" s="470" t="s">
        <v>1275</v>
      </c>
      <c r="O636" s="472" t="s">
        <v>1276</v>
      </c>
      <c r="P636" s="472" t="s">
        <v>738</v>
      </c>
      <c r="Q636" s="472" t="s">
        <v>758</v>
      </c>
      <c r="R636" s="472" t="s">
        <v>12</v>
      </c>
      <c r="S636" s="472" t="s">
        <v>12</v>
      </c>
      <c r="T636" s="472" t="s">
        <v>951</v>
      </c>
      <c r="U636" s="470" t="s">
        <v>952</v>
      </c>
      <c r="V636" s="470" t="s">
        <v>761</v>
      </c>
      <c r="W636" s="470" t="s">
        <v>859</v>
      </c>
      <c r="X636" s="470">
        <v>31</v>
      </c>
      <c r="Y636" s="470">
        <v>0</v>
      </c>
      <c r="Z636" s="470">
        <v>0</v>
      </c>
      <c r="AA636" s="470">
        <v>31</v>
      </c>
      <c r="AB636" s="470">
        <v>31</v>
      </c>
      <c r="AC636" s="473">
        <v>31533</v>
      </c>
      <c r="AD636" s="473">
        <v>31533</v>
      </c>
      <c r="AE636" s="473">
        <v>14190</v>
      </c>
      <c r="AF636" s="473">
        <v>5676</v>
      </c>
      <c r="AG636" s="473">
        <v>1600</v>
      </c>
      <c r="AH636" s="473">
        <v>200</v>
      </c>
      <c r="AI636" s="473">
        <v>1250</v>
      </c>
      <c r="AJ636" s="473">
        <v>0</v>
      </c>
      <c r="AK636" s="473">
        <v>0</v>
      </c>
      <c r="AL636" s="473">
        <v>0</v>
      </c>
      <c r="AM636" s="473">
        <v>0</v>
      </c>
      <c r="AN636" s="473">
        <v>0</v>
      </c>
      <c r="AO636" s="473">
        <v>0</v>
      </c>
      <c r="AP636" s="473">
        <v>0</v>
      </c>
      <c r="AQ636" s="473">
        <v>1703</v>
      </c>
      <c r="AR636" s="473">
        <v>6914</v>
      </c>
      <c r="AS636" s="473">
        <v>0</v>
      </c>
      <c r="AT636" s="473">
        <v>0</v>
      </c>
      <c r="AU636" s="473">
        <v>2810</v>
      </c>
      <c r="AV636" s="473">
        <v>34343</v>
      </c>
      <c r="AW636" s="474">
        <v>31533</v>
      </c>
      <c r="AX636" s="473">
        <v>0</v>
      </c>
      <c r="AY636" s="473">
        <v>0</v>
      </c>
      <c r="AZ636" s="475">
        <v>0</v>
      </c>
      <c r="BA636" s="475">
        <v>200</v>
      </c>
      <c r="BB636" s="475">
        <v>1703</v>
      </c>
      <c r="BC636" s="475">
        <v>0</v>
      </c>
      <c r="BD636" s="475">
        <v>0</v>
      </c>
      <c r="BE636" s="475">
        <v>0</v>
      </c>
      <c r="BF636" s="475">
        <v>0</v>
      </c>
      <c r="BG636" s="475">
        <v>1903</v>
      </c>
      <c r="BH636" s="476">
        <v>32440</v>
      </c>
      <c r="BI636" s="467"/>
      <c r="BJ636" s="468"/>
    </row>
    <row r="637" spans="1:62">
      <c r="A637" s="469">
        <v>45931</v>
      </c>
      <c r="B637" s="469" t="s">
        <v>747</v>
      </c>
      <c r="C637" s="508" t="s">
        <v>748</v>
      </c>
      <c r="D637" s="470" t="s">
        <v>749</v>
      </c>
      <c r="E637" s="471">
        <v>382</v>
      </c>
      <c r="F637" s="470" t="s">
        <v>953</v>
      </c>
      <c r="G637" s="470" t="s">
        <v>751</v>
      </c>
      <c r="H637" s="470" t="s">
        <v>12</v>
      </c>
      <c r="I637" s="470" t="s">
        <v>954</v>
      </c>
      <c r="J637" s="472" t="s">
        <v>955</v>
      </c>
      <c r="K637" s="470" t="s">
        <v>956</v>
      </c>
      <c r="L637" s="470" t="s">
        <v>1305</v>
      </c>
      <c r="M637" s="470" t="s">
        <v>1305</v>
      </c>
      <c r="N637" s="470" t="s">
        <v>833</v>
      </c>
      <c r="O637" s="472" t="s">
        <v>757</v>
      </c>
      <c r="P637" s="472" t="s">
        <v>738</v>
      </c>
      <c r="Q637" s="472" t="s">
        <v>758</v>
      </c>
      <c r="R637" s="472" t="s">
        <v>12</v>
      </c>
      <c r="S637" s="472" t="s">
        <v>12</v>
      </c>
      <c r="T637" s="472" t="s">
        <v>958</v>
      </c>
      <c r="U637" s="470" t="s">
        <v>959</v>
      </c>
      <c r="V637" s="470" t="s">
        <v>761</v>
      </c>
      <c r="W637" s="470" t="s">
        <v>960</v>
      </c>
      <c r="X637" s="470">
        <v>31</v>
      </c>
      <c r="Y637" s="470">
        <v>0</v>
      </c>
      <c r="Z637" s="470">
        <v>1</v>
      </c>
      <c r="AA637" s="470">
        <v>30</v>
      </c>
      <c r="AB637" s="470">
        <v>30</v>
      </c>
      <c r="AC637" s="473">
        <v>36950</v>
      </c>
      <c r="AD637" s="473">
        <v>36950</v>
      </c>
      <c r="AE637" s="473">
        <v>16091</v>
      </c>
      <c r="AF637" s="473">
        <v>6436</v>
      </c>
      <c r="AG637" s="473">
        <v>1548</v>
      </c>
      <c r="AH637" s="473">
        <v>194</v>
      </c>
      <c r="AI637" s="473">
        <v>1210</v>
      </c>
      <c r="AJ637" s="473">
        <v>0</v>
      </c>
      <c r="AK637" s="473">
        <v>0</v>
      </c>
      <c r="AL637" s="473">
        <v>0</v>
      </c>
      <c r="AM637" s="473">
        <v>0</v>
      </c>
      <c r="AN637" s="473">
        <v>0</v>
      </c>
      <c r="AO637" s="473">
        <v>0</v>
      </c>
      <c r="AP637" s="473">
        <v>0</v>
      </c>
      <c r="AQ637" s="473">
        <v>1800</v>
      </c>
      <c r="AR637" s="473">
        <v>8479</v>
      </c>
      <c r="AS637" s="473">
        <v>0</v>
      </c>
      <c r="AT637" s="473">
        <v>0</v>
      </c>
      <c r="AU637" s="473">
        <v>7985</v>
      </c>
      <c r="AV637" s="473">
        <v>43743</v>
      </c>
      <c r="AW637" s="474">
        <v>35758</v>
      </c>
      <c r="AX637" s="473">
        <v>0</v>
      </c>
      <c r="AY637" s="473">
        <v>0</v>
      </c>
      <c r="AZ637" s="475">
        <v>0</v>
      </c>
      <c r="BA637" s="475">
        <v>200</v>
      </c>
      <c r="BB637" s="475">
        <v>1800</v>
      </c>
      <c r="BC637" s="475">
        <v>0</v>
      </c>
      <c r="BD637" s="475">
        <v>0</v>
      </c>
      <c r="BE637" s="475">
        <v>0</v>
      </c>
      <c r="BF637" s="475">
        <v>0</v>
      </c>
      <c r="BG637" s="475">
        <v>2000</v>
      </c>
      <c r="BH637" s="476">
        <v>41743</v>
      </c>
      <c r="BI637" s="467"/>
      <c r="BJ637" s="468"/>
    </row>
    <row r="638" spans="1:62">
      <c r="A638" s="469">
        <v>45931</v>
      </c>
      <c r="B638" s="469" t="s">
        <v>747</v>
      </c>
      <c r="C638" s="508" t="s">
        <v>748</v>
      </c>
      <c r="D638" s="470" t="s">
        <v>749</v>
      </c>
      <c r="E638" s="471">
        <v>511</v>
      </c>
      <c r="F638" s="470" t="s">
        <v>961</v>
      </c>
      <c r="G638" s="470" t="s">
        <v>751</v>
      </c>
      <c r="H638" s="470" t="s">
        <v>12</v>
      </c>
      <c r="I638" s="470" t="s">
        <v>962</v>
      </c>
      <c r="J638" s="472" t="s">
        <v>963</v>
      </c>
      <c r="K638" s="470" t="s">
        <v>964</v>
      </c>
      <c r="L638" s="470" t="s">
        <v>1351</v>
      </c>
      <c r="M638" s="470" t="s">
        <v>776</v>
      </c>
      <c r="N638" s="470" t="s">
        <v>833</v>
      </c>
      <c r="O638" s="472" t="s">
        <v>757</v>
      </c>
      <c r="P638" s="472" t="s">
        <v>738</v>
      </c>
      <c r="Q638" s="472" t="s">
        <v>758</v>
      </c>
      <c r="R638" s="472" t="s">
        <v>12</v>
      </c>
      <c r="S638" s="472" t="s">
        <v>12</v>
      </c>
      <c r="T638" s="472" t="s">
        <v>965</v>
      </c>
      <c r="U638" s="470" t="s">
        <v>966</v>
      </c>
      <c r="V638" s="470" t="s">
        <v>761</v>
      </c>
      <c r="W638" s="470" t="s">
        <v>845</v>
      </c>
      <c r="X638" s="470">
        <v>31</v>
      </c>
      <c r="Y638" s="470">
        <v>0</v>
      </c>
      <c r="Z638" s="470">
        <v>1</v>
      </c>
      <c r="AA638" s="470">
        <v>30</v>
      </c>
      <c r="AB638" s="470">
        <v>30</v>
      </c>
      <c r="AC638" s="473">
        <v>43308</v>
      </c>
      <c r="AD638" s="473">
        <v>43308</v>
      </c>
      <c r="AE638" s="473">
        <v>18860</v>
      </c>
      <c r="AF638" s="473">
        <v>7544</v>
      </c>
      <c r="AG638" s="473">
        <v>1548</v>
      </c>
      <c r="AH638" s="473">
        <v>194</v>
      </c>
      <c r="AI638" s="473">
        <v>1210</v>
      </c>
      <c r="AJ638" s="473">
        <v>1571</v>
      </c>
      <c r="AK638" s="473">
        <v>3772</v>
      </c>
      <c r="AL638" s="473">
        <v>2829</v>
      </c>
      <c r="AM638" s="473">
        <v>189</v>
      </c>
      <c r="AN638" s="473">
        <v>660</v>
      </c>
      <c r="AO638" s="473">
        <v>377</v>
      </c>
      <c r="AP638" s="473">
        <v>94</v>
      </c>
      <c r="AQ638" s="473">
        <v>1800</v>
      </c>
      <c r="AR638" s="473">
        <v>1263</v>
      </c>
      <c r="AS638" s="473">
        <v>0</v>
      </c>
      <c r="AT638" s="473">
        <v>0</v>
      </c>
      <c r="AU638" s="473">
        <v>9630</v>
      </c>
      <c r="AV638" s="473">
        <v>51541</v>
      </c>
      <c r="AW638" s="474">
        <v>41911</v>
      </c>
      <c r="AX638" s="473">
        <v>0</v>
      </c>
      <c r="AY638" s="473">
        <v>0</v>
      </c>
      <c r="AZ638" s="475">
        <v>0</v>
      </c>
      <c r="BA638" s="475">
        <v>200</v>
      </c>
      <c r="BB638" s="475">
        <v>1800</v>
      </c>
      <c r="BC638" s="475">
        <v>0</v>
      </c>
      <c r="BD638" s="475">
        <v>0</v>
      </c>
      <c r="BE638" s="475">
        <v>0</v>
      </c>
      <c r="BF638" s="475">
        <v>0</v>
      </c>
      <c r="BG638" s="475">
        <v>2000</v>
      </c>
      <c r="BH638" s="476">
        <v>49541</v>
      </c>
      <c r="BI638" s="467"/>
      <c r="BJ638" s="468"/>
    </row>
    <row r="639" spans="1:62">
      <c r="A639" s="469">
        <v>45931</v>
      </c>
      <c r="B639" s="469" t="s">
        <v>747</v>
      </c>
      <c r="C639" s="508" t="s">
        <v>748</v>
      </c>
      <c r="D639" s="470" t="s">
        <v>749</v>
      </c>
      <c r="E639" s="471">
        <v>2062</v>
      </c>
      <c r="F639" s="470" t="s">
        <v>967</v>
      </c>
      <c r="G639" s="470" t="s">
        <v>751</v>
      </c>
      <c r="H639" s="470" t="s">
        <v>12</v>
      </c>
      <c r="I639" s="470" t="s">
        <v>968</v>
      </c>
      <c r="J639" s="472" t="s">
        <v>969</v>
      </c>
      <c r="K639" s="470" t="s">
        <v>970</v>
      </c>
      <c r="L639" s="470" t="s">
        <v>971</v>
      </c>
      <c r="M639" s="470" t="s">
        <v>971</v>
      </c>
      <c r="N639" s="470" t="s">
        <v>756</v>
      </c>
      <c r="O639" s="472" t="s">
        <v>792</v>
      </c>
      <c r="P639" s="472" t="s">
        <v>738</v>
      </c>
      <c r="Q639" s="472" t="s">
        <v>758</v>
      </c>
      <c r="R639" s="472" t="s">
        <v>12</v>
      </c>
      <c r="S639" s="472" t="s">
        <v>12</v>
      </c>
      <c r="T639" s="472" t="s">
        <v>972</v>
      </c>
      <c r="U639" s="470" t="s">
        <v>1362</v>
      </c>
      <c r="V639" s="470" t="s">
        <v>761</v>
      </c>
      <c r="W639" s="470" t="s">
        <v>974</v>
      </c>
      <c r="X639" s="470">
        <v>31</v>
      </c>
      <c r="Y639" s="470">
        <v>0</v>
      </c>
      <c r="Z639" s="470">
        <v>0</v>
      </c>
      <c r="AA639" s="470">
        <v>31</v>
      </c>
      <c r="AB639" s="470">
        <v>31</v>
      </c>
      <c r="AC639" s="473">
        <v>181533</v>
      </c>
      <c r="AD639" s="473">
        <v>181533</v>
      </c>
      <c r="AE639" s="473">
        <v>81690</v>
      </c>
      <c r="AF639" s="473">
        <v>32676</v>
      </c>
      <c r="AG639" s="473">
        <v>1600</v>
      </c>
      <c r="AH639" s="473">
        <v>200</v>
      </c>
      <c r="AI639" s="473">
        <v>1250</v>
      </c>
      <c r="AJ639" s="473">
        <v>6805</v>
      </c>
      <c r="AK639" s="473">
        <v>16338</v>
      </c>
      <c r="AL639" s="473">
        <v>12254</v>
      </c>
      <c r="AM639" s="473">
        <v>817</v>
      </c>
      <c r="AN639" s="473">
        <v>2859</v>
      </c>
      <c r="AO639" s="473">
        <v>1634</v>
      </c>
      <c r="AP639" s="473">
        <v>408</v>
      </c>
      <c r="AQ639" s="473">
        <v>1800</v>
      </c>
      <c r="AR639" s="473">
        <v>21202</v>
      </c>
      <c r="AS639" s="473">
        <v>0</v>
      </c>
      <c r="AT639" s="473">
        <v>0</v>
      </c>
      <c r="AU639" s="473">
        <v>7690</v>
      </c>
      <c r="AV639" s="473">
        <v>189223</v>
      </c>
      <c r="AW639" s="474">
        <v>181533</v>
      </c>
      <c r="AX639" s="473">
        <v>0</v>
      </c>
      <c r="AY639" s="473">
        <v>0</v>
      </c>
      <c r="AZ639" s="475">
        <v>18542</v>
      </c>
      <c r="BA639" s="475">
        <v>200</v>
      </c>
      <c r="BB639" s="475">
        <v>1800</v>
      </c>
      <c r="BC639" s="475">
        <v>0</v>
      </c>
      <c r="BD639" s="475">
        <v>0</v>
      </c>
      <c r="BE639" s="475">
        <v>0</v>
      </c>
      <c r="BF639" s="475">
        <v>0</v>
      </c>
      <c r="BG639" s="475">
        <v>20542</v>
      </c>
      <c r="BH639" s="476">
        <v>168681</v>
      </c>
      <c r="BI639" s="467"/>
      <c r="BJ639" s="468"/>
    </row>
    <row r="640" spans="1:62">
      <c r="A640" s="469">
        <v>45931</v>
      </c>
      <c r="B640" s="469" t="s">
        <v>747</v>
      </c>
      <c r="C640" s="508" t="s">
        <v>748</v>
      </c>
      <c r="D640" s="470" t="s">
        <v>749</v>
      </c>
      <c r="E640" s="471">
        <v>1092</v>
      </c>
      <c r="F640" s="470" t="s">
        <v>975</v>
      </c>
      <c r="G640" s="470" t="s">
        <v>751</v>
      </c>
      <c r="H640" s="470" t="s">
        <v>12</v>
      </c>
      <c r="I640" s="470" t="s">
        <v>976</v>
      </c>
      <c r="J640" s="472" t="s">
        <v>977</v>
      </c>
      <c r="K640" s="470" t="s">
        <v>978</v>
      </c>
      <c r="L640" s="470" t="s">
        <v>1345</v>
      </c>
      <c r="M640" s="470" t="s">
        <v>1345</v>
      </c>
      <c r="N640" s="470" t="s">
        <v>1275</v>
      </c>
      <c r="O640" s="472" t="s">
        <v>757</v>
      </c>
      <c r="P640" s="472" t="s">
        <v>738</v>
      </c>
      <c r="Q640" s="472" t="s">
        <v>758</v>
      </c>
      <c r="R640" s="472" t="s">
        <v>12</v>
      </c>
      <c r="S640" s="472" t="s">
        <v>12</v>
      </c>
      <c r="T640" s="472" t="s">
        <v>981</v>
      </c>
      <c r="U640" s="470" t="s">
        <v>982</v>
      </c>
      <c r="V640" s="470" t="s">
        <v>761</v>
      </c>
      <c r="W640" s="470" t="s">
        <v>762</v>
      </c>
      <c r="X640" s="470">
        <v>31</v>
      </c>
      <c r="Y640" s="470">
        <v>0</v>
      </c>
      <c r="Z640" s="470">
        <v>0</v>
      </c>
      <c r="AA640" s="470">
        <v>31</v>
      </c>
      <c r="AB640" s="470">
        <v>31</v>
      </c>
      <c r="AC640" s="473">
        <v>71927</v>
      </c>
      <c r="AD640" s="473">
        <v>71927</v>
      </c>
      <c r="AE640" s="473">
        <v>32367</v>
      </c>
      <c r="AF640" s="473">
        <v>12947</v>
      </c>
      <c r="AG640" s="473">
        <v>1600</v>
      </c>
      <c r="AH640" s="473">
        <v>200</v>
      </c>
      <c r="AI640" s="473">
        <v>1250</v>
      </c>
      <c r="AJ640" s="473">
        <v>2696</v>
      </c>
      <c r="AK640" s="473">
        <v>6473</v>
      </c>
      <c r="AL640" s="473">
        <v>4855</v>
      </c>
      <c r="AM640" s="473">
        <v>324</v>
      </c>
      <c r="AN640" s="473">
        <v>1133</v>
      </c>
      <c r="AO640" s="473">
        <v>647</v>
      </c>
      <c r="AP640" s="473">
        <v>162</v>
      </c>
      <c r="AQ640" s="473">
        <v>1800</v>
      </c>
      <c r="AR640" s="473">
        <v>5473</v>
      </c>
      <c r="AS640" s="473">
        <v>0</v>
      </c>
      <c r="AT640" s="473">
        <v>0</v>
      </c>
      <c r="AU640" s="473">
        <v>1118</v>
      </c>
      <c r="AV640" s="473">
        <v>73045</v>
      </c>
      <c r="AW640" s="474">
        <v>71927</v>
      </c>
      <c r="AX640" s="473">
        <v>0</v>
      </c>
      <c r="AY640" s="473">
        <v>0</v>
      </c>
      <c r="AZ640" s="475">
        <v>0</v>
      </c>
      <c r="BA640" s="475">
        <v>200</v>
      </c>
      <c r="BB640" s="475">
        <v>1800</v>
      </c>
      <c r="BC640" s="475">
        <v>0</v>
      </c>
      <c r="BD640" s="475">
        <v>0</v>
      </c>
      <c r="BE640" s="475">
        <v>0</v>
      </c>
      <c r="BF640" s="475">
        <v>0</v>
      </c>
      <c r="BG640" s="475">
        <v>2000</v>
      </c>
      <c r="BH640" s="476">
        <v>71045</v>
      </c>
      <c r="BI640" s="467"/>
      <c r="BJ640" s="468"/>
    </row>
    <row r="641" spans="1:62">
      <c r="A641" s="469">
        <v>45931</v>
      </c>
      <c r="B641" s="469" t="s">
        <v>747</v>
      </c>
      <c r="C641" s="508" t="s">
        <v>748</v>
      </c>
      <c r="D641" s="470" t="s">
        <v>749</v>
      </c>
      <c r="E641" s="471">
        <v>1506</v>
      </c>
      <c r="F641" s="470" t="s">
        <v>983</v>
      </c>
      <c r="G641" s="470" t="s">
        <v>751</v>
      </c>
      <c r="H641" s="470" t="s">
        <v>12</v>
      </c>
      <c r="I641" s="470" t="s">
        <v>984</v>
      </c>
      <c r="J641" s="472" t="s">
        <v>985</v>
      </c>
      <c r="K641" s="470" t="s">
        <v>986</v>
      </c>
      <c r="L641" s="470" t="s">
        <v>987</v>
      </c>
      <c r="M641" s="470" t="s">
        <v>987</v>
      </c>
      <c r="N641" s="470" t="s">
        <v>756</v>
      </c>
      <c r="O641" s="472" t="s">
        <v>757</v>
      </c>
      <c r="P641" s="472" t="s">
        <v>738</v>
      </c>
      <c r="Q641" s="472" t="s">
        <v>758</v>
      </c>
      <c r="R641" s="472" t="s">
        <v>12</v>
      </c>
      <c r="S641" s="472" t="s">
        <v>12</v>
      </c>
      <c r="T641" s="472" t="s">
        <v>988</v>
      </c>
      <c r="U641" s="470" t="s">
        <v>989</v>
      </c>
      <c r="V641" s="470" t="s">
        <v>761</v>
      </c>
      <c r="W641" s="470" t="s">
        <v>762</v>
      </c>
      <c r="X641" s="470">
        <v>31</v>
      </c>
      <c r="Y641" s="470">
        <v>0</v>
      </c>
      <c r="Z641" s="470">
        <v>0</v>
      </c>
      <c r="AA641" s="470">
        <v>31</v>
      </c>
      <c r="AB641" s="470">
        <v>31</v>
      </c>
      <c r="AC641" s="473">
        <v>49575</v>
      </c>
      <c r="AD641" s="473">
        <v>49575</v>
      </c>
      <c r="AE641" s="473">
        <v>22309</v>
      </c>
      <c r="AF641" s="473">
        <v>8924</v>
      </c>
      <c r="AG641" s="473">
        <v>1600</v>
      </c>
      <c r="AH641" s="473">
        <v>200</v>
      </c>
      <c r="AI641" s="473">
        <v>1250</v>
      </c>
      <c r="AJ641" s="473">
        <v>1858</v>
      </c>
      <c r="AK641" s="473">
        <v>4462</v>
      </c>
      <c r="AL641" s="473">
        <v>3346</v>
      </c>
      <c r="AM641" s="473">
        <v>223</v>
      </c>
      <c r="AN641" s="473">
        <v>781</v>
      </c>
      <c r="AO641" s="473">
        <v>446</v>
      </c>
      <c r="AP641" s="473">
        <v>112</v>
      </c>
      <c r="AQ641" s="473">
        <v>1800</v>
      </c>
      <c r="AR641" s="473">
        <v>2264</v>
      </c>
      <c r="AS641" s="473">
        <v>0</v>
      </c>
      <c r="AT641" s="473">
        <v>0</v>
      </c>
      <c r="AU641" s="473">
        <v>0</v>
      </c>
      <c r="AV641" s="473">
        <v>49575</v>
      </c>
      <c r="AW641" s="474">
        <v>49575</v>
      </c>
      <c r="AX641" s="473">
        <v>0</v>
      </c>
      <c r="AY641" s="473">
        <v>0</v>
      </c>
      <c r="AZ641" s="475">
        <v>0</v>
      </c>
      <c r="BA641" s="475">
        <v>200</v>
      </c>
      <c r="BB641" s="475">
        <v>1800</v>
      </c>
      <c r="BC641" s="475">
        <v>0</v>
      </c>
      <c r="BD641" s="475">
        <v>0</v>
      </c>
      <c r="BE641" s="475">
        <v>0</v>
      </c>
      <c r="BF641" s="475">
        <v>0</v>
      </c>
      <c r="BG641" s="475">
        <v>2000</v>
      </c>
      <c r="BH641" s="476">
        <v>47575</v>
      </c>
      <c r="BI641" s="467"/>
      <c r="BJ641" s="468"/>
    </row>
    <row r="642" spans="1:62">
      <c r="A642" s="469">
        <v>45931</v>
      </c>
      <c r="B642" s="469" t="s">
        <v>747</v>
      </c>
      <c r="C642" s="508" t="s">
        <v>748</v>
      </c>
      <c r="D642" s="470" t="s">
        <v>749</v>
      </c>
      <c r="E642" s="471">
        <v>1700</v>
      </c>
      <c r="F642" s="470" t="s">
        <v>990</v>
      </c>
      <c r="G642" s="470" t="s">
        <v>751</v>
      </c>
      <c r="H642" s="470" t="s">
        <v>12</v>
      </c>
      <c r="I642" s="470" t="s">
        <v>991</v>
      </c>
      <c r="J642" s="472" t="s">
        <v>992</v>
      </c>
      <c r="K642" s="470" t="s">
        <v>993</v>
      </c>
      <c r="L642" s="470" t="s">
        <v>1345</v>
      </c>
      <c r="M642" s="470" t="s">
        <v>1345</v>
      </c>
      <c r="N642" s="470" t="s">
        <v>1275</v>
      </c>
      <c r="O642" s="472" t="s">
        <v>757</v>
      </c>
      <c r="P642" s="472" t="s">
        <v>738</v>
      </c>
      <c r="Q642" s="472" t="s">
        <v>758</v>
      </c>
      <c r="R642" s="472" t="s">
        <v>12</v>
      </c>
      <c r="S642" s="472" t="s">
        <v>12</v>
      </c>
      <c r="T642" s="472" t="s">
        <v>995</v>
      </c>
      <c r="U642" s="470" t="s">
        <v>996</v>
      </c>
      <c r="V642" s="470" t="s">
        <v>761</v>
      </c>
      <c r="W642" s="470" t="s">
        <v>859</v>
      </c>
      <c r="X642" s="470">
        <v>31</v>
      </c>
      <c r="Y642" s="470">
        <v>0</v>
      </c>
      <c r="Z642" s="470">
        <v>0</v>
      </c>
      <c r="AA642" s="470">
        <v>31</v>
      </c>
      <c r="AB642" s="470">
        <v>31</v>
      </c>
      <c r="AC642" s="473">
        <v>79907</v>
      </c>
      <c r="AD642" s="473">
        <v>79907</v>
      </c>
      <c r="AE642" s="473">
        <v>35958</v>
      </c>
      <c r="AF642" s="473">
        <v>14383</v>
      </c>
      <c r="AG642" s="473">
        <v>1600</v>
      </c>
      <c r="AH642" s="473">
        <v>200</v>
      </c>
      <c r="AI642" s="473">
        <v>1250</v>
      </c>
      <c r="AJ642" s="473">
        <v>2995</v>
      </c>
      <c r="AK642" s="473">
        <v>7192</v>
      </c>
      <c r="AL642" s="473">
        <v>5394</v>
      </c>
      <c r="AM642" s="473">
        <v>360</v>
      </c>
      <c r="AN642" s="473">
        <v>1259</v>
      </c>
      <c r="AO642" s="473">
        <v>719</v>
      </c>
      <c r="AP642" s="473">
        <v>180</v>
      </c>
      <c r="AQ642" s="473">
        <v>1800</v>
      </c>
      <c r="AR642" s="473">
        <v>6617</v>
      </c>
      <c r="AS642" s="473">
        <v>0</v>
      </c>
      <c r="AT642" s="473">
        <v>7991</v>
      </c>
      <c r="AU642" s="473">
        <v>1010</v>
      </c>
      <c r="AV642" s="473">
        <v>88908</v>
      </c>
      <c r="AW642" s="474">
        <v>87898</v>
      </c>
      <c r="AX642" s="473">
        <v>0</v>
      </c>
      <c r="AY642" s="473">
        <v>0</v>
      </c>
      <c r="AZ642" s="475">
        <v>0</v>
      </c>
      <c r="BA642" s="475">
        <v>200</v>
      </c>
      <c r="BB642" s="475">
        <v>1800</v>
      </c>
      <c r="BC642" s="475">
        <v>0</v>
      </c>
      <c r="BD642" s="475">
        <v>0</v>
      </c>
      <c r="BE642" s="475">
        <v>0</v>
      </c>
      <c r="BF642" s="475">
        <v>0</v>
      </c>
      <c r="BG642" s="475">
        <v>2000</v>
      </c>
      <c r="BH642" s="476">
        <v>86908</v>
      </c>
      <c r="BI642" s="467"/>
      <c r="BJ642" s="468"/>
    </row>
    <row r="643" spans="1:62">
      <c r="A643" s="469">
        <v>45931</v>
      </c>
      <c r="B643" s="469" t="s">
        <v>747</v>
      </c>
      <c r="C643" s="508" t="s">
        <v>748</v>
      </c>
      <c r="D643" s="470" t="s">
        <v>749</v>
      </c>
      <c r="E643" s="471">
        <v>435</v>
      </c>
      <c r="F643" s="470" t="s">
        <v>997</v>
      </c>
      <c r="G643" s="470" t="s">
        <v>751</v>
      </c>
      <c r="H643" s="470" t="s">
        <v>12</v>
      </c>
      <c r="I643" s="470" t="s">
        <v>998</v>
      </c>
      <c r="J643" s="472" t="s">
        <v>999</v>
      </c>
      <c r="K643" s="470" t="s">
        <v>1000</v>
      </c>
      <c r="L643" s="470" t="s">
        <v>832</v>
      </c>
      <c r="M643" s="470" t="s">
        <v>832</v>
      </c>
      <c r="N643" s="470" t="s">
        <v>833</v>
      </c>
      <c r="O643" s="472" t="s">
        <v>757</v>
      </c>
      <c r="P643" s="472" t="s">
        <v>738</v>
      </c>
      <c r="Q643" s="472" t="s">
        <v>758</v>
      </c>
      <c r="R643" s="472" t="s">
        <v>12</v>
      </c>
      <c r="S643" s="472" t="s">
        <v>12</v>
      </c>
      <c r="T643" s="472" t="s">
        <v>1001</v>
      </c>
      <c r="U643" s="470" t="s">
        <v>1002</v>
      </c>
      <c r="V643" s="470" t="s">
        <v>761</v>
      </c>
      <c r="W643" s="470" t="s">
        <v>762</v>
      </c>
      <c r="X643" s="470">
        <v>31</v>
      </c>
      <c r="Y643" s="470">
        <v>0</v>
      </c>
      <c r="Z643" s="470">
        <v>0</v>
      </c>
      <c r="AA643" s="470">
        <v>10</v>
      </c>
      <c r="AB643" s="470">
        <v>10</v>
      </c>
      <c r="AC643" s="473">
        <v>33167</v>
      </c>
      <c r="AD643" s="473">
        <v>33167</v>
      </c>
      <c r="AE643" s="473">
        <v>4815</v>
      </c>
      <c r="AF643" s="473">
        <v>1926</v>
      </c>
      <c r="AG643" s="473">
        <v>516</v>
      </c>
      <c r="AH643" s="473">
        <v>200</v>
      </c>
      <c r="AI643" s="473">
        <v>403</v>
      </c>
      <c r="AJ643" s="473">
        <v>0</v>
      </c>
      <c r="AK643" s="473">
        <v>0</v>
      </c>
      <c r="AL643" s="473">
        <v>0</v>
      </c>
      <c r="AM643" s="473">
        <v>0</v>
      </c>
      <c r="AN643" s="473">
        <v>0</v>
      </c>
      <c r="AO643" s="473">
        <v>0</v>
      </c>
      <c r="AP643" s="473">
        <v>0</v>
      </c>
      <c r="AQ643" s="473">
        <v>578</v>
      </c>
      <c r="AR643" s="473">
        <v>2261</v>
      </c>
      <c r="AS643" s="473">
        <v>0</v>
      </c>
      <c r="AT643" s="473">
        <v>0</v>
      </c>
      <c r="AU643" s="473">
        <v>5587</v>
      </c>
      <c r="AV643" s="473">
        <v>16286</v>
      </c>
      <c r="AW643" s="474">
        <v>10699</v>
      </c>
      <c r="AX643" s="473">
        <v>0</v>
      </c>
      <c r="AY643" s="473">
        <v>0</v>
      </c>
      <c r="AZ643" s="475">
        <v>0</v>
      </c>
      <c r="BA643" s="475">
        <v>200</v>
      </c>
      <c r="BB643" s="475">
        <v>578</v>
      </c>
      <c r="BC643" s="475">
        <v>0</v>
      </c>
      <c r="BD643" s="475">
        <v>0</v>
      </c>
      <c r="BE643" s="475">
        <v>0</v>
      </c>
      <c r="BF643" s="475">
        <v>0</v>
      </c>
      <c r="BG643" s="475">
        <v>778</v>
      </c>
      <c r="BH643" s="476">
        <v>15508</v>
      </c>
      <c r="BI643" s="467"/>
      <c r="BJ643" s="468"/>
    </row>
    <row r="644" spans="1:62">
      <c r="A644" s="469">
        <v>45931</v>
      </c>
      <c r="B644" s="469" t="s">
        <v>747</v>
      </c>
      <c r="C644" s="508" t="s">
        <v>748</v>
      </c>
      <c r="D644" s="470" t="s">
        <v>749</v>
      </c>
      <c r="E644" s="471">
        <v>1033</v>
      </c>
      <c r="F644" s="470" t="s">
        <v>668</v>
      </c>
      <c r="G644" s="470" t="s">
        <v>751</v>
      </c>
      <c r="H644" s="470" t="s">
        <v>12</v>
      </c>
      <c r="I644" s="470" t="s">
        <v>1003</v>
      </c>
      <c r="J644" s="472" t="s">
        <v>1004</v>
      </c>
      <c r="K644" s="470" t="s">
        <v>1005</v>
      </c>
      <c r="L644" s="470" t="s">
        <v>1291</v>
      </c>
      <c r="M644" s="470" t="s">
        <v>1291</v>
      </c>
      <c r="N644" s="470" t="s">
        <v>1275</v>
      </c>
      <c r="O644" s="472" t="s">
        <v>757</v>
      </c>
      <c r="P644" s="472" t="s">
        <v>738</v>
      </c>
      <c r="Q644" s="472" t="s">
        <v>758</v>
      </c>
      <c r="R644" s="472" t="s">
        <v>12</v>
      </c>
      <c r="S644" s="472" t="s">
        <v>12</v>
      </c>
      <c r="T644" s="472" t="s">
        <v>1007</v>
      </c>
      <c r="U644" s="470" t="s">
        <v>1008</v>
      </c>
      <c r="V644" s="470" t="s">
        <v>761</v>
      </c>
      <c r="W644" s="470" t="s">
        <v>1009</v>
      </c>
      <c r="X644" s="470">
        <v>31</v>
      </c>
      <c r="Y644" s="470">
        <v>0</v>
      </c>
      <c r="Z644" s="470">
        <v>0</v>
      </c>
      <c r="AA644" s="470">
        <v>31</v>
      </c>
      <c r="AB644" s="470">
        <v>31</v>
      </c>
      <c r="AC644" s="473">
        <v>118333</v>
      </c>
      <c r="AD644" s="473">
        <v>118333</v>
      </c>
      <c r="AE644" s="473">
        <v>53250</v>
      </c>
      <c r="AF644" s="473">
        <v>21300</v>
      </c>
      <c r="AG644" s="473">
        <v>1600</v>
      </c>
      <c r="AH644" s="473">
        <v>200</v>
      </c>
      <c r="AI644" s="473">
        <v>1250</v>
      </c>
      <c r="AJ644" s="473">
        <v>4436</v>
      </c>
      <c r="AK644" s="473">
        <v>10650</v>
      </c>
      <c r="AL644" s="473">
        <v>7988</v>
      </c>
      <c r="AM644" s="473">
        <v>533</v>
      </c>
      <c r="AN644" s="473">
        <v>1864</v>
      </c>
      <c r="AO644" s="473">
        <v>1065</v>
      </c>
      <c r="AP644" s="473">
        <v>266</v>
      </c>
      <c r="AQ644" s="473">
        <v>1800</v>
      </c>
      <c r="AR644" s="473">
        <v>12131</v>
      </c>
      <c r="AS644" s="473">
        <v>0</v>
      </c>
      <c r="AT644" s="473">
        <v>0</v>
      </c>
      <c r="AU644" s="473">
        <v>352</v>
      </c>
      <c r="AV644" s="473">
        <v>118685</v>
      </c>
      <c r="AW644" s="474">
        <v>118333</v>
      </c>
      <c r="AX644" s="473">
        <v>0</v>
      </c>
      <c r="AY644" s="473">
        <v>0</v>
      </c>
      <c r="AZ644" s="475">
        <v>9555</v>
      </c>
      <c r="BA644" s="475">
        <v>200</v>
      </c>
      <c r="BB644" s="475">
        <v>1800</v>
      </c>
      <c r="BC644" s="475">
        <v>0</v>
      </c>
      <c r="BD644" s="475">
        <v>0</v>
      </c>
      <c r="BE644" s="475">
        <v>0</v>
      </c>
      <c r="BF644" s="475">
        <v>12500</v>
      </c>
      <c r="BG644" s="475">
        <v>24055</v>
      </c>
      <c r="BH644" s="476">
        <v>94630</v>
      </c>
      <c r="BI644" s="467"/>
      <c r="BJ644" s="468"/>
    </row>
    <row r="645" spans="1:62">
      <c r="A645" s="469">
        <v>45931</v>
      </c>
      <c r="B645" s="469" t="s">
        <v>747</v>
      </c>
      <c r="C645" s="508" t="s">
        <v>748</v>
      </c>
      <c r="D645" s="470" t="s">
        <v>749</v>
      </c>
      <c r="E645" s="471">
        <v>1086</v>
      </c>
      <c r="F645" s="470" t="s">
        <v>1016</v>
      </c>
      <c r="G645" s="470" t="s">
        <v>812</v>
      </c>
      <c r="H645" s="470" t="s">
        <v>12</v>
      </c>
      <c r="I645" s="470" t="s">
        <v>1017</v>
      </c>
      <c r="J645" s="472" t="s">
        <v>1018</v>
      </c>
      <c r="K645" s="470" t="s">
        <v>1019</v>
      </c>
      <c r="L645" s="470" t="s">
        <v>1293</v>
      </c>
      <c r="M645" s="470" t="s">
        <v>1293</v>
      </c>
      <c r="N645" s="470" t="s">
        <v>1275</v>
      </c>
      <c r="O645" s="472" t="s">
        <v>757</v>
      </c>
      <c r="P645" s="472" t="s">
        <v>738</v>
      </c>
      <c r="Q645" s="472" t="s">
        <v>758</v>
      </c>
      <c r="R645" s="472" t="s">
        <v>12</v>
      </c>
      <c r="S645" s="472" t="s">
        <v>12</v>
      </c>
      <c r="T645" s="472" t="s">
        <v>1021</v>
      </c>
      <c r="U645" s="470" t="s">
        <v>1022</v>
      </c>
      <c r="V645" s="470" t="s">
        <v>761</v>
      </c>
      <c r="W645" s="470" t="s">
        <v>771</v>
      </c>
      <c r="X645" s="470">
        <v>31</v>
      </c>
      <c r="Y645" s="470">
        <v>0</v>
      </c>
      <c r="Z645" s="470">
        <v>0</v>
      </c>
      <c r="AA645" s="470">
        <v>13</v>
      </c>
      <c r="AB645" s="470">
        <v>13</v>
      </c>
      <c r="AC645" s="473">
        <v>60208</v>
      </c>
      <c r="AD645" s="473">
        <v>60208</v>
      </c>
      <c r="AE645" s="473">
        <v>11362</v>
      </c>
      <c r="AF645" s="473">
        <v>4545</v>
      </c>
      <c r="AG645" s="473">
        <v>671</v>
      </c>
      <c r="AH645" s="473">
        <v>200</v>
      </c>
      <c r="AI645" s="473">
        <v>524</v>
      </c>
      <c r="AJ645" s="473">
        <v>946</v>
      </c>
      <c r="AK645" s="473">
        <v>2272</v>
      </c>
      <c r="AL645" s="473">
        <v>1704</v>
      </c>
      <c r="AM645" s="473">
        <v>114</v>
      </c>
      <c r="AN645" s="473">
        <v>398</v>
      </c>
      <c r="AO645" s="473">
        <v>227</v>
      </c>
      <c r="AP645" s="473">
        <v>57</v>
      </c>
      <c r="AQ645" s="473">
        <v>1363</v>
      </c>
      <c r="AR645" s="473">
        <v>866</v>
      </c>
      <c r="AS645" s="473">
        <v>0</v>
      </c>
      <c r="AT645" s="473">
        <v>0</v>
      </c>
      <c r="AU645" s="473">
        <v>0</v>
      </c>
      <c r="AV645" s="473">
        <v>25249</v>
      </c>
      <c r="AW645" s="474">
        <v>25249</v>
      </c>
      <c r="AX645" s="473">
        <v>0</v>
      </c>
      <c r="AY645" s="473">
        <v>0</v>
      </c>
      <c r="AZ645" s="475">
        <v>0</v>
      </c>
      <c r="BA645" s="475">
        <v>200</v>
      </c>
      <c r="BB645" s="475">
        <v>1363</v>
      </c>
      <c r="BC645" s="475">
        <v>0</v>
      </c>
      <c r="BD645" s="475">
        <v>0</v>
      </c>
      <c r="BE645" s="475">
        <v>0</v>
      </c>
      <c r="BF645" s="475">
        <v>0</v>
      </c>
      <c r="BG645" s="475">
        <v>1563</v>
      </c>
      <c r="BH645" s="476">
        <v>23686</v>
      </c>
      <c r="BI645" s="467"/>
      <c r="BJ645" s="468"/>
    </row>
    <row r="646" spans="1:62">
      <c r="A646" s="469">
        <v>45931</v>
      </c>
      <c r="B646" s="469" t="s">
        <v>747</v>
      </c>
      <c r="C646" s="508" t="s">
        <v>748</v>
      </c>
      <c r="D646" s="470" t="s">
        <v>749</v>
      </c>
      <c r="E646" s="471">
        <v>737</v>
      </c>
      <c r="F646" s="470" t="s">
        <v>1023</v>
      </c>
      <c r="G646" s="470" t="s">
        <v>751</v>
      </c>
      <c r="H646" s="470" t="s">
        <v>12</v>
      </c>
      <c r="I646" s="470" t="s">
        <v>1024</v>
      </c>
      <c r="J646" s="472" t="s">
        <v>1025</v>
      </c>
      <c r="K646" s="470" t="s">
        <v>1026</v>
      </c>
      <c r="L646" s="470" t="s">
        <v>979</v>
      </c>
      <c r="M646" s="470" t="s">
        <v>979</v>
      </c>
      <c r="N646" s="470" t="s">
        <v>833</v>
      </c>
      <c r="O646" s="472" t="s">
        <v>757</v>
      </c>
      <c r="P646" s="472" t="s">
        <v>738</v>
      </c>
      <c r="Q646" s="472" t="s">
        <v>758</v>
      </c>
      <c r="R646" s="472" t="s">
        <v>12</v>
      </c>
      <c r="S646" s="472" t="s">
        <v>12</v>
      </c>
      <c r="T646" s="472" t="s">
        <v>1029</v>
      </c>
      <c r="U646" s="470" t="s">
        <v>1030</v>
      </c>
      <c r="V646" s="470" t="s">
        <v>761</v>
      </c>
      <c r="W646" s="470" t="s">
        <v>762</v>
      </c>
      <c r="X646" s="470">
        <v>31</v>
      </c>
      <c r="Y646" s="470">
        <v>0</v>
      </c>
      <c r="Z646" s="470">
        <v>1</v>
      </c>
      <c r="AA646" s="470">
        <v>30</v>
      </c>
      <c r="AB646" s="470">
        <v>30</v>
      </c>
      <c r="AC646" s="473">
        <v>22933</v>
      </c>
      <c r="AD646" s="473">
        <v>22933</v>
      </c>
      <c r="AE646" s="473">
        <v>9987</v>
      </c>
      <c r="AF646" s="473">
        <v>3995</v>
      </c>
      <c r="AG646" s="473">
        <v>1548</v>
      </c>
      <c r="AH646" s="473">
        <v>194</v>
      </c>
      <c r="AI646" s="473">
        <v>1210</v>
      </c>
      <c r="AJ646" s="473">
        <v>0</v>
      </c>
      <c r="AK646" s="473">
        <v>0</v>
      </c>
      <c r="AL646" s="473">
        <v>0</v>
      </c>
      <c r="AM646" s="473">
        <v>0</v>
      </c>
      <c r="AN646" s="473">
        <v>0</v>
      </c>
      <c r="AO646" s="473">
        <v>0</v>
      </c>
      <c r="AP646" s="473">
        <v>0</v>
      </c>
      <c r="AQ646" s="473">
        <v>1198</v>
      </c>
      <c r="AR646" s="473">
        <v>4061</v>
      </c>
      <c r="AS646" s="473">
        <v>0</v>
      </c>
      <c r="AT646" s="473">
        <v>0</v>
      </c>
      <c r="AU646" s="473">
        <v>4174</v>
      </c>
      <c r="AV646" s="473">
        <v>26367</v>
      </c>
      <c r="AW646" s="474">
        <v>22193</v>
      </c>
      <c r="AX646" s="473">
        <v>0</v>
      </c>
      <c r="AY646" s="473">
        <v>0</v>
      </c>
      <c r="AZ646" s="475">
        <v>0</v>
      </c>
      <c r="BA646" s="475">
        <v>200</v>
      </c>
      <c r="BB646" s="475">
        <v>1198</v>
      </c>
      <c r="BC646" s="475">
        <v>0</v>
      </c>
      <c r="BD646" s="475">
        <v>0</v>
      </c>
      <c r="BE646" s="475">
        <v>0</v>
      </c>
      <c r="BF646" s="475">
        <v>0</v>
      </c>
      <c r="BG646" s="475">
        <v>1398</v>
      </c>
      <c r="BH646" s="476">
        <v>24969</v>
      </c>
      <c r="BI646" s="467"/>
      <c r="BJ646" s="468"/>
    </row>
    <row r="647" spans="1:62">
      <c r="A647" s="469">
        <v>45931</v>
      </c>
      <c r="B647" s="469" t="s">
        <v>747</v>
      </c>
      <c r="C647" s="508" t="s">
        <v>748</v>
      </c>
      <c r="D647" s="470" t="s">
        <v>749</v>
      </c>
      <c r="E647" s="471">
        <v>649</v>
      </c>
      <c r="F647" s="470" t="s">
        <v>1031</v>
      </c>
      <c r="G647" s="470" t="s">
        <v>812</v>
      </c>
      <c r="H647" s="470" t="s">
        <v>12</v>
      </c>
      <c r="I647" s="470" t="s">
        <v>1032</v>
      </c>
      <c r="J647" s="472" t="s">
        <v>1033</v>
      </c>
      <c r="K647" s="470" t="s">
        <v>1034</v>
      </c>
      <c r="L647" s="470" t="s">
        <v>971</v>
      </c>
      <c r="M647" s="470" t="s">
        <v>971</v>
      </c>
      <c r="N647" s="470" t="s">
        <v>833</v>
      </c>
      <c r="O647" s="472" t="s">
        <v>792</v>
      </c>
      <c r="P647" s="472" t="s">
        <v>738</v>
      </c>
      <c r="Q647" s="472" t="s">
        <v>758</v>
      </c>
      <c r="R647" s="472" t="s">
        <v>12</v>
      </c>
      <c r="S647" s="472" t="s">
        <v>12</v>
      </c>
      <c r="T647" s="472" t="s">
        <v>1036</v>
      </c>
      <c r="U647" s="470" t="s">
        <v>1037</v>
      </c>
      <c r="V647" s="470" t="s">
        <v>761</v>
      </c>
      <c r="W647" s="470" t="s">
        <v>762</v>
      </c>
      <c r="X647" s="470">
        <v>31</v>
      </c>
      <c r="Y647" s="470">
        <v>0</v>
      </c>
      <c r="Z647" s="470">
        <v>0.5</v>
      </c>
      <c r="AA647" s="470">
        <v>30.5</v>
      </c>
      <c r="AB647" s="470">
        <v>30.5</v>
      </c>
      <c r="AC647" s="473">
        <v>158333</v>
      </c>
      <c r="AD647" s="473">
        <v>158333</v>
      </c>
      <c r="AE647" s="473">
        <v>70101</v>
      </c>
      <c r="AF647" s="473">
        <v>28040</v>
      </c>
      <c r="AG647" s="473">
        <v>1574</v>
      </c>
      <c r="AH647" s="473">
        <v>197</v>
      </c>
      <c r="AI647" s="473">
        <v>1230</v>
      </c>
      <c r="AJ647" s="473">
        <v>5839</v>
      </c>
      <c r="AK647" s="473">
        <v>14020</v>
      </c>
      <c r="AL647" s="473">
        <v>10515</v>
      </c>
      <c r="AM647" s="473">
        <v>701</v>
      </c>
      <c r="AN647" s="473">
        <v>2454</v>
      </c>
      <c r="AO647" s="473">
        <v>1402</v>
      </c>
      <c r="AP647" s="473">
        <v>351</v>
      </c>
      <c r="AQ647" s="473">
        <v>1800</v>
      </c>
      <c r="AR647" s="473">
        <v>17555</v>
      </c>
      <c r="AS647" s="473">
        <v>0</v>
      </c>
      <c r="AT647" s="473">
        <v>0</v>
      </c>
      <c r="AU647" s="473">
        <v>75000</v>
      </c>
      <c r="AV647" s="473">
        <v>230779</v>
      </c>
      <c r="AW647" s="474">
        <v>155779</v>
      </c>
      <c r="AX647" s="473">
        <v>0</v>
      </c>
      <c r="AY647" s="473">
        <v>0</v>
      </c>
      <c r="AZ647" s="475">
        <v>33182</v>
      </c>
      <c r="BA647" s="475">
        <v>200</v>
      </c>
      <c r="BB647" s="475">
        <v>1800</v>
      </c>
      <c r="BC647" s="475">
        <v>0</v>
      </c>
      <c r="BD647" s="475">
        <v>0</v>
      </c>
      <c r="BE647" s="475">
        <v>0</v>
      </c>
      <c r="BF647" s="475">
        <v>0</v>
      </c>
      <c r="BG647" s="475">
        <v>35182</v>
      </c>
      <c r="BH647" s="476">
        <v>195597</v>
      </c>
      <c r="BI647" s="467"/>
      <c r="BJ647" s="468"/>
    </row>
    <row r="648" spans="1:62">
      <c r="A648" s="469">
        <v>45931</v>
      </c>
      <c r="B648" s="469" t="s">
        <v>747</v>
      </c>
      <c r="C648" s="508" t="s">
        <v>748</v>
      </c>
      <c r="D648" s="470" t="s">
        <v>749</v>
      </c>
      <c r="E648" s="471">
        <v>1746</v>
      </c>
      <c r="F648" s="470" t="s">
        <v>1038</v>
      </c>
      <c r="G648" s="470" t="s">
        <v>751</v>
      </c>
      <c r="H648" s="470" t="s">
        <v>12</v>
      </c>
      <c r="I648" s="470" t="s">
        <v>1039</v>
      </c>
      <c r="J648" s="472" t="s">
        <v>1040</v>
      </c>
      <c r="K648" s="470" t="s">
        <v>1041</v>
      </c>
      <c r="L648" s="470" t="s">
        <v>1042</v>
      </c>
      <c r="M648" s="470" t="s">
        <v>1042</v>
      </c>
      <c r="N648" s="470" t="s">
        <v>833</v>
      </c>
      <c r="O648" s="472" t="s">
        <v>1043</v>
      </c>
      <c r="P648" s="472" t="s">
        <v>738</v>
      </c>
      <c r="Q648" s="472" t="s">
        <v>758</v>
      </c>
      <c r="R648" s="472" t="s">
        <v>12</v>
      </c>
      <c r="S648" s="472" t="s">
        <v>12</v>
      </c>
      <c r="T648" s="472" t="s">
        <v>1044</v>
      </c>
      <c r="U648" s="470" t="s">
        <v>1045</v>
      </c>
      <c r="V648" s="470" t="s">
        <v>761</v>
      </c>
      <c r="W648" s="470" t="s">
        <v>762</v>
      </c>
      <c r="X648" s="470">
        <v>31</v>
      </c>
      <c r="Y648" s="470">
        <v>0</v>
      </c>
      <c r="Z648" s="470">
        <v>0</v>
      </c>
      <c r="AA648" s="470">
        <v>31</v>
      </c>
      <c r="AB648" s="470">
        <v>31</v>
      </c>
      <c r="AC648" s="473">
        <v>28500</v>
      </c>
      <c r="AD648" s="473">
        <v>28500</v>
      </c>
      <c r="AE648" s="473">
        <v>12825</v>
      </c>
      <c r="AF648" s="473">
        <v>5130</v>
      </c>
      <c r="AG648" s="473">
        <v>1600</v>
      </c>
      <c r="AH648" s="473">
        <v>200</v>
      </c>
      <c r="AI648" s="473">
        <v>1250</v>
      </c>
      <c r="AJ648" s="473">
        <v>0</v>
      </c>
      <c r="AK648" s="473">
        <v>0</v>
      </c>
      <c r="AL648" s="473">
        <v>0</v>
      </c>
      <c r="AM648" s="473">
        <v>0</v>
      </c>
      <c r="AN648" s="473">
        <v>0</v>
      </c>
      <c r="AO648" s="473">
        <v>0</v>
      </c>
      <c r="AP648" s="473">
        <v>0</v>
      </c>
      <c r="AQ648" s="473">
        <v>1539</v>
      </c>
      <c r="AR648" s="473">
        <v>5956</v>
      </c>
      <c r="AS648" s="473">
        <v>0</v>
      </c>
      <c r="AT648" s="473">
        <v>0</v>
      </c>
      <c r="AU648" s="473">
        <v>3515</v>
      </c>
      <c r="AV648" s="473">
        <v>32015</v>
      </c>
      <c r="AW648" s="474">
        <v>28500</v>
      </c>
      <c r="AX648" s="473">
        <v>0</v>
      </c>
      <c r="AY648" s="473">
        <v>0</v>
      </c>
      <c r="AZ648" s="475">
        <v>0</v>
      </c>
      <c r="BA648" s="475">
        <v>200</v>
      </c>
      <c r="BB648" s="475">
        <v>1539</v>
      </c>
      <c r="BC648" s="475">
        <v>0</v>
      </c>
      <c r="BD648" s="475">
        <v>0</v>
      </c>
      <c r="BE648" s="475">
        <v>0</v>
      </c>
      <c r="BF648" s="475">
        <v>0</v>
      </c>
      <c r="BG648" s="475">
        <v>1739</v>
      </c>
      <c r="BH648" s="476">
        <v>30276</v>
      </c>
      <c r="BI648" s="467"/>
      <c r="BJ648" s="468"/>
    </row>
    <row r="649" spans="1:62">
      <c r="A649" s="469">
        <v>45931</v>
      </c>
      <c r="B649" s="469" t="s">
        <v>747</v>
      </c>
      <c r="C649" s="508" t="s">
        <v>748</v>
      </c>
      <c r="D649" s="470" t="s">
        <v>749</v>
      </c>
      <c r="E649" s="471">
        <v>2252</v>
      </c>
      <c r="F649" s="470" t="s">
        <v>1415</v>
      </c>
      <c r="G649" s="470" t="s">
        <v>751</v>
      </c>
      <c r="H649" s="470" t="s">
        <v>12</v>
      </c>
      <c r="I649" s="470" t="s">
        <v>1416</v>
      </c>
      <c r="J649" s="472" t="s">
        <v>1417</v>
      </c>
      <c r="K649" s="470" t="s">
        <v>1418</v>
      </c>
      <c r="L649" s="470" t="s">
        <v>1419</v>
      </c>
      <c r="M649" s="470" t="s">
        <v>1124</v>
      </c>
      <c r="N649" s="470" t="s">
        <v>1108</v>
      </c>
      <c r="O649" s="472" t="s">
        <v>757</v>
      </c>
      <c r="P649" s="472" t="s">
        <v>738</v>
      </c>
      <c r="Q649" s="472" t="s">
        <v>758</v>
      </c>
      <c r="R649" s="472" t="s">
        <v>12</v>
      </c>
      <c r="S649" s="472" t="s">
        <v>12</v>
      </c>
      <c r="T649" s="472" t="s">
        <v>1420</v>
      </c>
      <c r="U649" s="470" t="s">
        <v>1421</v>
      </c>
      <c r="V649" s="470" t="s">
        <v>761</v>
      </c>
      <c r="W649" s="470" t="s">
        <v>1422</v>
      </c>
      <c r="X649" s="470">
        <v>31</v>
      </c>
      <c r="Y649" s="470">
        <v>0</v>
      </c>
      <c r="Z649" s="470">
        <v>0</v>
      </c>
      <c r="AA649" s="470">
        <v>5</v>
      </c>
      <c r="AB649" s="470">
        <v>5</v>
      </c>
      <c r="AC649" s="473">
        <v>52200</v>
      </c>
      <c r="AD649" s="473">
        <v>52200</v>
      </c>
      <c r="AE649" s="473">
        <v>3789</v>
      </c>
      <c r="AF649" s="473">
        <v>1516</v>
      </c>
      <c r="AG649" s="473">
        <v>258</v>
      </c>
      <c r="AH649" s="473">
        <v>200</v>
      </c>
      <c r="AI649" s="473">
        <v>202</v>
      </c>
      <c r="AJ649" s="473">
        <v>316</v>
      </c>
      <c r="AK649" s="473">
        <v>758</v>
      </c>
      <c r="AL649" s="473">
        <v>568</v>
      </c>
      <c r="AM649" s="473">
        <v>38</v>
      </c>
      <c r="AN649" s="473">
        <v>133</v>
      </c>
      <c r="AO649" s="473">
        <v>76</v>
      </c>
      <c r="AP649" s="473">
        <v>19</v>
      </c>
      <c r="AQ649" s="473">
        <v>455</v>
      </c>
      <c r="AR649" s="473">
        <v>91</v>
      </c>
      <c r="AS649" s="473">
        <v>0</v>
      </c>
      <c r="AT649" s="473">
        <v>0</v>
      </c>
      <c r="AU649" s="473">
        <v>0</v>
      </c>
      <c r="AV649" s="473">
        <v>8419</v>
      </c>
      <c r="AW649" s="474">
        <v>8419</v>
      </c>
      <c r="AX649" s="473">
        <v>0</v>
      </c>
      <c r="AY649" s="473">
        <v>0</v>
      </c>
      <c r="AZ649" s="475">
        <v>0</v>
      </c>
      <c r="BA649" s="475">
        <v>175</v>
      </c>
      <c r="BB649" s="475">
        <v>455</v>
      </c>
      <c r="BC649" s="475">
        <v>0</v>
      </c>
      <c r="BD649" s="475">
        <v>0</v>
      </c>
      <c r="BE649" s="475">
        <v>0</v>
      </c>
      <c r="BF649" s="475">
        <v>0</v>
      </c>
      <c r="BG649" s="475">
        <v>630</v>
      </c>
      <c r="BH649" s="476">
        <v>7789</v>
      </c>
      <c r="BI649" s="467"/>
      <c r="BJ649" s="468"/>
    </row>
    <row r="650" spans="1:62">
      <c r="A650" s="469">
        <v>45931</v>
      </c>
      <c r="B650" s="469" t="s">
        <v>747</v>
      </c>
      <c r="C650" s="508" t="s">
        <v>748</v>
      </c>
      <c r="D650" s="470" t="s">
        <v>749</v>
      </c>
      <c r="E650" s="471">
        <v>1771</v>
      </c>
      <c r="F650" s="470" t="s">
        <v>1046</v>
      </c>
      <c r="G650" s="470" t="s">
        <v>751</v>
      </c>
      <c r="H650" s="470" t="s">
        <v>12</v>
      </c>
      <c r="I650" s="470" t="s">
        <v>781</v>
      </c>
      <c r="J650" s="472" t="s">
        <v>1047</v>
      </c>
      <c r="K650" s="470" t="s">
        <v>1048</v>
      </c>
      <c r="L650" s="470" t="s">
        <v>1338</v>
      </c>
      <c r="M650" s="470" t="s">
        <v>1338</v>
      </c>
      <c r="N650" s="470" t="s">
        <v>1275</v>
      </c>
      <c r="O650" s="472" t="s">
        <v>757</v>
      </c>
      <c r="P650" s="472" t="s">
        <v>738</v>
      </c>
      <c r="Q650" s="472" t="s">
        <v>758</v>
      </c>
      <c r="R650" s="472" t="s">
        <v>12</v>
      </c>
      <c r="S650" s="472" t="s">
        <v>12</v>
      </c>
      <c r="T650" s="472" t="s">
        <v>1049</v>
      </c>
      <c r="U650" s="470" t="s">
        <v>1050</v>
      </c>
      <c r="V650" s="470" t="s">
        <v>761</v>
      </c>
      <c r="W650" s="470" t="s">
        <v>795</v>
      </c>
      <c r="X650" s="470">
        <v>31</v>
      </c>
      <c r="Y650" s="470">
        <v>0</v>
      </c>
      <c r="Z650" s="470">
        <v>1</v>
      </c>
      <c r="AA650" s="470">
        <v>30</v>
      </c>
      <c r="AB650" s="470">
        <v>30</v>
      </c>
      <c r="AC650" s="473">
        <v>92504</v>
      </c>
      <c r="AD650" s="473">
        <v>92504</v>
      </c>
      <c r="AE650" s="473">
        <v>40284</v>
      </c>
      <c r="AF650" s="473">
        <v>16114</v>
      </c>
      <c r="AG650" s="473">
        <v>1548</v>
      </c>
      <c r="AH650" s="473">
        <v>194</v>
      </c>
      <c r="AI650" s="473">
        <v>1210</v>
      </c>
      <c r="AJ650" s="473">
        <v>3356</v>
      </c>
      <c r="AK650" s="473">
        <v>8057</v>
      </c>
      <c r="AL650" s="473">
        <v>6043</v>
      </c>
      <c r="AM650" s="473">
        <v>403</v>
      </c>
      <c r="AN650" s="473">
        <v>1410</v>
      </c>
      <c r="AO650" s="473">
        <v>806</v>
      </c>
      <c r="AP650" s="473">
        <v>201</v>
      </c>
      <c r="AQ650" s="473">
        <v>1800</v>
      </c>
      <c r="AR650" s="473">
        <v>8094</v>
      </c>
      <c r="AS650" s="473">
        <v>0</v>
      </c>
      <c r="AT650" s="473">
        <v>0</v>
      </c>
      <c r="AU650" s="473">
        <v>0</v>
      </c>
      <c r="AV650" s="473">
        <v>89520</v>
      </c>
      <c r="AW650" s="474">
        <v>89520</v>
      </c>
      <c r="AX650" s="473">
        <v>0</v>
      </c>
      <c r="AY650" s="473">
        <v>0</v>
      </c>
      <c r="AZ650" s="475">
        <v>0</v>
      </c>
      <c r="BA650" s="475">
        <v>200</v>
      </c>
      <c r="BB650" s="475">
        <v>1800</v>
      </c>
      <c r="BC650" s="475">
        <v>0</v>
      </c>
      <c r="BD650" s="475">
        <v>0</v>
      </c>
      <c r="BE650" s="475">
        <v>0</v>
      </c>
      <c r="BF650" s="475">
        <v>0</v>
      </c>
      <c r="BG650" s="475">
        <v>2000</v>
      </c>
      <c r="BH650" s="476">
        <v>87520</v>
      </c>
      <c r="BI650" s="467"/>
      <c r="BJ650" s="468"/>
    </row>
    <row r="651" spans="1:62">
      <c r="A651" s="469">
        <v>45931</v>
      </c>
      <c r="B651" s="469" t="s">
        <v>747</v>
      </c>
      <c r="C651" s="508" t="s">
        <v>748</v>
      </c>
      <c r="D651" s="470" t="s">
        <v>749</v>
      </c>
      <c r="E651" s="471">
        <v>1445</v>
      </c>
      <c r="F651" s="470" t="s">
        <v>1057</v>
      </c>
      <c r="G651" s="470" t="s">
        <v>751</v>
      </c>
      <c r="H651" s="470" t="s">
        <v>12</v>
      </c>
      <c r="I651" s="470" t="s">
        <v>1058</v>
      </c>
      <c r="J651" s="472" t="s">
        <v>1059</v>
      </c>
      <c r="K651" s="470" t="s">
        <v>1060</v>
      </c>
      <c r="L651" s="470" t="s">
        <v>800</v>
      </c>
      <c r="M651" s="470" t="s">
        <v>801</v>
      </c>
      <c r="N651" s="470" t="s">
        <v>756</v>
      </c>
      <c r="O651" s="472" t="s">
        <v>757</v>
      </c>
      <c r="P651" s="472" t="s">
        <v>738</v>
      </c>
      <c r="Q651" s="472" t="s">
        <v>758</v>
      </c>
      <c r="R651" s="472" t="s">
        <v>12</v>
      </c>
      <c r="S651" s="472" t="s">
        <v>12</v>
      </c>
      <c r="T651" s="472" t="s">
        <v>1061</v>
      </c>
      <c r="U651" s="470" t="s">
        <v>1062</v>
      </c>
      <c r="V651" s="470" t="s">
        <v>761</v>
      </c>
      <c r="W651" s="470" t="s">
        <v>1063</v>
      </c>
      <c r="X651" s="470">
        <v>31</v>
      </c>
      <c r="Y651" s="470">
        <v>0</v>
      </c>
      <c r="Z651" s="470">
        <v>3</v>
      </c>
      <c r="AA651" s="470">
        <v>28</v>
      </c>
      <c r="AB651" s="470">
        <v>28</v>
      </c>
      <c r="AC651" s="473">
        <v>50225</v>
      </c>
      <c r="AD651" s="473">
        <v>50225</v>
      </c>
      <c r="AE651" s="473">
        <v>20414</v>
      </c>
      <c r="AF651" s="473">
        <v>8166</v>
      </c>
      <c r="AG651" s="473">
        <v>1445</v>
      </c>
      <c r="AH651" s="473">
        <v>181</v>
      </c>
      <c r="AI651" s="473">
        <v>1129</v>
      </c>
      <c r="AJ651" s="473">
        <v>1700</v>
      </c>
      <c r="AK651" s="473">
        <v>4083</v>
      </c>
      <c r="AL651" s="473">
        <v>3062</v>
      </c>
      <c r="AM651" s="473">
        <v>204</v>
      </c>
      <c r="AN651" s="473">
        <v>714</v>
      </c>
      <c r="AO651" s="473">
        <v>408</v>
      </c>
      <c r="AP651" s="473">
        <v>102</v>
      </c>
      <c r="AQ651" s="473">
        <v>1800</v>
      </c>
      <c r="AR651" s="473">
        <v>1957</v>
      </c>
      <c r="AS651" s="473">
        <v>0</v>
      </c>
      <c r="AT651" s="473">
        <v>0</v>
      </c>
      <c r="AU651" s="473">
        <v>0</v>
      </c>
      <c r="AV651" s="473">
        <v>45365</v>
      </c>
      <c r="AW651" s="474">
        <v>45365</v>
      </c>
      <c r="AX651" s="473">
        <v>0</v>
      </c>
      <c r="AY651" s="473">
        <v>0</v>
      </c>
      <c r="AZ651" s="475">
        <v>0</v>
      </c>
      <c r="BA651" s="475">
        <v>200</v>
      </c>
      <c r="BB651" s="475">
        <v>1800</v>
      </c>
      <c r="BC651" s="475">
        <v>0</v>
      </c>
      <c r="BD651" s="475">
        <v>0</v>
      </c>
      <c r="BE651" s="475">
        <v>0</v>
      </c>
      <c r="BF651" s="475">
        <v>0</v>
      </c>
      <c r="BG651" s="475">
        <v>2000</v>
      </c>
      <c r="BH651" s="476">
        <v>43365</v>
      </c>
      <c r="BI651" s="467"/>
      <c r="BJ651" s="468"/>
    </row>
    <row r="652" spans="1:62">
      <c r="A652" s="469">
        <v>45931</v>
      </c>
      <c r="B652" s="469" t="s">
        <v>747</v>
      </c>
      <c r="C652" s="508" t="s">
        <v>748</v>
      </c>
      <c r="D652" s="470" t="s">
        <v>749</v>
      </c>
      <c r="E652" s="471">
        <v>1932</v>
      </c>
      <c r="F652" s="470" t="s">
        <v>1064</v>
      </c>
      <c r="G652" s="470" t="s">
        <v>751</v>
      </c>
      <c r="H652" s="470" t="s">
        <v>12</v>
      </c>
      <c r="I652" s="470" t="s">
        <v>1065</v>
      </c>
      <c r="J652" s="472" t="s">
        <v>1066</v>
      </c>
      <c r="K652" s="470" t="s">
        <v>1067</v>
      </c>
      <c r="L652" s="470" t="s">
        <v>1068</v>
      </c>
      <c r="M652" s="470" t="s">
        <v>1068</v>
      </c>
      <c r="N652" s="470" t="s">
        <v>756</v>
      </c>
      <c r="O652" s="472" t="s">
        <v>757</v>
      </c>
      <c r="P652" s="472" t="s">
        <v>738</v>
      </c>
      <c r="Q652" s="472" t="s">
        <v>758</v>
      </c>
      <c r="R652" s="472" t="s">
        <v>12</v>
      </c>
      <c r="S652" s="472" t="s">
        <v>12</v>
      </c>
      <c r="T652" s="472" t="s">
        <v>1069</v>
      </c>
      <c r="U652" s="470" t="s">
        <v>1070</v>
      </c>
      <c r="V652" s="470" t="s">
        <v>761</v>
      </c>
      <c r="W652" s="470" t="s">
        <v>859</v>
      </c>
      <c r="X652" s="470">
        <v>31</v>
      </c>
      <c r="Y652" s="470">
        <v>0</v>
      </c>
      <c r="Z652" s="470">
        <v>1</v>
      </c>
      <c r="AA652" s="470">
        <v>30</v>
      </c>
      <c r="AB652" s="470">
        <v>30</v>
      </c>
      <c r="AC652" s="473">
        <v>30700</v>
      </c>
      <c r="AD652" s="473">
        <v>30700</v>
      </c>
      <c r="AE652" s="473">
        <v>13370</v>
      </c>
      <c r="AF652" s="473">
        <v>5348</v>
      </c>
      <c r="AG652" s="473">
        <v>1548</v>
      </c>
      <c r="AH652" s="473">
        <v>194</v>
      </c>
      <c r="AI652" s="473">
        <v>1210</v>
      </c>
      <c r="AJ652" s="473">
        <v>0</v>
      </c>
      <c r="AK652" s="473">
        <v>0</v>
      </c>
      <c r="AL652" s="473">
        <v>0</v>
      </c>
      <c r="AM652" s="473">
        <v>0</v>
      </c>
      <c r="AN652" s="473">
        <v>0</v>
      </c>
      <c r="AO652" s="473">
        <v>0</v>
      </c>
      <c r="AP652" s="473">
        <v>0</v>
      </c>
      <c r="AQ652" s="473">
        <v>1604</v>
      </c>
      <c r="AR652" s="473">
        <v>6436</v>
      </c>
      <c r="AS652" s="473">
        <v>0</v>
      </c>
      <c r="AT652" s="473">
        <v>0</v>
      </c>
      <c r="AU652" s="473">
        <v>1457</v>
      </c>
      <c r="AV652" s="473">
        <v>31167</v>
      </c>
      <c r="AW652" s="474">
        <v>29710</v>
      </c>
      <c r="AX652" s="473">
        <v>0</v>
      </c>
      <c r="AY652" s="473">
        <v>0</v>
      </c>
      <c r="AZ652" s="475">
        <v>0</v>
      </c>
      <c r="BA652" s="475">
        <v>200</v>
      </c>
      <c r="BB652" s="475">
        <v>1604</v>
      </c>
      <c r="BC652" s="475">
        <v>0</v>
      </c>
      <c r="BD652" s="475">
        <v>0</v>
      </c>
      <c r="BE652" s="475">
        <v>0</v>
      </c>
      <c r="BF652" s="475">
        <v>0</v>
      </c>
      <c r="BG652" s="475">
        <v>1804</v>
      </c>
      <c r="BH652" s="476">
        <v>29363</v>
      </c>
      <c r="BI652" s="467"/>
      <c r="BJ652" s="468"/>
    </row>
    <row r="653" spans="1:62">
      <c r="A653" s="469">
        <v>45931</v>
      </c>
      <c r="B653" s="469" t="s">
        <v>747</v>
      </c>
      <c r="C653" s="508" t="s">
        <v>748</v>
      </c>
      <c r="D653" s="470" t="s">
        <v>749</v>
      </c>
      <c r="E653" s="471">
        <v>2014</v>
      </c>
      <c r="F653" s="470" t="s">
        <v>1071</v>
      </c>
      <c r="G653" s="470" t="s">
        <v>751</v>
      </c>
      <c r="H653" s="470" t="s">
        <v>12</v>
      </c>
      <c r="I653" s="470" t="s">
        <v>847</v>
      </c>
      <c r="J653" s="472" t="s">
        <v>1072</v>
      </c>
      <c r="K653" s="470" t="s">
        <v>1073</v>
      </c>
      <c r="L653" s="470" t="s">
        <v>1074</v>
      </c>
      <c r="M653" s="470" t="s">
        <v>1074</v>
      </c>
      <c r="N653" s="470" t="s">
        <v>833</v>
      </c>
      <c r="O653" s="472" t="s">
        <v>757</v>
      </c>
      <c r="P653" s="472" t="s">
        <v>738</v>
      </c>
      <c r="Q653" s="472" t="s">
        <v>758</v>
      </c>
      <c r="R653" s="472" t="s">
        <v>12</v>
      </c>
      <c r="S653" s="472" t="s">
        <v>12</v>
      </c>
      <c r="T653" s="472" t="s">
        <v>1076</v>
      </c>
      <c r="U653" s="470" t="s">
        <v>1077</v>
      </c>
      <c r="V653" s="470" t="s">
        <v>761</v>
      </c>
      <c r="W653" s="470" t="s">
        <v>762</v>
      </c>
      <c r="X653" s="470">
        <v>31</v>
      </c>
      <c r="Y653" s="470">
        <v>0</v>
      </c>
      <c r="Z653" s="470">
        <v>0</v>
      </c>
      <c r="AA653" s="470">
        <v>31</v>
      </c>
      <c r="AB653" s="470">
        <v>31</v>
      </c>
      <c r="AC653" s="473">
        <v>32033</v>
      </c>
      <c r="AD653" s="473">
        <v>32033</v>
      </c>
      <c r="AE653" s="473">
        <v>14415</v>
      </c>
      <c r="AF653" s="473">
        <v>5766</v>
      </c>
      <c r="AG653" s="473">
        <v>1600</v>
      </c>
      <c r="AH653" s="473">
        <v>200</v>
      </c>
      <c r="AI653" s="473">
        <v>1250</v>
      </c>
      <c r="AJ653" s="473">
        <v>0</v>
      </c>
      <c r="AK653" s="473">
        <v>0</v>
      </c>
      <c r="AL653" s="473">
        <v>0</v>
      </c>
      <c r="AM653" s="473">
        <v>0</v>
      </c>
      <c r="AN653" s="473">
        <v>0</v>
      </c>
      <c r="AO653" s="473">
        <v>0</v>
      </c>
      <c r="AP653" s="473">
        <v>0</v>
      </c>
      <c r="AQ653" s="473">
        <v>1730</v>
      </c>
      <c r="AR653" s="473">
        <v>7072</v>
      </c>
      <c r="AS653" s="473">
        <v>0</v>
      </c>
      <c r="AT653" s="473">
        <v>0</v>
      </c>
      <c r="AU653" s="473">
        <v>2051</v>
      </c>
      <c r="AV653" s="473">
        <v>34084</v>
      </c>
      <c r="AW653" s="474">
        <v>32033</v>
      </c>
      <c r="AX653" s="473">
        <v>0</v>
      </c>
      <c r="AY653" s="473">
        <v>0</v>
      </c>
      <c r="AZ653" s="475">
        <v>0</v>
      </c>
      <c r="BA653" s="475">
        <v>200</v>
      </c>
      <c r="BB653" s="475">
        <v>1730</v>
      </c>
      <c r="BC653" s="475">
        <v>0</v>
      </c>
      <c r="BD653" s="475">
        <v>0</v>
      </c>
      <c r="BE653" s="475">
        <v>0</v>
      </c>
      <c r="BF653" s="475">
        <v>0</v>
      </c>
      <c r="BG653" s="475">
        <v>1930</v>
      </c>
      <c r="BH653" s="476">
        <v>32154</v>
      </c>
      <c r="BI653" s="467"/>
      <c r="BJ653" s="468"/>
    </row>
    <row r="654" spans="1:62">
      <c r="A654" s="469">
        <v>45931</v>
      </c>
      <c r="B654" s="469" t="s">
        <v>747</v>
      </c>
      <c r="C654" s="508" t="s">
        <v>748</v>
      </c>
      <c r="D654" s="470" t="s">
        <v>749</v>
      </c>
      <c r="E654" s="471">
        <v>2190</v>
      </c>
      <c r="F654" s="470" t="s">
        <v>1294</v>
      </c>
      <c r="G654" s="470" t="s">
        <v>751</v>
      </c>
      <c r="H654" s="470" t="s">
        <v>12</v>
      </c>
      <c r="I654" s="470" t="s">
        <v>1295</v>
      </c>
      <c r="J654" s="472" t="s">
        <v>1296</v>
      </c>
      <c r="K654" s="470" t="s">
        <v>1297</v>
      </c>
      <c r="L654" s="470" t="s">
        <v>1298</v>
      </c>
      <c r="M654" s="470" t="s">
        <v>1298</v>
      </c>
      <c r="N654" s="470" t="s">
        <v>1075</v>
      </c>
      <c r="O654" s="472" t="s">
        <v>757</v>
      </c>
      <c r="P654" s="472" t="s">
        <v>738</v>
      </c>
      <c r="Q654" s="472" t="s">
        <v>758</v>
      </c>
      <c r="R654" s="472" t="s">
        <v>12</v>
      </c>
      <c r="S654" s="472" t="s">
        <v>12</v>
      </c>
      <c r="T654" s="472" t="s">
        <v>1299</v>
      </c>
      <c r="U654" s="470" t="s">
        <v>1300</v>
      </c>
      <c r="V654" s="470" t="s">
        <v>761</v>
      </c>
      <c r="W654" s="470" t="s">
        <v>1301</v>
      </c>
      <c r="X654" s="470">
        <v>31</v>
      </c>
      <c r="Y654" s="470">
        <v>0</v>
      </c>
      <c r="Z654" s="470">
        <v>0</v>
      </c>
      <c r="AA654" s="470">
        <v>31</v>
      </c>
      <c r="AB654" s="470">
        <v>31</v>
      </c>
      <c r="AC654" s="473">
        <v>24438</v>
      </c>
      <c r="AD654" s="473">
        <v>24438</v>
      </c>
      <c r="AE654" s="473">
        <v>10997</v>
      </c>
      <c r="AF654" s="473">
        <v>4399</v>
      </c>
      <c r="AG654" s="473">
        <v>1600</v>
      </c>
      <c r="AH654" s="473">
        <v>200</v>
      </c>
      <c r="AI654" s="473">
        <v>1250</v>
      </c>
      <c r="AJ654" s="473">
        <v>0</v>
      </c>
      <c r="AK654" s="473">
        <v>0</v>
      </c>
      <c r="AL654" s="473">
        <v>0</v>
      </c>
      <c r="AM654" s="473">
        <v>0</v>
      </c>
      <c r="AN654" s="473">
        <v>0</v>
      </c>
      <c r="AO654" s="473">
        <v>0</v>
      </c>
      <c r="AP654" s="473">
        <v>0</v>
      </c>
      <c r="AQ654" s="473">
        <v>1320</v>
      </c>
      <c r="AR654" s="473">
        <v>4672</v>
      </c>
      <c r="AS654" s="473">
        <v>0</v>
      </c>
      <c r="AT654" s="473">
        <v>0</v>
      </c>
      <c r="AU654" s="473">
        <v>1046</v>
      </c>
      <c r="AV654" s="473">
        <v>25484</v>
      </c>
      <c r="AW654" s="474">
        <v>24438</v>
      </c>
      <c r="AX654" s="473">
        <v>0</v>
      </c>
      <c r="AY654" s="473">
        <v>0</v>
      </c>
      <c r="AZ654" s="475">
        <v>0</v>
      </c>
      <c r="BA654" s="475">
        <v>200</v>
      </c>
      <c r="BB654" s="475">
        <v>1320</v>
      </c>
      <c r="BC654" s="475">
        <v>0</v>
      </c>
      <c r="BD654" s="475">
        <v>0</v>
      </c>
      <c r="BE654" s="475">
        <v>0</v>
      </c>
      <c r="BF654" s="475">
        <v>0</v>
      </c>
      <c r="BG654" s="475">
        <v>1520</v>
      </c>
      <c r="BH654" s="476">
        <v>23964</v>
      </c>
      <c r="BI654" s="467"/>
      <c r="BJ654" s="468"/>
    </row>
    <row r="655" spans="1:62">
      <c r="A655" s="469">
        <v>45931</v>
      </c>
      <c r="B655" s="469" t="s">
        <v>747</v>
      </c>
      <c r="C655" s="508" t="s">
        <v>748</v>
      </c>
      <c r="D655" s="470" t="s">
        <v>749</v>
      </c>
      <c r="E655" s="471">
        <v>1480</v>
      </c>
      <c r="F655" s="470" t="s">
        <v>1078</v>
      </c>
      <c r="G655" s="470" t="s">
        <v>751</v>
      </c>
      <c r="H655" s="470" t="s">
        <v>12</v>
      </c>
      <c r="I655" s="470" t="s">
        <v>1079</v>
      </c>
      <c r="J655" s="472" t="s">
        <v>1080</v>
      </c>
      <c r="K655" s="470" t="s">
        <v>1081</v>
      </c>
      <c r="L655" s="470" t="s">
        <v>767</v>
      </c>
      <c r="M655" s="470" t="s">
        <v>767</v>
      </c>
      <c r="N655" s="470" t="s">
        <v>756</v>
      </c>
      <c r="O655" s="472" t="s">
        <v>757</v>
      </c>
      <c r="P655" s="472" t="s">
        <v>738</v>
      </c>
      <c r="Q655" s="472" t="s">
        <v>758</v>
      </c>
      <c r="R655" s="472" t="s">
        <v>12</v>
      </c>
      <c r="S655" s="472" t="s">
        <v>12</v>
      </c>
      <c r="T655" s="472" t="s">
        <v>1082</v>
      </c>
      <c r="U655" s="470" t="s">
        <v>1083</v>
      </c>
      <c r="V655" s="470" t="s">
        <v>761</v>
      </c>
      <c r="W655" s="470" t="s">
        <v>1084</v>
      </c>
      <c r="X655" s="470">
        <v>31</v>
      </c>
      <c r="Y655" s="470">
        <v>0</v>
      </c>
      <c r="Z655" s="470">
        <v>0</v>
      </c>
      <c r="AA655" s="470">
        <v>31</v>
      </c>
      <c r="AB655" s="470">
        <v>31</v>
      </c>
      <c r="AC655" s="473">
        <v>72817</v>
      </c>
      <c r="AD655" s="473">
        <v>72817</v>
      </c>
      <c r="AE655" s="473">
        <v>32768</v>
      </c>
      <c r="AF655" s="473">
        <v>13107</v>
      </c>
      <c r="AG655" s="473">
        <v>1600</v>
      </c>
      <c r="AH655" s="473">
        <v>200</v>
      </c>
      <c r="AI655" s="473">
        <v>1250</v>
      </c>
      <c r="AJ655" s="473">
        <v>2730</v>
      </c>
      <c r="AK655" s="473">
        <v>6554</v>
      </c>
      <c r="AL655" s="473">
        <v>4915</v>
      </c>
      <c r="AM655" s="473">
        <v>328</v>
      </c>
      <c r="AN655" s="473">
        <v>1147</v>
      </c>
      <c r="AO655" s="473">
        <v>655</v>
      </c>
      <c r="AP655" s="473">
        <v>164</v>
      </c>
      <c r="AQ655" s="473">
        <v>1800</v>
      </c>
      <c r="AR655" s="473">
        <v>5599</v>
      </c>
      <c r="AS655" s="473">
        <v>0</v>
      </c>
      <c r="AT655" s="473">
        <v>0</v>
      </c>
      <c r="AU655" s="473">
        <v>0</v>
      </c>
      <c r="AV655" s="473">
        <v>72817</v>
      </c>
      <c r="AW655" s="474">
        <v>72817</v>
      </c>
      <c r="AX655" s="473">
        <v>0</v>
      </c>
      <c r="AY655" s="473">
        <v>0</v>
      </c>
      <c r="AZ655" s="475">
        <v>0</v>
      </c>
      <c r="BA655" s="475">
        <v>200</v>
      </c>
      <c r="BB655" s="475">
        <v>1800</v>
      </c>
      <c r="BC655" s="475">
        <v>0</v>
      </c>
      <c r="BD655" s="475">
        <v>0</v>
      </c>
      <c r="BE655" s="475">
        <v>0</v>
      </c>
      <c r="BF655" s="475">
        <v>0</v>
      </c>
      <c r="BG655" s="475">
        <v>2000</v>
      </c>
      <c r="BH655" s="476">
        <v>70817</v>
      </c>
      <c r="BI655" s="467"/>
      <c r="BJ655" s="468"/>
    </row>
    <row r="656" spans="1:62">
      <c r="A656" s="469">
        <v>45931</v>
      </c>
      <c r="B656" s="469" t="s">
        <v>747</v>
      </c>
      <c r="C656" s="508" t="s">
        <v>748</v>
      </c>
      <c r="D656" s="470" t="s">
        <v>749</v>
      </c>
      <c r="E656" s="471">
        <v>405</v>
      </c>
      <c r="F656" s="470" t="s">
        <v>1085</v>
      </c>
      <c r="G656" s="470" t="s">
        <v>751</v>
      </c>
      <c r="H656" s="470" t="s">
        <v>12</v>
      </c>
      <c r="I656" s="470" t="s">
        <v>954</v>
      </c>
      <c r="J656" s="472" t="s">
        <v>1086</v>
      </c>
      <c r="K656" s="470" t="s">
        <v>1087</v>
      </c>
      <c r="L656" s="470" t="s">
        <v>832</v>
      </c>
      <c r="M656" s="470" t="s">
        <v>832</v>
      </c>
      <c r="N656" s="470" t="s">
        <v>833</v>
      </c>
      <c r="O656" s="472" t="s">
        <v>757</v>
      </c>
      <c r="P656" s="472" t="s">
        <v>738</v>
      </c>
      <c r="Q656" s="472" t="s">
        <v>758</v>
      </c>
      <c r="R656" s="472" t="s">
        <v>12</v>
      </c>
      <c r="S656" s="472" t="s">
        <v>12</v>
      </c>
      <c r="T656" s="472" t="s">
        <v>1088</v>
      </c>
      <c r="U656" s="470" t="s">
        <v>1089</v>
      </c>
      <c r="V656" s="470" t="s">
        <v>761</v>
      </c>
      <c r="W656" s="470" t="s">
        <v>762</v>
      </c>
      <c r="X656" s="470">
        <v>31</v>
      </c>
      <c r="Y656" s="470">
        <v>0</v>
      </c>
      <c r="Z656" s="470">
        <v>0</v>
      </c>
      <c r="AA656" s="470">
        <v>31</v>
      </c>
      <c r="AB656" s="470">
        <v>31</v>
      </c>
      <c r="AC656" s="473">
        <v>33167</v>
      </c>
      <c r="AD656" s="473">
        <v>33167</v>
      </c>
      <c r="AE656" s="473">
        <v>14925</v>
      </c>
      <c r="AF656" s="473">
        <v>5970</v>
      </c>
      <c r="AG656" s="473">
        <v>1600</v>
      </c>
      <c r="AH656" s="473">
        <v>200</v>
      </c>
      <c r="AI656" s="473">
        <v>1250</v>
      </c>
      <c r="AJ656" s="473">
        <v>0</v>
      </c>
      <c r="AK656" s="473">
        <v>0</v>
      </c>
      <c r="AL656" s="473">
        <v>0</v>
      </c>
      <c r="AM656" s="473">
        <v>0</v>
      </c>
      <c r="AN656" s="473">
        <v>0</v>
      </c>
      <c r="AO656" s="473">
        <v>0</v>
      </c>
      <c r="AP656" s="473">
        <v>0</v>
      </c>
      <c r="AQ656" s="473">
        <v>1791</v>
      </c>
      <c r="AR656" s="473">
        <v>7431</v>
      </c>
      <c r="AS656" s="473">
        <v>0</v>
      </c>
      <c r="AT656" s="473">
        <v>0</v>
      </c>
      <c r="AU656" s="473">
        <v>3062</v>
      </c>
      <c r="AV656" s="473">
        <v>36229</v>
      </c>
      <c r="AW656" s="474">
        <v>33167</v>
      </c>
      <c r="AX656" s="473">
        <v>0</v>
      </c>
      <c r="AY656" s="473">
        <v>0</v>
      </c>
      <c r="AZ656" s="475">
        <v>0</v>
      </c>
      <c r="BA656" s="475">
        <v>200</v>
      </c>
      <c r="BB656" s="475">
        <v>1791</v>
      </c>
      <c r="BC656" s="475">
        <v>0</v>
      </c>
      <c r="BD656" s="475">
        <v>0</v>
      </c>
      <c r="BE656" s="475">
        <v>0</v>
      </c>
      <c r="BF656" s="475">
        <v>0</v>
      </c>
      <c r="BG656" s="475">
        <v>1991</v>
      </c>
      <c r="BH656" s="476">
        <v>34238</v>
      </c>
      <c r="BI656" s="467"/>
      <c r="BJ656" s="468"/>
    </row>
    <row r="657" spans="1:62">
      <c r="A657" s="469">
        <v>45931</v>
      </c>
      <c r="B657" s="469" t="s">
        <v>747</v>
      </c>
      <c r="C657" s="508" t="s">
        <v>748</v>
      </c>
      <c r="D657" s="470" t="s">
        <v>749</v>
      </c>
      <c r="E657" s="471">
        <v>1916</v>
      </c>
      <c r="F657" s="470" t="s">
        <v>1090</v>
      </c>
      <c r="G657" s="470" t="s">
        <v>751</v>
      </c>
      <c r="H657" s="470" t="s">
        <v>12</v>
      </c>
      <c r="I657" s="470" t="s">
        <v>853</v>
      </c>
      <c r="J657" s="472" t="s">
        <v>1091</v>
      </c>
      <c r="K657" s="470" t="s">
        <v>1092</v>
      </c>
      <c r="L657" s="470" t="s">
        <v>776</v>
      </c>
      <c r="M657" s="470" t="s">
        <v>776</v>
      </c>
      <c r="N657" s="470" t="s">
        <v>777</v>
      </c>
      <c r="O657" s="472" t="s">
        <v>757</v>
      </c>
      <c r="P657" s="472" t="s">
        <v>738</v>
      </c>
      <c r="Q657" s="472" t="s">
        <v>758</v>
      </c>
      <c r="R657" s="472" t="s">
        <v>12</v>
      </c>
      <c r="S657" s="472" t="s">
        <v>12</v>
      </c>
      <c r="T657" s="472" t="s">
        <v>1093</v>
      </c>
      <c r="U657" s="470" t="s">
        <v>1094</v>
      </c>
      <c r="V657" s="470" t="s">
        <v>761</v>
      </c>
      <c r="W657" s="470" t="s">
        <v>1095</v>
      </c>
      <c r="X657" s="470">
        <v>31</v>
      </c>
      <c r="Y657" s="470">
        <v>0</v>
      </c>
      <c r="Z657" s="470">
        <v>0</v>
      </c>
      <c r="AA657" s="470">
        <v>31</v>
      </c>
      <c r="AB657" s="470">
        <v>31</v>
      </c>
      <c r="AC657" s="473">
        <v>94033</v>
      </c>
      <c r="AD657" s="473">
        <v>94033</v>
      </c>
      <c r="AE657" s="473">
        <v>42315</v>
      </c>
      <c r="AF657" s="473">
        <v>16926</v>
      </c>
      <c r="AG657" s="473">
        <v>1600</v>
      </c>
      <c r="AH657" s="473">
        <v>200</v>
      </c>
      <c r="AI657" s="473">
        <v>1250</v>
      </c>
      <c r="AJ657" s="473">
        <v>3525</v>
      </c>
      <c r="AK657" s="473">
        <v>8463</v>
      </c>
      <c r="AL657" s="473">
        <v>6347</v>
      </c>
      <c r="AM657" s="473">
        <v>423</v>
      </c>
      <c r="AN657" s="473">
        <v>1481</v>
      </c>
      <c r="AO657" s="473">
        <v>846</v>
      </c>
      <c r="AP657" s="473">
        <v>212</v>
      </c>
      <c r="AQ657" s="473">
        <v>1800</v>
      </c>
      <c r="AR657" s="473">
        <v>8645</v>
      </c>
      <c r="AS657" s="473">
        <v>0</v>
      </c>
      <c r="AT657" s="473">
        <v>0</v>
      </c>
      <c r="AU657" s="473">
        <v>562</v>
      </c>
      <c r="AV657" s="473">
        <v>94595</v>
      </c>
      <c r="AW657" s="474">
        <v>94033</v>
      </c>
      <c r="AX657" s="473">
        <v>0</v>
      </c>
      <c r="AY657" s="473">
        <v>0</v>
      </c>
      <c r="AZ657" s="475">
        <v>0</v>
      </c>
      <c r="BA657" s="475">
        <v>200</v>
      </c>
      <c r="BB657" s="475">
        <v>1800</v>
      </c>
      <c r="BC657" s="475">
        <v>0</v>
      </c>
      <c r="BD657" s="475">
        <v>0</v>
      </c>
      <c r="BE657" s="475">
        <v>0</v>
      </c>
      <c r="BF657" s="475">
        <v>0</v>
      </c>
      <c r="BG657" s="475">
        <v>2000</v>
      </c>
      <c r="BH657" s="476">
        <v>92595</v>
      </c>
      <c r="BI657" s="467"/>
      <c r="BJ657" s="468"/>
    </row>
    <row r="658" spans="1:62">
      <c r="A658" s="469">
        <v>45931</v>
      </c>
      <c r="B658" s="469" t="s">
        <v>747</v>
      </c>
      <c r="C658" s="508" t="s">
        <v>748</v>
      </c>
      <c r="D658" s="470" t="s">
        <v>749</v>
      </c>
      <c r="E658" s="471">
        <v>1093</v>
      </c>
      <c r="F658" s="470" t="s">
        <v>1096</v>
      </c>
      <c r="G658" s="470" t="s">
        <v>751</v>
      </c>
      <c r="H658" s="470" t="s">
        <v>12</v>
      </c>
      <c r="I658" s="470" t="s">
        <v>976</v>
      </c>
      <c r="J658" s="472" t="s">
        <v>1097</v>
      </c>
      <c r="K658" s="470" t="s">
        <v>1098</v>
      </c>
      <c r="L658" s="470" t="s">
        <v>1293</v>
      </c>
      <c r="M658" s="470" t="s">
        <v>1293</v>
      </c>
      <c r="N658" s="470" t="s">
        <v>1275</v>
      </c>
      <c r="O658" s="472" t="s">
        <v>792</v>
      </c>
      <c r="P658" s="472" t="s">
        <v>738</v>
      </c>
      <c r="Q658" s="472" t="s">
        <v>758</v>
      </c>
      <c r="R658" s="472" t="s">
        <v>12</v>
      </c>
      <c r="S658" s="472" t="s">
        <v>12</v>
      </c>
      <c r="T658" s="472" t="s">
        <v>1099</v>
      </c>
      <c r="U658" s="470" t="s">
        <v>1100</v>
      </c>
      <c r="V658" s="470" t="s">
        <v>761</v>
      </c>
      <c r="W658" s="470" t="s">
        <v>1101</v>
      </c>
      <c r="X658" s="470">
        <v>31</v>
      </c>
      <c r="Y658" s="470">
        <v>0</v>
      </c>
      <c r="Z658" s="470">
        <v>0</v>
      </c>
      <c r="AA658" s="470">
        <v>31</v>
      </c>
      <c r="AB658" s="470">
        <v>31</v>
      </c>
      <c r="AC658" s="473">
        <v>96667</v>
      </c>
      <c r="AD658" s="473">
        <v>96667</v>
      </c>
      <c r="AE658" s="473">
        <v>43500</v>
      </c>
      <c r="AF658" s="473">
        <v>17400</v>
      </c>
      <c r="AG658" s="473">
        <v>1600</v>
      </c>
      <c r="AH658" s="473">
        <v>200</v>
      </c>
      <c r="AI658" s="473">
        <v>1250</v>
      </c>
      <c r="AJ658" s="473">
        <v>3624</v>
      </c>
      <c r="AK658" s="473">
        <v>8700</v>
      </c>
      <c r="AL658" s="473">
        <v>6525</v>
      </c>
      <c r="AM658" s="473">
        <v>435</v>
      </c>
      <c r="AN658" s="473">
        <v>1523</v>
      </c>
      <c r="AO658" s="473">
        <v>870</v>
      </c>
      <c r="AP658" s="473">
        <v>218</v>
      </c>
      <c r="AQ658" s="473">
        <v>1800</v>
      </c>
      <c r="AR658" s="473">
        <v>9022</v>
      </c>
      <c r="AS658" s="473">
        <v>0</v>
      </c>
      <c r="AT658" s="473">
        <v>0</v>
      </c>
      <c r="AU658" s="473">
        <v>10226</v>
      </c>
      <c r="AV658" s="473">
        <v>106893</v>
      </c>
      <c r="AW658" s="474">
        <v>96667</v>
      </c>
      <c r="AX658" s="473">
        <v>0</v>
      </c>
      <c r="AY658" s="473">
        <v>0</v>
      </c>
      <c r="AZ658" s="475">
        <v>0</v>
      </c>
      <c r="BA658" s="475">
        <v>200</v>
      </c>
      <c r="BB658" s="475">
        <v>1800</v>
      </c>
      <c r="BC658" s="475">
        <v>0</v>
      </c>
      <c r="BD658" s="475">
        <v>0</v>
      </c>
      <c r="BE658" s="475">
        <v>0</v>
      </c>
      <c r="BF658" s="475">
        <v>0</v>
      </c>
      <c r="BG658" s="475">
        <v>2000</v>
      </c>
      <c r="BH658" s="476">
        <v>104893</v>
      </c>
      <c r="BI658" s="467"/>
      <c r="BJ658" s="468"/>
    </row>
    <row r="659" spans="1:62">
      <c r="A659" s="469">
        <v>45931</v>
      </c>
      <c r="B659" s="469" t="s">
        <v>747</v>
      </c>
      <c r="C659" s="508" t="s">
        <v>748</v>
      </c>
      <c r="D659" s="470" t="s">
        <v>749</v>
      </c>
      <c r="E659" s="471">
        <v>2043</v>
      </c>
      <c r="F659" s="470" t="s">
        <v>1102</v>
      </c>
      <c r="G659" s="470" t="s">
        <v>751</v>
      </c>
      <c r="H659" s="470" t="s">
        <v>12</v>
      </c>
      <c r="I659" s="470" t="s">
        <v>1103</v>
      </c>
      <c r="J659" s="472" t="s">
        <v>1104</v>
      </c>
      <c r="K659" s="470" t="s">
        <v>1105</v>
      </c>
      <c r="L659" s="470" t="s">
        <v>1106</v>
      </c>
      <c r="M659" s="470" t="s">
        <v>1107</v>
      </c>
      <c r="N659" s="470" t="s">
        <v>1108</v>
      </c>
      <c r="O659" s="472" t="s">
        <v>757</v>
      </c>
      <c r="P659" s="472" t="s">
        <v>738</v>
      </c>
      <c r="Q659" s="472" t="s">
        <v>758</v>
      </c>
      <c r="R659" s="472" t="s">
        <v>12</v>
      </c>
      <c r="S659" s="472" t="s">
        <v>12</v>
      </c>
      <c r="T659" s="472" t="s">
        <v>1109</v>
      </c>
      <c r="U659" s="470" t="s">
        <v>1369</v>
      </c>
      <c r="V659" s="470" t="s">
        <v>761</v>
      </c>
      <c r="W659" s="470" t="s">
        <v>1371</v>
      </c>
      <c r="X659" s="470">
        <v>31</v>
      </c>
      <c r="Y659" s="470">
        <v>0</v>
      </c>
      <c r="Z659" s="470">
        <v>5</v>
      </c>
      <c r="AA659" s="470">
        <v>26</v>
      </c>
      <c r="AB659" s="470">
        <v>26</v>
      </c>
      <c r="AC659" s="473">
        <v>75000</v>
      </c>
      <c r="AD659" s="473">
        <v>75000</v>
      </c>
      <c r="AE659" s="473">
        <v>28306</v>
      </c>
      <c r="AF659" s="473">
        <v>11322</v>
      </c>
      <c r="AG659" s="473">
        <v>1342</v>
      </c>
      <c r="AH659" s="473">
        <v>168</v>
      </c>
      <c r="AI659" s="473">
        <v>1048</v>
      </c>
      <c r="AJ659" s="473">
        <v>2358</v>
      </c>
      <c r="AK659" s="473">
        <v>5661</v>
      </c>
      <c r="AL659" s="473">
        <v>4246</v>
      </c>
      <c r="AM659" s="473">
        <v>283</v>
      </c>
      <c r="AN659" s="473">
        <v>991</v>
      </c>
      <c r="AO659" s="473">
        <v>566</v>
      </c>
      <c r="AP659" s="473">
        <v>142</v>
      </c>
      <c r="AQ659" s="473">
        <v>1800</v>
      </c>
      <c r="AR659" s="473">
        <v>4670</v>
      </c>
      <c r="AS659" s="473">
        <v>0</v>
      </c>
      <c r="AT659" s="473">
        <v>0</v>
      </c>
      <c r="AU659" s="473">
        <v>0</v>
      </c>
      <c r="AV659" s="473">
        <v>62903</v>
      </c>
      <c r="AW659" s="474">
        <v>62903</v>
      </c>
      <c r="AX659" s="473">
        <v>0</v>
      </c>
      <c r="AY659" s="473">
        <v>0</v>
      </c>
      <c r="AZ659" s="475">
        <v>0</v>
      </c>
      <c r="BA659" s="475">
        <v>200</v>
      </c>
      <c r="BB659" s="475">
        <v>1800</v>
      </c>
      <c r="BC659" s="475">
        <v>0</v>
      </c>
      <c r="BD659" s="475">
        <v>0</v>
      </c>
      <c r="BE659" s="475">
        <v>0</v>
      </c>
      <c r="BF659" s="475">
        <v>0</v>
      </c>
      <c r="BG659" s="475">
        <v>2000</v>
      </c>
      <c r="BH659" s="476">
        <v>60903</v>
      </c>
      <c r="BI659" s="467"/>
      <c r="BJ659" s="468"/>
    </row>
    <row r="660" spans="1:62">
      <c r="A660" s="469">
        <v>45931</v>
      </c>
      <c r="B660" s="469" t="s">
        <v>747</v>
      </c>
      <c r="C660" s="508" t="s">
        <v>748</v>
      </c>
      <c r="D660" s="470" t="s">
        <v>749</v>
      </c>
      <c r="E660" s="471">
        <v>2156</v>
      </c>
      <c r="F660" s="470" t="s">
        <v>1302</v>
      </c>
      <c r="G660" s="470" t="s">
        <v>751</v>
      </c>
      <c r="H660" s="470" t="s">
        <v>12</v>
      </c>
      <c r="I660" s="470" t="s">
        <v>1286</v>
      </c>
      <c r="J660" s="472" t="s">
        <v>1303</v>
      </c>
      <c r="K660" s="470" t="s">
        <v>1304</v>
      </c>
      <c r="L660" s="470" t="s">
        <v>1305</v>
      </c>
      <c r="M660" s="470" t="s">
        <v>1305</v>
      </c>
      <c r="N660" s="470" t="s">
        <v>756</v>
      </c>
      <c r="O660" s="472" t="s">
        <v>792</v>
      </c>
      <c r="P660" s="472" t="s">
        <v>738</v>
      </c>
      <c r="Q660" s="472" t="s">
        <v>758</v>
      </c>
      <c r="R660" s="472" t="s">
        <v>12</v>
      </c>
      <c r="S660" s="472" t="s">
        <v>12</v>
      </c>
      <c r="T660" s="472" t="s">
        <v>1306</v>
      </c>
      <c r="U660" s="470" t="s">
        <v>1307</v>
      </c>
      <c r="V660" s="470" t="s">
        <v>761</v>
      </c>
      <c r="W660" s="470" t="s">
        <v>898</v>
      </c>
      <c r="X660" s="470">
        <v>31</v>
      </c>
      <c r="Y660" s="470">
        <v>0</v>
      </c>
      <c r="Z660" s="470">
        <v>0</v>
      </c>
      <c r="AA660" s="470">
        <v>31</v>
      </c>
      <c r="AB660" s="470">
        <v>31</v>
      </c>
      <c r="AC660" s="473">
        <v>67200</v>
      </c>
      <c r="AD660" s="473">
        <v>67200</v>
      </c>
      <c r="AE660" s="473">
        <v>30240</v>
      </c>
      <c r="AF660" s="473">
        <v>12096</v>
      </c>
      <c r="AG660" s="473">
        <v>1600</v>
      </c>
      <c r="AH660" s="473">
        <v>200</v>
      </c>
      <c r="AI660" s="473">
        <v>1250</v>
      </c>
      <c r="AJ660" s="473">
        <v>2519</v>
      </c>
      <c r="AK660" s="473">
        <v>6048</v>
      </c>
      <c r="AL660" s="473">
        <v>4536</v>
      </c>
      <c r="AM660" s="473">
        <v>302</v>
      </c>
      <c r="AN660" s="473">
        <v>1058</v>
      </c>
      <c r="AO660" s="473">
        <v>605</v>
      </c>
      <c r="AP660" s="473">
        <v>151</v>
      </c>
      <c r="AQ660" s="473">
        <v>1800</v>
      </c>
      <c r="AR660" s="473">
        <v>4795</v>
      </c>
      <c r="AS660" s="473">
        <v>0</v>
      </c>
      <c r="AT660" s="473">
        <v>0</v>
      </c>
      <c r="AU660" s="473">
        <v>0</v>
      </c>
      <c r="AV660" s="473">
        <v>67200</v>
      </c>
      <c r="AW660" s="474">
        <v>67200</v>
      </c>
      <c r="AX660" s="473">
        <v>0</v>
      </c>
      <c r="AY660" s="473">
        <v>0</v>
      </c>
      <c r="AZ660" s="475">
        <v>0</v>
      </c>
      <c r="BA660" s="475">
        <v>200</v>
      </c>
      <c r="BB660" s="475">
        <v>1800</v>
      </c>
      <c r="BC660" s="475">
        <v>0</v>
      </c>
      <c r="BD660" s="475">
        <v>0</v>
      </c>
      <c r="BE660" s="475">
        <v>0</v>
      </c>
      <c r="BF660" s="475">
        <v>0</v>
      </c>
      <c r="BG660" s="475">
        <v>2000</v>
      </c>
      <c r="BH660" s="476">
        <v>65200</v>
      </c>
      <c r="BI660" s="467"/>
      <c r="BJ660" s="468"/>
    </row>
    <row r="661" spans="1:62">
      <c r="A661" s="469">
        <v>45931</v>
      </c>
      <c r="B661" s="469" t="s">
        <v>747</v>
      </c>
      <c r="C661" s="508" t="s">
        <v>748</v>
      </c>
      <c r="D661" s="470" t="s">
        <v>749</v>
      </c>
      <c r="E661" s="471">
        <v>413</v>
      </c>
      <c r="F661" s="470" t="s">
        <v>1112</v>
      </c>
      <c r="G661" s="470" t="s">
        <v>751</v>
      </c>
      <c r="H661" s="470" t="s">
        <v>12</v>
      </c>
      <c r="I661" s="470" t="s">
        <v>1113</v>
      </c>
      <c r="J661" s="472" t="s">
        <v>1114</v>
      </c>
      <c r="K661" s="470" t="s">
        <v>1115</v>
      </c>
      <c r="L661" s="470" t="s">
        <v>856</v>
      </c>
      <c r="M661" s="470" t="s">
        <v>856</v>
      </c>
      <c r="N661" s="470" t="s">
        <v>756</v>
      </c>
      <c r="O661" s="472" t="s">
        <v>757</v>
      </c>
      <c r="P661" s="472" t="s">
        <v>738</v>
      </c>
      <c r="Q661" s="472" t="s">
        <v>758</v>
      </c>
      <c r="R661" s="472" t="s">
        <v>12</v>
      </c>
      <c r="S661" s="472" t="s">
        <v>12</v>
      </c>
      <c r="T661" s="472" t="s">
        <v>1117</v>
      </c>
      <c r="U661" s="470" t="s">
        <v>1118</v>
      </c>
      <c r="V661" s="470" t="s">
        <v>761</v>
      </c>
      <c r="W661" s="470" t="s">
        <v>762</v>
      </c>
      <c r="X661" s="470">
        <v>31</v>
      </c>
      <c r="Y661" s="470">
        <v>0</v>
      </c>
      <c r="Z661" s="470">
        <v>0</v>
      </c>
      <c r="AA661" s="470">
        <v>31</v>
      </c>
      <c r="AB661" s="470">
        <v>31</v>
      </c>
      <c r="AC661" s="473">
        <v>52975</v>
      </c>
      <c r="AD661" s="473">
        <v>52975</v>
      </c>
      <c r="AE661" s="473">
        <v>23839</v>
      </c>
      <c r="AF661" s="473">
        <v>9536</v>
      </c>
      <c r="AG661" s="473">
        <v>1600</v>
      </c>
      <c r="AH661" s="473">
        <v>200</v>
      </c>
      <c r="AI661" s="473">
        <v>1250</v>
      </c>
      <c r="AJ661" s="473">
        <v>1986</v>
      </c>
      <c r="AK661" s="473">
        <v>4768</v>
      </c>
      <c r="AL661" s="473">
        <v>3576</v>
      </c>
      <c r="AM661" s="473">
        <v>238</v>
      </c>
      <c r="AN661" s="473">
        <v>834</v>
      </c>
      <c r="AO661" s="473">
        <v>477</v>
      </c>
      <c r="AP661" s="473">
        <v>119</v>
      </c>
      <c r="AQ661" s="473">
        <v>1800</v>
      </c>
      <c r="AR661" s="473">
        <v>2752</v>
      </c>
      <c r="AS661" s="473">
        <v>0</v>
      </c>
      <c r="AT661" s="473">
        <v>200</v>
      </c>
      <c r="AU661" s="473">
        <v>0</v>
      </c>
      <c r="AV661" s="473">
        <v>53175</v>
      </c>
      <c r="AW661" s="474">
        <v>53175</v>
      </c>
      <c r="AX661" s="473">
        <v>0</v>
      </c>
      <c r="AY661" s="473">
        <v>0</v>
      </c>
      <c r="AZ661" s="475">
        <v>0</v>
      </c>
      <c r="BA661" s="475">
        <v>200</v>
      </c>
      <c r="BB661" s="475">
        <v>1800</v>
      </c>
      <c r="BC661" s="475">
        <v>0</v>
      </c>
      <c r="BD661" s="475">
        <v>0</v>
      </c>
      <c r="BE661" s="475">
        <v>0</v>
      </c>
      <c r="BF661" s="475">
        <v>0</v>
      </c>
      <c r="BG661" s="475">
        <v>2000</v>
      </c>
      <c r="BH661" s="476">
        <v>51175</v>
      </c>
      <c r="BI661" s="467"/>
      <c r="BJ661" s="468"/>
    </row>
    <row r="662" spans="1:62">
      <c r="A662" s="469">
        <v>45931</v>
      </c>
      <c r="B662" s="469" t="s">
        <v>747</v>
      </c>
      <c r="C662" s="508" t="s">
        <v>748</v>
      </c>
      <c r="D662" s="470" t="s">
        <v>749</v>
      </c>
      <c r="E662" s="471">
        <v>1389</v>
      </c>
      <c r="F662" s="470" t="s">
        <v>1119</v>
      </c>
      <c r="G662" s="470" t="s">
        <v>751</v>
      </c>
      <c r="H662" s="470" t="s">
        <v>12</v>
      </c>
      <c r="I662" s="470" t="s">
        <v>1120</v>
      </c>
      <c r="J662" s="472" t="s">
        <v>1121</v>
      </c>
      <c r="K662" s="470" t="s">
        <v>1122</v>
      </c>
      <c r="L662" s="470" t="s">
        <v>1123</v>
      </c>
      <c r="M662" s="470" t="s">
        <v>1124</v>
      </c>
      <c r="N662" s="470" t="s">
        <v>1108</v>
      </c>
      <c r="O662" s="472" t="s">
        <v>757</v>
      </c>
      <c r="P662" s="472" t="s">
        <v>738</v>
      </c>
      <c r="Q662" s="472" t="s">
        <v>758</v>
      </c>
      <c r="R662" s="472" t="s">
        <v>12</v>
      </c>
      <c r="S662" s="472" t="s">
        <v>12</v>
      </c>
      <c r="T662" s="472" t="s">
        <v>1125</v>
      </c>
      <c r="U662" s="470" t="s">
        <v>1126</v>
      </c>
      <c r="V662" s="470" t="s">
        <v>761</v>
      </c>
      <c r="W662" s="470" t="s">
        <v>762</v>
      </c>
      <c r="X662" s="470">
        <v>31</v>
      </c>
      <c r="Y662" s="470">
        <v>0</v>
      </c>
      <c r="Z662" s="470">
        <v>0</v>
      </c>
      <c r="AA662" s="470">
        <v>31</v>
      </c>
      <c r="AB662" s="470">
        <v>31</v>
      </c>
      <c r="AC662" s="473">
        <v>57473</v>
      </c>
      <c r="AD662" s="473">
        <v>57473</v>
      </c>
      <c r="AE662" s="473">
        <v>25863</v>
      </c>
      <c r="AF662" s="473">
        <v>10345</v>
      </c>
      <c r="AG662" s="473">
        <v>1600</v>
      </c>
      <c r="AH662" s="473">
        <v>200</v>
      </c>
      <c r="AI662" s="473">
        <v>1250</v>
      </c>
      <c r="AJ662" s="473">
        <v>2154</v>
      </c>
      <c r="AK662" s="473">
        <v>5173</v>
      </c>
      <c r="AL662" s="473">
        <v>3879</v>
      </c>
      <c r="AM662" s="473">
        <v>259</v>
      </c>
      <c r="AN662" s="473">
        <v>905</v>
      </c>
      <c r="AO662" s="473">
        <v>517</v>
      </c>
      <c r="AP662" s="473">
        <v>129</v>
      </c>
      <c r="AQ662" s="473">
        <v>1800</v>
      </c>
      <c r="AR662" s="473">
        <v>3399</v>
      </c>
      <c r="AS662" s="473">
        <v>0</v>
      </c>
      <c r="AT662" s="473">
        <v>0</v>
      </c>
      <c r="AU662" s="473">
        <v>0</v>
      </c>
      <c r="AV662" s="473">
        <v>57473</v>
      </c>
      <c r="AW662" s="474">
        <v>57473</v>
      </c>
      <c r="AX662" s="473">
        <v>0</v>
      </c>
      <c r="AY662" s="473">
        <v>0</v>
      </c>
      <c r="AZ662" s="475">
        <v>0</v>
      </c>
      <c r="BA662" s="475">
        <v>200</v>
      </c>
      <c r="BB662" s="475">
        <v>1800</v>
      </c>
      <c r="BC662" s="475">
        <v>0</v>
      </c>
      <c r="BD662" s="475">
        <v>0</v>
      </c>
      <c r="BE662" s="475">
        <v>0</v>
      </c>
      <c r="BF662" s="475">
        <v>0</v>
      </c>
      <c r="BG662" s="475">
        <v>2000</v>
      </c>
      <c r="BH662" s="476">
        <v>55473</v>
      </c>
      <c r="BI662" s="467"/>
      <c r="BJ662" s="468"/>
    </row>
    <row r="663" spans="1:62">
      <c r="A663" s="469">
        <v>45931</v>
      </c>
      <c r="B663" s="469" t="s">
        <v>747</v>
      </c>
      <c r="C663" s="508" t="s">
        <v>748</v>
      </c>
      <c r="D663" s="470" t="s">
        <v>749</v>
      </c>
      <c r="E663" s="471">
        <v>1535</v>
      </c>
      <c r="F663" s="470" t="s">
        <v>1127</v>
      </c>
      <c r="G663" s="470" t="s">
        <v>751</v>
      </c>
      <c r="H663" s="470" t="s">
        <v>12</v>
      </c>
      <c r="I663" s="470" t="s">
        <v>1128</v>
      </c>
      <c r="J663" s="472" t="s">
        <v>1129</v>
      </c>
      <c r="K663" s="470" t="s">
        <v>1130</v>
      </c>
      <c r="L663" s="470" t="s">
        <v>1131</v>
      </c>
      <c r="M663" s="470" t="s">
        <v>1131</v>
      </c>
      <c r="N663" s="470" t="s">
        <v>756</v>
      </c>
      <c r="O663" s="472" t="s">
        <v>792</v>
      </c>
      <c r="P663" s="472" t="s">
        <v>738</v>
      </c>
      <c r="Q663" s="472" t="s">
        <v>758</v>
      </c>
      <c r="R663" s="472" t="s">
        <v>12</v>
      </c>
      <c r="S663" s="472" t="s">
        <v>12</v>
      </c>
      <c r="T663" s="472" t="s">
        <v>1132</v>
      </c>
      <c r="U663" s="470" t="s">
        <v>1133</v>
      </c>
      <c r="V663" s="470" t="s">
        <v>761</v>
      </c>
      <c r="W663" s="470" t="s">
        <v>1134</v>
      </c>
      <c r="X663" s="470">
        <v>31</v>
      </c>
      <c r="Y663" s="470">
        <v>0</v>
      </c>
      <c r="Z663" s="470">
        <v>3</v>
      </c>
      <c r="AA663" s="470">
        <v>28</v>
      </c>
      <c r="AB663" s="470">
        <v>28</v>
      </c>
      <c r="AC663" s="473">
        <v>95900</v>
      </c>
      <c r="AD663" s="473">
        <v>95900</v>
      </c>
      <c r="AE663" s="473">
        <v>38979</v>
      </c>
      <c r="AF663" s="473">
        <v>15592</v>
      </c>
      <c r="AG663" s="473">
        <v>1445</v>
      </c>
      <c r="AH663" s="473">
        <v>181</v>
      </c>
      <c r="AI663" s="473">
        <v>1129</v>
      </c>
      <c r="AJ663" s="473">
        <v>3247</v>
      </c>
      <c r="AK663" s="473">
        <v>7796</v>
      </c>
      <c r="AL663" s="473">
        <v>5847</v>
      </c>
      <c r="AM663" s="473">
        <v>390</v>
      </c>
      <c r="AN663" s="473">
        <v>1364</v>
      </c>
      <c r="AO663" s="473">
        <v>780</v>
      </c>
      <c r="AP663" s="473">
        <v>195</v>
      </c>
      <c r="AQ663" s="473">
        <v>1800</v>
      </c>
      <c r="AR663" s="473">
        <v>7874</v>
      </c>
      <c r="AS663" s="473">
        <v>0</v>
      </c>
      <c r="AT663" s="473">
        <v>200</v>
      </c>
      <c r="AU663" s="473">
        <v>0</v>
      </c>
      <c r="AV663" s="473">
        <v>86819</v>
      </c>
      <c r="AW663" s="474">
        <v>86819</v>
      </c>
      <c r="AX663" s="473">
        <v>0</v>
      </c>
      <c r="AY663" s="473">
        <v>0</v>
      </c>
      <c r="AZ663" s="475">
        <v>0</v>
      </c>
      <c r="BA663" s="475">
        <v>200</v>
      </c>
      <c r="BB663" s="475">
        <v>1800</v>
      </c>
      <c r="BC663" s="475">
        <v>0</v>
      </c>
      <c r="BD663" s="475">
        <v>0</v>
      </c>
      <c r="BE663" s="475">
        <v>0</v>
      </c>
      <c r="BF663" s="475">
        <v>0</v>
      </c>
      <c r="BG663" s="475">
        <v>2000</v>
      </c>
      <c r="BH663" s="476">
        <v>84819</v>
      </c>
      <c r="BI663" s="467"/>
      <c r="BJ663" s="468"/>
    </row>
    <row r="664" spans="1:62">
      <c r="A664" s="469">
        <v>45931</v>
      </c>
      <c r="B664" s="469" t="s">
        <v>747</v>
      </c>
      <c r="C664" s="508" t="s">
        <v>748</v>
      </c>
      <c r="D664" s="470" t="s">
        <v>749</v>
      </c>
      <c r="E664" s="471">
        <v>1409</v>
      </c>
      <c r="F664" s="470" t="s">
        <v>1135</v>
      </c>
      <c r="G664" s="470" t="s">
        <v>751</v>
      </c>
      <c r="H664" s="470" t="s">
        <v>12</v>
      </c>
      <c r="I664" s="470" t="s">
        <v>1136</v>
      </c>
      <c r="J664" s="472" t="s">
        <v>1137</v>
      </c>
      <c r="K664" s="470" t="s">
        <v>1138</v>
      </c>
      <c r="L664" s="470" t="s">
        <v>856</v>
      </c>
      <c r="M664" s="470" t="s">
        <v>856</v>
      </c>
      <c r="N664" s="470" t="s">
        <v>756</v>
      </c>
      <c r="O664" s="472" t="s">
        <v>757</v>
      </c>
      <c r="P664" s="472" t="s">
        <v>738</v>
      </c>
      <c r="Q664" s="472" t="s">
        <v>758</v>
      </c>
      <c r="R664" s="472" t="s">
        <v>12</v>
      </c>
      <c r="S664" s="472" t="s">
        <v>12</v>
      </c>
      <c r="T664" s="472" t="s">
        <v>1139</v>
      </c>
      <c r="U664" s="470" t="s">
        <v>1140</v>
      </c>
      <c r="V664" s="470" t="s">
        <v>761</v>
      </c>
      <c r="W664" s="470" t="s">
        <v>1111</v>
      </c>
      <c r="X664" s="470">
        <v>31</v>
      </c>
      <c r="Y664" s="470">
        <v>0</v>
      </c>
      <c r="Z664" s="470">
        <v>0</v>
      </c>
      <c r="AA664" s="470">
        <v>31</v>
      </c>
      <c r="AB664" s="470">
        <v>31</v>
      </c>
      <c r="AC664" s="473">
        <v>71417</v>
      </c>
      <c r="AD664" s="473">
        <v>71417</v>
      </c>
      <c r="AE664" s="473">
        <v>32138</v>
      </c>
      <c r="AF664" s="473">
        <v>12855</v>
      </c>
      <c r="AG664" s="473">
        <v>1600</v>
      </c>
      <c r="AH664" s="473">
        <v>200</v>
      </c>
      <c r="AI664" s="473">
        <v>1250</v>
      </c>
      <c r="AJ664" s="473">
        <v>2677</v>
      </c>
      <c r="AK664" s="473">
        <v>6428</v>
      </c>
      <c r="AL664" s="473">
        <v>4821</v>
      </c>
      <c r="AM664" s="473">
        <v>321</v>
      </c>
      <c r="AN664" s="473">
        <v>1125</v>
      </c>
      <c r="AO664" s="473">
        <v>643</v>
      </c>
      <c r="AP664" s="473">
        <v>161</v>
      </c>
      <c r="AQ664" s="473">
        <v>1800</v>
      </c>
      <c r="AR664" s="473">
        <v>5398</v>
      </c>
      <c r="AS664" s="473">
        <v>0</v>
      </c>
      <c r="AT664" s="473">
        <v>400</v>
      </c>
      <c r="AU664" s="473">
        <v>0</v>
      </c>
      <c r="AV664" s="473">
        <v>71817</v>
      </c>
      <c r="AW664" s="474">
        <v>71817</v>
      </c>
      <c r="AX664" s="473">
        <v>0</v>
      </c>
      <c r="AY664" s="473">
        <v>0</v>
      </c>
      <c r="AZ664" s="475">
        <v>0</v>
      </c>
      <c r="BA664" s="475">
        <v>200</v>
      </c>
      <c r="BB664" s="475">
        <v>1800</v>
      </c>
      <c r="BC664" s="475">
        <v>0</v>
      </c>
      <c r="BD664" s="475">
        <v>0</v>
      </c>
      <c r="BE664" s="475">
        <v>0</v>
      </c>
      <c r="BF664" s="475">
        <v>0</v>
      </c>
      <c r="BG664" s="475">
        <v>2000</v>
      </c>
      <c r="BH664" s="476">
        <v>69817</v>
      </c>
      <c r="BI664" s="467"/>
      <c r="BJ664" s="468"/>
    </row>
    <row r="665" spans="1:62">
      <c r="A665" s="469">
        <v>45931</v>
      </c>
      <c r="B665" s="469" t="s">
        <v>747</v>
      </c>
      <c r="C665" s="508" t="s">
        <v>748</v>
      </c>
      <c r="D665" s="470" t="s">
        <v>749</v>
      </c>
      <c r="E665" s="471">
        <v>2155</v>
      </c>
      <c r="F665" s="470" t="s">
        <v>1308</v>
      </c>
      <c r="G665" s="470" t="s">
        <v>751</v>
      </c>
      <c r="H665" s="470" t="s">
        <v>12</v>
      </c>
      <c r="I665" s="470" t="s">
        <v>1286</v>
      </c>
      <c r="J665" s="472" t="s">
        <v>1309</v>
      </c>
      <c r="K665" s="470" t="s">
        <v>1310</v>
      </c>
      <c r="L665" s="470" t="s">
        <v>1311</v>
      </c>
      <c r="M665" s="470" t="s">
        <v>1311</v>
      </c>
      <c r="N665" s="470" t="s">
        <v>756</v>
      </c>
      <c r="O665" s="472" t="s">
        <v>757</v>
      </c>
      <c r="P665" s="472" t="s">
        <v>738</v>
      </c>
      <c r="Q665" s="472" t="s">
        <v>758</v>
      </c>
      <c r="R665" s="472" t="s">
        <v>12</v>
      </c>
      <c r="S665" s="472" t="s">
        <v>12</v>
      </c>
      <c r="T665" s="472" t="s">
        <v>1312</v>
      </c>
      <c r="U665" s="470" t="s">
        <v>1313</v>
      </c>
      <c r="V665" s="470" t="s">
        <v>761</v>
      </c>
      <c r="W665" s="470" t="s">
        <v>898</v>
      </c>
      <c r="X665" s="470">
        <v>31</v>
      </c>
      <c r="Y665" s="470">
        <v>0</v>
      </c>
      <c r="Z665" s="470">
        <v>2</v>
      </c>
      <c r="AA665" s="470">
        <v>29</v>
      </c>
      <c r="AB665" s="470">
        <v>29</v>
      </c>
      <c r="AC665" s="473">
        <v>53200</v>
      </c>
      <c r="AD665" s="473">
        <v>53200</v>
      </c>
      <c r="AE665" s="473">
        <v>22396</v>
      </c>
      <c r="AF665" s="473">
        <v>8958</v>
      </c>
      <c r="AG665" s="473">
        <v>1497</v>
      </c>
      <c r="AH665" s="473">
        <v>187</v>
      </c>
      <c r="AI665" s="473">
        <v>1169</v>
      </c>
      <c r="AJ665" s="473">
        <v>1866</v>
      </c>
      <c r="AK665" s="473">
        <v>4479</v>
      </c>
      <c r="AL665" s="473">
        <v>3359</v>
      </c>
      <c r="AM665" s="473">
        <v>224</v>
      </c>
      <c r="AN665" s="473">
        <v>784</v>
      </c>
      <c r="AO665" s="473">
        <v>448</v>
      </c>
      <c r="AP665" s="473">
        <v>112</v>
      </c>
      <c r="AQ665" s="473">
        <v>1800</v>
      </c>
      <c r="AR665" s="473">
        <v>2489</v>
      </c>
      <c r="AS665" s="473">
        <v>0</v>
      </c>
      <c r="AT665" s="473">
        <v>0</v>
      </c>
      <c r="AU665" s="473">
        <v>0</v>
      </c>
      <c r="AV665" s="473">
        <v>49768</v>
      </c>
      <c r="AW665" s="474">
        <v>49768</v>
      </c>
      <c r="AX665" s="473">
        <v>0</v>
      </c>
      <c r="AY665" s="473">
        <v>0</v>
      </c>
      <c r="AZ665" s="475">
        <v>0</v>
      </c>
      <c r="BA665" s="475">
        <v>200</v>
      </c>
      <c r="BB665" s="475">
        <v>1800</v>
      </c>
      <c r="BC665" s="475">
        <v>0</v>
      </c>
      <c r="BD665" s="475">
        <v>0</v>
      </c>
      <c r="BE665" s="475">
        <v>0</v>
      </c>
      <c r="BF665" s="475">
        <v>0</v>
      </c>
      <c r="BG665" s="475">
        <v>2000</v>
      </c>
      <c r="BH665" s="476">
        <v>47768</v>
      </c>
      <c r="BI665" s="467"/>
      <c r="BJ665" s="468"/>
    </row>
    <row r="666" spans="1:62">
      <c r="A666" s="469">
        <v>45931</v>
      </c>
      <c r="B666" s="469" t="s">
        <v>747</v>
      </c>
      <c r="C666" s="508" t="s">
        <v>748</v>
      </c>
      <c r="D666" s="470" t="s">
        <v>749</v>
      </c>
      <c r="E666" s="471">
        <v>2232</v>
      </c>
      <c r="F666" s="470" t="s">
        <v>1372</v>
      </c>
      <c r="G666" s="470" t="s">
        <v>751</v>
      </c>
      <c r="H666" s="470" t="s">
        <v>12</v>
      </c>
      <c r="I666" s="470" t="s">
        <v>1348</v>
      </c>
      <c r="J666" s="472" t="s">
        <v>1373</v>
      </c>
      <c r="K666" s="470" t="s">
        <v>1374</v>
      </c>
      <c r="L666" s="470" t="s">
        <v>1375</v>
      </c>
      <c r="M666" s="470" t="s">
        <v>1375</v>
      </c>
      <c r="N666" s="470" t="s">
        <v>756</v>
      </c>
      <c r="O666" s="472" t="s">
        <v>757</v>
      </c>
      <c r="P666" s="472" t="s">
        <v>738</v>
      </c>
      <c r="Q666" s="472" t="s">
        <v>758</v>
      </c>
      <c r="R666" s="472" t="s">
        <v>12</v>
      </c>
      <c r="S666" s="472" t="s">
        <v>12</v>
      </c>
      <c r="T666" s="472" t="s">
        <v>1376</v>
      </c>
      <c r="U666" s="470" t="s">
        <v>1377</v>
      </c>
      <c r="V666" s="470" t="s">
        <v>761</v>
      </c>
      <c r="W666" s="470" t="s">
        <v>1379</v>
      </c>
      <c r="X666" s="470">
        <v>31</v>
      </c>
      <c r="Y666" s="470">
        <v>0</v>
      </c>
      <c r="Z666" s="470">
        <v>0</v>
      </c>
      <c r="AA666" s="470">
        <v>31</v>
      </c>
      <c r="AB666" s="470">
        <v>31</v>
      </c>
      <c r="AC666" s="473">
        <v>89867</v>
      </c>
      <c r="AD666" s="473">
        <v>89867</v>
      </c>
      <c r="AE666" s="473">
        <v>40440</v>
      </c>
      <c r="AF666" s="473">
        <v>16176</v>
      </c>
      <c r="AG666" s="473">
        <v>1600</v>
      </c>
      <c r="AH666" s="473">
        <v>200</v>
      </c>
      <c r="AI666" s="473">
        <v>1250</v>
      </c>
      <c r="AJ666" s="473">
        <v>3369</v>
      </c>
      <c r="AK666" s="473">
        <v>8088</v>
      </c>
      <c r="AL666" s="473">
        <v>6066</v>
      </c>
      <c r="AM666" s="473">
        <v>404</v>
      </c>
      <c r="AN666" s="473">
        <v>1415</v>
      </c>
      <c r="AO666" s="473">
        <v>809</v>
      </c>
      <c r="AP666" s="473">
        <v>202</v>
      </c>
      <c r="AQ666" s="473">
        <v>1800</v>
      </c>
      <c r="AR666" s="473">
        <v>8048</v>
      </c>
      <c r="AS666" s="473">
        <v>0</v>
      </c>
      <c r="AT666" s="473">
        <v>0</v>
      </c>
      <c r="AU666" s="473">
        <v>605</v>
      </c>
      <c r="AV666" s="473">
        <v>90472</v>
      </c>
      <c r="AW666" s="474">
        <v>89867</v>
      </c>
      <c r="AX666" s="473">
        <v>0</v>
      </c>
      <c r="AY666" s="473">
        <v>0</v>
      </c>
      <c r="AZ666" s="475">
        <v>0</v>
      </c>
      <c r="BA666" s="475">
        <v>200</v>
      </c>
      <c r="BB666" s="475">
        <v>1800</v>
      </c>
      <c r="BC666" s="475">
        <v>0</v>
      </c>
      <c r="BD666" s="475">
        <v>0</v>
      </c>
      <c r="BE666" s="475">
        <v>0</v>
      </c>
      <c r="BF666" s="475">
        <v>0</v>
      </c>
      <c r="BG666" s="475">
        <v>2000</v>
      </c>
      <c r="BH666" s="476">
        <v>88472</v>
      </c>
      <c r="BI666" s="467"/>
      <c r="BJ666" s="468"/>
    </row>
    <row r="667" spans="1:62">
      <c r="A667" s="469">
        <v>45931</v>
      </c>
      <c r="B667" s="469" t="s">
        <v>747</v>
      </c>
      <c r="C667" s="508" t="s">
        <v>748</v>
      </c>
      <c r="D667" s="470" t="s">
        <v>749</v>
      </c>
      <c r="E667" s="471">
        <v>2147</v>
      </c>
      <c r="F667" s="470" t="s">
        <v>1314</v>
      </c>
      <c r="G667" s="470" t="s">
        <v>812</v>
      </c>
      <c r="H667" s="470" t="s">
        <v>12</v>
      </c>
      <c r="I667" s="470" t="s">
        <v>1286</v>
      </c>
      <c r="J667" s="472" t="s">
        <v>1315</v>
      </c>
      <c r="K667" s="470" t="s">
        <v>1316</v>
      </c>
      <c r="L667" s="470" t="s">
        <v>1317</v>
      </c>
      <c r="M667" s="470" t="s">
        <v>1317</v>
      </c>
      <c r="N667" s="470" t="s">
        <v>833</v>
      </c>
      <c r="O667" s="472" t="s">
        <v>757</v>
      </c>
      <c r="P667" s="472" t="s">
        <v>738</v>
      </c>
      <c r="Q667" s="472" t="s">
        <v>758</v>
      </c>
      <c r="R667" s="472" t="s">
        <v>12</v>
      </c>
      <c r="S667" s="472" t="s">
        <v>12</v>
      </c>
      <c r="T667" s="472" t="s">
        <v>1318</v>
      </c>
      <c r="U667" s="470" t="s">
        <v>1319</v>
      </c>
      <c r="V667" s="470" t="s">
        <v>761</v>
      </c>
      <c r="W667" s="470" t="s">
        <v>898</v>
      </c>
      <c r="X667" s="470">
        <v>31</v>
      </c>
      <c r="Y667" s="470">
        <v>0</v>
      </c>
      <c r="Z667" s="470">
        <v>0</v>
      </c>
      <c r="AA667" s="470">
        <v>31</v>
      </c>
      <c r="AB667" s="470">
        <v>31</v>
      </c>
      <c r="AC667" s="473">
        <v>28380</v>
      </c>
      <c r="AD667" s="473">
        <v>28380</v>
      </c>
      <c r="AE667" s="473">
        <v>12771</v>
      </c>
      <c r="AF667" s="473">
        <v>5108</v>
      </c>
      <c r="AG667" s="473">
        <v>1600</v>
      </c>
      <c r="AH667" s="473">
        <v>200</v>
      </c>
      <c r="AI667" s="473">
        <v>1250</v>
      </c>
      <c r="AJ667" s="473">
        <v>0</v>
      </c>
      <c r="AK667" s="473">
        <v>0</v>
      </c>
      <c r="AL667" s="473">
        <v>0</v>
      </c>
      <c r="AM667" s="473">
        <v>0</v>
      </c>
      <c r="AN667" s="473">
        <v>0</v>
      </c>
      <c r="AO667" s="473">
        <v>0</v>
      </c>
      <c r="AP667" s="473">
        <v>0</v>
      </c>
      <c r="AQ667" s="473">
        <v>1533</v>
      </c>
      <c r="AR667" s="473">
        <v>5918</v>
      </c>
      <c r="AS667" s="473">
        <v>0</v>
      </c>
      <c r="AT667" s="473">
        <v>0</v>
      </c>
      <c r="AU667" s="473">
        <v>0</v>
      </c>
      <c r="AV667" s="473">
        <v>28380</v>
      </c>
      <c r="AW667" s="474">
        <v>28380</v>
      </c>
      <c r="AX667" s="473">
        <v>0</v>
      </c>
      <c r="AY667" s="473">
        <v>0</v>
      </c>
      <c r="AZ667" s="475">
        <v>0</v>
      </c>
      <c r="BA667" s="475">
        <v>200</v>
      </c>
      <c r="BB667" s="475">
        <v>1533</v>
      </c>
      <c r="BC667" s="475">
        <v>0</v>
      </c>
      <c r="BD667" s="475">
        <v>0</v>
      </c>
      <c r="BE667" s="475">
        <v>0</v>
      </c>
      <c r="BF667" s="475">
        <v>0</v>
      </c>
      <c r="BG667" s="475">
        <v>1733</v>
      </c>
      <c r="BH667" s="476">
        <v>26647</v>
      </c>
      <c r="BI667" s="467"/>
      <c r="BJ667" s="468"/>
    </row>
    <row r="668" spans="1:62">
      <c r="A668" s="469">
        <v>45931</v>
      </c>
      <c r="B668" s="469" t="s">
        <v>747</v>
      </c>
      <c r="C668" s="508" t="s">
        <v>748</v>
      </c>
      <c r="D668" s="470" t="s">
        <v>749</v>
      </c>
      <c r="E668" s="471">
        <v>1263</v>
      </c>
      <c r="F668" s="470" t="s">
        <v>1141</v>
      </c>
      <c r="G668" s="470" t="s">
        <v>751</v>
      </c>
      <c r="H668" s="470" t="s">
        <v>12</v>
      </c>
      <c r="I668" s="470" t="s">
        <v>1142</v>
      </c>
      <c r="J668" s="472" t="s">
        <v>1143</v>
      </c>
      <c r="K668" s="470" t="s">
        <v>1144</v>
      </c>
      <c r="L668" s="470" t="s">
        <v>1305</v>
      </c>
      <c r="M668" s="470" t="s">
        <v>1305</v>
      </c>
      <c r="N668" s="470" t="s">
        <v>756</v>
      </c>
      <c r="O668" s="472" t="s">
        <v>757</v>
      </c>
      <c r="P668" s="472" t="s">
        <v>738</v>
      </c>
      <c r="Q668" s="472" t="s">
        <v>758</v>
      </c>
      <c r="R668" s="472" t="s">
        <v>12</v>
      </c>
      <c r="S668" s="472" t="s">
        <v>12</v>
      </c>
      <c r="T668" s="472" t="s">
        <v>1147</v>
      </c>
      <c r="U668" s="470" t="s">
        <v>1148</v>
      </c>
      <c r="V668" s="470" t="s">
        <v>761</v>
      </c>
      <c r="W668" s="470" t="s">
        <v>859</v>
      </c>
      <c r="X668" s="470">
        <v>31</v>
      </c>
      <c r="Y668" s="470">
        <v>0</v>
      </c>
      <c r="Z668" s="470">
        <v>1</v>
      </c>
      <c r="AA668" s="470">
        <v>30</v>
      </c>
      <c r="AB668" s="470">
        <v>30</v>
      </c>
      <c r="AC668" s="473">
        <v>55900</v>
      </c>
      <c r="AD668" s="473">
        <v>55900</v>
      </c>
      <c r="AE668" s="473">
        <v>24344</v>
      </c>
      <c r="AF668" s="473">
        <v>9738</v>
      </c>
      <c r="AG668" s="473">
        <v>1548</v>
      </c>
      <c r="AH668" s="473">
        <v>194</v>
      </c>
      <c r="AI668" s="473">
        <v>1210</v>
      </c>
      <c r="AJ668" s="473">
        <v>2028</v>
      </c>
      <c r="AK668" s="473">
        <v>4869</v>
      </c>
      <c r="AL668" s="473">
        <v>3652</v>
      </c>
      <c r="AM668" s="473">
        <v>243</v>
      </c>
      <c r="AN668" s="473">
        <v>852</v>
      </c>
      <c r="AO668" s="473">
        <v>487</v>
      </c>
      <c r="AP668" s="473">
        <v>122</v>
      </c>
      <c r="AQ668" s="473">
        <v>1800</v>
      </c>
      <c r="AR668" s="473">
        <v>3010</v>
      </c>
      <c r="AS668" s="473">
        <v>0</v>
      </c>
      <c r="AT668" s="473">
        <v>0</v>
      </c>
      <c r="AU668" s="473">
        <v>0</v>
      </c>
      <c r="AV668" s="473">
        <v>54097</v>
      </c>
      <c r="AW668" s="474">
        <v>54097</v>
      </c>
      <c r="AX668" s="473">
        <v>0</v>
      </c>
      <c r="AY668" s="473">
        <v>0</v>
      </c>
      <c r="AZ668" s="475">
        <v>0</v>
      </c>
      <c r="BA668" s="475">
        <v>200</v>
      </c>
      <c r="BB668" s="475">
        <v>1800</v>
      </c>
      <c r="BC668" s="475">
        <v>0</v>
      </c>
      <c r="BD668" s="475">
        <v>0</v>
      </c>
      <c r="BE668" s="475">
        <v>0</v>
      </c>
      <c r="BF668" s="475">
        <v>0</v>
      </c>
      <c r="BG668" s="475">
        <v>2000</v>
      </c>
      <c r="BH668" s="476">
        <v>52097</v>
      </c>
      <c r="BI668" s="467"/>
      <c r="BJ668" s="468"/>
    </row>
    <row r="669" spans="1:62">
      <c r="A669" s="469">
        <v>45931</v>
      </c>
      <c r="B669" s="469" t="s">
        <v>747</v>
      </c>
      <c r="C669" s="508" t="s">
        <v>748</v>
      </c>
      <c r="D669" s="470" t="s">
        <v>749</v>
      </c>
      <c r="E669" s="471">
        <v>2218</v>
      </c>
      <c r="F669" s="470" t="s">
        <v>1380</v>
      </c>
      <c r="G669" s="470" t="s">
        <v>751</v>
      </c>
      <c r="H669" s="470" t="s">
        <v>12</v>
      </c>
      <c r="I669" s="470" t="s">
        <v>1340</v>
      </c>
      <c r="J669" s="472" t="s">
        <v>1381</v>
      </c>
      <c r="K669" s="470" t="s">
        <v>1382</v>
      </c>
      <c r="L669" s="470" t="s">
        <v>1383</v>
      </c>
      <c r="M669" s="470" t="s">
        <v>903</v>
      </c>
      <c r="N669" s="470" t="s">
        <v>1384</v>
      </c>
      <c r="O669" s="472" t="s">
        <v>757</v>
      </c>
      <c r="P669" s="472" t="s">
        <v>738</v>
      </c>
      <c r="Q669" s="472" t="s">
        <v>758</v>
      </c>
      <c r="R669" s="472" t="s">
        <v>12</v>
      </c>
      <c r="S669" s="472" t="s">
        <v>12</v>
      </c>
      <c r="T669" s="472" t="s">
        <v>1385</v>
      </c>
      <c r="U669" s="470" t="s">
        <v>1386</v>
      </c>
      <c r="V669" s="470" t="s">
        <v>761</v>
      </c>
      <c r="W669" s="470" t="s">
        <v>1387</v>
      </c>
      <c r="X669" s="470">
        <v>31</v>
      </c>
      <c r="Y669" s="470">
        <v>0</v>
      </c>
      <c r="Z669" s="470">
        <v>2</v>
      </c>
      <c r="AA669" s="470">
        <v>29</v>
      </c>
      <c r="AB669" s="470">
        <v>29</v>
      </c>
      <c r="AC669" s="473">
        <v>53200</v>
      </c>
      <c r="AD669" s="473">
        <v>53200</v>
      </c>
      <c r="AE669" s="473">
        <v>22396</v>
      </c>
      <c r="AF669" s="473">
        <v>8958</v>
      </c>
      <c r="AG669" s="473">
        <v>1497</v>
      </c>
      <c r="AH669" s="473">
        <v>187</v>
      </c>
      <c r="AI669" s="473">
        <v>1169</v>
      </c>
      <c r="AJ669" s="473">
        <v>1866</v>
      </c>
      <c r="AK669" s="473">
        <v>4479</v>
      </c>
      <c r="AL669" s="473">
        <v>3359</v>
      </c>
      <c r="AM669" s="473">
        <v>224</v>
      </c>
      <c r="AN669" s="473">
        <v>784</v>
      </c>
      <c r="AO669" s="473">
        <v>448</v>
      </c>
      <c r="AP669" s="473">
        <v>112</v>
      </c>
      <c r="AQ669" s="473">
        <v>1800</v>
      </c>
      <c r="AR669" s="473">
        <v>2489</v>
      </c>
      <c r="AS669" s="473">
        <v>0</v>
      </c>
      <c r="AT669" s="473">
        <v>0</v>
      </c>
      <c r="AU669" s="473">
        <v>2610</v>
      </c>
      <c r="AV669" s="473">
        <v>52378</v>
      </c>
      <c r="AW669" s="474">
        <v>49768</v>
      </c>
      <c r="AX669" s="473">
        <v>0</v>
      </c>
      <c r="AY669" s="473">
        <v>0</v>
      </c>
      <c r="AZ669" s="475">
        <v>0</v>
      </c>
      <c r="BA669" s="475">
        <v>200</v>
      </c>
      <c r="BB669" s="475">
        <v>1800</v>
      </c>
      <c r="BC669" s="475">
        <v>0</v>
      </c>
      <c r="BD669" s="475">
        <v>0</v>
      </c>
      <c r="BE669" s="475">
        <v>0</v>
      </c>
      <c r="BF669" s="475">
        <v>0</v>
      </c>
      <c r="BG669" s="475">
        <v>2000</v>
      </c>
      <c r="BH669" s="476">
        <v>50378</v>
      </c>
      <c r="BI669" s="467"/>
      <c r="BJ669" s="468"/>
    </row>
    <row r="670" spans="1:62">
      <c r="A670" s="469">
        <v>45931</v>
      </c>
      <c r="B670" s="469" t="s">
        <v>747</v>
      </c>
      <c r="C670" s="508" t="s">
        <v>748</v>
      </c>
      <c r="D670" s="470" t="s">
        <v>749</v>
      </c>
      <c r="E670" s="471">
        <v>1758</v>
      </c>
      <c r="F670" s="470" t="s">
        <v>1149</v>
      </c>
      <c r="G670" s="470" t="s">
        <v>751</v>
      </c>
      <c r="H670" s="470" t="s">
        <v>12</v>
      </c>
      <c r="I670" s="470" t="s">
        <v>1150</v>
      </c>
      <c r="J670" s="472" t="s">
        <v>1151</v>
      </c>
      <c r="K670" s="470" t="s">
        <v>1152</v>
      </c>
      <c r="L670" s="470" t="s">
        <v>856</v>
      </c>
      <c r="M670" s="470" t="s">
        <v>856</v>
      </c>
      <c r="N670" s="470" t="s">
        <v>756</v>
      </c>
      <c r="O670" s="472" t="s">
        <v>757</v>
      </c>
      <c r="P670" s="472" t="s">
        <v>738</v>
      </c>
      <c r="Q670" s="472" t="s">
        <v>758</v>
      </c>
      <c r="R670" s="472" t="s">
        <v>12</v>
      </c>
      <c r="S670" s="472" t="s">
        <v>12</v>
      </c>
      <c r="T670" s="472" t="s">
        <v>1153</v>
      </c>
      <c r="U670" s="470" t="s">
        <v>1154</v>
      </c>
      <c r="V670" s="470" t="s">
        <v>761</v>
      </c>
      <c r="W670" s="470" t="s">
        <v>1155</v>
      </c>
      <c r="X670" s="470">
        <v>31</v>
      </c>
      <c r="Y670" s="470">
        <v>0</v>
      </c>
      <c r="Z670" s="470">
        <v>0</v>
      </c>
      <c r="AA670" s="470">
        <v>31</v>
      </c>
      <c r="AB670" s="470">
        <v>31</v>
      </c>
      <c r="AC670" s="473">
        <v>68220</v>
      </c>
      <c r="AD670" s="473">
        <v>68220</v>
      </c>
      <c r="AE670" s="473">
        <v>30699</v>
      </c>
      <c r="AF670" s="473">
        <v>12280</v>
      </c>
      <c r="AG670" s="473">
        <v>1600</v>
      </c>
      <c r="AH670" s="473">
        <v>200</v>
      </c>
      <c r="AI670" s="473">
        <v>1250</v>
      </c>
      <c r="AJ670" s="473">
        <v>2557</v>
      </c>
      <c r="AK670" s="473">
        <v>6140</v>
      </c>
      <c r="AL670" s="473">
        <v>4605</v>
      </c>
      <c r="AM670" s="473">
        <v>307</v>
      </c>
      <c r="AN670" s="473">
        <v>1074</v>
      </c>
      <c r="AO670" s="473">
        <v>614</v>
      </c>
      <c r="AP670" s="473">
        <v>154</v>
      </c>
      <c r="AQ670" s="473">
        <v>1800</v>
      </c>
      <c r="AR670" s="473">
        <v>4940</v>
      </c>
      <c r="AS670" s="473">
        <v>0</v>
      </c>
      <c r="AT670" s="473">
        <v>0</v>
      </c>
      <c r="AU670" s="473">
        <v>396</v>
      </c>
      <c r="AV670" s="473">
        <v>68616</v>
      </c>
      <c r="AW670" s="474">
        <v>68220</v>
      </c>
      <c r="AX670" s="473">
        <v>0</v>
      </c>
      <c r="AY670" s="473">
        <v>0</v>
      </c>
      <c r="AZ670" s="475">
        <v>0</v>
      </c>
      <c r="BA670" s="475">
        <v>200</v>
      </c>
      <c r="BB670" s="475">
        <v>1800</v>
      </c>
      <c r="BC670" s="475">
        <v>0</v>
      </c>
      <c r="BD670" s="475">
        <v>0</v>
      </c>
      <c r="BE670" s="475">
        <v>0</v>
      </c>
      <c r="BF670" s="475">
        <v>0</v>
      </c>
      <c r="BG670" s="475">
        <v>2000</v>
      </c>
      <c r="BH670" s="476">
        <v>66616</v>
      </c>
      <c r="BI670" s="467"/>
      <c r="BJ670" s="468"/>
    </row>
    <row r="671" spans="1:62">
      <c r="A671" s="469">
        <v>45931</v>
      </c>
      <c r="B671" s="469" t="s">
        <v>747</v>
      </c>
      <c r="C671" s="508" t="s">
        <v>748</v>
      </c>
      <c r="D671" s="470" t="s">
        <v>749</v>
      </c>
      <c r="E671" s="471">
        <v>1624</v>
      </c>
      <c r="F671" s="470" t="s">
        <v>1156</v>
      </c>
      <c r="G671" s="470" t="s">
        <v>751</v>
      </c>
      <c r="H671" s="470" t="s">
        <v>12</v>
      </c>
      <c r="I671" s="470" t="s">
        <v>1157</v>
      </c>
      <c r="J671" s="472" t="s">
        <v>1158</v>
      </c>
      <c r="K671" s="470" t="s">
        <v>1159</v>
      </c>
      <c r="L671" s="470" t="s">
        <v>987</v>
      </c>
      <c r="M671" s="470" t="s">
        <v>987</v>
      </c>
      <c r="N671" s="470" t="s">
        <v>756</v>
      </c>
      <c r="O671" s="472" t="s">
        <v>757</v>
      </c>
      <c r="P671" s="472" t="s">
        <v>738</v>
      </c>
      <c r="Q671" s="472" t="s">
        <v>758</v>
      </c>
      <c r="R671" s="472" t="s">
        <v>12</v>
      </c>
      <c r="S671" s="472" t="s">
        <v>12</v>
      </c>
      <c r="T671" s="472" t="s">
        <v>1160</v>
      </c>
      <c r="U671" s="470" t="s">
        <v>1161</v>
      </c>
      <c r="V671" s="470" t="s">
        <v>761</v>
      </c>
      <c r="W671" s="470" t="s">
        <v>898</v>
      </c>
      <c r="X671" s="470">
        <v>31</v>
      </c>
      <c r="Y671" s="470">
        <v>0</v>
      </c>
      <c r="Z671" s="470">
        <v>0</v>
      </c>
      <c r="AA671" s="470">
        <v>31</v>
      </c>
      <c r="AB671" s="470">
        <v>31</v>
      </c>
      <c r="AC671" s="473">
        <v>42042</v>
      </c>
      <c r="AD671" s="473">
        <v>42042</v>
      </c>
      <c r="AE671" s="473">
        <v>18919</v>
      </c>
      <c r="AF671" s="473">
        <v>7568</v>
      </c>
      <c r="AG671" s="473">
        <v>1600</v>
      </c>
      <c r="AH671" s="473">
        <v>200</v>
      </c>
      <c r="AI671" s="473">
        <v>1250</v>
      </c>
      <c r="AJ671" s="473">
        <v>1576</v>
      </c>
      <c r="AK671" s="473">
        <v>3784</v>
      </c>
      <c r="AL671" s="473">
        <v>2838</v>
      </c>
      <c r="AM671" s="473">
        <v>189</v>
      </c>
      <c r="AN671" s="473">
        <v>662</v>
      </c>
      <c r="AO671" s="473">
        <v>378</v>
      </c>
      <c r="AP671" s="473">
        <v>95</v>
      </c>
      <c r="AQ671" s="473">
        <v>1800</v>
      </c>
      <c r="AR671" s="473">
        <v>1183</v>
      </c>
      <c r="AS671" s="473">
        <v>0</v>
      </c>
      <c r="AT671" s="473">
        <v>200</v>
      </c>
      <c r="AU671" s="473">
        <v>0</v>
      </c>
      <c r="AV671" s="473">
        <v>42242</v>
      </c>
      <c r="AW671" s="474">
        <v>42242</v>
      </c>
      <c r="AX671" s="473">
        <v>0</v>
      </c>
      <c r="AY671" s="473">
        <v>0</v>
      </c>
      <c r="AZ671" s="475">
        <v>0</v>
      </c>
      <c r="BA671" s="475">
        <v>200</v>
      </c>
      <c r="BB671" s="475">
        <v>1800</v>
      </c>
      <c r="BC671" s="475">
        <v>0</v>
      </c>
      <c r="BD671" s="475">
        <v>0</v>
      </c>
      <c r="BE671" s="475">
        <v>0</v>
      </c>
      <c r="BF671" s="475">
        <v>0</v>
      </c>
      <c r="BG671" s="475">
        <v>2000</v>
      </c>
      <c r="BH671" s="476">
        <v>40242</v>
      </c>
      <c r="BI671" s="467"/>
      <c r="BJ671" s="468"/>
    </row>
    <row r="672" spans="1:62">
      <c r="A672" s="469">
        <v>45931</v>
      </c>
      <c r="B672" s="469" t="s">
        <v>747</v>
      </c>
      <c r="C672" s="508" t="s">
        <v>748</v>
      </c>
      <c r="D672" s="470" t="s">
        <v>749</v>
      </c>
      <c r="E672" s="471">
        <v>1738</v>
      </c>
      <c r="F672" s="470" t="s">
        <v>1162</v>
      </c>
      <c r="G672" s="470" t="s">
        <v>751</v>
      </c>
      <c r="H672" s="470" t="s">
        <v>12</v>
      </c>
      <c r="I672" s="470" t="s">
        <v>938</v>
      </c>
      <c r="J672" s="472" t="s">
        <v>1163</v>
      </c>
      <c r="K672" s="470" t="s">
        <v>1164</v>
      </c>
      <c r="L672" s="470" t="s">
        <v>1165</v>
      </c>
      <c r="M672" s="470" t="s">
        <v>1165</v>
      </c>
      <c r="N672" s="470" t="s">
        <v>756</v>
      </c>
      <c r="O672" s="472" t="s">
        <v>757</v>
      </c>
      <c r="P672" s="472" t="s">
        <v>738</v>
      </c>
      <c r="Q672" s="472" t="s">
        <v>758</v>
      </c>
      <c r="R672" s="472" t="s">
        <v>12</v>
      </c>
      <c r="S672" s="472" t="s">
        <v>12</v>
      </c>
      <c r="T672" s="472" t="s">
        <v>1166</v>
      </c>
      <c r="U672" s="470" t="s">
        <v>1167</v>
      </c>
      <c r="V672" s="470" t="s">
        <v>761</v>
      </c>
      <c r="W672" s="470" t="s">
        <v>762</v>
      </c>
      <c r="X672" s="470">
        <v>31</v>
      </c>
      <c r="Y672" s="470">
        <v>0</v>
      </c>
      <c r="Z672" s="470">
        <v>0</v>
      </c>
      <c r="AA672" s="470">
        <v>31</v>
      </c>
      <c r="AB672" s="470">
        <v>31</v>
      </c>
      <c r="AC672" s="473">
        <v>35983</v>
      </c>
      <c r="AD672" s="473">
        <v>35983</v>
      </c>
      <c r="AE672" s="473">
        <v>16192</v>
      </c>
      <c r="AF672" s="473">
        <v>6477</v>
      </c>
      <c r="AG672" s="473">
        <v>1600</v>
      </c>
      <c r="AH672" s="473">
        <v>200</v>
      </c>
      <c r="AI672" s="473">
        <v>1250</v>
      </c>
      <c r="AJ672" s="473">
        <v>0</v>
      </c>
      <c r="AK672" s="473">
        <v>0</v>
      </c>
      <c r="AL672" s="473">
        <v>0</v>
      </c>
      <c r="AM672" s="473">
        <v>0</v>
      </c>
      <c r="AN672" s="473">
        <v>0</v>
      </c>
      <c r="AO672" s="473">
        <v>0</v>
      </c>
      <c r="AP672" s="473">
        <v>0</v>
      </c>
      <c r="AQ672" s="473">
        <v>1800</v>
      </c>
      <c r="AR672" s="473">
        <v>8464</v>
      </c>
      <c r="AS672" s="473">
        <v>0</v>
      </c>
      <c r="AT672" s="473">
        <v>200</v>
      </c>
      <c r="AU672" s="473">
        <v>0</v>
      </c>
      <c r="AV672" s="473">
        <v>36183</v>
      </c>
      <c r="AW672" s="474">
        <v>36183</v>
      </c>
      <c r="AX672" s="473">
        <v>0</v>
      </c>
      <c r="AY672" s="473">
        <v>0</v>
      </c>
      <c r="AZ672" s="475">
        <v>0</v>
      </c>
      <c r="BA672" s="475">
        <v>200</v>
      </c>
      <c r="BB672" s="475">
        <v>1800</v>
      </c>
      <c r="BC672" s="475">
        <v>0</v>
      </c>
      <c r="BD672" s="475">
        <v>0</v>
      </c>
      <c r="BE672" s="475">
        <v>0</v>
      </c>
      <c r="BF672" s="475">
        <v>0</v>
      </c>
      <c r="BG672" s="475">
        <v>2000</v>
      </c>
      <c r="BH672" s="476">
        <v>34183</v>
      </c>
      <c r="BI672" s="467"/>
      <c r="BJ672" s="468"/>
    </row>
    <row r="673" spans="1:62">
      <c r="A673" s="469">
        <v>45931</v>
      </c>
      <c r="B673" s="469" t="s">
        <v>747</v>
      </c>
      <c r="C673" s="508" t="s">
        <v>748</v>
      </c>
      <c r="D673" s="470" t="s">
        <v>749</v>
      </c>
      <c r="E673" s="471">
        <v>2175</v>
      </c>
      <c r="F673" s="470" t="s">
        <v>1320</v>
      </c>
      <c r="G673" s="470" t="s">
        <v>812</v>
      </c>
      <c r="H673" s="470" t="s">
        <v>12</v>
      </c>
      <c r="I673" s="470" t="s">
        <v>1321</v>
      </c>
      <c r="J673" s="472" t="s">
        <v>1322</v>
      </c>
      <c r="K673" s="470" t="s">
        <v>1323</v>
      </c>
      <c r="L673" s="470" t="s">
        <v>1324</v>
      </c>
      <c r="M673" s="470" t="s">
        <v>1293</v>
      </c>
      <c r="N673" s="470" t="s">
        <v>756</v>
      </c>
      <c r="O673" s="472" t="s">
        <v>792</v>
      </c>
      <c r="P673" s="472" t="s">
        <v>738</v>
      </c>
      <c r="Q673" s="472" t="s">
        <v>758</v>
      </c>
      <c r="R673" s="472" t="s">
        <v>12</v>
      </c>
      <c r="S673" s="472" t="s">
        <v>12</v>
      </c>
      <c r="T673" s="472" t="s">
        <v>1325</v>
      </c>
      <c r="U673" s="470" t="s">
        <v>1326</v>
      </c>
      <c r="V673" s="470" t="s">
        <v>761</v>
      </c>
      <c r="W673" s="470" t="s">
        <v>1327</v>
      </c>
      <c r="X673" s="470">
        <v>31</v>
      </c>
      <c r="Y673" s="470">
        <v>0</v>
      </c>
      <c r="Z673" s="470">
        <v>0</v>
      </c>
      <c r="AA673" s="470">
        <v>31</v>
      </c>
      <c r="AB673" s="470">
        <v>31</v>
      </c>
      <c r="AC673" s="473">
        <v>137785</v>
      </c>
      <c r="AD673" s="473">
        <v>137785</v>
      </c>
      <c r="AE673" s="473">
        <v>62003</v>
      </c>
      <c r="AF673" s="473">
        <v>24801</v>
      </c>
      <c r="AG673" s="473">
        <v>1600</v>
      </c>
      <c r="AH673" s="473">
        <v>200</v>
      </c>
      <c r="AI673" s="473">
        <v>1250</v>
      </c>
      <c r="AJ673" s="473">
        <v>5165</v>
      </c>
      <c r="AK673" s="473">
        <v>12401</v>
      </c>
      <c r="AL673" s="473">
        <v>9300</v>
      </c>
      <c r="AM673" s="473">
        <v>620</v>
      </c>
      <c r="AN673" s="473">
        <v>2170</v>
      </c>
      <c r="AO673" s="473">
        <v>1240</v>
      </c>
      <c r="AP673" s="473">
        <v>310</v>
      </c>
      <c r="AQ673" s="473">
        <v>1800</v>
      </c>
      <c r="AR673" s="473">
        <v>14925</v>
      </c>
      <c r="AS673" s="473">
        <v>0</v>
      </c>
      <c r="AT673" s="473">
        <v>400</v>
      </c>
      <c r="AU673" s="473">
        <v>0</v>
      </c>
      <c r="AV673" s="473">
        <v>138185</v>
      </c>
      <c r="AW673" s="474">
        <v>138185</v>
      </c>
      <c r="AX673" s="473">
        <v>0</v>
      </c>
      <c r="AY673" s="473">
        <v>0</v>
      </c>
      <c r="AZ673" s="475">
        <v>0</v>
      </c>
      <c r="BA673" s="475">
        <v>200</v>
      </c>
      <c r="BB673" s="475">
        <v>1800</v>
      </c>
      <c r="BC673" s="475">
        <v>0</v>
      </c>
      <c r="BD673" s="475">
        <v>0</v>
      </c>
      <c r="BE673" s="475">
        <v>0</v>
      </c>
      <c r="BF673" s="475">
        <v>0</v>
      </c>
      <c r="BG673" s="475">
        <v>2000</v>
      </c>
      <c r="BH673" s="476">
        <v>136185</v>
      </c>
      <c r="BI673" s="467"/>
      <c r="BJ673" s="468"/>
    </row>
    <row r="674" spans="1:62">
      <c r="A674" s="469">
        <v>45931</v>
      </c>
      <c r="B674" s="469" t="s">
        <v>747</v>
      </c>
      <c r="C674" s="508" t="s">
        <v>748</v>
      </c>
      <c r="D674" s="470" t="s">
        <v>749</v>
      </c>
      <c r="E674" s="471">
        <v>1589</v>
      </c>
      <c r="F674" s="470" t="s">
        <v>1175</v>
      </c>
      <c r="G674" s="470" t="s">
        <v>751</v>
      </c>
      <c r="H674" s="470" t="s">
        <v>12</v>
      </c>
      <c r="I674" s="470" t="s">
        <v>1176</v>
      </c>
      <c r="J674" s="472" t="s">
        <v>1177</v>
      </c>
      <c r="K674" s="470" t="s">
        <v>1178</v>
      </c>
      <c r="L674" s="470" t="s">
        <v>755</v>
      </c>
      <c r="M674" s="470" t="s">
        <v>755</v>
      </c>
      <c r="N674" s="470" t="s">
        <v>756</v>
      </c>
      <c r="O674" s="472" t="s">
        <v>757</v>
      </c>
      <c r="P674" s="472" t="s">
        <v>738</v>
      </c>
      <c r="Q674" s="472" t="s">
        <v>758</v>
      </c>
      <c r="R674" s="472" t="s">
        <v>12</v>
      </c>
      <c r="S674" s="472" t="s">
        <v>12</v>
      </c>
      <c r="T674" s="472" t="s">
        <v>1179</v>
      </c>
      <c r="U674" s="470" t="s">
        <v>1180</v>
      </c>
      <c r="V674" s="470" t="s">
        <v>761</v>
      </c>
      <c r="W674" s="470" t="s">
        <v>762</v>
      </c>
      <c r="X674" s="470">
        <v>31</v>
      </c>
      <c r="Y674" s="470">
        <v>0</v>
      </c>
      <c r="Z674" s="470">
        <v>0</v>
      </c>
      <c r="AA674" s="470">
        <v>31</v>
      </c>
      <c r="AB674" s="470">
        <v>31</v>
      </c>
      <c r="AC674" s="473">
        <v>34250</v>
      </c>
      <c r="AD674" s="473">
        <v>34250</v>
      </c>
      <c r="AE674" s="473">
        <v>15413</v>
      </c>
      <c r="AF674" s="473">
        <v>6165</v>
      </c>
      <c r="AG674" s="473">
        <v>1600</v>
      </c>
      <c r="AH674" s="473">
        <v>200</v>
      </c>
      <c r="AI674" s="473">
        <v>1250</v>
      </c>
      <c r="AJ674" s="473">
        <v>0</v>
      </c>
      <c r="AK674" s="473">
        <v>0</v>
      </c>
      <c r="AL674" s="473">
        <v>0</v>
      </c>
      <c r="AM674" s="473">
        <v>0</v>
      </c>
      <c r="AN674" s="473">
        <v>0</v>
      </c>
      <c r="AO674" s="473">
        <v>0</v>
      </c>
      <c r="AP674" s="473">
        <v>0</v>
      </c>
      <c r="AQ674" s="473">
        <v>1800</v>
      </c>
      <c r="AR674" s="473">
        <v>7822</v>
      </c>
      <c r="AS674" s="473">
        <v>0</v>
      </c>
      <c r="AT674" s="473">
        <v>400</v>
      </c>
      <c r="AU674" s="473">
        <v>0</v>
      </c>
      <c r="AV674" s="473">
        <v>34650</v>
      </c>
      <c r="AW674" s="474">
        <v>34650</v>
      </c>
      <c r="AX674" s="473">
        <v>0</v>
      </c>
      <c r="AY674" s="473">
        <v>0</v>
      </c>
      <c r="AZ674" s="475">
        <v>0</v>
      </c>
      <c r="BA674" s="475">
        <v>200</v>
      </c>
      <c r="BB674" s="475">
        <v>1800</v>
      </c>
      <c r="BC674" s="475">
        <v>0</v>
      </c>
      <c r="BD674" s="475">
        <v>0</v>
      </c>
      <c r="BE674" s="475">
        <v>0</v>
      </c>
      <c r="BF674" s="475">
        <v>0</v>
      </c>
      <c r="BG674" s="475">
        <v>2000</v>
      </c>
      <c r="BH674" s="476">
        <v>32650</v>
      </c>
      <c r="BI674" s="467"/>
      <c r="BJ674" s="468"/>
    </row>
    <row r="675" spans="1:62">
      <c r="A675" s="469">
        <v>45931</v>
      </c>
      <c r="B675" s="469" t="s">
        <v>747</v>
      </c>
      <c r="C675" s="508" t="s">
        <v>748</v>
      </c>
      <c r="D675" s="470" t="s">
        <v>749</v>
      </c>
      <c r="E675" s="471">
        <v>2069</v>
      </c>
      <c r="F675" s="470" t="s">
        <v>1181</v>
      </c>
      <c r="G675" s="470" t="s">
        <v>751</v>
      </c>
      <c r="H675" s="470" t="s">
        <v>12</v>
      </c>
      <c r="I675" s="470" t="s">
        <v>1182</v>
      </c>
      <c r="J675" s="472" t="s">
        <v>1183</v>
      </c>
      <c r="K675" s="470" t="s">
        <v>1184</v>
      </c>
      <c r="L675" s="470" t="s">
        <v>767</v>
      </c>
      <c r="M675" s="470" t="s">
        <v>767</v>
      </c>
      <c r="N675" s="470" t="s">
        <v>756</v>
      </c>
      <c r="O675" s="472" t="s">
        <v>792</v>
      </c>
      <c r="P675" s="472" t="s">
        <v>738</v>
      </c>
      <c r="Q675" s="472" t="s">
        <v>758</v>
      </c>
      <c r="R675" s="472" t="s">
        <v>12</v>
      </c>
      <c r="S675" s="472" t="s">
        <v>12</v>
      </c>
      <c r="T675" s="472" t="s">
        <v>1185</v>
      </c>
      <c r="U675" s="470" t="s">
        <v>1186</v>
      </c>
      <c r="V675" s="470" t="s">
        <v>761</v>
      </c>
      <c r="W675" s="470" t="s">
        <v>1187</v>
      </c>
      <c r="X675" s="470">
        <v>31</v>
      </c>
      <c r="Y675" s="470">
        <v>0</v>
      </c>
      <c r="Z675" s="470">
        <v>0</v>
      </c>
      <c r="AA675" s="470">
        <v>31</v>
      </c>
      <c r="AB675" s="470">
        <v>31</v>
      </c>
      <c r="AC675" s="473">
        <v>70000</v>
      </c>
      <c r="AD675" s="473">
        <v>70000</v>
      </c>
      <c r="AE675" s="473">
        <v>31500</v>
      </c>
      <c r="AF675" s="473">
        <v>12600</v>
      </c>
      <c r="AG675" s="473">
        <v>1600</v>
      </c>
      <c r="AH675" s="473">
        <v>200</v>
      </c>
      <c r="AI675" s="473">
        <v>1250</v>
      </c>
      <c r="AJ675" s="473">
        <v>2624</v>
      </c>
      <c r="AK675" s="473">
        <v>6300</v>
      </c>
      <c r="AL675" s="473">
        <v>4725</v>
      </c>
      <c r="AM675" s="473">
        <v>315</v>
      </c>
      <c r="AN675" s="473">
        <v>1103</v>
      </c>
      <c r="AO675" s="473">
        <v>630</v>
      </c>
      <c r="AP675" s="473">
        <v>158</v>
      </c>
      <c r="AQ675" s="473">
        <v>1800</v>
      </c>
      <c r="AR675" s="473">
        <v>5195</v>
      </c>
      <c r="AS675" s="473">
        <v>0</v>
      </c>
      <c r="AT675" s="473">
        <v>200</v>
      </c>
      <c r="AU675" s="473">
        <v>0</v>
      </c>
      <c r="AV675" s="473">
        <v>70200</v>
      </c>
      <c r="AW675" s="474">
        <v>70200</v>
      </c>
      <c r="AX675" s="473">
        <v>0</v>
      </c>
      <c r="AY675" s="473">
        <v>0</v>
      </c>
      <c r="AZ675" s="475">
        <v>0</v>
      </c>
      <c r="BA675" s="475">
        <v>200</v>
      </c>
      <c r="BB675" s="475">
        <v>1800</v>
      </c>
      <c r="BC675" s="475">
        <v>0</v>
      </c>
      <c r="BD675" s="475">
        <v>0</v>
      </c>
      <c r="BE675" s="475">
        <v>0</v>
      </c>
      <c r="BF675" s="475">
        <v>0</v>
      </c>
      <c r="BG675" s="475">
        <v>2000</v>
      </c>
      <c r="BH675" s="476">
        <v>68200</v>
      </c>
      <c r="BI675" s="467"/>
      <c r="BJ675" s="468"/>
    </row>
    <row r="676" spans="1:62">
      <c r="A676" s="469">
        <v>45931</v>
      </c>
      <c r="B676" s="469" t="s">
        <v>747</v>
      </c>
      <c r="C676" s="508" t="s">
        <v>748</v>
      </c>
      <c r="D676" s="470" t="s">
        <v>749</v>
      </c>
      <c r="E676" s="471">
        <v>1515</v>
      </c>
      <c r="F676" s="470" t="s">
        <v>1196</v>
      </c>
      <c r="G676" s="470" t="s">
        <v>751</v>
      </c>
      <c r="H676" s="470" t="s">
        <v>12</v>
      </c>
      <c r="I676" s="470" t="s">
        <v>878</v>
      </c>
      <c r="J676" s="472" t="s">
        <v>1197</v>
      </c>
      <c r="K676" s="470" t="s">
        <v>1198</v>
      </c>
      <c r="L676" s="470" t="s">
        <v>942</v>
      </c>
      <c r="M676" s="470" t="s">
        <v>942</v>
      </c>
      <c r="N676" s="470" t="s">
        <v>1275</v>
      </c>
      <c r="O676" s="472" t="s">
        <v>1272</v>
      </c>
      <c r="P676" s="472" t="s">
        <v>738</v>
      </c>
      <c r="Q676" s="472" t="s">
        <v>758</v>
      </c>
      <c r="R676" s="472" t="s">
        <v>12</v>
      </c>
      <c r="S676" s="472" t="s">
        <v>12</v>
      </c>
      <c r="T676" s="472" t="s">
        <v>1199</v>
      </c>
      <c r="U676" s="470" t="s">
        <v>1200</v>
      </c>
      <c r="V676" s="470" t="s">
        <v>761</v>
      </c>
      <c r="W676" s="470" t="s">
        <v>1201</v>
      </c>
      <c r="X676" s="470">
        <v>31</v>
      </c>
      <c r="Y676" s="470">
        <v>0</v>
      </c>
      <c r="Z676" s="470">
        <v>0</v>
      </c>
      <c r="AA676" s="470">
        <v>31</v>
      </c>
      <c r="AB676" s="470">
        <v>31</v>
      </c>
      <c r="AC676" s="473">
        <v>184245</v>
      </c>
      <c r="AD676" s="473">
        <v>184245</v>
      </c>
      <c r="AE676" s="473">
        <v>82910</v>
      </c>
      <c r="AF676" s="473">
        <v>33164</v>
      </c>
      <c r="AG676" s="473">
        <v>1600</v>
      </c>
      <c r="AH676" s="473">
        <v>200</v>
      </c>
      <c r="AI676" s="473">
        <v>1250</v>
      </c>
      <c r="AJ676" s="473">
        <v>6906</v>
      </c>
      <c r="AK676" s="473">
        <v>16582</v>
      </c>
      <c r="AL676" s="473">
        <v>12437</v>
      </c>
      <c r="AM676" s="473">
        <v>829</v>
      </c>
      <c r="AN676" s="473">
        <v>2902</v>
      </c>
      <c r="AO676" s="473">
        <v>1658</v>
      </c>
      <c r="AP676" s="473">
        <v>415</v>
      </c>
      <c r="AQ676" s="473">
        <v>1800</v>
      </c>
      <c r="AR676" s="473">
        <v>21592</v>
      </c>
      <c r="AS676" s="473">
        <v>0</v>
      </c>
      <c r="AT676" s="473">
        <v>0</v>
      </c>
      <c r="AU676" s="473">
        <v>0</v>
      </c>
      <c r="AV676" s="473">
        <v>184245</v>
      </c>
      <c r="AW676" s="474">
        <v>184245</v>
      </c>
      <c r="AX676" s="473">
        <v>0</v>
      </c>
      <c r="AY676" s="473">
        <v>0</v>
      </c>
      <c r="AZ676" s="475">
        <v>26142</v>
      </c>
      <c r="BA676" s="475">
        <v>200</v>
      </c>
      <c r="BB676" s="475">
        <v>1800</v>
      </c>
      <c r="BC676" s="475">
        <v>0</v>
      </c>
      <c r="BD676" s="475">
        <v>0</v>
      </c>
      <c r="BE676" s="475">
        <v>0</v>
      </c>
      <c r="BF676" s="475">
        <v>0</v>
      </c>
      <c r="BG676" s="475">
        <v>28142</v>
      </c>
      <c r="BH676" s="476">
        <v>156103</v>
      </c>
      <c r="BI676" s="467"/>
      <c r="BJ676" s="468"/>
    </row>
    <row r="677" spans="1:62">
      <c r="A677" s="469">
        <v>45931</v>
      </c>
      <c r="B677" s="469" t="s">
        <v>747</v>
      </c>
      <c r="C677" s="508" t="s">
        <v>748</v>
      </c>
      <c r="D677" s="470" t="s">
        <v>749</v>
      </c>
      <c r="E677" s="471">
        <v>2015</v>
      </c>
      <c r="F677" s="470" t="s">
        <v>1202</v>
      </c>
      <c r="G677" s="470" t="s">
        <v>751</v>
      </c>
      <c r="H677" s="470" t="s">
        <v>12</v>
      </c>
      <c r="I677" s="470" t="s">
        <v>847</v>
      </c>
      <c r="J677" s="472" t="s">
        <v>1203</v>
      </c>
      <c r="K677" s="470" t="s">
        <v>1204</v>
      </c>
      <c r="L677" s="470" t="s">
        <v>824</v>
      </c>
      <c r="M677" s="470" t="s">
        <v>824</v>
      </c>
      <c r="N677" s="470" t="s">
        <v>1275</v>
      </c>
      <c r="O677" s="472" t="s">
        <v>1276</v>
      </c>
      <c r="P677" s="472" t="s">
        <v>738</v>
      </c>
      <c r="Q677" s="472" t="s">
        <v>758</v>
      </c>
      <c r="R677" s="472" t="s">
        <v>12</v>
      </c>
      <c r="S677" s="472" t="s">
        <v>12</v>
      </c>
      <c r="T677" s="472" t="s">
        <v>1205</v>
      </c>
      <c r="U677" s="470" t="s">
        <v>1206</v>
      </c>
      <c r="V677" s="470" t="s">
        <v>761</v>
      </c>
      <c r="W677" s="470" t="s">
        <v>762</v>
      </c>
      <c r="X677" s="470">
        <v>31</v>
      </c>
      <c r="Y677" s="470">
        <v>0</v>
      </c>
      <c r="Z677" s="470">
        <v>0</v>
      </c>
      <c r="AA677" s="470">
        <v>31</v>
      </c>
      <c r="AB677" s="470">
        <v>31</v>
      </c>
      <c r="AC677" s="473">
        <v>56533</v>
      </c>
      <c r="AD677" s="473">
        <v>56533</v>
      </c>
      <c r="AE677" s="473">
        <v>25440</v>
      </c>
      <c r="AF677" s="473">
        <v>10176</v>
      </c>
      <c r="AG677" s="473">
        <v>1600</v>
      </c>
      <c r="AH677" s="473">
        <v>200</v>
      </c>
      <c r="AI677" s="473">
        <v>1250</v>
      </c>
      <c r="AJ677" s="473">
        <v>2119</v>
      </c>
      <c r="AK677" s="473">
        <v>5088</v>
      </c>
      <c r="AL677" s="473">
        <v>3816</v>
      </c>
      <c r="AM677" s="473">
        <v>254</v>
      </c>
      <c r="AN677" s="473">
        <v>890</v>
      </c>
      <c r="AO677" s="473">
        <v>509</v>
      </c>
      <c r="AP677" s="473">
        <v>127</v>
      </c>
      <c r="AQ677" s="473">
        <v>1800</v>
      </c>
      <c r="AR677" s="473">
        <v>3264</v>
      </c>
      <c r="AS677" s="473">
        <v>0</v>
      </c>
      <c r="AT677" s="473">
        <v>0</v>
      </c>
      <c r="AU677" s="473">
        <v>2198</v>
      </c>
      <c r="AV677" s="473">
        <v>58731</v>
      </c>
      <c r="AW677" s="474">
        <v>56533</v>
      </c>
      <c r="AX677" s="473">
        <v>0</v>
      </c>
      <c r="AY677" s="473">
        <v>0</v>
      </c>
      <c r="AZ677" s="475">
        <v>0</v>
      </c>
      <c r="BA677" s="475">
        <v>200</v>
      </c>
      <c r="BB677" s="475">
        <v>1800</v>
      </c>
      <c r="BC677" s="475">
        <v>0</v>
      </c>
      <c r="BD677" s="475">
        <v>0</v>
      </c>
      <c r="BE677" s="475">
        <v>0</v>
      </c>
      <c r="BF677" s="475">
        <v>0</v>
      </c>
      <c r="BG677" s="475">
        <v>2000</v>
      </c>
      <c r="BH677" s="476">
        <v>56731</v>
      </c>
      <c r="BI677" s="467"/>
      <c r="BJ677" s="468"/>
    </row>
    <row r="678" spans="1:62">
      <c r="A678" s="469">
        <v>45931</v>
      </c>
      <c r="B678" s="469" t="s">
        <v>747</v>
      </c>
      <c r="C678" s="508" t="s">
        <v>748</v>
      </c>
      <c r="D678" s="470" t="s">
        <v>749</v>
      </c>
      <c r="E678" s="471">
        <v>1166</v>
      </c>
      <c r="F678" s="470" t="s">
        <v>1207</v>
      </c>
      <c r="G678" s="470" t="s">
        <v>751</v>
      </c>
      <c r="H678" s="470" t="s">
        <v>12</v>
      </c>
      <c r="I678" s="470" t="s">
        <v>1208</v>
      </c>
      <c r="J678" s="472" t="s">
        <v>1209</v>
      </c>
      <c r="K678" s="470" t="s">
        <v>1210</v>
      </c>
      <c r="L678" s="470" t="s">
        <v>1329</v>
      </c>
      <c r="M678" s="470" t="s">
        <v>1330</v>
      </c>
      <c r="N678" s="470" t="s">
        <v>756</v>
      </c>
      <c r="O678" s="472" t="s">
        <v>757</v>
      </c>
      <c r="P678" s="472" t="s">
        <v>738</v>
      </c>
      <c r="Q678" s="472" t="s">
        <v>758</v>
      </c>
      <c r="R678" s="472" t="s">
        <v>12</v>
      </c>
      <c r="S678" s="472" t="s">
        <v>12</v>
      </c>
      <c r="T678" s="472" t="s">
        <v>1213</v>
      </c>
      <c r="U678" s="470" t="s">
        <v>1214</v>
      </c>
      <c r="V678" s="470" t="s">
        <v>761</v>
      </c>
      <c r="W678" s="470" t="s">
        <v>859</v>
      </c>
      <c r="X678" s="470">
        <v>31</v>
      </c>
      <c r="Y678" s="470">
        <v>0</v>
      </c>
      <c r="Z678" s="470">
        <v>0</v>
      </c>
      <c r="AA678" s="470">
        <v>31</v>
      </c>
      <c r="AB678" s="470">
        <v>31</v>
      </c>
      <c r="AC678" s="473">
        <v>59983</v>
      </c>
      <c r="AD678" s="473">
        <v>59983</v>
      </c>
      <c r="AE678" s="473">
        <v>26992</v>
      </c>
      <c r="AF678" s="473">
        <v>10797</v>
      </c>
      <c r="AG678" s="473">
        <v>1600</v>
      </c>
      <c r="AH678" s="473">
        <v>200</v>
      </c>
      <c r="AI678" s="473">
        <v>1250</v>
      </c>
      <c r="AJ678" s="473">
        <v>2248</v>
      </c>
      <c r="AK678" s="473">
        <v>5398</v>
      </c>
      <c r="AL678" s="473">
        <v>4049</v>
      </c>
      <c r="AM678" s="473">
        <v>270</v>
      </c>
      <c r="AN678" s="473">
        <v>945</v>
      </c>
      <c r="AO678" s="473">
        <v>540</v>
      </c>
      <c r="AP678" s="473">
        <v>135</v>
      </c>
      <c r="AQ678" s="473">
        <v>1800</v>
      </c>
      <c r="AR678" s="473">
        <v>3759</v>
      </c>
      <c r="AS678" s="473">
        <v>0</v>
      </c>
      <c r="AT678" s="473">
        <v>1200</v>
      </c>
      <c r="AU678" s="473">
        <v>0</v>
      </c>
      <c r="AV678" s="473">
        <v>61183</v>
      </c>
      <c r="AW678" s="474">
        <v>61183</v>
      </c>
      <c r="AX678" s="473">
        <v>0</v>
      </c>
      <c r="AY678" s="473">
        <v>0</v>
      </c>
      <c r="AZ678" s="475">
        <v>0</v>
      </c>
      <c r="BA678" s="475">
        <v>200</v>
      </c>
      <c r="BB678" s="475">
        <v>1800</v>
      </c>
      <c r="BC678" s="475">
        <v>0</v>
      </c>
      <c r="BD678" s="475">
        <v>0</v>
      </c>
      <c r="BE678" s="475">
        <v>0</v>
      </c>
      <c r="BF678" s="475">
        <v>0</v>
      </c>
      <c r="BG678" s="475">
        <v>2000</v>
      </c>
      <c r="BH678" s="476">
        <v>59183</v>
      </c>
      <c r="BI678" s="467"/>
      <c r="BJ678" s="468"/>
    </row>
    <row r="679" spans="1:62">
      <c r="A679" s="469">
        <v>45931</v>
      </c>
      <c r="B679" s="469" t="s">
        <v>747</v>
      </c>
      <c r="C679" s="508" t="s">
        <v>748</v>
      </c>
      <c r="D679" s="470" t="s">
        <v>749</v>
      </c>
      <c r="E679" s="471">
        <v>247</v>
      </c>
      <c r="F679" s="470" t="s">
        <v>1215</v>
      </c>
      <c r="G679" s="470" t="s">
        <v>751</v>
      </c>
      <c r="H679" s="470" t="s">
        <v>12</v>
      </c>
      <c r="I679" s="470" t="s">
        <v>1216</v>
      </c>
      <c r="J679" s="472" t="s">
        <v>1217</v>
      </c>
      <c r="K679" s="470" t="s">
        <v>1218</v>
      </c>
      <c r="L679" s="470" t="s">
        <v>894</v>
      </c>
      <c r="M679" s="470" t="s">
        <v>1027</v>
      </c>
      <c r="N679" s="470" t="s">
        <v>756</v>
      </c>
      <c r="O679" s="472" t="s">
        <v>757</v>
      </c>
      <c r="P679" s="472" t="s">
        <v>738</v>
      </c>
      <c r="Q679" s="472" t="s">
        <v>758</v>
      </c>
      <c r="R679" s="472" t="s">
        <v>12</v>
      </c>
      <c r="S679" s="472" t="s">
        <v>12</v>
      </c>
      <c r="T679" s="472" t="s">
        <v>1219</v>
      </c>
      <c r="U679" s="470" t="s">
        <v>1220</v>
      </c>
      <c r="V679" s="470" t="s">
        <v>761</v>
      </c>
      <c r="W679" s="470" t="s">
        <v>960</v>
      </c>
      <c r="X679" s="470">
        <v>31</v>
      </c>
      <c r="Y679" s="470">
        <v>0</v>
      </c>
      <c r="Z679" s="470">
        <v>0</v>
      </c>
      <c r="AA679" s="470">
        <v>31</v>
      </c>
      <c r="AB679" s="470">
        <v>31</v>
      </c>
      <c r="AC679" s="473">
        <v>34308</v>
      </c>
      <c r="AD679" s="473">
        <v>34308</v>
      </c>
      <c r="AE679" s="473">
        <v>15439</v>
      </c>
      <c r="AF679" s="473">
        <v>6176</v>
      </c>
      <c r="AG679" s="473">
        <v>1600</v>
      </c>
      <c r="AH679" s="473">
        <v>200</v>
      </c>
      <c r="AI679" s="473">
        <v>1250</v>
      </c>
      <c r="AJ679" s="473">
        <v>0</v>
      </c>
      <c r="AK679" s="473">
        <v>0</v>
      </c>
      <c r="AL679" s="473">
        <v>0</v>
      </c>
      <c r="AM679" s="473">
        <v>0</v>
      </c>
      <c r="AN679" s="473">
        <v>0</v>
      </c>
      <c r="AO679" s="473">
        <v>0</v>
      </c>
      <c r="AP679" s="473">
        <v>0</v>
      </c>
      <c r="AQ679" s="473">
        <v>1800</v>
      </c>
      <c r="AR679" s="473">
        <v>7843</v>
      </c>
      <c r="AS679" s="473">
        <v>0</v>
      </c>
      <c r="AT679" s="473">
        <v>400</v>
      </c>
      <c r="AU679" s="473">
        <v>4995</v>
      </c>
      <c r="AV679" s="473">
        <v>39703</v>
      </c>
      <c r="AW679" s="474">
        <v>34708</v>
      </c>
      <c r="AX679" s="473">
        <v>0</v>
      </c>
      <c r="AY679" s="473">
        <v>0</v>
      </c>
      <c r="AZ679" s="475">
        <v>0</v>
      </c>
      <c r="BA679" s="475">
        <v>200</v>
      </c>
      <c r="BB679" s="475">
        <v>1800</v>
      </c>
      <c r="BC679" s="475">
        <v>0</v>
      </c>
      <c r="BD679" s="475">
        <v>0</v>
      </c>
      <c r="BE679" s="475">
        <v>0</v>
      </c>
      <c r="BF679" s="475">
        <v>0</v>
      </c>
      <c r="BG679" s="475">
        <v>2000</v>
      </c>
      <c r="BH679" s="476">
        <v>37703</v>
      </c>
      <c r="BI679" s="467"/>
      <c r="BJ679" s="468"/>
    </row>
    <row r="680" spans="1:62">
      <c r="A680" s="469">
        <v>45931</v>
      </c>
      <c r="B680" s="469" t="s">
        <v>747</v>
      </c>
      <c r="C680" s="508" t="s">
        <v>748</v>
      </c>
      <c r="D680" s="470" t="s">
        <v>749</v>
      </c>
      <c r="E680" s="471">
        <v>1237</v>
      </c>
      <c r="F680" s="470" t="s">
        <v>1221</v>
      </c>
      <c r="G680" s="470" t="s">
        <v>751</v>
      </c>
      <c r="H680" s="470" t="s">
        <v>12</v>
      </c>
      <c r="I680" s="470" t="s">
        <v>1222</v>
      </c>
      <c r="J680" s="472" t="s">
        <v>1223</v>
      </c>
      <c r="K680" s="470" t="s">
        <v>1224</v>
      </c>
      <c r="L680" s="470" t="s">
        <v>800</v>
      </c>
      <c r="M680" s="470" t="s">
        <v>801</v>
      </c>
      <c r="N680" s="470" t="s">
        <v>756</v>
      </c>
      <c r="O680" s="472" t="s">
        <v>757</v>
      </c>
      <c r="P680" s="472" t="s">
        <v>738</v>
      </c>
      <c r="Q680" s="472" t="s">
        <v>758</v>
      </c>
      <c r="R680" s="472" t="s">
        <v>12</v>
      </c>
      <c r="S680" s="472" t="s">
        <v>12</v>
      </c>
      <c r="T680" s="472" t="s">
        <v>1225</v>
      </c>
      <c r="U680" s="470" t="s">
        <v>1226</v>
      </c>
      <c r="V680" s="470" t="s">
        <v>761</v>
      </c>
      <c r="W680" s="470" t="s">
        <v>762</v>
      </c>
      <c r="X680" s="470">
        <v>31</v>
      </c>
      <c r="Y680" s="470">
        <v>0</v>
      </c>
      <c r="Z680" s="470">
        <v>1</v>
      </c>
      <c r="AA680" s="470">
        <v>30</v>
      </c>
      <c r="AB680" s="470">
        <v>30</v>
      </c>
      <c r="AC680" s="473">
        <v>31644</v>
      </c>
      <c r="AD680" s="473">
        <v>31644</v>
      </c>
      <c r="AE680" s="473">
        <v>13780</v>
      </c>
      <c r="AF680" s="473">
        <v>5512</v>
      </c>
      <c r="AG680" s="473">
        <v>1548</v>
      </c>
      <c r="AH680" s="473">
        <v>194</v>
      </c>
      <c r="AI680" s="473">
        <v>1210</v>
      </c>
      <c r="AJ680" s="473">
        <v>0</v>
      </c>
      <c r="AK680" s="473">
        <v>0</v>
      </c>
      <c r="AL680" s="473">
        <v>0</v>
      </c>
      <c r="AM680" s="473">
        <v>0</v>
      </c>
      <c r="AN680" s="473">
        <v>0</v>
      </c>
      <c r="AO680" s="473">
        <v>0</v>
      </c>
      <c r="AP680" s="473">
        <v>0</v>
      </c>
      <c r="AQ680" s="473">
        <v>1654</v>
      </c>
      <c r="AR680" s="473">
        <v>6725</v>
      </c>
      <c r="AS680" s="473">
        <v>0</v>
      </c>
      <c r="AT680" s="473">
        <v>0</v>
      </c>
      <c r="AU680" s="473">
        <v>0</v>
      </c>
      <c r="AV680" s="473">
        <v>30623</v>
      </c>
      <c r="AW680" s="474">
        <v>30623</v>
      </c>
      <c r="AX680" s="473">
        <v>0</v>
      </c>
      <c r="AY680" s="473">
        <v>0</v>
      </c>
      <c r="AZ680" s="475">
        <v>0</v>
      </c>
      <c r="BA680" s="475">
        <v>200</v>
      </c>
      <c r="BB680" s="475">
        <v>1654</v>
      </c>
      <c r="BC680" s="475">
        <v>0</v>
      </c>
      <c r="BD680" s="475">
        <v>0</v>
      </c>
      <c r="BE680" s="475">
        <v>0</v>
      </c>
      <c r="BF680" s="475">
        <v>0</v>
      </c>
      <c r="BG680" s="475">
        <v>1854</v>
      </c>
      <c r="BH680" s="476">
        <v>28769</v>
      </c>
      <c r="BI680" s="467"/>
      <c r="BJ680" s="468"/>
    </row>
    <row r="681" spans="1:62">
      <c r="A681" s="469">
        <v>45931</v>
      </c>
      <c r="B681" s="469" t="s">
        <v>747</v>
      </c>
      <c r="C681" s="508" t="s">
        <v>748</v>
      </c>
      <c r="D681" s="470" t="s">
        <v>749</v>
      </c>
      <c r="E681" s="471">
        <v>1941</v>
      </c>
      <c r="F681" s="470" t="s">
        <v>1227</v>
      </c>
      <c r="G681" s="470" t="s">
        <v>751</v>
      </c>
      <c r="H681" s="470" t="s">
        <v>12</v>
      </c>
      <c r="I681" s="470" t="s">
        <v>1228</v>
      </c>
      <c r="J681" s="472" t="s">
        <v>1229</v>
      </c>
      <c r="K681" s="470" t="s">
        <v>1230</v>
      </c>
      <c r="L681" s="470" t="s">
        <v>1165</v>
      </c>
      <c r="M681" s="470" t="s">
        <v>1165</v>
      </c>
      <c r="N681" s="470" t="s">
        <v>756</v>
      </c>
      <c r="O681" s="472" t="s">
        <v>757</v>
      </c>
      <c r="P681" s="472" t="s">
        <v>738</v>
      </c>
      <c r="Q681" s="472" t="s">
        <v>758</v>
      </c>
      <c r="R681" s="472" t="s">
        <v>12</v>
      </c>
      <c r="S681" s="472" t="s">
        <v>12</v>
      </c>
      <c r="T681" s="472" t="s">
        <v>1231</v>
      </c>
      <c r="U681" s="470" t="s">
        <v>1232</v>
      </c>
      <c r="V681" s="470" t="s">
        <v>761</v>
      </c>
      <c r="W681" s="470" t="s">
        <v>907</v>
      </c>
      <c r="X681" s="470">
        <v>31</v>
      </c>
      <c r="Y681" s="470">
        <v>0</v>
      </c>
      <c r="Z681" s="470">
        <v>1</v>
      </c>
      <c r="AA681" s="470">
        <v>30</v>
      </c>
      <c r="AB681" s="470">
        <v>30</v>
      </c>
      <c r="AC681" s="473">
        <v>43800</v>
      </c>
      <c r="AD681" s="473">
        <v>43800</v>
      </c>
      <c r="AE681" s="473">
        <v>19074</v>
      </c>
      <c r="AF681" s="473">
        <v>7630</v>
      </c>
      <c r="AG681" s="473">
        <v>1548</v>
      </c>
      <c r="AH681" s="473">
        <v>194</v>
      </c>
      <c r="AI681" s="473">
        <v>1210</v>
      </c>
      <c r="AJ681" s="473">
        <v>1589</v>
      </c>
      <c r="AK681" s="473">
        <v>3815</v>
      </c>
      <c r="AL681" s="473">
        <v>2861</v>
      </c>
      <c r="AM681" s="473">
        <v>191</v>
      </c>
      <c r="AN681" s="473">
        <v>668</v>
      </c>
      <c r="AO681" s="473">
        <v>381</v>
      </c>
      <c r="AP681" s="473">
        <v>95</v>
      </c>
      <c r="AQ681" s="473">
        <v>1800</v>
      </c>
      <c r="AR681" s="473">
        <v>1331</v>
      </c>
      <c r="AS681" s="473">
        <v>0</v>
      </c>
      <c r="AT681" s="473">
        <v>0</v>
      </c>
      <c r="AU681" s="473">
        <v>220</v>
      </c>
      <c r="AV681" s="473">
        <v>42607</v>
      </c>
      <c r="AW681" s="474">
        <v>42387</v>
      </c>
      <c r="AX681" s="473">
        <v>0</v>
      </c>
      <c r="AY681" s="473">
        <v>0</v>
      </c>
      <c r="AZ681" s="475">
        <v>0</v>
      </c>
      <c r="BA681" s="475">
        <v>200</v>
      </c>
      <c r="BB681" s="475">
        <v>1800</v>
      </c>
      <c r="BC681" s="475">
        <v>0</v>
      </c>
      <c r="BD681" s="475">
        <v>0</v>
      </c>
      <c r="BE681" s="475">
        <v>0</v>
      </c>
      <c r="BF681" s="475">
        <v>0</v>
      </c>
      <c r="BG681" s="475">
        <v>2000</v>
      </c>
      <c r="BH681" s="476">
        <v>40607</v>
      </c>
      <c r="BI681" s="467"/>
      <c r="BJ681" s="468"/>
    </row>
    <row r="682" spans="1:62">
      <c r="A682" s="469">
        <v>45931</v>
      </c>
      <c r="B682" s="469" t="s">
        <v>747</v>
      </c>
      <c r="C682" s="508" t="s">
        <v>748</v>
      </c>
      <c r="D682" s="470" t="s">
        <v>749</v>
      </c>
      <c r="E682" s="471">
        <v>1950</v>
      </c>
      <c r="F682" s="470" t="s">
        <v>1233</v>
      </c>
      <c r="G682" s="470" t="s">
        <v>751</v>
      </c>
      <c r="H682" s="470" t="s">
        <v>12</v>
      </c>
      <c r="I682" s="470" t="s">
        <v>1234</v>
      </c>
      <c r="J682" s="472" t="s">
        <v>1235</v>
      </c>
      <c r="K682" s="470" t="s">
        <v>1236</v>
      </c>
      <c r="L682" s="470" t="s">
        <v>800</v>
      </c>
      <c r="M682" s="470" t="s">
        <v>800</v>
      </c>
      <c r="N682" s="470" t="s">
        <v>756</v>
      </c>
      <c r="O682" s="472" t="s">
        <v>1043</v>
      </c>
      <c r="P682" s="472" t="s">
        <v>738</v>
      </c>
      <c r="Q682" s="472" t="s">
        <v>758</v>
      </c>
      <c r="R682" s="472" t="s">
        <v>12</v>
      </c>
      <c r="S682" s="472" t="s">
        <v>12</v>
      </c>
      <c r="T682" s="472" t="s">
        <v>1237</v>
      </c>
      <c r="U682" s="470" t="s">
        <v>1238</v>
      </c>
      <c r="V682" s="470" t="s">
        <v>761</v>
      </c>
      <c r="W682" s="470" t="s">
        <v>1239</v>
      </c>
      <c r="X682" s="470">
        <v>31</v>
      </c>
      <c r="Y682" s="470">
        <v>0</v>
      </c>
      <c r="Z682" s="470">
        <v>0</v>
      </c>
      <c r="AA682" s="470">
        <v>31</v>
      </c>
      <c r="AB682" s="470">
        <v>31</v>
      </c>
      <c r="AC682" s="473">
        <v>35283</v>
      </c>
      <c r="AD682" s="473">
        <v>35283</v>
      </c>
      <c r="AE682" s="473">
        <v>15877</v>
      </c>
      <c r="AF682" s="473">
        <v>6351</v>
      </c>
      <c r="AG682" s="473">
        <v>1600</v>
      </c>
      <c r="AH682" s="473">
        <v>200</v>
      </c>
      <c r="AI682" s="473">
        <v>1250</v>
      </c>
      <c r="AJ682" s="473">
        <v>0</v>
      </c>
      <c r="AK682" s="473">
        <v>0</v>
      </c>
      <c r="AL682" s="473">
        <v>0</v>
      </c>
      <c r="AM682" s="473">
        <v>0</v>
      </c>
      <c r="AN682" s="473">
        <v>0</v>
      </c>
      <c r="AO682" s="473">
        <v>0</v>
      </c>
      <c r="AP682" s="473">
        <v>0</v>
      </c>
      <c r="AQ682" s="473">
        <v>1800</v>
      </c>
      <c r="AR682" s="473">
        <v>8205</v>
      </c>
      <c r="AS682" s="473">
        <v>0</v>
      </c>
      <c r="AT682" s="473">
        <v>0</v>
      </c>
      <c r="AU682" s="473">
        <v>1276</v>
      </c>
      <c r="AV682" s="473">
        <v>36559</v>
      </c>
      <c r="AW682" s="474">
        <v>35283</v>
      </c>
      <c r="AX682" s="473">
        <v>0</v>
      </c>
      <c r="AY682" s="473">
        <v>0</v>
      </c>
      <c r="AZ682" s="475">
        <v>0</v>
      </c>
      <c r="BA682" s="475">
        <v>200</v>
      </c>
      <c r="BB682" s="475">
        <v>1800</v>
      </c>
      <c r="BC682" s="475">
        <v>0</v>
      </c>
      <c r="BD682" s="475">
        <v>0</v>
      </c>
      <c r="BE682" s="475">
        <v>0</v>
      </c>
      <c r="BF682" s="475">
        <v>0</v>
      </c>
      <c r="BG682" s="475">
        <v>2000</v>
      </c>
      <c r="BH682" s="476">
        <v>34559</v>
      </c>
      <c r="BI682" s="467"/>
      <c r="BJ682" s="468"/>
    </row>
    <row r="683" spans="1:62">
      <c r="A683" s="469">
        <v>45931</v>
      </c>
      <c r="B683" s="469" t="s">
        <v>747</v>
      </c>
      <c r="C683" s="508" t="s">
        <v>748</v>
      </c>
      <c r="D683" s="470" t="s">
        <v>749</v>
      </c>
      <c r="E683" s="471">
        <v>1370</v>
      </c>
      <c r="F683" s="470" t="s">
        <v>1240</v>
      </c>
      <c r="G683" s="470" t="s">
        <v>751</v>
      </c>
      <c r="H683" s="470" t="s">
        <v>12</v>
      </c>
      <c r="I683" s="470" t="s">
        <v>1241</v>
      </c>
      <c r="J683" s="472" t="s">
        <v>1242</v>
      </c>
      <c r="K683" s="470" t="s">
        <v>1243</v>
      </c>
      <c r="L683" s="470" t="s">
        <v>979</v>
      </c>
      <c r="M683" s="470" t="s">
        <v>979</v>
      </c>
      <c r="N683" s="470" t="s">
        <v>833</v>
      </c>
      <c r="O683" s="472" t="s">
        <v>757</v>
      </c>
      <c r="P683" s="472" t="s">
        <v>738</v>
      </c>
      <c r="Q683" s="472" t="s">
        <v>758</v>
      </c>
      <c r="R683" s="472" t="s">
        <v>12</v>
      </c>
      <c r="S683" s="472" t="s">
        <v>12</v>
      </c>
      <c r="T683" s="472" t="s">
        <v>1245</v>
      </c>
      <c r="U683" s="470" t="s">
        <v>1246</v>
      </c>
      <c r="V683" s="470" t="s">
        <v>761</v>
      </c>
      <c r="W683" s="470" t="s">
        <v>762</v>
      </c>
      <c r="X683" s="470">
        <v>31</v>
      </c>
      <c r="Y683" s="470">
        <v>0</v>
      </c>
      <c r="Z683" s="470">
        <v>0</v>
      </c>
      <c r="AA683" s="470">
        <v>31</v>
      </c>
      <c r="AB683" s="470">
        <v>31</v>
      </c>
      <c r="AC683" s="473">
        <v>33000</v>
      </c>
      <c r="AD683" s="473">
        <v>33000</v>
      </c>
      <c r="AE683" s="473">
        <v>14850</v>
      </c>
      <c r="AF683" s="473">
        <v>5940</v>
      </c>
      <c r="AG683" s="473">
        <v>1600</v>
      </c>
      <c r="AH683" s="473">
        <v>200</v>
      </c>
      <c r="AI683" s="473">
        <v>1250</v>
      </c>
      <c r="AJ683" s="473">
        <v>0</v>
      </c>
      <c r="AK683" s="473">
        <v>0</v>
      </c>
      <c r="AL683" s="473">
        <v>0</v>
      </c>
      <c r="AM683" s="473">
        <v>0</v>
      </c>
      <c r="AN683" s="473">
        <v>0</v>
      </c>
      <c r="AO683" s="473">
        <v>0</v>
      </c>
      <c r="AP683" s="473">
        <v>0</v>
      </c>
      <c r="AQ683" s="473">
        <v>1782</v>
      </c>
      <c r="AR683" s="473">
        <v>7378</v>
      </c>
      <c r="AS683" s="473">
        <v>0</v>
      </c>
      <c r="AT683" s="473">
        <v>0</v>
      </c>
      <c r="AU683" s="473">
        <v>0</v>
      </c>
      <c r="AV683" s="473">
        <v>33000</v>
      </c>
      <c r="AW683" s="474">
        <v>33000</v>
      </c>
      <c r="AX683" s="473">
        <v>0</v>
      </c>
      <c r="AY683" s="473">
        <v>0</v>
      </c>
      <c r="AZ683" s="475">
        <v>0</v>
      </c>
      <c r="BA683" s="475">
        <v>200</v>
      </c>
      <c r="BB683" s="475">
        <v>1782</v>
      </c>
      <c r="BC683" s="475">
        <v>0</v>
      </c>
      <c r="BD683" s="475">
        <v>0</v>
      </c>
      <c r="BE683" s="475">
        <v>0</v>
      </c>
      <c r="BF683" s="475">
        <v>0</v>
      </c>
      <c r="BG683" s="475">
        <v>1982</v>
      </c>
      <c r="BH683" s="476">
        <v>31018</v>
      </c>
      <c r="BI683" s="467"/>
      <c r="BJ683" s="468"/>
    </row>
    <row r="684" spans="1:62">
      <c r="A684" s="469">
        <v>45931</v>
      </c>
      <c r="B684" s="469" t="s">
        <v>747</v>
      </c>
      <c r="C684" s="508" t="s">
        <v>748</v>
      </c>
      <c r="D684" s="470" t="s">
        <v>749</v>
      </c>
      <c r="E684" s="471">
        <v>2049</v>
      </c>
      <c r="F684" s="470" t="s">
        <v>1247</v>
      </c>
      <c r="G684" s="470" t="s">
        <v>751</v>
      </c>
      <c r="H684" s="470" t="s">
        <v>12</v>
      </c>
      <c r="I684" s="470" t="s">
        <v>1248</v>
      </c>
      <c r="J684" s="472" t="s">
        <v>1249</v>
      </c>
      <c r="K684" s="470" t="s">
        <v>1250</v>
      </c>
      <c r="L684" s="470" t="s">
        <v>824</v>
      </c>
      <c r="M684" s="470" t="s">
        <v>824</v>
      </c>
      <c r="N684" s="470" t="s">
        <v>756</v>
      </c>
      <c r="O684" s="472" t="s">
        <v>1276</v>
      </c>
      <c r="P684" s="472" t="s">
        <v>738</v>
      </c>
      <c r="Q684" s="472" t="s">
        <v>758</v>
      </c>
      <c r="R684" s="472" t="s">
        <v>12</v>
      </c>
      <c r="S684" s="472" t="s">
        <v>12</v>
      </c>
      <c r="T684" s="472" t="s">
        <v>1251</v>
      </c>
      <c r="U684" s="470" t="s">
        <v>1252</v>
      </c>
      <c r="V684" s="470" t="s">
        <v>761</v>
      </c>
      <c r="W684" s="470" t="s">
        <v>859</v>
      </c>
      <c r="X684" s="470">
        <v>31</v>
      </c>
      <c r="Y684" s="470">
        <v>0</v>
      </c>
      <c r="Z684" s="470">
        <v>0</v>
      </c>
      <c r="AA684" s="470">
        <v>31</v>
      </c>
      <c r="AB684" s="470">
        <v>31</v>
      </c>
      <c r="AC684" s="473">
        <v>27713</v>
      </c>
      <c r="AD684" s="473">
        <v>27713</v>
      </c>
      <c r="AE684" s="473">
        <v>12471</v>
      </c>
      <c r="AF684" s="473">
        <v>4988</v>
      </c>
      <c r="AG684" s="473">
        <v>1600</v>
      </c>
      <c r="AH684" s="473">
        <v>200</v>
      </c>
      <c r="AI684" s="473">
        <v>1250</v>
      </c>
      <c r="AJ684" s="473">
        <v>0</v>
      </c>
      <c r="AK684" s="473">
        <v>0</v>
      </c>
      <c r="AL684" s="473">
        <v>0</v>
      </c>
      <c r="AM684" s="473">
        <v>0</v>
      </c>
      <c r="AN684" s="473">
        <v>0</v>
      </c>
      <c r="AO684" s="473">
        <v>0</v>
      </c>
      <c r="AP684" s="473">
        <v>0</v>
      </c>
      <c r="AQ684" s="473">
        <v>1497</v>
      </c>
      <c r="AR684" s="473">
        <v>5707</v>
      </c>
      <c r="AS684" s="473">
        <v>0</v>
      </c>
      <c r="AT684" s="473">
        <v>0</v>
      </c>
      <c r="AU684" s="473">
        <v>374</v>
      </c>
      <c r="AV684" s="473">
        <v>28087</v>
      </c>
      <c r="AW684" s="474">
        <v>27713</v>
      </c>
      <c r="AX684" s="473">
        <v>0</v>
      </c>
      <c r="AY684" s="473">
        <v>0</v>
      </c>
      <c r="AZ684" s="475">
        <v>0</v>
      </c>
      <c r="BA684" s="475">
        <v>200</v>
      </c>
      <c r="BB684" s="475">
        <v>1497</v>
      </c>
      <c r="BC684" s="475">
        <v>0</v>
      </c>
      <c r="BD684" s="475">
        <v>0</v>
      </c>
      <c r="BE684" s="475">
        <v>0</v>
      </c>
      <c r="BF684" s="475">
        <v>0</v>
      </c>
      <c r="BG684" s="475">
        <v>1697</v>
      </c>
      <c r="BH684" s="476">
        <v>26390</v>
      </c>
      <c r="BI684" s="467"/>
      <c r="BJ684" s="468"/>
    </row>
    <row r="685" spans="1:62">
      <c r="A685" s="469">
        <v>45931</v>
      </c>
      <c r="B685" s="469" t="s">
        <v>747</v>
      </c>
      <c r="C685" s="508" t="s">
        <v>748</v>
      </c>
      <c r="D685" s="470" t="s">
        <v>749</v>
      </c>
      <c r="E685" s="471">
        <v>1121</v>
      </c>
      <c r="F685" s="470" t="s">
        <v>1253</v>
      </c>
      <c r="G685" s="470" t="s">
        <v>751</v>
      </c>
      <c r="H685" s="470" t="s">
        <v>12</v>
      </c>
      <c r="I685" s="470" t="s">
        <v>1254</v>
      </c>
      <c r="J685" s="472" t="s">
        <v>1255</v>
      </c>
      <c r="K685" s="470" t="s">
        <v>1256</v>
      </c>
      <c r="L685" s="470" t="s">
        <v>1291</v>
      </c>
      <c r="M685" s="470" t="s">
        <v>1291</v>
      </c>
      <c r="N685" s="470" t="s">
        <v>1275</v>
      </c>
      <c r="O685" s="472" t="s">
        <v>792</v>
      </c>
      <c r="P685" s="472" t="s">
        <v>738</v>
      </c>
      <c r="Q685" s="472" t="s">
        <v>758</v>
      </c>
      <c r="R685" s="472" t="s">
        <v>12</v>
      </c>
      <c r="S685" s="472" t="s">
        <v>12</v>
      </c>
      <c r="T685" s="472" t="s">
        <v>1257</v>
      </c>
      <c r="U685" s="470" t="s">
        <v>1258</v>
      </c>
      <c r="V685" s="470" t="s">
        <v>761</v>
      </c>
      <c r="W685" s="470" t="s">
        <v>1259</v>
      </c>
      <c r="X685" s="470">
        <v>31</v>
      </c>
      <c r="Y685" s="470">
        <v>0</v>
      </c>
      <c r="Z685" s="470">
        <v>0</v>
      </c>
      <c r="AA685" s="470">
        <v>31</v>
      </c>
      <c r="AB685" s="470">
        <v>31</v>
      </c>
      <c r="AC685" s="473">
        <v>206500</v>
      </c>
      <c r="AD685" s="473">
        <v>206500</v>
      </c>
      <c r="AE685" s="473">
        <v>92925</v>
      </c>
      <c r="AF685" s="473">
        <v>37170</v>
      </c>
      <c r="AG685" s="473">
        <v>1600</v>
      </c>
      <c r="AH685" s="473">
        <v>200</v>
      </c>
      <c r="AI685" s="473">
        <v>1250</v>
      </c>
      <c r="AJ685" s="473">
        <v>7741</v>
      </c>
      <c r="AK685" s="473">
        <v>18585</v>
      </c>
      <c r="AL685" s="473">
        <v>13939</v>
      </c>
      <c r="AM685" s="473">
        <v>929</v>
      </c>
      <c r="AN685" s="473">
        <v>3252</v>
      </c>
      <c r="AO685" s="473">
        <v>1859</v>
      </c>
      <c r="AP685" s="473">
        <v>465</v>
      </c>
      <c r="AQ685" s="473">
        <v>1800</v>
      </c>
      <c r="AR685" s="473">
        <v>24785</v>
      </c>
      <c r="AS685" s="473">
        <v>0</v>
      </c>
      <c r="AT685" s="473">
        <v>0</v>
      </c>
      <c r="AU685" s="473">
        <v>17223</v>
      </c>
      <c r="AV685" s="473">
        <v>223723</v>
      </c>
      <c r="AW685" s="474">
        <v>206500</v>
      </c>
      <c r="AX685" s="473">
        <v>0</v>
      </c>
      <c r="AY685" s="473">
        <v>0</v>
      </c>
      <c r="AZ685" s="475">
        <v>41536</v>
      </c>
      <c r="BA685" s="475">
        <v>200</v>
      </c>
      <c r="BB685" s="475">
        <v>1800</v>
      </c>
      <c r="BC685" s="475">
        <v>0</v>
      </c>
      <c r="BD685" s="475">
        <v>0</v>
      </c>
      <c r="BE685" s="475">
        <v>0</v>
      </c>
      <c r="BF685" s="475">
        <v>0</v>
      </c>
      <c r="BG685" s="475">
        <v>43536</v>
      </c>
      <c r="BH685" s="476">
        <v>180187</v>
      </c>
      <c r="BI685" s="467"/>
      <c r="BJ685" s="468"/>
    </row>
    <row r="686" spans="1:62">
      <c r="A686" s="469">
        <v>45931</v>
      </c>
      <c r="B686" s="469" t="s">
        <v>747</v>
      </c>
      <c r="C686" s="508" t="s">
        <v>748</v>
      </c>
      <c r="D686" s="470" t="s">
        <v>749</v>
      </c>
      <c r="E686" s="471">
        <v>1496</v>
      </c>
      <c r="F686" s="470" t="s">
        <v>1260</v>
      </c>
      <c r="G686" s="470" t="s">
        <v>751</v>
      </c>
      <c r="H686" s="470" t="s">
        <v>12</v>
      </c>
      <c r="I686" s="470" t="s">
        <v>1261</v>
      </c>
      <c r="J686" s="472" t="s">
        <v>1262</v>
      </c>
      <c r="K686" s="470" t="s">
        <v>1263</v>
      </c>
      <c r="L686" s="470" t="s">
        <v>856</v>
      </c>
      <c r="M686" s="470" t="s">
        <v>856</v>
      </c>
      <c r="N686" s="470" t="s">
        <v>756</v>
      </c>
      <c r="O686" s="472" t="s">
        <v>757</v>
      </c>
      <c r="P686" s="472" t="s">
        <v>738</v>
      </c>
      <c r="Q686" s="472" t="s">
        <v>758</v>
      </c>
      <c r="R686" s="472" t="s">
        <v>12</v>
      </c>
      <c r="S686" s="472" t="s">
        <v>12</v>
      </c>
      <c r="T686" s="472" t="s">
        <v>1264</v>
      </c>
      <c r="U686" s="470" t="s">
        <v>1265</v>
      </c>
      <c r="V686" s="470" t="s">
        <v>761</v>
      </c>
      <c r="W686" s="470" t="s">
        <v>876</v>
      </c>
      <c r="X686" s="470">
        <v>31</v>
      </c>
      <c r="Y686" s="470">
        <v>0</v>
      </c>
      <c r="Z686" s="470">
        <v>0</v>
      </c>
      <c r="AA686" s="470">
        <v>31</v>
      </c>
      <c r="AB686" s="470">
        <v>31</v>
      </c>
      <c r="AC686" s="473">
        <v>55383</v>
      </c>
      <c r="AD686" s="473">
        <v>55383</v>
      </c>
      <c r="AE686" s="473">
        <v>24922</v>
      </c>
      <c r="AF686" s="473">
        <v>9969</v>
      </c>
      <c r="AG686" s="473">
        <v>1600</v>
      </c>
      <c r="AH686" s="473">
        <v>200</v>
      </c>
      <c r="AI686" s="473">
        <v>1250</v>
      </c>
      <c r="AJ686" s="473">
        <v>2076</v>
      </c>
      <c r="AK686" s="473">
        <v>4984</v>
      </c>
      <c r="AL686" s="473">
        <v>3738</v>
      </c>
      <c r="AM686" s="473">
        <v>249</v>
      </c>
      <c r="AN686" s="473">
        <v>872</v>
      </c>
      <c r="AO686" s="473">
        <v>498</v>
      </c>
      <c r="AP686" s="473">
        <v>125</v>
      </c>
      <c r="AQ686" s="473">
        <v>1800</v>
      </c>
      <c r="AR686" s="473">
        <v>3100</v>
      </c>
      <c r="AS686" s="473">
        <v>0</v>
      </c>
      <c r="AT686" s="473">
        <v>0</v>
      </c>
      <c r="AU686" s="473">
        <v>0</v>
      </c>
      <c r="AV686" s="473">
        <v>55383</v>
      </c>
      <c r="AW686" s="474">
        <v>55383</v>
      </c>
      <c r="AX686" s="473">
        <v>0</v>
      </c>
      <c r="AY686" s="473">
        <v>0</v>
      </c>
      <c r="AZ686" s="475">
        <v>0</v>
      </c>
      <c r="BA686" s="475">
        <v>200</v>
      </c>
      <c r="BB686" s="475">
        <v>1800</v>
      </c>
      <c r="BC686" s="475">
        <v>0</v>
      </c>
      <c r="BD686" s="475">
        <v>0</v>
      </c>
      <c r="BE686" s="475">
        <v>0</v>
      </c>
      <c r="BF686" s="475">
        <v>0</v>
      </c>
      <c r="BG686" s="475">
        <v>2000</v>
      </c>
      <c r="BH686" s="476">
        <v>53383</v>
      </c>
      <c r="BI686" s="467"/>
      <c r="BJ686" s="468"/>
    </row>
    <row r="687" spans="1:62">
      <c r="A687" s="469">
        <v>45931</v>
      </c>
      <c r="B687" s="469" t="s">
        <v>1423</v>
      </c>
      <c r="C687" s="508" t="s">
        <v>1424</v>
      </c>
      <c r="D687" s="470" t="s">
        <v>749</v>
      </c>
      <c r="E687" s="471">
        <v>1770</v>
      </c>
      <c r="F687" s="470" t="s">
        <v>780</v>
      </c>
      <c r="G687" s="470" t="s">
        <v>751</v>
      </c>
      <c r="H687" s="470"/>
      <c r="I687" s="470" t="s">
        <v>781</v>
      </c>
      <c r="J687" s="472" t="s">
        <v>782</v>
      </c>
      <c r="K687" s="470"/>
      <c r="L687" s="470"/>
      <c r="M687" s="470"/>
      <c r="N687" s="470" t="s">
        <v>777</v>
      </c>
      <c r="O687" s="472"/>
      <c r="P687" s="472"/>
      <c r="Q687" s="472"/>
      <c r="R687" s="472"/>
      <c r="S687" s="472"/>
      <c r="T687" s="472"/>
      <c r="U687" s="470"/>
      <c r="V687" s="470"/>
      <c r="W687" s="470"/>
      <c r="X687" s="470"/>
      <c r="Y687" s="470"/>
      <c r="Z687" s="470"/>
      <c r="AA687" s="470"/>
      <c r="AB687" s="470"/>
      <c r="AC687" s="473"/>
      <c r="AD687" s="473"/>
      <c r="AE687" s="473"/>
      <c r="AF687" s="473"/>
      <c r="AG687" s="473"/>
      <c r="AH687" s="473"/>
      <c r="AI687" s="473"/>
      <c r="AJ687" s="473"/>
      <c r="AK687" s="473"/>
      <c r="AL687" s="473"/>
      <c r="AM687" s="473"/>
      <c r="AN687" s="473"/>
      <c r="AO687" s="473"/>
      <c r="AP687" s="473"/>
      <c r="AQ687" s="473"/>
      <c r="AR687" s="473"/>
      <c r="AS687" s="473"/>
      <c r="AT687" s="473"/>
      <c r="AU687" s="473"/>
      <c r="AV687" s="473">
        <v>19836</v>
      </c>
      <c r="AW687" s="474">
        <v>19836</v>
      </c>
      <c r="AX687" s="473"/>
      <c r="AY687" s="473"/>
      <c r="AZ687" s="475"/>
      <c r="BA687" s="475"/>
      <c r="BB687" s="475"/>
      <c r="BC687" s="475"/>
      <c r="BD687" s="475"/>
      <c r="BE687" s="475"/>
      <c r="BF687" s="475"/>
      <c r="BG687" s="475"/>
      <c r="BH687" s="476">
        <v>19836</v>
      </c>
      <c r="BI687" s="467" t="s">
        <v>1368</v>
      </c>
      <c r="BJ687" s="468"/>
    </row>
    <row r="688" spans="1:62">
      <c r="A688" s="469">
        <v>45931</v>
      </c>
      <c r="B688" s="469" t="s">
        <v>1423</v>
      </c>
      <c r="C688" s="508" t="s">
        <v>1424</v>
      </c>
      <c r="D688" s="470" t="s">
        <v>749</v>
      </c>
      <c r="E688" s="471">
        <v>1202</v>
      </c>
      <c r="F688" s="470" t="s">
        <v>884</v>
      </c>
      <c r="G688" s="470" t="s">
        <v>751</v>
      </c>
      <c r="H688" s="470"/>
      <c r="I688" s="470" t="s">
        <v>885</v>
      </c>
      <c r="J688" s="472" t="s">
        <v>886</v>
      </c>
      <c r="K688" s="470"/>
      <c r="L688" s="470"/>
      <c r="M688" s="470"/>
      <c r="N688" s="470" t="s">
        <v>777</v>
      </c>
      <c r="O688" s="472"/>
      <c r="P688" s="472"/>
      <c r="Q688" s="472"/>
      <c r="R688" s="472"/>
      <c r="S688" s="472"/>
      <c r="T688" s="472"/>
      <c r="U688" s="470"/>
      <c r="V688" s="470"/>
      <c r="W688" s="470"/>
      <c r="X688" s="470"/>
      <c r="Y688" s="470"/>
      <c r="Z688" s="470"/>
      <c r="AA688" s="470"/>
      <c r="AB688" s="470"/>
      <c r="AC688" s="473"/>
      <c r="AD688" s="473"/>
      <c r="AE688" s="473"/>
      <c r="AF688" s="473"/>
      <c r="AG688" s="473"/>
      <c r="AH688" s="473"/>
      <c r="AI688" s="473"/>
      <c r="AJ688" s="473"/>
      <c r="AK688" s="473"/>
      <c r="AL688" s="473"/>
      <c r="AM688" s="473"/>
      <c r="AN688" s="473"/>
      <c r="AO688" s="473"/>
      <c r="AP688" s="473"/>
      <c r="AQ688" s="473"/>
      <c r="AR688" s="473"/>
      <c r="AS688" s="473"/>
      <c r="AT688" s="473"/>
      <c r="AU688" s="473"/>
      <c r="AV688" s="473">
        <v>16530</v>
      </c>
      <c r="AW688" s="474">
        <v>16530</v>
      </c>
      <c r="AX688" s="473"/>
      <c r="AY688" s="473"/>
      <c r="AZ688" s="475"/>
      <c r="BA688" s="475"/>
      <c r="BB688" s="475"/>
      <c r="BC688" s="475"/>
      <c r="BD688" s="475"/>
      <c r="BE688" s="475"/>
      <c r="BF688" s="475"/>
      <c r="BG688" s="475"/>
      <c r="BH688" s="476">
        <v>16530</v>
      </c>
      <c r="BI688" s="467"/>
      <c r="BJ688" s="468"/>
    </row>
    <row r="689" spans="1:62">
      <c r="A689" s="469">
        <v>45931</v>
      </c>
      <c r="B689" s="469" t="s">
        <v>1423</v>
      </c>
      <c r="C689" s="508" t="s">
        <v>1424</v>
      </c>
      <c r="D689" s="470" t="s">
        <v>749</v>
      </c>
      <c r="E689" s="471">
        <v>48</v>
      </c>
      <c r="F689" s="470" t="s">
        <v>838</v>
      </c>
      <c r="G689" s="470" t="s">
        <v>751</v>
      </c>
      <c r="H689" s="470"/>
      <c r="I689" s="470" t="s">
        <v>839</v>
      </c>
      <c r="J689" s="472" t="s">
        <v>840</v>
      </c>
      <c r="K689" s="470"/>
      <c r="L689" s="470"/>
      <c r="M689" s="470"/>
      <c r="N689" s="470" t="s">
        <v>777</v>
      </c>
      <c r="O689" s="472"/>
      <c r="P689" s="472"/>
      <c r="Q689" s="472"/>
      <c r="R689" s="472"/>
      <c r="S689" s="472"/>
      <c r="T689" s="472"/>
      <c r="U689" s="470"/>
      <c r="V689" s="470"/>
      <c r="W689" s="470"/>
      <c r="X689" s="470"/>
      <c r="Y689" s="470"/>
      <c r="Z689" s="470"/>
      <c r="AA689" s="470"/>
      <c r="AB689" s="470"/>
      <c r="AC689" s="473"/>
      <c r="AD689" s="473"/>
      <c r="AE689" s="473"/>
      <c r="AF689" s="473"/>
      <c r="AG689" s="473"/>
      <c r="AH689" s="473"/>
      <c r="AI689" s="473"/>
      <c r="AJ689" s="473"/>
      <c r="AK689" s="473"/>
      <c r="AL689" s="473"/>
      <c r="AM689" s="473"/>
      <c r="AN689" s="473"/>
      <c r="AO689" s="473"/>
      <c r="AP689" s="473"/>
      <c r="AQ689" s="473"/>
      <c r="AR689" s="473"/>
      <c r="AS689" s="473"/>
      <c r="AT689" s="473"/>
      <c r="AU689" s="473"/>
      <c r="AV689" s="473">
        <v>3630</v>
      </c>
      <c r="AW689" s="474">
        <v>3630</v>
      </c>
      <c r="AX689" s="473"/>
      <c r="AY689" s="473"/>
      <c r="AZ689" s="475"/>
      <c r="BA689" s="475"/>
      <c r="BB689" s="475"/>
      <c r="BC689" s="475"/>
      <c r="BD689" s="475"/>
      <c r="BE689" s="475"/>
      <c r="BF689" s="475"/>
      <c r="BG689" s="475"/>
      <c r="BH689" s="476">
        <v>3630</v>
      </c>
      <c r="BI689" s="467"/>
      <c r="BJ689" s="468"/>
    </row>
    <row r="690" spans="1:62">
      <c r="A690" s="469">
        <v>45931</v>
      </c>
      <c r="B690" s="469" t="s">
        <v>1423</v>
      </c>
      <c r="C690" s="508" t="s">
        <v>1424</v>
      </c>
      <c r="D690" s="470" t="s">
        <v>749</v>
      </c>
      <c r="E690" s="471">
        <v>1202</v>
      </c>
      <c r="F690" s="470" t="s">
        <v>884</v>
      </c>
      <c r="G690" s="470" t="s">
        <v>751</v>
      </c>
      <c r="H690" s="470"/>
      <c r="I690" s="470" t="s">
        <v>885</v>
      </c>
      <c r="J690" s="472" t="s">
        <v>886</v>
      </c>
      <c r="K690" s="470"/>
      <c r="L690" s="470"/>
      <c r="M690" s="470"/>
      <c r="N690" s="470" t="s">
        <v>777</v>
      </c>
      <c r="O690" s="472"/>
      <c r="P690" s="472"/>
      <c r="Q690" s="472"/>
      <c r="R690" s="472"/>
      <c r="S690" s="472"/>
      <c r="T690" s="472"/>
      <c r="U690" s="470"/>
      <c r="V690" s="470"/>
      <c r="W690" s="470"/>
      <c r="X690" s="470"/>
      <c r="Y690" s="470"/>
      <c r="Z690" s="470"/>
      <c r="AA690" s="470"/>
      <c r="AB690" s="470"/>
      <c r="AC690" s="473"/>
      <c r="AD690" s="473"/>
      <c r="AE690" s="473"/>
      <c r="AF690" s="473"/>
      <c r="AG690" s="473"/>
      <c r="AH690" s="473"/>
      <c r="AI690" s="473"/>
      <c r="AJ690" s="473"/>
      <c r="AK690" s="473"/>
      <c r="AL690" s="473"/>
      <c r="AM690" s="473"/>
      <c r="AN690" s="473"/>
      <c r="AO690" s="473"/>
      <c r="AP690" s="473"/>
      <c r="AQ690" s="473"/>
      <c r="AR690" s="473"/>
      <c r="AS690" s="473"/>
      <c r="AT690" s="473"/>
      <c r="AU690" s="473"/>
      <c r="AV690" s="473">
        <v>2000</v>
      </c>
      <c r="AW690" s="474">
        <v>2000</v>
      </c>
      <c r="AX690" s="473"/>
      <c r="AY690" s="473"/>
      <c r="AZ690" s="475"/>
      <c r="BA690" s="475"/>
      <c r="BB690" s="475"/>
      <c r="BC690" s="475"/>
      <c r="BD690" s="475"/>
      <c r="BE690" s="475"/>
      <c r="BF690" s="475"/>
      <c r="BG690" s="475"/>
      <c r="BH690" s="476">
        <v>2000</v>
      </c>
      <c r="BI690" s="467"/>
      <c r="BJ690" s="468"/>
    </row>
    <row r="691" spans="1:62">
      <c r="A691" s="469">
        <v>45931</v>
      </c>
      <c r="B691" s="469" t="s">
        <v>1423</v>
      </c>
      <c r="C691" s="508" t="s">
        <v>1424</v>
      </c>
      <c r="D691" s="470" t="s">
        <v>749</v>
      </c>
      <c r="E691" s="471">
        <v>1599</v>
      </c>
      <c r="F691" s="470" t="s">
        <v>820</v>
      </c>
      <c r="G691" s="470" t="s">
        <v>751</v>
      </c>
      <c r="H691" s="470"/>
      <c r="I691" s="470" t="s">
        <v>821</v>
      </c>
      <c r="J691" s="472" t="s">
        <v>822</v>
      </c>
      <c r="K691" s="470"/>
      <c r="L691" s="470"/>
      <c r="M691" s="470"/>
      <c r="N691" s="470" t="s">
        <v>777</v>
      </c>
      <c r="O691" s="472"/>
      <c r="P691" s="472"/>
      <c r="Q691" s="472"/>
      <c r="R691" s="472"/>
      <c r="S691" s="472"/>
      <c r="T691" s="472"/>
      <c r="U691" s="470"/>
      <c r="V691" s="470"/>
      <c r="W691" s="470"/>
      <c r="X691" s="470"/>
      <c r="Y691" s="470"/>
      <c r="Z691" s="470"/>
      <c r="AA691" s="470"/>
      <c r="AB691" s="470"/>
      <c r="AC691" s="473"/>
      <c r="AD691" s="473"/>
      <c r="AE691" s="473"/>
      <c r="AF691" s="473"/>
      <c r="AG691" s="473"/>
      <c r="AH691" s="473"/>
      <c r="AI691" s="473"/>
      <c r="AJ691" s="473"/>
      <c r="AK691" s="473"/>
      <c r="AL691" s="473"/>
      <c r="AM691" s="473"/>
      <c r="AN691" s="473"/>
      <c r="AO691" s="473"/>
      <c r="AP691" s="473"/>
      <c r="AQ691" s="473"/>
      <c r="AR691" s="473"/>
      <c r="AS691" s="473"/>
      <c r="AT691" s="473"/>
      <c r="AU691" s="473"/>
      <c r="AV691" s="473">
        <v>4000</v>
      </c>
      <c r="AW691" s="474">
        <v>4000</v>
      </c>
      <c r="AX691" s="473"/>
      <c r="AY691" s="473"/>
      <c r="AZ691" s="475"/>
      <c r="BA691" s="475"/>
      <c r="BB691" s="475"/>
      <c r="BC691" s="475"/>
      <c r="BD691" s="475"/>
      <c r="BE691" s="475"/>
      <c r="BF691" s="475"/>
      <c r="BG691" s="475"/>
      <c r="BH691" s="476">
        <v>4000</v>
      </c>
      <c r="BI691" s="467"/>
      <c r="BJ691" s="468"/>
    </row>
    <row r="692" spans="1:62">
      <c r="A692" s="469">
        <v>45931</v>
      </c>
      <c r="B692" s="469" t="s">
        <v>1423</v>
      </c>
      <c r="C692" s="508" t="s">
        <v>1424</v>
      </c>
      <c r="D692" s="470" t="s">
        <v>749</v>
      </c>
      <c r="E692" s="471">
        <v>1700</v>
      </c>
      <c r="F692" s="470" t="s">
        <v>990</v>
      </c>
      <c r="G692" s="470" t="s">
        <v>751</v>
      </c>
      <c r="H692" s="470"/>
      <c r="I692" s="470" t="s">
        <v>991</v>
      </c>
      <c r="J692" s="472" t="s">
        <v>992</v>
      </c>
      <c r="K692" s="470"/>
      <c r="L692" s="470"/>
      <c r="M692" s="470"/>
      <c r="N692" s="470" t="s">
        <v>777</v>
      </c>
      <c r="O692" s="472"/>
      <c r="P692" s="472"/>
      <c r="Q692" s="472"/>
      <c r="R692" s="472"/>
      <c r="S692" s="472"/>
      <c r="T692" s="472"/>
      <c r="U692" s="470"/>
      <c r="V692" s="470"/>
      <c r="W692" s="470"/>
      <c r="X692" s="470"/>
      <c r="Y692" s="470"/>
      <c r="Z692" s="470"/>
      <c r="AA692" s="470"/>
      <c r="AB692" s="470"/>
      <c r="AC692" s="473"/>
      <c r="AD692" s="473"/>
      <c r="AE692" s="473"/>
      <c r="AF692" s="473"/>
      <c r="AG692" s="473"/>
      <c r="AH692" s="473"/>
      <c r="AI692" s="473"/>
      <c r="AJ692" s="473"/>
      <c r="AK692" s="473"/>
      <c r="AL692" s="473"/>
      <c r="AM692" s="473"/>
      <c r="AN692" s="473"/>
      <c r="AO692" s="473"/>
      <c r="AP692" s="473"/>
      <c r="AQ692" s="473"/>
      <c r="AR692" s="473"/>
      <c r="AS692" s="473"/>
      <c r="AT692" s="473"/>
      <c r="AU692" s="473"/>
      <c r="AV692" s="473">
        <v>6000</v>
      </c>
      <c r="AW692" s="474">
        <v>6000</v>
      </c>
      <c r="AX692" s="473"/>
      <c r="AY692" s="473"/>
      <c r="AZ692" s="475"/>
      <c r="BA692" s="475"/>
      <c r="BB692" s="475"/>
      <c r="BC692" s="475"/>
      <c r="BD692" s="475"/>
      <c r="BE692" s="475"/>
      <c r="BF692" s="475"/>
      <c r="BG692" s="475"/>
      <c r="BH692" s="476">
        <v>6000</v>
      </c>
      <c r="BI692" s="467"/>
      <c r="BJ692" s="468"/>
    </row>
    <row r="693" spans="1:62">
      <c r="A693" s="469">
        <v>45931</v>
      </c>
      <c r="B693" s="469" t="s">
        <v>1423</v>
      </c>
      <c r="C693" s="508" t="s">
        <v>1424</v>
      </c>
      <c r="D693" s="470" t="s">
        <v>749</v>
      </c>
      <c r="E693" s="471">
        <v>1916</v>
      </c>
      <c r="F693" s="470" t="s">
        <v>1090</v>
      </c>
      <c r="G693" s="470" t="s">
        <v>751</v>
      </c>
      <c r="H693" s="470"/>
      <c r="I693" s="470" t="s">
        <v>853</v>
      </c>
      <c r="J693" s="472" t="s">
        <v>1091</v>
      </c>
      <c r="K693" s="470"/>
      <c r="L693" s="470"/>
      <c r="M693" s="470"/>
      <c r="N693" s="470" t="s">
        <v>777</v>
      </c>
      <c r="O693" s="472"/>
      <c r="P693" s="472"/>
      <c r="Q693" s="472"/>
      <c r="R693" s="472"/>
      <c r="S693" s="472"/>
      <c r="T693" s="472"/>
      <c r="U693" s="470"/>
      <c r="V693" s="470"/>
      <c r="W693" s="470"/>
      <c r="X693" s="470"/>
      <c r="Y693" s="470"/>
      <c r="Z693" s="470"/>
      <c r="AA693" s="470"/>
      <c r="AB693" s="470"/>
      <c r="AC693" s="473"/>
      <c r="AD693" s="473"/>
      <c r="AE693" s="473"/>
      <c r="AF693" s="473"/>
      <c r="AG693" s="473"/>
      <c r="AH693" s="473"/>
      <c r="AI693" s="473"/>
      <c r="AJ693" s="473"/>
      <c r="AK693" s="473"/>
      <c r="AL693" s="473"/>
      <c r="AM693" s="473"/>
      <c r="AN693" s="473"/>
      <c r="AO693" s="473"/>
      <c r="AP693" s="473"/>
      <c r="AQ693" s="473"/>
      <c r="AR693" s="473"/>
      <c r="AS693" s="473"/>
      <c r="AT693" s="473"/>
      <c r="AU693" s="473"/>
      <c r="AV693" s="473">
        <v>11500</v>
      </c>
      <c r="AW693" s="474">
        <v>11500</v>
      </c>
      <c r="AX693" s="473"/>
      <c r="AY693" s="473"/>
      <c r="AZ693" s="475"/>
      <c r="BA693" s="475"/>
      <c r="BB693" s="475"/>
      <c r="BC693" s="475"/>
      <c r="BD693" s="475"/>
      <c r="BE693" s="475"/>
      <c r="BF693" s="475"/>
      <c r="BG693" s="475"/>
      <c r="BH693" s="476">
        <v>11500</v>
      </c>
      <c r="BI693" s="467"/>
      <c r="BJ693" s="468"/>
    </row>
    <row r="694" spans="1:62">
      <c r="A694" s="469">
        <v>45962</v>
      </c>
      <c r="B694" s="469" t="s">
        <v>747</v>
      </c>
      <c r="C694" s="508" t="s">
        <v>1424</v>
      </c>
      <c r="D694" s="470" t="s">
        <v>749</v>
      </c>
      <c r="E694" s="471">
        <v>1488</v>
      </c>
      <c r="F694" s="470" t="s">
        <v>750</v>
      </c>
      <c r="G694" s="470" t="s">
        <v>751</v>
      </c>
      <c r="H694" s="470" t="s">
        <v>12</v>
      </c>
      <c r="I694" s="470" t="s">
        <v>752</v>
      </c>
      <c r="J694" s="472" t="s">
        <v>753</v>
      </c>
      <c r="K694" s="470" t="s">
        <v>754</v>
      </c>
      <c r="L694" s="470" t="s">
        <v>755</v>
      </c>
      <c r="M694" s="470" t="s">
        <v>755</v>
      </c>
      <c r="N694" s="470" t="s">
        <v>756</v>
      </c>
      <c r="O694" s="472" t="s">
        <v>757</v>
      </c>
      <c r="P694" s="472" t="s">
        <v>738</v>
      </c>
      <c r="Q694" s="472" t="s">
        <v>758</v>
      </c>
      <c r="R694" s="472" t="s">
        <v>12</v>
      </c>
      <c r="S694" s="472" t="s">
        <v>12</v>
      </c>
      <c r="T694" s="472" t="s">
        <v>759</v>
      </c>
      <c r="U694" s="470" t="s">
        <v>760</v>
      </c>
      <c r="V694" s="470" t="s">
        <v>761</v>
      </c>
      <c r="W694" s="470" t="s">
        <v>762</v>
      </c>
      <c r="X694" s="470">
        <v>30</v>
      </c>
      <c r="Y694" s="470">
        <v>0</v>
      </c>
      <c r="Z694" s="470">
        <v>3</v>
      </c>
      <c r="AA694" s="470">
        <v>27</v>
      </c>
      <c r="AB694" s="470">
        <v>27</v>
      </c>
      <c r="AC694" s="473">
        <v>42989</v>
      </c>
      <c r="AD694" s="473">
        <v>42989</v>
      </c>
      <c r="AE694" s="473">
        <v>17411</v>
      </c>
      <c r="AF694" s="473">
        <v>6964</v>
      </c>
      <c r="AG694" s="473">
        <v>1440</v>
      </c>
      <c r="AH694" s="473">
        <v>180</v>
      </c>
      <c r="AI694" s="473">
        <v>1125</v>
      </c>
      <c r="AJ694" s="473">
        <v>1450</v>
      </c>
      <c r="AK694" s="473">
        <v>3482</v>
      </c>
      <c r="AL694" s="473">
        <v>2612</v>
      </c>
      <c r="AM694" s="473">
        <v>174</v>
      </c>
      <c r="AN694" s="473">
        <v>609</v>
      </c>
      <c r="AO694" s="473">
        <v>348</v>
      </c>
      <c r="AP694" s="473">
        <v>87</v>
      </c>
      <c r="AQ694" s="473">
        <v>1800</v>
      </c>
      <c r="AR694" s="473">
        <v>1008</v>
      </c>
      <c r="AS694" s="473">
        <v>0</v>
      </c>
      <c r="AT694" s="473">
        <v>600</v>
      </c>
      <c r="AU694" s="473">
        <v>0</v>
      </c>
      <c r="AV694" s="473">
        <v>39290</v>
      </c>
      <c r="AW694" s="474">
        <v>39290</v>
      </c>
      <c r="AX694" s="473">
        <v>0</v>
      </c>
      <c r="AY694" s="473">
        <v>0</v>
      </c>
      <c r="AZ694" s="475">
        <v>0</v>
      </c>
      <c r="BA694" s="475">
        <v>200</v>
      </c>
      <c r="BB694" s="475">
        <v>1800</v>
      </c>
      <c r="BC694" s="475">
        <v>0</v>
      </c>
      <c r="BD694" s="475">
        <v>0</v>
      </c>
      <c r="BE694" s="475">
        <v>0</v>
      </c>
      <c r="BF694" s="475">
        <v>0</v>
      </c>
      <c r="BG694" s="475">
        <v>2000</v>
      </c>
      <c r="BH694" s="476">
        <v>37290</v>
      </c>
      <c r="BI694" s="467"/>
      <c r="BJ694" s="468"/>
    </row>
    <row r="695" spans="1:62">
      <c r="A695" s="469">
        <v>45962</v>
      </c>
      <c r="B695" s="469" t="s">
        <v>747</v>
      </c>
      <c r="C695" s="508" t="s">
        <v>1424</v>
      </c>
      <c r="D695" s="470" t="s">
        <v>749</v>
      </c>
      <c r="E695" s="471">
        <v>241</v>
      </c>
      <c r="F695" s="470" t="s">
        <v>763</v>
      </c>
      <c r="G695" s="470" t="s">
        <v>751</v>
      </c>
      <c r="H695" s="470" t="s">
        <v>12</v>
      </c>
      <c r="I695" s="470" t="s">
        <v>764</v>
      </c>
      <c r="J695" s="472" t="s">
        <v>765</v>
      </c>
      <c r="K695" s="470" t="s">
        <v>766</v>
      </c>
      <c r="L695" s="470" t="s">
        <v>767</v>
      </c>
      <c r="M695" s="470" t="s">
        <v>1266</v>
      </c>
      <c r="N695" s="470" t="s">
        <v>756</v>
      </c>
      <c r="O695" s="472" t="s">
        <v>792</v>
      </c>
      <c r="P695" s="472" t="s">
        <v>738</v>
      </c>
      <c r="Q695" s="472" t="s">
        <v>758</v>
      </c>
      <c r="R695" s="472" t="s">
        <v>12</v>
      </c>
      <c r="S695" s="472" t="s">
        <v>12</v>
      </c>
      <c r="T695" s="472" t="s">
        <v>769</v>
      </c>
      <c r="U695" s="470" t="s">
        <v>770</v>
      </c>
      <c r="V695" s="470" t="s">
        <v>761</v>
      </c>
      <c r="W695" s="470" t="s">
        <v>771</v>
      </c>
      <c r="X695" s="470">
        <v>30</v>
      </c>
      <c r="Y695" s="470">
        <v>0</v>
      </c>
      <c r="Z695" s="470">
        <v>0</v>
      </c>
      <c r="AA695" s="470">
        <v>5</v>
      </c>
      <c r="AB695" s="470">
        <v>5</v>
      </c>
      <c r="AC695" s="473">
        <v>66833</v>
      </c>
      <c r="AD695" s="473">
        <v>66833</v>
      </c>
      <c r="AE695" s="473">
        <v>5013</v>
      </c>
      <c r="AF695" s="473">
        <v>2005</v>
      </c>
      <c r="AG695" s="473">
        <v>267</v>
      </c>
      <c r="AH695" s="473">
        <v>200</v>
      </c>
      <c r="AI695" s="473">
        <v>208</v>
      </c>
      <c r="AJ695" s="473">
        <v>418</v>
      </c>
      <c r="AK695" s="473">
        <v>1003</v>
      </c>
      <c r="AL695" s="473">
        <v>752</v>
      </c>
      <c r="AM695" s="473">
        <v>50</v>
      </c>
      <c r="AN695" s="473">
        <v>175</v>
      </c>
      <c r="AO695" s="473">
        <v>100</v>
      </c>
      <c r="AP695" s="473">
        <v>25</v>
      </c>
      <c r="AQ695" s="473">
        <v>602</v>
      </c>
      <c r="AR695" s="473">
        <v>321</v>
      </c>
      <c r="AS695" s="473">
        <v>0</v>
      </c>
      <c r="AT695" s="473">
        <v>0</v>
      </c>
      <c r="AU695" s="473">
        <v>0</v>
      </c>
      <c r="AV695" s="473">
        <v>11139</v>
      </c>
      <c r="AW695" s="474">
        <v>11139</v>
      </c>
      <c r="AX695" s="473">
        <v>0</v>
      </c>
      <c r="AY695" s="473">
        <v>0</v>
      </c>
      <c r="AZ695" s="475">
        <v>0</v>
      </c>
      <c r="BA695" s="475">
        <v>200</v>
      </c>
      <c r="BB695" s="475">
        <v>602</v>
      </c>
      <c r="BC695" s="475">
        <v>0</v>
      </c>
      <c r="BD695" s="475">
        <v>0</v>
      </c>
      <c r="BE695" s="475">
        <v>0</v>
      </c>
      <c r="BF695" s="475">
        <v>0</v>
      </c>
      <c r="BG695" s="475">
        <v>802</v>
      </c>
      <c r="BH695" s="476">
        <v>10337</v>
      </c>
      <c r="BI695" s="467"/>
      <c r="BJ695" s="468"/>
    </row>
    <row r="696" spans="1:62">
      <c r="A696" s="469">
        <v>45962</v>
      </c>
      <c r="B696" s="469" t="s">
        <v>747</v>
      </c>
      <c r="C696" s="508" t="s">
        <v>1424</v>
      </c>
      <c r="D696" s="470" t="s">
        <v>749</v>
      </c>
      <c r="E696" s="471">
        <v>2163</v>
      </c>
      <c r="F696" s="470" t="s">
        <v>1267</v>
      </c>
      <c r="G696" s="470" t="s">
        <v>751</v>
      </c>
      <c r="H696" s="470" t="s">
        <v>12</v>
      </c>
      <c r="I696" s="470" t="s">
        <v>1268</v>
      </c>
      <c r="J696" s="472" t="s">
        <v>1269</v>
      </c>
      <c r="K696" s="470" t="s">
        <v>1270</v>
      </c>
      <c r="L696" s="470" t="s">
        <v>1271</v>
      </c>
      <c r="M696" s="470" t="s">
        <v>942</v>
      </c>
      <c r="N696" s="470" t="s">
        <v>756</v>
      </c>
      <c r="O696" s="472" t="s">
        <v>1272</v>
      </c>
      <c r="P696" s="472" t="s">
        <v>738</v>
      </c>
      <c r="Q696" s="472" t="s">
        <v>758</v>
      </c>
      <c r="R696" s="472" t="s">
        <v>12</v>
      </c>
      <c r="S696" s="472" t="s">
        <v>12</v>
      </c>
      <c r="T696" s="472" t="s">
        <v>1273</v>
      </c>
      <c r="U696" s="470" t="s">
        <v>1274</v>
      </c>
      <c r="V696" s="470" t="s">
        <v>761</v>
      </c>
      <c r="W696" s="470" t="s">
        <v>1111</v>
      </c>
      <c r="X696" s="470">
        <v>30</v>
      </c>
      <c r="Y696" s="470">
        <v>0</v>
      </c>
      <c r="Z696" s="470">
        <v>0</v>
      </c>
      <c r="AA696" s="470">
        <v>30</v>
      </c>
      <c r="AB696" s="470">
        <v>30</v>
      </c>
      <c r="AC696" s="473">
        <v>235700</v>
      </c>
      <c r="AD696" s="473">
        <v>235700</v>
      </c>
      <c r="AE696" s="473">
        <v>106065</v>
      </c>
      <c r="AF696" s="473">
        <v>42426</v>
      </c>
      <c r="AG696" s="473">
        <v>1600</v>
      </c>
      <c r="AH696" s="473">
        <v>200</v>
      </c>
      <c r="AI696" s="473">
        <v>1250</v>
      </c>
      <c r="AJ696" s="473">
        <v>8835</v>
      </c>
      <c r="AK696" s="473">
        <v>21213</v>
      </c>
      <c r="AL696" s="473">
        <v>15910</v>
      </c>
      <c r="AM696" s="473">
        <v>1061</v>
      </c>
      <c r="AN696" s="473">
        <v>3712</v>
      </c>
      <c r="AO696" s="473">
        <v>2121</v>
      </c>
      <c r="AP696" s="473">
        <v>530</v>
      </c>
      <c r="AQ696" s="473">
        <v>1800</v>
      </c>
      <c r="AR696" s="473">
        <v>28977</v>
      </c>
      <c r="AS696" s="473">
        <v>0</v>
      </c>
      <c r="AT696" s="473">
        <v>0</v>
      </c>
      <c r="AU696" s="473">
        <v>1375</v>
      </c>
      <c r="AV696" s="473">
        <v>237075</v>
      </c>
      <c r="AW696" s="474">
        <v>235700</v>
      </c>
      <c r="AX696" s="473">
        <v>0</v>
      </c>
      <c r="AY696" s="473">
        <v>0</v>
      </c>
      <c r="AZ696" s="475">
        <v>21665</v>
      </c>
      <c r="BA696" s="475">
        <v>200</v>
      </c>
      <c r="BB696" s="475">
        <v>1800</v>
      </c>
      <c r="BC696" s="475">
        <v>0</v>
      </c>
      <c r="BD696" s="475">
        <v>0</v>
      </c>
      <c r="BE696" s="475">
        <v>0</v>
      </c>
      <c r="BF696" s="475">
        <v>0</v>
      </c>
      <c r="BG696" s="475">
        <v>23665</v>
      </c>
      <c r="BH696" s="476">
        <v>213410</v>
      </c>
      <c r="BI696" s="467"/>
      <c r="BJ696" s="468"/>
    </row>
    <row r="697" spans="1:62">
      <c r="A697" s="469">
        <v>45962</v>
      </c>
      <c r="B697" s="469" t="s">
        <v>747</v>
      </c>
      <c r="C697" s="508" t="s">
        <v>1424</v>
      </c>
      <c r="D697" s="470" t="s">
        <v>749</v>
      </c>
      <c r="E697" s="471">
        <v>2020</v>
      </c>
      <c r="F697" s="470" t="s">
        <v>772</v>
      </c>
      <c r="G697" s="470" t="s">
        <v>751</v>
      </c>
      <c r="H697" s="470" t="s">
        <v>12</v>
      </c>
      <c r="I697" s="470" t="s">
        <v>773</v>
      </c>
      <c r="J697" s="472" t="s">
        <v>774</v>
      </c>
      <c r="K697" s="470" t="s">
        <v>775</v>
      </c>
      <c r="L697" s="470" t="s">
        <v>776</v>
      </c>
      <c r="M697" s="470" t="s">
        <v>776</v>
      </c>
      <c r="N697" s="470" t="s">
        <v>777</v>
      </c>
      <c r="O697" s="472" t="s">
        <v>757</v>
      </c>
      <c r="P697" s="472" t="s">
        <v>738</v>
      </c>
      <c r="Q697" s="472" t="s">
        <v>758</v>
      </c>
      <c r="R697" s="472" t="s">
        <v>12</v>
      </c>
      <c r="S697" s="472" t="s">
        <v>12</v>
      </c>
      <c r="T697" s="472" t="s">
        <v>778</v>
      </c>
      <c r="U697" s="470" t="s">
        <v>779</v>
      </c>
      <c r="V697" s="470" t="s">
        <v>761</v>
      </c>
      <c r="W697" s="470" t="s">
        <v>762</v>
      </c>
      <c r="X697" s="470">
        <v>30</v>
      </c>
      <c r="Y697" s="470">
        <v>0</v>
      </c>
      <c r="Z697" s="470">
        <v>0</v>
      </c>
      <c r="AA697" s="470">
        <v>30</v>
      </c>
      <c r="AB697" s="470">
        <v>30</v>
      </c>
      <c r="AC697" s="473">
        <v>68450</v>
      </c>
      <c r="AD697" s="473">
        <v>68450</v>
      </c>
      <c r="AE697" s="473">
        <v>30803</v>
      </c>
      <c r="AF697" s="473">
        <v>12321</v>
      </c>
      <c r="AG697" s="473">
        <v>1600</v>
      </c>
      <c r="AH697" s="473">
        <v>200</v>
      </c>
      <c r="AI697" s="473">
        <v>1250</v>
      </c>
      <c r="AJ697" s="473">
        <v>2566</v>
      </c>
      <c r="AK697" s="473">
        <v>6161</v>
      </c>
      <c r="AL697" s="473">
        <v>4620</v>
      </c>
      <c r="AM697" s="473">
        <v>308</v>
      </c>
      <c r="AN697" s="473">
        <v>1078</v>
      </c>
      <c r="AO697" s="473">
        <v>616</v>
      </c>
      <c r="AP697" s="473">
        <v>154</v>
      </c>
      <c r="AQ697" s="473">
        <v>1800</v>
      </c>
      <c r="AR697" s="473">
        <v>4973</v>
      </c>
      <c r="AS697" s="473">
        <v>0</v>
      </c>
      <c r="AT697" s="473">
        <v>0</v>
      </c>
      <c r="AU697" s="473">
        <v>2019</v>
      </c>
      <c r="AV697" s="473">
        <v>70469</v>
      </c>
      <c r="AW697" s="474">
        <v>68450</v>
      </c>
      <c r="AX697" s="473">
        <v>0</v>
      </c>
      <c r="AY697" s="473">
        <v>0</v>
      </c>
      <c r="AZ697" s="475">
        <v>0</v>
      </c>
      <c r="BA697" s="475">
        <v>200</v>
      </c>
      <c r="BB697" s="475">
        <v>1800</v>
      </c>
      <c r="BC697" s="475">
        <v>0</v>
      </c>
      <c r="BD697" s="475">
        <v>0</v>
      </c>
      <c r="BE697" s="475">
        <v>0</v>
      </c>
      <c r="BF697" s="475">
        <v>0</v>
      </c>
      <c r="BG697" s="475">
        <v>2000</v>
      </c>
      <c r="BH697" s="476">
        <v>68469</v>
      </c>
      <c r="BI697" s="467"/>
      <c r="BJ697" s="468"/>
    </row>
    <row r="698" spans="1:62">
      <c r="A698" s="469">
        <v>45962</v>
      </c>
      <c r="B698" s="469" t="s">
        <v>747</v>
      </c>
      <c r="C698" s="508" t="s">
        <v>1424</v>
      </c>
      <c r="D698" s="470" t="s">
        <v>749</v>
      </c>
      <c r="E698" s="471">
        <v>2072</v>
      </c>
      <c r="F698" s="470" t="s">
        <v>787</v>
      </c>
      <c r="G698" s="470" t="s">
        <v>751</v>
      </c>
      <c r="H698" s="470" t="s">
        <v>12</v>
      </c>
      <c r="I698" s="470" t="s">
        <v>788</v>
      </c>
      <c r="J698" s="472" t="s">
        <v>789</v>
      </c>
      <c r="K698" s="470" t="s">
        <v>790</v>
      </c>
      <c r="L698" s="470" t="s">
        <v>791</v>
      </c>
      <c r="M698" s="470" t="s">
        <v>791</v>
      </c>
      <c r="N698" s="470" t="s">
        <v>756</v>
      </c>
      <c r="O698" s="472" t="s">
        <v>792</v>
      </c>
      <c r="P698" s="472" t="s">
        <v>738</v>
      </c>
      <c r="Q698" s="472" t="s">
        <v>758</v>
      </c>
      <c r="R698" s="472" t="s">
        <v>12</v>
      </c>
      <c r="S698" s="472" t="s">
        <v>12</v>
      </c>
      <c r="T698" s="472" t="s">
        <v>793</v>
      </c>
      <c r="U698" s="470" t="s">
        <v>794</v>
      </c>
      <c r="V698" s="470" t="s">
        <v>761</v>
      </c>
      <c r="W698" s="470" t="s">
        <v>795</v>
      </c>
      <c r="X698" s="470">
        <v>30</v>
      </c>
      <c r="Y698" s="470">
        <v>0</v>
      </c>
      <c r="Z698" s="470">
        <v>0</v>
      </c>
      <c r="AA698" s="470">
        <v>30</v>
      </c>
      <c r="AB698" s="470">
        <v>30</v>
      </c>
      <c r="AC698" s="473">
        <v>123200</v>
      </c>
      <c r="AD698" s="473">
        <v>123200</v>
      </c>
      <c r="AE698" s="473">
        <v>55440</v>
      </c>
      <c r="AF698" s="473">
        <v>22176</v>
      </c>
      <c r="AG698" s="473">
        <v>1600</v>
      </c>
      <c r="AH698" s="473">
        <v>200</v>
      </c>
      <c r="AI698" s="473">
        <v>1250</v>
      </c>
      <c r="AJ698" s="473">
        <v>4618</v>
      </c>
      <c r="AK698" s="473">
        <v>11088</v>
      </c>
      <c r="AL698" s="473">
        <v>8316</v>
      </c>
      <c r="AM698" s="473">
        <v>554</v>
      </c>
      <c r="AN698" s="473">
        <v>1940</v>
      </c>
      <c r="AO698" s="473">
        <v>1109</v>
      </c>
      <c r="AP698" s="473">
        <v>277</v>
      </c>
      <c r="AQ698" s="473">
        <v>1800</v>
      </c>
      <c r="AR698" s="473">
        <v>12832</v>
      </c>
      <c r="AS698" s="473">
        <v>0</v>
      </c>
      <c r="AT698" s="473">
        <v>0</v>
      </c>
      <c r="AU698" s="473">
        <v>0</v>
      </c>
      <c r="AV698" s="473">
        <v>123200</v>
      </c>
      <c r="AW698" s="474">
        <v>123200</v>
      </c>
      <c r="AX698" s="473">
        <v>0</v>
      </c>
      <c r="AY698" s="473">
        <v>0</v>
      </c>
      <c r="AZ698" s="475">
        <v>6767</v>
      </c>
      <c r="BA698" s="475">
        <v>200</v>
      </c>
      <c r="BB698" s="475">
        <v>1800</v>
      </c>
      <c r="BC698" s="475">
        <v>0</v>
      </c>
      <c r="BD698" s="475">
        <v>0</v>
      </c>
      <c r="BE698" s="475">
        <v>0</v>
      </c>
      <c r="BF698" s="475">
        <v>0</v>
      </c>
      <c r="BG698" s="475">
        <v>8767</v>
      </c>
      <c r="BH698" s="476">
        <v>114433</v>
      </c>
      <c r="BI698" s="467"/>
      <c r="BJ698" s="468"/>
    </row>
    <row r="699" spans="1:62">
      <c r="A699" s="469">
        <v>45962</v>
      </c>
      <c r="B699" s="469" t="s">
        <v>747</v>
      </c>
      <c r="C699" s="508" t="s">
        <v>1424</v>
      </c>
      <c r="D699" s="470" t="s">
        <v>749</v>
      </c>
      <c r="E699" s="471">
        <v>1440</v>
      </c>
      <c r="F699" s="470" t="s">
        <v>796</v>
      </c>
      <c r="G699" s="470" t="s">
        <v>751</v>
      </c>
      <c r="H699" s="470" t="s">
        <v>12</v>
      </c>
      <c r="I699" s="470" t="s">
        <v>797</v>
      </c>
      <c r="J699" s="472" t="s">
        <v>798</v>
      </c>
      <c r="K699" s="470" t="s">
        <v>799</v>
      </c>
      <c r="L699" s="470" t="s">
        <v>800</v>
      </c>
      <c r="M699" s="470" t="s">
        <v>801</v>
      </c>
      <c r="N699" s="470" t="s">
        <v>756</v>
      </c>
      <c r="O699" s="472" t="s">
        <v>757</v>
      </c>
      <c r="P699" s="472" t="s">
        <v>738</v>
      </c>
      <c r="Q699" s="472" t="s">
        <v>758</v>
      </c>
      <c r="R699" s="472" t="s">
        <v>12</v>
      </c>
      <c r="S699" s="472" t="s">
        <v>12</v>
      </c>
      <c r="T699" s="472" t="s">
        <v>802</v>
      </c>
      <c r="U699" s="470" t="s">
        <v>803</v>
      </c>
      <c r="V699" s="470" t="s">
        <v>761</v>
      </c>
      <c r="W699" s="470" t="s">
        <v>762</v>
      </c>
      <c r="X699" s="470">
        <v>30</v>
      </c>
      <c r="Y699" s="470">
        <v>0</v>
      </c>
      <c r="Z699" s="470">
        <v>0</v>
      </c>
      <c r="AA699" s="470">
        <v>30</v>
      </c>
      <c r="AB699" s="470">
        <v>30</v>
      </c>
      <c r="AC699" s="473">
        <v>38617</v>
      </c>
      <c r="AD699" s="473">
        <v>38617</v>
      </c>
      <c r="AE699" s="473">
        <v>17378</v>
      </c>
      <c r="AF699" s="473">
        <v>6951</v>
      </c>
      <c r="AG699" s="473">
        <v>1600</v>
      </c>
      <c r="AH699" s="473">
        <v>200</v>
      </c>
      <c r="AI699" s="473">
        <v>1250</v>
      </c>
      <c r="AJ699" s="473">
        <v>0</v>
      </c>
      <c r="AK699" s="473">
        <v>0</v>
      </c>
      <c r="AL699" s="473">
        <v>0</v>
      </c>
      <c r="AM699" s="473">
        <v>0</v>
      </c>
      <c r="AN699" s="473">
        <v>0</v>
      </c>
      <c r="AO699" s="473">
        <v>0</v>
      </c>
      <c r="AP699" s="473">
        <v>0</v>
      </c>
      <c r="AQ699" s="473">
        <v>1800</v>
      </c>
      <c r="AR699" s="473">
        <v>9438</v>
      </c>
      <c r="AS699" s="473">
        <v>0</v>
      </c>
      <c r="AT699" s="473">
        <v>0</v>
      </c>
      <c r="AU699" s="473">
        <v>0</v>
      </c>
      <c r="AV699" s="473">
        <v>38617</v>
      </c>
      <c r="AW699" s="474">
        <v>38617</v>
      </c>
      <c r="AX699" s="473">
        <v>0</v>
      </c>
      <c r="AY699" s="473">
        <v>0</v>
      </c>
      <c r="AZ699" s="475">
        <v>0</v>
      </c>
      <c r="BA699" s="475">
        <v>200</v>
      </c>
      <c r="BB699" s="475">
        <v>1800</v>
      </c>
      <c r="BC699" s="475">
        <v>0</v>
      </c>
      <c r="BD699" s="475">
        <v>0</v>
      </c>
      <c r="BE699" s="475">
        <v>0</v>
      </c>
      <c r="BF699" s="475">
        <v>0</v>
      </c>
      <c r="BG699" s="475">
        <v>2000</v>
      </c>
      <c r="BH699" s="476">
        <v>36617</v>
      </c>
      <c r="BI699" s="467"/>
      <c r="BJ699" s="468"/>
    </row>
    <row r="700" spans="1:62">
      <c r="A700" s="469">
        <v>45962</v>
      </c>
      <c r="B700" s="469" t="s">
        <v>747</v>
      </c>
      <c r="C700" s="508" t="s">
        <v>1424</v>
      </c>
      <c r="D700" s="470" t="s">
        <v>749</v>
      </c>
      <c r="E700" s="471">
        <v>2275</v>
      </c>
      <c r="F700" s="470" t="s">
        <v>1425</v>
      </c>
      <c r="G700" s="470" t="s">
        <v>812</v>
      </c>
      <c r="H700" s="470" t="s">
        <v>12</v>
      </c>
      <c r="I700" s="470" t="s">
        <v>1426</v>
      </c>
      <c r="J700" s="472" t="s">
        <v>1427</v>
      </c>
      <c r="K700" s="470" t="s">
        <v>1428</v>
      </c>
      <c r="L700" s="470" t="s">
        <v>824</v>
      </c>
      <c r="M700" s="470" t="s">
        <v>824</v>
      </c>
      <c r="N700" s="470" t="s">
        <v>1275</v>
      </c>
      <c r="O700" s="472" t="s">
        <v>1276</v>
      </c>
      <c r="P700" s="472" t="s">
        <v>738</v>
      </c>
      <c r="Q700" s="472" t="s">
        <v>758</v>
      </c>
      <c r="R700" s="472" t="s">
        <v>12</v>
      </c>
      <c r="S700" s="472" t="s">
        <v>12</v>
      </c>
      <c r="T700" s="472" t="s">
        <v>1429</v>
      </c>
      <c r="U700" s="470" t="s">
        <v>1430</v>
      </c>
      <c r="V700" s="470" t="s">
        <v>761</v>
      </c>
      <c r="W700" s="470" t="s">
        <v>1361</v>
      </c>
      <c r="X700" s="470">
        <v>30</v>
      </c>
      <c r="Y700" s="470">
        <v>0</v>
      </c>
      <c r="Z700" s="470">
        <v>0</v>
      </c>
      <c r="AA700" s="470">
        <v>14</v>
      </c>
      <c r="AB700" s="470">
        <v>14</v>
      </c>
      <c r="AC700" s="473">
        <v>44033</v>
      </c>
      <c r="AD700" s="473">
        <v>44033</v>
      </c>
      <c r="AE700" s="473">
        <v>9247</v>
      </c>
      <c r="AF700" s="473">
        <v>3699</v>
      </c>
      <c r="AG700" s="473">
        <v>747</v>
      </c>
      <c r="AH700" s="473">
        <v>200</v>
      </c>
      <c r="AI700" s="473">
        <v>583</v>
      </c>
      <c r="AJ700" s="473">
        <v>770</v>
      </c>
      <c r="AK700" s="473">
        <v>1849</v>
      </c>
      <c r="AL700" s="473">
        <v>1387</v>
      </c>
      <c r="AM700" s="473">
        <v>92</v>
      </c>
      <c r="AN700" s="473">
        <v>324</v>
      </c>
      <c r="AO700" s="473">
        <v>185</v>
      </c>
      <c r="AP700" s="473">
        <v>46</v>
      </c>
      <c r="AQ700" s="473">
        <v>1110</v>
      </c>
      <c r="AR700" s="473">
        <v>310</v>
      </c>
      <c r="AS700" s="473">
        <v>0</v>
      </c>
      <c r="AT700" s="473">
        <v>0</v>
      </c>
      <c r="AU700" s="473">
        <v>0</v>
      </c>
      <c r="AV700" s="473">
        <v>20549</v>
      </c>
      <c r="AW700" s="474">
        <v>20549</v>
      </c>
      <c r="AX700" s="473">
        <v>0</v>
      </c>
      <c r="AY700" s="473">
        <v>0</v>
      </c>
      <c r="AZ700" s="475">
        <v>0</v>
      </c>
      <c r="BA700" s="475">
        <v>175</v>
      </c>
      <c r="BB700" s="475">
        <v>1110</v>
      </c>
      <c r="BC700" s="475">
        <v>0</v>
      </c>
      <c r="BD700" s="475">
        <v>0</v>
      </c>
      <c r="BE700" s="475">
        <v>0</v>
      </c>
      <c r="BF700" s="475">
        <v>0</v>
      </c>
      <c r="BG700" s="475">
        <v>1285</v>
      </c>
      <c r="BH700" s="476">
        <v>19264</v>
      </c>
      <c r="BI700" s="467"/>
      <c r="BJ700" s="468"/>
    </row>
    <row r="701" spans="1:62">
      <c r="A701" s="469">
        <v>45962</v>
      </c>
      <c r="B701" s="469" t="s">
        <v>747</v>
      </c>
      <c r="C701" s="508" t="s">
        <v>1424</v>
      </c>
      <c r="D701" s="470" t="s">
        <v>749</v>
      </c>
      <c r="E701" s="471">
        <v>1484</v>
      </c>
      <c r="F701" s="470" t="s">
        <v>811</v>
      </c>
      <c r="G701" s="470" t="s">
        <v>812</v>
      </c>
      <c r="H701" s="470" t="s">
        <v>12</v>
      </c>
      <c r="I701" s="470" t="s">
        <v>813</v>
      </c>
      <c r="J701" s="472" t="s">
        <v>814</v>
      </c>
      <c r="K701" s="470" t="s">
        <v>815</v>
      </c>
      <c r="L701" s="470" t="s">
        <v>1292</v>
      </c>
      <c r="M701" s="470" t="s">
        <v>1292</v>
      </c>
      <c r="N701" s="470" t="s">
        <v>1275</v>
      </c>
      <c r="O701" s="472" t="s">
        <v>792</v>
      </c>
      <c r="P701" s="472" t="s">
        <v>738</v>
      </c>
      <c r="Q701" s="472" t="s">
        <v>758</v>
      </c>
      <c r="R701" s="472" t="s">
        <v>12</v>
      </c>
      <c r="S701" s="472" t="s">
        <v>12</v>
      </c>
      <c r="T701" s="472" t="s">
        <v>818</v>
      </c>
      <c r="U701" s="470" t="s">
        <v>819</v>
      </c>
      <c r="V701" s="470" t="s">
        <v>761</v>
      </c>
      <c r="W701" s="470" t="s">
        <v>762</v>
      </c>
      <c r="X701" s="470">
        <v>30</v>
      </c>
      <c r="Y701" s="470">
        <v>0</v>
      </c>
      <c r="Z701" s="470">
        <v>0</v>
      </c>
      <c r="AA701" s="470">
        <v>30</v>
      </c>
      <c r="AB701" s="470">
        <v>30</v>
      </c>
      <c r="AC701" s="473">
        <v>111343</v>
      </c>
      <c r="AD701" s="473">
        <v>111343</v>
      </c>
      <c r="AE701" s="473">
        <v>50104</v>
      </c>
      <c r="AF701" s="473">
        <v>20042</v>
      </c>
      <c r="AG701" s="473">
        <v>1600</v>
      </c>
      <c r="AH701" s="473">
        <v>200</v>
      </c>
      <c r="AI701" s="473">
        <v>1250</v>
      </c>
      <c r="AJ701" s="473">
        <v>4174</v>
      </c>
      <c r="AK701" s="473">
        <v>10021</v>
      </c>
      <c r="AL701" s="473">
        <v>7516</v>
      </c>
      <c r="AM701" s="473">
        <v>501</v>
      </c>
      <c r="AN701" s="473">
        <v>1754</v>
      </c>
      <c r="AO701" s="473">
        <v>1002</v>
      </c>
      <c r="AP701" s="473">
        <v>251</v>
      </c>
      <c r="AQ701" s="473">
        <v>1800</v>
      </c>
      <c r="AR701" s="473">
        <v>11128</v>
      </c>
      <c r="AS701" s="473">
        <v>0</v>
      </c>
      <c r="AT701" s="473">
        <v>3711</v>
      </c>
      <c r="AU701" s="473">
        <v>4048</v>
      </c>
      <c r="AV701" s="473">
        <v>119102</v>
      </c>
      <c r="AW701" s="474">
        <v>115054</v>
      </c>
      <c r="AX701" s="473">
        <v>0</v>
      </c>
      <c r="AY701" s="473">
        <v>0</v>
      </c>
      <c r="AZ701" s="475">
        <v>8978</v>
      </c>
      <c r="BA701" s="475">
        <v>200</v>
      </c>
      <c r="BB701" s="475">
        <v>1800</v>
      </c>
      <c r="BC701" s="475">
        <v>0</v>
      </c>
      <c r="BD701" s="475">
        <v>0</v>
      </c>
      <c r="BE701" s="475">
        <v>0</v>
      </c>
      <c r="BF701" s="475">
        <v>0</v>
      </c>
      <c r="BG701" s="475">
        <v>10978</v>
      </c>
      <c r="BH701" s="476">
        <v>108124</v>
      </c>
      <c r="BI701" s="467"/>
      <c r="BJ701" s="468"/>
    </row>
    <row r="702" spans="1:62">
      <c r="A702" s="469">
        <v>45962</v>
      </c>
      <c r="B702" s="469" t="s">
        <v>747</v>
      </c>
      <c r="C702" s="508" t="s">
        <v>1424</v>
      </c>
      <c r="D702" s="470" t="s">
        <v>749</v>
      </c>
      <c r="E702" s="471">
        <v>2271</v>
      </c>
      <c r="F702" s="470" t="s">
        <v>1431</v>
      </c>
      <c r="G702" s="470" t="s">
        <v>751</v>
      </c>
      <c r="H702" s="470" t="s">
        <v>12</v>
      </c>
      <c r="I702" s="470" t="s">
        <v>1426</v>
      </c>
      <c r="J702" s="472" t="s">
        <v>1432</v>
      </c>
      <c r="K702" s="470" t="s">
        <v>1433</v>
      </c>
      <c r="L702" s="470" t="s">
        <v>824</v>
      </c>
      <c r="M702" s="470" t="s">
        <v>824</v>
      </c>
      <c r="N702" s="470" t="s">
        <v>1275</v>
      </c>
      <c r="O702" s="472" t="s">
        <v>1276</v>
      </c>
      <c r="P702" s="472" t="s">
        <v>738</v>
      </c>
      <c r="Q702" s="472" t="s">
        <v>758</v>
      </c>
      <c r="R702" s="472" t="s">
        <v>12</v>
      </c>
      <c r="S702" s="472" t="s">
        <v>12</v>
      </c>
      <c r="T702" s="472" t="s">
        <v>1434</v>
      </c>
      <c r="U702" s="470" t="s">
        <v>1435</v>
      </c>
      <c r="V702" s="470" t="s">
        <v>761</v>
      </c>
      <c r="W702" s="470" t="s">
        <v>1361</v>
      </c>
      <c r="X702" s="470">
        <v>30</v>
      </c>
      <c r="Y702" s="470">
        <v>0</v>
      </c>
      <c r="Z702" s="470">
        <v>0</v>
      </c>
      <c r="AA702" s="470">
        <v>14</v>
      </c>
      <c r="AB702" s="470">
        <v>14</v>
      </c>
      <c r="AC702" s="473">
        <v>44033</v>
      </c>
      <c r="AD702" s="473">
        <v>44033</v>
      </c>
      <c r="AE702" s="473">
        <v>9247</v>
      </c>
      <c r="AF702" s="473">
        <v>3699</v>
      </c>
      <c r="AG702" s="473">
        <v>747</v>
      </c>
      <c r="AH702" s="473">
        <v>200</v>
      </c>
      <c r="AI702" s="473">
        <v>583</v>
      </c>
      <c r="AJ702" s="473">
        <v>770</v>
      </c>
      <c r="AK702" s="473">
        <v>1849</v>
      </c>
      <c r="AL702" s="473">
        <v>1387</v>
      </c>
      <c r="AM702" s="473">
        <v>92</v>
      </c>
      <c r="AN702" s="473">
        <v>324</v>
      </c>
      <c r="AO702" s="473">
        <v>185</v>
      </c>
      <c r="AP702" s="473">
        <v>46</v>
      </c>
      <c r="AQ702" s="473">
        <v>1110</v>
      </c>
      <c r="AR702" s="473">
        <v>310</v>
      </c>
      <c r="AS702" s="473">
        <v>0</v>
      </c>
      <c r="AT702" s="473">
        <v>0</v>
      </c>
      <c r="AU702" s="473">
        <v>0</v>
      </c>
      <c r="AV702" s="473">
        <v>20549</v>
      </c>
      <c r="AW702" s="474">
        <v>20549</v>
      </c>
      <c r="AX702" s="473">
        <v>0</v>
      </c>
      <c r="AY702" s="473">
        <v>0</v>
      </c>
      <c r="AZ702" s="475">
        <v>0</v>
      </c>
      <c r="BA702" s="475">
        <v>200</v>
      </c>
      <c r="BB702" s="475">
        <v>1110</v>
      </c>
      <c r="BC702" s="475">
        <v>0</v>
      </c>
      <c r="BD702" s="475">
        <v>0</v>
      </c>
      <c r="BE702" s="475">
        <v>0</v>
      </c>
      <c r="BF702" s="475">
        <v>0</v>
      </c>
      <c r="BG702" s="475">
        <v>1310</v>
      </c>
      <c r="BH702" s="476">
        <v>19239</v>
      </c>
      <c r="BI702" s="467"/>
      <c r="BJ702" s="468"/>
    </row>
    <row r="703" spans="1:62">
      <c r="A703" s="469">
        <v>45962</v>
      </c>
      <c r="B703" s="469" t="s">
        <v>747</v>
      </c>
      <c r="C703" s="508" t="s">
        <v>1424</v>
      </c>
      <c r="D703" s="470" t="s">
        <v>749</v>
      </c>
      <c r="E703" s="471">
        <v>2216</v>
      </c>
      <c r="F703" s="470" t="s">
        <v>1339</v>
      </c>
      <c r="G703" s="470" t="s">
        <v>751</v>
      </c>
      <c r="H703" s="470" t="s">
        <v>12</v>
      </c>
      <c r="I703" s="470" t="s">
        <v>1340</v>
      </c>
      <c r="J703" s="472" t="s">
        <v>1341</v>
      </c>
      <c r="K703" s="470" t="s">
        <v>1342</v>
      </c>
      <c r="L703" s="470" t="s">
        <v>1305</v>
      </c>
      <c r="M703" s="470" t="s">
        <v>1305</v>
      </c>
      <c r="N703" s="470" t="s">
        <v>1108</v>
      </c>
      <c r="O703" s="472" t="s">
        <v>757</v>
      </c>
      <c r="P703" s="472" t="s">
        <v>738</v>
      </c>
      <c r="Q703" s="472" t="s">
        <v>758</v>
      </c>
      <c r="R703" s="472" t="s">
        <v>12</v>
      </c>
      <c r="S703" s="472" t="s">
        <v>12</v>
      </c>
      <c r="T703" s="472" t="s">
        <v>1343</v>
      </c>
      <c r="U703" s="470" t="s">
        <v>1344</v>
      </c>
      <c r="V703" s="470" t="s">
        <v>761</v>
      </c>
      <c r="W703" s="470" t="s">
        <v>1301</v>
      </c>
      <c r="X703" s="470">
        <v>30</v>
      </c>
      <c r="Y703" s="470">
        <v>0</v>
      </c>
      <c r="Z703" s="470">
        <v>0</v>
      </c>
      <c r="AA703" s="470">
        <v>30</v>
      </c>
      <c r="AB703" s="470">
        <v>30</v>
      </c>
      <c r="AC703" s="473">
        <v>65700</v>
      </c>
      <c r="AD703" s="473">
        <v>65700</v>
      </c>
      <c r="AE703" s="473">
        <v>29565</v>
      </c>
      <c r="AF703" s="473">
        <v>11826</v>
      </c>
      <c r="AG703" s="473">
        <v>1600</v>
      </c>
      <c r="AH703" s="473">
        <v>200</v>
      </c>
      <c r="AI703" s="473">
        <v>1250</v>
      </c>
      <c r="AJ703" s="473">
        <v>2463</v>
      </c>
      <c r="AK703" s="473">
        <v>5913</v>
      </c>
      <c r="AL703" s="473">
        <v>4435</v>
      </c>
      <c r="AM703" s="473">
        <v>296</v>
      </c>
      <c r="AN703" s="473">
        <v>1035</v>
      </c>
      <c r="AO703" s="473">
        <v>591</v>
      </c>
      <c r="AP703" s="473">
        <v>148</v>
      </c>
      <c r="AQ703" s="473">
        <v>1800</v>
      </c>
      <c r="AR703" s="473">
        <v>4578</v>
      </c>
      <c r="AS703" s="473">
        <v>0</v>
      </c>
      <c r="AT703" s="473">
        <v>0</v>
      </c>
      <c r="AU703" s="473">
        <v>0</v>
      </c>
      <c r="AV703" s="473">
        <v>65700</v>
      </c>
      <c r="AW703" s="474">
        <v>65700</v>
      </c>
      <c r="AX703" s="473">
        <v>0</v>
      </c>
      <c r="AY703" s="473">
        <v>0</v>
      </c>
      <c r="AZ703" s="475">
        <v>0</v>
      </c>
      <c r="BA703" s="475">
        <v>200</v>
      </c>
      <c r="BB703" s="475">
        <v>1800</v>
      </c>
      <c r="BC703" s="475">
        <v>0</v>
      </c>
      <c r="BD703" s="475">
        <v>0</v>
      </c>
      <c r="BE703" s="475">
        <v>0</v>
      </c>
      <c r="BF703" s="475">
        <v>0</v>
      </c>
      <c r="BG703" s="475">
        <v>2000</v>
      </c>
      <c r="BH703" s="476">
        <v>63700</v>
      </c>
      <c r="BI703" s="467"/>
      <c r="BJ703" s="468"/>
    </row>
    <row r="704" spans="1:62">
      <c r="A704" s="469">
        <v>45962</v>
      </c>
      <c r="B704" s="469" t="s">
        <v>747</v>
      </c>
      <c r="C704" s="508" t="s">
        <v>1424</v>
      </c>
      <c r="D704" s="470" t="s">
        <v>749</v>
      </c>
      <c r="E704" s="471">
        <v>2247</v>
      </c>
      <c r="F704" s="470" t="s">
        <v>1388</v>
      </c>
      <c r="G704" s="470" t="s">
        <v>751</v>
      </c>
      <c r="H704" s="470" t="s">
        <v>12</v>
      </c>
      <c r="I704" s="470" t="s">
        <v>1389</v>
      </c>
      <c r="J704" s="472" t="s">
        <v>1390</v>
      </c>
      <c r="K704" s="470" t="s">
        <v>1391</v>
      </c>
      <c r="L704" s="470" t="s">
        <v>1293</v>
      </c>
      <c r="M704" s="470" t="s">
        <v>1293</v>
      </c>
      <c r="N704" s="470" t="s">
        <v>756</v>
      </c>
      <c r="O704" s="472" t="s">
        <v>757</v>
      </c>
      <c r="P704" s="472" t="s">
        <v>738</v>
      </c>
      <c r="Q704" s="472" t="s">
        <v>758</v>
      </c>
      <c r="R704" s="472" t="s">
        <v>12</v>
      </c>
      <c r="S704" s="472" t="s">
        <v>12</v>
      </c>
      <c r="T704" s="472" t="s">
        <v>1392</v>
      </c>
      <c r="U704" s="470" t="s">
        <v>1393</v>
      </c>
      <c r="V704" s="470" t="s">
        <v>761</v>
      </c>
      <c r="W704" s="470" t="s">
        <v>1394</v>
      </c>
      <c r="X704" s="470">
        <v>30</v>
      </c>
      <c r="Y704" s="470">
        <v>0</v>
      </c>
      <c r="Z704" s="470">
        <v>0</v>
      </c>
      <c r="AA704" s="470">
        <v>30</v>
      </c>
      <c r="AB704" s="470">
        <v>30</v>
      </c>
      <c r="AC704" s="473">
        <v>88200</v>
      </c>
      <c r="AD704" s="473">
        <v>88200</v>
      </c>
      <c r="AE704" s="473">
        <v>39690</v>
      </c>
      <c r="AF704" s="473">
        <v>15876</v>
      </c>
      <c r="AG704" s="473">
        <v>1600</v>
      </c>
      <c r="AH704" s="473">
        <v>200</v>
      </c>
      <c r="AI704" s="473">
        <v>1250</v>
      </c>
      <c r="AJ704" s="473">
        <v>3306</v>
      </c>
      <c r="AK704" s="473">
        <v>7938</v>
      </c>
      <c r="AL704" s="473">
        <v>5954</v>
      </c>
      <c r="AM704" s="473">
        <v>397</v>
      </c>
      <c r="AN704" s="473">
        <v>1389</v>
      </c>
      <c r="AO704" s="473">
        <v>794</v>
      </c>
      <c r="AP704" s="473">
        <v>198</v>
      </c>
      <c r="AQ704" s="473">
        <v>1800</v>
      </c>
      <c r="AR704" s="473">
        <v>7808</v>
      </c>
      <c r="AS704" s="473">
        <v>0</v>
      </c>
      <c r="AT704" s="473">
        <v>400</v>
      </c>
      <c r="AU704" s="473">
        <v>0</v>
      </c>
      <c r="AV704" s="473">
        <v>88600</v>
      </c>
      <c r="AW704" s="474">
        <v>88600</v>
      </c>
      <c r="AX704" s="473">
        <v>0</v>
      </c>
      <c r="AY704" s="473">
        <v>0</v>
      </c>
      <c r="AZ704" s="475">
        <v>0</v>
      </c>
      <c r="BA704" s="475">
        <v>200</v>
      </c>
      <c r="BB704" s="475">
        <v>1800</v>
      </c>
      <c r="BC704" s="475">
        <v>0</v>
      </c>
      <c r="BD704" s="475">
        <v>0</v>
      </c>
      <c r="BE704" s="475">
        <v>0</v>
      </c>
      <c r="BF704" s="475">
        <v>0</v>
      </c>
      <c r="BG704" s="475">
        <v>2000</v>
      </c>
      <c r="BH704" s="476">
        <v>86600</v>
      </c>
      <c r="BI704" s="467"/>
      <c r="BJ704" s="468"/>
    </row>
    <row r="705" spans="1:62">
      <c r="A705" s="469">
        <v>45962</v>
      </c>
      <c r="B705" s="469" t="s">
        <v>747</v>
      </c>
      <c r="C705" s="508" t="s">
        <v>1424</v>
      </c>
      <c r="D705" s="470" t="s">
        <v>749</v>
      </c>
      <c r="E705" s="471">
        <v>1599</v>
      </c>
      <c r="F705" s="470" t="s">
        <v>820</v>
      </c>
      <c r="G705" s="470" t="s">
        <v>751</v>
      </c>
      <c r="H705" s="470" t="s">
        <v>12</v>
      </c>
      <c r="I705" s="470" t="s">
        <v>821</v>
      </c>
      <c r="J705" s="472" t="s">
        <v>822</v>
      </c>
      <c r="K705" s="470" t="s">
        <v>823</v>
      </c>
      <c r="L705" s="470" t="s">
        <v>1345</v>
      </c>
      <c r="M705" s="470" t="s">
        <v>1345</v>
      </c>
      <c r="N705" s="470" t="s">
        <v>1275</v>
      </c>
      <c r="O705" s="472" t="s">
        <v>757</v>
      </c>
      <c r="P705" s="472" t="s">
        <v>738</v>
      </c>
      <c r="Q705" s="472" t="s">
        <v>758</v>
      </c>
      <c r="R705" s="472" t="s">
        <v>12</v>
      </c>
      <c r="S705" s="472" t="s">
        <v>12</v>
      </c>
      <c r="T705" s="472" t="s">
        <v>825</v>
      </c>
      <c r="U705" s="470" t="s">
        <v>826</v>
      </c>
      <c r="V705" s="470" t="s">
        <v>761</v>
      </c>
      <c r="W705" s="470" t="s">
        <v>827</v>
      </c>
      <c r="X705" s="470">
        <v>30</v>
      </c>
      <c r="Y705" s="470">
        <v>0</v>
      </c>
      <c r="Z705" s="470">
        <v>0</v>
      </c>
      <c r="AA705" s="470">
        <v>30</v>
      </c>
      <c r="AB705" s="470">
        <v>30</v>
      </c>
      <c r="AC705" s="473">
        <v>51640</v>
      </c>
      <c r="AD705" s="473">
        <v>51640</v>
      </c>
      <c r="AE705" s="473">
        <v>23238</v>
      </c>
      <c r="AF705" s="473">
        <v>9295</v>
      </c>
      <c r="AG705" s="473">
        <v>1600</v>
      </c>
      <c r="AH705" s="473">
        <v>200</v>
      </c>
      <c r="AI705" s="473">
        <v>1250</v>
      </c>
      <c r="AJ705" s="473">
        <v>1936</v>
      </c>
      <c r="AK705" s="473">
        <v>4648</v>
      </c>
      <c r="AL705" s="473">
        <v>3486</v>
      </c>
      <c r="AM705" s="473">
        <v>232</v>
      </c>
      <c r="AN705" s="473">
        <v>813</v>
      </c>
      <c r="AO705" s="473">
        <v>465</v>
      </c>
      <c r="AP705" s="473">
        <v>116</v>
      </c>
      <c r="AQ705" s="473">
        <v>1800</v>
      </c>
      <c r="AR705" s="473">
        <v>2561</v>
      </c>
      <c r="AS705" s="473">
        <v>0</v>
      </c>
      <c r="AT705" s="473">
        <v>3443</v>
      </c>
      <c r="AU705" s="473">
        <v>3808</v>
      </c>
      <c r="AV705" s="473">
        <v>58891</v>
      </c>
      <c r="AW705" s="474">
        <v>55083</v>
      </c>
      <c r="AX705" s="473">
        <v>0</v>
      </c>
      <c r="AY705" s="473">
        <v>0</v>
      </c>
      <c r="AZ705" s="475">
        <v>0</v>
      </c>
      <c r="BA705" s="475">
        <v>200</v>
      </c>
      <c r="BB705" s="475">
        <v>1800</v>
      </c>
      <c r="BC705" s="475">
        <v>0</v>
      </c>
      <c r="BD705" s="475">
        <v>0</v>
      </c>
      <c r="BE705" s="475">
        <v>0</v>
      </c>
      <c r="BF705" s="475">
        <v>0</v>
      </c>
      <c r="BG705" s="475">
        <v>2000</v>
      </c>
      <c r="BH705" s="476">
        <v>56891</v>
      </c>
      <c r="BI705" s="467"/>
      <c r="BJ705" s="468"/>
    </row>
    <row r="706" spans="1:62">
      <c r="A706" s="469">
        <v>45962</v>
      </c>
      <c r="B706" s="469" t="s">
        <v>747</v>
      </c>
      <c r="C706" s="508" t="s">
        <v>1424</v>
      </c>
      <c r="D706" s="470" t="s">
        <v>749</v>
      </c>
      <c r="E706" s="471">
        <v>1180</v>
      </c>
      <c r="F706" s="470" t="s">
        <v>828</v>
      </c>
      <c r="G706" s="470" t="s">
        <v>751</v>
      </c>
      <c r="H706" s="470" t="s">
        <v>12</v>
      </c>
      <c r="I706" s="470" t="s">
        <v>829</v>
      </c>
      <c r="J706" s="472" t="s">
        <v>830</v>
      </c>
      <c r="K706" s="470" t="s">
        <v>831</v>
      </c>
      <c r="L706" s="470" t="s">
        <v>832</v>
      </c>
      <c r="M706" s="470" t="s">
        <v>832</v>
      </c>
      <c r="N706" s="470" t="s">
        <v>833</v>
      </c>
      <c r="O706" s="472" t="s">
        <v>757</v>
      </c>
      <c r="P706" s="472" t="s">
        <v>738</v>
      </c>
      <c r="Q706" s="472" t="s">
        <v>758</v>
      </c>
      <c r="R706" s="472" t="s">
        <v>12</v>
      </c>
      <c r="S706" s="472" t="s">
        <v>12</v>
      </c>
      <c r="T706" s="472" t="s">
        <v>834</v>
      </c>
      <c r="U706" s="470" t="s">
        <v>835</v>
      </c>
      <c r="V706" s="470" t="s">
        <v>836</v>
      </c>
      <c r="W706" s="470" t="s">
        <v>837</v>
      </c>
      <c r="X706" s="470">
        <v>30</v>
      </c>
      <c r="Y706" s="470">
        <v>0</v>
      </c>
      <c r="Z706" s="470">
        <v>1</v>
      </c>
      <c r="AA706" s="470">
        <v>29</v>
      </c>
      <c r="AB706" s="470">
        <v>29</v>
      </c>
      <c r="AC706" s="473">
        <v>28042</v>
      </c>
      <c r="AD706" s="473">
        <v>28042</v>
      </c>
      <c r="AE706" s="473">
        <v>12198</v>
      </c>
      <c r="AF706" s="473">
        <v>4879</v>
      </c>
      <c r="AG706" s="473">
        <v>1547</v>
      </c>
      <c r="AH706" s="473">
        <v>193</v>
      </c>
      <c r="AI706" s="473">
        <v>1208</v>
      </c>
      <c r="AJ706" s="473">
        <v>0</v>
      </c>
      <c r="AK706" s="473">
        <v>0</v>
      </c>
      <c r="AL706" s="473">
        <v>0</v>
      </c>
      <c r="AM706" s="473">
        <v>0</v>
      </c>
      <c r="AN706" s="473">
        <v>0</v>
      </c>
      <c r="AO706" s="473">
        <v>0</v>
      </c>
      <c r="AP706" s="473">
        <v>0</v>
      </c>
      <c r="AQ706" s="473">
        <v>1464</v>
      </c>
      <c r="AR706" s="473">
        <v>5618</v>
      </c>
      <c r="AS706" s="473">
        <v>0</v>
      </c>
      <c r="AT706" s="473">
        <v>0</v>
      </c>
      <c r="AU706" s="473">
        <v>4023</v>
      </c>
      <c r="AV706" s="473">
        <v>31130</v>
      </c>
      <c r="AW706" s="474">
        <v>27107</v>
      </c>
      <c r="AX706" s="473">
        <v>0</v>
      </c>
      <c r="AY706" s="473">
        <v>0</v>
      </c>
      <c r="AZ706" s="475">
        <v>0</v>
      </c>
      <c r="BA706" s="475">
        <v>200</v>
      </c>
      <c r="BB706" s="475">
        <v>1464</v>
      </c>
      <c r="BC706" s="475">
        <v>0</v>
      </c>
      <c r="BD706" s="475">
        <v>0</v>
      </c>
      <c r="BE706" s="475">
        <v>0</v>
      </c>
      <c r="BF706" s="475">
        <v>0</v>
      </c>
      <c r="BG706" s="475">
        <v>1664</v>
      </c>
      <c r="BH706" s="476">
        <v>29466</v>
      </c>
      <c r="BI706" s="467"/>
      <c r="BJ706" s="468"/>
    </row>
    <row r="707" spans="1:62">
      <c r="A707" s="469">
        <v>45962</v>
      </c>
      <c r="B707" s="469" t="s">
        <v>747</v>
      </c>
      <c r="C707" s="508" t="s">
        <v>1424</v>
      </c>
      <c r="D707" s="470" t="s">
        <v>749</v>
      </c>
      <c r="E707" s="471">
        <v>48</v>
      </c>
      <c r="F707" s="470" t="s">
        <v>838</v>
      </c>
      <c r="G707" s="470" t="s">
        <v>751</v>
      </c>
      <c r="H707" s="470" t="s">
        <v>12</v>
      </c>
      <c r="I707" s="470" t="s">
        <v>839</v>
      </c>
      <c r="J707" s="472" t="s">
        <v>840</v>
      </c>
      <c r="K707" s="470" t="s">
        <v>841</v>
      </c>
      <c r="L707" s="470" t="s">
        <v>842</v>
      </c>
      <c r="M707" s="470" t="s">
        <v>842</v>
      </c>
      <c r="N707" s="470" t="s">
        <v>1275</v>
      </c>
      <c r="O707" s="472" t="s">
        <v>792</v>
      </c>
      <c r="P707" s="472" t="s">
        <v>738</v>
      </c>
      <c r="Q707" s="472" t="s">
        <v>758</v>
      </c>
      <c r="R707" s="472" t="s">
        <v>12</v>
      </c>
      <c r="S707" s="472" t="s">
        <v>12</v>
      </c>
      <c r="T707" s="472" t="s">
        <v>843</v>
      </c>
      <c r="U707" s="470" t="s">
        <v>844</v>
      </c>
      <c r="V707" s="470" t="s">
        <v>761</v>
      </c>
      <c r="W707" s="470" t="s">
        <v>845</v>
      </c>
      <c r="X707" s="470">
        <v>30</v>
      </c>
      <c r="Y707" s="470">
        <v>0</v>
      </c>
      <c r="Z707" s="470">
        <v>0</v>
      </c>
      <c r="AA707" s="470">
        <v>30</v>
      </c>
      <c r="AB707" s="470">
        <v>30</v>
      </c>
      <c r="AC707" s="473">
        <v>107967</v>
      </c>
      <c r="AD707" s="473">
        <v>107967</v>
      </c>
      <c r="AE707" s="473">
        <v>48585</v>
      </c>
      <c r="AF707" s="473">
        <v>19434</v>
      </c>
      <c r="AG707" s="473">
        <v>1600</v>
      </c>
      <c r="AH707" s="473">
        <v>200</v>
      </c>
      <c r="AI707" s="473">
        <v>1250</v>
      </c>
      <c r="AJ707" s="473">
        <v>4047</v>
      </c>
      <c r="AK707" s="473">
        <v>9717</v>
      </c>
      <c r="AL707" s="473">
        <v>7288</v>
      </c>
      <c r="AM707" s="473">
        <v>486</v>
      </c>
      <c r="AN707" s="473">
        <v>1700</v>
      </c>
      <c r="AO707" s="473">
        <v>972</v>
      </c>
      <c r="AP707" s="473">
        <v>243</v>
      </c>
      <c r="AQ707" s="473">
        <v>1800</v>
      </c>
      <c r="AR707" s="473">
        <v>10645</v>
      </c>
      <c r="AS707" s="473">
        <v>0</v>
      </c>
      <c r="AT707" s="473">
        <v>0</v>
      </c>
      <c r="AU707" s="473">
        <v>0</v>
      </c>
      <c r="AV707" s="473">
        <v>107967</v>
      </c>
      <c r="AW707" s="474">
        <v>107967</v>
      </c>
      <c r="AX707" s="473">
        <v>0</v>
      </c>
      <c r="AY707" s="473">
        <v>2000</v>
      </c>
      <c r="AZ707" s="475">
        <v>6054</v>
      </c>
      <c r="BA707" s="475">
        <v>200</v>
      </c>
      <c r="BB707" s="475">
        <v>1800</v>
      </c>
      <c r="BC707" s="475">
        <v>0</v>
      </c>
      <c r="BD707" s="475">
        <v>0</v>
      </c>
      <c r="BE707" s="475">
        <v>0</v>
      </c>
      <c r="BF707" s="475">
        <v>15000</v>
      </c>
      <c r="BG707" s="475">
        <v>25054</v>
      </c>
      <c r="BH707" s="476">
        <v>82913</v>
      </c>
      <c r="BI707" s="467"/>
      <c r="BJ707" s="468"/>
    </row>
    <row r="708" spans="1:62">
      <c r="A708" s="469">
        <v>45962</v>
      </c>
      <c r="B708" s="469" t="s">
        <v>747</v>
      </c>
      <c r="C708" s="508" t="s">
        <v>1424</v>
      </c>
      <c r="D708" s="470" t="s">
        <v>749</v>
      </c>
      <c r="E708" s="471">
        <v>2246</v>
      </c>
      <c r="F708" s="470" t="s">
        <v>1395</v>
      </c>
      <c r="G708" s="470" t="s">
        <v>751</v>
      </c>
      <c r="H708" s="470" t="s">
        <v>12</v>
      </c>
      <c r="I708" s="470" t="s">
        <v>1396</v>
      </c>
      <c r="J708" s="472" t="s">
        <v>1397</v>
      </c>
      <c r="K708" s="470" t="s">
        <v>1398</v>
      </c>
      <c r="L708" s="470" t="s">
        <v>1399</v>
      </c>
      <c r="M708" s="470" t="s">
        <v>1292</v>
      </c>
      <c r="N708" s="470" t="s">
        <v>756</v>
      </c>
      <c r="O708" s="472" t="s">
        <v>792</v>
      </c>
      <c r="P708" s="472" t="s">
        <v>738</v>
      </c>
      <c r="Q708" s="472" t="s">
        <v>758</v>
      </c>
      <c r="R708" s="472" t="s">
        <v>12</v>
      </c>
      <c r="S708" s="472" t="s">
        <v>12</v>
      </c>
      <c r="T708" s="472" t="s">
        <v>1400</v>
      </c>
      <c r="U708" s="470" t="s">
        <v>1401</v>
      </c>
      <c r="V708" s="470" t="s">
        <v>761</v>
      </c>
      <c r="W708" s="470" t="s">
        <v>1387</v>
      </c>
      <c r="X708" s="470">
        <v>30</v>
      </c>
      <c r="Y708" s="470">
        <v>0</v>
      </c>
      <c r="Z708" s="470">
        <v>0</v>
      </c>
      <c r="AA708" s="470">
        <v>30</v>
      </c>
      <c r="AB708" s="470">
        <v>30</v>
      </c>
      <c r="AC708" s="473">
        <v>123200</v>
      </c>
      <c r="AD708" s="473">
        <v>123200</v>
      </c>
      <c r="AE708" s="473">
        <v>55440</v>
      </c>
      <c r="AF708" s="473">
        <v>22176</v>
      </c>
      <c r="AG708" s="473">
        <v>1600</v>
      </c>
      <c r="AH708" s="473">
        <v>200</v>
      </c>
      <c r="AI708" s="473">
        <v>1250</v>
      </c>
      <c r="AJ708" s="473">
        <v>4618</v>
      </c>
      <c r="AK708" s="473">
        <v>11088</v>
      </c>
      <c r="AL708" s="473">
        <v>8316</v>
      </c>
      <c r="AM708" s="473">
        <v>554</v>
      </c>
      <c r="AN708" s="473">
        <v>1940</v>
      </c>
      <c r="AO708" s="473">
        <v>1109</v>
      </c>
      <c r="AP708" s="473">
        <v>277</v>
      </c>
      <c r="AQ708" s="473">
        <v>1800</v>
      </c>
      <c r="AR708" s="473">
        <v>12832</v>
      </c>
      <c r="AS708" s="473">
        <v>0</v>
      </c>
      <c r="AT708" s="473">
        <v>0</v>
      </c>
      <c r="AU708" s="473">
        <v>0</v>
      </c>
      <c r="AV708" s="473">
        <v>123200</v>
      </c>
      <c r="AW708" s="474">
        <v>123200</v>
      </c>
      <c r="AX708" s="473">
        <v>0</v>
      </c>
      <c r="AY708" s="473">
        <v>0</v>
      </c>
      <c r="AZ708" s="475">
        <v>0</v>
      </c>
      <c r="BA708" s="475">
        <v>200</v>
      </c>
      <c r="BB708" s="475">
        <v>1800</v>
      </c>
      <c r="BC708" s="475">
        <v>0</v>
      </c>
      <c r="BD708" s="475">
        <v>0</v>
      </c>
      <c r="BE708" s="475">
        <v>0</v>
      </c>
      <c r="BF708" s="475">
        <v>0</v>
      </c>
      <c r="BG708" s="475">
        <v>2000</v>
      </c>
      <c r="BH708" s="476">
        <v>121200</v>
      </c>
      <c r="BI708" s="467"/>
      <c r="BJ708" s="468"/>
    </row>
    <row r="709" spans="1:62">
      <c r="A709" s="469">
        <v>45962</v>
      </c>
      <c r="B709" s="469" t="s">
        <v>747</v>
      </c>
      <c r="C709" s="508" t="s">
        <v>1424</v>
      </c>
      <c r="D709" s="470" t="s">
        <v>749</v>
      </c>
      <c r="E709" s="471">
        <v>2276</v>
      </c>
      <c r="F709" s="470" t="s">
        <v>1436</v>
      </c>
      <c r="G709" s="470" t="s">
        <v>812</v>
      </c>
      <c r="H709" s="470" t="s">
        <v>12</v>
      </c>
      <c r="I709" s="470" t="s">
        <v>1426</v>
      </c>
      <c r="J709" s="472" t="s">
        <v>1437</v>
      </c>
      <c r="K709" s="470" t="s">
        <v>1438</v>
      </c>
      <c r="L709" s="470" t="s">
        <v>824</v>
      </c>
      <c r="M709" s="470" t="s">
        <v>824</v>
      </c>
      <c r="N709" s="470" t="s">
        <v>1275</v>
      </c>
      <c r="O709" s="472" t="s">
        <v>1276</v>
      </c>
      <c r="P709" s="472" t="s">
        <v>738</v>
      </c>
      <c r="Q709" s="472" t="s">
        <v>758</v>
      </c>
      <c r="R709" s="472" t="s">
        <v>12</v>
      </c>
      <c r="S709" s="472" t="s">
        <v>12</v>
      </c>
      <c r="T709" s="472" t="s">
        <v>1439</v>
      </c>
      <c r="U709" s="470" t="s">
        <v>1440</v>
      </c>
      <c r="V709" s="470" t="s">
        <v>761</v>
      </c>
      <c r="W709" s="470" t="s">
        <v>1361</v>
      </c>
      <c r="X709" s="470">
        <v>30</v>
      </c>
      <c r="Y709" s="470">
        <v>0</v>
      </c>
      <c r="Z709" s="470">
        <v>0</v>
      </c>
      <c r="AA709" s="470">
        <v>14</v>
      </c>
      <c r="AB709" s="470">
        <v>14</v>
      </c>
      <c r="AC709" s="473">
        <v>44033</v>
      </c>
      <c r="AD709" s="473">
        <v>44033</v>
      </c>
      <c r="AE709" s="473">
        <v>9247</v>
      </c>
      <c r="AF709" s="473">
        <v>3699</v>
      </c>
      <c r="AG709" s="473">
        <v>747</v>
      </c>
      <c r="AH709" s="473">
        <v>200</v>
      </c>
      <c r="AI709" s="473">
        <v>583</v>
      </c>
      <c r="AJ709" s="473">
        <v>770</v>
      </c>
      <c r="AK709" s="473">
        <v>1849</v>
      </c>
      <c r="AL709" s="473">
        <v>1387</v>
      </c>
      <c r="AM709" s="473">
        <v>92</v>
      </c>
      <c r="AN709" s="473">
        <v>324</v>
      </c>
      <c r="AO709" s="473">
        <v>185</v>
      </c>
      <c r="AP709" s="473">
        <v>46</v>
      </c>
      <c r="AQ709" s="473">
        <v>1110</v>
      </c>
      <c r="AR709" s="473">
        <v>310</v>
      </c>
      <c r="AS709" s="473">
        <v>0</v>
      </c>
      <c r="AT709" s="473">
        <v>0</v>
      </c>
      <c r="AU709" s="473">
        <v>0</v>
      </c>
      <c r="AV709" s="473">
        <v>20549</v>
      </c>
      <c r="AW709" s="474">
        <v>20549</v>
      </c>
      <c r="AX709" s="473">
        <v>0</v>
      </c>
      <c r="AY709" s="473">
        <v>0</v>
      </c>
      <c r="AZ709" s="475">
        <v>0</v>
      </c>
      <c r="BA709" s="475">
        <v>175</v>
      </c>
      <c r="BB709" s="475">
        <v>1110</v>
      </c>
      <c r="BC709" s="475">
        <v>0</v>
      </c>
      <c r="BD709" s="475">
        <v>0</v>
      </c>
      <c r="BE709" s="475">
        <v>0</v>
      </c>
      <c r="BF709" s="475">
        <v>0</v>
      </c>
      <c r="BG709" s="475">
        <v>1285</v>
      </c>
      <c r="BH709" s="476">
        <v>19264</v>
      </c>
      <c r="BI709" s="467"/>
      <c r="BJ709" s="468"/>
    </row>
    <row r="710" spans="1:62">
      <c r="A710" s="469">
        <v>45962</v>
      </c>
      <c r="B710" s="469" t="s">
        <v>747</v>
      </c>
      <c r="C710" s="508" t="s">
        <v>1424</v>
      </c>
      <c r="D710" s="470" t="s">
        <v>749</v>
      </c>
      <c r="E710" s="471">
        <v>2017</v>
      </c>
      <c r="F710" s="470" t="s">
        <v>846</v>
      </c>
      <c r="G710" s="470" t="s">
        <v>751</v>
      </c>
      <c r="H710" s="470" t="s">
        <v>12</v>
      </c>
      <c r="I710" s="470" t="s">
        <v>847</v>
      </c>
      <c r="J710" s="472" t="s">
        <v>848</v>
      </c>
      <c r="K710" s="470" t="s">
        <v>849</v>
      </c>
      <c r="L710" s="470" t="s">
        <v>824</v>
      </c>
      <c r="M710" s="470" t="s">
        <v>824</v>
      </c>
      <c r="N710" s="470" t="s">
        <v>1275</v>
      </c>
      <c r="O710" s="472" t="s">
        <v>1276</v>
      </c>
      <c r="P710" s="472" t="s">
        <v>738</v>
      </c>
      <c r="Q710" s="472" t="s">
        <v>758</v>
      </c>
      <c r="R710" s="472" t="s">
        <v>12</v>
      </c>
      <c r="S710" s="472" t="s">
        <v>12</v>
      </c>
      <c r="T710" s="472" t="s">
        <v>850</v>
      </c>
      <c r="U710" s="470" t="s">
        <v>851</v>
      </c>
      <c r="V710" s="470" t="s">
        <v>761</v>
      </c>
      <c r="W710" s="470" t="s">
        <v>762</v>
      </c>
      <c r="X710" s="470">
        <v>30</v>
      </c>
      <c r="Y710" s="470">
        <v>0</v>
      </c>
      <c r="Z710" s="470">
        <v>0</v>
      </c>
      <c r="AA710" s="470">
        <v>30</v>
      </c>
      <c r="AB710" s="470">
        <v>30</v>
      </c>
      <c r="AC710" s="473">
        <v>56533</v>
      </c>
      <c r="AD710" s="473">
        <v>56533</v>
      </c>
      <c r="AE710" s="473">
        <v>25440</v>
      </c>
      <c r="AF710" s="473">
        <v>10176</v>
      </c>
      <c r="AG710" s="473">
        <v>1600</v>
      </c>
      <c r="AH710" s="473">
        <v>200</v>
      </c>
      <c r="AI710" s="473">
        <v>1250</v>
      </c>
      <c r="AJ710" s="473">
        <v>2119</v>
      </c>
      <c r="AK710" s="473">
        <v>5088</v>
      </c>
      <c r="AL710" s="473">
        <v>3816</v>
      </c>
      <c r="AM710" s="473">
        <v>254</v>
      </c>
      <c r="AN710" s="473">
        <v>890</v>
      </c>
      <c r="AO710" s="473">
        <v>509</v>
      </c>
      <c r="AP710" s="473">
        <v>127</v>
      </c>
      <c r="AQ710" s="473">
        <v>1800</v>
      </c>
      <c r="AR710" s="473">
        <v>3264</v>
      </c>
      <c r="AS710" s="473">
        <v>0</v>
      </c>
      <c r="AT710" s="473">
        <v>0</v>
      </c>
      <c r="AU710" s="473">
        <v>118</v>
      </c>
      <c r="AV710" s="473">
        <v>56651</v>
      </c>
      <c r="AW710" s="474">
        <v>56533</v>
      </c>
      <c r="AX710" s="473">
        <v>0</v>
      </c>
      <c r="AY710" s="473">
        <v>0</v>
      </c>
      <c r="AZ710" s="475">
        <v>0</v>
      </c>
      <c r="BA710" s="475">
        <v>200</v>
      </c>
      <c r="BB710" s="475">
        <v>1800</v>
      </c>
      <c r="BC710" s="475">
        <v>0</v>
      </c>
      <c r="BD710" s="475">
        <v>0</v>
      </c>
      <c r="BE710" s="475">
        <v>0</v>
      </c>
      <c r="BF710" s="475">
        <v>0</v>
      </c>
      <c r="BG710" s="475">
        <v>2000</v>
      </c>
      <c r="BH710" s="476">
        <v>54651</v>
      </c>
      <c r="BI710" s="467"/>
      <c r="BJ710" s="468"/>
    </row>
    <row r="711" spans="1:62">
      <c r="A711" s="469">
        <v>45962</v>
      </c>
      <c r="B711" s="469" t="s">
        <v>747</v>
      </c>
      <c r="C711" s="508" t="s">
        <v>1424</v>
      </c>
      <c r="D711" s="470" t="s">
        <v>749</v>
      </c>
      <c r="E711" s="471">
        <v>1914</v>
      </c>
      <c r="F711" s="470" t="s">
        <v>852</v>
      </c>
      <c r="G711" s="470" t="s">
        <v>751</v>
      </c>
      <c r="H711" s="470" t="s">
        <v>12</v>
      </c>
      <c r="I711" s="470" t="s">
        <v>853</v>
      </c>
      <c r="J711" s="472" t="s">
        <v>854</v>
      </c>
      <c r="K711" s="470" t="s">
        <v>855</v>
      </c>
      <c r="L711" s="470" t="s">
        <v>856</v>
      </c>
      <c r="M711" s="470" t="s">
        <v>856</v>
      </c>
      <c r="N711" s="470" t="s">
        <v>756</v>
      </c>
      <c r="O711" s="472" t="s">
        <v>757</v>
      </c>
      <c r="P711" s="472" t="s">
        <v>738</v>
      </c>
      <c r="Q711" s="472" t="s">
        <v>758</v>
      </c>
      <c r="R711" s="472" t="s">
        <v>12</v>
      </c>
      <c r="S711" s="472" t="s">
        <v>12</v>
      </c>
      <c r="T711" s="472" t="s">
        <v>857</v>
      </c>
      <c r="U711" s="470" t="s">
        <v>858</v>
      </c>
      <c r="V711" s="470" t="s">
        <v>761</v>
      </c>
      <c r="W711" s="470" t="s">
        <v>859</v>
      </c>
      <c r="X711" s="470">
        <v>30</v>
      </c>
      <c r="Y711" s="470">
        <v>0</v>
      </c>
      <c r="Z711" s="470">
        <v>0</v>
      </c>
      <c r="AA711" s="470">
        <v>30</v>
      </c>
      <c r="AB711" s="470">
        <v>30</v>
      </c>
      <c r="AC711" s="473">
        <v>74033</v>
      </c>
      <c r="AD711" s="473">
        <v>74033</v>
      </c>
      <c r="AE711" s="473">
        <v>33315</v>
      </c>
      <c r="AF711" s="473">
        <v>13326</v>
      </c>
      <c r="AG711" s="473">
        <v>1600</v>
      </c>
      <c r="AH711" s="473">
        <v>200</v>
      </c>
      <c r="AI711" s="473">
        <v>1250</v>
      </c>
      <c r="AJ711" s="473">
        <v>2775</v>
      </c>
      <c r="AK711" s="473">
        <v>6663</v>
      </c>
      <c r="AL711" s="473">
        <v>4997</v>
      </c>
      <c r="AM711" s="473">
        <v>333</v>
      </c>
      <c r="AN711" s="473">
        <v>1166</v>
      </c>
      <c r="AO711" s="473">
        <v>666</v>
      </c>
      <c r="AP711" s="473">
        <v>167</v>
      </c>
      <c r="AQ711" s="473">
        <v>1800</v>
      </c>
      <c r="AR711" s="473">
        <v>5775</v>
      </c>
      <c r="AS711" s="473">
        <v>0</v>
      </c>
      <c r="AT711" s="473">
        <v>0</v>
      </c>
      <c r="AU711" s="473">
        <v>1980</v>
      </c>
      <c r="AV711" s="473">
        <v>76013</v>
      </c>
      <c r="AW711" s="474">
        <v>74033</v>
      </c>
      <c r="AX711" s="473">
        <v>0</v>
      </c>
      <c r="AY711" s="473">
        <v>0</v>
      </c>
      <c r="AZ711" s="475">
        <v>0</v>
      </c>
      <c r="BA711" s="475">
        <v>200</v>
      </c>
      <c r="BB711" s="475">
        <v>1800</v>
      </c>
      <c r="BC711" s="475">
        <v>0</v>
      </c>
      <c r="BD711" s="475">
        <v>0</v>
      </c>
      <c r="BE711" s="475">
        <v>0</v>
      </c>
      <c r="BF711" s="475">
        <v>0</v>
      </c>
      <c r="BG711" s="475">
        <v>2000</v>
      </c>
      <c r="BH711" s="476">
        <v>74013</v>
      </c>
      <c r="BI711" s="467"/>
      <c r="BJ711" s="468"/>
    </row>
    <row r="712" spans="1:62">
      <c r="A712" s="469">
        <v>45962</v>
      </c>
      <c r="B712" s="469" t="s">
        <v>747</v>
      </c>
      <c r="C712" s="508" t="s">
        <v>1424</v>
      </c>
      <c r="D712" s="470" t="s">
        <v>749</v>
      </c>
      <c r="E712" s="471">
        <v>2186</v>
      </c>
      <c r="F712" s="470" t="s">
        <v>1277</v>
      </c>
      <c r="G712" s="470" t="s">
        <v>751</v>
      </c>
      <c r="H712" s="470" t="s">
        <v>12</v>
      </c>
      <c r="I712" s="470" t="s">
        <v>1278</v>
      </c>
      <c r="J712" s="472" t="s">
        <v>1279</v>
      </c>
      <c r="K712" s="470" t="s">
        <v>1280</v>
      </c>
      <c r="L712" s="470" t="s">
        <v>980</v>
      </c>
      <c r="M712" s="470" t="s">
        <v>980</v>
      </c>
      <c r="N712" s="470" t="s">
        <v>1275</v>
      </c>
      <c r="O712" s="472" t="s">
        <v>757</v>
      </c>
      <c r="P712" s="472" t="s">
        <v>738</v>
      </c>
      <c r="Q712" s="472" t="s">
        <v>758</v>
      </c>
      <c r="R712" s="472" t="s">
        <v>12</v>
      </c>
      <c r="S712" s="472" t="s">
        <v>12</v>
      </c>
      <c r="T712" s="472" t="s">
        <v>1281</v>
      </c>
      <c r="U712" s="470" t="s">
        <v>1282</v>
      </c>
      <c r="V712" s="470" t="s">
        <v>761</v>
      </c>
      <c r="W712" s="470" t="s">
        <v>762</v>
      </c>
      <c r="X712" s="470">
        <v>30</v>
      </c>
      <c r="Y712" s="470">
        <v>0</v>
      </c>
      <c r="Z712" s="470">
        <v>3</v>
      </c>
      <c r="AA712" s="470">
        <v>27</v>
      </c>
      <c r="AB712" s="470">
        <v>27</v>
      </c>
      <c r="AC712" s="473">
        <v>63200</v>
      </c>
      <c r="AD712" s="473">
        <v>63200</v>
      </c>
      <c r="AE712" s="473">
        <v>25596</v>
      </c>
      <c r="AF712" s="473">
        <v>10238</v>
      </c>
      <c r="AG712" s="473">
        <v>1440</v>
      </c>
      <c r="AH712" s="473">
        <v>180</v>
      </c>
      <c r="AI712" s="473">
        <v>1125</v>
      </c>
      <c r="AJ712" s="473">
        <v>2132</v>
      </c>
      <c r="AK712" s="473">
        <v>5119</v>
      </c>
      <c r="AL712" s="473">
        <v>3839</v>
      </c>
      <c r="AM712" s="473">
        <v>256</v>
      </c>
      <c r="AN712" s="473">
        <v>896</v>
      </c>
      <c r="AO712" s="473">
        <v>512</v>
      </c>
      <c r="AP712" s="473">
        <v>128</v>
      </c>
      <c r="AQ712" s="473">
        <v>1800</v>
      </c>
      <c r="AR712" s="473">
        <v>3619</v>
      </c>
      <c r="AS712" s="473">
        <v>0</v>
      </c>
      <c r="AT712" s="473">
        <v>0</v>
      </c>
      <c r="AU712" s="473">
        <v>0</v>
      </c>
      <c r="AV712" s="473">
        <v>56880</v>
      </c>
      <c r="AW712" s="474">
        <v>56880</v>
      </c>
      <c r="AX712" s="473">
        <v>0</v>
      </c>
      <c r="AY712" s="473">
        <v>0</v>
      </c>
      <c r="AZ712" s="475">
        <v>0</v>
      </c>
      <c r="BA712" s="475">
        <v>200</v>
      </c>
      <c r="BB712" s="475">
        <v>1800</v>
      </c>
      <c r="BC712" s="475">
        <v>0</v>
      </c>
      <c r="BD712" s="475">
        <v>0</v>
      </c>
      <c r="BE712" s="475">
        <v>0</v>
      </c>
      <c r="BF712" s="475">
        <v>0</v>
      </c>
      <c r="BG712" s="475">
        <v>2000</v>
      </c>
      <c r="BH712" s="476">
        <v>54880</v>
      </c>
      <c r="BI712" s="467"/>
      <c r="BJ712" s="468"/>
    </row>
    <row r="713" spans="1:62">
      <c r="A713" s="469">
        <v>45962</v>
      </c>
      <c r="B713" s="469" t="s">
        <v>747</v>
      </c>
      <c r="C713" s="508" t="s">
        <v>1424</v>
      </c>
      <c r="D713" s="470" t="s">
        <v>749</v>
      </c>
      <c r="E713" s="471">
        <v>1209</v>
      </c>
      <c r="F713" s="470" t="s">
        <v>868</v>
      </c>
      <c r="G713" s="470" t="s">
        <v>751</v>
      </c>
      <c r="H713" s="470" t="s">
        <v>12</v>
      </c>
      <c r="I713" s="470" t="s">
        <v>869</v>
      </c>
      <c r="J713" s="472" t="s">
        <v>870</v>
      </c>
      <c r="K713" s="470" t="s">
        <v>871</v>
      </c>
      <c r="L713" s="470" t="s">
        <v>873</v>
      </c>
      <c r="M713" s="470" t="s">
        <v>873</v>
      </c>
      <c r="N713" s="470" t="s">
        <v>833</v>
      </c>
      <c r="O713" s="472" t="s">
        <v>757</v>
      </c>
      <c r="P713" s="472" t="s">
        <v>738</v>
      </c>
      <c r="Q713" s="472" t="s">
        <v>758</v>
      </c>
      <c r="R713" s="472" t="s">
        <v>12</v>
      </c>
      <c r="S713" s="472" t="s">
        <v>12</v>
      </c>
      <c r="T713" s="472" t="s">
        <v>874</v>
      </c>
      <c r="U713" s="470" t="s">
        <v>875</v>
      </c>
      <c r="V713" s="470" t="s">
        <v>761</v>
      </c>
      <c r="W713" s="470" t="s">
        <v>876</v>
      </c>
      <c r="X713" s="470">
        <v>30</v>
      </c>
      <c r="Y713" s="470">
        <v>0</v>
      </c>
      <c r="Z713" s="470">
        <v>0</v>
      </c>
      <c r="AA713" s="470">
        <v>30</v>
      </c>
      <c r="AB713" s="470">
        <v>30</v>
      </c>
      <c r="AC713" s="473">
        <v>83333</v>
      </c>
      <c r="AD713" s="473">
        <v>83333</v>
      </c>
      <c r="AE713" s="473">
        <v>37500</v>
      </c>
      <c r="AF713" s="473">
        <v>15000</v>
      </c>
      <c r="AG713" s="473">
        <v>1600</v>
      </c>
      <c r="AH713" s="473">
        <v>200</v>
      </c>
      <c r="AI713" s="473">
        <v>1250</v>
      </c>
      <c r="AJ713" s="473">
        <v>3124</v>
      </c>
      <c r="AK713" s="473">
        <v>7500</v>
      </c>
      <c r="AL713" s="473">
        <v>5625</v>
      </c>
      <c r="AM713" s="473">
        <v>375</v>
      </c>
      <c r="AN713" s="473">
        <v>1313</v>
      </c>
      <c r="AO713" s="473">
        <v>750</v>
      </c>
      <c r="AP713" s="473">
        <v>188</v>
      </c>
      <c r="AQ713" s="473">
        <v>1800</v>
      </c>
      <c r="AR713" s="473">
        <v>7108</v>
      </c>
      <c r="AS713" s="473">
        <v>0</v>
      </c>
      <c r="AT713" s="473">
        <v>0</v>
      </c>
      <c r="AU713" s="473">
        <v>20564</v>
      </c>
      <c r="AV713" s="473">
        <v>103897</v>
      </c>
      <c r="AW713" s="474">
        <v>83333</v>
      </c>
      <c r="AX713" s="473">
        <v>0</v>
      </c>
      <c r="AY713" s="473">
        <v>160</v>
      </c>
      <c r="AZ713" s="475">
        <v>0</v>
      </c>
      <c r="BA713" s="475">
        <v>200</v>
      </c>
      <c r="BB713" s="475">
        <v>1800</v>
      </c>
      <c r="BC713" s="475">
        <v>0</v>
      </c>
      <c r="BD713" s="475">
        <v>0</v>
      </c>
      <c r="BE713" s="475">
        <v>0</v>
      </c>
      <c r="BF713" s="475">
        <v>0</v>
      </c>
      <c r="BG713" s="475">
        <v>2160</v>
      </c>
      <c r="BH713" s="476">
        <v>101737</v>
      </c>
      <c r="BI713" s="467"/>
      <c r="BJ713" s="468"/>
    </row>
    <row r="714" spans="1:62">
      <c r="A714" s="469">
        <v>45962</v>
      </c>
      <c r="B714" s="469" t="s">
        <v>747</v>
      </c>
      <c r="C714" s="508" t="s">
        <v>1424</v>
      </c>
      <c r="D714" s="470" t="s">
        <v>749</v>
      </c>
      <c r="E714" s="471">
        <v>1517</v>
      </c>
      <c r="F714" s="470" t="s">
        <v>877</v>
      </c>
      <c r="G714" s="470" t="s">
        <v>751</v>
      </c>
      <c r="H714" s="470" t="s">
        <v>12</v>
      </c>
      <c r="I714" s="470" t="s">
        <v>878</v>
      </c>
      <c r="J714" s="472" t="s">
        <v>879</v>
      </c>
      <c r="K714" s="470" t="s">
        <v>880</v>
      </c>
      <c r="L714" s="470" t="s">
        <v>881</v>
      </c>
      <c r="M714" s="470" t="s">
        <v>881</v>
      </c>
      <c r="N714" s="470" t="s">
        <v>833</v>
      </c>
      <c r="O714" s="472" t="s">
        <v>757</v>
      </c>
      <c r="P714" s="472" t="s">
        <v>738</v>
      </c>
      <c r="Q714" s="472" t="s">
        <v>758</v>
      </c>
      <c r="R714" s="472" t="s">
        <v>12</v>
      </c>
      <c r="S714" s="472" t="s">
        <v>12</v>
      </c>
      <c r="T714" s="472" t="s">
        <v>882</v>
      </c>
      <c r="U714" s="470" t="s">
        <v>883</v>
      </c>
      <c r="V714" s="470" t="s">
        <v>761</v>
      </c>
      <c r="W714" s="470" t="s">
        <v>859</v>
      </c>
      <c r="X714" s="470">
        <v>30</v>
      </c>
      <c r="Y714" s="470">
        <v>0</v>
      </c>
      <c r="Z714" s="470">
        <v>0.5</v>
      </c>
      <c r="AA714" s="470">
        <v>29.5</v>
      </c>
      <c r="AB714" s="470">
        <v>29.5</v>
      </c>
      <c r="AC714" s="473">
        <v>47190</v>
      </c>
      <c r="AD714" s="473">
        <v>47190</v>
      </c>
      <c r="AE714" s="473">
        <v>20882</v>
      </c>
      <c r="AF714" s="473">
        <v>8353</v>
      </c>
      <c r="AG714" s="473">
        <v>1573</v>
      </c>
      <c r="AH714" s="473">
        <v>197</v>
      </c>
      <c r="AI714" s="473">
        <v>1229</v>
      </c>
      <c r="AJ714" s="473">
        <v>1739</v>
      </c>
      <c r="AK714" s="473">
        <v>4176</v>
      </c>
      <c r="AL714" s="473">
        <v>3132</v>
      </c>
      <c r="AM714" s="473">
        <v>209</v>
      </c>
      <c r="AN714" s="473">
        <v>731</v>
      </c>
      <c r="AO714" s="473">
        <v>418</v>
      </c>
      <c r="AP714" s="473">
        <v>104</v>
      </c>
      <c r="AQ714" s="473">
        <v>1800</v>
      </c>
      <c r="AR714" s="473">
        <v>1861</v>
      </c>
      <c r="AS714" s="473">
        <v>0</v>
      </c>
      <c r="AT714" s="473">
        <v>0</v>
      </c>
      <c r="AU714" s="473">
        <v>0</v>
      </c>
      <c r="AV714" s="473">
        <v>46404</v>
      </c>
      <c r="AW714" s="474">
        <v>46404</v>
      </c>
      <c r="AX714" s="473">
        <v>0</v>
      </c>
      <c r="AY714" s="473">
        <v>0</v>
      </c>
      <c r="AZ714" s="475">
        <v>0</v>
      </c>
      <c r="BA714" s="475">
        <v>200</v>
      </c>
      <c r="BB714" s="475">
        <v>1800</v>
      </c>
      <c r="BC714" s="475">
        <v>0</v>
      </c>
      <c r="BD714" s="475">
        <v>0</v>
      </c>
      <c r="BE714" s="475">
        <v>0</v>
      </c>
      <c r="BF714" s="475">
        <v>0</v>
      </c>
      <c r="BG714" s="475">
        <v>2000</v>
      </c>
      <c r="BH714" s="476">
        <v>44404</v>
      </c>
      <c r="BI714" s="467"/>
      <c r="BJ714" s="468"/>
    </row>
    <row r="715" spans="1:62">
      <c r="A715" s="469">
        <v>45962</v>
      </c>
      <c r="B715" s="469" t="s">
        <v>747</v>
      </c>
      <c r="C715" s="508" t="s">
        <v>1424</v>
      </c>
      <c r="D715" s="470" t="s">
        <v>749</v>
      </c>
      <c r="E715" s="471">
        <v>1202</v>
      </c>
      <c r="F715" s="470" t="s">
        <v>884</v>
      </c>
      <c r="G715" s="470" t="s">
        <v>751</v>
      </c>
      <c r="H715" s="470" t="s">
        <v>12</v>
      </c>
      <c r="I715" s="470" t="s">
        <v>885</v>
      </c>
      <c r="J715" s="472" t="s">
        <v>886</v>
      </c>
      <c r="K715" s="470" t="s">
        <v>887</v>
      </c>
      <c r="L715" s="470" t="s">
        <v>1346</v>
      </c>
      <c r="M715" s="470" t="s">
        <v>1346</v>
      </c>
      <c r="N715" s="470" t="s">
        <v>1275</v>
      </c>
      <c r="O715" s="472" t="s">
        <v>757</v>
      </c>
      <c r="P715" s="472" t="s">
        <v>738</v>
      </c>
      <c r="Q715" s="472" t="s">
        <v>758</v>
      </c>
      <c r="R715" s="472" t="s">
        <v>12</v>
      </c>
      <c r="S715" s="472" t="s">
        <v>12</v>
      </c>
      <c r="T715" s="472" t="s">
        <v>888</v>
      </c>
      <c r="U715" s="470" t="s">
        <v>889</v>
      </c>
      <c r="V715" s="470" t="s">
        <v>761</v>
      </c>
      <c r="W715" s="470" t="s">
        <v>762</v>
      </c>
      <c r="X715" s="470">
        <v>30</v>
      </c>
      <c r="Y715" s="470">
        <v>0</v>
      </c>
      <c r="Z715" s="470">
        <v>0</v>
      </c>
      <c r="AA715" s="470">
        <v>30</v>
      </c>
      <c r="AB715" s="470">
        <v>30</v>
      </c>
      <c r="AC715" s="473">
        <v>98333</v>
      </c>
      <c r="AD715" s="473">
        <v>98333</v>
      </c>
      <c r="AE715" s="473">
        <v>44250</v>
      </c>
      <c r="AF715" s="473">
        <v>17700</v>
      </c>
      <c r="AG715" s="473">
        <v>1600</v>
      </c>
      <c r="AH715" s="473">
        <v>200</v>
      </c>
      <c r="AI715" s="473">
        <v>1250</v>
      </c>
      <c r="AJ715" s="473">
        <v>3686</v>
      </c>
      <c r="AK715" s="473">
        <v>8850</v>
      </c>
      <c r="AL715" s="473">
        <v>6638</v>
      </c>
      <c r="AM715" s="473">
        <v>443</v>
      </c>
      <c r="AN715" s="473">
        <v>1549</v>
      </c>
      <c r="AO715" s="473">
        <v>885</v>
      </c>
      <c r="AP715" s="473">
        <v>221</v>
      </c>
      <c r="AQ715" s="473">
        <v>1800</v>
      </c>
      <c r="AR715" s="473">
        <v>9261</v>
      </c>
      <c r="AS715" s="473">
        <v>0</v>
      </c>
      <c r="AT715" s="473">
        <v>0</v>
      </c>
      <c r="AU715" s="473">
        <v>2959</v>
      </c>
      <c r="AV715" s="473">
        <v>101292</v>
      </c>
      <c r="AW715" s="474">
        <v>98333</v>
      </c>
      <c r="AX715" s="473">
        <v>0</v>
      </c>
      <c r="AY715" s="473">
        <v>0</v>
      </c>
      <c r="AZ715" s="475">
        <v>1807</v>
      </c>
      <c r="BA715" s="475">
        <v>200</v>
      </c>
      <c r="BB715" s="475">
        <v>1800</v>
      </c>
      <c r="BC715" s="475">
        <v>0</v>
      </c>
      <c r="BD715" s="475">
        <v>0</v>
      </c>
      <c r="BE715" s="475">
        <v>0</v>
      </c>
      <c r="BF715" s="475">
        <v>0</v>
      </c>
      <c r="BG715" s="475">
        <v>3807</v>
      </c>
      <c r="BH715" s="476">
        <v>97485</v>
      </c>
      <c r="BI715" s="467"/>
      <c r="BJ715" s="468"/>
    </row>
    <row r="716" spans="1:62">
      <c r="A716" s="469">
        <v>45962</v>
      </c>
      <c r="B716" s="469" t="s">
        <v>747</v>
      </c>
      <c r="C716" s="508" t="s">
        <v>1424</v>
      </c>
      <c r="D716" s="470" t="s">
        <v>749</v>
      </c>
      <c r="E716" s="471">
        <v>2234</v>
      </c>
      <c r="F716" s="470" t="s">
        <v>1347</v>
      </c>
      <c r="G716" s="470" t="s">
        <v>751</v>
      </c>
      <c r="H716" s="470" t="s">
        <v>12</v>
      </c>
      <c r="I716" s="470" t="s">
        <v>1348</v>
      </c>
      <c r="J716" s="472" t="s">
        <v>1349</v>
      </c>
      <c r="K716" s="470" t="s">
        <v>1350</v>
      </c>
      <c r="L716" s="470" t="s">
        <v>1351</v>
      </c>
      <c r="M716" s="470" t="s">
        <v>1351</v>
      </c>
      <c r="N716" s="470" t="s">
        <v>833</v>
      </c>
      <c r="O716" s="472" t="s">
        <v>757</v>
      </c>
      <c r="P716" s="472" t="s">
        <v>738</v>
      </c>
      <c r="Q716" s="472" t="s">
        <v>758</v>
      </c>
      <c r="R716" s="472" t="s">
        <v>12</v>
      </c>
      <c r="S716" s="472" t="s">
        <v>12</v>
      </c>
      <c r="T716" s="472" t="s">
        <v>1352</v>
      </c>
      <c r="U716" s="470" t="s">
        <v>1353</v>
      </c>
      <c r="V716" s="470" t="s">
        <v>761</v>
      </c>
      <c r="W716" s="470" t="s">
        <v>1354</v>
      </c>
      <c r="X716" s="470">
        <v>30</v>
      </c>
      <c r="Y716" s="470">
        <v>0</v>
      </c>
      <c r="Z716" s="470">
        <v>0.5</v>
      </c>
      <c r="AA716" s="470">
        <v>29.5</v>
      </c>
      <c r="AB716" s="470">
        <v>29.5</v>
      </c>
      <c r="AC716" s="473">
        <v>52200</v>
      </c>
      <c r="AD716" s="473">
        <v>52200</v>
      </c>
      <c r="AE716" s="473">
        <v>23099</v>
      </c>
      <c r="AF716" s="473">
        <v>9240</v>
      </c>
      <c r="AG716" s="473">
        <v>1573</v>
      </c>
      <c r="AH716" s="473">
        <v>197</v>
      </c>
      <c r="AI716" s="473">
        <v>1229</v>
      </c>
      <c r="AJ716" s="473">
        <v>1924</v>
      </c>
      <c r="AK716" s="473">
        <v>4620</v>
      </c>
      <c r="AL716" s="473">
        <v>3465</v>
      </c>
      <c r="AM716" s="473">
        <v>231</v>
      </c>
      <c r="AN716" s="473">
        <v>808</v>
      </c>
      <c r="AO716" s="473">
        <v>462</v>
      </c>
      <c r="AP716" s="473">
        <v>116</v>
      </c>
      <c r="AQ716" s="473">
        <v>1800</v>
      </c>
      <c r="AR716" s="473">
        <v>2566</v>
      </c>
      <c r="AS716" s="473">
        <v>0</v>
      </c>
      <c r="AT716" s="473">
        <v>0</v>
      </c>
      <c r="AU716" s="473">
        <v>0</v>
      </c>
      <c r="AV716" s="473">
        <v>51330</v>
      </c>
      <c r="AW716" s="474">
        <v>51330</v>
      </c>
      <c r="AX716" s="473">
        <v>0</v>
      </c>
      <c r="AY716" s="473">
        <v>0</v>
      </c>
      <c r="AZ716" s="475">
        <v>0</v>
      </c>
      <c r="BA716" s="475">
        <v>200</v>
      </c>
      <c r="BB716" s="475">
        <v>1800</v>
      </c>
      <c r="BC716" s="475">
        <v>0</v>
      </c>
      <c r="BD716" s="475">
        <v>0</v>
      </c>
      <c r="BE716" s="475">
        <v>0</v>
      </c>
      <c r="BF716" s="475">
        <v>0</v>
      </c>
      <c r="BG716" s="475">
        <v>2000</v>
      </c>
      <c r="BH716" s="476">
        <v>49330</v>
      </c>
      <c r="BI716" s="467"/>
      <c r="BJ716" s="468"/>
    </row>
    <row r="717" spans="1:62">
      <c r="A717" s="469">
        <v>45962</v>
      </c>
      <c r="B717" s="469" t="s">
        <v>747</v>
      </c>
      <c r="C717" s="508" t="s">
        <v>1424</v>
      </c>
      <c r="D717" s="470" t="s">
        <v>749</v>
      </c>
      <c r="E717" s="471">
        <v>2273</v>
      </c>
      <c r="F717" s="470" t="s">
        <v>1441</v>
      </c>
      <c r="G717" s="470" t="s">
        <v>751</v>
      </c>
      <c r="H717" s="470" t="s">
        <v>12</v>
      </c>
      <c r="I717" s="470" t="s">
        <v>1426</v>
      </c>
      <c r="J717" s="472" t="s">
        <v>1442</v>
      </c>
      <c r="K717" s="470" t="s">
        <v>1443</v>
      </c>
      <c r="L717" s="470" t="s">
        <v>824</v>
      </c>
      <c r="M717" s="470" t="s">
        <v>824</v>
      </c>
      <c r="N717" s="470" t="s">
        <v>1275</v>
      </c>
      <c r="O717" s="472" t="s">
        <v>1276</v>
      </c>
      <c r="P717" s="472" t="s">
        <v>738</v>
      </c>
      <c r="Q717" s="472" t="s">
        <v>758</v>
      </c>
      <c r="R717" s="472" t="s">
        <v>12</v>
      </c>
      <c r="S717" s="472" t="s">
        <v>12</v>
      </c>
      <c r="T717" s="472" t="s">
        <v>1444</v>
      </c>
      <c r="U717" s="470" t="s">
        <v>1445</v>
      </c>
      <c r="V717" s="470" t="s">
        <v>761</v>
      </c>
      <c r="W717" s="470" t="s">
        <v>1361</v>
      </c>
      <c r="X717" s="470">
        <v>30</v>
      </c>
      <c r="Y717" s="470">
        <v>0</v>
      </c>
      <c r="Z717" s="470">
        <v>0</v>
      </c>
      <c r="AA717" s="470">
        <v>14</v>
      </c>
      <c r="AB717" s="470">
        <v>14</v>
      </c>
      <c r="AC717" s="473">
        <v>44033</v>
      </c>
      <c r="AD717" s="473">
        <v>44033</v>
      </c>
      <c r="AE717" s="473">
        <v>9247</v>
      </c>
      <c r="AF717" s="473">
        <v>3699</v>
      </c>
      <c r="AG717" s="473">
        <v>747</v>
      </c>
      <c r="AH717" s="473">
        <v>200</v>
      </c>
      <c r="AI717" s="473">
        <v>583</v>
      </c>
      <c r="AJ717" s="473">
        <v>770</v>
      </c>
      <c r="AK717" s="473">
        <v>1849</v>
      </c>
      <c r="AL717" s="473">
        <v>1387</v>
      </c>
      <c r="AM717" s="473">
        <v>92</v>
      </c>
      <c r="AN717" s="473">
        <v>324</v>
      </c>
      <c r="AO717" s="473">
        <v>185</v>
      </c>
      <c r="AP717" s="473">
        <v>46</v>
      </c>
      <c r="AQ717" s="473">
        <v>1110</v>
      </c>
      <c r="AR717" s="473">
        <v>310</v>
      </c>
      <c r="AS717" s="473">
        <v>0</v>
      </c>
      <c r="AT717" s="473">
        <v>0</v>
      </c>
      <c r="AU717" s="473">
        <v>0</v>
      </c>
      <c r="AV717" s="473">
        <v>20549</v>
      </c>
      <c r="AW717" s="474">
        <v>20549</v>
      </c>
      <c r="AX717" s="473">
        <v>0</v>
      </c>
      <c r="AY717" s="473">
        <v>0</v>
      </c>
      <c r="AZ717" s="475">
        <v>0</v>
      </c>
      <c r="BA717" s="475">
        <v>200</v>
      </c>
      <c r="BB717" s="475">
        <v>1110</v>
      </c>
      <c r="BC717" s="475">
        <v>0</v>
      </c>
      <c r="BD717" s="475">
        <v>0</v>
      </c>
      <c r="BE717" s="475">
        <v>0</v>
      </c>
      <c r="BF717" s="475">
        <v>0</v>
      </c>
      <c r="BG717" s="475">
        <v>1310</v>
      </c>
      <c r="BH717" s="476">
        <v>19239</v>
      </c>
      <c r="BI717" s="467"/>
      <c r="BJ717" s="468"/>
    </row>
    <row r="718" spans="1:62">
      <c r="A718" s="469">
        <v>45962</v>
      </c>
      <c r="B718" s="469" t="s">
        <v>747</v>
      </c>
      <c r="C718" s="508" t="s">
        <v>1424</v>
      </c>
      <c r="D718" s="470" t="s">
        <v>749</v>
      </c>
      <c r="E718" s="471">
        <v>748</v>
      </c>
      <c r="F718" s="470" t="s">
        <v>899</v>
      </c>
      <c r="G718" s="470" t="s">
        <v>751</v>
      </c>
      <c r="H718" s="470" t="s">
        <v>12</v>
      </c>
      <c r="I718" s="470" t="s">
        <v>900</v>
      </c>
      <c r="J718" s="472" t="s">
        <v>901</v>
      </c>
      <c r="K718" s="470" t="s">
        <v>902</v>
      </c>
      <c r="L718" s="470" t="s">
        <v>1283</v>
      </c>
      <c r="M718" s="470" t="s">
        <v>1284</v>
      </c>
      <c r="N718" s="470" t="s">
        <v>904</v>
      </c>
      <c r="O718" s="472" t="s">
        <v>757</v>
      </c>
      <c r="P718" s="472" t="s">
        <v>738</v>
      </c>
      <c r="Q718" s="472" t="s">
        <v>758</v>
      </c>
      <c r="R718" s="472" t="s">
        <v>12</v>
      </c>
      <c r="S718" s="472" t="s">
        <v>12</v>
      </c>
      <c r="T718" s="472" t="s">
        <v>905</v>
      </c>
      <c r="U718" s="470" t="s">
        <v>906</v>
      </c>
      <c r="V718" s="470" t="s">
        <v>761</v>
      </c>
      <c r="W718" s="470" t="s">
        <v>907</v>
      </c>
      <c r="X718" s="470">
        <v>30</v>
      </c>
      <c r="Y718" s="470">
        <v>0</v>
      </c>
      <c r="Z718" s="470">
        <v>0</v>
      </c>
      <c r="AA718" s="470">
        <v>30</v>
      </c>
      <c r="AB718" s="470">
        <v>30</v>
      </c>
      <c r="AC718" s="473">
        <v>62333</v>
      </c>
      <c r="AD718" s="473">
        <v>62333</v>
      </c>
      <c r="AE718" s="473">
        <v>28050</v>
      </c>
      <c r="AF718" s="473">
        <v>11220</v>
      </c>
      <c r="AG718" s="473">
        <v>1600</v>
      </c>
      <c r="AH718" s="473">
        <v>200</v>
      </c>
      <c r="AI718" s="473">
        <v>1250</v>
      </c>
      <c r="AJ718" s="473">
        <v>2337</v>
      </c>
      <c r="AK718" s="473">
        <v>5610</v>
      </c>
      <c r="AL718" s="473">
        <v>4208</v>
      </c>
      <c r="AM718" s="473">
        <v>281</v>
      </c>
      <c r="AN718" s="473">
        <v>982</v>
      </c>
      <c r="AO718" s="473">
        <v>561</v>
      </c>
      <c r="AP718" s="473">
        <v>140</v>
      </c>
      <c r="AQ718" s="473">
        <v>1800</v>
      </c>
      <c r="AR718" s="473">
        <v>4094</v>
      </c>
      <c r="AS718" s="473">
        <v>0</v>
      </c>
      <c r="AT718" s="473">
        <v>0</v>
      </c>
      <c r="AU718" s="473">
        <v>4478</v>
      </c>
      <c r="AV718" s="473">
        <v>66811</v>
      </c>
      <c r="AW718" s="474">
        <v>62333</v>
      </c>
      <c r="AX718" s="473">
        <v>0</v>
      </c>
      <c r="AY718" s="473">
        <v>0</v>
      </c>
      <c r="AZ718" s="475">
        <v>0</v>
      </c>
      <c r="BA718" s="475">
        <v>200</v>
      </c>
      <c r="BB718" s="475">
        <v>1800</v>
      </c>
      <c r="BC718" s="475">
        <v>0</v>
      </c>
      <c r="BD718" s="475">
        <v>0</v>
      </c>
      <c r="BE718" s="475">
        <v>0</v>
      </c>
      <c r="BF718" s="475">
        <v>15000</v>
      </c>
      <c r="BG718" s="475">
        <v>17000</v>
      </c>
      <c r="BH718" s="476">
        <v>49811</v>
      </c>
      <c r="BI718" s="467"/>
      <c r="BJ718" s="468"/>
    </row>
    <row r="719" spans="1:62">
      <c r="A719" s="469">
        <v>45962</v>
      </c>
      <c r="B719" s="469" t="s">
        <v>747</v>
      </c>
      <c r="C719" s="508" t="s">
        <v>1424</v>
      </c>
      <c r="D719" s="470" t="s">
        <v>749</v>
      </c>
      <c r="E719" s="471">
        <v>2214</v>
      </c>
      <c r="F719" s="470" t="s">
        <v>1355</v>
      </c>
      <c r="G719" s="470" t="s">
        <v>751</v>
      </c>
      <c r="H719" s="470" t="s">
        <v>12</v>
      </c>
      <c r="I719" s="470" t="s">
        <v>1340</v>
      </c>
      <c r="J719" s="472" t="s">
        <v>1356</v>
      </c>
      <c r="K719" s="470" t="s">
        <v>1357</v>
      </c>
      <c r="L719" s="470" t="s">
        <v>1358</v>
      </c>
      <c r="M719" s="470" t="s">
        <v>1358</v>
      </c>
      <c r="N719" s="470" t="s">
        <v>1108</v>
      </c>
      <c r="O719" s="472" t="s">
        <v>757</v>
      </c>
      <c r="P719" s="472" t="s">
        <v>738</v>
      </c>
      <c r="Q719" s="472" t="s">
        <v>758</v>
      </c>
      <c r="R719" s="472" t="s">
        <v>12</v>
      </c>
      <c r="S719" s="472" t="s">
        <v>12</v>
      </c>
      <c r="T719" s="472" t="s">
        <v>1359</v>
      </c>
      <c r="U719" s="470" t="s">
        <v>1360</v>
      </c>
      <c r="V719" s="470" t="s">
        <v>761</v>
      </c>
      <c r="W719" s="470" t="s">
        <v>1361</v>
      </c>
      <c r="X719" s="470">
        <v>30</v>
      </c>
      <c r="Y719" s="470">
        <v>0</v>
      </c>
      <c r="Z719" s="470">
        <v>0</v>
      </c>
      <c r="AA719" s="470">
        <v>30</v>
      </c>
      <c r="AB719" s="470">
        <v>30</v>
      </c>
      <c r="AC719" s="473">
        <v>54867</v>
      </c>
      <c r="AD719" s="473">
        <v>54867</v>
      </c>
      <c r="AE719" s="473">
        <v>24690</v>
      </c>
      <c r="AF719" s="473">
        <v>9876</v>
      </c>
      <c r="AG719" s="473">
        <v>1600</v>
      </c>
      <c r="AH719" s="473">
        <v>200</v>
      </c>
      <c r="AI719" s="473">
        <v>1250</v>
      </c>
      <c r="AJ719" s="473">
        <v>2057</v>
      </c>
      <c r="AK719" s="473">
        <v>4938</v>
      </c>
      <c r="AL719" s="473">
        <v>3704</v>
      </c>
      <c r="AM719" s="473">
        <v>247</v>
      </c>
      <c r="AN719" s="473">
        <v>864</v>
      </c>
      <c r="AO719" s="473">
        <v>494</v>
      </c>
      <c r="AP719" s="473">
        <v>123</v>
      </c>
      <c r="AQ719" s="473">
        <v>1800</v>
      </c>
      <c r="AR719" s="473">
        <v>3024</v>
      </c>
      <c r="AS719" s="473">
        <v>0</v>
      </c>
      <c r="AT719" s="473">
        <v>0</v>
      </c>
      <c r="AU719" s="473">
        <v>0</v>
      </c>
      <c r="AV719" s="473">
        <v>54867</v>
      </c>
      <c r="AW719" s="474">
        <v>54867</v>
      </c>
      <c r="AX719" s="473">
        <v>0</v>
      </c>
      <c r="AY719" s="473">
        <v>0</v>
      </c>
      <c r="AZ719" s="475">
        <v>0</v>
      </c>
      <c r="BA719" s="475">
        <v>200</v>
      </c>
      <c r="BB719" s="475">
        <v>1800</v>
      </c>
      <c r="BC719" s="475">
        <v>0</v>
      </c>
      <c r="BD719" s="475">
        <v>0</v>
      </c>
      <c r="BE719" s="475">
        <v>0</v>
      </c>
      <c r="BF719" s="475">
        <v>0</v>
      </c>
      <c r="BG719" s="475">
        <v>2000</v>
      </c>
      <c r="BH719" s="476">
        <v>52867</v>
      </c>
      <c r="BI719" s="467"/>
      <c r="BJ719" s="468"/>
    </row>
    <row r="720" spans="1:62">
      <c r="A720" s="469">
        <v>45962</v>
      </c>
      <c r="B720" s="469" t="s">
        <v>747</v>
      </c>
      <c r="C720" s="508" t="s">
        <v>1424</v>
      </c>
      <c r="D720" s="470" t="s">
        <v>749</v>
      </c>
      <c r="E720" s="471">
        <v>2239</v>
      </c>
      <c r="F720" s="470" t="s">
        <v>1402</v>
      </c>
      <c r="G720" s="470" t="s">
        <v>812</v>
      </c>
      <c r="H720" s="470" t="s">
        <v>12</v>
      </c>
      <c r="I720" s="470" t="s">
        <v>1389</v>
      </c>
      <c r="J720" s="472" t="s">
        <v>1403</v>
      </c>
      <c r="K720" s="470" t="s">
        <v>1404</v>
      </c>
      <c r="L720" s="470" t="s">
        <v>872</v>
      </c>
      <c r="M720" s="470" t="s">
        <v>872</v>
      </c>
      <c r="N720" s="470" t="s">
        <v>833</v>
      </c>
      <c r="O720" s="472" t="s">
        <v>757</v>
      </c>
      <c r="P720" s="472" t="s">
        <v>738</v>
      </c>
      <c r="Q720" s="472" t="s">
        <v>758</v>
      </c>
      <c r="R720" s="472" t="s">
        <v>12</v>
      </c>
      <c r="S720" s="472" t="s">
        <v>12</v>
      </c>
      <c r="T720" s="472" t="s">
        <v>1405</v>
      </c>
      <c r="U720" s="470" t="s">
        <v>1406</v>
      </c>
      <c r="V720" s="470" t="s">
        <v>761</v>
      </c>
      <c r="W720" s="470" t="s">
        <v>859</v>
      </c>
      <c r="X720" s="470">
        <v>30</v>
      </c>
      <c r="Y720" s="470">
        <v>0</v>
      </c>
      <c r="Z720" s="470">
        <v>0</v>
      </c>
      <c r="AA720" s="470">
        <v>30</v>
      </c>
      <c r="AB720" s="470">
        <v>30</v>
      </c>
      <c r="AC720" s="473">
        <v>88067</v>
      </c>
      <c r="AD720" s="473">
        <v>88067</v>
      </c>
      <c r="AE720" s="473">
        <v>39630</v>
      </c>
      <c r="AF720" s="473">
        <v>15852</v>
      </c>
      <c r="AG720" s="473">
        <v>1600</v>
      </c>
      <c r="AH720" s="473">
        <v>200</v>
      </c>
      <c r="AI720" s="473">
        <v>1250</v>
      </c>
      <c r="AJ720" s="473">
        <v>3301</v>
      </c>
      <c r="AK720" s="473">
        <v>7926</v>
      </c>
      <c r="AL720" s="473">
        <v>5945</v>
      </c>
      <c r="AM720" s="473">
        <v>396</v>
      </c>
      <c r="AN720" s="473">
        <v>1387</v>
      </c>
      <c r="AO720" s="473">
        <v>793</v>
      </c>
      <c r="AP720" s="473">
        <v>198</v>
      </c>
      <c r="AQ720" s="473">
        <v>1800</v>
      </c>
      <c r="AR720" s="473">
        <v>7789</v>
      </c>
      <c r="AS720" s="473">
        <v>0</v>
      </c>
      <c r="AT720" s="473">
        <v>0</v>
      </c>
      <c r="AU720" s="473">
        <v>2539</v>
      </c>
      <c r="AV720" s="473">
        <v>90606</v>
      </c>
      <c r="AW720" s="474">
        <v>88067</v>
      </c>
      <c r="AX720" s="473">
        <v>0</v>
      </c>
      <c r="AY720" s="473">
        <v>0</v>
      </c>
      <c r="AZ720" s="475">
        <v>0</v>
      </c>
      <c r="BA720" s="475">
        <v>200</v>
      </c>
      <c r="BB720" s="475">
        <v>1800</v>
      </c>
      <c r="BC720" s="475">
        <v>0</v>
      </c>
      <c r="BD720" s="475">
        <v>0</v>
      </c>
      <c r="BE720" s="475">
        <v>0</v>
      </c>
      <c r="BF720" s="475">
        <v>0</v>
      </c>
      <c r="BG720" s="475">
        <v>2000</v>
      </c>
      <c r="BH720" s="476">
        <v>88606</v>
      </c>
      <c r="BI720" s="467"/>
      <c r="BJ720" s="468"/>
    </row>
    <row r="721" spans="1:62">
      <c r="A721" s="469">
        <v>45962</v>
      </c>
      <c r="B721" s="469" t="s">
        <v>747</v>
      </c>
      <c r="C721" s="508" t="s">
        <v>1424</v>
      </c>
      <c r="D721" s="470" t="s">
        <v>749</v>
      </c>
      <c r="E721" s="471">
        <v>2152</v>
      </c>
      <c r="F721" s="470" t="s">
        <v>1285</v>
      </c>
      <c r="G721" s="470" t="s">
        <v>751</v>
      </c>
      <c r="H721" s="470" t="s">
        <v>12</v>
      </c>
      <c r="I721" s="470" t="s">
        <v>1286</v>
      </c>
      <c r="J721" s="472" t="s">
        <v>1287</v>
      </c>
      <c r="K721" s="470" t="s">
        <v>1288</v>
      </c>
      <c r="L721" s="470" t="s">
        <v>1165</v>
      </c>
      <c r="M721" s="470" t="s">
        <v>1165</v>
      </c>
      <c r="N721" s="470" t="s">
        <v>756</v>
      </c>
      <c r="O721" s="472" t="s">
        <v>757</v>
      </c>
      <c r="P721" s="472" t="s">
        <v>738</v>
      </c>
      <c r="Q721" s="472" t="s">
        <v>758</v>
      </c>
      <c r="R721" s="472" t="s">
        <v>12</v>
      </c>
      <c r="S721" s="472" t="s">
        <v>12</v>
      </c>
      <c r="T721" s="472" t="s">
        <v>1289</v>
      </c>
      <c r="U721" s="470" t="s">
        <v>1290</v>
      </c>
      <c r="V721" s="470" t="s">
        <v>761</v>
      </c>
      <c r="W721" s="470" t="s">
        <v>898</v>
      </c>
      <c r="X721" s="470">
        <v>30</v>
      </c>
      <c r="Y721" s="470">
        <v>0</v>
      </c>
      <c r="Z721" s="470">
        <v>0</v>
      </c>
      <c r="AA721" s="470">
        <v>30</v>
      </c>
      <c r="AB721" s="470">
        <v>30</v>
      </c>
      <c r="AC721" s="473">
        <v>32760</v>
      </c>
      <c r="AD721" s="473">
        <v>32760</v>
      </c>
      <c r="AE721" s="473">
        <v>14742</v>
      </c>
      <c r="AF721" s="473">
        <v>5897</v>
      </c>
      <c r="AG721" s="473">
        <v>1600</v>
      </c>
      <c r="AH721" s="473">
        <v>200</v>
      </c>
      <c r="AI721" s="473">
        <v>1250</v>
      </c>
      <c r="AJ721" s="473">
        <v>0</v>
      </c>
      <c r="AK721" s="473">
        <v>0</v>
      </c>
      <c r="AL721" s="473">
        <v>0</v>
      </c>
      <c r="AM721" s="473">
        <v>0</v>
      </c>
      <c r="AN721" s="473">
        <v>0</v>
      </c>
      <c r="AO721" s="473">
        <v>0</v>
      </c>
      <c r="AP721" s="473">
        <v>0</v>
      </c>
      <c r="AQ721" s="473">
        <v>1769</v>
      </c>
      <c r="AR721" s="473">
        <v>7302</v>
      </c>
      <c r="AS721" s="473">
        <v>0</v>
      </c>
      <c r="AT721" s="473">
        <v>0</v>
      </c>
      <c r="AU721" s="473">
        <v>0</v>
      </c>
      <c r="AV721" s="473">
        <v>32760</v>
      </c>
      <c r="AW721" s="474">
        <v>32760</v>
      </c>
      <c r="AX721" s="473">
        <v>0</v>
      </c>
      <c r="AY721" s="473">
        <v>0</v>
      </c>
      <c r="AZ721" s="475">
        <v>0</v>
      </c>
      <c r="BA721" s="475">
        <v>200</v>
      </c>
      <c r="BB721" s="475">
        <v>1769</v>
      </c>
      <c r="BC721" s="475">
        <v>0</v>
      </c>
      <c r="BD721" s="475">
        <v>0</v>
      </c>
      <c r="BE721" s="475">
        <v>0</v>
      </c>
      <c r="BF721" s="475">
        <v>0</v>
      </c>
      <c r="BG721" s="475">
        <v>1969</v>
      </c>
      <c r="BH721" s="476">
        <v>30791</v>
      </c>
      <c r="BI721" s="467"/>
      <c r="BJ721" s="468"/>
    </row>
    <row r="722" spans="1:62">
      <c r="A722" s="469">
        <v>45962</v>
      </c>
      <c r="B722" s="469" t="s">
        <v>747</v>
      </c>
      <c r="C722" s="508" t="s">
        <v>1424</v>
      </c>
      <c r="D722" s="470" t="s">
        <v>749</v>
      </c>
      <c r="E722" s="471">
        <v>2281</v>
      </c>
      <c r="F722" s="470" t="s">
        <v>1446</v>
      </c>
      <c r="G722" s="470" t="s">
        <v>812</v>
      </c>
      <c r="H722" s="470" t="s">
        <v>12</v>
      </c>
      <c r="I722" s="470" t="s">
        <v>1447</v>
      </c>
      <c r="J722" s="472" t="s">
        <v>1448</v>
      </c>
      <c r="K722" s="470" t="s">
        <v>1449</v>
      </c>
      <c r="L722" s="470" t="s">
        <v>1345</v>
      </c>
      <c r="M722" s="470" t="s">
        <v>1345</v>
      </c>
      <c r="N722" s="470" t="s">
        <v>1275</v>
      </c>
      <c r="O722" s="472" t="s">
        <v>757</v>
      </c>
      <c r="P722" s="472" t="s">
        <v>738</v>
      </c>
      <c r="Q722" s="472" t="s">
        <v>758</v>
      </c>
      <c r="R722" s="472" t="s">
        <v>12</v>
      </c>
      <c r="S722" s="472" t="s">
        <v>12</v>
      </c>
      <c r="T722" s="472" t="s">
        <v>1450</v>
      </c>
      <c r="U722" s="470" t="s">
        <v>1451</v>
      </c>
      <c r="V722" s="470" t="s">
        <v>761</v>
      </c>
      <c r="W722" s="470" t="s">
        <v>1452</v>
      </c>
      <c r="X722" s="470">
        <v>30</v>
      </c>
      <c r="Y722" s="470">
        <v>0</v>
      </c>
      <c r="Z722" s="470">
        <v>0</v>
      </c>
      <c r="AA722" s="470">
        <v>11</v>
      </c>
      <c r="AB722" s="470">
        <v>11</v>
      </c>
      <c r="AC722" s="473">
        <v>81533</v>
      </c>
      <c r="AD722" s="473">
        <v>81533</v>
      </c>
      <c r="AE722" s="473">
        <v>13453</v>
      </c>
      <c r="AF722" s="473">
        <v>5381</v>
      </c>
      <c r="AG722" s="473">
        <v>587</v>
      </c>
      <c r="AH722" s="473">
        <v>200</v>
      </c>
      <c r="AI722" s="473">
        <v>458</v>
      </c>
      <c r="AJ722" s="473">
        <v>1121</v>
      </c>
      <c r="AK722" s="473">
        <v>2691</v>
      </c>
      <c r="AL722" s="473">
        <v>2018</v>
      </c>
      <c r="AM722" s="473">
        <v>135</v>
      </c>
      <c r="AN722" s="473">
        <v>471</v>
      </c>
      <c r="AO722" s="473">
        <v>269</v>
      </c>
      <c r="AP722" s="473">
        <v>67</v>
      </c>
      <c r="AQ722" s="473">
        <v>1614</v>
      </c>
      <c r="AR722" s="473">
        <v>1430</v>
      </c>
      <c r="AS722" s="473">
        <v>0</v>
      </c>
      <c r="AT722" s="473">
        <v>0</v>
      </c>
      <c r="AU722" s="473">
        <v>0</v>
      </c>
      <c r="AV722" s="473">
        <v>29895</v>
      </c>
      <c r="AW722" s="474">
        <v>29895</v>
      </c>
      <c r="AX722" s="473">
        <v>0</v>
      </c>
      <c r="AY722" s="473">
        <v>0</v>
      </c>
      <c r="AZ722" s="475">
        <v>0</v>
      </c>
      <c r="BA722" s="475">
        <v>200</v>
      </c>
      <c r="BB722" s="475">
        <v>1614</v>
      </c>
      <c r="BC722" s="475">
        <v>0</v>
      </c>
      <c r="BD722" s="475">
        <v>0</v>
      </c>
      <c r="BE722" s="475">
        <v>0</v>
      </c>
      <c r="BF722" s="475">
        <v>0</v>
      </c>
      <c r="BG722" s="475">
        <v>1814</v>
      </c>
      <c r="BH722" s="476">
        <v>28081</v>
      </c>
      <c r="BI722" s="467"/>
      <c r="BJ722" s="468"/>
    </row>
    <row r="723" spans="1:62">
      <c r="A723" s="469">
        <v>45962</v>
      </c>
      <c r="B723" s="469" t="s">
        <v>747</v>
      </c>
      <c r="C723" s="508" t="s">
        <v>1424</v>
      </c>
      <c r="D723" s="470" t="s">
        <v>749</v>
      </c>
      <c r="E723" s="471">
        <v>1875</v>
      </c>
      <c r="F723" s="470" t="s">
        <v>908</v>
      </c>
      <c r="G723" s="470" t="s">
        <v>751</v>
      </c>
      <c r="H723" s="470" t="s">
        <v>12</v>
      </c>
      <c r="I723" s="470" t="s">
        <v>909</v>
      </c>
      <c r="J723" s="472" t="s">
        <v>910</v>
      </c>
      <c r="K723" s="470" t="s">
        <v>911</v>
      </c>
      <c r="L723" s="470" t="s">
        <v>1338</v>
      </c>
      <c r="M723" s="470" t="s">
        <v>776</v>
      </c>
      <c r="N723" s="470" t="s">
        <v>1275</v>
      </c>
      <c r="O723" s="472" t="s">
        <v>757</v>
      </c>
      <c r="P723" s="472" t="s">
        <v>738</v>
      </c>
      <c r="Q723" s="472" t="s">
        <v>758</v>
      </c>
      <c r="R723" s="472" t="s">
        <v>12</v>
      </c>
      <c r="S723" s="472" t="s">
        <v>12</v>
      </c>
      <c r="T723" s="472" t="s">
        <v>912</v>
      </c>
      <c r="U723" s="470" t="s">
        <v>913</v>
      </c>
      <c r="V723" s="470" t="s">
        <v>761</v>
      </c>
      <c r="W723" s="470" t="s">
        <v>859</v>
      </c>
      <c r="X723" s="470">
        <v>30</v>
      </c>
      <c r="Y723" s="470">
        <v>0</v>
      </c>
      <c r="Z723" s="470">
        <v>0</v>
      </c>
      <c r="AA723" s="470">
        <v>30</v>
      </c>
      <c r="AB723" s="470">
        <v>30</v>
      </c>
      <c r="AC723" s="473">
        <v>65840</v>
      </c>
      <c r="AD723" s="473">
        <v>65840</v>
      </c>
      <c r="AE723" s="473">
        <v>29628</v>
      </c>
      <c r="AF723" s="473">
        <v>11851</v>
      </c>
      <c r="AG723" s="473">
        <v>1600</v>
      </c>
      <c r="AH723" s="473">
        <v>200</v>
      </c>
      <c r="AI723" s="473">
        <v>1250</v>
      </c>
      <c r="AJ723" s="473">
        <v>2468</v>
      </c>
      <c r="AK723" s="473">
        <v>5926</v>
      </c>
      <c r="AL723" s="473">
        <v>4444</v>
      </c>
      <c r="AM723" s="473">
        <v>296</v>
      </c>
      <c r="AN723" s="473">
        <v>1037</v>
      </c>
      <c r="AO723" s="473">
        <v>593</v>
      </c>
      <c r="AP723" s="473">
        <v>148</v>
      </c>
      <c r="AQ723" s="473">
        <v>1800</v>
      </c>
      <c r="AR723" s="473">
        <v>4599</v>
      </c>
      <c r="AS723" s="473">
        <v>0</v>
      </c>
      <c r="AT723" s="473">
        <v>0</v>
      </c>
      <c r="AU723" s="473">
        <v>4139</v>
      </c>
      <c r="AV723" s="473">
        <v>69979</v>
      </c>
      <c r="AW723" s="474">
        <v>65840</v>
      </c>
      <c r="AX723" s="473">
        <v>0</v>
      </c>
      <c r="AY723" s="473">
        <v>0</v>
      </c>
      <c r="AZ723" s="475">
        <v>0</v>
      </c>
      <c r="BA723" s="475">
        <v>200</v>
      </c>
      <c r="BB723" s="475">
        <v>1800</v>
      </c>
      <c r="BC723" s="475">
        <v>0</v>
      </c>
      <c r="BD723" s="475">
        <v>0</v>
      </c>
      <c r="BE723" s="475">
        <v>0</v>
      </c>
      <c r="BF723" s="475">
        <v>0</v>
      </c>
      <c r="BG723" s="475">
        <v>2000</v>
      </c>
      <c r="BH723" s="476">
        <v>67979</v>
      </c>
      <c r="BI723" s="467"/>
      <c r="BJ723" s="468"/>
    </row>
    <row r="724" spans="1:62">
      <c r="A724" s="469">
        <v>45962</v>
      </c>
      <c r="B724" s="469" t="s">
        <v>747</v>
      </c>
      <c r="C724" s="508" t="s">
        <v>1424</v>
      </c>
      <c r="D724" s="470" t="s">
        <v>749</v>
      </c>
      <c r="E724" s="471">
        <v>1135</v>
      </c>
      <c r="F724" s="470" t="s">
        <v>914</v>
      </c>
      <c r="G724" s="470" t="s">
        <v>751</v>
      </c>
      <c r="H724" s="470" t="s">
        <v>12</v>
      </c>
      <c r="I724" s="470" t="s">
        <v>915</v>
      </c>
      <c r="J724" s="472" t="s">
        <v>916</v>
      </c>
      <c r="K724" s="470" t="s">
        <v>917</v>
      </c>
      <c r="L724" s="470" t="s">
        <v>1291</v>
      </c>
      <c r="M724" s="470" t="s">
        <v>1291</v>
      </c>
      <c r="N724" s="470" t="s">
        <v>1275</v>
      </c>
      <c r="O724" s="472" t="s">
        <v>792</v>
      </c>
      <c r="P724" s="472" t="s">
        <v>738</v>
      </c>
      <c r="Q724" s="472" t="s">
        <v>758</v>
      </c>
      <c r="R724" s="472" t="s">
        <v>12</v>
      </c>
      <c r="S724" s="472" t="s">
        <v>12</v>
      </c>
      <c r="T724" s="472" t="s">
        <v>919</v>
      </c>
      <c r="U724" s="470" t="s">
        <v>920</v>
      </c>
      <c r="V724" s="470" t="s">
        <v>761</v>
      </c>
      <c r="W724" s="470" t="s">
        <v>921</v>
      </c>
      <c r="X724" s="470">
        <v>30</v>
      </c>
      <c r="Y724" s="470">
        <v>0</v>
      </c>
      <c r="Z724" s="470">
        <v>0</v>
      </c>
      <c r="AA724" s="470">
        <v>30</v>
      </c>
      <c r="AB724" s="470">
        <v>30</v>
      </c>
      <c r="AC724" s="473">
        <v>146667</v>
      </c>
      <c r="AD724" s="473">
        <v>146667</v>
      </c>
      <c r="AE724" s="473">
        <v>66000</v>
      </c>
      <c r="AF724" s="473">
        <v>26400</v>
      </c>
      <c r="AG724" s="473">
        <v>1600</v>
      </c>
      <c r="AH724" s="473">
        <v>200</v>
      </c>
      <c r="AI724" s="473">
        <v>1250</v>
      </c>
      <c r="AJ724" s="473">
        <v>5498</v>
      </c>
      <c r="AK724" s="473">
        <v>13200</v>
      </c>
      <c r="AL724" s="473">
        <v>9900</v>
      </c>
      <c r="AM724" s="473">
        <v>660</v>
      </c>
      <c r="AN724" s="473">
        <v>2310</v>
      </c>
      <c r="AO724" s="473">
        <v>1320</v>
      </c>
      <c r="AP724" s="473">
        <v>330</v>
      </c>
      <c r="AQ724" s="473">
        <v>1800</v>
      </c>
      <c r="AR724" s="473">
        <v>16199</v>
      </c>
      <c r="AS724" s="473">
        <v>0</v>
      </c>
      <c r="AT724" s="473">
        <v>0</v>
      </c>
      <c r="AU724" s="473">
        <v>10401</v>
      </c>
      <c r="AV724" s="473">
        <v>157068</v>
      </c>
      <c r="AW724" s="474">
        <v>146667</v>
      </c>
      <c r="AX724" s="473">
        <v>0</v>
      </c>
      <c r="AY724" s="473">
        <v>0</v>
      </c>
      <c r="AZ724" s="475">
        <v>18674</v>
      </c>
      <c r="BA724" s="475">
        <v>200</v>
      </c>
      <c r="BB724" s="475">
        <v>1800</v>
      </c>
      <c r="BC724" s="475">
        <v>0</v>
      </c>
      <c r="BD724" s="475">
        <v>0</v>
      </c>
      <c r="BE724" s="475">
        <v>0</v>
      </c>
      <c r="BF724" s="475">
        <v>0</v>
      </c>
      <c r="BG724" s="475">
        <v>20674</v>
      </c>
      <c r="BH724" s="476">
        <v>136394</v>
      </c>
      <c r="BI724" s="467"/>
      <c r="BJ724" s="468"/>
    </row>
    <row r="725" spans="1:62">
      <c r="A725" s="469">
        <v>45962</v>
      </c>
      <c r="B725" s="469" t="s">
        <v>747</v>
      </c>
      <c r="C725" s="508" t="s">
        <v>1424</v>
      </c>
      <c r="D725" s="470" t="s">
        <v>749</v>
      </c>
      <c r="E725" s="471">
        <v>1997</v>
      </c>
      <c r="F725" s="470" t="s">
        <v>922</v>
      </c>
      <c r="G725" s="470" t="s">
        <v>751</v>
      </c>
      <c r="H725" s="470" t="s">
        <v>12</v>
      </c>
      <c r="I725" s="470" t="s">
        <v>923</v>
      </c>
      <c r="J725" s="472" t="s">
        <v>924</v>
      </c>
      <c r="K725" s="470" t="s">
        <v>925</v>
      </c>
      <c r="L725" s="470" t="s">
        <v>926</v>
      </c>
      <c r="M725" s="470" t="s">
        <v>927</v>
      </c>
      <c r="N725" s="470" t="s">
        <v>756</v>
      </c>
      <c r="O725" s="472" t="s">
        <v>757</v>
      </c>
      <c r="P725" s="472" t="s">
        <v>738</v>
      </c>
      <c r="Q725" s="472" t="s">
        <v>758</v>
      </c>
      <c r="R725" s="472" t="s">
        <v>12</v>
      </c>
      <c r="S725" s="472" t="s">
        <v>12</v>
      </c>
      <c r="T725" s="472" t="s">
        <v>928</v>
      </c>
      <c r="U725" s="470" t="s">
        <v>929</v>
      </c>
      <c r="V725" s="470" t="s">
        <v>761</v>
      </c>
      <c r="W725" s="470" t="s">
        <v>762</v>
      </c>
      <c r="X725" s="470">
        <v>30</v>
      </c>
      <c r="Y725" s="470">
        <v>0</v>
      </c>
      <c r="Z725" s="470">
        <v>0</v>
      </c>
      <c r="AA725" s="470">
        <v>30</v>
      </c>
      <c r="AB725" s="470">
        <v>30</v>
      </c>
      <c r="AC725" s="473">
        <v>36067</v>
      </c>
      <c r="AD725" s="473">
        <v>36067</v>
      </c>
      <c r="AE725" s="473">
        <v>16230</v>
      </c>
      <c r="AF725" s="473">
        <v>6492</v>
      </c>
      <c r="AG725" s="473">
        <v>1600</v>
      </c>
      <c r="AH725" s="473">
        <v>200</v>
      </c>
      <c r="AI725" s="473">
        <v>1250</v>
      </c>
      <c r="AJ725" s="473">
        <v>0</v>
      </c>
      <c r="AK725" s="473">
        <v>0</v>
      </c>
      <c r="AL725" s="473">
        <v>0</v>
      </c>
      <c r="AM725" s="473">
        <v>0</v>
      </c>
      <c r="AN725" s="473">
        <v>0</v>
      </c>
      <c r="AO725" s="473">
        <v>0</v>
      </c>
      <c r="AP725" s="473">
        <v>0</v>
      </c>
      <c r="AQ725" s="473">
        <v>1800</v>
      </c>
      <c r="AR725" s="473">
        <v>8495</v>
      </c>
      <c r="AS725" s="473">
        <v>0</v>
      </c>
      <c r="AT725" s="473">
        <v>0</v>
      </c>
      <c r="AU725" s="473">
        <v>0</v>
      </c>
      <c r="AV725" s="473">
        <v>36067</v>
      </c>
      <c r="AW725" s="474">
        <v>36067</v>
      </c>
      <c r="AX725" s="473">
        <v>0</v>
      </c>
      <c r="AY725" s="473">
        <v>0</v>
      </c>
      <c r="AZ725" s="475">
        <v>0</v>
      </c>
      <c r="BA725" s="475">
        <v>200</v>
      </c>
      <c r="BB725" s="475">
        <v>1800</v>
      </c>
      <c r="BC725" s="475">
        <v>0</v>
      </c>
      <c r="BD725" s="475">
        <v>0</v>
      </c>
      <c r="BE725" s="475">
        <v>0</v>
      </c>
      <c r="BF725" s="475">
        <v>0</v>
      </c>
      <c r="BG725" s="475">
        <v>2000</v>
      </c>
      <c r="BH725" s="476">
        <v>34067</v>
      </c>
      <c r="BI725" s="467"/>
      <c r="BJ725" s="468"/>
    </row>
    <row r="726" spans="1:62">
      <c r="A726" s="469">
        <v>45962</v>
      </c>
      <c r="B726" s="469" t="s">
        <v>747</v>
      </c>
      <c r="C726" s="508" t="s">
        <v>1424</v>
      </c>
      <c r="D726" s="470" t="s">
        <v>749</v>
      </c>
      <c r="E726" s="471">
        <v>2272</v>
      </c>
      <c r="F726" s="470" t="s">
        <v>1453</v>
      </c>
      <c r="G726" s="470" t="s">
        <v>812</v>
      </c>
      <c r="H726" s="470" t="s">
        <v>12</v>
      </c>
      <c r="I726" s="470" t="s">
        <v>1426</v>
      </c>
      <c r="J726" s="472" t="s">
        <v>1454</v>
      </c>
      <c r="K726" s="470" t="s">
        <v>1455</v>
      </c>
      <c r="L726" s="470" t="s">
        <v>824</v>
      </c>
      <c r="M726" s="470" t="s">
        <v>824</v>
      </c>
      <c r="N726" s="470" t="s">
        <v>1275</v>
      </c>
      <c r="O726" s="472" t="s">
        <v>1276</v>
      </c>
      <c r="P726" s="472" t="s">
        <v>738</v>
      </c>
      <c r="Q726" s="472" t="s">
        <v>758</v>
      </c>
      <c r="R726" s="472" t="s">
        <v>12</v>
      </c>
      <c r="S726" s="472" t="s">
        <v>12</v>
      </c>
      <c r="T726" s="472" t="s">
        <v>1456</v>
      </c>
      <c r="U726" s="470" t="s">
        <v>1457</v>
      </c>
      <c r="V726" s="470" t="s">
        <v>761</v>
      </c>
      <c r="W726" s="470" t="s">
        <v>1458</v>
      </c>
      <c r="X726" s="470">
        <v>30</v>
      </c>
      <c r="Y726" s="470">
        <v>0</v>
      </c>
      <c r="Z726" s="470">
        <v>0</v>
      </c>
      <c r="AA726" s="470">
        <v>14</v>
      </c>
      <c r="AB726" s="470">
        <v>14</v>
      </c>
      <c r="AC726" s="473">
        <v>44033</v>
      </c>
      <c r="AD726" s="473">
        <v>44033</v>
      </c>
      <c r="AE726" s="473">
        <v>9247</v>
      </c>
      <c r="AF726" s="473">
        <v>3699</v>
      </c>
      <c r="AG726" s="473">
        <v>747</v>
      </c>
      <c r="AH726" s="473">
        <v>200</v>
      </c>
      <c r="AI726" s="473">
        <v>583</v>
      </c>
      <c r="AJ726" s="473">
        <v>770</v>
      </c>
      <c r="AK726" s="473">
        <v>1849</v>
      </c>
      <c r="AL726" s="473">
        <v>1387</v>
      </c>
      <c r="AM726" s="473">
        <v>92</v>
      </c>
      <c r="AN726" s="473">
        <v>324</v>
      </c>
      <c r="AO726" s="473">
        <v>185</v>
      </c>
      <c r="AP726" s="473">
        <v>46</v>
      </c>
      <c r="AQ726" s="473">
        <v>1110</v>
      </c>
      <c r="AR726" s="473">
        <v>310</v>
      </c>
      <c r="AS726" s="473">
        <v>0</v>
      </c>
      <c r="AT726" s="473">
        <v>0</v>
      </c>
      <c r="AU726" s="473">
        <v>0</v>
      </c>
      <c r="AV726" s="473">
        <v>20549</v>
      </c>
      <c r="AW726" s="474">
        <v>20549</v>
      </c>
      <c r="AX726" s="473">
        <v>0</v>
      </c>
      <c r="AY726" s="473">
        <v>0</v>
      </c>
      <c r="AZ726" s="475">
        <v>0</v>
      </c>
      <c r="BA726" s="475">
        <v>175</v>
      </c>
      <c r="BB726" s="475">
        <v>1110</v>
      </c>
      <c r="BC726" s="475">
        <v>0</v>
      </c>
      <c r="BD726" s="475">
        <v>0</v>
      </c>
      <c r="BE726" s="475">
        <v>0</v>
      </c>
      <c r="BF726" s="475">
        <v>0</v>
      </c>
      <c r="BG726" s="475">
        <v>1285</v>
      </c>
      <c r="BH726" s="476">
        <v>19264</v>
      </c>
      <c r="BI726" s="467"/>
      <c r="BJ726" s="468"/>
    </row>
    <row r="727" spans="1:62">
      <c r="A727" s="469">
        <v>45962</v>
      </c>
      <c r="B727" s="469" t="s">
        <v>747</v>
      </c>
      <c r="C727" s="508" t="s">
        <v>1424</v>
      </c>
      <c r="D727" s="470" t="s">
        <v>749</v>
      </c>
      <c r="E727" s="471">
        <v>726</v>
      </c>
      <c r="F727" s="470" t="s">
        <v>930</v>
      </c>
      <c r="G727" s="470" t="s">
        <v>812</v>
      </c>
      <c r="H727" s="470" t="s">
        <v>12</v>
      </c>
      <c r="I727" s="470" t="s">
        <v>931</v>
      </c>
      <c r="J727" s="472" t="s">
        <v>932</v>
      </c>
      <c r="K727" s="470" t="s">
        <v>933</v>
      </c>
      <c r="L727" s="470" t="s">
        <v>934</v>
      </c>
      <c r="M727" s="470" t="s">
        <v>934</v>
      </c>
      <c r="N727" s="470" t="s">
        <v>1075</v>
      </c>
      <c r="O727" s="472" t="s">
        <v>757</v>
      </c>
      <c r="P727" s="472" t="s">
        <v>738</v>
      </c>
      <c r="Q727" s="472" t="s">
        <v>758</v>
      </c>
      <c r="R727" s="472" t="s">
        <v>12</v>
      </c>
      <c r="S727" s="472" t="s">
        <v>12</v>
      </c>
      <c r="T727" s="472" t="s">
        <v>935</v>
      </c>
      <c r="U727" s="470" t="s">
        <v>936</v>
      </c>
      <c r="V727" s="470" t="s">
        <v>761</v>
      </c>
      <c r="W727" s="470" t="s">
        <v>762</v>
      </c>
      <c r="X727" s="470">
        <v>30</v>
      </c>
      <c r="Y727" s="470">
        <v>0</v>
      </c>
      <c r="Z727" s="470">
        <v>0</v>
      </c>
      <c r="AA727" s="470">
        <v>30</v>
      </c>
      <c r="AB727" s="470">
        <v>30</v>
      </c>
      <c r="AC727" s="473">
        <v>27904</v>
      </c>
      <c r="AD727" s="473">
        <v>27904</v>
      </c>
      <c r="AE727" s="473">
        <v>12557</v>
      </c>
      <c r="AF727" s="473">
        <v>5023</v>
      </c>
      <c r="AG727" s="473">
        <v>1600</v>
      </c>
      <c r="AH727" s="473">
        <v>200</v>
      </c>
      <c r="AI727" s="473">
        <v>1250</v>
      </c>
      <c r="AJ727" s="473">
        <v>0</v>
      </c>
      <c r="AK727" s="473">
        <v>0</v>
      </c>
      <c r="AL727" s="473">
        <v>0</v>
      </c>
      <c r="AM727" s="473">
        <v>0</v>
      </c>
      <c r="AN727" s="473">
        <v>0</v>
      </c>
      <c r="AO727" s="473">
        <v>0</v>
      </c>
      <c r="AP727" s="473">
        <v>0</v>
      </c>
      <c r="AQ727" s="473">
        <v>1507</v>
      </c>
      <c r="AR727" s="473">
        <v>5767</v>
      </c>
      <c r="AS727" s="473">
        <v>0</v>
      </c>
      <c r="AT727" s="473">
        <v>0</v>
      </c>
      <c r="AU727" s="473">
        <v>0</v>
      </c>
      <c r="AV727" s="473">
        <v>27904</v>
      </c>
      <c r="AW727" s="474">
        <v>27904</v>
      </c>
      <c r="AX727" s="473">
        <v>0</v>
      </c>
      <c r="AY727" s="473">
        <v>0</v>
      </c>
      <c r="AZ727" s="475">
        <v>0</v>
      </c>
      <c r="BA727" s="475">
        <v>200</v>
      </c>
      <c r="BB727" s="475">
        <v>1507</v>
      </c>
      <c r="BC727" s="475">
        <v>0</v>
      </c>
      <c r="BD727" s="475">
        <v>0</v>
      </c>
      <c r="BE727" s="475">
        <v>0</v>
      </c>
      <c r="BF727" s="475">
        <v>0</v>
      </c>
      <c r="BG727" s="475">
        <v>1707</v>
      </c>
      <c r="BH727" s="476">
        <v>26197</v>
      </c>
      <c r="BI727" s="467"/>
      <c r="BJ727" s="468"/>
    </row>
    <row r="728" spans="1:62">
      <c r="A728" s="469">
        <v>45962</v>
      </c>
      <c r="B728" s="469" t="s">
        <v>747</v>
      </c>
      <c r="C728" s="508" t="s">
        <v>1424</v>
      </c>
      <c r="D728" s="470" t="s">
        <v>749</v>
      </c>
      <c r="E728" s="471">
        <v>1722</v>
      </c>
      <c r="F728" s="470" t="s">
        <v>937</v>
      </c>
      <c r="G728" s="470" t="s">
        <v>751</v>
      </c>
      <c r="H728" s="470" t="s">
        <v>12</v>
      </c>
      <c r="I728" s="470" t="s">
        <v>938</v>
      </c>
      <c r="J728" s="472" t="s">
        <v>939</v>
      </c>
      <c r="K728" s="470" t="s">
        <v>940</v>
      </c>
      <c r="L728" s="470" t="s">
        <v>941</v>
      </c>
      <c r="M728" s="470" t="s">
        <v>941</v>
      </c>
      <c r="N728" s="470" t="s">
        <v>756</v>
      </c>
      <c r="O728" s="472" t="s">
        <v>943</v>
      </c>
      <c r="P728" s="472" t="s">
        <v>738</v>
      </c>
      <c r="Q728" s="472" t="s">
        <v>758</v>
      </c>
      <c r="R728" s="472" t="s">
        <v>12</v>
      </c>
      <c r="S728" s="472" t="s">
        <v>12</v>
      </c>
      <c r="T728" s="472" t="s">
        <v>944</v>
      </c>
      <c r="U728" s="470" t="s">
        <v>945</v>
      </c>
      <c r="V728" s="470" t="s">
        <v>761</v>
      </c>
      <c r="W728" s="470" t="s">
        <v>946</v>
      </c>
      <c r="X728" s="470">
        <v>30</v>
      </c>
      <c r="Y728" s="470">
        <v>0</v>
      </c>
      <c r="Z728" s="470">
        <v>6</v>
      </c>
      <c r="AA728" s="470">
        <v>24</v>
      </c>
      <c r="AB728" s="470">
        <v>24</v>
      </c>
      <c r="AC728" s="473">
        <v>434795</v>
      </c>
      <c r="AD728" s="473">
        <v>434795</v>
      </c>
      <c r="AE728" s="473">
        <v>156526</v>
      </c>
      <c r="AF728" s="473">
        <v>62610</v>
      </c>
      <c r="AG728" s="473">
        <v>1280</v>
      </c>
      <c r="AH728" s="473">
        <v>160</v>
      </c>
      <c r="AI728" s="473">
        <v>1000</v>
      </c>
      <c r="AJ728" s="473">
        <v>13039</v>
      </c>
      <c r="AK728" s="473">
        <v>31305</v>
      </c>
      <c r="AL728" s="473">
        <v>23479</v>
      </c>
      <c r="AM728" s="473">
        <v>1565</v>
      </c>
      <c r="AN728" s="473">
        <v>5478</v>
      </c>
      <c r="AO728" s="473">
        <v>3131</v>
      </c>
      <c r="AP728" s="473">
        <v>783</v>
      </c>
      <c r="AQ728" s="473">
        <v>1800</v>
      </c>
      <c r="AR728" s="473">
        <v>45680</v>
      </c>
      <c r="AS728" s="473">
        <v>0</v>
      </c>
      <c r="AT728" s="473">
        <v>0</v>
      </c>
      <c r="AU728" s="473">
        <v>0</v>
      </c>
      <c r="AV728" s="473">
        <v>347836</v>
      </c>
      <c r="AW728" s="474">
        <v>347836</v>
      </c>
      <c r="AX728" s="473">
        <v>0</v>
      </c>
      <c r="AY728" s="473">
        <v>0</v>
      </c>
      <c r="AZ728" s="475">
        <v>144055</v>
      </c>
      <c r="BA728" s="475">
        <v>200</v>
      </c>
      <c r="BB728" s="475">
        <v>1800</v>
      </c>
      <c r="BC728" s="475">
        <v>0</v>
      </c>
      <c r="BD728" s="475">
        <v>0</v>
      </c>
      <c r="BE728" s="475">
        <v>0</v>
      </c>
      <c r="BF728" s="475">
        <v>0</v>
      </c>
      <c r="BG728" s="475">
        <v>146055</v>
      </c>
      <c r="BH728" s="476">
        <v>201781</v>
      </c>
      <c r="BI728" s="467"/>
      <c r="BJ728" s="468"/>
    </row>
    <row r="729" spans="1:62">
      <c r="A729" s="469">
        <v>45962</v>
      </c>
      <c r="B729" s="469" t="s">
        <v>747</v>
      </c>
      <c r="C729" s="508" t="s">
        <v>1424</v>
      </c>
      <c r="D729" s="470" t="s">
        <v>749</v>
      </c>
      <c r="E729" s="471">
        <v>2241</v>
      </c>
      <c r="F729" s="470" t="s">
        <v>1407</v>
      </c>
      <c r="G729" s="470" t="s">
        <v>812</v>
      </c>
      <c r="H729" s="470" t="s">
        <v>12</v>
      </c>
      <c r="I729" s="470" t="s">
        <v>1408</v>
      </c>
      <c r="J729" s="472" t="s">
        <v>1409</v>
      </c>
      <c r="K729" s="470" t="s">
        <v>1410</v>
      </c>
      <c r="L729" s="470" t="s">
        <v>1411</v>
      </c>
      <c r="M729" s="470" t="s">
        <v>1411</v>
      </c>
      <c r="N729" s="470" t="s">
        <v>1275</v>
      </c>
      <c r="O729" s="472" t="s">
        <v>757</v>
      </c>
      <c r="P729" s="472" t="s">
        <v>738</v>
      </c>
      <c r="Q729" s="472" t="s">
        <v>758</v>
      </c>
      <c r="R729" s="472" t="s">
        <v>12</v>
      </c>
      <c r="S729" s="472" t="s">
        <v>12</v>
      </c>
      <c r="T729" s="472" t="s">
        <v>1412</v>
      </c>
      <c r="U729" s="470" t="s">
        <v>1413</v>
      </c>
      <c r="V729" s="470" t="s">
        <v>761</v>
      </c>
      <c r="W729" s="470" t="s">
        <v>1414</v>
      </c>
      <c r="X729" s="470">
        <v>30</v>
      </c>
      <c r="Y729" s="470">
        <v>0</v>
      </c>
      <c r="Z729" s="470">
        <v>1</v>
      </c>
      <c r="AA729" s="470">
        <v>29</v>
      </c>
      <c r="AB729" s="470">
        <v>29</v>
      </c>
      <c r="AC729" s="473">
        <v>47367</v>
      </c>
      <c r="AD729" s="473">
        <v>47367</v>
      </c>
      <c r="AE729" s="473">
        <v>20605</v>
      </c>
      <c r="AF729" s="473">
        <v>8242</v>
      </c>
      <c r="AG729" s="473">
        <v>1547</v>
      </c>
      <c r="AH729" s="473">
        <v>193</v>
      </c>
      <c r="AI729" s="473">
        <v>1208</v>
      </c>
      <c r="AJ729" s="473">
        <v>1716</v>
      </c>
      <c r="AK729" s="473">
        <v>4121</v>
      </c>
      <c r="AL729" s="473">
        <v>3091</v>
      </c>
      <c r="AM729" s="473">
        <v>206</v>
      </c>
      <c r="AN729" s="473">
        <v>721</v>
      </c>
      <c r="AO729" s="473">
        <v>412</v>
      </c>
      <c r="AP729" s="473">
        <v>103</v>
      </c>
      <c r="AQ729" s="473">
        <v>1800</v>
      </c>
      <c r="AR729" s="473">
        <v>1823</v>
      </c>
      <c r="AS729" s="473">
        <v>0</v>
      </c>
      <c r="AT729" s="473">
        <v>0</v>
      </c>
      <c r="AU729" s="473">
        <v>258</v>
      </c>
      <c r="AV729" s="473">
        <v>46046</v>
      </c>
      <c r="AW729" s="474">
        <v>45788</v>
      </c>
      <c r="AX729" s="473">
        <v>0</v>
      </c>
      <c r="AY729" s="473">
        <v>0</v>
      </c>
      <c r="AZ729" s="475">
        <v>0</v>
      </c>
      <c r="BA729" s="475">
        <v>200</v>
      </c>
      <c r="BB729" s="475">
        <v>1800</v>
      </c>
      <c r="BC729" s="475">
        <v>0</v>
      </c>
      <c r="BD729" s="475">
        <v>0</v>
      </c>
      <c r="BE729" s="475">
        <v>0</v>
      </c>
      <c r="BF729" s="475">
        <v>0</v>
      </c>
      <c r="BG729" s="475">
        <v>2000</v>
      </c>
      <c r="BH729" s="476">
        <v>44046</v>
      </c>
      <c r="BI729" s="467"/>
      <c r="BJ729" s="468"/>
    </row>
    <row r="730" spans="1:62">
      <c r="A730" s="469">
        <v>45962</v>
      </c>
      <c r="B730" s="469" t="s">
        <v>747</v>
      </c>
      <c r="C730" s="508" t="s">
        <v>1424</v>
      </c>
      <c r="D730" s="470" t="s">
        <v>749</v>
      </c>
      <c r="E730" s="471">
        <v>1937</v>
      </c>
      <c r="F730" s="470" t="s">
        <v>947</v>
      </c>
      <c r="G730" s="470" t="s">
        <v>751</v>
      </c>
      <c r="H730" s="470" t="s">
        <v>12</v>
      </c>
      <c r="I730" s="470" t="s">
        <v>948</v>
      </c>
      <c r="J730" s="472" t="s">
        <v>949</v>
      </c>
      <c r="K730" s="470" t="s">
        <v>950</v>
      </c>
      <c r="L730" s="470" t="s">
        <v>824</v>
      </c>
      <c r="M730" s="470" t="s">
        <v>824</v>
      </c>
      <c r="N730" s="470" t="s">
        <v>1275</v>
      </c>
      <c r="O730" s="472" t="s">
        <v>1276</v>
      </c>
      <c r="P730" s="472" t="s">
        <v>738</v>
      </c>
      <c r="Q730" s="472" t="s">
        <v>758</v>
      </c>
      <c r="R730" s="472" t="s">
        <v>12</v>
      </c>
      <c r="S730" s="472" t="s">
        <v>12</v>
      </c>
      <c r="T730" s="472" t="s">
        <v>951</v>
      </c>
      <c r="U730" s="470" t="s">
        <v>952</v>
      </c>
      <c r="V730" s="470" t="s">
        <v>761</v>
      </c>
      <c r="W730" s="470" t="s">
        <v>859</v>
      </c>
      <c r="X730" s="470">
        <v>30</v>
      </c>
      <c r="Y730" s="470">
        <v>0</v>
      </c>
      <c r="Z730" s="470">
        <v>0</v>
      </c>
      <c r="AA730" s="470">
        <v>30</v>
      </c>
      <c r="AB730" s="470">
        <v>30</v>
      </c>
      <c r="AC730" s="473">
        <v>31533</v>
      </c>
      <c r="AD730" s="473">
        <v>31533</v>
      </c>
      <c r="AE730" s="473">
        <v>14190</v>
      </c>
      <c r="AF730" s="473">
        <v>5676</v>
      </c>
      <c r="AG730" s="473">
        <v>1600</v>
      </c>
      <c r="AH730" s="473">
        <v>200</v>
      </c>
      <c r="AI730" s="473">
        <v>1250</v>
      </c>
      <c r="AJ730" s="473">
        <v>0</v>
      </c>
      <c r="AK730" s="473">
        <v>0</v>
      </c>
      <c r="AL730" s="473">
        <v>0</v>
      </c>
      <c r="AM730" s="473">
        <v>0</v>
      </c>
      <c r="AN730" s="473">
        <v>0</v>
      </c>
      <c r="AO730" s="473">
        <v>0</v>
      </c>
      <c r="AP730" s="473">
        <v>0</v>
      </c>
      <c r="AQ730" s="473">
        <v>1703</v>
      </c>
      <c r="AR730" s="473">
        <v>6914</v>
      </c>
      <c r="AS730" s="473">
        <v>0</v>
      </c>
      <c r="AT730" s="473">
        <v>0</v>
      </c>
      <c r="AU730" s="473">
        <v>3199</v>
      </c>
      <c r="AV730" s="473">
        <v>34732</v>
      </c>
      <c r="AW730" s="474">
        <v>31533</v>
      </c>
      <c r="AX730" s="473">
        <v>0</v>
      </c>
      <c r="AY730" s="473">
        <v>0</v>
      </c>
      <c r="AZ730" s="475">
        <v>0</v>
      </c>
      <c r="BA730" s="475">
        <v>200</v>
      </c>
      <c r="BB730" s="475">
        <v>1703</v>
      </c>
      <c r="BC730" s="475">
        <v>0</v>
      </c>
      <c r="BD730" s="475">
        <v>0</v>
      </c>
      <c r="BE730" s="475">
        <v>0</v>
      </c>
      <c r="BF730" s="475">
        <v>0</v>
      </c>
      <c r="BG730" s="475">
        <v>1903</v>
      </c>
      <c r="BH730" s="476">
        <v>32829</v>
      </c>
      <c r="BI730" s="467"/>
      <c r="BJ730" s="468"/>
    </row>
    <row r="731" spans="1:62">
      <c r="A731" s="469">
        <v>45962</v>
      </c>
      <c r="B731" s="469" t="s">
        <v>747</v>
      </c>
      <c r="C731" s="508" t="s">
        <v>1424</v>
      </c>
      <c r="D731" s="470" t="s">
        <v>749</v>
      </c>
      <c r="E731" s="471">
        <v>382</v>
      </c>
      <c r="F731" s="470" t="s">
        <v>953</v>
      </c>
      <c r="G731" s="470" t="s">
        <v>751</v>
      </c>
      <c r="H731" s="470" t="s">
        <v>12</v>
      </c>
      <c r="I731" s="470" t="s">
        <v>954</v>
      </c>
      <c r="J731" s="472" t="s">
        <v>955</v>
      </c>
      <c r="K731" s="470" t="s">
        <v>956</v>
      </c>
      <c r="L731" s="470" t="s">
        <v>1305</v>
      </c>
      <c r="M731" s="470" t="s">
        <v>1305</v>
      </c>
      <c r="N731" s="470" t="s">
        <v>833</v>
      </c>
      <c r="O731" s="472" t="s">
        <v>757</v>
      </c>
      <c r="P731" s="472" t="s">
        <v>738</v>
      </c>
      <c r="Q731" s="472" t="s">
        <v>758</v>
      </c>
      <c r="R731" s="472" t="s">
        <v>12</v>
      </c>
      <c r="S731" s="472" t="s">
        <v>12</v>
      </c>
      <c r="T731" s="472" t="s">
        <v>958</v>
      </c>
      <c r="U731" s="470" t="s">
        <v>959</v>
      </c>
      <c r="V731" s="470" t="s">
        <v>761</v>
      </c>
      <c r="W731" s="470" t="s">
        <v>960</v>
      </c>
      <c r="X731" s="470">
        <v>30</v>
      </c>
      <c r="Y731" s="470">
        <v>0</v>
      </c>
      <c r="Z731" s="470">
        <v>0</v>
      </c>
      <c r="AA731" s="470">
        <v>30</v>
      </c>
      <c r="AB731" s="470">
        <v>30</v>
      </c>
      <c r="AC731" s="473">
        <v>36950</v>
      </c>
      <c r="AD731" s="473">
        <v>36950</v>
      </c>
      <c r="AE731" s="473">
        <v>16628</v>
      </c>
      <c r="AF731" s="473">
        <v>6651</v>
      </c>
      <c r="AG731" s="473">
        <v>1600</v>
      </c>
      <c r="AH731" s="473">
        <v>200</v>
      </c>
      <c r="AI731" s="473">
        <v>1250</v>
      </c>
      <c r="AJ731" s="473">
        <v>0</v>
      </c>
      <c r="AK731" s="473">
        <v>0</v>
      </c>
      <c r="AL731" s="473">
        <v>0</v>
      </c>
      <c r="AM731" s="473">
        <v>0</v>
      </c>
      <c r="AN731" s="473">
        <v>0</v>
      </c>
      <c r="AO731" s="473">
        <v>0</v>
      </c>
      <c r="AP731" s="473">
        <v>0</v>
      </c>
      <c r="AQ731" s="473">
        <v>1800</v>
      </c>
      <c r="AR731" s="473">
        <v>8821</v>
      </c>
      <c r="AS731" s="473">
        <v>0</v>
      </c>
      <c r="AT731" s="473">
        <v>0</v>
      </c>
      <c r="AU731" s="473">
        <v>6906</v>
      </c>
      <c r="AV731" s="473">
        <v>43856</v>
      </c>
      <c r="AW731" s="474">
        <v>36950</v>
      </c>
      <c r="AX731" s="473">
        <v>0</v>
      </c>
      <c r="AY731" s="473">
        <v>0</v>
      </c>
      <c r="AZ731" s="475">
        <v>0</v>
      </c>
      <c r="BA731" s="475">
        <v>200</v>
      </c>
      <c r="BB731" s="475">
        <v>1800</v>
      </c>
      <c r="BC731" s="475">
        <v>0</v>
      </c>
      <c r="BD731" s="475">
        <v>0</v>
      </c>
      <c r="BE731" s="475">
        <v>0</v>
      </c>
      <c r="BF731" s="475">
        <v>0</v>
      </c>
      <c r="BG731" s="475">
        <v>2000</v>
      </c>
      <c r="BH731" s="476">
        <v>41856</v>
      </c>
      <c r="BI731" s="467"/>
      <c r="BJ731" s="468"/>
    </row>
    <row r="732" spans="1:62">
      <c r="A732" s="469">
        <v>45962</v>
      </c>
      <c r="B732" s="469" t="s">
        <v>747</v>
      </c>
      <c r="C732" s="508" t="s">
        <v>1424</v>
      </c>
      <c r="D732" s="470" t="s">
        <v>749</v>
      </c>
      <c r="E732" s="471">
        <v>511</v>
      </c>
      <c r="F732" s="470" t="s">
        <v>961</v>
      </c>
      <c r="G732" s="470" t="s">
        <v>751</v>
      </c>
      <c r="H732" s="470" t="s">
        <v>12</v>
      </c>
      <c r="I732" s="470" t="s">
        <v>962</v>
      </c>
      <c r="J732" s="472" t="s">
        <v>963</v>
      </c>
      <c r="K732" s="470" t="s">
        <v>964</v>
      </c>
      <c r="L732" s="470" t="s">
        <v>776</v>
      </c>
      <c r="M732" s="470" t="s">
        <v>776</v>
      </c>
      <c r="N732" s="470" t="s">
        <v>1075</v>
      </c>
      <c r="O732" s="472" t="s">
        <v>757</v>
      </c>
      <c r="P732" s="472" t="s">
        <v>738</v>
      </c>
      <c r="Q732" s="472" t="s">
        <v>758</v>
      </c>
      <c r="R732" s="472" t="s">
        <v>12</v>
      </c>
      <c r="S732" s="472" t="s">
        <v>12</v>
      </c>
      <c r="T732" s="472" t="s">
        <v>965</v>
      </c>
      <c r="U732" s="470" t="s">
        <v>966</v>
      </c>
      <c r="V732" s="470" t="s">
        <v>761</v>
      </c>
      <c r="W732" s="470" t="s">
        <v>845</v>
      </c>
      <c r="X732" s="470">
        <v>30</v>
      </c>
      <c r="Y732" s="470">
        <v>0</v>
      </c>
      <c r="Z732" s="470">
        <v>0</v>
      </c>
      <c r="AA732" s="470">
        <v>30</v>
      </c>
      <c r="AB732" s="470">
        <v>30</v>
      </c>
      <c r="AC732" s="473">
        <v>43308</v>
      </c>
      <c r="AD732" s="473">
        <v>43308</v>
      </c>
      <c r="AE732" s="473">
        <v>19489</v>
      </c>
      <c r="AF732" s="473">
        <v>7796</v>
      </c>
      <c r="AG732" s="473">
        <v>1600</v>
      </c>
      <c r="AH732" s="473">
        <v>200</v>
      </c>
      <c r="AI732" s="473">
        <v>1250</v>
      </c>
      <c r="AJ732" s="473">
        <v>1623</v>
      </c>
      <c r="AK732" s="473">
        <v>3898</v>
      </c>
      <c r="AL732" s="473">
        <v>2923</v>
      </c>
      <c r="AM732" s="473">
        <v>195</v>
      </c>
      <c r="AN732" s="473">
        <v>682</v>
      </c>
      <c r="AO732" s="473">
        <v>390</v>
      </c>
      <c r="AP732" s="473">
        <v>97</v>
      </c>
      <c r="AQ732" s="473">
        <v>1800</v>
      </c>
      <c r="AR732" s="473">
        <v>1365</v>
      </c>
      <c r="AS732" s="473">
        <v>0</v>
      </c>
      <c r="AT732" s="473">
        <v>0</v>
      </c>
      <c r="AU732" s="473">
        <v>3756</v>
      </c>
      <c r="AV732" s="473">
        <v>47064</v>
      </c>
      <c r="AW732" s="474">
        <v>43308</v>
      </c>
      <c r="AX732" s="473">
        <v>0</v>
      </c>
      <c r="AY732" s="473">
        <v>0</v>
      </c>
      <c r="AZ732" s="475">
        <v>0</v>
      </c>
      <c r="BA732" s="475">
        <v>200</v>
      </c>
      <c r="BB732" s="475">
        <v>1800</v>
      </c>
      <c r="BC732" s="475">
        <v>0</v>
      </c>
      <c r="BD732" s="475">
        <v>0</v>
      </c>
      <c r="BE732" s="475">
        <v>0</v>
      </c>
      <c r="BF732" s="475">
        <v>0</v>
      </c>
      <c r="BG732" s="475">
        <v>2000</v>
      </c>
      <c r="BH732" s="476">
        <v>45064</v>
      </c>
      <c r="BI732" s="467"/>
      <c r="BJ732" s="468"/>
    </row>
    <row r="733" spans="1:62">
      <c r="A733" s="469">
        <v>45962</v>
      </c>
      <c r="B733" s="469" t="s">
        <v>747</v>
      </c>
      <c r="C733" s="508" t="s">
        <v>1424</v>
      </c>
      <c r="D733" s="470" t="s">
        <v>749</v>
      </c>
      <c r="E733" s="471">
        <v>2062</v>
      </c>
      <c r="F733" s="470" t="s">
        <v>967</v>
      </c>
      <c r="G733" s="470" t="s">
        <v>751</v>
      </c>
      <c r="H733" s="470" t="s">
        <v>12</v>
      </c>
      <c r="I733" s="470" t="s">
        <v>968</v>
      </c>
      <c r="J733" s="472" t="s">
        <v>969</v>
      </c>
      <c r="K733" s="470" t="s">
        <v>970</v>
      </c>
      <c r="L733" s="470" t="s">
        <v>971</v>
      </c>
      <c r="M733" s="470" t="s">
        <v>971</v>
      </c>
      <c r="N733" s="470" t="s">
        <v>756</v>
      </c>
      <c r="O733" s="472" t="s">
        <v>792</v>
      </c>
      <c r="P733" s="472" t="s">
        <v>738</v>
      </c>
      <c r="Q733" s="472" t="s">
        <v>758</v>
      </c>
      <c r="R733" s="472" t="s">
        <v>12</v>
      </c>
      <c r="S733" s="472" t="s">
        <v>12</v>
      </c>
      <c r="T733" s="472" t="s">
        <v>972</v>
      </c>
      <c r="U733" s="470" t="s">
        <v>1362</v>
      </c>
      <c r="V733" s="470" t="s">
        <v>761</v>
      </c>
      <c r="W733" s="470" t="s">
        <v>974</v>
      </c>
      <c r="X733" s="470">
        <v>30</v>
      </c>
      <c r="Y733" s="470">
        <v>0</v>
      </c>
      <c r="Z733" s="470">
        <v>0</v>
      </c>
      <c r="AA733" s="470">
        <v>30</v>
      </c>
      <c r="AB733" s="470">
        <v>30</v>
      </c>
      <c r="AC733" s="473">
        <v>181533</v>
      </c>
      <c r="AD733" s="473">
        <v>181533</v>
      </c>
      <c r="AE733" s="473">
        <v>81690</v>
      </c>
      <c r="AF733" s="473">
        <v>32676</v>
      </c>
      <c r="AG733" s="473">
        <v>1600</v>
      </c>
      <c r="AH733" s="473">
        <v>200</v>
      </c>
      <c r="AI733" s="473">
        <v>1250</v>
      </c>
      <c r="AJ733" s="473">
        <v>6805</v>
      </c>
      <c r="AK733" s="473">
        <v>16338</v>
      </c>
      <c r="AL733" s="473">
        <v>12254</v>
      </c>
      <c r="AM733" s="473">
        <v>817</v>
      </c>
      <c r="AN733" s="473">
        <v>2859</v>
      </c>
      <c r="AO733" s="473">
        <v>1634</v>
      </c>
      <c r="AP733" s="473">
        <v>408</v>
      </c>
      <c r="AQ733" s="473">
        <v>1800</v>
      </c>
      <c r="AR733" s="473">
        <v>21202</v>
      </c>
      <c r="AS733" s="473">
        <v>0</v>
      </c>
      <c r="AT733" s="473">
        <v>0</v>
      </c>
      <c r="AU733" s="473">
        <v>0</v>
      </c>
      <c r="AV733" s="473">
        <v>181533</v>
      </c>
      <c r="AW733" s="474">
        <v>181533</v>
      </c>
      <c r="AX733" s="473">
        <v>0</v>
      </c>
      <c r="AY733" s="473">
        <v>0</v>
      </c>
      <c r="AZ733" s="475">
        <v>18541</v>
      </c>
      <c r="BA733" s="475">
        <v>200</v>
      </c>
      <c r="BB733" s="475">
        <v>1800</v>
      </c>
      <c r="BC733" s="475">
        <v>0</v>
      </c>
      <c r="BD733" s="475">
        <v>0</v>
      </c>
      <c r="BE733" s="475">
        <v>0</v>
      </c>
      <c r="BF733" s="475">
        <v>0</v>
      </c>
      <c r="BG733" s="475">
        <v>20541</v>
      </c>
      <c r="BH733" s="476">
        <v>160992</v>
      </c>
      <c r="BI733" s="467"/>
      <c r="BJ733" s="468"/>
    </row>
    <row r="734" spans="1:62">
      <c r="A734" s="469">
        <v>45962</v>
      </c>
      <c r="B734" s="469" t="s">
        <v>747</v>
      </c>
      <c r="C734" s="508" t="s">
        <v>1424</v>
      </c>
      <c r="D734" s="470" t="s">
        <v>749</v>
      </c>
      <c r="E734" s="471">
        <v>2282</v>
      </c>
      <c r="F734" s="470" t="s">
        <v>1459</v>
      </c>
      <c r="G734" s="470" t="s">
        <v>812</v>
      </c>
      <c r="H734" s="470" t="s">
        <v>12</v>
      </c>
      <c r="I734" s="470" t="s">
        <v>1447</v>
      </c>
      <c r="J734" s="472" t="s">
        <v>1460</v>
      </c>
      <c r="K734" s="470" t="s">
        <v>1461</v>
      </c>
      <c r="L734" s="470" t="s">
        <v>1345</v>
      </c>
      <c r="M734" s="470" t="s">
        <v>994</v>
      </c>
      <c r="N734" s="470" t="s">
        <v>1275</v>
      </c>
      <c r="O734" s="472" t="s">
        <v>757</v>
      </c>
      <c r="P734" s="472" t="s">
        <v>738</v>
      </c>
      <c r="Q734" s="472" t="s">
        <v>758</v>
      </c>
      <c r="R734" s="472" t="s">
        <v>12</v>
      </c>
      <c r="S734" s="472" t="s">
        <v>12</v>
      </c>
      <c r="T734" s="472" t="s">
        <v>1462</v>
      </c>
      <c r="U734" s="470" t="s">
        <v>1463</v>
      </c>
      <c r="V734" s="470" t="s">
        <v>761</v>
      </c>
      <c r="W734" s="470" t="s">
        <v>1464</v>
      </c>
      <c r="X734" s="470">
        <v>30</v>
      </c>
      <c r="Y734" s="470">
        <v>0</v>
      </c>
      <c r="Z734" s="470">
        <v>0</v>
      </c>
      <c r="AA734" s="470">
        <v>11</v>
      </c>
      <c r="AB734" s="470">
        <v>11</v>
      </c>
      <c r="AC734" s="473">
        <v>76500</v>
      </c>
      <c r="AD734" s="473">
        <v>76500</v>
      </c>
      <c r="AE734" s="473">
        <v>12623</v>
      </c>
      <c r="AF734" s="473">
        <v>5049</v>
      </c>
      <c r="AG734" s="473">
        <v>587</v>
      </c>
      <c r="AH734" s="473">
        <v>200</v>
      </c>
      <c r="AI734" s="473">
        <v>458</v>
      </c>
      <c r="AJ734" s="473">
        <v>1052</v>
      </c>
      <c r="AK734" s="473">
        <v>2525</v>
      </c>
      <c r="AL734" s="473">
        <v>1893</v>
      </c>
      <c r="AM734" s="473">
        <v>126</v>
      </c>
      <c r="AN734" s="473">
        <v>442</v>
      </c>
      <c r="AO734" s="473">
        <v>252</v>
      </c>
      <c r="AP734" s="473">
        <v>63</v>
      </c>
      <c r="AQ734" s="473">
        <v>1515</v>
      </c>
      <c r="AR734" s="473">
        <v>1265</v>
      </c>
      <c r="AS734" s="473">
        <v>0</v>
      </c>
      <c r="AT734" s="473">
        <v>0</v>
      </c>
      <c r="AU734" s="473">
        <v>0</v>
      </c>
      <c r="AV734" s="473">
        <v>28050</v>
      </c>
      <c r="AW734" s="474">
        <v>28050</v>
      </c>
      <c r="AX734" s="473">
        <v>0</v>
      </c>
      <c r="AY734" s="473">
        <v>160</v>
      </c>
      <c r="AZ734" s="475">
        <v>0</v>
      </c>
      <c r="BA734" s="475">
        <v>200</v>
      </c>
      <c r="BB734" s="475">
        <v>1515</v>
      </c>
      <c r="BC734" s="475">
        <v>0</v>
      </c>
      <c r="BD734" s="475">
        <v>0</v>
      </c>
      <c r="BE734" s="475">
        <v>0</v>
      </c>
      <c r="BF734" s="475">
        <v>0</v>
      </c>
      <c r="BG734" s="475">
        <v>1875</v>
      </c>
      <c r="BH734" s="476">
        <v>26175</v>
      </c>
      <c r="BI734" s="467"/>
      <c r="BJ734" s="468"/>
    </row>
    <row r="735" spans="1:62">
      <c r="A735" s="469">
        <v>45962</v>
      </c>
      <c r="B735" s="469" t="s">
        <v>747</v>
      </c>
      <c r="C735" s="508" t="s">
        <v>1424</v>
      </c>
      <c r="D735" s="470" t="s">
        <v>749</v>
      </c>
      <c r="E735" s="471">
        <v>1092</v>
      </c>
      <c r="F735" s="470" t="s">
        <v>975</v>
      </c>
      <c r="G735" s="470" t="s">
        <v>751</v>
      </c>
      <c r="H735" s="470" t="s">
        <v>12</v>
      </c>
      <c r="I735" s="470" t="s">
        <v>976</v>
      </c>
      <c r="J735" s="472" t="s">
        <v>977</v>
      </c>
      <c r="K735" s="470" t="s">
        <v>978</v>
      </c>
      <c r="L735" s="470" t="s">
        <v>1345</v>
      </c>
      <c r="M735" s="470" t="s">
        <v>1345</v>
      </c>
      <c r="N735" s="470" t="s">
        <v>1275</v>
      </c>
      <c r="O735" s="472" t="s">
        <v>757</v>
      </c>
      <c r="P735" s="472" t="s">
        <v>738</v>
      </c>
      <c r="Q735" s="472" t="s">
        <v>758</v>
      </c>
      <c r="R735" s="472" t="s">
        <v>12</v>
      </c>
      <c r="S735" s="472" t="s">
        <v>12</v>
      </c>
      <c r="T735" s="472" t="s">
        <v>981</v>
      </c>
      <c r="U735" s="470" t="s">
        <v>982</v>
      </c>
      <c r="V735" s="470" t="s">
        <v>761</v>
      </c>
      <c r="W735" s="470" t="s">
        <v>762</v>
      </c>
      <c r="X735" s="470">
        <v>30</v>
      </c>
      <c r="Y735" s="470">
        <v>0</v>
      </c>
      <c r="Z735" s="470">
        <v>0</v>
      </c>
      <c r="AA735" s="470">
        <v>30</v>
      </c>
      <c r="AB735" s="470">
        <v>30</v>
      </c>
      <c r="AC735" s="473">
        <v>71927</v>
      </c>
      <c r="AD735" s="473">
        <v>71927</v>
      </c>
      <c r="AE735" s="473">
        <v>32367</v>
      </c>
      <c r="AF735" s="473">
        <v>12947</v>
      </c>
      <c r="AG735" s="473">
        <v>1600</v>
      </c>
      <c r="AH735" s="473">
        <v>200</v>
      </c>
      <c r="AI735" s="473">
        <v>1250</v>
      </c>
      <c r="AJ735" s="473">
        <v>2696</v>
      </c>
      <c r="AK735" s="473">
        <v>6473</v>
      </c>
      <c r="AL735" s="473">
        <v>4855</v>
      </c>
      <c r="AM735" s="473">
        <v>324</v>
      </c>
      <c r="AN735" s="473">
        <v>1133</v>
      </c>
      <c r="AO735" s="473">
        <v>647</v>
      </c>
      <c r="AP735" s="473">
        <v>162</v>
      </c>
      <c r="AQ735" s="473">
        <v>1800</v>
      </c>
      <c r="AR735" s="473">
        <v>5473</v>
      </c>
      <c r="AS735" s="473">
        <v>0</v>
      </c>
      <c r="AT735" s="473">
        <v>0</v>
      </c>
      <c r="AU735" s="473">
        <v>1621</v>
      </c>
      <c r="AV735" s="473">
        <v>73548</v>
      </c>
      <c r="AW735" s="474">
        <v>71927</v>
      </c>
      <c r="AX735" s="473">
        <v>0</v>
      </c>
      <c r="AY735" s="473">
        <v>0</v>
      </c>
      <c r="AZ735" s="475">
        <v>0</v>
      </c>
      <c r="BA735" s="475">
        <v>200</v>
      </c>
      <c r="BB735" s="475">
        <v>1800</v>
      </c>
      <c r="BC735" s="475">
        <v>0</v>
      </c>
      <c r="BD735" s="475">
        <v>0</v>
      </c>
      <c r="BE735" s="475">
        <v>0</v>
      </c>
      <c r="BF735" s="475">
        <v>0</v>
      </c>
      <c r="BG735" s="475">
        <v>2000</v>
      </c>
      <c r="BH735" s="476">
        <v>71548</v>
      </c>
      <c r="BI735" s="467"/>
      <c r="BJ735" s="468"/>
    </row>
    <row r="736" spans="1:62">
      <c r="A736" s="469">
        <v>45962</v>
      </c>
      <c r="B736" s="469" t="s">
        <v>747</v>
      </c>
      <c r="C736" s="508" t="s">
        <v>1424</v>
      </c>
      <c r="D736" s="470" t="s">
        <v>749</v>
      </c>
      <c r="E736" s="471">
        <v>1506</v>
      </c>
      <c r="F736" s="470" t="s">
        <v>983</v>
      </c>
      <c r="G736" s="470" t="s">
        <v>751</v>
      </c>
      <c r="H736" s="470" t="s">
        <v>12</v>
      </c>
      <c r="I736" s="470" t="s">
        <v>984</v>
      </c>
      <c r="J736" s="472" t="s">
        <v>985</v>
      </c>
      <c r="K736" s="470" t="s">
        <v>986</v>
      </c>
      <c r="L736" s="470" t="s">
        <v>987</v>
      </c>
      <c r="M736" s="470" t="s">
        <v>987</v>
      </c>
      <c r="N736" s="470" t="s">
        <v>756</v>
      </c>
      <c r="O736" s="472" t="s">
        <v>757</v>
      </c>
      <c r="P736" s="472" t="s">
        <v>738</v>
      </c>
      <c r="Q736" s="472" t="s">
        <v>758</v>
      </c>
      <c r="R736" s="472" t="s">
        <v>12</v>
      </c>
      <c r="S736" s="472" t="s">
        <v>12</v>
      </c>
      <c r="T736" s="472" t="s">
        <v>988</v>
      </c>
      <c r="U736" s="470" t="s">
        <v>989</v>
      </c>
      <c r="V736" s="470" t="s">
        <v>761</v>
      </c>
      <c r="W736" s="470" t="s">
        <v>762</v>
      </c>
      <c r="X736" s="470">
        <v>30</v>
      </c>
      <c r="Y736" s="470">
        <v>0</v>
      </c>
      <c r="Z736" s="470">
        <v>0</v>
      </c>
      <c r="AA736" s="470">
        <v>30</v>
      </c>
      <c r="AB736" s="470">
        <v>30</v>
      </c>
      <c r="AC736" s="473">
        <v>49575</v>
      </c>
      <c r="AD736" s="473">
        <v>49575</v>
      </c>
      <c r="AE736" s="473">
        <v>22309</v>
      </c>
      <c r="AF736" s="473">
        <v>8924</v>
      </c>
      <c r="AG736" s="473">
        <v>1600</v>
      </c>
      <c r="AH736" s="473">
        <v>200</v>
      </c>
      <c r="AI736" s="473">
        <v>1250</v>
      </c>
      <c r="AJ736" s="473">
        <v>1858</v>
      </c>
      <c r="AK736" s="473">
        <v>4462</v>
      </c>
      <c r="AL736" s="473">
        <v>3346</v>
      </c>
      <c r="AM736" s="473">
        <v>223</v>
      </c>
      <c r="AN736" s="473">
        <v>781</v>
      </c>
      <c r="AO736" s="473">
        <v>446</v>
      </c>
      <c r="AP736" s="473">
        <v>112</v>
      </c>
      <c r="AQ736" s="473">
        <v>1800</v>
      </c>
      <c r="AR736" s="473">
        <v>2264</v>
      </c>
      <c r="AS736" s="473">
        <v>0</v>
      </c>
      <c r="AT736" s="473">
        <v>0</v>
      </c>
      <c r="AU736" s="473">
        <v>0</v>
      </c>
      <c r="AV736" s="473">
        <v>49575</v>
      </c>
      <c r="AW736" s="474">
        <v>49575</v>
      </c>
      <c r="AX736" s="473">
        <v>0</v>
      </c>
      <c r="AY736" s="473">
        <v>0</v>
      </c>
      <c r="AZ736" s="475">
        <v>0</v>
      </c>
      <c r="BA736" s="475">
        <v>200</v>
      </c>
      <c r="BB736" s="475">
        <v>1800</v>
      </c>
      <c r="BC736" s="475">
        <v>0</v>
      </c>
      <c r="BD736" s="475">
        <v>0</v>
      </c>
      <c r="BE736" s="475">
        <v>0</v>
      </c>
      <c r="BF736" s="475">
        <v>0</v>
      </c>
      <c r="BG736" s="475">
        <v>2000</v>
      </c>
      <c r="BH736" s="476">
        <v>47575</v>
      </c>
      <c r="BI736" s="467"/>
      <c r="BJ736" s="468"/>
    </row>
    <row r="737" spans="1:62">
      <c r="A737" s="469">
        <v>45962</v>
      </c>
      <c r="B737" s="469" t="s">
        <v>747</v>
      </c>
      <c r="C737" s="508" t="s">
        <v>1424</v>
      </c>
      <c r="D737" s="470" t="s">
        <v>749</v>
      </c>
      <c r="E737" s="471">
        <v>1700</v>
      </c>
      <c r="F737" s="470" t="s">
        <v>990</v>
      </c>
      <c r="G737" s="470" t="s">
        <v>751</v>
      </c>
      <c r="H737" s="470" t="s">
        <v>12</v>
      </c>
      <c r="I737" s="470" t="s">
        <v>991</v>
      </c>
      <c r="J737" s="472" t="s">
        <v>992</v>
      </c>
      <c r="K737" s="470" t="s">
        <v>993</v>
      </c>
      <c r="L737" s="470" t="s">
        <v>1345</v>
      </c>
      <c r="M737" s="470" t="s">
        <v>1345</v>
      </c>
      <c r="N737" s="470" t="s">
        <v>1275</v>
      </c>
      <c r="O737" s="472" t="s">
        <v>757</v>
      </c>
      <c r="P737" s="472" t="s">
        <v>738</v>
      </c>
      <c r="Q737" s="472" t="s">
        <v>758</v>
      </c>
      <c r="R737" s="472" t="s">
        <v>12</v>
      </c>
      <c r="S737" s="472" t="s">
        <v>12</v>
      </c>
      <c r="T737" s="472" t="s">
        <v>995</v>
      </c>
      <c r="U737" s="470" t="s">
        <v>996</v>
      </c>
      <c r="V737" s="470" t="s">
        <v>761</v>
      </c>
      <c r="W737" s="470" t="s">
        <v>859</v>
      </c>
      <c r="X737" s="470">
        <v>30</v>
      </c>
      <c r="Y737" s="470">
        <v>0</v>
      </c>
      <c r="Z737" s="470">
        <v>0</v>
      </c>
      <c r="AA737" s="470">
        <v>30</v>
      </c>
      <c r="AB737" s="470">
        <v>30</v>
      </c>
      <c r="AC737" s="473">
        <v>79907</v>
      </c>
      <c r="AD737" s="473">
        <v>79907</v>
      </c>
      <c r="AE737" s="473">
        <v>35958</v>
      </c>
      <c r="AF737" s="473">
        <v>14383</v>
      </c>
      <c r="AG737" s="473">
        <v>1600</v>
      </c>
      <c r="AH737" s="473">
        <v>200</v>
      </c>
      <c r="AI737" s="473">
        <v>1250</v>
      </c>
      <c r="AJ737" s="473">
        <v>2995</v>
      </c>
      <c r="AK737" s="473">
        <v>7192</v>
      </c>
      <c r="AL737" s="473">
        <v>5394</v>
      </c>
      <c r="AM737" s="473">
        <v>360</v>
      </c>
      <c r="AN737" s="473">
        <v>1259</v>
      </c>
      <c r="AO737" s="473">
        <v>719</v>
      </c>
      <c r="AP737" s="473">
        <v>180</v>
      </c>
      <c r="AQ737" s="473">
        <v>1800</v>
      </c>
      <c r="AR737" s="473">
        <v>6617</v>
      </c>
      <c r="AS737" s="473">
        <v>0</v>
      </c>
      <c r="AT737" s="473">
        <v>10654</v>
      </c>
      <c r="AU737" s="473">
        <v>1867</v>
      </c>
      <c r="AV737" s="473">
        <v>92428</v>
      </c>
      <c r="AW737" s="474">
        <v>90561</v>
      </c>
      <c r="AX737" s="473">
        <v>0</v>
      </c>
      <c r="AY737" s="473">
        <v>0</v>
      </c>
      <c r="AZ737" s="475">
        <v>0</v>
      </c>
      <c r="BA737" s="475">
        <v>200</v>
      </c>
      <c r="BB737" s="475">
        <v>1800</v>
      </c>
      <c r="BC737" s="475">
        <v>0</v>
      </c>
      <c r="BD737" s="475">
        <v>0</v>
      </c>
      <c r="BE737" s="475">
        <v>0</v>
      </c>
      <c r="BF737" s="475">
        <v>0</v>
      </c>
      <c r="BG737" s="475">
        <v>2000</v>
      </c>
      <c r="BH737" s="476">
        <v>90428</v>
      </c>
      <c r="BI737" s="467"/>
      <c r="BJ737" s="468"/>
    </row>
    <row r="738" spans="1:62">
      <c r="A738" s="469">
        <v>45962</v>
      </c>
      <c r="B738" s="469" t="s">
        <v>747</v>
      </c>
      <c r="C738" s="508" t="s">
        <v>1424</v>
      </c>
      <c r="D738" s="470" t="s">
        <v>749</v>
      </c>
      <c r="E738" s="471">
        <v>2270</v>
      </c>
      <c r="F738" s="470" t="s">
        <v>1465</v>
      </c>
      <c r="G738" s="470" t="s">
        <v>751</v>
      </c>
      <c r="H738" s="470" t="s">
        <v>12</v>
      </c>
      <c r="I738" s="470" t="s">
        <v>1426</v>
      </c>
      <c r="J738" s="472" t="s">
        <v>1466</v>
      </c>
      <c r="K738" s="470" t="s">
        <v>1467</v>
      </c>
      <c r="L738" s="470" t="s">
        <v>824</v>
      </c>
      <c r="M738" s="470" t="s">
        <v>824</v>
      </c>
      <c r="N738" s="470" t="s">
        <v>1275</v>
      </c>
      <c r="O738" s="472" t="s">
        <v>1276</v>
      </c>
      <c r="P738" s="472" t="s">
        <v>738</v>
      </c>
      <c r="Q738" s="472" t="s">
        <v>758</v>
      </c>
      <c r="R738" s="472" t="s">
        <v>12</v>
      </c>
      <c r="S738" s="472" t="s">
        <v>12</v>
      </c>
      <c r="T738" s="472" t="s">
        <v>1468</v>
      </c>
      <c r="U738" s="470" t="s">
        <v>1469</v>
      </c>
      <c r="V738" s="470" t="s">
        <v>761</v>
      </c>
      <c r="W738" s="470" t="s">
        <v>1361</v>
      </c>
      <c r="X738" s="470">
        <v>30</v>
      </c>
      <c r="Y738" s="470">
        <v>0</v>
      </c>
      <c r="Z738" s="470">
        <v>5</v>
      </c>
      <c r="AA738" s="470">
        <v>9</v>
      </c>
      <c r="AB738" s="470">
        <v>9</v>
      </c>
      <c r="AC738" s="473">
        <v>44033</v>
      </c>
      <c r="AD738" s="473">
        <v>44033</v>
      </c>
      <c r="AE738" s="473">
        <v>5945</v>
      </c>
      <c r="AF738" s="473">
        <v>2378</v>
      </c>
      <c r="AG738" s="473">
        <v>480</v>
      </c>
      <c r="AH738" s="473">
        <v>167</v>
      </c>
      <c r="AI738" s="473">
        <v>375</v>
      </c>
      <c r="AJ738" s="473">
        <v>495</v>
      </c>
      <c r="AK738" s="473">
        <v>1189</v>
      </c>
      <c r="AL738" s="473">
        <v>892</v>
      </c>
      <c r="AM738" s="473">
        <v>59</v>
      </c>
      <c r="AN738" s="473">
        <v>208</v>
      </c>
      <c r="AO738" s="473">
        <v>119</v>
      </c>
      <c r="AP738" s="473">
        <v>30</v>
      </c>
      <c r="AQ738" s="473">
        <v>713</v>
      </c>
      <c r="AR738" s="473">
        <v>160</v>
      </c>
      <c r="AS738" s="473">
        <v>0</v>
      </c>
      <c r="AT738" s="473">
        <v>0</v>
      </c>
      <c r="AU738" s="473">
        <v>0</v>
      </c>
      <c r="AV738" s="473">
        <v>13210</v>
      </c>
      <c r="AW738" s="474">
        <v>13210</v>
      </c>
      <c r="AX738" s="473">
        <v>0</v>
      </c>
      <c r="AY738" s="473">
        <v>0</v>
      </c>
      <c r="AZ738" s="475">
        <v>0</v>
      </c>
      <c r="BA738" s="475">
        <v>200</v>
      </c>
      <c r="BB738" s="475">
        <v>713</v>
      </c>
      <c r="BC738" s="475">
        <v>0</v>
      </c>
      <c r="BD738" s="475">
        <v>0</v>
      </c>
      <c r="BE738" s="475">
        <v>0</v>
      </c>
      <c r="BF738" s="475">
        <v>0</v>
      </c>
      <c r="BG738" s="475">
        <v>913</v>
      </c>
      <c r="BH738" s="476">
        <v>12297</v>
      </c>
      <c r="BI738" s="467"/>
      <c r="BJ738" s="468"/>
    </row>
    <row r="739" spans="1:62">
      <c r="A739" s="469">
        <v>45962</v>
      </c>
      <c r="B739" s="469" t="s">
        <v>747</v>
      </c>
      <c r="C739" s="508" t="s">
        <v>1424</v>
      </c>
      <c r="D739" s="470" t="s">
        <v>749</v>
      </c>
      <c r="E739" s="471">
        <v>1033</v>
      </c>
      <c r="F739" s="470" t="s">
        <v>668</v>
      </c>
      <c r="G739" s="470" t="s">
        <v>751</v>
      </c>
      <c r="H739" s="470" t="s">
        <v>12</v>
      </c>
      <c r="I739" s="470" t="s">
        <v>1003</v>
      </c>
      <c r="J739" s="472" t="s">
        <v>1004</v>
      </c>
      <c r="K739" s="470" t="s">
        <v>1005</v>
      </c>
      <c r="L739" s="470" t="s">
        <v>1291</v>
      </c>
      <c r="M739" s="470" t="s">
        <v>1291</v>
      </c>
      <c r="N739" s="470" t="s">
        <v>1275</v>
      </c>
      <c r="O739" s="472" t="s">
        <v>757</v>
      </c>
      <c r="P739" s="472" t="s">
        <v>738</v>
      </c>
      <c r="Q739" s="472" t="s">
        <v>758</v>
      </c>
      <c r="R739" s="472" t="s">
        <v>12</v>
      </c>
      <c r="S739" s="472" t="s">
        <v>12</v>
      </c>
      <c r="T739" s="472" t="s">
        <v>1007</v>
      </c>
      <c r="U739" s="470" t="s">
        <v>1008</v>
      </c>
      <c r="V739" s="470" t="s">
        <v>761</v>
      </c>
      <c r="W739" s="470" t="s">
        <v>1009</v>
      </c>
      <c r="X739" s="470">
        <v>30</v>
      </c>
      <c r="Y739" s="470">
        <v>0</v>
      </c>
      <c r="Z739" s="470">
        <v>0</v>
      </c>
      <c r="AA739" s="470">
        <v>30</v>
      </c>
      <c r="AB739" s="470">
        <v>30</v>
      </c>
      <c r="AC739" s="473">
        <v>118333</v>
      </c>
      <c r="AD739" s="473">
        <v>118333</v>
      </c>
      <c r="AE739" s="473">
        <v>53250</v>
      </c>
      <c r="AF739" s="473">
        <v>21300</v>
      </c>
      <c r="AG739" s="473">
        <v>1600</v>
      </c>
      <c r="AH739" s="473">
        <v>200</v>
      </c>
      <c r="AI739" s="473">
        <v>1250</v>
      </c>
      <c r="AJ739" s="473">
        <v>4436</v>
      </c>
      <c r="AK739" s="473">
        <v>10650</v>
      </c>
      <c r="AL739" s="473">
        <v>7988</v>
      </c>
      <c r="AM739" s="473">
        <v>533</v>
      </c>
      <c r="AN739" s="473">
        <v>1864</v>
      </c>
      <c r="AO739" s="473">
        <v>1065</v>
      </c>
      <c r="AP739" s="473">
        <v>266</v>
      </c>
      <c r="AQ739" s="473">
        <v>1800</v>
      </c>
      <c r="AR739" s="473">
        <v>12131</v>
      </c>
      <c r="AS739" s="473">
        <v>0</v>
      </c>
      <c r="AT739" s="473">
        <v>3944</v>
      </c>
      <c r="AU739" s="473">
        <v>4122</v>
      </c>
      <c r="AV739" s="473">
        <v>126399</v>
      </c>
      <c r="AW739" s="474">
        <v>122277</v>
      </c>
      <c r="AX739" s="473">
        <v>0</v>
      </c>
      <c r="AY739" s="473">
        <v>0</v>
      </c>
      <c r="AZ739" s="475">
        <v>9807</v>
      </c>
      <c r="BA739" s="475">
        <v>200</v>
      </c>
      <c r="BB739" s="475">
        <v>1800</v>
      </c>
      <c r="BC739" s="475">
        <v>0</v>
      </c>
      <c r="BD739" s="475">
        <v>0</v>
      </c>
      <c r="BE739" s="475">
        <v>0</v>
      </c>
      <c r="BF739" s="475">
        <v>12500</v>
      </c>
      <c r="BG739" s="475">
        <v>24307</v>
      </c>
      <c r="BH739" s="476">
        <v>102092</v>
      </c>
      <c r="BI739" s="467"/>
      <c r="BJ739" s="468"/>
    </row>
    <row r="740" spans="1:62">
      <c r="A740" s="469">
        <v>45962</v>
      </c>
      <c r="B740" s="469" t="s">
        <v>747</v>
      </c>
      <c r="C740" s="508" t="s">
        <v>1424</v>
      </c>
      <c r="D740" s="470" t="s">
        <v>749</v>
      </c>
      <c r="E740" s="471">
        <v>737</v>
      </c>
      <c r="F740" s="470" t="s">
        <v>1023</v>
      </c>
      <c r="G740" s="470" t="s">
        <v>751</v>
      </c>
      <c r="H740" s="470" t="s">
        <v>12</v>
      </c>
      <c r="I740" s="470" t="s">
        <v>1024</v>
      </c>
      <c r="J740" s="472" t="s">
        <v>1025</v>
      </c>
      <c r="K740" s="470" t="s">
        <v>1026</v>
      </c>
      <c r="L740" s="470" t="s">
        <v>979</v>
      </c>
      <c r="M740" s="470" t="s">
        <v>979</v>
      </c>
      <c r="N740" s="470" t="s">
        <v>833</v>
      </c>
      <c r="O740" s="472" t="s">
        <v>757</v>
      </c>
      <c r="P740" s="472" t="s">
        <v>738</v>
      </c>
      <c r="Q740" s="472" t="s">
        <v>758</v>
      </c>
      <c r="R740" s="472" t="s">
        <v>12</v>
      </c>
      <c r="S740" s="472" t="s">
        <v>12</v>
      </c>
      <c r="T740" s="472" t="s">
        <v>1029</v>
      </c>
      <c r="U740" s="470" t="s">
        <v>1030</v>
      </c>
      <c r="V740" s="470" t="s">
        <v>761</v>
      </c>
      <c r="W740" s="470" t="s">
        <v>762</v>
      </c>
      <c r="X740" s="470">
        <v>30</v>
      </c>
      <c r="Y740" s="470">
        <v>0</v>
      </c>
      <c r="Z740" s="470">
        <v>1</v>
      </c>
      <c r="AA740" s="470">
        <v>29</v>
      </c>
      <c r="AB740" s="470">
        <v>29</v>
      </c>
      <c r="AC740" s="473">
        <v>22933</v>
      </c>
      <c r="AD740" s="473">
        <v>22933</v>
      </c>
      <c r="AE740" s="473">
        <v>9976</v>
      </c>
      <c r="AF740" s="473">
        <v>3990</v>
      </c>
      <c r="AG740" s="473">
        <v>1547</v>
      </c>
      <c r="AH740" s="473">
        <v>193</v>
      </c>
      <c r="AI740" s="473">
        <v>1208</v>
      </c>
      <c r="AJ740" s="473">
        <v>0</v>
      </c>
      <c r="AK740" s="473">
        <v>0</v>
      </c>
      <c r="AL740" s="473">
        <v>0</v>
      </c>
      <c r="AM740" s="473">
        <v>0</v>
      </c>
      <c r="AN740" s="473">
        <v>0</v>
      </c>
      <c r="AO740" s="473">
        <v>0</v>
      </c>
      <c r="AP740" s="473">
        <v>0</v>
      </c>
      <c r="AQ740" s="473">
        <v>1197</v>
      </c>
      <c r="AR740" s="473">
        <v>4058</v>
      </c>
      <c r="AS740" s="473">
        <v>0</v>
      </c>
      <c r="AT740" s="473">
        <v>0</v>
      </c>
      <c r="AU740" s="473">
        <v>4220</v>
      </c>
      <c r="AV740" s="473">
        <v>26389</v>
      </c>
      <c r="AW740" s="474">
        <v>22169</v>
      </c>
      <c r="AX740" s="473">
        <v>0</v>
      </c>
      <c r="AY740" s="473">
        <v>0</v>
      </c>
      <c r="AZ740" s="475">
        <v>0</v>
      </c>
      <c r="BA740" s="475">
        <v>200</v>
      </c>
      <c r="BB740" s="475">
        <v>1197</v>
      </c>
      <c r="BC740" s="475">
        <v>0</v>
      </c>
      <c r="BD740" s="475">
        <v>0</v>
      </c>
      <c r="BE740" s="475">
        <v>0</v>
      </c>
      <c r="BF740" s="475">
        <v>0</v>
      </c>
      <c r="BG740" s="475">
        <v>1397</v>
      </c>
      <c r="BH740" s="476">
        <v>24992</v>
      </c>
      <c r="BI740" s="467"/>
      <c r="BJ740" s="468"/>
    </row>
    <row r="741" spans="1:62">
      <c r="A741" s="469">
        <v>45962</v>
      </c>
      <c r="B741" s="469" t="s">
        <v>747</v>
      </c>
      <c r="C741" s="508" t="s">
        <v>1424</v>
      </c>
      <c r="D741" s="470" t="s">
        <v>749</v>
      </c>
      <c r="E741" s="471">
        <v>649</v>
      </c>
      <c r="F741" s="470" t="s">
        <v>1031</v>
      </c>
      <c r="G741" s="470" t="s">
        <v>812</v>
      </c>
      <c r="H741" s="470" t="s">
        <v>12</v>
      </c>
      <c r="I741" s="470" t="s">
        <v>1032</v>
      </c>
      <c r="J741" s="472" t="s">
        <v>1033</v>
      </c>
      <c r="K741" s="470" t="s">
        <v>1034</v>
      </c>
      <c r="L741" s="470" t="s">
        <v>971</v>
      </c>
      <c r="M741" s="470" t="s">
        <v>971</v>
      </c>
      <c r="N741" s="470" t="s">
        <v>833</v>
      </c>
      <c r="O741" s="472" t="s">
        <v>792</v>
      </c>
      <c r="P741" s="472" t="s">
        <v>738</v>
      </c>
      <c r="Q741" s="472" t="s">
        <v>758</v>
      </c>
      <c r="R741" s="472" t="s">
        <v>12</v>
      </c>
      <c r="S741" s="472" t="s">
        <v>12</v>
      </c>
      <c r="T741" s="472" t="s">
        <v>1036</v>
      </c>
      <c r="U741" s="470" t="s">
        <v>1037</v>
      </c>
      <c r="V741" s="470" t="s">
        <v>761</v>
      </c>
      <c r="W741" s="470" t="s">
        <v>762</v>
      </c>
      <c r="X741" s="470">
        <v>30</v>
      </c>
      <c r="Y741" s="470">
        <v>0</v>
      </c>
      <c r="Z741" s="470">
        <v>0.5</v>
      </c>
      <c r="AA741" s="470">
        <v>29.5</v>
      </c>
      <c r="AB741" s="470">
        <v>29.5</v>
      </c>
      <c r="AC741" s="473">
        <v>158333</v>
      </c>
      <c r="AD741" s="473">
        <v>158333</v>
      </c>
      <c r="AE741" s="473">
        <v>70062</v>
      </c>
      <c r="AF741" s="473">
        <v>28025</v>
      </c>
      <c r="AG741" s="473">
        <v>1573</v>
      </c>
      <c r="AH741" s="473">
        <v>197</v>
      </c>
      <c r="AI741" s="473">
        <v>1229</v>
      </c>
      <c r="AJ741" s="473">
        <v>5836</v>
      </c>
      <c r="AK741" s="473">
        <v>14012</v>
      </c>
      <c r="AL741" s="473">
        <v>10509</v>
      </c>
      <c r="AM741" s="473">
        <v>701</v>
      </c>
      <c r="AN741" s="473">
        <v>2452</v>
      </c>
      <c r="AO741" s="473">
        <v>1401</v>
      </c>
      <c r="AP741" s="473">
        <v>350</v>
      </c>
      <c r="AQ741" s="473">
        <v>1800</v>
      </c>
      <c r="AR741" s="473">
        <v>17547</v>
      </c>
      <c r="AS741" s="473">
        <v>0</v>
      </c>
      <c r="AT741" s="473">
        <v>0</v>
      </c>
      <c r="AU741" s="473">
        <v>0</v>
      </c>
      <c r="AV741" s="473">
        <v>155694</v>
      </c>
      <c r="AW741" s="474">
        <v>155694</v>
      </c>
      <c r="AX741" s="473">
        <v>0</v>
      </c>
      <c r="AY741" s="473">
        <v>0</v>
      </c>
      <c r="AZ741" s="475">
        <v>33049</v>
      </c>
      <c r="BA741" s="475">
        <v>200</v>
      </c>
      <c r="BB741" s="475">
        <v>1800</v>
      </c>
      <c r="BC741" s="475">
        <v>0</v>
      </c>
      <c r="BD741" s="475">
        <v>0</v>
      </c>
      <c r="BE741" s="475">
        <v>0</v>
      </c>
      <c r="BF741" s="475">
        <v>0</v>
      </c>
      <c r="BG741" s="475">
        <v>35049</v>
      </c>
      <c r="BH741" s="476">
        <v>120645</v>
      </c>
      <c r="BI741" s="467"/>
      <c r="BJ741" s="468"/>
    </row>
    <row r="742" spans="1:62">
      <c r="A742" s="469">
        <v>45962</v>
      </c>
      <c r="B742" s="469" t="s">
        <v>747</v>
      </c>
      <c r="C742" s="508" t="s">
        <v>1424</v>
      </c>
      <c r="D742" s="470" t="s">
        <v>749</v>
      </c>
      <c r="E742" s="471">
        <v>1746</v>
      </c>
      <c r="F742" s="470" t="s">
        <v>1038</v>
      </c>
      <c r="G742" s="470" t="s">
        <v>751</v>
      </c>
      <c r="H742" s="470" t="s">
        <v>12</v>
      </c>
      <c r="I742" s="470" t="s">
        <v>1039</v>
      </c>
      <c r="J742" s="472" t="s">
        <v>1040</v>
      </c>
      <c r="K742" s="470" t="s">
        <v>1041</v>
      </c>
      <c r="L742" s="470" t="s">
        <v>1042</v>
      </c>
      <c r="M742" s="470" t="s">
        <v>1042</v>
      </c>
      <c r="N742" s="470" t="s">
        <v>833</v>
      </c>
      <c r="O742" s="472" t="s">
        <v>1043</v>
      </c>
      <c r="P742" s="472" t="s">
        <v>738</v>
      </c>
      <c r="Q742" s="472" t="s">
        <v>758</v>
      </c>
      <c r="R742" s="472" t="s">
        <v>12</v>
      </c>
      <c r="S742" s="472" t="s">
        <v>12</v>
      </c>
      <c r="T742" s="472" t="s">
        <v>1044</v>
      </c>
      <c r="U742" s="470" t="s">
        <v>1045</v>
      </c>
      <c r="V742" s="470" t="s">
        <v>761</v>
      </c>
      <c r="W742" s="470" t="s">
        <v>762</v>
      </c>
      <c r="X742" s="470">
        <v>30</v>
      </c>
      <c r="Y742" s="470">
        <v>0</v>
      </c>
      <c r="Z742" s="470">
        <v>0</v>
      </c>
      <c r="AA742" s="470">
        <v>30</v>
      </c>
      <c r="AB742" s="470">
        <v>30</v>
      </c>
      <c r="AC742" s="473">
        <v>28500</v>
      </c>
      <c r="AD742" s="473">
        <v>28500</v>
      </c>
      <c r="AE742" s="473">
        <v>12825</v>
      </c>
      <c r="AF742" s="473">
        <v>5130</v>
      </c>
      <c r="AG742" s="473">
        <v>1600</v>
      </c>
      <c r="AH742" s="473">
        <v>200</v>
      </c>
      <c r="AI742" s="473">
        <v>1250</v>
      </c>
      <c r="AJ742" s="473">
        <v>0</v>
      </c>
      <c r="AK742" s="473">
        <v>0</v>
      </c>
      <c r="AL742" s="473">
        <v>0</v>
      </c>
      <c r="AM742" s="473">
        <v>0</v>
      </c>
      <c r="AN742" s="473">
        <v>0</v>
      </c>
      <c r="AO742" s="473">
        <v>0</v>
      </c>
      <c r="AP742" s="473">
        <v>0</v>
      </c>
      <c r="AQ742" s="473">
        <v>1539</v>
      </c>
      <c r="AR742" s="473">
        <v>5956</v>
      </c>
      <c r="AS742" s="473">
        <v>0</v>
      </c>
      <c r="AT742" s="473">
        <v>0</v>
      </c>
      <c r="AU742" s="473">
        <v>4694</v>
      </c>
      <c r="AV742" s="473">
        <v>33194</v>
      </c>
      <c r="AW742" s="474">
        <v>28500</v>
      </c>
      <c r="AX742" s="473">
        <v>0</v>
      </c>
      <c r="AY742" s="473">
        <v>0</v>
      </c>
      <c r="AZ742" s="475">
        <v>0</v>
      </c>
      <c r="BA742" s="475">
        <v>200</v>
      </c>
      <c r="BB742" s="475">
        <v>1539</v>
      </c>
      <c r="BC742" s="475">
        <v>0</v>
      </c>
      <c r="BD742" s="475">
        <v>0</v>
      </c>
      <c r="BE742" s="475">
        <v>0</v>
      </c>
      <c r="BF742" s="475">
        <v>0</v>
      </c>
      <c r="BG742" s="475">
        <v>1739</v>
      </c>
      <c r="BH742" s="476">
        <v>31455</v>
      </c>
      <c r="BI742" s="467"/>
      <c r="BJ742" s="468"/>
    </row>
    <row r="743" spans="1:62">
      <c r="A743" s="469">
        <v>45962</v>
      </c>
      <c r="B743" s="469" t="s">
        <v>747</v>
      </c>
      <c r="C743" s="508" t="s">
        <v>1424</v>
      </c>
      <c r="D743" s="470" t="s">
        <v>749</v>
      </c>
      <c r="E743" s="471">
        <v>2252</v>
      </c>
      <c r="F743" s="470" t="s">
        <v>1415</v>
      </c>
      <c r="G743" s="470" t="s">
        <v>751</v>
      </c>
      <c r="H743" s="470" t="s">
        <v>12</v>
      </c>
      <c r="I743" s="470" t="s">
        <v>1416</v>
      </c>
      <c r="J743" s="472" t="s">
        <v>1417</v>
      </c>
      <c r="K743" s="470" t="s">
        <v>1418</v>
      </c>
      <c r="L743" s="470" t="s">
        <v>1419</v>
      </c>
      <c r="M743" s="470" t="s">
        <v>1124</v>
      </c>
      <c r="N743" s="470" t="s">
        <v>1108</v>
      </c>
      <c r="O743" s="472" t="s">
        <v>757</v>
      </c>
      <c r="P743" s="472" t="s">
        <v>738</v>
      </c>
      <c r="Q743" s="472" t="s">
        <v>758</v>
      </c>
      <c r="R743" s="472" t="s">
        <v>12</v>
      </c>
      <c r="S743" s="472" t="s">
        <v>12</v>
      </c>
      <c r="T743" s="472" t="s">
        <v>1420</v>
      </c>
      <c r="U743" s="470" t="s">
        <v>1421</v>
      </c>
      <c r="V743" s="470" t="s">
        <v>761</v>
      </c>
      <c r="W743" s="470" t="s">
        <v>1422</v>
      </c>
      <c r="X743" s="470">
        <v>30</v>
      </c>
      <c r="Y743" s="470">
        <v>0</v>
      </c>
      <c r="Z743" s="470">
        <v>0</v>
      </c>
      <c r="AA743" s="470">
        <v>30</v>
      </c>
      <c r="AB743" s="470">
        <v>30</v>
      </c>
      <c r="AC743" s="473">
        <v>52200</v>
      </c>
      <c r="AD743" s="473">
        <v>52200</v>
      </c>
      <c r="AE743" s="473">
        <v>23490</v>
      </c>
      <c r="AF743" s="473">
        <v>9396</v>
      </c>
      <c r="AG743" s="473">
        <v>1600</v>
      </c>
      <c r="AH743" s="473">
        <v>200</v>
      </c>
      <c r="AI743" s="473">
        <v>1250</v>
      </c>
      <c r="AJ743" s="473">
        <v>1957</v>
      </c>
      <c r="AK743" s="473">
        <v>4698</v>
      </c>
      <c r="AL743" s="473">
        <v>3524</v>
      </c>
      <c r="AM743" s="473">
        <v>235</v>
      </c>
      <c r="AN743" s="473">
        <v>822</v>
      </c>
      <c r="AO743" s="473">
        <v>470</v>
      </c>
      <c r="AP743" s="473">
        <v>117</v>
      </c>
      <c r="AQ743" s="473">
        <v>1800</v>
      </c>
      <c r="AR743" s="473">
        <v>2641</v>
      </c>
      <c r="AS743" s="473">
        <v>0</v>
      </c>
      <c r="AT743" s="473">
        <v>0</v>
      </c>
      <c r="AU743" s="473">
        <v>0</v>
      </c>
      <c r="AV743" s="473">
        <v>52200</v>
      </c>
      <c r="AW743" s="474">
        <v>52200</v>
      </c>
      <c r="AX743" s="473">
        <v>0</v>
      </c>
      <c r="AY743" s="473">
        <v>0</v>
      </c>
      <c r="AZ743" s="475">
        <v>0</v>
      </c>
      <c r="BA743" s="475">
        <v>200</v>
      </c>
      <c r="BB743" s="475">
        <v>1800</v>
      </c>
      <c r="BC743" s="475">
        <v>0</v>
      </c>
      <c r="BD743" s="475">
        <v>0</v>
      </c>
      <c r="BE743" s="475">
        <v>0</v>
      </c>
      <c r="BF743" s="475">
        <v>0</v>
      </c>
      <c r="BG743" s="475">
        <v>2000</v>
      </c>
      <c r="BH743" s="476">
        <v>50200</v>
      </c>
      <c r="BI743" s="467"/>
      <c r="BJ743" s="468"/>
    </row>
    <row r="744" spans="1:62">
      <c r="A744" s="469">
        <v>45962</v>
      </c>
      <c r="B744" s="469" t="s">
        <v>747</v>
      </c>
      <c r="C744" s="508" t="s">
        <v>1424</v>
      </c>
      <c r="D744" s="470" t="s">
        <v>749</v>
      </c>
      <c r="E744" s="471">
        <v>1771</v>
      </c>
      <c r="F744" s="470" t="s">
        <v>1046</v>
      </c>
      <c r="G744" s="470" t="s">
        <v>751</v>
      </c>
      <c r="H744" s="470" t="s">
        <v>12</v>
      </c>
      <c r="I744" s="470" t="s">
        <v>781</v>
      </c>
      <c r="J744" s="472" t="s">
        <v>1047</v>
      </c>
      <c r="K744" s="470" t="s">
        <v>1048</v>
      </c>
      <c r="L744" s="470" t="s">
        <v>1338</v>
      </c>
      <c r="M744" s="470" t="s">
        <v>1338</v>
      </c>
      <c r="N744" s="470" t="s">
        <v>1275</v>
      </c>
      <c r="O744" s="472" t="s">
        <v>757</v>
      </c>
      <c r="P744" s="472" t="s">
        <v>738</v>
      </c>
      <c r="Q744" s="472" t="s">
        <v>758</v>
      </c>
      <c r="R744" s="472" t="s">
        <v>12</v>
      </c>
      <c r="S744" s="472" t="s">
        <v>12</v>
      </c>
      <c r="T744" s="472" t="s">
        <v>1049</v>
      </c>
      <c r="U744" s="470" t="s">
        <v>1050</v>
      </c>
      <c r="V744" s="470" t="s">
        <v>761</v>
      </c>
      <c r="W744" s="470" t="s">
        <v>795</v>
      </c>
      <c r="X744" s="470">
        <v>30</v>
      </c>
      <c r="Y744" s="470">
        <v>0</v>
      </c>
      <c r="Z744" s="470">
        <v>0</v>
      </c>
      <c r="AA744" s="470">
        <v>30</v>
      </c>
      <c r="AB744" s="470">
        <v>30</v>
      </c>
      <c r="AC744" s="473">
        <v>92504</v>
      </c>
      <c r="AD744" s="473">
        <v>92504</v>
      </c>
      <c r="AE744" s="473">
        <v>41627</v>
      </c>
      <c r="AF744" s="473">
        <v>16651</v>
      </c>
      <c r="AG744" s="473">
        <v>1600</v>
      </c>
      <c r="AH744" s="473">
        <v>200</v>
      </c>
      <c r="AI744" s="473">
        <v>1250</v>
      </c>
      <c r="AJ744" s="473">
        <v>3468</v>
      </c>
      <c r="AK744" s="473">
        <v>8325</v>
      </c>
      <c r="AL744" s="473">
        <v>6244</v>
      </c>
      <c r="AM744" s="473">
        <v>416</v>
      </c>
      <c r="AN744" s="473">
        <v>1457</v>
      </c>
      <c r="AO744" s="473">
        <v>833</v>
      </c>
      <c r="AP744" s="473">
        <v>208</v>
      </c>
      <c r="AQ744" s="473">
        <v>1800</v>
      </c>
      <c r="AR744" s="473">
        <v>8425</v>
      </c>
      <c r="AS744" s="473">
        <v>0</v>
      </c>
      <c r="AT744" s="473">
        <v>2984</v>
      </c>
      <c r="AU744" s="473">
        <v>0</v>
      </c>
      <c r="AV744" s="473">
        <v>95488</v>
      </c>
      <c r="AW744" s="474">
        <v>95488</v>
      </c>
      <c r="AX744" s="473">
        <v>0</v>
      </c>
      <c r="AY744" s="473">
        <v>0</v>
      </c>
      <c r="AZ744" s="475">
        <v>0</v>
      </c>
      <c r="BA744" s="475">
        <v>200</v>
      </c>
      <c r="BB744" s="475">
        <v>1800</v>
      </c>
      <c r="BC744" s="475">
        <v>0</v>
      </c>
      <c r="BD744" s="475">
        <v>0</v>
      </c>
      <c r="BE744" s="475">
        <v>0</v>
      </c>
      <c r="BF744" s="475">
        <v>0</v>
      </c>
      <c r="BG744" s="475">
        <v>2000</v>
      </c>
      <c r="BH744" s="476">
        <v>93488</v>
      </c>
      <c r="BI744" s="467"/>
      <c r="BJ744" s="468"/>
    </row>
    <row r="745" spans="1:62">
      <c r="A745" s="469">
        <v>45962</v>
      </c>
      <c r="B745" s="469" t="s">
        <v>747</v>
      </c>
      <c r="C745" s="508" t="s">
        <v>1424</v>
      </c>
      <c r="D745" s="470" t="s">
        <v>749</v>
      </c>
      <c r="E745" s="471">
        <v>1445</v>
      </c>
      <c r="F745" s="470" t="s">
        <v>1057</v>
      </c>
      <c r="G745" s="470" t="s">
        <v>751</v>
      </c>
      <c r="H745" s="470" t="s">
        <v>12</v>
      </c>
      <c r="I745" s="470" t="s">
        <v>1058</v>
      </c>
      <c r="J745" s="472" t="s">
        <v>1059</v>
      </c>
      <c r="K745" s="470" t="s">
        <v>1060</v>
      </c>
      <c r="L745" s="470" t="s">
        <v>800</v>
      </c>
      <c r="M745" s="470" t="s">
        <v>801</v>
      </c>
      <c r="N745" s="470" t="s">
        <v>756</v>
      </c>
      <c r="O745" s="472" t="s">
        <v>757</v>
      </c>
      <c r="P745" s="472" t="s">
        <v>738</v>
      </c>
      <c r="Q745" s="472" t="s">
        <v>758</v>
      </c>
      <c r="R745" s="472" t="s">
        <v>12</v>
      </c>
      <c r="S745" s="472" t="s">
        <v>12</v>
      </c>
      <c r="T745" s="472" t="s">
        <v>1061</v>
      </c>
      <c r="U745" s="470" t="s">
        <v>1062</v>
      </c>
      <c r="V745" s="470" t="s">
        <v>761</v>
      </c>
      <c r="W745" s="470" t="s">
        <v>1063</v>
      </c>
      <c r="X745" s="470">
        <v>30</v>
      </c>
      <c r="Y745" s="470">
        <v>0</v>
      </c>
      <c r="Z745" s="470">
        <v>0</v>
      </c>
      <c r="AA745" s="470">
        <v>30</v>
      </c>
      <c r="AB745" s="470">
        <v>30</v>
      </c>
      <c r="AC745" s="473">
        <v>50225</v>
      </c>
      <c r="AD745" s="473">
        <v>50225</v>
      </c>
      <c r="AE745" s="473">
        <v>22601</v>
      </c>
      <c r="AF745" s="473">
        <v>9040</v>
      </c>
      <c r="AG745" s="473">
        <v>1600</v>
      </c>
      <c r="AH745" s="473">
        <v>200</v>
      </c>
      <c r="AI745" s="473">
        <v>1250</v>
      </c>
      <c r="AJ745" s="473">
        <v>1883</v>
      </c>
      <c r="AK745" s="473">
        <v>4520</v>
      </c>
      <c r="AL745" s="473">
        <v>3390</v>
      </c>
      <c r="AM745" s="473">
        <v>226</v>
      </c>
      <c r="AN745" s="473">
        <v>791</v>
      </c>
      <c r="AO745" s="473">
        <v>452</v>
      </c>
      <c r="AP745" s="473">
        <v>113</v>
      </c>
      <c r="AQ745" s="473">
        <v>1800</v>
      </c>
      <c r="AR745" s="473">
        <v>2359</v>
      </c>
      <c r="AS745" s="473">
        <v>0</v>
      </c>
      <c r="AT745" s="473">
        <v>1620</v>
      </c>
      <c r="AU745" s="473">
        <v>0</v>
      </c>
      <c r="AV745" s="473">
        <v>51845</v>
      </c>
      <c r="AW745" s="474">
        <v>51845</v>
      </c>
      <c r="AX745" s="473">
        <v>0</v>
      </c>
      <c r="AY745" s="473">
        <v>0</v>
      </c>
      <c r="AZ745" s="475">
        <v>0</v>
      </c>
      <c r="BA745" s="475">
        <v>200</v>
      </c>
      <c r="BB745" s="475">
        <v>1800</v>
      </c>
      <c r="BC745" s="475">
        <v>0</v>
      </c>
      <c r="BD745" s="475">
        <v>0</v>
      </c>
      <c r="BE745" s="475">
        <v>0</v>
      </c>
      <c r="BF745" s="475">
        <v>0</v>
      </c>
      <c r="BG745" s="475">
        <v>2000</v>
      </c>
      <c r="BH745" s="476">
        <v>49845</v>
      </c>
      <c r="BI745" s="467"/>
      <c r="BJ745" s="468"/>
    </row>
    <row r="746" spans="1:62">
      <c r="A746" s="469">
        <v>45962</v>
      </c>
      <c r="B746" s="469" t="s">
        <v>747</v>
      </c>
      <c r="C746" s="508" t="s">
        <v>1424</v>
      </c>
      <c r="D746" s="470" t="s">
        <v>749</v>
      </c>
      <c r="E746" s="471">
        <v>1932</v>
      </c>
      <c r="F746" s="470" t="s">
        <v>1064</v>
      </c>
      <c r="G746" s="470" t="s">
        <v>751</v>
      </c>
      <c r="H746" s="470" t="s">
        <v>12</v>
      </c>
      <c r="I746" s="470" t="s">
        <v>1065</v>
      </c>
      <c r="J746" s="472" t="s">
        <v>1066</v>
      </c>
      <c r="K746" s="470" t="s">
        <v>1067</v>
      </c>
      <c r="L746" s="470" t="s">
        <v>1068</v>
      </c>
      <c r="M746" s="470" t="s">
        <v>1068</v>
      </c>
      <c r="N746" s="470" t="s">
        <v>756</v>
      </c>
      <c r="O746" s="472" t="s">
        <v>757</v>
      </c>
      <c r="P746" s="472" t="s">
        <v>738</v>
      </c>
      <c r="Q746" s="472" t="s">
        <v>758</v>
      </c>
      <c r="R746" s="472" t="s">
        <v>12</v>
      </c>
      <c r="S746" s="472" t="s">
        <v>12</v>
      </c>
      <c r="T746" s="472" t="s">
        <v>1069</v>
      </c>
      <c r="U746" s="470" t="s">
        <v>1070</v>
      </c>
      <c r="V746" s="470" t="s">
        <v>761</v>
      </c>
      <c r="W746" s="470" t="s">
        <v>859</v>
      </c>
      <c r="X746" s="470">
        <v>30</v>
      </c>
      <c r="Y746" s="470">
        <v>0</v>
      </c>
      <c r="Z746" s="470">
        <v>3</v>
      </c>
      <c r="AA746" s="470">
        <v>27</v>
      </c>
      <c r="AB746" s="470">
        <v>27</v>
      </c>
      <c r="AC746" s="473">
        <v>30700</v>
      </c>
      <c r="AD746" s="473">
        <v>30700</v>
      </c>
      <c r="AE746" s="473">
        <v>12434</v>
      </c>
      <c r="AF746" s="473">
        <v>4974</v>
      </c>
      <c r="AG746" s="473">
        <v>1440</v>
      </c>
      <c r="AH746" s="473">
        <v>180</v>
      </c>
      <c r="AI746" s="473">
        <v>1125</v>
      </c>
      <c r="AJ746" s="473">
        <v>0</v>
      </c>
      <c r="AK746" s="473">
        <v>0</v>
      </c>
      <c r="AL746" s="473">
        <v>0</v>
      </c>
      <c r="AM746" s="473">
        <v>0</v>
      </c>
      <c r="AN746" s="473">
        <v>0</v>
      </c>
      <c r="AO746" s="473">
        <v>0</v>
      </c>
      <c r="AP746" s="473">
        <v>0</v>
      </c>
      <c r="AQ746" s="473">
        <v>1492</v>
      </c>
      <c r="AR746" s="473">
        <v>5985</v>
      </c>
      <c r="AS746" s="473">
        <v>0</v>
      </c>
      <c r="AT746" s="473">
        <v>0</v>
      </c>
      <c r="AU746" s="473">
        <v>265</v>
      </c>
      <c r="AV746" s="473">
        <v>27895</v>
      </c>
      <c r="AW746" s="474">
        <v>27630</v>
      </c>
      <c r="AX746" s="473">
        <v>0</v>
      </c>
      <c r="AY746" s="473">
        <v>0</v>
      </c>
      <c r="AZ746" s="475">
        <v>0</v>
      </c>
      <c r="BA746" s="475">
        <v>200</v>
      </c>
      <c r="BB746" s="475">
        <v>1492</v>
      </c>
      <c r="BC746" s="475">
        <v>0</v>
      </c>
      <c r="BD746" s="475">
        <v>0</v>
      </c>
      <c r="BE746" s="475">
        <v>0</v>
      </c>
      <c r="BF746" s="475">
        <v>0</v>
      </c>
      <c r="BG746" s="475">
        <v>1692</v>
      </c>
      <c r="BH746" s="476">
        <v>26203</v>
      </c>
      <c r="BI746" s="467"/>
      <c r="BJ746" s="468"/>
    </row>
    <row r="747" spans="1:62">
      <c r="A747" s="469">
        <v>45962</v>
      </c>
      <c r="B747" s="469" t="s">
        <v>747</v>
      </c>
      <c r="C747" s="508" t="s">
        <v>1424</v>
      </c>
      <c r="D747" s="470" t="s">
        <v>749</v>
      </c>
      <c r="E747" s="471">
        <v>2014</v>
      </c>
      <c r="F747" s="470" t="s">
        <v>1071</v>
      </c>
      <c r="G747" s="470" t="s">
        <v>751</v>
      </c>
      <c r="H747" s="470" t="s">
        <v>12</v>
      </c>
      <c r="I747" s="470" t="s">
        <v>847</v>
      </c>
      <c r="J747" s="472" t="s">
        <v>1072</v>
      </c>
      <c r="K747" s="470" t="s">
        <v>1073</v>
      </c>
      <c r="L747" s="470" t="s">
        <v>1074</v>
      </c>
      <c r="M747" s="470" t="s">
        <v>1074</v>
      </c>
      <c r="N747" s="470" t="s">
        <v>833</v>
      </c>
      <c r="O747" s="472" t="s">
        <v>757</v>
      </c>
      <c r="P747" s="472" t="s">
        <v>738</v>
      </c>
      <c r="Q747" s="472" t="s">
        <v>758</v>
      </c>
      <c r="R747" s="472" t="s">
        <v>12</v>
      </c>
      <c r="S747" s="472" t="s">
        <v>12</v>
      </c>
      <c r="T747" s="472" t="s">
        <v>1076</v>
      </c>
      <c r="U747" s="470" t="s">
        <v>1077</v>
      </c>
      <c r="V747" s="470" t="s">
        <v>761</v>
      </c>
      <c r="W747" s="470" t="s">
        <v>762</v>
      </c>
      <c r="X747" s="470">
        <v>30</v>
      </c>
      <c r="Y747" s="470">
        <v>0</v>
      </c>
      <c r="Z747" s="470">
        <v>1</v>
      </c>
      <c r="AA747" s="470">
        <v>29</v>
      </c>
      <c r="AB747" s="470">
        <v>29</v>
      </c>
      <c r="AC747" s="473">
        <v>32033</v>
      </c>
      <c r="AD747" s="473">
        <v>32033</v>
      </c>
      <c r="AE747" s="473">
        <v>13934</v>
      </c>
      <c r="AF747" s="473">
        <v>5574</v>
      </c>
      <c r="AG747" s="473">
        <v>1547</v>
      </c>
      <c r="AH747" s="473">
        <v>193</v>
      </c>
      <c r="AI747" s="473">
        <v>1208</v>
      </c>
      <c r="AJ747" s="473">
        <v>0</v>
      </c>
      <c r="AK747" s="473">
        <v>0</v>
      </c>
      <c r="AL747" s="473">
        <v>0</v>
      </c>
      <c r="AM747" s="473">
        <v>0</v>
      </c>
      <c r="AN747" s="473">
        <v>0</v>
      </c>
      <c r="AO747" s="473">
        <v>0</v>
      </c>
      <c r="AP747" s="473">
        <v>0</v>
      </c>
      <c r="AQ747" s="473">
        <v>1672</v>
      </c>
      <c r="AR747" s="473">
        <v>6837</v>
      </c>
      <c r="AS747" s="473">
        <v>0</v>
      </c>
      <c r="AT747" s="473">
        <v>0</v>
      </c>
      <c r="AU747" s="473">
        <v>7893</v>
      </c>
      <c r="AV747" s="473">
        <v>38858</v>
      </c>
      <c r="AW747" s="474">
        <v>30965</v>
      </c>
      <c r="AX747" s="473">
        <v>0</v>
      </c>
      <c r="AY747" s="473">
        <v>0</v>
      </c>
      <c r="AZ747" s="475">
        <v>0</v>
      </c>
      <c r="BA747" s="475">
        <v>200</v>
      </c>
      <c r="BB747" s="475">
        <v>1672</v>
      </c>
      <c r="BC747" s="475">
        <v>0</v>
      </c>
      <c r="BD747" s="475">
        <v>0</v>
      </c>
      <c r="BE747" s="475">
        <v>0</v>
      </c>
      <c r="BF747" s="475">
        <v>0</v>
      </c>
      <c r="BG747" s="475">
        <v>1872</v>
      </c>
      <c r="BH747" s="476">
        <v>36986</v>
      </c>
      <c r="BI747" s="467"/>
      <c r="BJ747" s="468"/>
    </row>
    <row r="748" spans="1:62">
      <c r="A748" s="469">
        <v>45962</v>
      </c>
      <c r="B748" s="469" t="s">
        <v>747</v>
      </c>
      <c r="C748" s="508" t="s">
        <v>1424</v>
      </c>
      <c r="D748" s="470" t="s">
        <v>749</v>
      </c>
      <c r="E748" s="471">
        <v>2190</v>
      </c>
      <c r="F748" s="470" t="s">
        <v>1294</v>
      </c>
      <c r="G748" s="470" t="s">
        <v>751</v>
      </c>
      <c r="H748" s="470" t="s">
        <v>12</v>
      </c>
      <c r="I748" s="470" t="s">
        <v>1295</v>
      </c>
      <c r="J748" s="472" t="s">
        <v>1296</v>
      </c>
      <c r="K748" s="470" t="s">
        <v>1297</v>
      </c>
      <c r="L748" s="470" t="s">
        <v>1298</v>
      </c>
      <c r="M748" s="470" t="s">
        <v>1298</v>
      </c>
      <c r="N748" s="470" t="s">
        <v>1075</v>
      </c>
      <c r="O748" s="472" t="s">
        <v>757</v>
      </c>
      <c r="P748" s="472" t="s">
        <v>738</v>
      </c>
      <c r="Q748" s="472" t="s">
        <v>758</v>
      </c>
      <c r="R748" s="472" t="s">
        <v>12</v>
      </c>
      <c r="S748" s="472" t="s">
        <v>12</v>
      </c>
      <c r="T748" s="472" t="s">
        <v>1299</v>
      </c>
      <c r="U748" s="470" t="s">
        <v>1300</v>
      </c>
      <c r="V748" s="470" t="s">
        <v>761</v>
      </c>
      <c r="W748" s="470" t="s">
        <v>1301</v>
      </c>
      <c r="X748" s="470">
        <v>30</v>
      </c>
      <c r="Y748" s="470">
        <v>0</v>
      </c>
      <c r="Z748" s="470">
        <v>0</v>
      </c>
      <c r="AA748" s="470">
        <v>30</v>
      </c>
      <c r="AB748" s="470">
        <v>30</v>
      </c>
      <c r="AC748" s="473">
        <v>24438</v>
      </c>
      <c r="AD748" s="473">
        <v>24438</v>
      </c>
      <c r="AE748" s="473">
        <v>10997</v>
      </c>
      <c r="AF748" s="473">
        <v>4399</v>
      </c>
      <c r="AG748" s="473">
        <v>1600</v>
      </c>
      <c r="AH748" s="473">
        <v>200</v>
      </c>
      <c r="AI748" s="473">
        <v>1250</v>
      </c>
      <c r="AJ748" s="473">
        <v>0</v>
      </c>
      <c r="AK748" s="473">
        <v>0</v>
      </c>
      <c r="AL748" s="473">
        <v>0</v>
      </c>
      <c r="AM748" s="473">
        <v>0</v>
      </c>
      <c r="AN748" s="473">
        <v>0</v>
      </c>
      <c r="AO748" s="473">
        <v>0</v>
      </c>
      <c r="AP748" s="473">
        <v>0</v>
      </c>
      <c r="AQ748" s="473">
        <v>1320</v>
      </c>
      <c r="AR748" s="473">
        <v>4672</v>
      </c>
      <c r="AS748" s="473">
        <v>0</v>
      </c>
      <c r="AT748" s="473">
        <v>0</v>
      </c>
      <c r="AU748" s="473">
        <v>8972</v>
      </c>
      <c r="AV748" s="473">
        <v>33410</v>
      </c>
      <c r="AW748" s="474">
        <v>24438</v>
      </c>
      <c r="AX748" s="473">
        <v>0</v>
      </c>
      <c r="AY748" s="473">
        <v>0</v>
      </c>
      <c r="AZ748" s="475">
        <v>0</v>
      </c>
      <c r="BA748" s="475">
        <v>200</v>
      </c>
      <c r="BB748" s="475">
        <v>1320</v>
      </c>
      <c r="BC748" s="475">
        <v>0</v>
      </c>
      <c r="BD748" s="475">
        <v>0</v>
      </c>
      <c r="BE748" s="475">
        <v>0</v>
      </c>
      <c r="BF748" s="475">
        <v>0</v>
      </c>
      <c r="BG748" s="475">
        <v>1520</v>
      </c>
      <c r="BH748" s="476">
        <v>31890</v>
      </c>
      <c r="BI748" s="467"/>
      <c r="BJ748" s="468"/>
    </row>
    <row r="749" spans="1:62">
      <c r="A749" s="469">
        <v>45962</v>
      </c>
      <c r="B749" s="469" t="s">
        <v>747</v>
      </c>
      <c r="C749" s="508" t="s">
        <v>1424</v>
      </c>
      <c r="D749" s="470" t="s">
        <v>749</v>
      </c>
      <c r="E749" s="471">
        <v>1480</v>
      </c>
      <c r="F749" s="470" t="s">
        <v>1078</v>
      </c>
      <c r="G749" s="470" t="s">
        <v>751</v>
      </c>
      <c r="H749" s="470" t="s">
        <v>12</v>
      </c>
      <c r="I749" s="470" t="s">
        <v>1079</v>
      </c>
      <c r="J749" s="472" t="s">
        <v>1080</v>
      </c>
      <c r="K749" s="470" t="s">
        <v>1081</v>
      </c>
      <c r="L749" s="470" t="s">
        <v>767</v>
      </c>
      <c r="M749" s="470" t="s">
        <v>767</v>
      </c>
      <c r="N749" s="470" t="s">
        <v>756</v>
      </c>
      <c r="O749" s="472" t="s">
        <v>757</v>
      </c>
      <c r="P749" s="472" t="s">
        <v>738</v>
      </c>
      <c r="Q749" s="472" t="s">
        <v>758</v>
      </c>
      <c r="R749" s="472" t="s">
        <v>12</v>
      </c>
      <c r="S749" s="472" t="s">
        <v>12</v>
      </c>
      <c r="T749" s="472" t="s">
        <v>1082</v>
      </c>
      <c r="U749" s="470" t="s">
        <v>1083</v>
      </c>
      <c r="V749" s="470" t="s">
        <v>761</v>
      </c>
      <c r="W749" s="470" t="s">
        <v>1084</v>
      </c>
      <c r="X749" s="470">
        <v>30</v>
      </c>
      <c r="Y749" s="470">
        <v>0</v>
      </c>
      <c r="Z749" s="470">
        <v>0</v>
      </c>
      <c r="AA749" s="470">
        <v>30</v>
      </c>
      <c r="AB749" s="470">
        <v>30</v>
      </c>
      <c r="AC749" s="473">
        <v>72817</v>
      </c>
      <c r="AD749" s="473">
        <v>72817</v>
      </c>
      <c r="AE749" s="473">
        <v>32768</v>
      </c>
      <c r="AF749" s="473">
        <v>13107</v>
      </c>
      <c r="AG749" s="473">
        <v>1600</v>
      </c>
      <c r="AH749" s="473">
        <v>200</v>
      </c>
      <c r="AI749" s="473">
        <v>1250</v>
      </c>
      <c r="AJ749" s="473">
        <v>2730</v>
      </c>
      <c r="AK749" s="473">
        <v>6554</v>
      </c>
      <c r="AL749" s="473">
        <v>4915</v>
      </c>
      <c r="AM749" s="473">
        <v>328</v>
      </c>
      <c r="AN749" s="473">
        <v>1147</v>
      </c>
      <c r="AO749" s="473">
        <v>655</v>
      </c>
      <c r="AP749" s="473">
        <v>164</v>
      </c>
      <c r="AQ749" s="473">
        <v>1800</v>
      </c>
      <c r="AR749" s="473">
        <v>5599</v>
      </c>
      <c r="AS749" s="473">
        <v>0</v>
      </c>
      <c r="AT749" s="473">
        <v>200</v>
      </c>
      <c r="AU749" s="473">
        <v>0</v>
      </c>
      <c r="AV749" s="473">
        <v>73017</v>
      </c>
      <c r="AW749" s="474">
        <v>73017</v>
      </c>
      <c r="AX749" s="473">
        <v>0</v>
      </c>
      <c r="AY749" s="473">
        <v>0</v>
      </c>
      <c r="AZ749" s="475">
        <v>0</v>
      </c>
      <c r="BA749" s="475">
        <v>200</v>
      </c>
      <c r="BB749" s="475">
        <v>1800</v>
      </c>
      <c r="BC749" s="475">
        <v>0</v>
      </c>
      <c r="BD749" s="475">
        <v>0</v>
      </c>
      <c r="BE749" s="475">
        <v>0</v>
      </c>
      <c r="BF749" s="475">
        <v>0</v>
      </c>
      <c r="BG749" s="475">
        <v>2000</v>
      </c>
      <c r="BH749" s="476">
        <v>71017</v>
      </c>
      <c r="BI749" s="467"/>
      <c r="BJ749" s="468"/>
    </row>
    <row r="750" spans="1:62">
      <c r="A750" s="469">
        <v>45962</v>
      </c>
      <c r="B750" s="469" t="s">
        <v>747</v>
      </c>
      <c r="C750" s="508" t="s">
        <v>1424</v>
      </c>
      <c r="D750" s="470" t="s">
        <v>749</v>
      </c>
      <c r="E750" s="471">
        <v>405</v>
      </c>
      <c r="F750" s="470" t="s">
        <v>1085</v>
      </c>
      <c r="G750" s="470" t="s">
        <v>751</v>
      </c>
      <c r="H750" s="470" t="s">
        <v>12</v>
      </c>
      <c r="I750" s="470" t="s">
        <v>954</v>
      </c>
      <c r="J750" s="472" t="s">
        <v>1086</v>
      </c>
      <c r="K750" s="470" t="s">
        <v>1087</v>
      </c>
      <c r="L750" s="470" t="s">
        <v>832</v>
      </c>
      <c r="M750" s="470" t="s">
        <v>832</v>
      </c>
      <c r="N750" s="470" t="s">
        <v>833</v>
      </c>
      <c r="O750" s="472" t="s">
        <v>757</v>
      </c>
      <c r="P750" s="472" t="s">
        <v>738</v>
      </c>
      <c r="Q750" s="472" t="s">
        <v>758</v>
      </c>
      <c r="R750" s="472" t="s">
        <v>12</v>
      </c>
      <c r="S750" s="472" t="s">
        <v>12</v>
      </c>
      <c r="T750" s="472" t="s">
        <v>1088</v>
      </c>
      <c r="U750" s="470" t="s">
        <v>1089</v>
      </c>
      <c r="V750" s="470" t="s">
        <v>761</v>
      </c>
      <c r="W750" s="470" t="s">
        <v>762</v>
      </c>
      <c r="X750" s="470">
        <v>30</v>
      </c>
      <c r="Y750" s="470">
        <v>0</v>
      </c>
      <c r="Z750" s="470">
        <v>0</v>
      </c>
      <c r="AA750" s="470">
        <v>30</v>
      </c>
      <c r="AB750" s="470">
        <v>30</v>
      </c>
      <c r="AC750" s="473">
        <v>33167</v>
      </c>
      <c r="AD750" s="473">
        <v>33167</v>
      </c>
      <c r="AE750" s="473">
        <v>14925</v>
      </c>
      <c r="AF750" s="473">
        <v>5970</v>
      </c>
      <c r="AG750" s="473">
        <v>1600</v>
      </c>
      <c r="AH750" s="473">
        <v>200</v>
      </c>
      <c r="AI750" s="473">
        <v>1250</v>
      </c>
      <c r="AJ750" s="473">
        <v>0</v>
      </c>
      <c r="AK750" s="473">
        <v>0</v>
      </c>
      <c r="AL750" s="473">
        <v>0</v>
      </c>
      <c r="AM750" s="473">
        <v>0</v>
      </c>
      <c r="AN750" s="473">
        <v>0</v>
      </c>
      <c r="AO750" s="473">
        <v>0</v>
      </c>
      <c r="AP750" s="473">
        <v>0</v>
      </c>
      <c r="AQ750" s="473">
        <v>1791</v>
      </c>
      <c r="AR750" s="473">
        <v>7431</v>
      </c>
      <c r="AS750" s="473">
        <v>0</v>
      </c>
      <c r="AT750" s="473">
        <v>0</v>
      </c>
      <c r="AU750" s="473">
        <v>2306</v>
      </c>
      <c r="AV750" s="473">
        <v>35473</v>
      </c>
      <c r="AW750" s="474">
        <v>33167</v>
      </c>
      <c r="AX750" s="473">
        <v>0</v>
      </c>
      <c r="AY750" s="473">
        <v>0</v>
      </c>
      <c r="AZ750" s="475">
        <v>0</v>
      </c>
      <c r="BA750" s="475">
        <v>200</v>
      </c>
      <c r="BB750" s="475">
        <v>1791</v>
      </c>
      <c r="BC750" s="475">
        <v>0</v>
      </c>
      <c r="BD750" s="475">
        <v>0</v>
      </c>
      <c r="BE750" s="475">
        <v>0</v>
      </c>
      <c r="BF750" s="475">
        <v>0</v>
      </c>
      <c r="BG750" s="475">
        <v>1991</v>
      </c>
      <c r="BH750" s="476">
        <v>33482</v>
      </c>
      <c r="BI750" s="467"/>
      <c r="BJ750" s="468"/>
    </row>
    <row r="751" spans="1:62">
      <c r="A751" s="469">
        <v>45962</v>
      </c>
      <c r="B751" s="469" t="s">
        <v>747</v>
      </c>
      <c r="C751" s="508" t="s">
        <v>1424</v>
      </c>
      <c r="D751" s="470" t="s">
        <v>749</v>
      </c>
      <c r="E751" s="471">
        <v>1916</v>
      </c>
      <c r="F751" s="470" t="s">
        <v>1090</v>
      </c>
      <c r="G751" s="470" t="s">
        <v>751</v>
      </c>
      <c r="H751" s="470" t="s">
        <v>12</v>
      </c>
      <c r="I751" s="470" t="s">
        <v>853</v>
      </c>
      <c r="J751" s="472" t="s">
        <v>1091</v>
      </c>
      <c r="K751" s="470" t="s">
        <v>1092</v>
      </c>
      <c r="L751" s="470" t="s">
        <v>776</v>
      </c>
      <c r="M751" s="470" t="s">
        <v>776</v>
      </c>
      <c r="N751" s="470" t="s">
        <v>777</v>
      </c>
      <c r="O751" s="472" t="s">
        <v>757</v>
      </c>
      <c r="P751" s="472" t="s">
        <v>738</v>
      </c>
      <c r="Q751" s="472" t="s">
        <v>758</v>
      </c>
      <c r="R751" s="472" t="s">
        <v>12</v>
      </c>
      <c r="S751" s="472" t="s">
        <v>12</v>
      </c>
      <c r="T751" s="472" t="s">
        <v>1093</v>
      </c>
      <c r="U751" s="470" t="s">
        <v>1094</v>
      </c>
      <c r="V751" s="470" t="s">
        <v>761</v>
      </c>
      <c r="W751" s="470" t="s">
        <v>1095</v>
      </c>
      <c r="X751" s="470">
        <v>30</v>
      </c>
      <c r="Y751" s="470">
        <v>0</v>
      </c>
      <c r="Z751" s="470">
        <v>0</v>
      </c>
      <c r="AA751" s="470">
        <v>30</v>
      </c>
      <c r="AB751" s="470">
        <v>30</v>
      </c>
      <c r="AC751" s="473">
        <v>94033</v>
      </c>
      <c r="AD751" s="473">
        <v>94033</v>
      </c>
      <c r="AE751" s="473">
        <v>42315</v>
      </c>
      <c r="AF751" s="473">
        <v>16926</v>
      </c>
      <c r="AG751" s="473">
        <v>1600</v>
      </c>
      <c r="AH751" s="473">
        <v>200</v>
      </c>
      <c r="AI751" s="473">
        <v>1250</v>
      </c>
      <c r="AJ751" s="473">
        <v>3525</v>
      </c>
      <c r="AK751" s="473">
        <v>8463</v>
      </c>
      <c r="AL751" s="473">
        <v>6347</v>
      </c>
      <c r="AM751" s="473">
        <v>423</v>
      </c>
      <c r="AN751" s="473">
        <v>1481</v>
      </c>
      <c r="AO751" s="473">
        <v>846</v>
      </c>
      <c r="AP751" s="473">
        <v>212</v>
      </c>
      <c r="AQ751" s="473">
        <v>1800</v>
      </c>
      <c r="AR751" s="473">
        <v>8645</v>
      </c>
      <c r="AS751" s="473">
        <v>0</v>
      </c>
      <c r="AT751" s="473">
        <v>0</v>
      </c>
      <c r="AU751" s="473">
        <v>619</v>
      </c>
      <c r="AV751" s="473">
        <v>94652</v>
      </c>
      <c r="AW751" s="474">
        <v>94033</v>
      </c>
      <c r="AX751" s="473">
        <v>0</v>
      </c>
      <c r="AY751" s="473">
        <v>0</v>
      </c>
      <c r="AZ751" s="475">
        <v>0</v>
      </c>
      <c r="BA751" s="475">
        <v>200</v>
      </c>
      <c r="BB751" s="475">
        <v>1800</v>
      </c>
      <c r="BC751" s="475">
        <v>0</v>
      </c>
      <c r="BD751" s="475">
        <v>0</v>
      </c>
      <c r="BE751" s="475">
        <v>0</v>
      </c>
      <c r="BF751" s="475">
        <v>0</v>
      </c>
      <c r="BG751" s="475">
        <v>2000</v>
      </c>
      <c r="BH751" s="476">
        <v>92652</v>
      </c>
      <c r="BI751" s="467"/>
      <c r="BJ751" s="468"/>
    </row>
    <row r="752" spans="1:62">
      <c r="A752" s="469">
        <v>45962</v>
      </c>
      <c r="B752" s="469" t="s">
        <v>747</v>
      </c>
      <c r="C752" s="508" t="s">
        <v>1424</v>
      </c>
      <c r="D752" s="470" t="s">
        <v>749</v>
      </c>
      <c r="E752" s="471">
        <v>1093</v>
      </c>
      <c r="F752" s="470" t="s">
        <v>1096</v>
      </c>
      <c r="G752" s="470" t="s">
        <v>751</v>
      </c>
      <c r="H752" s="470" t="s">
        <v>12</v>
      </c>
      <c r="I752" s="470" t="s">
        <v>976</v>
      </c>
      <c r="J752" s="472" t="s">
        <v>1097</v>
      </c>
      <c r="K752" s="470" t="s">
        <v>1098</v>
      </c>
      <c r="L752" s="470" t="s">
        <v>1293</v>
      </c>
      <c r="M752" s="470" t="s">
        <v>1293</v>
      </c>
      <c r="N752" s="470" t="s">
        <v>1275</v>
      </c>
      <c r="O752" s="472" t="s">
        <v>792</v>
      </c>
      <c r="P752" s="472" t="s">
        <v>738</v>
      </c>
      <c r="Q752" s="472" t="s">
        <v>758</v>
      </c>
      <c r="R752" s="472" t="s">
        <v>12</v>
      </c>
      <c r="S752" s="472" t="s">
        <v>12</v>
      </c>
      <c r="T752" s="472" t="s">
        <v>1099</v>
      </c>
      <c r="U752" s="470" t="s">
        <v>1100</v>
      </c>
      <c r="V752" s="470" t="s">
        <v>761</v>
      </c>
      <c r="W752" s="470" t="s">
        <v>1101</v>
      </c>
      <c r="X752" s="470">
        <v>30</v>
      </c>
      <c r="Y752" s="470">
        <v>0</v>
      </c>
      <c r="Z752" s="470">
        <v>2</v>
      </c>
      <c r="AA752" s="470">
        <v>28</v>
      </c>
      <c r="AB752" s="470">
        <v>28</v>
      </c>
      <c r="AC752" s="473">
        <v>96667</v>
      </c>
      <c r="AD752" s="473">
        <v>96667</v>
      </c>
      <c r="AE752" s="473">
        <v>40600</v>
      </c>
      <c r="AF752" s="473">
        <v>16240</v>
      </c>
      <c r="AG752" s="473">
        <v>1493</v>
      </c>
      <c r="AH752" s="473">
        <v>187</v>
      </c>
      <c r="AI752" s="473">
        <v>1167</v>
      </c>
      <c r="AJ752" s="473">
        <v>3382</v>
      </c>
      <c r="AK752" s="473">
        <v>8120</v>
      </c>
      <c r="AL752" s="473">
        <v>6090</v>
      </c>
      <c r="AM752" s="473">
        <v>406</v>
      </c>
      <c r="AN752" s="473">
        <v>1421</v>
      </c>
      <c r="AO752" s="473">
        <v>812</v>
      </c>
      <c r="AP752" s="473">
        <v>203</v>
      </c>
      <c r="AQ752" s="473">
        <v>1800</v>
      </c>
      <c r="AR752" s="473">
        <v>8302</v>
      </c>
      <c r="AS752" s="473">
        <v>0</v>
      </c>
      <c r="AT752" s="473">
        <v>0</v>
      </c>
      <c r="AU752" s="473">
        <v>7225</v>
      </c>
      <c r="AV752" s="473">
        <v>97448</v>
      </c>
      <c r="AW752" s="474">
        <v>90223</v>
      </c>
      <c r="AX752" s="473">
        <v>0</v>
      </c>
      <c r="AY752" s="473">
        <v>0</v>
      </c>
      <c r="AZ752" s="475">
        <v>16248</v>
      </c>
      <c r="BA752" s="475">
        <v>200</v>
      </c>
      <c r="BB752" s="475">
        <v>1800</v>
      </c>
      <c r="BC752" s="475">
        <v>0</v>
      </c>
      <c r="BD752" s="475">
        <v>0</v>
      </c>
      <c r="BE752" s="475">
        <v>0</v>
      </c>
      <c r="BF752" s="475">
        <v>0</v>
      </c>
      <c r="BG752" s="475">
        <v>18248</v>
      </c>
      <c r="BH752" s="476">
        <v>79200</v>
      </c>
      <c r="BI752" s="467"/>
      <c r="BJ752" s="468"/>
    </row>
    <row r="753" spans="1:62">
      <c r="A753" s="469">
        <v>45962</v>
      </c>
      <c r="B753" s="469" t="s">
        <v>747</v>
      </c>
      <c r="C753" s="508" t="s">
        <v>1424</v>
      </c>
      <c r="D753" s="470" t="s">
        <v>749</v>
      </c>
      <c r="E753" s="471">
        <v>2043</v>
      </c>
      <c r="F753" s="470" t="s">
        <v>1102</v>
      </c>
      <c r="G753" s="470" t="s">
        <v>751</v>
      </c>
      <c r="H753" s="470" t="s">
        <v>12</v>
      </c>
      <c r="I753" s="470" t="s">
        <v>1103</v>
      </c>
      <c r="J753" s="472" t="s">
        <v>1104</v>
      </c>
      <c r="K753" s="470" t="s">
        <v>1105</v>
      </c>
      <c r="L753" s="470" t="s">
        <v>1106</v>
      </c>
      <c r="M753" s="470" t="s">
        <v>1107</v>
      </c>
      <c r="N753" s="470" t="s">
        <v>1108</v>
      </c>
      <c r="O753" s="472" t="s">
        <v>757</v>
      </c>
      <c r="P753" s="472" t="s">
        <v>738</v>
      </c>
      <c r="Q753" s="472" t="s">
        <v>758</v>
      </c>
      <c r="R753" s="472" t="s">
        <v>12</v>
      </c>
      <c r="S753" s="472" t="s">
        <v>12</v>
      </c>
      <c r="T753" s="472" t="s">
        <v>1109</v>
      </c>
      <c r="U753" s="470" t="s">
        <v>1369</v>
      </c>
      <c r="V753" s="470" t="s">
        <v>1370</v>
      </c>
      <c r="W753" s="470" t="s">
        <v>1371</v>
      </c>
      <c r="X753" s="470">
        <v>30</v>
      </c>
      <c r="Y753" s="470">
        <v>0</v>
      </c>
      <c r="Z753" s="470">
        <v>2.5</v>
      </c>
      <c r="AA753" s="470">
        <v>19.5</v>
      </c>
      <c r="AB753" s="470">
        <v>19.5</v>
      </c>
      <c r="AC753" s="473">
        <v>75000</v>
      </c>
      <c r="AD753" s="473">
        <v>75000</v>
      </c>
      <c r="AE753" s="473">
        <v>21938</v>
      </c>
      <c r="AF753" s="473">
        <v>8775</v>
      </c>
      <c r="AG753" s="473">
        <v>1040</v>
      </c>
      <c r="AH753" s="473">
        <v>183</v>
      </c>
      <c r="AI753" s="473">
        <v>813</v>
      </c>
      <c r="AJ753" s="473">
        <v>1827</v>
      </c>
      <c r="AK753" s="473">
        <v>4388</v>
      </c>
      <c r="AL753" s="473">
        <v>3291</v>
      </c>
      <c r="AM753" s="473">
        <v>219</v>
      </c>
      <c r="AN753" s="473">
        <v>768</v>
      </c>
      <c r="AO753" s="473">
        <v>439</v>
      </c>
      <c r="AP753" s="473">
        <v>110</v>
      </c>
      <c r="AQ753" s="473">
        <v>1800</v>
      </c>
      <c r="AR753" s="473">
        <v>3159</v>
      </c>
      <c r="AS753" s="473">
        <v>0</v>
      </c>
      <c r="AT753" s="473">
        <v>0</v>
      </c>
      <c r="AU753" s="473">
        <v>0</v>
      </c>
      <c r="AV753" s="473">
        <v>48750</v>
      </c>
      <c r="AW753" s="474">
        <v>48750</v>
      </c>
      <c r="AX753" s="473">
        <v>0</v>
      </c>
      <c r="AY753" s="473">
        <v>0</v>
      </c>
      <c r="AZ753" s="475">
        <v>0</v>
      </c>
      <c r="BA753" s="475">
        <v>200</v>
      </c>
      <c r="BB753" s="475">
        <v>1800</v>
      </c>
      <c r="BC753" s="475">
        <v>0</v>
      </c>
      <c r="BD753" s="475">
        <v>0</v>
      </c>
      <c r="BE753" s="475">
        <v>0</v>
      </c>
      <c r="BF753" s="475">
        <v>0</v>
      </c>
      <c r="BG753" s="475">
        <v>2000</v>
      </c>
      <c r="BH753" s="476">
        <v>46750</v>
      </c>
      <c r="BI753" s="467"/>
      <c r="BJ753" s="468"/>
    </row>
    <row r="754" spans="1:62">
      <c r="A754" s="469">
        <v>45962</v>
      </c>
      <c r="B754" s="469" t="s">
        <v>747</v>
      </c>
      <c r="C754" s="508" t="s">
        <v>1424</v>
      </c>
      <c r="D754" s="470" t="s">
        <v>749</v>
      </c>
      <c r="E754" s="471">
        <v>2287</v>
      </c>
      <c r="F754" s="470" t="s">
        <v>1470</v>
      </c>
      <c r="G754" s="470" t="s">
        <v>751</v>
      </c>
      <c r="H754" s="470" t="s">
        <v>12</v>
      </c>
      <c r="I754" s="470" t="s">
        <v>1471</v>
      </c>
      <c r="J754" s="472" t="s">
        <v>1472</v>
      </c>
      <c r="K754" s="470" t="s">
        <v>1473</v>
      </c>
      <c r="L754" s="470" t="s">
        <v>1305</v>
      </c>
      <c r="M754" s="470" t="s">
        <v>1305</v>
      </c>
      <c r="N754" s="470" t="s">
        <v>1275</v>
      </c>
      <c r="O754" s="472" t="s">
        <v>757</v>
      </c>
      <c r="P754" s="472" t="s">
        <v>738</v>
      </c>
      <c r="Q754" s="472" t="s">
        <v>758</v>
      </c>
      <c r="R754" s="472" t="s">
        <v>12</v>
      </c>
      <c r="S754" s="472" t="s">
        <v>12</v>
      </c>
      <c r="T754" s="472" t="s">
        <v>1474</v>
      </c>
      <c r="U754" s="470" t="s">
        <v>1475</v>
      </c>
      <c r="V754" s="470" t="s">
        <v>761</v>
      </c>
      <c r="W754" s="470" t="s">
        <v>1387</v>
      </c>
      <c r="X754" s="470">
        <v>30</v>
      </c>
      <c r="Y754" s="470">
        <v>0</v>
      </c>
      <c r="Z754" s="470">
        <v>0</v>
      </c>
      <c r="AA754" s="470">
        <v>6</v>
      </c>
      <c r="AB754" s="470">
        <v>6</v>
      </c>
      <c r="AC754" s="473">
        <v>66200</v>
      </c>
      <c r="AD754" s="473">
        <v>66200</v>
      </c>
      <c r="AE754" s="473">
        <v>5958</v>
      </c>
      <c r="AF754" s="473">
        <v>2383</v>
      </c>
      <c r="AG754" s="473">
        <v>320</v>
      </c>
      <c r="AH754" s="473">
        <v>200</v>
      </c>
      <c r="AI754" s="473">
        <v>250</v>
      </c>
      <c r="AJ754" s="473">
        <v>496</v>
      </c>
      <c r="AK754" s="473">
        <v>1192</v>
      </c>
      <c r="AL754" s="473">
        <v>894</v>
      </c>
      <c r="AM754" s="473">
        <v>60</v>
      </c>
      <c r="AN754" s="473">
        <v>209</v>
      </c>
      <c r="AO754" s="473">
        <v>119</v>
      </c>
      <c r="AP754" s="473">
        <v>30</v>
      </c>
      <c r="AQ754" s="473">
        <v>715</v>
      </c>
      <c r="AR754" s="473">
        <v>414</v>
      </c>
      <c r="AS754" s="473">
        <v>0</v>
      </c>
      <c r="AT754" s="473">
        <v>0</v>
      </c>
      <c r="AU754" s="473">
        <v>0</v>
      </c>
      <c r="AV754" s="473">
        <v>13240</v>
      </c>
      <c r="AW754" s="474">
        <v>13240</v>
      </c>
      <c r="AX754" s="473">
        <v>0</v>
      </c>
      <c r="AY754" s="473">
        <v>0</v>
      </c>
      <c r="AZ754" s="475">
        <v>0</v>
      </c>
      <c r="BA754" s="475">
        <v>200</v>
      </c>
      <c r="BB754" s="475">
        <v>715</v>
      </c>
      <c r="BC754" s="475">
        <v>0</v>
      </c>
      <c r="BD754" s="475">
        <v>0</v>
      </c>
      <c r="BE754" s="475">
        <v>0</v>
      </c>
      <c r="BF754" s="475">
        <v>0</v>
      </c>
      <c r="BG754" s="475">
        <v>915</v>
      </c>
      <c r="BH754" s="476">
        <v>12325</v>
      </c>
      <c r="BI754" s="467"/>
      <c r="BJ754" s="468"/>
    </row>
    <row r="755" spans="1:62">
      <c r="A755" s="469">
        <v>45962</v>
      </c>
      <c r="B755" s="469" t="s">
        <v>747</v>
      </c>
      <c r="C755" s="508" t="s">
        <v>1424</v>
      </c>
      <c r="D755" s="470" t="s">
        <v>749</v>
      </c>
      <c r="E755" s="471">
        <v>2261</v>
      </c>
      <c r="F755" s="470" t="s">
        <v>1476</v>
      </c>
      <c r="G755" s="470" t="s">
        <v>751</v>
      </c>
      <c r="H755" s="470" t="s">
        <v>12</v>
      </c>
      <c r="I755" s="470" t="s">
        <v>1477</v>
      </c>
      <c r="J755" s="472" t="s">
        <v>1478</v>
      </c>
      <c r="K755" s="470" t="s">
        <v>1479</v>
      </c>
      <c r="L755" s="470" t="s">
        <v>1192</v>
      </c>
      <c r="M755" s="470" t="s">
        <v>1328</v>
      </c>
      <c r="N755" s="470" t="s">
        <v>833</v>
      </c>
      <c r="O755" s="472" t="s">
        <v>1043</v>
      </c>
      <c r="P755" s="472" t="s">
        <v>738</v>
      </c>
      <c r="Q755" s="472" t="s">
        <v>758</v>
      </c>
      <c r="R755" s="472" t="s">
        <v>12</v>
      </c>
      <c r="S755" s="472" t="s">
        <v>12</v>
      </c>
      <c r="T755" s="472" t="s">
        <v>1480</v>
      </c>
      <c r="U755" s="470" t="s">
        <v>1481</v>
      </c>
      <c r="V755" s="470" t="s">
        <v>761</v>
      </c>
      <c r="W755" s="470" t="s">
        <v>876</v>
      </c>
      <c r="X755" s="470">
        <v>30</v>
      </c>
      <c r="Y755" s="470">
        <v>0</v>
      </c>
      <c r="Z755" s="470">
        <v>1</v>
      </c>
      <c r="AA755" s="470">
        <v>23</v>
      </c>
      <c r="AB755" s="470">
        <v>23</v>
      </c>
      <c r="AC755" s="473">
        <v>27434</v>
      </c>
      <c r="AD755" s="473">
        <v>27434</v>
      </c>
      <c r="AE755" s="473">
        <v>9465</v>
      </c>
      <c r="AF755" s="473">
        <v>3786</v>
      </c>
      <c r="AG755" s="473">
        <v>1227</v>
      </c>
      <c r="AH755" s="473">
        <v>193</v>
      </c>
      <c r="AI755" s="473">
        <v>958</v>
      </c>
      <c r="AJ755" s="473">
        <v>0</v>
      </c>
      <c r="AK755" s="473">
        <v>0</v>
      </c>
      <c r="AL755" s="473">
        <v>0</v>
      </c>
      <c r="AM755" s="473">
        <v>0</v>
      </c>
      <c r="AN755" s="473">
        <v>0</v>
      </c>
      <c r="AO755" s="473">
        <v>0</v>
      </c>
      <c r="AP755" s="473">
        <v>0</v>
      </c>
      <c r="AQ755" s="473">
        <v>1136</v>
      </c>
      <c r="AR755" s="473">
        <v>4268</v>
      </c>
      <c r="AS755" s="473">
        <v>0</v>
      </c>
      <c r="AT755" s="473">
        <v>0</v>
      </c>
      <c r="AU755" s="473">
        <v>289</v>
      </c>
      <c r="AV755" s="473">
        <v>21322</v>
      </c>
      <c r="AW755" s="474">
        <v>21033</v>
      </c>
      <c r="AX755" s="473">
        <v>0</v>
      </c>
      <c r="AY755" s="473">
        <v>0</v>
      </c>
      <c r="AZ755" s="475">
        <v>0</v>
      </c>
      <c r="BA755" s="475">
        <v>200</v>
      </c>
      <c r="BB755" s="475">
        <v>1136</v>
      </c>
      <c r="BC755" s="475">
        <v>0</v>
      </c>
      <c r="BD755" s="475">
        <v>0</v>
      </c>
      <c r="BE755" s="475">
        <v>0</v>
      </c>
      <c r="BF755" s="475">
        <v>0</v>
      </c>
      <c r="BG755" s="475">
        <v>1336</v>
      </c>
      <c r="BH755" s="476">
        <v>19986</v>
      </c>
      <c r="BI755" s="467"/>
      <c r="BJ755" s="468"/>
    </row>
    <row r="756" spans="1:62">
      <c r="A756" s="469">
        <v>45962</v>
      </c>
      <c r="B756" s="469" t="s">
        <v>747</v>
      </c>
      <c r="C756" s="508" t="s">
        <v>1424</v>
      </c>
      <c r="D756" s="470" t="s">
        <v>749</v>
      </c>
      <c r="E756" s="471">
        <v>2279</v>
      </c>
      <c r="F756" s="470" t="s">
        <v>1482</v>
      </c>
      <c r="G756" s="470" t="s">
        <v>751</v>
      </c>
      <c r="H756" s="470" t="s">
        <v>12</v>
      </c>
      <c r="I756" s="470" t="s">
        <v>1426</v>
      </c>
      <c r="J756" s="472" t="s">
        <v>1483</v>
      </c>
      <c r="K756" s="470" t="s">
        <v>1484</v>
      </c>
      <c r="L756" s="470" t="s">
        <v>824</v>
      </c>
      <c r="M756" s="470" t="s">
        <v>824</v>
      </c>
      <c r="N756" s="470" t="s">
        <v>1275</v>
      </c>
      <c r="O756" s="472" t="s">
        <v>1276</v>
      </c>
      <c r="P756" s="472" t="s">
        <v>738</v>
      </c>
      <c r="Q756" s="472" t="s">
        <v>758</v>
      </c>
      <c r="R756" s="472" t="s">
        <v>12</v>
      </c>
      <c r="S756" s="472" t="s">
        <v>12</v>
      </c>
      <c r="T756" s="472" t="s">
        <v>1485</v>
      </c>
      <c r="U756" s="470" t="s">
        <v>1486</v>
      </c>
      <c r="V756" s="470" t="s">
        <v>761</v>
      </c>
      <c r="W756" s="470" t="s">
        <v>1361</v>
      </c>
      <c r="X756" s="470">
        <v>30</v>
      </c>
      <c r="Y756" s="470">
        <v>0</v>
      </c>
      <c r="Z756" s="470">
        <v>0</v>
      </c>
      <c r="AA756" s="470">
        <v>14</v>
      </c>
      <c r="AB756" s="470">
        <v>14</v>
      </c>
      <c r="AC756" s="473">
        <v>44033</v>
      </c>
      <c r="AD756" s="473">
        <v>44033</v>
      </c>
      <c r="AE756" s="473">
        <v>9247</v>
      </c>
      <c r="AF756" s="473">
        <v>3699</v>
      </c>
      <c r="AG756" s="473">
        <v>747</v>
      </c>
      <c r="AH756" s="473">
        <v>200</v>
      </c>
      <c r="AI756" s="473">
        <v>583</v>
      </c>
      <c r="AJ756" s="473">
        <v>770</v>
      </c>
      <c r="AK756" s="473">
        <v>1849</v>
      </c>
      <c r="AL756" s="473">
        <v>1387</v>
      </c>
      <c r="AM756" s="473">
        <v>92</v>
      </c>
      <c r="AN756" s="473">
        <v>324</v>
      </c>
      <c r="AO756" s="473">
        <v>185</v>
      </c>
      <c r="AP756" s="473">
        <v>46</v>
      </c>
      <c r="AQ756" s="473">
        <v>1110</v>
      </c>
      <c r="AR756" s="473">
        <v>310</v>
      </c>
      <c r="AS756" s="473">
        <v>0</v>
      </c>
      <c r="AT756" s="473">
        <v>0</v>
      </c>
      <c r="AU756" s="473">
        <v>0</v>
      </c>
      <c r="AV756" s="473">
        <v>20549</v>
      </c>
      <c r="AW756" s="474">
        <v>20549</v>
      </c>
      <c r="AX756" s="473">
        <v>0</v>
      </c>
      <c r="AY756" s="473">
        <v>0</v>
      </c>
      <c r="AZ756" s="475">
        <v>0</v>
      </c>
      <c r="BA756" s="475">
        <v>200</v>
      </c>
      <c r="BB756" s="475">
        <v>1110</v>
      </c>
      <c r="BC756" s="475">
        <v>0</v>
      </c>
      <c r="BD756" s="475">
        <v>0</v>
      </c>
      <c r="BE756" s="475">
        <v>0</v>
      </c>
      <c r="BF756" s="475">
        <v>0</v>
      </c>
      <c r="BG756" s="475">
        <v>1310</v>
      </c>
      <c r="BH756" s="476">
        <v>19239</v>
      </c>
      <c r="BI756" s="467"/>
      <c r="BJ756" s="468"/>
    </row>
    <row r="757" spans="1:62">
      <c r="A757" s="469">
        <v>45962</v>
      </c>
      <c r="B757" s="469" t="s">
        <v>747</v>
      </c>
      <c r="C757" s="508" t="s">
        <v>1424</v>
      </c>
      <c r="D757" s="470" t="s">
        <v>749</v>
      </c>
      <c r="E757" s="471">
        <v>2274</v>
      </c>
      <c r="F757" s="470" t="s">
        <v>1487</v>
      </c>
      <c r="G757" s="470" t="s">
        <v>812</v>
      </c>
      <c r="H757" s="470" t="s">
        <v>12</v>
      </c>
      <c r="I757" s="470" t="s">
        <v>1426</v>
      </c>
      <c r="J757" s="472" t="s">
        <v>1488</v>
      </c>
      <c r="K757" s="470" t="s">
        <v>1489</v>
      </c>
      <c r="L757" s="470" t="s">
        <v>824</v>
      </c>
      <c r="M757" s="470" t="s">
        <v>824</v>
      </c>
      <c r="N757" s="470" t="s">
        <v>1275</v>
      </c>
      <c r="O757" s="472" t="s">
        <v>1276</v>
      </c>
      <c r="P757" s="472" t="s">
        <v>738</v>
      </c>
      <c r="Q757" s="472" t="s">
        <v>758</v>
      </c>
      <c r="R757" s="472" t="s">
        <v>12</v>
      </c>
      <c r="S757" s="472" t="s">
        <v>12</v>
      </c>
      <c r="T757" s="472" t="s">
        <v>1490</v>
      </c>
      <c r="U757" s="470" t="s">
        <v>1491</v>
      </c>
      <c r="V757" s="470" t="s">
        <v>761</v>
      </c>
      <c r="W757" s="470" t="s">
        <v>1361</v>
      </c>
      <c r="X757" s="470">
        <v>30</v>
      </c>
      <c r="Y757" s="470">
        <v>0</v>
      </c>
      <c r="Z757" s="470">
        <v>0</v>
      </c>
      <c r="AA757" s="470">
        <v>14</v>
      </c>
      <c r="AB757" s="470">
        <v>14</v>
      </c>
      <c r="AC757" s="473">
        <v>44033</v>
      </c>
      <c r="AD757" s="473">
        <v>44033</v>
      </c>
      <c r="AE757" s="473">
        <v>9247</v>
      </c>
      <c r="AF757" s="473">
        <v>3699</v>
      </c>
      <c r="AG757" s="473">
        <v>747</v>
      </c>
      <c r="AH757" s="473">
        <v>200</v>
      </c>
      <c r="AI757" s="473">
        <v>583</v>
      </c>
      <c r="AJ757" s="473">
        <v>770</v>
      </c>
      <c r="AK757" s="473">
        <v>1849</v>
      </c>
      <c r="AL757" s="473">
        <v>1387</v>
      </c>
      <c r="AM757" s="473">
        <v>92</v>
      </c>
      <c r="AN757" s="473">
        <v>324</v>
      </c>
      <c r="AO757" s="473">
        <v>185</v>
      </c>
      <c r="AP757" s="473">
        <v>46</v>
      </c>
      <c r="AQ757" s="473">
        <v>1110</v>
      </c>
      <c r="AR757" s="473">
        <v>310</v>
      </c>
      <c r="AS757" s="473">
        <v>0</v>
      </c>
      <c r="AT757" s="473">
        <v>0</v>
      </c>
      <c r="AU757" s="473">
        <v>0</v>
      </c>
      <c r="AV757" s="473">
        <v>20549</v>
      </c>
      <c r="AW757" s="474">
        <v>20549</v>
      </c>
      <c r="AX757" s="473">
        <v>0</v>
      </c>
      <c r="AY757" s="473">
        <v>0</v>
      </c>
      <c r="AZ757" s="475">
        <v>0</v>
      </c>
      <c r="BA757" s="475">
        <v>175</v>
      </c>
      <c r="BB757" s="475">
        <v>1110</v>
      </c>
      <c r="BC757" s="475">
        <v>0</v>
      </c>
      <c r="BD757" s="475">
        <v>0</v>
      </c>
      <c r="BE757" s="475">
        <v>0</v>
      </c>
      <c r="BF757" s="475">
        <v>0</v>
      </c>
      <c r="BG757" s="475">
        <v>1285</v>
      </c>
      <c r="BH757" s="476">
        <v>19264</v>
      </c>
      <c r="BI757" s="467"/>
      <c r="BJ757" s="468"/>
    </row>
    <row r="758" spans="1:62">
      <c r="A758" s="469">
        <v>45962</v>
      </c>
      <c r="B758" s="469" t="s">
        <v>747</v>
      </c>
      <c r="C758" s="508" t="s">
        <v>1424</v>
      </c>
      <c r="D758" s="470" t="s">
        <v>749</v>
      </c>
      <c r="E758" s="471">
        <v>2277</v>
      </c>
      <c r="F758" s="470" t="s">
        <v>1492</v>
      </c>
      <c r="G758" s="470" t="s">
        <v>751</v>
      </c>
      <c r="H758" s="470" t="s">
        <v>12</v>
      </c>
      <c r="I758" s="470" t="s">
        <v>1426</v>
      </c>
      <c r="J758" s="472" t="s">
        <v>1493</v>
      </c>
      <c r="K758" s="470" t="s">
        <v>1494</v>
      </c>
      <c r="L758" s="470" t="s">
        <v>824</v>
      </c>
      <c r="M758" s="470" t="s">
        <v>824</v>
      </c>
      <c r="N758" s="470" t="s">
        <v>1275</v>
      </c>
      <c r="O758" s="472" t="s">
        <v>1276</v>
      </c>
      <c r="P758" s="472" t="s">
        <v>738</v>
      </c>
      <c r="Q758" s="472" t="s">
        <v>758</v>
      </c>
      <c r="R758" s="472" t="s">
        <v>12</v>
      </c>
      <c r="S758" s="472" t="s">
        <v>12</v>
      </c>
      <c r="T758" s="472" t="s">
        <v>1495</v>
      </c>
      <c r="U758" s="470" t="s">
        <v>1496</v>
      </c>
      <c r="V758" s="470" t="s">
        <v>761</v>
      </c>
      <c r="W758" s="470" t="s">
        <v>1361</v>
      </c>
      <c r="X758" s="470">
        <v>30</v>
      </c>
      <c r="Y758" s="470">
        <v>0</v>
      </c>
      <c r="Z758" s="470">
        <v>0</v>
      </c>
      <c r="AA758" s="470">
        <v>14</v>
      </c>
      <c r="AB758" s="470">
        <v>14</v>
      </c>
      <c r="AC758" s="473">
        <v>44033</v>
      </c>
      <c r="AD758" s="473">
        <v>44033</v>
      </c>
      <c r="AE758" s="473">
        <v>9247</v>
      </c>
      <c r="AF758" s="473">
        <v>3699</v>
      </c>
      <c r="AG758" s="473">
        <v>747</v>
      </c>
      <c r="AH758" s="473">
        <v>200</v>
      </c>
      <c r="AI758" s="473">
        <v>583</v>
      </c>
      <c r="AJ758" s="473">
        <v>770</v>
      </c>
      <c r="AK758" s="473">
        <v>1849</v>
      </c>
      <c r="AL758" s="473">
        <v>1387</v>
      </c>
      <c r="AM758" s="473">
        <v>92</v>
      </c>
      <c r="AN758" s="473">
        <v>324</v>
      </c>
      <c r="AO758" s="473">
        <v>185</v>
      </c>
      <c r="AP758" s="473">
        <v>46</v>
      </c>
      <c r="AQ758" s="473">
        <v>1110</v>
      </c>
      <c r="AR758" s="473">
        <v>310</v>
      </c>
      <c r="AS758" s="473">
        <v>0</v>
      </c>
      <c r="AT758" s="473">
        <v>0</v>
      </c>
      <c r="AU758" s="473">
        <v>0</v>
      </c>
      <c r="AV758" s="473">
        <v>20549</v>
      </c>
      <c r="AW758" s="474">
        <v>20549</v>
      </c>
      <c r="AX758" s="473">
        <v>0</v>
      </c>
      <c r="AY758" s="473">
        <v>0</v>
      </c>
      <c r="AZ758" s="475">
        <v>0</v>
      </c>
      <c r="BA758" s="475">
        <v>200</v>
      </c>
      <c r="BB758" s="475">
        <v>1110</v>
      </c>
      <c r="BC758" s="475">
        <v>0</v>
      </c>
      <c r="BD758" s="475">
        <v>0</v>
      </c>
      <c r="BE758" s="475">
        <v>0</v>
      </c>
      <c r="BF758" s="475">
        <v>0</v>
      </c>
      <c r="BG758" s="475">
        <v>1310</v>
      </c>
      <c r="BH758" s="476">
        <v>19239</v>
      </c>
      <c r="BI758" s="467"/>
      <c r="BJ758" s="468"/>
    </row>
    <row r="759" spans="1:62">
      <c r="A759" s="469">
        <v>45962</v>
      </c>
      <c r="B759" s="469" t="s">
        <v>747</v>
      </c>
      <c r="C759" s="508" t="s">
        <v>1424</v>
      </c>
      <c r="D759" s="470" t="s">
        <v>749</v>
      </c>
      <c r="E759" s="471">
        <v>2156</v>
      </c>
      <c r="F759" s="470" t="s">
        <v>1302</v>
      </c>
      <c r="G759" s="470" t="s">
        <v>751</v>
      </c>
      <c r="H759" s="470" t="s">
        <v>12</v>
      </c>
      <c r="I759" s="470" t="s">
        <v>1286</v>
      </c>
      <c r="J759" s="472" t="s">
        <v>1303</v>
      </c>
      <c r="K759" s="470" t="s">
        <v>1304</v>
      </c>
      <c r="L759" s="470" t="s">
        <v>1305</v>
      </c>
      <c r="M759" s="470" t="s">
        <v>1305</v>
      </c>
      <c r="N759" s="470" t="s">
        <v>756</v>
      </c>
      <c r="O759" s="472" t="s">
        <v>792</v>
      </c>
      <c r="P759" s="472" t="s">
        <v>738</v>
      </c>
      <c r="Q759" s="472" t="s">
        <v>758</v>
      </c>
      <c r="R759" s="472" t="s">
        <v>12</v>
      </c>
      <c r="S759" s="472" t="s">
        <v>12</v>
      </c>
      <c r="T759" s="472" t="s">
        <v>1306</v>
      </c>
      <c r="U759" s="470" t="s">
        <v>1307</v>
      </c>
      <c r="V759" s="470" t="s">
        <v>761</v>
      </c>
      <c r="W759" s="470" t="s">
        <v>898</v>
      </c>
      <c r="X759" s="470">
        <v>30</v>
      </c>
      <c r="Y759" s="470">
        <v>0</v>
      </c>
      <c r="Z759" s="470">
        <v>0</v>
      </c>
      <c r="AA759" s="470">
        <v>30</v>
      </c>
      <c r="AB759" s="470">
        <v>30</v>
      </c>
      <c r="AC759" s="473">
        <v>67200</v>
      </c>
      <c r="AD759" s="473">
        <v>67200</v>
      </c>
      <c r="AE759" s="473">
        <v>30240</v>
      </c>
      <c r="AF759" s="473">
        <v>12096</v>
      </c>
      <c r="AG759" s="473">
        <v>1600</v>
      </c>
      <c r="AH759" s="473">
        <v>200</v>
      </c>
      <c r="AI759" s="473">
        <v>1250</v>
      </c>
      <c r="AJ759" s="473">
        <v>2519</v>
      </c>
      <c r="AK759" s="473">
        <v>6048</v>
      </c>
      <c r="AL759" s="473">
        <v>4536</v>
      </c>
      <c r="AM759" s="473">
        <v>302</v>
      </c>
      <c r="AN759" s="473">
        <v>1058</v>
      </c>
      <c r="AO759" s="473">
        <v>605</v>
      </c>
      <c r="AP759" s="473">
        <v>151</v>
      </c>
      <c r="AQ759" s="473">
        <v>1800</v>
      </c>
      <c r="AR759" s="473">
        <v>4795</v>
      </c>
      <c r="AS759" s="473">
        <v>0</v>
      </c>
      <c r="AT759" s="473">
        <v>0</v>
      </c>
      <c r="AU759" s="473">
        <v>698</v>
      </c>
      <c r="AV759" s="473">
        <v>67898</v>
      </c>
      <c r="AW759" s="474">
        <v>67200</v>
      </c>
      <c r="AX759" s="473">
        <v>0</v>
      </c>
      <c r="AY759" s="473">
        <v>0</v>
      </c>
      <c r="AZ759" s="475">
        <v>0</v>
      </c>
      <c r="BA759" s="475">
        <v>200</v>
      </c>
      <c r="BB759" s="475">
        <v>1800</v>
      </c>
      <c r="BC759" s="475">
        <v>0</v>
      </c>
      <c r="BD759" s="475">
        <v>0</v>
      </c>
      <c r="BE759" s="475">
        <v>0</v>
      </c>
      <c r="BF759" s="475">
        <v>0</v>
      </c>
      <c r="BG759" s="475">
        <v>2000</v>
      </c>
      <c r="BH759" s="476">
        <v>65898</v>
      </c>
      <c r="BI759" s="467"/>
      <c r="BJ759" s="468"/>
    </row>
    <row r="760" spans="1:62">
      <c r="A760" s="469">
        <v>45962</v>
      </c>
      <c r="B760" s="469" t="s">
        <v>747</v>
      </c>
      <c r="C760" s="508" t="s">
        <v>1424</v>
      </c>
      <c r="D760" s="470" t="s">
        <v>749</v>
      </c>
      <c r="E760" s="471">
        <v>413</v>
      </c>
      <c r="F760" s="470" t="s">
        <v>1112</v>
      </c>
      <c r="G760" s="470" t="s">
        <v>751</v>
      </c>
      <c r="H760" s="470" t="s">
        <v>12</v>
      </c>
      <c r="I760" s="470" t="s">
        <v>1113</v>
      </c>
      <c r="J760" s="472" t="s">
        <v>1114</v>
      </c>
      <c r="K760" s="470" t="s">
        <v>1115</v>
      </c>
      <c r="L760" s="470" t="s">
        <v>856</v>
      </c>
      <c r="M760" s="470" t="s">
        <v>856</v>
      </c>
      <c r="N760" s="470" t="s">
        <v>756</v>
      </c>
      <c r="O760" s="472" t="s">
        <v>757</v>
      </c>
      <c r="P760" s="472" t="s">
        <v>738</v>
      </c>
      <c r="Q760" s="472" t="s">
        <v>758</v>
      </c>
      <c r="R760" s="472" t="s">
        <v>12</v>
      </c>
      <c r="S760" s="472" t="s">
        <v>12</v>
      </c>
      <c r="T760" s="472" t="s">
        <v>1117</v>
      </c>
      <c r="U760" s="470" t="s">
        <v>1118</v>
      </c>
      <c r="V760" s="470" t="s">
        <v>761</v>
      </c>
      <c r="W760" s="470" t="s">
        <v>762</v>
      </c>
      <c r="X760" s="470">
        <v>30</v>
      </c>
      <c r="Y760" s="470">
        <v>0</v>
      </c>
      <c r="Z760" s="470">
        <v>0</v>
      </c>
      <c r="AA760" s="470">
        <v>30</v>
      </c>
      <c r="AB760" s="470">
        <v>30</v>
      </c>
      <c r="AC760" s="473">
        <v>52975</v>
      </c>
      <c r="AD760" s="473">
        <v>52975</v>
      </c>
      <c r="AE760" s="473">
        <v>23839</v>
      </c>
      <c r="AF760" s="473">
        <v>9536</v>
      </c>
      <c r="AG760" s="473">
        <v>1600</v>
      </c>
      <c r="AH760" s="473">
        <v>200</v>
      </c>
      <c r="AI760" s="473">
        <v>1250</v>
      </c>
      <c r="AJ760" s="473">
        <v>1986</v>
      </c>
      <c r="AK760" s="473">
        <v>4768</v>
      </c>
      <c r="AL760" s="473">
        <v>3576</v>
      </c>
      <c r="AM760" s="473">
        <v>238</v>
      </c>
      <c r="AN760" s="473">
        <v>834</v>
      </c>
      <c r="AO760" s="473">
        <v>477</v>
      </c>
      <c r="AP760" s="473">
        <v>119</v>
      </c>
      <c r="AQ760" s="473">
        <v>1800</v>
      </c>
      <c r="AR760" s="473">
        <v>2752</v>
      </c>
      <c r="AS760" s="473">
        <v>0</v>
      </c>
      <c r="AT760" s="473">
        <v>0</v>
      </c>
      <c r="AU760" s="473">
        <v>0</v>
      </c>
      <c r="AV760" s="473">
        <v>52975</v>
      </c>
      <c r="AW760" s="474">
        <v>52975</v>
      </c>
      <c r="AX760" s="473">
        <v>0</v>
      </c>
      <c r="AY760" s="473">
        <v>0</v>
      </c>
      <c r="AZ760" s="475">
        <v>0</v>
      </c>
      <c r="BA760" s="475">
        <v>200</v>
      </c>
      <c r="BB760" s="475">
        <v>1800</v>
      </c>
      <c r="BC760" s="475">
        <v>0</v>
      </c>
      <c r="BD760" s="475">
        <v>0</v>
      </c>
      <c r="BE760" s="475">
        <v>0</v>
      </c>
      <c r="BF760" s="475">
        <v>0</v>
      </c>
      <c r="BG760" s="475">
        <v>2000</v>
      </c>
      <c r="BH760" s="476">
        <v>50975</v>
      </c>
      <c r="BI760" s="467"/>
      <c r="BJ760" s="468"/>
    </row>
    <row r="761" spans="1:62">
      <c r="A761" s="469">
        <v>45962</v>
      </c>
      <c r="B761" s="469" t="s">
        <v>747</v>
      </c>
      <c r="C761" s="508" t="s">
        <v>1424</v>
      </c>
      <c r="D761" s="470" t="s">
        <v>749</v>
      </c>
      <c r="E761" s="471">
        <v>1389</v>
      </c>
      <c r="F761" s="470" t="s">
        <v>1119</v>
      </c>
      <c r="G761" s="470" t="s">
        <v>751</v>
      </c>
      <c r="H761" s="470" t="s">
        <v>12</v>
      </c>
      <c r="I761" s="470" t="s">
        <v>1120</v>
      </c>
      <c r="J761" s="472" t="s">
        <v>1121</v>
      </c>
      <c r="K761" s="470" t="s">
        <v>1122</v>
      </c>
      <c r="L761" s="470" t="s">
        <v>1123</v>
      </c>
      <c r="M761" s="470" t="s">
        <v>1124</v>
      </c>
      <c r="N761" s="470" t="s">
        <v>1108</v>
      </c>
      <c r="O761" s="472" t="s">
        <v>757</v>
      </c>
      <c r="P761" s="472" t="s">
        <v>738</v>
      </c>
      <c r="Q761" s="472" t="s">
        <v>758</v>
      </c>
      <c r="R761" s="472" t="s">
        <v>12</v>
      </c>
      <c r="S761" s="472" t="s">
        <v>12</v>
      </c>
      <c r="T761" s="472" t="s">
        <v>1125</v>
      </c>
      <c r="U761" s="470" t="s">
        <v>1126</v>
      </c>
      <c r="V761" s="470" t="s">
        <v>761</v>
      </c>
      <c r="W761" s="470" t="s">
        <v>762</v>
      </c>
      <c r="X761" s="470">
        <v>30</v>
      </c>
      <c r="Y761" s="470">
        <v>0</v>
      </c>
      <c r="Z761" s="470">
        <v>0.5</v>
      </c>
      <c r="AA761" s="470">
        <v>29.5</v>
      </c>
      <c r="AB761" s="470">
        <v>29.5</v>
      </c>
      <c r="AC761" s="473">
        <v>57473</v>
      </c>
      <c r="AD761" s="473">
        <v>57473</v>
      </c>
      <c r="AE761" s="473">
        <v>25432</v>
      </c>
      <c r="AF761" s="473">
        <v>10173</v>
      </c>
      <c r="AG761" s="473">
        <v>1573</v>
      </c>
      <c r="AH761" s="473">
        <v>197</v>
      </c>
      <c r="AI761" s="473">
        <v>1229</v>
      </c>
      <c r="AJ761" s="473">
        <v>2118</v>
      </c>
      <c r="AK761" s="473">
        <v>5086</v>
      </c>
      <c r="AL761" s="473">
        <v>3815</v>
      </c>
      <c r="AM761" s="473">
        <v>254</v>
      </c>
      <c r="AN761" s="473">
        <v>890</v>
      </c>
      <c r="AO761" s="473">
        <v>509</v>
      </c>
      <c r="AP761" s="473">
        <v>127</v>
      </c>
      <c r="AQ761" s="473">
        <v>1800</v>
      </c>
      <c r="AR761" s="473">
        <v>3312</v>
      </c>
      <c r="AS761" s="473">
        <v>0</v>
      </c>
      <c r="AT761" s="473">
        <v>0</v>
      </c>
      <c r="AU761" s="473">
        <v>0</v>
      </c>
      <c r="AV761" s="473">
        <v>56515</v>
      </c>
      <c r="AW761" s="474">
        <v>56515</v>
      </c>
      <c r="AX761" s="473">
        <v>0</v>
      </c>
      <c r="AY761" s="473">
        <v>0</v>
      </c>
      <c r="AZ761" s="475">
        <v>0</v>
      </c>
      <c r="BA761" s="475">
        <v>200</v>
      </c>
      <c r="BB761" s="475">
        <v>1800</v>
      </c>
      <c r="BC761" s="475">
        <v>0</v>
      </c>
      <c r="BD761" s="475">
        <v>0</v>
      </c>
      <c r="BE761" s="475">
        <v>0</v>
      </c>
      <c r="BF761" s="475">
        <v>10000</v>
      </c>
      <c r="BG761" s="475">
        <v>12000</v>
      </c>
      <c r="BH761" s="476">
        <v>44515</v>
      </c>
      <c r="BI761" s="467"/>
      <c r="BJ761" s="468"/>
    </row>
    <row r="762" spans="1:62">
      <c r="A762" s="469">
        <v>45962</v>
      </c>
      <c r="B762" s="469" t="s">
        <v>747</v>
      </c>
      <c r="C762" s="508" t="s">
        <v>1424</v>
      </c>
      <c r="D762" s="470" t="s">
        <v>749</v>
      </c>
      <c r="E762" s="471">
        <v>1535</v>
      </c>
      <c r="F762" s="470" t="s">
        <v>1127</v>
      </c>
      <c r="G762" s="470" t="s">
        <v>751</v>
      </c>
      <c r="H762" s="470" t="s">
        <v>12</v>
      </c>
      <c r="I762" s="470" t="s">
        <v>1128</v>
      </c>
      <c r="J762" s="472" t="s">
        <v>1129</v>
      </c>
      <c r="K762" s="470" t="s">
        <v>1130</v>
      </c>
      <c r="L762" s="470" t="s">
        <v>1131</v>
      </c>
      <c r="M762" s="470" t="s">
        <v>1131</v>
      </c>
      <c r="N762" s="470" t="s">
        <v>756</v>
      </c>
      <c r="O762" s="472" t="s">
        <v>792</v>
      </c>
      <c r="P762" s="472" t="s">
        <v>738</v>
      </c>
      <c r="Q762" s="472" t="s">
        <v>758</v>
      </c>
      <c r="R762" s="472" t="s">
        <v>12</v>
      </c>
      <c r="S762" s="472" t="s">
        <v>12</v>
      </c>
      <c r="T762" s="472" t="s">
        <v>1132</v>
      </c>
      <c r="U762" s="470" t="s">
        <v>1133</v>
      </c>
      <c r="V762" s="470" t="s">
        <v>761</v>
      </c>
      <c r="W762" s="470" t="s">
        <v>1134</v>
      </c>
      <c r="X762" s="470">
        <v>30</v>
      </c>
      <c r="Y762" s="470">
        <v>0</v>
      </c>
      <c r="Z762" s="470">
        <v>2</v>
      </c>
      <c r="AA762" s="470">
        <v>28</v>
      </c>
      <c r="AB762" s="470">
        <v>28</v>
      </c>
      <c r="AC762" s="473">
        <v>95900</v>
      </c>
      <c r="AD762" s="473">
        <v>95900</v>
      </c>
      <c r="AE762" s="473">
        <v>40278</v>
      </c>
      <c r="AF762" s="473">
        <v>16111</v>
      </c>
      <c r="AG762" s="473">
        <v>1493</v>
      </c>
      <c r="AH762" s="473">
        <v>187</v>
      </c>
      <c r="AI762" s="473">
        <v>1167</v>
      </c>
      <c r="AJ762" s="473">
        <v>3355</v>
      </c>
      <c r="AK762" s="473">
        <v>8056</v>
      </c>
      <c r="AL762" s="473">
        <v>6042</v>
      </c>
      <c r="AM762" s="473">
        <v>403</v>
      </c>
      <c r="AN762" s="473">
        <v>1410</v>
      </c>
      <c r="AO762" s="473">
        <v>806</v>
      </c>
      <c r="AP762" s="473">
        <v>201</v>
      </c>
      <c r="AQ762" s="473">
        <v>1800</v>
      </c>
      <c r="AR762" s="473">
        <v>8198</v>
      </c>
      <c r="AS762" s="473">
        <v>0</v>
      </c>
      <c r="AT762" s="473">
        <v>0</v>
      </c>
      <c r="AU762" s="473">
        <v>0</v>
      </c>
      <c r="AV762" s="473">
        <v>89507</v>
      </c>
      <c r="AW762" s="474">
        <v>89507</v>
      </c>
      <c r="AX762" s="473">
        <v>0</v>
      </c>
      <c r="AY762" s="473">
        <v>0</v>
      </c>
      <c r="AZ762" s="475">
        <v>0</v>
      </c>
      <c r="BA762" s="475">
        <v>200</v>
      </c>
      <c r="BB762" s="475">
        <v>1800</v>
      </c>
      <c r="BC762" s="475">
        <v>0</v>
      </c>
      <c r="BD762" s="475">
        <v>0</v>
      </c>
      <c r="BE762" s="475">
        <v>0</v>
      </c>
      <c r="BF762" s="475">
        <v>0</v>
      </c>
      <c r="BG762" s="475">
        <v>2000</v>
      </c>
      <c r="BH762" s="476">
        <v>87507</v>
      </c>
      <c r="BI762" s="467"/>
      <c r="BJ762" s="468"/>
    </row>
    <row r="763" spans="1:62">
      <c r="A763" s="469">
        <v>45962</v>
      </c>
      <c r="B763" s="469" t="s">
        <v>747</v>
      </c>
      <c r="C763" s="508" t="s">
        <v>1424</v>
      </c>
      <c r="D763" s="470" t="s">
        <v>749</v>
      </c>
      <c r="E763" s="471">
        <v>1409</v>
      </c>
      <c r="F763" s="470" t="s">
        <v>1135</v>
      </c>
      <c r="G763" s="470" t="s">
        <v>751</v>
      </c>
      <c r="H763" s="470" t="s">
        <v>12</v>
      </c>
      <c r="I763" s="470" t="s">
        <v>1136</v>
      </c>
      <c r="J763" s="472" t="s">
        <v>1137</v>
      </c>
      <c r="K763" s="470" t="s">
        <v>1138</v>
      </c>
      <c r="L763" s="470" t="s">
        <v>856</v>
      </c>
      <c r="M763" s="470" t="s">
        <v>856</v>
      </c>
      <c r="N763" s="470" t="s">
        <v>756</v>
      </c>
      <c r="O763" s="472" t="s">
        <v>757</v>
      </c>
      <c r="P763" s="472" t="s">
        <v>738</v>
      </c>
      <c r="Q763" s="472" t="s">
        <v>758</v>
      </c>
      <c r="R763" s="472" t="s">
        <v>12</v>
      </c>
      <c r="S763" s="472" t="s">
        <v>12</v>
      </c>
      <c r="T763" s="472" t="s">
        <v>1139</v>
      </c>
      <c r="U763" s="470" t="s">
        <v>1140</v>
      </c>
      <c r="V763" s="470" t="s">
        <v>761</v>
      </c>
      <c r="W763" s="470" t="s">
        <v>1111</v>
      </c>
      <c r="X763" s="470">
        <v>30</v>
      </c>
      <c r="Y763" s="470">
        <v>0</v>
      </c>
      <c r="Z763" s="470">
        <v>0</v>
      </c>
      <c r="AA763" s="470">
        <v>30</v>
      </c>
      <c r="AB763" s="470">
        <v>30</v>
      </c>
      <c r="AC763" s="473">
        <v>71417</v>
      </c>
      <c r="AD763" s="473">
        <v>71417</v>
      </c>
      <c r="AE763" s="473">
        <v>32138</v>
      </c>
      <c r="AF763" s="473">
        <v>12855</v>
      </c>
      <c r="AG763" s="473">
        <v>1600</v>
      </c>
      <c r="AH763" s="473">
        <v>200</v>
      </c>
      <c r="AI763" s="473">
        <v>1250</v>
      </c>
      <c r="AJ763" s="473">
        <v>2677</v>
      </c>
      <c r="AK763" s="473">
        <v>6428</v>
      </c>
      <c r="AL763" s="473">
        <v>4821</v>
      </c>
      <c r="AM763" s="473">
        <v>321</v>
      </c>
      <c r="AN763" s="473">
        <v>1125</v>
      </c>
      <c r="AO763" s="473">
        <v>643</v>
      </c>
      <c r="AP763" s="473">
        <v>161</v>
      </c>
      <c r="AQ763" s="473">
        <v>1800</v>
      </c>
      <c r="AR763" s="473">
        <v>5398</v>
      </c>
      <c r="AS763" s="473">
        <v>0</v>
      </c>
      <c r="AT763" s="473">
        <v>0</v>
      </c>
      <c r="AU763" s="473">
        <v>0</v>
      </c>
      <c r="AV763" s="473">
        <v>71417</v>
      </c>
      <c r="AW763" s="474">
        <v>71417</v>
      </c>
      <c r="AX763" s="473">
        <v>0</v>
      </c>
      <c r="AY763" s="473">
        <v>0</v>
      </c>
      <c r="AZ763" s="475">
        <v>0</v>
      </c>
      <c r="BA763" s="475">
        <v>200</v>
      </c>
      <c r="BB763" s="475">
        <v>1800</v>
      </c>
      <c r="BC763" s="475">
        <v>0</v>
      </c>
      <c r="BD763" s="475">
        <v>0</v>
      </c>
      <c r="BE763" s="475">
        <v>0</v>
      </c>
      <c r="BF763" s="475">
        <v>0</v>
      </c>
      <c r="BG763" s="475">
        <v>2000</v>
      </c>
      <c r="BH763" s="476">
        <v>69417</v>
      </c>
      <c r="BI763" s="467"/>
      <c r="BJ763" s="468"/>
    </row>
    <row r="764" spans="1:62">
      <c r="A764" s="469">
        <v>45962</v>
      </c>
      <c r="B764" s="469" t="s">
        <v>747</v>
      </c>
      <c r="C764" s="508" t="s">
        <v>1424</v>
      </c>
      <c r="D764" s="470" t="s">
        <v>749</v>
      </c>
      <c r="E764" s="471">
        <v>2155</v>
      </c>
      <c r="F764" s="470" t="s">
        <v>1308</v>
      </c>
      <c r="G764" s="470" t="s">
        <v>751</v>
      </c>
      <c r="H764" s="470" t="s">
        <v>12</v>
      </c>
      <c r="I764" s="470" t="s">
        <v>1286</v>
      </c>
      <c r="J764" s="472" t="s">
        <v>1309</v>
      </c>
      <c r="K764" s="470" t="s">
        <v>1310</v>
      </c>
      <c r="L764" s="470" t="s">
        <v>1311</v>
      </c>
      <c r="M764" s="470" t="s">
        <v>1311</v>
      </c>
      <c r="N764" s="470" t="s">
        <v>756</v>
      </c>
      <c r="O764" s="472" t="s">
        <v>757</v>
      </c>
      <c r="P764" s="472" t="s">
        <v>738</v>
      </c>
      <c r="Q764" s="472" t="s">
        <v>758</v>
      </c>
      <c r="R764" s="472" t="s">
        <v>12</v>
      </c>
      <c r="S764" s="472" t="s">
        <v>12</v>
      </c>
      <c r="T764" s="472" t="s">
        <v>1312</v>
      </c>
      <c r="U764" s="470" t="s">
        <v>1313</v>
      </c>
      <c r="V764" s="470" t="s">
        <v>761</v>
      </c>
      <c r="W764" s="470" t="s">
        <v>898</v>
      </c>
      <c r="X764" s="470">
        <v>30</v>
      </c>
      <c r="Y764" s="470">
        <v>0</v>
      </c>
      <c r="Z764" s="470">
        <v>0</v>
      </c>
      <c r="AA764" s="470">
        <v>30</v>
      </c>
      <c r="AB764" s="470">
        <v>30</v>
      </c>
      <c r="AC764" s="473">
        <v>53200</v>
      </c>
      <c r="AD764" s="473">
        <v>53200</v>
      </c>
      <c r="AE764" s="473">
        <v>23940</v>
      </c>
      <c r="AF764" s="473">
        <v>9576</v>
      </c>
      <c r="AG764" s="473">
        <v>1600</v>
      </c>
      <c r="AH764" s="473">
        <v>200</v>
      </c>
      <c r="AI764" s="473">
        <v>1250</v>
      </c>
      <c r="AJ764" s="473">
        <v>1994</v>
      </c>
      <c r="AK764" s="473">
        <v>4788</v>
      </c>
      <c r="AL764" s="473">
        <v>3591</v>
      </c>
      <c r="AM764" s="473">
        <v>239</v>
      </c>
      <c r="AN764" s="473">
        <v>838</v>
      </c>
      <c r="AO764" s="473">
        <v>479</v>
      </c>
      <c r="AP764" s="473">
        <v>120</v>
      </c>
      <c r="AQ764" s="473">
        <v>1800</v>
      </c>
      <c r="AR764" s="473">
        <v>2785</v>
      </c>
      <c r="AS764" s="473">
        <v>0</v>
      </c>
      <c r="AT764" s="473">
        <v>0</v>
      </c>
      <c r="AU764" s="473">
        <v>473</v>
      </c>
      <c r="AV764" s="473">
        <v>53673</v>
      </c>
      <c r="AW764" s="474">
        <v>53200</v>
      </c>
      <c r="AX764" s="473">
        <v>0</v>
      </c>
      <c r="AY764" s="473">
        <v>0</v>
      </c>
      <c r="AZ764" s="475">
        <v>0</v>
      </c>
      <c r="BA764" s="475">
        <v>200</v>
      </c>
      <c r="BB764" s="475">
        <v>1800</v>
      </c>
      <c r="BC764" s="475">
        <v>0</v>
      </c>
      <c r="BD764" s="475">
        <v>0</v>
      </c>
      <c r="BE764" s="475">
        <v>0</v>
      </c>
      <c r="BF764" s="475">
        <v>0</v>
      </c>
      <c r="BG764" s="475">
        <v>2000</v>
      </c>
      <c r="BH764" s="476">
        <v>51673</v>
      </c>
      <c r="BI764" s="467"/>
      <c r="BJ764" s="468"/>
    </row>
    <row r="765" spans="1:62">
      <c r="A765" s="469">
        <v>45962</v>
      </c>
      <c r="B765" s="469" t="s">
        <v>747</v>
      </c>
      <c r="C765" s="508" t="s">
        <v>1424</v>
      </c>
      <c r="D765" s="470" t="s">
        <v>749</v>
      </c>
      <c r="E765" s="471">
        <v>2232</v>
      </c>
      <c r="F765" s="470" t="s">
        <v>1372</v>
      </c>
      <c r="G765" s="470" t="s">
        <v>751</v>
      </c>
      <c r="H765" s="470" t="s">
        <v>12</v>
      </c>
      <c r="I765" s="470" t="s">
        <v>1348</v>
      </c>
      <c r="J765" s="472" t="s">
        <v>1373</v>
      </c>
      <c r="K765" s="470" t="s">
        <v>1374</v>
      </c>
      <c r="L765" s="470" t="s">
        <v>1375</v>
      </c>
      <c r="M765" s="470" t="s">
        <v>1375</v>
      </c>
      <c r="N765" s="470" t="s">
        <v>756</v>
      </c>
      <c r="O765" s="472" t="s">
        <v>757</v>
      </c>
      <c r="P765" s="472" t="s">
        <v>738</v>
      </c>
      <c r="Q765" s="472" t="s">
        <v>758</v>
      </c>
      <c r="R765" s="472" t="s">
        <v>12</v>
      </c>
      <c r="S765" s="472" t="s">
        <v>12</v>
      </c>
      <c r="T765" s="472" t="s">
        <v>1376</v>
      </c>
      <c r="U765" s="470" t="s">
        <v>1377</v>
      </c>
      <c r="V765" s="470" t="s">
        <v>1497</v>
      </c>
      <c r="W765" s="470" t="s">
        <v>1379</v>
      </c>
      <c r="X765" s="470">
        <v>30</v>
      </c>
      <c r="Y765" s="470">
        <v>0</v>
      </c>
      <c r="Z765" s="470">
        <v>0</v>
      </c>
      <c r="AA765" s="470">
        <v>30</v>
      </c>
      <c r="AB765" s="470">
        <v>30</v>
      </c>
      <c r="AC765" s="473">
        <v>89867</v>
      </c>
      <c r="AD765" s="473">
        <v>89867</v>
      </c>
      <c r="AE765" s="473">
        <v>40440</v>
      </c>
      <c r="AF765" s="473">
        <v>16176</v>
      </c>
      <c r="AG765" s="473">
        <v>1600</v>
      </c>
      <c r="AH765" s="473">
        <v>200</v>
      </c>
      <c r="AI765" s="473">
        <v>1250</v>
      </c>
      <c r="AJ765" s="473">
        <v>3369</v>
      </c>
      <c r="AK765" s="473">
        <v>8088</v>
      </c>
      <c r="AL765" s="473">
        <v>6066</v>
      </c>
      <c r="AM765" s="473">
        <v>404</v>
      </c>
      <c r="AN765" s="473">
        <v>1415</v>
      </c>
      <c r="AO765" s="473">
        <v>809</v>
      </c>
      <c r="AP765" s="473">
        <v>202</v>
      </c>
      <c r="AQ765" s="473">
        <v>1800</v>
      </c>
      <c r="AR765" s="473">
        <v>8048</v>
      </c>
      <c r="AS765" s="473">
        <v>0</v>
      </c>
      <c r="AT765" s="473">
        <v>0</v>
      </c>
      <c r="AU765" s="473">
        <v>0</v>
      </c>
      <c r="AV765" s="473">
        <v>89867</v>
      </c>
      <c r="AW765" s="474">
        <v>89867</v>
      </c>
      <c r="AX765" s="473">
        <v>0</v>
      </c>
      <c r="AY765" s="473">
        <v>0</v>
      </c>
      <c r="AZ765" s="475">
        <v>0</v>
      </c>
      <c r="BA765" s="475">
        <v>200</v>
      </c>
      <c r="BB765" s="475">
        <v>1800</v>
      </c>
      <c r="BC765" s="475">
        <v>0</v>
      </c>
      <c r="BD765" s="475">
        <v>0</v>
      </c>
      <c r="BE765" s="475">
        <v>0</v>
      </c>
      <c r="BF765" s="475">
        <v>0</v>
      </c>
      <c r="BG765" s="475">
        <v>2000</v>
      </c>
      <c r="BH765" s="476">
        <v>87867</v>
      </c>
      <c r="BI765" s="467"/>
      <c r="BJ765" s="468"/>
    </row>
    <row r="766" spans="1:62">
      <c r="A766" s="469">
        <v>45962</v>
      </c>
      <c r="B766" s="469" t="s">
        <v>747</v>
      </c>
      <c r="C766" s="508" t="s">
        <v>1424</v>
      </c>
      <c r="D766" s="470" t="s">
        <v>749</v>
      </c>
      <c r="E766" s="471">
        <v>2147</v>
      </c>
      <c r="F766" s="470" t="s">
        <v>1314</v>
      </c>
      <c r="G766" s="470" t="s">
        <v>812</v>
      </c>
      <c r="H766" s="470" t="s">
        <v>12</v>
      </c>
      <c r="I766" s="470" t="s">
        <v>1286</v>
      </c>
      <c r="J766" s="472" t="s">
        <v>1315</v>
      </c>
      <c r="K766" s="470" t="s">
        <v>1316</v>
      </c>
      <c r="L766" s="470" t="s">
        <v>1317</v>
      </c>
      <c r="M766" s="470" t="s">
        <v>1317</v>
      </c>
      <c r="N766" s="470" t="s">
        <v>833</v>
      </c>
      <c r="O766" s="472" t="s">
        <v>757</v>
      </c>
      <c r="P766" s="472" t="s">
        <v>738</v>
      </c>
      <c r="Q766" s="472" t="s">
        <v>758</v>
      </c>
      <c r="R766" s="472" t="s">
        <v>12</v>
      </c>
      <c r="S766" s="472" t="s">
        <v>12</v>
      </c>
      <c r="T766" s="472" t="s">
        <v>1318</v>
      </c>
      <c r="U766" s="470" t="s">
        <v>1319</v>
      </c>
      <c r="V766" s="470" t="s">
        <v>761</v>
      </c>
      <c r="W766" s="470" t="s">
        <v>898</v>
      </c>
      <c r="X766" s="470">
        <v>30</v>
      </c>
      <c r="Y766" s="470">
        <v>0</v>
      </c>
      <c r="Z766" s="470">
        <v>0</v>
      </c>
      <c r="AA766" s="470">
        <v>30</v>
      </c>
      <c r="AB766" s="470">
        <v>30</v>
      </c>
      <c r="AC766" s="473">
        <v>28380</v>
      </c>
      <c r="AD766" s="473">
        <v>28380</v>
      </c>
      <c r="AE766" s="473">
        <v>12771</v>
      </c>
      <c r="AF766" s="473">
        <v>5108</v>
      </c>
      <c r="AG766" s="473">
        <v>1600</v>
      </c>
      <c r="AH766" s="473">
        <v>200</v>
      </c>
      <c r="AI766" s="473">
        <v>1250</v>
      </c>
      <c r="AJ766" s="473">
        <v>0</v>
      </c>
      <c r="AK766" s="473">
        <v>0</v>
      </c>
      <c r="AL766" s="473">
        <v>0</v>
      </c>
      <c r="AM766" s="473">
        <v>0</v>
      </c>
      <c r="AN766" s="473">
        <v>0</v>
      </c>
      <c r="AO766" s="473">
        <v>0</v>
      </c>
      <c r="AP766" s="473">
        <v>0</v>
      </c>
      <c r="AQ766" s="473">
        <v>1533</v>
      </c>
      <c r="AR766" s="473">
        <v>5918</v>
      </c>
      <c r="AS766" s="473">
        <v>0</v>
      </c>
      <c r="AT766" s="473">
        <v>0</v>
      </c>
      <c r="AU766" s="473">
        <v>0</v>
      </c>
      <c r="AV766" s="473">
        <v>28380</v>
      </c>
      <c r="AW766" s="474">
        <v>28380</v>
      </c>
      <c r="AX766" s="473">
        <v>0</v>
      </c>
      <c r="AY766" s="473">
        <v>0</v>
      </c>
      <c r="AZ766" s="475">
        <v>0</v>
      </c>
      <c r="BA766" s="475">
        <v>200</v>
      </c>
      <c r="BB766" s="475">
        <v>1533</v>
      </c>
      <c r="BC766" s="475">
        <v>0</v>
      </c>
      <c r="BD766" s="475">
        <v>0</v>
      </c>
      <c r="BE766" s="475">
        <v>0</v>
      </c>
      <c r="BF766" s="475">
        <v>0</v>
      </c>
      <c r="BG766" s="475">
        <v>1733</v>
      </c>
      <c r="BH766" s="476">
        <v>26647</v>
      </c>
      <c r="BI766" s="467"/>
      <c r="BJ766" s="468"/>
    </row>
    <row r="767" spans="1:62">
      <c r="A767" s="469">
        <v>45962</v>
      </c>
      <c r="B767" s="469" t="s">
        <v>747</v>
      </c>
      <c r="C767" s="508" t="s">
        <v>1424</v>
      </c>
      <c r="D767" s="470" t="s">
        <v>749</v>
      </c>
      <c r="E767" s="471">
        <v>2278</v>
      </c>
      <c r="F767" s="470" t="s">
        <v>1498</v>
      </c>
      <c r="G767" s="470" t="s">
        <v>812</v>
      </c>
      <c r="H767" s="470" t="s">
        <v>12</v>
      </c>
      <c r="I767" s="470" t="s">
        <v>1426</v>
      </c>
      <c r="J767" s="472" t="s">
        <v>1499</v>
      </c>
      <c r="K767" s="470" t="s">
        <v>1500</v>
      </c>
      <c r="L767" s="470" t="s">
        <v>824</v>
      </c>
      <c r="M767" s="470" t="s">
        <v>824</v>
      </c>
      <c r="N767" s="470" t="s">
        <v>1275</v>
      </c>
      <c r="O767" s="472" t="s">
        <v>1276</v>
      </c>
      <c r="P767" s="472" t="s">
        <v>738</v>
      </c>
      <c r="Q767" s="472" t="s">
        <v>758</v>
      </c>
      <c r="R767" s="472" t="s">
        <v>12</v>
      </c>
      <c r="S767" s="472" t="s">
        <v>12</v>
      </c>
      <c r="T767" s="472" t="s">
        <v>1501</v>
      </c>
      <c r="U767" s="470" t="s">
        <v>1502</v>
      </c>
      <c r="V767" s="470" t="s">
        <v>761</v>
      </c>
      <c r="W767" s="470" t="s">
        <v>1361</v>
      </c>
      <c r="X767" s="470">
        <v>30</v>
      </c>
      <c r="Y767" s="470">
        <v>0</v>
      </c>
      <c r="Z767" s="470">
        <v>0</v>
      </c>
      <c r="AA767" s="470">
        <v>14</v>
      </c>
      <c r="AB767" s="470">
        <v>14</v>
      </c>
      <c r="AC767" s="473">
        <v>44033</v>
      </c>
      <c r="AD767" s="473">
        <v>44033</v>
      </c>
      <c r="AE767" s="473">
        <v>9247</v>
      </c>
      <c r="AF767" s="473">
        <v>3699</v>
      </c>
      <c r="AG767" s="473">
        <v>747</v>
      </c>
      <c r="AH767" s="473">
        <v>200</v>
      </c>
      <c r="AI767" s="473">
        <v>583</v>
      </c>
      <c r="AJ767" s="473">
        <v>770</v>
      </c>
      <c r="AK767" s="473">
        <v>1849</v>
      </c>
      <c r="AL767" s="473">
        <v>1387</v>
      </c>
      <c r="AM767" s="473">
        <v>92</v>
      </c>
      <c r="AN767" s="473">
        <v>324</v>
      </c>
      <c r="AO767" s="473">
        <v>185</v>
      </c>
      <c r="AP767" s="473">
        <v>46</v>
      </c>
      <c r="AQ767" s="473">
        <v>1110</v>
      </c>
      <c r="AR767" s="473">
        <v>310</v>
      </c>
      <c r="AS767" s="473">
        <v>0</v>
      </c>
      <c r="AT767" s="473">
        <v>0</v>
      </c>
      <c r="AU767" s="473">
        <v>0</v>
      </c>
      <c r="AV767" s="473">
        <v>20549</v>
      </c>
      <c r="AW767" s="474">
        <v>20549</v>
      </c>
      <c r="AX767" s="473">
        <v>0</v>
      </c>
      <c r="AY767" s="473">
        <v>0</v>
      </c>
      <c r="AZ767" s="475">
        <v>0</v>
      </c>
      <c r="BA767" s="475">
        <v>175</v>
      </c>
      <c r="BB767" s="475">
        <v>1110</v>
      </c>
      <c r="BC767" s="475">
        <v>0</v>
      </c>
      <c r="BD767" s="475">
        <v>0</v>
      </c>
      <c r="BE767" s="475">
        <v>0</v>
      </c>
      <c r="BF767" s="475">
        <v>0</v>
      </c>
      <c r="BG767" s="475">
        <v>1285</v>
      </c>
      <c r="BH767" s="476">
        <v>19264</v>
      </c>
      <c r="BI767" s="467"/>
      <c r="BJ767" s="468"/>
    </row>
    <row r="768" spans="1:62">
      <c r="A768" s="469">
        <v>45962</v>
      </c>
      <c r="B768" s="469" t="s">
        <v>747</v>
      </c>
      <c r="C768" s="508" t="s">
        <v>1424</v>
      </c>
      <c r="D768" s="470" t="s">
        <v>749</v>
      </c>
      <c r="E768" s="471">
        <v>1263</v>
      </c>
      <c r="F768" s="470" t="s">
        <v>1141</v>
      </c>
      <c r="G768" s="470" t="s">
        <v>751</v>
      </c>
      <c r="H768" s="470" t="s">
        <v>12</v>
      </c>
      <c r="I768" s="470" t="s">
        <v>1142</v>
      </c>
      <c r="J768" s="472" t="s">
        <v>1143</v>
      </c>
      <c r="K768" s="470" t="s">
        <v>1144</v>
      </c>
      <c r="L768" s="470" t="s">
        <v>1305</v>
      </c>
      <c r="M768" s="470" t="s">
        <v>1305</v>
      </c>
      <c r="N768" s="470" t="s">
        <v>756</v>
      </c>
      <c r="O768" s="472" t="s">
        <v>757</v>
      </c>
      <c r="P768" s="472" t="s">
        <v>738</v>
      </c>
      <c r="Q768" s="472" t="s">
        <v>758</v>
      </c>
      <c r="R768" s="472" t="s">
        <v>12</v>
      </c>
      <c r="S768" s="472" t="s">
        <v>12</v>
      </c>
      <c r="T768" s="472" t="s">
        <v>1147</v>
      </c>
      <c r="U768" s="470" t="s">
        <v>1148</v>
      </c>
      <c r="V768" s="470" t="s">
        <v>761</v>
      </c>
      <c r="W768" s="470" t="s">
        <v>859</v>
      </c>
      <c r="X768" s="470">
        <v>30</v>
      </c>
      <c r="Y768" s="470">
        <v>0</v>
      </c>
      <c r="Z768" s="470">
        <v>9</v>
      </c>
      <c r="AA768" s="470">
        <v>21</v>
      </c>
      <c r="AB768" s="470">
        <v>21</v>
      </c>
      <c r="AC768" s="473">
        <v>55900</v>
      </c>
      <c r="AD768" s="473">
        <v>55900</v>
      </c>
      <c r="AE768" s="473">
        <v>17609</v>
      </c>
      <c r="AF768" s="473">
        <v>7044</v>
      </c>
      <c r="AG768" s="473">
        <v>1120</v>
      </c>
      <c r="AH768" s="473">
        <v>140</v>
      </c>
      <c r="AI768" s="473">
        <v>875</v>
      </c>
      <c r="AJ768" s="473">
        <v>1467</v>
      </c>
      <c r="AK768" s="473">
        <v>3522</v>
      </c>
      <c r="AL768" s="473">
        <v>2641</v>
      </c>
      <c r="AM768" s="473">
        <v>176</v>
      </c>
      <c r="AN768" s="473">
        <v>616</v>
      </c>
      <c r="AO768" s="473">
        <v>352</v>
      </c>
      <c r="AP768" s="473">
        <v>88</v>
      </c>
      <c r="AQ768" s="473">
        <v>1800</v>
      </c>
      <c r="AR768" s="473">
        <v>1680</v>
      </c>
      <c r="AS768" s="473">
        <v>0</v>
      </c>
      <c r="AT768" s="473">
        <v>0</v>
      </c>
      <c r="AU768" s="473">
        <v>0</v>
      </c>
      <c r="AV768" s="473">
        <v>39130</v>
      </c>
      <c r="AW768" s="474">
        <v>39130</v>
      </c>
      <c r="AX768" s="473">
        <v>0</v>
      </c>
      <c r="AY768" s="473">
        <v>0</v>
      </c>
      <c r="AZ768" s="475">
        <v>0</v>
      </c>
      <c r="BA768" s="475">
        <v>200</v>
      </c>
      <c r="BB768" s="475">
        <v>1800</v>
      </c>
      <c r="BC768" s="475">
        <v>0</v>
      </c>
      <c r="BD768" s="475">
        <v>0</v>
      </c>
      <c r="BE768" s="475">
        <v>0</v>
      </c>
      <c r="BF768" s="475">
        <v>0</v>
      </c>
      <c r="BG768" s="475">
        <v>2000</v>
      </c>
      <c r="BH768" s="476">
        <v>37130</v>
      </c>
      <c r="BI768" s="467"/>
      <c r="BJ768" s="468"/>
    </row>
    <row r="769" spans="1:62">
      <c r="A769" s="469">
        <v>45962</v>
      </c>
      <c r="B769" s="469" t="s">
        <v>747</v>
      </c>
      <c r="C769" s="508" t="s">
        <v>1424</v>
      </c>
      <c r="D769" s="470" t="s">
        <v>749</v>
      </c>
      <c r="E769" s="471">
        <v>2218</v>
      </c>
      <c r="F769" s="470" t="s">
        <v>1380</v>
      </c>
      <c r="G769" s="470" t="s">
        <v>751</v>
      </c>
      <c r="H769" s="470" t="s">
        <v>12</v>
      </c>
      <c r="I769" s="470" t="s">
        <v>1340</v>
      </c>
      <c r="J769" s="472" t="s">
        <v>1381</v>
      </c>
      <c r="K769" s="470" t="s">
        <v>1382</v>
      </c>
      <c r="L769" s="470" t="s">
        <v>1383</v>
      </c>
      <c r="M769" s="470" t="s">
        <v>903</v>
      </c>
      <c r="N769" s="470" t="s">
        <v>1384</v>
      </c>
      <c r="O769" s="472" t="s">
        <v>757</v>
      </c>
      <c r="P769" s="472" t="s">
        <v>738</v>
      </c>
      <c r="Q769" s="472" t="s">
        <v>758</v>
      </c>
      <c r="R769" s="472" t="s">
        <v>12</v>
      </c>
      <c r="S769" s="472" t="s">
        <v>12</v>
      </c>
      <c r="T769" s="472" t="s">
        <v>1385</v>
      </c>
      <c r="U769" s="470" t="s">
        <v>1386</v>
      </c>
      <c r="V769" s="470" t="s">
        <v>761</v>
      </c>
      <c r="W769" s="470" t="s">
        <v>1387</v>
      </c>
      <c r="X769" s="470">
        <v>30</v>
      </c>
      <c r="Y769" s="470">
        <v>0</v>
      </c>
      <c r="Z769" s="470">
        <v>0</v>
      </c>
      <c r="AA769" s="470">
        <v>30</v>
      </c>
      <c r="AB769" s="470">
        <v>30</v>
      </c>
      <c r="AC769" s="473">
        <v>53200</v>
      </c>
      <c r="AD769" s="473">
        <v>53200</v>
      </c>
      <c r="AE769" s="473">
        <v>23940</v>
      </c>
      <c r="AF769" s="473">
        <v>9576</v>
      </c>
      <c r="AG769" s="473">
        <v>1600</v>
      </c>
      <c r="AH769" s="473">
        <v>200</v>
      </c>
      <c r="AI769" s="473">
        <v>1250</v>
      </c>
      <c r="AJ769" s="473">
        <v>1994</v>
      </c>
      <c r="AK769" s="473">
        <v>4788</v>
      </c>
      <c r="AL769" s="473">
        <v>3591</v>
      </c>
      <c r="AM769" s="473">
        <v>239</v>
      </c>
      <c r="AN769" s="473">
        <v>838</v>
      </c>
      <c r="AO769" s="473">
        <v>479</v>
      </c>
      <c r="AP769" s="473">
        <v>120</v>
      </c>
      <c r="AQ769" s="473">
        <v>1800</v>
      </c>
      <c r="AR769" s="473">
        <v>2785</v>
      </c>
      <c r="AS769" s="473">
        <v>0</v>
      </c>
      <c r="AT769" s="473">
        <v>0</v>
      </c>
      <c r="AU769" s="473">
        <v>6039</v>
      </c>
      <c r="AV769" s="473">
        <v>59239</v>
      </c>
      <c r="AW769" s="474">
        <v>53200</v>
      </c>
      <c r="AX769" s="473">
        <v>0</v>
      </c>
      <c r="AY769" s="473">
        <v>0</v>
      </c>
      <c r="AZ769" s="475">
        <v>0</v>
      </c>
      <c r="BA769" s="475">
        <v>200</v>
      </c>
      <c r="BB769" s="475">
        <v>1800</v>
      </c>
      <c r="BC769" s="475">
        <v>0</v>
      </c>
      <c r="BD769" s="475">
        <v>0</v>
      </c>
      <c r="BE769" s="475">
        <v>0</v>
      </c>
      <c r="BF769" s="475">
        <v>0</v>
      </c>
      <c r="BG769" s="475">
        <v>2000</v>
      </c>
      <c r="BH769" s="476">
        <v>57239</v>
      </c>
      <c r="BI769" s="467"/>
      <c r="BJ769" s="468"/>
    </row>
    <row r="770" spans="1:62">
      <c r="A770" s="469">
        <v>45962</v>
      </c>
      <c r="B770" s="469" t="s">
        <v>747</v>
      </c>
      <c r="C770" s="508" t="s">
        <v>1424</v>
      </c>
      <c r="D770" s="470" t="s">
        <v>749</v>
      </c>
      <c r="E770" s="471">
        <v>1758</v>
      </c>
      <c r="F770" s="470" t="s">
        <v>1149</v>
      </c>
      <c r="G770" s="470" t="s">
        <v>751</v>
      </c>
      <c r="H770" s="470" t="s">
        <v>12</v>
      </c>
      <c r="I770" s="470" t="s">
        <v>1150</v>
      </c>
      <c r="J770" s="472" t="s">
        <v>1151</v>
      </c>
      <c r="K770" s="470" t="s">
        <v>1152</v>
      </c>
      <c r="L770" s="470" t="s">
        <v>856</v>
      </c>
      <c r="M770" s="470" t="s">
        <v>856</v>
      </c>
      <c r="N770" s="470" t="s">
        <v>756</v>
      </c>
      <c r="O770" s="472" t="s">
        <v>757</v>
      </c>
      <c r="P770" s="472" t="s">
        <v>738</v>
      </c>
      <c r="Q770" s="472" t="s">
        <v>758</v>
      </c>
      <c r="R770" s="472" t="s">
        <v>12</v>
      </c>
      <c r="S770" s="472" t="s">
        <v>12</v>
      </c>
      <c r="T770" s="472" t="s">
        <v>1153</v>
      </c>
      <c r="U770" s="470" t="s">
        <v>1154</v>
      </c>
      <c r="V770" s="470" t="s">
        <v>761</v>
      </c>
      <c r="W770" s="470" t="s">
        <v>1155</v>
      </c>
      <c r="X770" s="470">
        <v>30</v>
      </c>
      <c r="Y770" s="470">
        <v>0</v>
      </c>
      <c r="Z770" s="470">
        <v>0</v>
      </c>
      <c r="AA770" s="470">
        <v>30</v>
      </c>
      <c r="AB770" s="470">
        <v>30</v>
      </c>
      <c r="AC770" s="473">
        <v>68220</v>
      </c>
      <c r="AD770" s="473">
        <v>68220</v>
      </c>
      <c r="AE770" s="473">
        <v>30699</v>
      </c>
      <c r="AF770" s="473">
        <v>12280</v>
      </c>
      <c r="AG770" s="473">
        <v>1600</v>
      </c>
      <c r="AH770" s="473">
        <v>200</v>
      </c>
      <c r="AI770" s="473">
        <v>1250</v>
      </c>
      <c r="AJ770" s="473">
        <v>2557</v>
      </c>
      <c r="AK770" s="473">
        <v>6140</v>
      </c>
      <c r="AL770" s="473">
        <v>4605</v>
      </c>
      <c r="AM770" s="473">
        <v>307</v>
      </c>
      <c r="AN770" s="473">
        <v>1074</v>
      </c>
      <c r="AO770" s="473">
        <v>614</v>
      </c>
      <c r="AP770" s="473">
        <v>154</v>
      </c>
      <c r="AQ770" s="473">
        <v>1800</v>
      </c>
      <c r="AR770" s="473">
        <v>4940</v>
      </c>
      <c r="AS770" s="473">
        <v>0</v>
      </c>
      <c r="AT770" s="473">
        <v>0</v>
      </c>
      <c r="AU770" s="473">
        <v>671</v>
      </c>
      <c r="AV770" s="473">
        <v>68891</v>
      </c>
      <c r="AW770" s="474">
        <v>68220</v>
      </c>
      <c r="AX770" s="473">
        <v>0</v>
      </c>
      <c r="AY770" s="473">
        <v>0</v>
      </c>
      <c r="AZ770" s="475">
        <v>0</v>
      </c>
      <c r="BA770" s="475">
        <v>200</v>
      </c>
      <c r="BB770" s="475">
        <v>1800</v>
      </c>
      <c r="BC770" s="475">
        <v>0</v>
      </c>
      <c r="BD770" s="475">
        <v>0</v>
      </c>
      <c r="BE770" s="475">
        <v>0</v>
      </c>
      <c r="BF770" s="475">
        <v>0</v>
      </c>
      <c r="BG770" s="475">
        <v>2000</v>
      </c>
      <c r="BH770" s="476">
        <v>66891</v>
      </c>
      <c r="BI770" s="467"/>
      <c r="BJ770" s="468"/>
    </row>
    <row r="771" spans="1:62">
      <c r="A771" s="469">
        <v>45962</v>
      </c>
      <c r="B771" s="469" t="s">
        <v>747</v>
      </c>
      <c r="C771" s="508" t="s">
        <v>1424</v>
      </c>
      <c r="D771" s="470" t="s">
        <v>749</v>
      </c>
      <c r="E771" s="471">
        <v>1624</v>
      </c>
      <c r="F771" s="470" t="s">
        <v>1156</v>
      </c>
      <c r="G771" s="470" t="s">
        <v>751</v>
      </c>
      <c r="H771" s="470" t="s">
        <v>12</v>
      </c>
      <c r="I771" s="470" t="s">
        <v>1157</v>
      </c>
      <c r="J771" s="472" t="s">
        <v>1158</v>
      </c>
      <c r="K771" s="470" t="s">
        <v>1159</v>
      </c>
      <c r="L771" s="470" t="s">
        <v>987</v>
      </c>
      <c r="M771" s="470" t="s">
        <v>987</v>
      </c>
      <c r="N771" s="470" t="s">
        <v>756</v>
      </c>
      <c r="O771" s="472" t="s">
        <v>757</v>
      </c>
      <c r="P771" s="472" t="s">
        <v>738</v>
      </c>
      <c r="Q771" s="472" t="s">
        <v>758</v>
      </c>
      <c r="R771" s="472" t="s">
        <v>12</v>
      </c>
      <c r="S771" s="472" t="s">
        <v>12</v>
      </c>
      <c r="T771" s="472" t="s">
        <v>1160</v>
      </c>
      <c r="U771" s="470" t="s">
        <v>1161</v>
      </c>
      <c r="V771" s="470" t="s">
        <v>761</v>
      </c>
      <c r="W771" s="470" t="s">
        <v>898</v>
      </c>
      <c r="X771" s="470">
        <v>30</v>
      </c>
      <c r="Y771" s="470">
        <v>0</v>
      </c>
      <c r="Z771" s="470">
        <v>0</v>
      </c>
      <c r="AA771" s="470">
        <v>30</v>
      </c>
      <c r="AB771" s="470">
        <v>30</v>
      </c>
      <c r="AC771" s="473">
        <v>42042</v>
      </c>
      <c r="AD771" s="473">
        <v>42042</v>
      </c>
      <c r="AE771" s="473">
        <v>18919</v>
      </c>
      <c r="AF771" s="473">
        <v>7568</v>
      </c>
      <c r="AG771" s="473">
        <v>1600</v>
      </c>
      <c r="AH771" s="473">
        <v>200</v>
      </c>
      <c r="AI771" s="473">
        <v>1250</v>
      </c>
      <c r="AJ771" s="473">
        <v>1576</v>
      </c>
      <c r="AK771" s="473">
        <v>3784</v>
      </c>
      <c r="AL771" s="473">
        <v>2838</v>
      </c>
      <c r="AM771" s="473">
        <v>189</v>
      </c>
      <c r="AN771" s="473">
        <v>662</v>
      </c>
      <c r="AO771" s="473">
        <v>378</v>
      </c>
      <c r="AP771" s="473">
        <v>95</v>
      </c>
      <c r="AQ771" s="473">
        <v>1800</v>
      </c>
      <c r="AR771" s="473">
        <v>1183</v>
      </c>
      <c r="AS771" s="473">
        <v>0</v>
      </c>
      <c r="AT771" s="473">
        <v>0</v>
      </c>
      <c r="AU771" s="473">
        <v>0</v>
      </c>
      <c r="AV771" s="473">
        <v>42042</v>
      </c>
      <c r="AW771" s="474">
        <v>42042</v>
      </c>
      <c r="AX771" s="473">
        <v>0</v>
      </c>
      <c r="AY771" s="473">
        <v>0</v>
      </c>
      <c r="AZ771" s="475">
        <v>0</v>
      </c>
      <c r="BA771" s="475">
        <v>200</v>
      </c>
      <c r="BB771" s="475">
        <v>1800</v>
      </c>
      <c r="BC771" s="475">
        <v>0</v>
      </c>
      <c r="BD771" s="475">
        <v>0</v>
      </c>
      <c r="BE771" s="475">
        <v>0</v>
      </c>
      <c r="BF771" s="475">
        <v>0</v>
      </c>
      <c r="BG771" s="475">
        <v>2000</v>
      </c>
      <c r="BH771" s="476">
        <v>40042</v>
      </c>
      <c r="BI771" s="467"/>
      <c r="BJ771" s="468"/>
    </row>
    <row r="772" spans="1:62">
      <c r="A772" s="469">
        <v>45962</v>
      </c>
      <c r="B772" s="469" t="s">
        <v>747</v>
      </c>
      <c r="C772" s="508" t="s">
        <v>1424</v>
      </c>
      <c r="D772" s="470" t="s">
        <v>749</v>
      </c>
      <c r="E772" s="471">
        <v>1738</v>
      </c>
      <c r="F772" s="470" t="s">
        <v>1162</v>
      </c>
      <c r="G772" s="470" t="s">
        <v>751</v>
      </c>
      <c r="H772" s="470" t="s">
        <v>12</v>
      </c>
      <c r="I772" s="470" t="s">
        <v>938</v>
      </c>
      <c r="J772" s="472" t="s">
        <v>1163</v>
      </c>
      <c r="K772" s="470" t="s">
        <v>1164</v>
      </c>
      <c r="L772" s="470" t="s">
        <v>1165</v>
      </c>
      <c r="M772" s="470" t="s">
        <v>1165</v>
      </c>
      <c r="N772" s="470" t="s">
        <v>756</v>
      </c>
      <c r="O772" s="472" t="s">
        <v>757</v>
      </c>
      <c r="P772" s="472" t="s">
        <v>738</v>
      </c>
      <c r="Q772" s="472" t="s">
        <v>758</v>
      </c>
      <c r="R772" s="472" t="s">
        <v>12</v>
      </c>
      <c r="S772" s="472" t="s">
        <v>12</v>
      </c>
      <c r="T772" s="472" t="s">
        <v>1166</v>
      </c>
      <c r="U772" s="470" t="s">
        <v>1167</v>
      </c>
      <c r="V772" s="470" t="s">
        <v>761</v>
      </c>
      <c r="W772" s="470" t="s">
        <v>762</v>
      </c>
      <c r="X772" s="470">
        <v>30</v>
      </c>
      <c r="Y772" s="470">
        <v>0</v>
      </c>
      <c r="Z772" s="470">
        <v>0</v>
      </c>
      <c r="AA772" s="470">
        <v>30</v>
      </c>
      <c r="AB772" s="470">
        <v>30</v>
      </c>
      <c r="AC772" s="473">
        <v>35983</v>
      </c>
      <c r="AD772" s="473">
        <v>35983</v>
      </c>
      <c r="AE772" s="473">
        <v>16192</v>
      </c>
      <c r="AF772" s="473">
        <v>6477</v>
      </c>
      <c r="AG772" s="473">
        <v>1600</v>
      </c>
      <c r="AH772" s="473">
        <v>200</v>
      </c>
      <c r="AI772" s="473">
        <v>1250</v>
      </c>
      <c r="AJ772" s="473">
        <v>0</v>
      </c>
      <c r="AK772" s="473">
        <v>0</v>
      </c>
      <c r="AL772" s="473">
        <v>0</v>
      </c>
      <c r="AM772" s="473">
        <v>0</v>
      </c>
      <c r="AN772" s="473">
        <v>0</v>
      </c>
      <c r="AO772" s="473">
        <v>0</v>
      </c>
      <c r="AP772" s="473">
        <v>0</v>
      </c>
      <c r="AQ772" s="473">
        <v>1800</v>
      </c>
      <c r="AR772" s="473">
        <v>8464</v>
      </c>
      <c r="AS772" s="473">
        <v>0</v>
      </c>
      <c r="AT772" s="473">
        <v>200</v>
      </c>
      <c r="AU772" s="473">
        <v>0</v>
      </c>
      <c r="AV772" s="473">
        <v>36183</v>
      </c>
      <c r="AW772" s="474">
        <v>36183</v>
      </c>
      <c r="AX772" s="473">
        <v>0</v>
      </c>
      <c r="AY772" s="473">
        <v>0</v>
      </c>
      <c r="AZ772" s="475">
        <v>0</v>
      </c>
      <c r="BA772" s="475">
        <v>200</v>
      </c>
      <c r="BB772" s="475">
        <v>1800</v>
      </c>
      <c r="BC772" s="475">
        <v>0</v>
      </c>
      <c r="BD772" s="475">
        <v>0</v>
      </c>
      <c r="BE772" s="475">
        <v>0</v>
      </c>
      <c r="BF772" s="475">
        <v>0</v>
      </c>
      <c r="BG772" s="475">
        <v>2000</v>
      </c>
      <c r="BH772" s="476">
        <v>34183</v>
      </c>
      <c r="BI772" s="467"/>
      <c r="BJ772" s="468"/>
    </row>
    <row r="773" spans="1:62">
      <c r="A773" s="469">
        <v>45962</v>
      </c>
      <c r="B773" s="469" t="s">
        <v>747</v>
      </c>
      <c r="C773" s="508" t="s">
        <v>1424</v>
      </c>
      <c r="D773" s="470" t="s">
        <v>749</v>
      </c>
      <c r="E773" s="471">
        <v>2175</v>
      </c>
      <c r="F773" s="470" t="s">
        <v>1320</v>
      </c>
      <c r="G773" s="470" t="s">
        <v>812</v>
      </c>
      <c r="H773" s="470" t="s">
        <v>12</v>
      </c>
      <c r="I773" s="470" t="s">
        <v>1321</v>
      </c>
      <c r="J773" s="472" t="s">
        <v>1322</v>
      </c>
      <c r="K773" s="470" t="s">
        <v>1323</v>
      </c>
      <c r="L773" s="470" t="s">
        <v>1324</v>
      </c>
      <c r="M773" s="470" t="s">
        <v>1293</v>
      </c>
      <c r="N773" s="470" t="s">
        <v>756</v>
      </c>
      <c r="O773" s="472" t="s">
        <v>792</v>
      </c>
      <c r="P773" s="472" t="s">
        <v>738</v>
      </c>
      <c r="Q773" s="472" t="s">
        <v>758</v>
      </c>
      <c r="R773" s="472" t="s">
        <v>12</v>
      </c>
      <c r="S773" s="472" t="s">
        <v>12</v>
      </c>
      <c r="T773" s="472" t="s">
        <v>1325</v>
      </c>
      <c r="U773" s="470" t="s">
        <v>1326</v>
      </c>
      <c r="V773" s="470" t="s">
        <v>761</v>
      </c>
      <c r="W773" s="470" t="s">
        <v>1327</v>
      </c>
      <c r="X773" s="470">
        <v>30</v>
      </c>
      <c r="Y773" s="470">
        <v>0</v>
      </c>
      <c r="Z773" s="470">
        <v>0</v>
      </c>
      <c r="AA773" s="470">
        <v>30</v>
      </c>
      <c r="AB773" s="470">
        <v>30</v>
      </c>
      <c r="AC773" s="473">
        <v>137785</v>
      </c>
      <c r="AD773" s="473">
        <v>137785</v>
      </c>
      <c r="AE773" s="473">
        <v>62003</v>
      </c>
      <c r="AF773" s="473">
        <v>24801</v>
      </c>
      <c r="AG773" s="473">
        <v>1600</v>
      </c>
      <c r="AH773" s="473">
        <v>200</v>
      </c>
      <c r="AI773" s="473">
        <v>1250</v>
      </c>
      <c r="AJ773" s="473">
        <v>5165</v>
      </c>
      <c r="AK773" s="473">
        <v>12401</v>
      </c>
      <c r="AL773" s="473">
        <v>9300</v>
      </c>
      <c r="AM773" s="473">
        <v>620</v>
      </c>
      <c r="AN773" s="473">
        <v>2170</v>
      </c>
      <c r="AO773" s="473">
        <v>1240</v>
      </c>
      <c r="AP773" s="473">
        <v>310</v>
      </c>
      <c r="AQ773" s="473">
        <v>1800</v>
      </c>
      <c r="AR773" s="473">
        <v>14925</v>
      </c>
      <c r="AS773" s="473">
        <v>0</v>
      </c>
      <c r="AT773" s="473">
        <v>0</v>
      </c>
      <c r="AU773" s="473">
        <v>0</v>
      </c>
      <c r="AV773" s="473">
        <v>137785</v>
      </c>
      <c r="AW773" s="474">
        <v>137785</v>
      </c>
      <c r="AX773" s="473">
        <v>0</v>
      </c>
      <c r="AY773" s="473">
        <v>0</v>
      </c>
      <c r="AZ773" s="475">
        <v>0</v>
      </c>
      <c r="BA773" s="475">
        <v>200</v>
      </c>
      <c r="BB773" s="475">
        <v>1800</v>
      </c>
      <c r="BC773" s="475">
        <v>0</v>
      </c>
      <c r="BD773" s="475">
        <v>0</v>
      </c>
      <c r="BE773" s="475">
        <v>0</v>
      </c>
      <c r="BF773" s="475">
        <v>0</v>
      </c>
      <c r="BG773" s="475">
        <v>2000</v>
      </c>
      <c r="BH773" s="476">
        <v>135785</v>
      </c>
      <c r="BI773" s="467"/>
      <c r="BJ773" s="468"/>
    </row>
    <row r="774" spans="1:62">
      <c r="A774" s="469">
        <v>45962</v>
      </c>
      <c r="B774" s="469" t="s">
        <v>747</v>
      </c>
      <c r="C774" s="508" t="s">
        <v>1424</v>
      </c>
      <c r="D774" s="470" t="s">
        <v>749</v>
      </c>
      <c r="E774" s="471">
        <v>1589</v>
      </c>
      <c r="F774" s="470" t="s">
        <v>1175</v>
      </c>
      <c r="G774" s="470" t="s">
        <v>751</v>
      </c>
      <c r="H774" s="470" t="s">
        <v>12</v>
      </c>
      <c r="I774" s="470" t="s">
        <v>1176</v>
      </c>
      <c r="J774" s="472" t="s">
        <v>1177</v>
      </c>
      <c r="K774" s="470" t="s">
        <v>1178</v>
      </c>
      <c r="L774" s="470" t="s">
        <v>755</v>
      </c>
      <c r="M774" s="470" t="s">
        <v>755</v>
      </c>
      <c r="N774" s="470" t="s">
        <v>756</v>
      </c>
      <c r="O774" s="472" t="s">
        <v>757</v>
      </c>
      <c r="P774" s="472" t="s">
        <v>738</v>
      </c>
      <c r="Q774" s="472" t="s">
        <v>758</v>
      </c>
      <c r="R774" s="472" t="s">
        <v>12</v>
      </c>
      <c r="S774" s="472" t="s">
        <v>12</v>
      </c>
      <c r="T774" s="472" t="s">
        <v>1179</v>
      </c>
      <c r="U774" s="470" t="s">
        <v>1180</v>
      </c>
      <c r="V774" s="470" t="s">
        <v>761</v>
      </c>
      <c r="W774" s="470" t="s">
        <v>762</v>
      </c>
      <c r="X774" s="470">
        <v>30</v>
      </c>
      <c r="Y774" s="470">
        <v>0</v>
      </c>
      <c r="Z774" s="470">
        <v>0</v>
      </c>
      <c r="AA774" s="470">
        <v>30</v>
      </c>
      <c r="AB774" s="470">
        <v>30</v>
      </c>
      <c r="AC774" s="473">
        <v>34250</v>
      </c>
      <c r="AD774" s="473">
        <v>34250</v>
      </c>
      <c r="AE774" s="473">
        <v>15413</v>
      </c>
      <c r="AF774" s="473">
        <v>6165</v>
      </c>
      <c r="AG774" s="473">
        <v>1600</v>
      </c>
      <c r="AH774" s="473">
        <v>200</v>
      </c>
      <c r="AI774" s="473">
        <v>1250</v>
      </c>
      <c r="AJ774" s="473">
        <v>0</v>
      </c>
      <c r="AK774" s="473">
        <v>0</v>
      </c>
      <c r="AL774" s="473">
        <v>0</v>
      </c>
      <c r="AM774" s="473">
        <v>0</v>
      </c>
      <c r="AN774" s="473">
        <v>0</v>
      </c>
      <c r="AO774" s="473">
        <v>0</v>
      </c>
      <c r="AP774" s="473">
        <v>0</v>
      </c>
      <c r="AQ774" s="473">
        <v>1800</v>
      </c>
      <c r="AR774" s="473">
        <v>7822</v>
      </c>
      <c r="AS774" s="473">
        <v>0</v>
      </c>
      <c r="AT774" s="473">
        <v>0</v>
      </c>
      <c r="AU774" s="473">
        <v>0</v>
      </c>
      <c r="AV774" s="473">
        <v>34250</v>
      </c>
      <c r="AW774" s="474">
        <v>34250</v>
      </c>
      <c r="AX774" s="473">
        <v>0</v>
      </c>
      <c r="AY774" s="473">
        <v>0</v>
      </c>
      <c r="AZ774" s="475">
        <v>0</v>
      </c>
      <c r="BA774" s="475">
        <v>200</v>
      </c>
      <c r="BB774" s="475">
        <v>1800</v>
      </c>
      <c r="BC774" s="475">
        <v>0</v>
      </c>
      <c r="BD774" s="475">
        <v>0</v>
      </c>
      <c r="BE774" s="475">
        <v>0</v>
      </c>
      <c r="BF774" s="475">
        <v>0</v>
      </c>
      <c r="BG774" s="475">
        <v>2000</v>
      </c>
      <c r="BH774" s="476">
        <v>32250</v>
      </c>
      <c r="BI774" s="467"/>
      <c r="BJ774" s="468"/>
    </row>
    <row r="775" spans="1:62">
      <c r="A775" s="469">
        <v>45962</v>
      </c>
      <c r="B775" s="469" t="s">
        <v>747</v>
      </c>
      <c r="C775" s="508" t="s">
        <v>1424</v>
      </c>
      <c r="D775" s="470" t="s">
        <v>749</v>
      </c>
      <c r="E775" s="471">
        <v>2069</v>
      </c>
      <c r="F775" s="470" t="s">
        <v>1181</v>
      </c>
      <c r="G775" s="470" t="s">
        <v>751</v>
      </c>
      <c r="H775" s="470" t="s">
        <v>12</v>
      </c>
      <c r="I775" s="470" t="s">
        <v>1182</v>
      </c>
      <c r="J775" s="472" t="s">
        <v>1183</v>
      </c>
      <c r="K775" s="470" t="s">
        <v>1184</v>
      </c>
      <c r="L775" s="470" t="s">
        <v>767</v>
      </c>
      <c r="M775" s="470" t="s">
        <v>767</v>
      </c>
      <c r="N775" s="470" t="s">
        <v>756</v>
      </c>
      <c r="O775" s="472" t="s">
        <v>792</v>
      </c>
      <c r="P775" s="472" t="s">
        <v>738</v>
      </c>
      <c r="Q775" s="472" t="s">
        <v>758</v>
      </c>
      <c r="R775" s="472" t="s">
        <v>12</v>
      </c>
      <c r="S775" s="472" t="s">
        <v>12</v>
      </c>
      <c r="T775" s="472" t="s">
        <v>1185</v>
      </c>
      <c r="U775" s="470" t="s">
        <v>1186</v>
      </c>
      <c r="V775" s="470" t="s">
        <v>761</v>
      </c>
      <c r="W775" s="470" t="s">
        <v>1187</v>
      </c>
      <c r="X775" s="470">
        <v>30</v>
      </c>
      <c r="Y775" s="470">
        <v>0</v>
      </c>
      <c r="Z775" s="470">
        <v>3.5</v>
      </c>
      <c r="AA775" s="470">
        <v>26.5</v>
      </c>
      <c r="AB775" s="470">
        <v>26.5</v>
      </c>
      <c r="AC775" s="473">
        <v>70000</v>
      </c>
      <c r="AD775" s="473">
        <v>70000</v>
      </c>
      <c r="AE775" s="473">
        <v>27825</v>
      </c>
      <c r="AF775" s="473">
        <v>11130</v>
      </c>
      <c r="AG775" s="473">
        <v>1413</v>
      </c>
      <c r="AH775" s="473">
        <v>177</v>
      </c>
      <c r="AI775" s="473">
        <v>1104</v>
      </c>
      <c r="AJ775" s="473">
        <v>2318</v>
      </c>
      <c r="AK775" s="473">
        <v>5565</v>
      </c>
      <c r="AL775" s="473">
        <v>4174</v>
      </c>
      <c r="AM775" s="473">
        <v>278</v>
      </c>
      <c r="AN775" s="473">
        <v>974</v>
      </c>
      <c r="AO775" s="473">
        <v>557</v>
      </c>
      <c r="AP775" s="473">
        <v>139</v>
      </c>
      <c r="AQ775" s="473">
        <v>1800</v>
      </c>
      <c r="AR775" s="473">
        <v>4379</v>
      </c>
      <c r="AS775" s="473">
        <v>0</v>
      </c>
      <c r="AT775" s="473">
        <v>0</v>
      </c>
      <c r="AU775" s="473">
        <v>0</v>
      </c>
      <c r="AV775" s="473">
        <v>61833</v>
      </c>
      <c r="AW775" s="474">
        <v>61833</v>
      </c>
      <c r="AX775" s="473">
        <v>0</v>
      </c>
      <c r="AY775" s="473">
        <v>0</v>
      </c>
      <c r="AZ775" s="475">
        <v>0</v>
      </c>
      <c r="BA775" s="475">
        <v>200</v>
      </c>
      <c r="BB775" s="475">
        <v>1800</v>
      </c>
      <c r="BC775" s="475">
        <v>0</v>
      </c>
      <c r="BD775" s="475">
        <v>0</v>
      </c>
      <c r="BE775" s="475">
        <v>0</v>
      </c>
      <c r="BF775" s="475">
        <v>0</v>
      </c>
      <c r="BG775" s="475">
        <v>2000</v>
      </c>
      <c r="BH775" s="476">
        <v>59833</v>
      </c>
      <c r="BI775" s="467"/>
      <c r="BJ775" s="468"/>
    </row>
    <row r="776" spans="1:62">
      <c r="A776" s="469">
        <v>45962</v>
      </c>
      <c r="B776" s="469" t="s">
        <v>747</v>
      </c>
      <c r="C776" s="508" t="s">
        <v>1424</v>
      </c>
      <c r="D776" s="470" t="s">
        <v>749</v>
      </c>
      <c r="E776" s="471">
        <v>1515</v>
      </c>
      <c r="F776" s="470" t="s">
        <v>1196</v>
      </c>
      <c r="G776" s="470" t="s">
        <v>751</v>
      </c>
      <c r="H776" s="470" t="s">
        <v>12</v>
      </c>
      <c r="I776" s="470" t="s">
        <v>878</v>
      </c>
      <c r="J776" s="472" t="s">
        <v>1197</v>
      </c>
      <c r="K776" s="470" t="s">
        <v>1198</v>
      </c>
      <c r="L776" s="470" t="s">
        <v>942</v>
      </c>
      <c r="M776" s="470" t="s">
        <v>942</v>
      </c>
      <c r="N776" s="470" t="s">
        <v>1275</v>
      </c>
      <c r="O776" s="472" t="s">
        <v>1272</v>
      </c>
      <c r="P776" s="472" t="s">
        <v>738</v>
      </c>
      <c r="Q776" s="472" t="s">
        <v>758</v>
      </c>
      <c r="R776" s="472" t="s">
        <v>12</v>
      </c>
      <c r="S776" s="472" t="s">
        <v>12</v>
      </c>
      <c r="T776" s="472" t="s">
        <v>1199</v>
      </c>
      <c r="U776" s="470" t="s">
        <v>1200</v>
      </c>
      <c r="V776" s="470" t="s">
        <v>761</v>
      </c>
      <c r="W776" s="470" t="s">
        <v>1201</v>
      </c>
      <c r="X776" s="470">
        <v>30</v>
      </c>
      <c r="Y776" s="470">
        <v>0</v>
      </c>
      <c r="Z776" s="470">
        <v>2</v>
      </c>
      <c r="AA776" s="470">
        <v>28</v>
      </c>
      <c r="AB776" s="470">
        <v>28</v>
      </c>
      <c r="AC776" s="473">
        <v>184245</v>
      </c>
      <c r="AD776" s="473">
        <v>184245</v>
      </c>
      <c r="AE776" s="473">
        <v>77383</v>
      </c>
      <c r="AF776" s="473">
        <v>30953</v>
      </c>
      <c r="AG776" s="473">
        <v>1493</v>
      </c>
      <c r="AH776" s="473">
        <v>187</v>
      </c>
      <c r="AI776" s="473">
        <v>1167</v>
      </c>
      <c r="AJ776" s="473">
        <v>6446</v>
      </c>
      <c r="AK776" s="473">
        <v>15477</v>
      </c>
      <c r="AL776" s="473">
        <v>11607</v>
      </c>
      <c r="AM776" s="473">
        <v>774</v>
      </c>
      <c r="AN776" s="473">
        <v>2708</v>
      </c>
      <c r="AO776" s="473">
        <v>1548</v>
      </c>
      <c r="AP776" s="473">
        <v>387</v>
      </c>
      <c r="AQ776" s="473">
        <v>1800</v>
      </c>
      <c r="AR776" s="473">
        <v>20032</v>
      </c>
      <c r="AS776" s="473">
        <v>0</v>
      </c>
      <c r="AT776" s="473">
        <v>0</v>
      </c>
      <c r="AU776" s="473">
        <v>0</v>
      </c>
      <c r="AV776" s="473">
        <v>171962</v>
      </c>
      <c r="AW776" s="474">
        <v>171962</v>
      </c>
      <c r="AX776" s="473">
        <v>0</v>
      </c>
      <c r="AY776" s="473">
        <v>0</v>
      </c>
      <c r="AZ776" s="475">
        <v>26142</v>
      </c>
      <c r="BA776" s="475">
        <v>200</v>
      </c>
      <c r="BB776" s="475">
        <v>1800</v>
      </c>
      <c r="BC776" s="475">
        <v>0</v>
      </c>
      <c r="BD776" s="475">
        <v>0</v>
      </c>
      <c r="BE776" s="475">
        <v>0</v>
      </c>
      <c r="BF776" s="475">
        <v>0</v>
      </c>
      <c r="BG776" s="475">
        <v>28142</v>
      </c>
      <c r="BH776" s="476">
        <v>143820</v>
      </c>
      <c r="BI776" s="467"/>
      <c r="BJ776" s="468"/>
    </row>
    <row r="777" spans="1:62">
      <c r="A777" s="469">
        <v>45962</v>
      </c>
      <c r="B777" s="469" t="s">
        <v>747</v>
      </c>
      <c r="C777" s="508" t="s">
        <v>1424</v>
      </c>
      <c r="D777" s="470" t="s">
        <v>749</v>
      </c>
      <c r="E777" s="471">
        <v>2015</v>
      </c>
      <c r="F777" s="470" t="s">
        <v>1202</v>
      </c>
      <c r="G777" s="470" t="s">
        <v>751</v>
      </c>
      <c r="H777" s="470" t="s">
        <v>12</v>
      </c>
      <c r="I777" s="470" t="s">
        <v>847</v>
      </c>
      <c r="J777" s="472" t="s">
        <v>1203</v>
      </c>
      <c r="K777" s="470" t="s">
        <v>1204</v>
      </c>
      <c r="L777" s="470" t="s">
        <v>824</v>
      </c>
      <c r="M777" s="470" t="s">
        <v>824</v>
      </c>
      <c r="N777" s="470" t="s">
        <v>1275</v>
      </c>
      <c r="O777" s="472" t="s">
        <v>1276</v>
      </c>
      <c r="P777" s="472" t="s">
        <v>738</v>
      </c>
      <c r="Q777" s="472" t="s">
        <v>758</v>
      </c>
      <c r="R777" s="472" t="s">
        <v>12</v>
      </c>
      <c r="S777" s="472" t="s">
        <v>12</v>
      </c>
      <c r="T777" s="472" t="s">
        <v>1205</v>
      </c>
      <c r="U777" s="470" t="s">
        <v>1206</v>
      </c>
      <c r="V777" s="470" t="s">
        <v>761</v>
      </c>
      <c r="W777" s="470" t="s">
        <v>762</v>
      </c>
      <c r="X777" s="470">
        <v>30</v>
      </c>
      <c r="Y777" s="470">
        <v>0</v>
      </c>
      <c r="Z777" s="470">
        <v>0</v>
      </c>
      <c r="AA777" s="470">
        <v>30</v>
      </c>
      <c r="AB777" s="470">
        <v>30</v>
      </c>
      <c r="AC777" s="473">
        <v>56533</v>
      </c>
      <c r="AD777" s="473">
        <v>56533</v>
      </c>
      <c r="AE777" s="473">
        <v>25440</v>
      </c>
      <c r="AF777" s="473">
        <v>10176</v>
      </c>
      <c r="AG777" s="473">
        <v>1600</v>
      </c>
      <c r="AH777" s="473">
        <v>200</v>
      </c>
      <c r="AI777" s="473">
        <v>1250</v>
      </c>
      <c r="AJ777" s="473">
        <v>2119</v>
      </c>
      <c r="AK777" s="473">
        <v>5088</v>
      </c>
      <c r="AL777" s="473">
        <v>3816</v>
      </c>
      <c r="AM777" s="473">
        <v>254</v>
      </c>
      <c r="AN777" s="473">
        <v>890</v>
      </c>
      <c r="AO777" s="473">
        <v>509</v>
      </c>
      <c r="AP777" s="473">
        <v>127</v>
      </c>
      <c r="AQ777" s="473">
        <v>1800</v>
      </c>
      <c r="AR777" s="473">
        <v>3264</v>
      </c>
      <c r="AS777" s="473">
        <v>0</v>
      </c>
      <c r="AT777" s="473">
        <v>0</v>
      </c>
      <c r="AU777" s="473">
        <v>4812</v>
      </c>
      <c r="AV777" s="473">
        <v>61345</v>
      </c>
      <c r="AW777" s="474">
        <v>56533</v>
      </c>
      <c r="AX777" s="473">
        <v>0</v>
      </c>
      <c r="AY777" s="473">
        <v>15360</v>
      </c>
      <c r="AZ777" s="475">
        <v>0</v>
      </c>
      <c r="BA777" s="475">
        <v>200</v>
      </c>
      <c r="BB777" s="475">
        <v>1800</v>
      </c>
      <c r="BC777" s="475">
        <v>0</v>
      </c>
      <c r="BD777" s="475">
        <v>0</v>
      </c>
      <c r="BE777" s="475">
        <v>0</v>
      </c>
      <c r="BF777" s="475">
        <v>0</v>
      </c>
      <c r="BG777" s="475">
        <v>17360</v>
      </c>
      <c r="BH777" s="476">
        <v>43985</v>
      </c>
      <c r="BI777" s="467"/>
      <c r="BJ777" s="468"/>
    </row>
    <row r="778" spans="1:62">
      <c r="A778" s="469">
        <v>45962</v>
      </c>
      <c r="B778" s="469" t="s">
        <v>747</v>
      </c>
      <c r="C778" s="508" t="s">
        <v>1424</v>
      </c>
      <c r="D778" s="470" t="s">
        <v>749</v>
      </c>
      <c r="E778" s="471">
        <v>1166</v>
      </c>
      <c r="F778" s="470" t="s">
        <v>1207</v>
      </c>
      <c r="G778" s="470" t="s">
        <v>751</v>
      </c>
      <c r="H778" s="470" t="s">
        <v>12</v>
      </c>
      <c r="I778" s="470" t="s">
        <v>1208</v>
      </c>
      <c r="J778" s="472" t="s">
        <v>1209</v>
      </c>
      <c r="K778" s="470" t="s">
        <v>1210</v>
      </c>
      <c r="L778" s="470" t="s">
        <v>1329</v>
      </c>
      <c r="M778" s="470" t="s">
        <v>1330</v>
      </c>
      <c r="N778" s="470" t="s">
        <v>756</v>
      </c>
      <c r="O778" s="472" t="s">
        <v>757</v>
      </c>
      <c r="P778" s="472" t="s">
        <v>738</v>
      </c>
      <c r="Q778" s="472" t="s">
        <v>758</v>
      </c>
      <c r="R778" s="472" t="s">
        <v>12</v>
      </c>
      <c r="S778" s="472" t="s">
        <v>12</v>
      </c>
      <c r="T778" s="472" t="s">
        <v>1213</v>
      </c>
      <c r="U778" s="470" t="s">
        <v>1214</v>
      </c>
      <c r="V778" s="470" t="s">
        <v>761</v>
      </c>
      <c r="W778" s="470" t="s">
        <v>859</v>
      </c>
      <c r="X778" s="470">
        <v>30</v>
      </c>
      <c r="Y778" s="470">
        <v>0</v>
      </c>
      <c r="Z778" s="470">
        <v>0</v>
      </c>
      <c r="AA778" s="470">
        <v>30</v>
      </c>
      <c r="AB778" s="470">
        <v>30</v>
      </c>
      <c r="AC778" s="473">
        <v>59983</v>
      </c>
      <c r="AD778" s="473">
        <v>59983</v>
      </c>
      <c r="AE778" s="473">
        <v>26992</v>
      </c>
      <c r="AF778" s="473">
        <v>10797</v>
      </c>
      <c r="AG778" s="473">
        <v>1600</v>
      </c>
      <c r="AH778" s="473">
        <v>200</v>
      </c>
      <c r="AI778" s="473">
        <v>1250</v>
      </c>
      <c r="AJ778" s="473">
        <v>2248</v>
      </c>
      <c r="AK778" s="473">
        <v>5398</v>
      </c>
      <c r="AL778" s="473">
        <v>4049</v>
      </c>
      <c r="AM778" s="473">
        <v>270</v>
      </c>
      <c r="AN778" s="473">
        <v>945</v>
      </c>
      <c r="AO778" s="473">
        <v>540</v>
      </c>
      <c r="AP778" s="473">
        <v>135</v>
      </c>
      <c r="AQ778" s="473">
        <v>1800</v>
      </c>
      <c r="AR778" s="473">
        <v>3759</v>
      </c>
      <c r="AS778" s="473">
        <v>0</v>
      </c>
      <c r="AT778" s="473">
        <v>0</v>
      </c>
      <c r="AU778" s="473">
        <v>0</v>
      </c>
      <c r="AV778" s="473">
        <v>59983</v>
      </c>
      <c r="AW778" s="474">
        <v>59983</v>
      </c>
      <c r="AX778" s="473">
        <v>0</v>
      </c>
      <c r="AY778" s="473">
        <v>0</v>
      </c>
      <c r="AZ778" s="475">
        <v>0</v>
      </c>
      <c r="BA778" s="475">
        <v>200</v>
      </c>
      <c r="BB778" s="475">
        <v>1800</v>
      </c>
      <c r="BC778" s="475">
        <v>0</v>
      </c>
      <c r="BD778" s="475">
        <v>0</v>
      </c>
      <c r="BE778" s="475">
        <v>0</v>
      </c>
      <c r="BF778" s="475">
        <v>0</v>
      </c>
      <c r="BG778" s="475">
        <v>2000</v>
      </c>
      <c r="BH778" s="476">
        <v>57983</v>
      </c>
      <c r="BI778" s="467"/>
      <c r="BJ778" s="468"/>
    </row>
    <row r="779" spans="1:62">
      <c r="A779" s="469">
        <v>45962</v>
      </c>
      <c r="B779" s="469" t="s">
        <v>747</v>
      </c>
      <c r="C779" s="508" t="s">
        <v>1424</v>
      </c>
      <c r="D779" s="470" t="s">
        <v>749</v>
      </c>
      <c r="E779" s="471">
        <v>247</v>
      </c>
      <c r="F779" s="470" t="s">
        <v>1215</v>
      </c>
      <c r="G779" s="470" t="s">
        <v>751</v>
      </c>
      <c r="H779" s="470" t="s">
        <v>12</v>
      </c>
      <c r="I779" s="470" t="s">
        <v>1216</v>
      </c>
      <c r="J779" s="472" t="s">
        <v>1217</v>
      </c>
      <c r="K779" s="470" t="s">
        <v>1218</v>
      </c>
      <c r="L779" s="470" t="s">
        <v>894</v>
      </c>
      <c r="M779" s="470" t="s">
        <v>1027</v>
      </c>
      <c r="N779" s="470" t="s">
        <v>756</v>
      </c>
      <c r="O779" s="472" t="s">
        <v>757</v>
      </c>
      <c r="P779" s="472" t="s">
        <v>738</v>
      </c>
      <c r="Q779" s="472" t="s">
        <v>758</v>
      </c>
      <c r="R779" s="472" t="s">
        <v>12</v>
      </c>
      <c r="S779" s="472" t="s">
        <v>12</v>
      </c>
      <c r="T779" s="472" t="s">
        <v>1219</v>
      </c>
      <c r="U779" s="470" t="s">
        <v>1220</v>
      </c>
      <c r="V779" s="470" t="s">
        <v>761</v>
      </c>
      <c r="W779" s="470" t="s">
        <v>960</v>
      </c>
      <c r="X779" s="470">
        <v>30</v>
      </c>
      <c r="Y779" s="470">
        <v>0</v>
      </c>
      <c r="Z779" s="470">
        <v>3.5</v>
      </c>
      <c r="AA779" s="470">
        <v>26.5</v>
      </c>
      <c r="AB779" s="470">
        <v>26.5</v>
      </c>
      <c r="AC779" s="473">
        <v>34308</v>
      </c>
      <c r="AD779" s="473">
        <v>34308</v>
      </c>
      <c r="AE779" s="473">
        <v>13637</v>
      </c>
      <c r="AF779" s="473">
        <v>5455</v>
      </c>
      <c r="AG779" s="473">
        <v>1413</v>
      </c>
      <c r="AH779" s="473">
        <v>177</v>
      </c>
      <c r="AI779" s="473">
        <v>1104</v>
      </c>
      <c r="AJ779" s="473">
        <v>0</v>
      </c>
      <c r="AK779" s="473">
        <v>0</v>
      </c>
      <c r="AL779" s="473">
        <v>0</v>
      </c>
      <c r="AM779" s="473">
        <v>0</v>
      </c>
      <c r="AN779" s="473">
        <v>0</v>
      </c>
      <c r="AO779" s="473">
        <v>0</v>
      </c>
      <c r="AP779" s="473">
        <v>0</v>
      </c>
      <c r="AQ779" s="473">
        <v>1636</v>
      </c>
      <c r="AR779" s="473">
        <v>6883</v>
      </c>
      <c r="AS779" s="473">
        <v>0</v>
      </c>
      <c r="AT779" s="473">
        <v>0</v>
      </c>
      <c r="AU779" s="473">
        <v>3870</v>
      </c>
      <c r="AV779" s="473">
        <v>34175</v>
      </c>
      <c r="AW779" s="474">
        <v>30305</v>
      </c>
      <c r="AX779" s="473">
        <v>0</v>
      </c>
      <c r="AY779" s="473">
        <v>0</v>
      </c>
      <c r="AZ779" s="475">
        <v>0</v>
      </c>
      <c r="BA779" s="475">
        <v>200</v>
      </c>
      <c r="BB779" s="475">
        <v>1636</v>
      </c>
      <c r="BC779" s="475">
        <v>0</v>
      </c>
      <c r="BD779" s="475">
        <v>0</v>
      </c>
      <c r="BE779" s="475">
        <v>0</v>
      </c>
      <c r="BF779" s="475">
        <v>0</v>
      </c>
      <c r="BG779" s="475">
        <v>1836</v>
      </c>
      <c r="BH779" s="476">
        <v>32339</v>
      </c>
      <c r="BI779" s="467"/>
      <c r="BJ779" s="468"/>
    </row>
    <row r="780" spans="1:62">
      <c r="A780" s="469">
        <v>45962</v>
      </c>
      <c r="B780" s="469" t="s">
        <v>747</v>
      </c>
      <c r="C780" s="508" t="s">
        <v>1424</v>
      </c>
      <c r="D780" s="470" t="s">
        <v>749</v>
      </c>
      <c r="E780" s="471">
        <v>1237</v>
      </c>
      <c r="F780" s="470" t="s">
        <v>1221</v>
      </c>
      <c r="G780" s="470" t="s">
        <v>751</v>
      </c>
      <c r="H780" s="470" t="s">
        <v>12</v>
      </c>
      <c r="I780" s="470" t="s">
        <v>1222</v>
      </c>
      <c r="J780" s="472" t="s">
        <v>1223</v>
      </c>
      <c r="K780" s="470" t="s">
        <v>1224</v>
      </c>
      <c r="L780" s="470" t="s">
        <v>800</v>
      </c>
      <c r="M780" s="470" t="s">
        <v>801</v>
      </c>
      <c r="N780" s="470" t="s">
        <v>756</v>
      </c>
      <c r="O780" s="472" t="s">
        <v>757</v>
      </c>
      <c r="P780" s="472" t="s">
        <v>738</v>
      </c>
      <c r="Q780" s="472" t="s">
        <v>758</v>
      </c>
      <c r="R780" s="472" t="s">
        <v>12</v>
      </c>
      <c r="S780" s="472" t="s">
        <v>12</v>
      </c>
      <c r="T780" s="472" t="s">
        <v>1225</v>
      </c>
      <c r="U780" s="470" t="s">
        <v>1226</v>
      </c>
      <c r="V780" s="470" t="s">
        <v>761</v>
      </c>
      <c r="W780" s="470" t="s">
        <v>762</v>
      </c>
      <c r="X780" s="470">
        <v>30</v>
      </c>
      <c r="Y780" s="470">
        <v>0</v>
      </c>
      <c r="Z780" s="470">
        <v>5.5</v>
      </c>
      <c r="AA780" s="470">
        <v>24.5</v>
      </c>
      <c r="AB780" s="470">
        <v>24.5</v>
      </c>
      <c r="AC780" s="473">
        <v>31644</v>
      </c>
      <c r="AD780" s="473">
        <v>31644</v>
      </c>
      <c r="AE780" s="473">
        <v>11629</v>
      </c>
      <c r="AF780" s="473">
        <v>4652</v>
      </c>
      <c r="AG780" s="473">
        <v>1307</v>
      </c>
      <c r="AH780" s="473">
        <v>163</v>
      </c>
      <c r="AI780" s="473">
        <v>1021</v>
      </c>
      <c r="AJ780" s="473">
        <v>0</v>
      </c>
      <c r="AK780" s="473">
        <v>0</v>
      </c>
      <c r="AL780" s="473">
        <v>0</v>
      </c>
      <c r="AM780" s="473">
        <v>0</v>
      </c>
      <c r="AN780" s="473">
        <v>0</v>
      </c>
      <c r="AO780" s="473">
        <v>0</v>
      </c>
      <c r="AP780" s="473">
        <v>0</v>
      </c>
      <c r="AQ780" s="473">
        <v>1395</v>
      </c>
      <c r="AR780" s="473">
        <v>5676</v>
      </c>
      <c r="AS780" s="473">
        <v>0</v>
      </c>
      <c r="AT780" s="473">
        <v>400</v>
      </c>
      <c r="AU780" s="473">
        <v>0</v>
      </c>
      <c r="AV780" s="473">
        <v>26243</v>
      </c>
      <c r="AW780" s="474">
        <v>26243</v>
      </c>
      <c r="AX780" s="473">
        <v>0</v>
      </c>
      <c r="AY780" s="473">
        <v>0</v>
      </c>
      <c r="AZ780" s="475">
        <v>0</v>
      </c>
      <c r="BA780" s="475">
        <v>200</v>
      </c>
      <c r="BB780" s="475">
        <v>1395</v>
      </c>
      <c r="BC780" s="475">
        <v>0</v>
      </c>
      <c r="BD780" s="475">
        <v>0</v>
      </c>
      <c r="BE780" s="475">
        <v>0</v>
      </c>
      <c r="BF780" s="475">
        <v>0</v>
      </c>
      <c r="BG780" s="475">
        <v>1595</v>
      </c>
      <c r="BH780" s="476">
        <v>24648</v>
      </c>
      <c r="BI780" s="467"/>
      <c r="BJ780" s="468"/>
    </row>
    <row r="781" spans="1:62">
      <c r="A781" s="469">
        <v>45962</v>
      </c>
      <c r="B781" s="469" t="s">
        <v>747</v>
      </c>
      <c r="C781" s="508" t="s">
        <v>1424</v>
      </c>
      <c r="D781" s="470" t="s">
        <v>749</v>
      </c>
      <c r="E781" s="471">
        <v>1941</v>
      </c>
      <c r="F781" s="470" t="s">
        <v>1227</v>
      </c>
      <c r="G781" s="470" t="s">
        <v>751</v>
      </c>
      <c r="H781" s="470" t="s">
        <v>12</v>
      </c>
      <c r="I781" s="470" t="s">
        <v>1228</v>
      </c>
      <c r="J781" s="472" t="s">
        <v>1229</v>
      </c>
      <c r="K781" s="470" t="s">
        <v>1230</v>
      </c>
      <c r="L781" s="470" t="s">
        <v>1165</v>
      </c>
      <c r="M781" s="470" t="s">
        <v>1165</v>
      </c>
      <c r="N781" s="470" t="s">
        <v>756</v>
      </c>
      <c r="O781" s="472" t="s">
        <v>757</v>
      </c>
      <c r="P781" s="472" t="s">
        <v>738</v>
      </c>
      <c r="Q781" s="472" t="s">
        <v>758</v>
      </c>
      <c r="R781" s="472" t="s">
        <v>12</v>
      </c>
      <c r="S781" s="472" t="s">
        <v>12</v>
      </c>
      <c r="T781" s="472" t="s">
        <v>1231</v>
      </c>
      <c r="U781" s="470" t="s">
        <v>1232</v>
      </c>
      <c r="V781" s="470" t="s">
        <v>761</v>
      </c>
      <c r="W781" s="470" t="s">
        <v>907</v>
      </c>
      <c r="X781" s="470">
        <v>30</v>
      </c>
      <c r="Y781" s="470">
        <v>0</v>
      </c>
      <c r="Z781" s="470">
        <v>0</v>
      </c>
      <c r="AA781" s="470">
        <v>30</v>
      </c>
      <c r="AB781" s="470">
        <v>30</v>
      </c>
      <c r="AC781" s="473">
        <v>43800</v>
      </c>
      <c r="AD781" s="473">
        <v>43800</v>
      </c>
      <c r="AE781" s="473">
        <v>19710</v>
      </c>
      <c r="AF781" s="473">
        <v>7884</v>
      </c>
      <c r="AG781" s="473">
        <v>1600</v>
      </c>
      <c r="AH781" s="473">
        <v>200</v>
      </c>
      <c r="AI781" s="473">
        <v>1250</v>
      </c>
      <c r="AJ781" s="473">
        <v>1642</v>
      </c>
      <c r="AK781" s="473">
        <v>3942</v>
      </c>
      <c r="AL781" s="473">
        <v>2957</v>
      </c>
      <c r="AM781" s="473">
        <v>197</v>
      </c>
      <c r="AN781" s="473">
        <v>690</v>
      </c>
      <c r="AO781" s="473">
        <v>394</v>
      </c>
      <c r="AP781" s="473">
        <v>99</v>
      </c>
      <c r="AQ781" s="473">
        <v>1800</v>
      </c>
      <c r="AR781" s="473">
        <v>1435</v>
      </c>
      <c r="AS781" s="473">
        <v>0</v>
      </c>
      <c r="AT781" s="473">
        <v>0</v>
      </c>
      <c r="AU781" s="473">
        <v>0</v>
      </c>
      <c r="AV781" s="473">
        <v>43800</v>
      </c>
      <c r="AW781" s="474">
        <v>43800</v>
      </c>
      <c r="AX781" s="473">
        <v>0</v>
      </c>
      <c r="AY781" s="473">
        <v>0</v>
      </c>
      <c r="AZ781" s="475">
        <v>0</v>
      </c>
      <c r="BA781" s="475">
        <v>200</v>
      </c>
      <c r="BB781" s="475">
        <v>1800</v>
      </c>
      <c r="BC781" s="475">
        <v>0</v>
      </c>
      <c r="BD781" s="475">
        <v>0</v>
      </c>
      <c r="BE781" s="475">
        <v>0</v>
      </c>
      <c r="BF781" s="475">
        <v>0</v>
      </c>
      <c r="BG781" s="475">
        <v>2000</v>
      </c>
      <c r="BH781" s="476">
        <v>41800</v>
      </c>
      <c r="BI781" s="467"/>
      <c r="BJ781" s="468"/>
    </row>
    <row r="782" spans="1:62">
      <c r="A782" s="469">
        <v>45962</v>
      </c>
      <c r="B782" s="469" t="s">
        <v>747</v>
      </c>
      <c r="C782" s="508" t="s">
        <v>1424</v>
      </c>
      <c r="D782" s="470" t="s">
        <v>749</v>
      </c>
      <c r="E782" s="471">
        <v>1950</v>
      </c>
      <c r="F782" s="470" t="s">
        <v>1233</v>
      </c>
      <c r="G782" s="470" t="s">
        <v>751</v>
      </c>
      <c r="H782" s="470" t="s">
        <v>12</v>
      </c>
      <c r="I782" s="470" t="s">
        <v>1234</v>
      </c>
      <c r="J782" s="472" t="s">
        <v>1235</v>
      </c>
      <c r="K782" s="470" t="s">
        <v>1236</v>
      </c>
      <c r="L782" s="470" t="s">
        <v>800</v>
      </c>
      <c r="M782" s="470" t="s">
        <v>800</v>
      </c>
      <c r="N782" s="470" t="s">
        <v>756</v>
      </c>
      <c r="O782" s="472" t="s">
        <v>1043</v>
      </c>
      <c r="P782" s="472" t="s">
        <v>738</v>
      </c>
      <c r="Q782" s="472" t="s">
        <v>758</v>
      </c>
      <c r="R782" s="472" t="s">
        <v>12</v>
      </c>
      <c r="S782" s="472" t="s">
        <v>12</v>
      </c>
      <c r="T782" s="472" t="s">
        <v>1237</v>
      </c>
      <c r="U782" s="470" t="s">
        <v>1238</v>
      </c>
      <c r="V782" s="470" t="s">
        <v>836</v>
      </c>
      <c r="W782" s="470" t="s">
        <v>1239</v>
      </c>
      <c r="X782" s="470">
        <v>30</v>
      </c>
      <c r="Y782" s="470">
        <v>0</v>
      </c>
      <c r="Z782" s="470">
        <v>0</v>
      </c>
      <c r="AA782" s="470">
        <v>30</v>
      </c>
      <c r="AB782" s="470">
        <v>30</v>
      </c>
      <c r="AC782" s="473">
        <v>35283</v>
      </c>
      <c r="AD782" s="473">
        <v>35283</v>
      </c>
      <c r="AE782" s="473">
        <v>15877</v>
      </c>
      <c r="AF782" s="473">
        <v>6351</v>
      </c>
      <c r="AG782" s="473">
        <v>1600</v>
      </c>
      <c r="AH782" s="473">
        <v>200</v>
      </c>
      <c r="AI782" s="473">
        <v>1250</v>
      </c>
      <c r="AJ782" s="473">
        <v>0</v>
      </c>
      <c r="AK782" s="473">
        <v>0</v>
      </c>
      <c r="AL782" s="473">
        <v>0</v>
      </c>
      <c r="AM782" s="473">
        <v>0</v>
      </c>
      <c r="AN782" s="473">
        <v>0</v>
      </c>
      <c r="AO782" s="473">
        <v>0</v>
      </c>
      <c r="AP782" s="473">
        <v>0</v>
      </c>
      <c r="AQ782" s="473">
        <v>1800</v>
      </c>
      <c r="AR782" s="473">
        <v>8205</v>
      </c>
      <c r="AS782" s="473">
        <v>0</v>
      </c>
      <c r="AT782" s="473">
        <v>0</v>
      </c>
      <c r="AU782" s="473">
        <v>0</v>
      </c>
      <c r="AV782" s="473">
        <v>35283</v>
      </c>
      <c r="AW782" s="474">
        <v>35283</v>
      </c>
      <c r="AX782" s="473">
        <v>0</v>
      </c>
      <c r="AY782" s="473">
        <v>0</v>
      </c>
      <c r="AZ782" s="475">
        <v>0</v>
      </c>
      <c r="BA782" s="475">
        <v>200</v>
      </c>
      <c r="BB782" s="475">
        <v>1800</v>
      </c>
      <c r="BC782" s="475">
        <v>0</v>
      </c>
      <c r="BD782" s="475">
        <v>0</v>
      </c>
      <c r="BE782" s="475">
        <v>0</v>
      </c>
      <c r="BF782" s="475">
        <v>0</v>
      </c>
      <c r="BG782" s="475">
        <v>2000</v>
      </c>
      <c r="BH782" s="476">
        <v>33283</v>
      </c>
      <c r="BI782" s="467"/>
      <c r="BJ782" s="468"/>
    </row>
    <row r="783" spans="1:62">
      <c r="A783" s="469">
        <v>45962</v>
      </c>
      <c r="B783" s="469" t="s">
        <v>747</v>
      </c>
      <c r="C783" s="508" t="s">
        <v>1424</v>
      </c>
      <c r="D783" s="470" t="s">
        <v>749</v>
      </c>
      <c r="E783" s="471">
        <v>1370</v>
      </c>
      <c r="F783" s="470" t="s">
        <v>1240</v>
      </c>
      <c r="G783" s="470" t="s">
        <v>751</v>
      </c>
      <c r="H783" s="470" t="s">
        <v>12</v>
      </c>
      <c r="I783" s="470" t="s">
        <v>1241</v>
      </c>
      <c r="J783" s="472" t="s">
        <v>1242</v>
      </c>
      <c r="K783" s="470" t="s">
        <v>1243</v>
      </c>
      <c r="L783" s="470" t="s">
        <v>979</v>
      </c>
      <c r="M783" s="470" t="s">
        <v>979</v>
      </c>
      <c r="N783" s="470" t="s">
        <v>833</v>
      </c>
      <c r="O783" s="472" t="s">
        <v>757</v>
      </c>
      <c r="P783" s="472" t="s">
        <v>738</v>
      </c>
      <c r="Q783" s="472" t="s">
        <v>758</v>
      </c>
      <c r="R783" s="472" t="s">
        <v>12</v>
      </c>
      <c r="S783" s="472" t="s">
        <v>12</v>
      </c>
      <c r="T783" s="472" t="s">
        <v>1245</v>
      </c>
      <c r="U783" s="470" t="s">
        <v>1246</v>
      </c>
      <c r="V783" s="470" t="s">
        <v>761</v>
      </c>
      <c r="W783" s="470" t="s">
        <v>762</v>
      </c>
      <c r="X783" s="470">
        <v>30</v>
      </c>
      <c r="Y783" s="470">
        <v>0</v>
      </c>
      <c r="Z783" s="470">
        <v>0</v>
      </c>
      <c r="AA783" s="470">
        <v>30</v>
      </c>
      <c r="AB783" s="470">
        <v>30</v>
      </c>
      <c r="AC783" s="473">
        <v>33000</v>
      </c>
      <c r="AD783" s="473">
        <v>33000</v>
      </c>
      <c r="AE783" s="473">
        <v>14850</v>
      </c>
      <c r="AF783" s="473">
        <v>5940</v>
      </c>
      <c r="AG783" s="473">
        <v>1600</v>
      </c>
      <c r="AH783" s="473">
        <v>200</v>
      </c>
      <c r="AI783" s="473">
        <v>1250</v>
      </c>
      <c r="AJ783" s="473">
        <v>0</v>
      </c>
      <c r="AK783" s="473">
        <v>0</v>
      </c>
      <c r="AL783" s="473">
        <v>0</v>
      </c>
      <c r="AM783" s="473">
        <v>0</v>
      </c>
      <c r="AN783" s="473">
        <v>0</v>
      </c>
      <c r="AO783" s="473">
        <v>0</v>
      </c>
      <c r="AP783" s="473">
        <v>0</v>
      </c>
      <c r="AQ783" s="473">
        <v>1782</v>
      </c>
      <c r="AR783" s="473">
        <v>7378</v>
      </c>
      <c r="AS783" s="473">
        <v>0</v>
      </c>
      <c r="AT783" s="473">
        <v>0</v>
      </c>
      <c r="AU783" s="473">
        <v>0</v>
      </c>
      <c r="AV783" s="473">
        <v>33000</v>
      </c>
      <c r="AW783" s="474">
        <v>33000</v>
      </c>
      <c r="AX783" s="473">
        <v>0</v>
      </c>
      <c r="AY783" s="473">
        <v>0</v>
      </c>
      <c r="AZ783" s="475">
        <v>0</v>
      </c>
      <c r="BA783" s="475">
        <v>200</v>
      </c>
      <c r="BB783" s="475">
        <v>1782</v>
      </c>
      <c r="BC783" s="475">
        <v>0</v>
      </c>
      <c r="BD783" s="475">
        <v>0</v>
      </c>
      <c r="BE783" s="475">
        <v>0</v>
      </c>
      <c r="BF783" s="475">
        <v>0</v>
      </c>
      <c r="BG783" s="475">
        <v>1982</v>
      </c>
      <c r="BH783" s="476">
        <v>31018</v>
      </c>
      <c r="BI783" s="467"/>
      <c r="BJ783" s="468"/>
    </row>
    <row r="784" spans="1:62">
      <c r="A784" s="469">
        <v>45962</v>
      </c>
      <c r="B784" s="469" t="s">
        <v>747</v>
      </c>
      <c r="C784" s="508" t="s">
        <v>1424</v>
      </c>
      <c r="D784" s="470" t="s">
        <v>749</v>
      </c>
      <c r="E784" s="471">
        <v>2049</v>
      </c>
      <c r="F784" s="470" t="s">
        <v>1247</v>
      </c>
      <c r="G784" s="470" t="s">
        <v>751</v>
      </c>
      <c r="H784" s="470" t="s">
        <v>12</v>
      </c>
      <c r="I784" s="470" t="s">
        <v>1248</v>
      </c>
      <c r="J784" s="472" t="s">
        <v>1249</v>
      </c>
      <c r="K784" s="470" t="s">
        <v>1250</v>
      </c>
      <c r="L784" s="470" t="s">
        <v>824</v>
      </c>
      <c r="M784" s="470" t="s">
        <v>824</v>
      </c>
      <c r="N784" s="470" t="s">
        <v>756</v>
      </c>
      <c r="O784" s="472" t="s">
        <v>1276</v>
      </c>
      <c r="P784" s="472" t="s">
        <v>738</v>
      </c>
      <c r="Q784" s="472" t="s">
        <v>758</v>
      </c>
      <c r="R784" s="472" t="s">
        <v>12</v>
      </c>
      <c r="S784" s="472" t="s">
        <v>12</v>
      </c>
      <c r="T784" s="472" t="s">
        <v>1251</v>
      </c>
      <c r="U784" s="470" t="s">
        <v>1252</v>
      </c>
      <c r="V784" s="470" t="s">
        <v>761</v>
      </c>
      <c r="W784" s="470" t="s">
        <v>859</v>
      </c>
      <c r="X784" s="470">
        <v>30</v>
      </c>
      <c r="Y784" s="470">
        <v>0</v>
      </c>
      <c r="Z784" s="470">
        <v>9</v>
      </c>
      <c r="AA784" s="470">
        <v>21</v>
      </c>
      <c r="AB784" s="470">
        <v>21</v>
      </c>
      <c r="AC784" s="473">
        <v>27713</v>
      </c>
      <c r="AD784" s="473">
        <v>27713</v>
      </c>
      <c r="AE784" s="473">
        <v>8730</v>
      </c>
      <c r="AF784" s="473">
        <v>3492</v>
      </c>
      <c r="AG784" s="473">
        <v>1120</v>
      </c>
      <c r="AH784" s="473">
        <v>140</v>
      </c>
      <c r="AI784" s="473">
        <v>875</v>
      </c>
      <c r="AJ784" s="473">
        <v>0</v>
      </c>
      <c r="AK784" s="473">
        <v>0</v>
      </c>
      <c r="AL784" s="473">
        <v>0</v>
      </c>
      <c r="AM784" s="473">
        <v>0</v>
      </c>
      <c r="AN784" s="473">
        <v>0</v>
      </c>
      <c r="AO784" s="473">
        <v>0</v>
      </c>
      <c r="AP784" s="473">
        <v>0</v>
      </c>
      <c r="AQ784" s="473">
        <v>1048</v>
      </c>
      <c r="AR784" s="473">
        <v>3994</v>
      </c>
      <c r="AS784" s="473">
        <v>0</v>
      </c>
      <c r="AT784" s="473">
        <v>0</v>
      </c>
      <c r="AU784" s="473">
        <v>0</v>
      </c>
      <c r="AV784" s="473">
        <v>19399</v>
      </c>
      <c r="AW784" s="474">
        <v>19399</v>
      </c>
      <c r="AX784" s="473">
        <v>0</v>
      </c>
      <c r="AY784" s="473">
        <v>0</v>
      </c>
      <c r="AZ784" s="475">
        <v>0</v>
      </c>
      <c r="BA784" s="475">
        <v>200</v>
      </c>
      <c r="BB784" s="475">
        <v>1048</v>
      </c>
      <c r="BC784" s="475">
        <v>0</v>
      </c>
      <c r="BD784" s="475">
        <v>0</v>
      </c>
      <c r="BE784" s="475">
        <v>0</v>
      </c>
      <c r="BF784" s="475">
        <v>0</v>
      </c>
      <c r="BG784" s="475">
        <v>1248</v>
      </c>
      <c r="BH784" s="476">
        <v>18151</v>
      </c>
      <c r="BI784" s="467"/>
      <c r="BJ784" s="468"/>
    </row>
    <row r="785" spans="1:62">
      <c r="A785" s="469">
        <v>45962</v>
      </c>
      <c r="B785" s="469" t="s">
        <v>747</v>
      </c>
      <c r="C785" s="508" t="s">
        <v>1424</v>
      </c>
      <c r="D785" s="470" t="s">
        <v>749</v>
      </c>
      <c r="E785" s="471">
        <v>1121</v>
      </c>
      <c r="F785" s="470" t="s">
        <v>1253</v>
      </c>
      <c r="G785" s="470" t="s">
        <v>751</v>
      </c>
      <c r="H785" s="470" t="s">
        <v>12</v>
      </c>
      <c r="I785" s="470" t="s">
        <v>1254</v>
      </c>
      <c r="J785" s="472" t="s">
        <v>1255</v>
      </c>
      <c r="K785" s="470" t="s">
        <v>1256</v>
      </c>
      <c r="L785" s="470" t="s">
        <v>1291</v>
      </c>
      <c r="M785" s="470" t="s">
        <v>1291</v>
      </c>
      <c r="N785" s="470" t="s">
        <v>1275</v>
      </c>
      <c r="O785" s="472" t="s">
        <v>792</v>
      </c>
      <c r="P785" s="472" t="s">
        <v>738</v>
      </c>
      <c r="Q785" s="472" t="s">
        <v>758</v>
      </c>
      <c r="R785" s="472" t="s">
        <v>12</v>
      </c>
      <c r="S785" s="472" t="s">
        <v>12</v>
      </c>
      <c r="T785" s="472" t="s">
        <v>1257</v>
      </c>
      <c r="U785" s="470" t="s">
        <v>1258</v>
      </c>
      <c r="V785" s="470" t="s">
        <v>761</v>
      </c>
      <c r="W785" s="470" t="s">
        <v>1259</v>
      </c>
      <c r="X785" s="470">
        <v>30</v>
      </c>
      <c r="Y785" s="470">
        <v>0</v>
      </c>
      <c r="Z785" s="470">
        <v>0</v>
      </c>
      <c r="AA785" s="470">
        <v>30</v>
      </c>
      <c r="AB785" s="470">
        <v>30</v>
      </c>
      <c r="AC785" s="473">
        <v>206500</v>
      </c>
      <c r="AD785" s="473">
        <v>206500</v>
      </c>
      <c r="AE785" s="473">
        <v>92925</v>
      </c>
      <c r="AF785" s="473">
        <v>37170</v>
      </c>
      <c r="AG785" s="473">
        <v>1600</v>
      </c>
      <c r="AH785" s="473">
        <v>200</v>
      </c>
      <c r="AI785" s="473">
        <v>1250</v>
      </c>
      <c r="AJ785" s="473">
        <v>7741</v>
      </c>
      <c r="AK785" s="473">
        <v>18585</v>
      </c>
      <c r="AL785" s="473">
        <v>13939</v>
      </c>
      <c r="AM785" s="473">
        <v>929</v>
      </c>
      <c r="AN785" s="473">
        <v>3252</v>
      </c>
      <c r="AO785" s="473">
        <v>1859</v>
      </c>
      <c r="AP785" s="473">
        <v>465</v>
      </c>
      <c r="AQ785" s="473">
        <v>1800</v>
      </c>
      <c r="AR785" s="473">
        <v>24785</v>
      </c>
      <c r="AS785" s="473">
        <v>0</v>
      </c>
      <c r="AT785" s="473">
        <v>0</v>
      </c>
      <c r="AU785" s="473">
        <v>18380</v>
      </c>
      <c r="AV785" s="473">
        <v>224880</v>
      </c>
      <c r="AW785" s="474">
        <v>206500</v>
      </c>
      <c r="AX785" s="473">
        <v>0</v>
      </c>
      <c r="AY785" s="473">
        <v>0</v>
      </c>
      <c r="AZ785" s="475">
        <v>42683</v>
      </c>
      <c r="BA785" s="475">
        <v>200</v>
      </c>
      <c r="BB785" s="475">
        <v>1800</v>
      </c>
      <c r="BC785" s="475">
        <v>0</v>
      </c>
      <c r="BD785" s="475">
        <v>0</v>
      </c>
      <c r="BE785" s="475">
        <v>0</v>
      </c>
      <c r="BF785" s="475">
        <v>0</v>
      </c>
      <c r="BG785" s="475">
        <v>44683</v>
      </c>
      <c r="BH785" s="476">
        <v>180197</v>
      </c>
      <c r="BI785" s="467"/>
      <c r="BJ785" s="468"/>
    </row>
    <row r="786" spans="1:62">
      <c r="A786" s="469">
        <v>45962</v>
      </c>
      <c r="B786" s="469" t="s">
        <v>747</v>
      </c>
      <c r="C786" s="508" t="s">
        <v>1424</v>
      </c>
      <c r="D786" s="470" t="s">
        <v>749</v>
      </c>
      <c r="E786" s="471">
        <v>2264</v>
      </c>
      <c r="F786" s="470" t="s">
        <v>1503</v>
      </c>
      <c r="G786" s="470" t="s">
        <v>751</v>
      </c>
      <c r="H786" s="470" t="s">
        <v>12</v>
      </c>
      <c r="I786" s="470" t="s">
        <v>1477</v>
      </c>
      <c r="J786" s="472" t="s">
        <v>1504</v>
      </c>
      <c r="K786" s="470" t="s">
        <v>1505</v>
      </c>
      <c r="L786" s="470" t="s">
        <v>1123</v>
      </c>
      <c r="M786" s="470" t="s">
        <v>1124</v>
      </c>
      <c r="N786" s="470" t="s">
        <v>1108</v>
      </c>
      <c r="O786" s="472" t="s">
        <v>757</v>
      </c>
      <c r="P786" s="472" t="s">
        <v>738</v>
      </c>
      <c r="Q786" s="472" t="s">
        <v>758</v>
      </c>
      <c r="R786" s="472" t="s">
        <v>12</v>
      </c>
      <c r="S786" s="472" t="s">
        <v>12</v>
      </c>
      <c r="T786" s="472" t="s">
        <v>1506</v>
      </c>
      <c r="U786" s="470" t="s">
        <v>1507</v>
      </c>
      <c r="V786" s="470" t="s">
        <v>761</v>
      </c>
      <c r="W786" s="470" t="s">
        <v>1361</v>
      </c>
      <c r="X786" s="470">
        <v>30</v>
      </c>
      <c r="Y786" s="470">
        <v>0</v>
      </c>
      <c r="Z786" s="470">
        <v>3</v>
      </c>
      <c r="AA786" s="470">
        <v>21</v>
      </c>
      <c r="AB786" s="470">
        <v>21</v>
      </c>
      <c r="AC786" s="473">
        <v>54867</v>
      </c>
      <c r="AD786" s="473">
        <v>54867</v>
      </c>
      <c r="AE786" s="473">
        <v>17283</v>
      </c>
      <c r="AF786" s="473">
        <v>6913</v>
      </c>
      <c r="AG786" s="473">
        <v>1120</v>
      </c>
      <c r="AH786" s="473">
        <v>180</v>
      </c>
      <c r="AI786" s="473">
        <v>875</v>
      </c>
      <c r="AJ786" s="473">
        <v>1440</v>
      </c>
      <c r="AK786" s="473">
        <v>3457</v>
      </c>
      <c r="AL786" s="473">
        <v>2592</v>
      </c>
      <c r="AM786" s="473">
        <v>173</v>
      </c>
      <c r="AN786" s="473">
        <v>605</v>
      </c>
      <c r="AO786" s="473">
        <v>346</v>
      </c>
      <c r="AP786" s="473">
        <v>86</v>
      </c>
      <c r="AQ786" s="473">
        <v>1800</v>
      </c>
      <c r="AR786" s="473">
        <v>1537</v>
      </c>
      <c r="AS786" s="473">
        <v>0</v>
      </c>
      <c r="AT786" s="473">
        <v>0</v>
      </c>
      <c r="AU786" s="473">
        <v>0</v>
      </c>
      <c r="AV786" s="473">
        <v>38407</v>
      </c>
      <c r="AW786" s="474">
        <v>38407</v>
      </c>
      <c r="AX786" s="473">
        <v>0</v>
      </c>
      <c r="AY786" s="473">
        <v>0</v>
      </c>
      <c r="AZ786" s="475">
        <v>0</v>
      </c>
      <c r="BA786" s="475">
        <v>200</v>
      </c>
      <c r="BB786" s="475">
        <v>1800</v>
      </c>
      <c r="BC786" s="475">
        <v>0</v>
      </c>
      <c r="BD786" s="475">
        <v>0</v>
      </c>
      <c r="BE786" s="475">
        <v>0</v>
      </c>
      <c r="BF786" s="475">
        <v>0</v>
      </c>
      <c r="BG786" s="475">
        <v>2000</v>
      </c>
      <c r="BH786" s="476">
        <v>36407</v>
      </c>
      <c r="BI786" s="467"/>
      <c r="BJ786" s="468"/>
    </row>
    <row r="787" spans="1:62">
      <c r="A787" s="469">
        <v>45962</v>
      </c>
      <c r="B787" s="469" t="s">
        <v>747</v>
      </c>
      <c r="C787" s="508" t="s">
        <v>1424</v>
      </c>
      <c r="D787" s="470" t="s">
        <v>749</v>
      </c>
      <c r="E787" s="471">
        <v>1496</v>
      </c>
      <c r="F787" s="470" t="s">
        <v>1260</v>
      </c>
      <c r="G787" s="470" t="s">
        <v>751</v>
      </c>
      <c r="H787" s="470" t="s">
        <v>12</v>
      </c>
      <c r="I787" s="470" t="s">
        <v>1261</v>
      </c>
      <c r="J787" s="472" t="s">
        <v>1262</v>
      </c>
      <c r="K787" s="470" t="s">
        <v>1263</v>
      </c>
      <c r="L787" s="470" t="s">
        <v>856</v>
      </c>
      <c r="M787" s="470" t="s">
        <v>856</v>
      </c>
      <c r="N787" s="470" t="s">
        <v>756</v>
      </c>
      <c r="O787" s="472" t="s">
        <v>757</v>
      </c>
      <c r="P787" s="472" t="s">
        <v>738</v>
      </c>
      <c r="Q787" s="472" t="s">
        <v>758</v>
      </c>
      <c r="R787" s="472" t="s">
        <v>12</v>
      </c>
      <c r="S787" s="472" t="s">
        <v>12</v>
      </c>
      <c r="T787" s="472" t="s">
        <v>1264</v>
      </c>
      <c r="U787" s="470" t="s">
        <v>1265</v>
      </c>
      <c r="V787" s="470" t="s">
        <v>761</v>
      </c>
      <c r="W787" s="470" t="s">
        <v>876</v>
      </c>
      <c r="X787" s="470">
        <v>30</v>
      </c>
      <c r="Y787" s="470">
        <v>0</v>
      </c>
      <c r="Z787" s="470">
        <v>0.5</v>
      </c>
      <c r="AA787" s="470">
        <v>29.5</v>
      </c>
      <c r="AB787" s="470">
        <v>29.5</v>
      </c>
      <c r="AC787" s="473">
        <v>55383</v>
      </c>
      <c r="AD787" s="473">
        <v>55383</v>
      </c>
      <c r="AE787" s="473">
        <v>24507</v>
      </c>
      <c r="AF787" s="473">
        <v>9803</v>
      </c>
      <c r="AG787" s="473">
        <v>1573</v>
      </c>
      <c r="AH787" s="473">
        <v>197</v>
      </c>
      <c r="AI787" s="473">
        <v>1229</v>
      </c>
      <c r="AJ787" s="473">
        <v>2041</v>
      </c>
      <c r="AK787" s="473">
        <v>4901</v>
      </c>
      <c r="AL787" s="473">
        <v>3676</v>
      </c>
      <c r="AM787" s="473">
        <v>245</v>
      </c>
      <c r="AN787" s="473">
        <v>858</v>
      </c>
      <c r="AO787" s="473">
        <v>490</v>
      </c>
      <c r="AP787" s="473">
        <v>123</v>
      </c>
      <c r="AQ787" s="473">
        <v>1800</v>
      </c>
      <c r="AR787" s="473">
        <v>3017</v>
      </c>
      <c r="AS787" s="473">
        <v>0</v>
      </c>
      <c r="AT787" s="473">
        <v>0</v>
      </c>
      <c r="AU787" s="473">
        <v>0</v>
      </c>
      <c r="AV787" s="473">
        <v>54460</v>
      </c>
      <c r="AW787" s="474">
        <v>54460</v>
      </c>
      <c r="AX787" s="473">
        <v>0</v>
      </c>
      <c r="AY787" s="473">
        <v>0</v>
      </c>
      <c r="AZ787" s="475">
        <v>0</v>
      </c>
      <c r="BA787" s="475">
        <v>200</v>
      </c>
      <c r="BB787" s="475">
        <v>1800</v>
      </c>
      <c r="BC787" s="475">
        <v>0</v>
      </c>
      <c r="BD787" s="475">
        <v>0</v>
      </c>
      <c r="BE787" s="475">
        <v>0</v>
      </c>
      <c r="BF787" s="475">
        <v>0</v>
      </c>
      <c r="BG787" s="475">
        <v>2000</v>
      </c>
      <c r="BH787" s="476">
        <v>52460</v>
      </c>
      <c r="BI787" s="467"/>
      <c r="BJ787" s="468"/>
    </row>
    <row r="788" spans="1:62">
      <c r="A788" s="469">
        <v>45992</v>
      </c>
      <c r="B788" s="469" t="s">
        <v>747</v>
      </c>
      <c r="C788" s="508"/>
      <c r="D788" s="470" t="s">
        <v>749</v>
      </c>
      <c r="E788" s="471">
        <v>1488</v>
      </c>
      <c r="F788" s="470" t="s">
        <v>750</v>
      </c>
      <c r="G788" s="470" t="s">
        <v>751</v>
      </c>
      <c r="H788" s="470" t="s">
        <v>12</v>
      </c>
      <c r="I788" s="470" t="s">
        <v>752</v>
      </c>
      <c r="J788" s="472" t="s">
        <v>753</v>
      </c>
      <c r="K788" s="470" t="s">
        <v>754</v>
      </c>
      <c r="L788" s="470" t="s">
        <v>755</v>
      </c>
      <c r="M788" s="470" t="s">
        <v>755</v>
      </c>
      <c r="N788" s="470" t="s">
        <v>756</v>
      </c>
      <c r="O788" s="472" t="s">
        <v>757</v>
      </c>
      <c r="P788" s="472" t="s">
        <v>738</v>
      </c>
      <c r="Q788" s="472" t="s">
        <v>758</v>
      </c>
      <c r="R788" s="472" t="s">
        <v>12</v>
      </c>
      <c r="S788" s="472" t="s">
        <v>12</v>
      </c>
      <c r="T788" s="472" t="s">
        <v>759</v>
      </c>
      <c r="U788" s="470" t="s">
        <v>760</v>
      </c>
      <c r="V788" s="470" t="s">
        <v>761</v>
      </c>
      <c r="W788" s="470" t="s">
        <v>762</v>
      </c>
      <c r="X788" s="470">
        <v>31</v>
      </c>
      <c r="Y788" s="470">
        <v>0</v>
      </c>
      <c r="Z788" s="470">
        <v>4</v>
      </c>
      <c r="AA788" s="470">
        <v>9</v>
      </c>
      <c r="AB788" s="470">
        <v>9</v>
      </c>
      <c r="AC788" s="473">
        <v>42989</v>
      </c>
      <c r="AD788" s="473">
        <v>42989</v>
      </c>
      <c r="AE788" s="473">
        <v>5616</v>
      </c>
      <c r="AF788" s="473">
        <v>2246</v>
      </c>
      <c r="AG788" s="473">
        <v>465</v>
      </c>
      <c r="AH788" s="473">
        <v>174</v>
      </c>
      <c r="AI788" s="473">
        <v>363</v>
      </c>
      <c r="AJ788" s="473">
        <v>468</v>
      </c>
      <c r="AK788" s="473">
        <v>1123</v>
      </c>
      <c r="AL788" s="473">
        <v>842</v>
      </c>
      <c r="AM788" s="473">
        <v>56</v>
      </c>
      <c r="AN788" s="473">
        <v>197</v>
      </c>
      <c r="AO788" s="473">
        <v>112</v>
      </c>
      <c r="AP788" s="473">
        <v>28</v>
      </c>
      <c r="AQ788" s="473">
        <v>674</v>
      </c>
      <c r="AR788" s="473">
        <v>117</v>
      </c>
      <c r="AS788" s="473">
        <v>0</v>
      </c>
      <c r="AT788" s="473">
        <v>0</v>
      </c>
      <c r="AU788" s="473">
        <v>0</v>
      </c>
      <c r="AV788" s="473">
        <v>12481</v>
      </c>
      <c r="AW788" s="474">
        <v>12481</v>
      </c>
      <c r="AX788" s="473">
        <v>0</v>
      </c>
      <c r="AY788" s="473">
        <v>0</v>
      </c>
      <c r="AZ788" s="475">
        <v>0</v>
      </c>
      <c r="BA788" s="475">
        <v>200</v>
      </c>
      <c r="BB788" s="475">
        <v>674</v>
      </c>
      <c r="BC788" s="475">
        <v>0</v>
      </c>
      <c r="BD788" s="475">
        <v>0</v>
      </c>
      <c r="BE788" s="475">
        <v>25</v>
      </c>
      <c r="BF788" s="475">
        <v>0</v>
      </c>
      <c r="BG788" s="475">
        <v>899</v>
      </c>
      <c r="BH788" s="476">
        <v>11582</v>
      </c>
      <c r="BI788" s="467"/>
      <c r="BJ788" s="468"/>
    </row>
    <row r="789" spans="1:62">
      <c r="A789" s="469">
        <v>45992</v>
      </c>
      <c r="B789" s="469" t="s">
        <v>747</v>
      </c>
      <c r="C789" s="508"/>
      <c r="D789" s="470" t="s">
        <v>749</v>
      </c>
      <c r="E789" s="471">
        <v>2163</v>
      </c>
      <c r="F789" s="470" t="s">
        <v>1267</v>
      </c>
      <c r="G789" s="470" t="s">
        <v>751</v>
      </c>
      <c r="H789" s="470" t="s">
        <v>12</v>
      </c>
      <c r="I789" s="470" t="s">
        <v>1268</v>
      </c>
      <c r="J789" s="472" t="s">
        <v>1269</v>
      </c>
      <c r="K789" s="470" t="s">
        <v>1270</v>
      </c>
      <c r="L789" s="470" t="s">
        <v>1271</v>
      </c>
      <c r="M789" s="470" t="s">
        <v>942</v>
      </c>
      <c r="N789" s="470" t="s">
        <v>756</v>
      </c>
      <c r="O789" s="472" t="s">
        <v>1272</v>
      </c>
      <c r="P789" s="472" t="s">
        <v>738</v>
      </c>
      <c r="Q789" s="472" t="s">
        <v>758</v>
      </c>
      <c r="R789" s="472" t="s">
        <v>12</v>
      </c>
      <c r="S789" s="472" t="s">
        <v>12</v>
      </c>
      <c r="T789" s="472" t="s">
        <v>1273</v>
      </c>
      <c r="U789" s="470" t="s">
        <v>1274</v>
      </c>
      <c r="V789" s="470" t="s">
        <v>761</v>
      </c>
      <c r="W789" s="470" t="s">
        <v>1111</v>
      </c>
      <c r="X789" s="470">
        <v>31</v>
      </c>
      <c r="Y789" s="470">
        <v>0</v>
      </c>
      <c r="Z789" s="470">
        <v>0.5</v>
      </c>
      <c r="AA789" s="470">
        <v>30.5</v>
      </c>
      <c r="AB789" s="470">
        <v>30.5</v>
      </c>
      <c r="AC789" s="473">
        <v>235700</v>
      </c>
      <c r="AD789" s="473">
        <v>235700</v>
      </c>
      <c r="AE789" s="473">
        <v>104354</v>
      </c>
      <c r="AF789" s="473">
        <v>41742</v>
      </c>
      <c r="AG789" s="473">
        <v>1574</v>
      </c>
      <c r="AH789" s="473">
        <v>197</v>
      </c>
      <c r="AI789" s="473">
        <v>1230</v>
      </c>
      <c r="AJ789" s="473">
        <v>8693</v>
      </c>
      <c r="AK789" s="473">
        <v>20871</v>
      </c>
      <c r="AL789" s="473">
        <v>15653</v>
      </c>
      <c r="AM789" s="473">
        <v>1044</v>
      </c>
      <c r="AN789" s="473">
        <v>3652</v>
      </c>
      <c r="AO789" s="473">
        <v>2087</v>
      </c>
      <c r="AP789" s="473">
        <v>522</v>
      </c>
      <c r="AQ789" s="473">
        <v>1800</v>
      </c>
      <c r="AR789" s="473">
        <v>28479</v>
      </c>
      <c r="AS789" s="473">
        <v>0</v>
      </c>
      <c r="AT789" s="473">
        <v>0</v>
      </c>
      <c r="AU789" s="473">
        <v>1877</v>
      </c>
      <c r="AV789" s="473">
        <v>233775</v>
      </c>
      <c r="AW789" s="474">
        <v>231898</v>
      </c>
      <c r="AX789" s="473">
        <v>0</v>
      </c>
      <c r="AY789" s="473">
        <v>0</v>
      </c>
      <c r="AZ789" s="475">
        <v>21565</v>
      </c>
      <c r="BA789" s="475">
        <v>200</v>
      </c>
      <c r="BB789" s="475">
        <v>1800</v>
      </c>
      <c r="BC789" s="475">
        <v>0</v>
      </c>
      <c r="BD789" s="475">
        <v>0</v>
      </c>
      <c r="BE789" s="475">
        <v>25</v>
      </c>
      <c r="BF789" s="475">
        <v>0</v>
      </c>
      <c r="BG789" s="475">
        <v>23590</v>
      </c>
      <c r="BH789" s="476">
        <v>210185</v>
      </c>
      <c r="BI789" s="467"/>
      <c r="BJ789" s="468"/>
    </row>
    <row r="790" spans="1:62">
      <c r="A790" s="469">
        <v>45992</v>
      </c>
      <c r="B790" s="469" t="s">
        <v>747</v>
      </c>
      <c r="C790" s="508"/>
      <c r="D790" s="470" t="s">
        <v>749</v>
      </c>
      <c r="E790" s="471">
        <v>2020</v>
      </c>
      <c r="F790" s="470" t="s">
        <v>772</v>
      </c>
      <c r="G790" s="470" t="s">
        <v>751</v>
      </c>
      <c r="H790" s="470" t="s">
        <v>12</v>
      </c>
      <c r="I790" s="470" t="s">
        <v>773</v>
      </c>
      <c r="J790" s="472" t="s">
        <v>774</v>
      </c>
      <c r="K790" s="470" t="s">
        <v>775</v>
      </c>
      <c r="L790" s="470" t="s">
        <v>776</v>
      </c>
      <c r="M790" s="470" t="s">
        <v>776</v>
      </c>
      <c r="N790" s="470" t="s">
        <v>777</v>
      </c>
      <c r="O790" s="472" t="s">
        <v>757</v>
      </c>
      <c r="P790" s="472" t="s">
        <v>738</v>
      </c>
      <c r="Q790" s="472" t="s">
        <v>758</v>
      </c>
      <c r="R790" s="472" t="s">
        <v>12</v>
      </c>
      <c r="S790" s="472" t="s">
        <v>12</v>
      </c>
      <c r="T790" s="472" t="s">
        <v>778</v>
      </c>
      <c r="U790" s="470" t="s">
        <v>779</v>
      </c>
      <c r="V790" s="470" t="s">
        <v>761</v>
      </c>
      <c r="W790" s="470" t="s">
        <v>762</v>
      </c>
      <c r="X790" s="470">
        <v>31</v>
      </c>
      <c r="Y790" s="470">
        <v>0</v>
      </c>
      <c r="Z790" s="470">
        <v>3</v>
      </c>
      <c r="AA790" s="470">
        <v>28</v>
      </c>
      <c r="AB790" s="470">
        <v>28</v>
      </c>
      <c r="AC790" s="473">
        <v>68450</v>
      </c>
      <c r="AD790" s="473">
        <v>68450</v>
      </c>
      <c r="AE790" s="473">
        <v>27822</v>
      </c>
      <c r="AF790" s="473">
        <v>11129</v>
      </c>
      <c r="AG790" s="473">
        <v>1445</v>
      </c>
      <c r="AH790" s="473">
        <v>181</v>
      </c>
      <c r="AI790" s="473">
        <v>1129</v>
      </c>
      <c r="AJ790" s="473">
        <v>2318</v>
      </c>
      <c r="AK790" s="473">
        <v>5564</v>
      </c>
      <c r="AL790" s="473">
        <v>4173</v>
      </c>
      <c r="AM790" s="473">
        <v>278</v>
      </c>
      <c r="AN790" s="473">
        <v>974</v>
      </c>
      <c r="AO790" s="473">
        <v>556</v>
      </c>
      <c r="AP790" s="473">
        <v>139</v>
      </c>
      <c r="AQ790" s="473">
        <v>1800</v>
      </c>
      <c r="AR790" s="473">
        <v>4318</v>
      </c>
      <c r="AS790" s="473">
        <v>0</v>
      </c>
      <c r="AT790" s="473">
        <v>0</v>
      </c>
      <c r="AU790" s="473">
        <v>838</v>
      </c>
      <c r="AV790" s="473">
        <v>62664</v>
      </c>
      <c r="AW790" s="474">
        <v>61826</v>
      </c>
      <c r="AX790" s="473">
        <v>0</v>
      </c>
      <c r="AY790" s="473">
        <v>0</v>
      </c>
      <c r="AZ790" s="475">
        <v>0</v>
      </c>
      <c r="BA790" s="475">
        <v>200</v>
      </c>
      <c r="BB790" s="475">
        <v>1800</v>
      </c>
      <c r="BC790" s="475">
        <v>0</v>
      </c>
      <c r="BD790" s="475">
        <v>0</v>
      </c>
      <c r="BE790" s="475">
        <v>25</v>
      </c>
      <c r="BF790" s="475">
        <v>0</v>
      </c>
      <c r="BG790" s="475">
        <v>2025</v>
      </c>
      <c r="BH790" s="476">
        <v>60639</v>
      </c>
      <c r="BI790" s="467"/>
      <c r="BJ790" s="468"/>
    </row>
    <row r="791" spans="1:62">
      <c r="A791" s="469">
        <v>45992</v>
      </c>
      <c r="B791" s="469" t="s">
        <v>747</v>
      </c>
      <c r="C791" s="508"/>
      <c r="D791" s="470" t="s">
        <v>749</v>
      </c>
      <c r="E791" s="471">
        <v>2307</v>
      </c>
      <c r="F791" s="470" t="s">
        <v>1508</v>
      </c>
      <c r="G791" s="470" t="s">
        <v>751</v>
      </c>
      <c r="H791" s="470" t="s">
        <v>12</v>
      </c>
      <c r="I791" s="470" t="s">
        <v>1509</v>
      </c>
      <c r="J791" s="472" t="s">
        <v>1510</v>
      </c>
      <c r="K791" s="470" t="s">
        <v>1511</v>
      </c>
      <c r="L791" s="470" t="s">
        <v>971</v>
      </c>
      <c r="M791" s="470" t="s">
        <v>1512</v>
      </c>
      <c r="N791" s="470" t="s">
        <v>1275</v>
      </c>
      <c r="O791" s="472" t="s">
        <v>792</v>
      </c>
      <c r="P791" s="472" t="s">
        <v>738</v>
      </c>
      <c r="Q791" s="472" t="s">
        <v>758</v>
      </c>
      <c r="R791" s="472" t="s">
        <v>12</v>
      </c>
      <c r="S791" s="472" t="s">
        <v>12</v>
      </c>
      <c r="T791" s="472" t="s">
        <v>1513</v>
      </c>
      <c r="U791" s="470" t="s">
        <v>1514</v>
      </c>
      <c r="V791" s="470" t="s">
        <v>761</v>
      </c>
      <c r="W791" s="470" t="s">
        <v>1101</v>
      </c>
      <c r="X791" s="470">
        <v>31</v>
      </c>
      <c r="Y791" s="470">
        <v>0</v>
      </c>
      <c r="Z791" s="470">
        <v>0</v>
      </c>
      <c r="AA791" s="470">
        <v>17</v>
      </c>
      <c r="AB791" s="470">
        <v>17</v>
      </c>
      <c r="AC791" s="473">
        <v>148200</v>
      </c>
      <c r="AD791" s="473">
        <v>148200</v>
      </c>
      <c r="AE791" s="473">
        <v>36572</v>
      </c>
      <c r="AF791" s="473">
        <v>14629</v>
      </c>
      <c r="AG791" s="473">
        <v>877</v>
      </c>
      <c r="AH791" s="473">
        <v>200</v>
      </c>
      <c r="AI791" s="473">
        <v>685</v>
      </c>
      <c r="AJ791" s="473">
        <v>3046</v>
      </c>
      <c r="AK791" s="473">
        <v>7314</v>
      </c>
      <c r="AL791" s="473">
        <v>5486</v>
      </c>
      <c r="AM791" s="473">
        <v>366</v>
      </c>
      <c r="AN791" s="473">
        <v>1280</v>
      </c>
      <c r="AO791" s="473">
        <v>731</v>
      </c>
      <c r="AP791" s="473">
        <v>183</v>
      </c>
      <c r="AQ791" s="473">
        <v>1800</v>
      </c>
      <c r="AR791" s="473">
        <v>8102</v>
      </c>
      <c r="AS791" s="473">
        <v>0</v>
      </c>
      <c r="AT791" s="473">
        <v>0</v>
      </c>
      <c r="AU791" s="473">
        <v>5246</v>
      </c>
      <c r="AV791" s="473">
        <v>86517</v>
      </c>
      <c r="AW791" s="474">
        <v>81271</v>
      </c>
      <c r="AX791" s="473">
        <v>0</v>
      </c>
      <c r="AY791" s="473">
        <v>0</v>
      </c>
      <c r="AZ791" s="475">
        <v>0</v>
      </c>
      <c r="BA791" s="475">
        <v>200</v>
      </c>
      <c r="BB791" s="475">
        <v>1800</v>
      </c>
      <c r="BC791" s="475">
        <v>0</v>
      </c>
      <c r="BD791" s="475">
        <v>0</v>
      </c>
      <c r="BE791" s="475">
        <v>25</v>
      </c>
      <c r="BF791" s="475">
        <v>0</v>
      </c>
      <c r="BG791" s="475">
        <v>2025</v>
      </c>
      <c r="BH791" s="476">
        <v>84492</v>
      </c>
      <c r="BI791" s="467"/>
      <c r="BJ791" s="468"/>
    </row>
    <row r="792" spans="1:62">
      <c r="A792" s="469">
        <v>45992</v>
      </c>
      <c r="B792" s="469" t="s">
        <v>747</v>
      </c>
      <c r="C792" s="508"/>
      <c r="D792" s="470" t="s">
        <v>749</v>
      </c>
      <c r="E792" s="471">
        <v>2072</v>
      </c>
      <c r="F792" s="470" t="s">
        <v>787</v>
      </c>
      <c r="G792" s="470" t="s">
        <v>751</v>
      </c>
      <c r="H792" s="470" t="s">
        <v>12</v>
      </c>
      <c r="I792" s="470" t="s">
        <v>788</v>
      </c>
      <c r="J792" s="472" t="s">
        <v>789</v>
      </c>
      <c r="K792" s="470" t="s">
        <v>790</v>
      </c>
      <c r="L792" s="470" t="s">
        <v>791</v>
      </c>
      <c r="M792" s="470" t="s">
        <v>791</v>
      </c>
      <c r="N792" s="470" t="s">
        <v>756</v>
      </c>
      <c r="O792" s="472" t="s">
        <v>792</v>
      </c>
      <c r="P792" s="472" t="s">
        <v>738</v>
      </c>
      <c r="Q792" s="472" t="s">
        <v>758</v>
      </c>
      <c r="R792" s="472" t="s">
        <v>12</v>
      </c>
      <c r="S792" s="472" t="s">
        <v>12</v>
      </c>
      <c r="T792" s="472" t="s">
        <v>793</v>
      </c>
      <c r="U792" s="470" t="s">
        <v>794</v>
      </c>
      <c r="V792" s="470" t="s">
        <v>761</v>
      </c>
      <c r="W792" s="470" t="s">
        <v>795</v>
      </c>
      <c r="X792" s="470">
        <v>31</v>
      </c>
      <c r="Y792" s="470">
        <v>0</v>
      </c>
      <c r="Z792" s="470">
        <v>0</v>
      </c>
      <c r="AA792" s="470">
        <v>31</v>
      </c>
      <c r="AB792" s="470">
        <v>31</v>
      </c>
      <c r="AC792" s="473">
        <v>123200</v>
      </c>
      <c r="AD792" s="473">
        <v>123200</v>
      </c>
      <c r="AE792" s="473">
        <v>55440</v>
      </c>
      <c r="AF792" s="473">
        <v>22176</v>
      </c>
      <c r="AG792" s="473">
        <v>1600</v>
      </c>
      <c r="AH792" s="473">
        <v>200</v>
      </c>
      <c r="AI792" s="473">
        <v>1250</v>
      </c>
      <c r="AJ792" s="473">
        <v>4618</v>
      </c>
      <c r="AK792" s="473">
        <v>11088</v>
      </c>
      <c r="AL792" s="473">
        <v>8316</v>
      </c>
      <c r="AM792" s="473">
        <v>554</v>
      </c>
      <c r="AN792" s="473">
        <v>1940</v>
      </c>
      <c r="AO792" s="473">
        <v>1109</v>
      </c>
      <c r="AP792" s="473">
        <v>277</v>
      </c>
      <c r="AQ792" s="473">
        <v>1800</v>
      </c>
      <c r="AR792" s="473">
        <v>12832</v>
      </c>
      <c r="AS792" s="473">
        <v>0</v>
      </c>
      <c r="AT792" s="473">
        <v>0</v>
      </c>
      <c r="AU792" s="473">
        <v>0</v>
      </c>
      <c r="AV792" s="473">
        <v>123200</v>
      </c>
      <c r="AW792" s="474">
        <v>123200</v>
      </c>
      <c r="AX792" s="473">
        <v>0</v>
      </c>
      <c r="AY792" s="473">
        <v>0</v>
      </c>
      <c r="AZ792" s="475">
        <v>6767</v>
      </c>
      <c r="BA792" s="475">
        <v>200</v>
      </c>
      <c r="BB792" s="475">
        <v>1800</v>
      </c>
      <c r="BC792" s="475">
        <v>0</v>
      </c>
      <c r="BD792" s="475">
        <v>0</v>
      </c>
      <c r="BE792" s="475">
        <v>25</v>
      </c>
      <c r="BF792" s="475">
        <v>0</v>
      </c>
      <c r="BG792" s="475">
        <v>8792</v>
      </c>
      <c r="BH792" s="476">
        <v>114408</v>
      </c>
      <c r="BI792" s="467"/>
      <c r="BJ792" s="468"/>
    </row>
    <row r="793" spans="1:62">
      <c r="A793" s="469">
        <v>45992</v>
      </c>
      <c r="B793" s="469" t="s">
        <v>747</v>
      </c>
      <c r="C793" s="508"/>
      <c r="D793" s="470" t="s">
        <v>749</v>
      </c>
      <c r="E793" s="471">
        <v>1440</v>
      </c>
      <c r="F793" s="470" t="s">
        <v>796</v>
      </c>
      <c r="G793" s="470" t="s">
        <v>751</v>
      </c>
      <c r="H793" s="470" t="s">
        <v>12</v>
      </c>
      <c r="I793" s="470" t="s">
        <v>797</v>
      </c>
      <c r="J793" s="472" t="s">
        <v>798</v>
      </c>
      <c r="K793" s="470" t="s">
        <v>799</v>
      </c>
      <c r="L793" s="470" t="s">
        <v>800</v>
      </c>
      <c r="M793" s="470" t="s">
        <v>801</v>
      </c>
      <c r="N793" s="470" t="s">
        <v>756</v>
      </c>
      <c r="O793" s="472" t="s">
        <v>757</v>
      </c>
      <c r="P793" s="472" t="s">
        <v>738</v>
      </c>
      <c r="Q793" s="472" t="s">
        <v>758</v>
      </c>
      <c r="R793" s="472" t="s">
        <v>12</v>
      </c>
      <c r="S793" s="472" t="s">
        <v>12</v>
      </c>
      <c r="T793" s="472" t="s">
        <v>802</v>
      </c>
      <c r="U793" s="470" t="s">
        <v>803</v>
      </c>
      <c r="V793" s="470" t="s">
        <v>761</v>
      </c>
      <c r="W793" s="470" t="s">
        <v>762</v>
      </c>
      <c r="X793" s="470">
        <v>31</v>
      </c>
      <c r="Y793" s="470">
        <v>0</v>
      </c>
      <c r="Z793" s="470">
        <v>1</v>
      </c>
      <c r="AA793" s="470">
        <v>30</v>
      </c>
      <c r="AB793" s="470">
        <v>30</v>
      </c>
      <c r="AC793" s="473">
        <v>38617</v>
      </c>
      <c r="AD793" s="473">
        <v>38617</v>
      </c>
      <c r="AE793" s="473">
        <v>16817</v>
      </c>
      <c r="AF793" s="473">
        <v>6727</v>
      </c>
      <c r="AG793" s="473">
        <v>1548</v>
      </c>
      <c r="AH793" s="473">
        <v>194</v>
      </c>
      <c r="AI793" s="473">
        <v>1210</v>
      </c>
      <c r="AJ793" s="473">
        <v>0</v>
      </c>
      <c r="AK793" s="473">
        <v>0</v>
      </c>
      <c r="AL793" s="473">
        <v>0</v>
      </c>
      <c r="AM793" s="473">
        <v>0</v>
      </c>
      <c r="AN793" s="473">
        <v>0</v>
      </c>
      <c r="AO793" s="473">
        <v>0</v>
      </c>
      <c r="AP793" s="473">
        <v>0</v>
      </c>
      <c r="AQ793" s="473">
        <v>1800</v>
      </c>
      <c r="AR793" s="473">
        <v>9075</v>
      </c>
      <c r="AS793" s="473">
        <v>0</v>
      </c>
      <c r="AT793" s="473">
        <v>0</v>
      </c>
      <c r="AU793" s="473">
        <v>0</v>
      </c>
      <c r="AV793" s="473">
        <v>37371</v>
      </c>
      <c r="AW793" s="474">
        <v>37371</v>
      </c>
      <c r="AX793" s="473">
        <v>0</v>
      </c>
      <c r="AY793" s="473">
        <v>0</v>
      </c>
      <c r="AZ793" s="475">
        <v>0</v>
      </c>
      <c r="BA793" s="475">
        <v>200</v>
      </c>
      <c r="BB793" s="475">
        <v>1800</v>
      </c>
      <c r="BC793" s="475">
        <v>0</v>
      </c>
      <c r="BD793" s="475">
        <v>0</v>
      </c>
      <c r="BE793" s="475">
        <v>25</v>
      </c>
      <c r="BF793" s="475">
        <v>0</v>
      </c>
      <c r="BG793" s="475">
        <v>2025</v>
      </c>
      <c r="BH793" s="476">
        <v>35346</v>
      </c>
      <c r="BI793" s="467"/>
      <c r="BJ793" s="468"/>
    </row>
    <row r="794" spans="1:62">
      <c r="A794" s="469">
        <v>45992</v>
      </c>
      <c r="B794" s="469" t="s">
        <v>747</v>
      </c>
      <c r="C794" s="508"/>
      <c r="D794" s="470" t="s">
        <v>749</v>
      </c>
      <c r="E794" s="471">
        <v>2275</v>
      </c>
      <c r="F794" s="470" t="s">
        <v>1425</v>
      </c>
      <c r="G794" s="470" t="s">
        <v>812</v>
      </c>
      <c r="H794" s="470" t="s">
        <v>12</v>
      </c>
      <c r="I794" s="470" t="s">
        <v>1426</v>
      </c>
      <c r="J794" s="472" t="s">
        <v>1427</v>
      </c>
      <c r="K794" s="470" t="s">
        <v>1428</v>
      </c>
      <c r="L794" s="470" t="s">
        <v>824</v>
      </c>
      <c r="M794" s="470" t="s">
        <v>824</v>
      </c>
      <c r="N794" s="470" t="s">
        <v>1275</v>
      </c>
      <c r="O794" s="472" t="s">
        <v>1276</v>
      </c>
      <c r="P794" s="472" t="s">
        <v>738</v>
      </c>
      <c r="Q794" s="472" t="s">
        <v>758</v>
      </c>
      <c r="R794" s="472" t="s">
        <v>12</v>
      </c>
      <c r="S794" s="472" t="s">
        <v>12</v>
      </c>
      <c r="T794" s="472" t="s">
        <v>1429</v>
      </c>
      <c r="U794" s="470" t="s">
        <v>1430</v>
      </c>
      <c r="V794" s="470" t="s">
        <v>761</v>
      </c>
      <c r="W794" s="470" t="s">
        <v>1361</v>
      </c>
      <c r="X794" s="470">
        <v>31</v>
      </c>
      <c r="Y794" s="470">
        <v>0</v>
      </c>
      <c r="Z794" s="470">
        <v>0</v>
      </c>
      <c r="AA794" s="470">
        <v>31</v>
      </c>
      <c r="AB794" s="470">
        <v>31</v>
      </c>
      <c r="AC794" s="473">
        <v>44033</v>
      </c>
      <c r="AD794" s="473">
        <v>44033</v>
      </c>
      <c r="AE794" s="473">
        <v>19815</v>
      </c>
      <c r="AF794" s="473">
        <v>7926</v>
      </c>
      <c r="AG794" s="473">
        <v>1600</v>
      </c>
      <c r="AH794" s="473">
        <v>200</v>
      </c>
      <c r="AI794" s="473">
        <v>1250</v>
      </c>
      <c r="AJ794" s="473">
        <v>1651</v>
      </c>
      <c r="AK794" s="473">
        <v>3963</v>
      </c>
      <c r="AL794" s="473">
        <v>2972</v>
      </c>
      <c r="AM794" s="473">
        <v>198</v>
      </c>
      <c r="AN794" s="473">
        <v>694</v>
      </c>
      <c r="AO794" s="473">
        <v>396</v>
      </c>
      <c r="AP794" s="473">
        <v>99</v>
      </c>
      <c r="AQ794" s="473">
        <v>1800</v>
      </c>
      <c r="AR794" s="473">
        <v>1469</v>
      </c>
      <c r="AS794" s="473">
        <v>0</v>
      </c>
      <c r="AT794" s="473">
        <v>175</v>
      </c>
      <c r="AU794" s="473">
        <v>0</v>
      </c>
      <c r="AV794" s="473">
        <v>44208</v>
      </c>
      <c r="AW794" s="474">
        <v>44208</v>
      </c>
      <c r="AX794" s="473">
        <v>0</v>
      </c>
      <c r="AY794" s="473">
        <v>0</v>
      </c>
      <c r="AZ794" s="475">
        <v>0</v>
      </c>
      <c r="BA794" s="475">
        <v>200</v>
      </c>
      <c r="BB794" s="475">
        <v>1800</v>
      </c>
      <c r="BC794" s="475">
        <v>0</v>
      </c>
      <c r="BD794" s="475">
        <v>0</v>
      </c>
      <c r="BE794" s="475">
        <v>25</v>
      </c>
      <c r="BF794" s="475">
        <v>0</v>
      </c>
      <c r="BG794" s="475">
        <v>2025</v>
      </c>
      <c r="BH794" s="476">
        <v>42183</v>
      </c>
      <c r="BI794" s="467"/>
      <c r="BJ794" s="468"/>
    </row>
    <row r="795" spans="1:62">
      <c r="A795" s="469">
        <v>45992</v>
      </c>
      <c r="B795" s="469" t="s">
        <v>747</v>
      </c>
      <c r="C795" s="508"/>
      <c r="D795" s="470" t="s">
        <v>749</v>
      </c>
      <c r="E795" s="471">
        <v>1484</v>
      </c>
      <c r="F795" s="470" t="s">
        <v>811</v>
      </c>
      <c r="G795" s="470" t="s">
        <v>812</v>
      </c>
      <c r="H795" s="470" t="s">
        <v>12</v>
      </c>
      <c r="I795" s="470" t="s">
        <v>813</v>
      </c>
      <c r="J795" s="472" t="s">
        <v>814</v>
      </c>
      <c r="K795" s="470" t="s">
        <v>815</v>
      </c>
      <c r="L795" s="470" t="s">
        <v>1292</v>
      </c>
      <c r="M795" s="470" t="s">
        <v>1292</v>
      </c>
      <c r="N795" s="470" t="s">
        <v>1275</v>
      </c>
      <c r="O795" s="472" t="s">
        <v>792</v>
      </c>
      <c r="P795" s="472" t="s">
        <v>738</v>
      </c>
      <c r="Q795" s="472" t="s">
        <v>758</v>
      </c>
      <c r="R795" s="472" t="s">
        <v>12</v>
      </c>
      <c r="S795" s="472" t="s">
        <v>12</v>
      </c>
      <c r="T795" s="472" t="s">
        <v>818</v>
      </c>
      <c r="U795" s="470" t="s">
        <v>819</v>
      </c>
      <c r="V795" s="470" t="s">
        <v>761</v>
      </c>
      <c r="W795" s="470" t="s">
        <v>762</v>
      </c>
      <c r="X795" s="470">
        <v>31</v>
      </c>
      <c r="Y795" s="470">
        <v>0</v>
      </c>
      <c r="Z795" s="470">
        <v>0</v>
      </c>
      <c r="AA795" s="470">
        <v>31</v>
      </c>
      <c r="AB795" s="470">
        <v>31</v>
      </c>
      <c r="AC795" s="473">
        <v>111343</v>
      </c>
      <c r="AD795" s="473">
        <v>111343</v>
      </c>
      <c r="AE795" s="473">
        <v>50104</v>
      </c>
      <c r="AF795" s="473">
        <v>20042</v>
      </c>
      <c r="AG795" s="473">
        <v>1600</v>
      </c>
      <c r="AH795" s="473">
        <v>200</v>
      </c>
      <c r="AI795" s="473">
        <v>1250</v>
      </c>
      <c r="AJ795" s="473">
        <v>4174</v>
      </c>
      <c r="AK795" s="473">
        <v>10021</v>
      </c>
      <c r="AL795" s="473">
        <v>7516</v>
      </c>
      <c r="AM795" s="473">
        <v>501</v>
      </c>
      <c r="AN795" s="473">
        <v>1754</v>
      </c>
      <c r="AO795" s="473">
        <v>1002</v>
      </c>
      <c r="AP795" s="473">
        <v>251</v>
      </c>
      <c r="AQ795" s="473">
        <v>1800</v>
      </c>
      <c r="AR795" s="473">
        <v>11128</v>
      </c>
      <c r="AS795" s="473">
        <v>0</v>
      </c>
      <c r="AT795" s="473">
        <v>0</v>
      </c>
      <c r="AU795" s="473">
        <v>0</v>
      </c>
      <c r="AV795" s="473">
        <v>111343</v>
      </c>
      <c r="AW795" s="474">
        <v>111343</v>
      </c>
      <c r="AX795" s="473">
        <v>0</v>
      </c>
      <c r="AY795" s="473">
        <v>0</v>
      </c>
      <c r="AZ795" s="475">
        <v>8978</v>
      </c>
      <c r="BA795" s="475">
        <v>200</v>
      </c>
      <c r="BB795" s="475">
        <v>1800</v>
      </c>
      <c r="BC795" s="475">
        <v>0</v>
      </c>
      <c r="BD795" s="475">
        <v>0</v>
      </c>
      <c r="BE795" s="475">
        <v>25</v>
      </c>
      <c r="BF795" s="475">
        <v>0</v>
      </c>
      <c r="BG795" s="475">
        <v>11003</v>
      </c>
      <c r="BH795" s="476">
        <v>100340</v>
      </c>
      <c r="BI795" s="467"/>
      <c r="BJ795" s="468"/>
    </row>
    <row r="796" spans="1:62">
      <c r="A796" s="469">
        <v>45992</v>
      </c>
      <c r="B796" s="469" t="s">
        <v>747</v>
      </c>
      <c r="C796" s="508"/>
      <c r="D796" s="470" t="s">
        <v>749</v>
      </c>
      <c r="E796" s="471">
        <v>2291</v>
      </c>
      <c r="F796" s="470" t="s">
        <v>1515</v>
      </c>
      <c r="G796" s="470" t="s">
        <v>751</v>
      </c>
      <c r="H796" s="470" t="s">
        <v>12</v>
      </c>
      <c r="I796" s="470" t="s">
        <v>1516</v>
      </c>
      <c r="J796" s="472" t="s">
        <v>1517</v>
      </c>
      <c r="K796" s="470" t="s">
        <v>1518</v>
      </c>
      <c r="L796" s="470" t="s">
        <v>1519</v>
      </c>
      <c r="M796" s="470" t="s">
        <v>1305</v>
      </c>
      <c r="N796" s="470" t="s">
        <v>777</v>
      </c>
      <c r="O796" s="472" t="s">
        <v>757</v>
      </c>
      <c r="P796" s="472" t="s">
        <v>738</v>
      </c>
      <c r="Q796" s="472" t="s">
        <v>758</v>
      </c>
      <c r="R796" s="472" t="s">
        <v>12</v>
      </c>
      <c r="S796" s="472" t="s">
        <v>12</v>
      </c>
      <c r="T796" s="472" t="s">
        <v>1520</v>
      </c>
      <c r="U796" s="470" t="s">
        <v>1521</v>
      </c>
      <c r="V796" s="470" t="s">
        <v>761</v>
      </c>
      <c r="W796" s="470" t="s">
        <v>762</v>
      </c>
      <c r="X796" s="470">
        <v>31</v>
      </c>
      <c r="Y796" s="470">
        <v>0</v>
      </c>
      <c r="Z796" s="470">
        <v>0</v>
      </c>
      <c r="AA796" s="470">
        <v>31</v>
      </c>
      <c r="AB796" s="470">
        <v>31</v>
      </c>
      <c r="AC796" s="473">
        <v>85700</v>
      </c>
      <c r="AD796" s="473">
        <v>85700</v>
      </c>
      <c r="AE796" s="473">
        <v>38565</v>
      </c>
      <c r="AF796" s="473">
        <v>15426</v>
      </c>
      <c r="AG796" s="473">
        <v>1600</v>
      </c>
      <c r="AH796" s="473">
        <v>200</v>
      </c>
      <c r="AI796" s="473">
        <v>1250</v>
      </c>
      <c r="AJ796" s="473">
        <v>3212</v>
      </c>
      <c r="AK796" s="473">
        <v>7713</v>
      </c>
      <c r="AL796" s="473">
        <v>5785</v>
      </c>
      <c r="AM796" s="473">
        <v>386</v>
      </c>
      <c r="AN796" s="473">
        <v>1350</v>
      </c>
      <c r="AO796" s="473">
        <v>771</v>
      </c>
      <c r="AP796" s="473">
        <v>193</v>
      </c>
      <c r="AQ796" s="473">
        <v>1800</v>
      </c>
      <c r="AR796" s="473">
        <v>7449</v>
      </c>
      <c r="AS796" s="473">
        <v>0</v>
      </c>
      <c r="AT796" s="473">
        <v>0</v>
      </c>
      <c r="AU796" s="473">
        <v>379</v>
      </c>
      <c r="AV796" s="473">
        <v>86079</v>
      </c>
      <c r="AW796" s="474">
        <v>85700</v>
      </c>
      <c r="AX796" s="473">
        <v>0</v>
      </c>
      <c r="AY796" s="473">
        <v>0</v>
      </c>
      <c r="AZ796" s="475">
        <v>0</v>
      </c>
      <c r="BA796" s="475">
        <v>200</v>
      </c>
      <c r="BB796" s="475">
        <v>1800</v>
      </c>
      <c r="BC796" s="475">
        <v>0</v>
      </c>
      <c r="BD796" s="475">
        <v>0</v>
      </c>
      <c r="BE796" s="475">
        <v>25</v>
      </c>
      <c r="BF796" s="475">
        <v>0</v>
      </c>
      <c r="BG796" s="475">
        <v>2025</v>
      </c>
      <c r="BH796" s="476">
        <v>84054</v>
      </c>
      <c r="BI796" s="467"/>
      <c r="BJ796" s="468"/>
    </row>
    <row r="797" spans="1:62">
      <c r="A797" s="469">
        <v>45992</v>
      </c>
      <c r="B797" s="469" t="s">
        <v>747</v>
      </c>
      <c r="C797" s="508"/>
      <c r="D797" s="470" t="s">
        <v>749</v>
      </c>
      <c r="E797" s="471">
        <v>2271</v>
      </c>
      <c r="F797" s="470" t="s">
        <v>1431</v>
      </c>
      <c r="G797" s="470" t="s">
        <v>751</v>
      </c>
      <c r="H797" s="470" t="s">
        <v>12</v>
      </c>
      <c r="I797" s="470" t="s">
        <v>1426</v>
      </c>
      <c r="J797" s="472" t="s">
        <v>1432</v>
      </c>
      <c r="K797" s="470" t="s">
        <v>1433</v>
      </c>
      <c r="L797" s="470" t="s">
        <v>824</v>
      </c>
      <c r="M797" s="470" t="s">
        <v>824</v>
      </c>
      <c r="N797" s="470" t="s">
        <v>1275</v>
      </c>
      <c r="O797" s="472" t="s">
        <v>1276</v>
      </c>
      <c r="P797" s="472" t="s">
        <v>738</v>
      </c>
      <c r="Q797" s="472" t="s">
        <v>758</v>
      </c>
      <c r="R797" s="472" t="s">
        <v>12</v>
      </c>
      <c r="S797" s="472" t="s">
        <v>12</v>
      </c>
      <c r="T797" s="472" t="s">
        <v>1434</v>
      </c>
      <c r="U797" s="470" t="s">
        <v>1435</v>
      </c>
      <c r="V797" s="470" t="s">
        <v>761</v>
      </c>
      <c r="W797" s="470" t="s">
        <v>1361</v>
      </c>
      <c r="X797" s="470">
        <v>31</v>
      </c>
      <c r="Y797" s="470">
        <v>0</v>
      </c>
      <c r="Z797" s="470">
        <v>0</v>
      </c>
      <c r="AA797" s="470">
        <v>31</v>
      </c>
      <c r="AB797" s="470">
        <v>31</v>
      </c>
      <c r="AC797" s="473">
        <v>44033</v>
      </c>
      <c r="AD797" s="473">
        <v>44033</v>
      </c>
      <c r="AE797" s="473">
        <v>19815</v>
      </c>
      <c r="AF797" s="473">
        <v>7926</v>
      </c>
      <c r="AG797" s="473">
        <v>1600</v>
      </c>
      <c r="AH797" s="473">
        <v>200</v>
      </c>
      <c r="AI797" s="473">
        <v>1250</v>
      </c>
      <c r="AJ797" s="473">
        <v>1651</v>
      </c>
      <c r="AK797" s="473">
        <v>3963</v>
      </c>
      <c r="AL797" s="473">
        <v>2972</v>
      </c>
      <c r="AM797" s="473">
        <v>198</v>
      </c>
      <c r="AN797" s="473">
        <v>694</v>
      </c>
      <c r="AO797" s="473">
        <v>396</v>
      </c>
      <c r="AP797" s="473">
        <v>99</v>
      </c>
      <c r="AQ797" s="473">
        <v>1800</v>
      </c>
      <c r="AR797" s="473">
        <v>1469</v>
      </c>
      <c r="AS797" s="473">
        <v>0</v>
      </c>
      <c r="AT797" s="473">
        <v>0</v>
      </c>
      <c r="AU797" s="473">
        <v>0</v>
      </c>
      <c r="AV797" s="473">
        <v>44033</v>
      </c>
      <c r="AW797" s="474">
        <v>44033</v>
      </c>
      <c r="AX797" s="473">
        <v>0</v>
      </c>
      <c r="AY797" s="473">
        <v>0</v>
      </c>
      <c r="AZ797" s="475">
        <v>0</v>
      </c>
      <c r="BA797" s="475">
        <v>200</v>
      </c>
      <c r="BB797" s="475">
        <v>1800</v>
      </c>
      <c r="BC797" s="475">
        <v>0</v>
      </c>
      <c r="BD797" s="475">
        <v>0</v>
      </c>
      <c r="BE797" s="475">
        <v>25</v>
      </c>
      <c r="BF797" s="475">
        <v>0</v>
      </c>
      <c r="BG797" s="475">
        <v>2025</v>
      </c>
      <c r="BH797" s="476">
        <v>42008</v>
      </c>
      <c r="BI797" s="467"/>
      <c r="BJ797" s="468"/>
    </row>
    <row r="798" spans="1:62">
      <c r="A798" s="469">
        <v>45992</v>
      </c>
      <c r="B798" s="469" t="s">
        <v>747</v>
      </c>
      <c r="C798" s="508"/>
      <c r="D798" s="470" t="s">
        <v>749</v>
      </c>
      <c r="E798" s="471">
        <v>2216</v>
      </c>
      <c r="F798" s="470" t="s">
        <v>1339</v>
      </c>
      <c r="G798" s="470" t="s">
        <v>751</v>
      </c>
      <c r="H798" s="470" t="s">
        <v>12</v>
      </c>
      <c r="I798" s="470" t="s">
        <v>1340</v>
      </c>
      <c r="J798" s="472" t="s">
        <v>1341</v>
      </c>
      <c r="K798" s="470" t="s">
        <v>1342</v>
      </c>
      <c r="L798" s="470" t="s">
        <v>1305</v>
      </c>
      <c r="M798" s="470" t="s">
        <v>1305</v>
      </c>
      <c r="N798" s="470" t="s">
        <v>1108</v>
      </c>
      <c r="O798" s="472" t="s">
        <v>757</v>
      </c>
      <c r="P798" s="472" t="s">
        <v>738</v>
      </c>
      <c r="Q798" s="472" t="s">
        <v>758</v>
      </c>
      <c r="R798" s="472" t="s">
        <v>12</v>
      </c>
      <c r="S798" s="472" t="s">
        <v>12</v>
      </c>
      <c r="T798" s="472" t="s">
        <v>1343</v>
      </c>
      <c r="U798" s="470" t="s">
        <v>1344</v>
      </c>
      <c r="V798" s="470" t="s">
        <v>761</v>
      </c>
      <c r="W798" s="470" t="s">
        <v>1301</v>
      </c>
      <c r="X798" s="470">
        <v>31</v>
      </c>
      <c r="Y798" s="470">
        <v>0</v>
      </c>
      <c r="Z798" s="470">
        <v>0</v>
      </c>
      <c r="AA798" s="470">
        <v>31</v>
      </c>
      <c r="AB798" s="470">
        <v>31</v>
      </c>
      <c r="AC798" s="473">
        <v>65700</v>
      </c>
      <c r="AD798" s="473">
        <v>65700</v>
      </c>
      <c r="AE798" s="473">
        <v>29565</v>
      </c>
      <c r="AF798" s="473">
        <v>11826</v>
      </c>
      <c r="AG798" s="473">
        <v>1600</v>
      </c>
      <c r="AH798" s="473">
        <v>200</v>
      </c>
      <c r="AI798" s="473">
        <v>1250</v>
      </c>
      <c r="AJ798" s="473">
        <v>2463</v>
      </c>
      <c r="AK798" s="473">
        <v>5913</v>
      </c>
      <c r="AL798" s="473">
        <v>4435</v>
      </c>
      <c r="AM798" s="473">
        <v>296</v>
      </c>
      <c r="AN798" s="473">
        <v>1035</v>
      </c>
      <c r="AO798" s="473">
        <v>591</v>
      </c>
      <c r="AP798" s="473">
        <v>148</v>
      </c>
      <c r="AQ798" s="473">
        <v>1800</v>
      </c>
      <c r="AR798" s="473">
        <v>4578</v>
      </c>
      <c r="AS798" s="473">
        <v>0</v>
      </c>
      <c r="AT798" s="473">
        <v>0</v>
      </c>
      <c r="AU798" s="473">
        <v>0</v>
      </c>
      <c r="AV798" s="473">
        <v>65700</v>
      </c>
      <c r="AW798" s="474">
        <v>65700</v>
      </c>
      <c r="AX798" s="473">
        <v>0</v>
      </c>
      <c r="AY798" s="473">
        <v>0</v>
      </c>
      <c r="AZ798" s="475">
        <v>0</v>
      </c>
      <c r="BA798" s="475">
        <v>200</v>
      </c>
      <c r="BB798" s="475">
        <v>1800</v>
      </c>
      <c r="BC798" s="475">
        <v>0</v>
      </c>
      <c r="BD798" s="475">
        <v>0</v>
      </c>
      <c r="BE798" s="475">
        <v>25</v>
      </c>
      <c r="BF798" s="475">
        <v>0</v>
      </c>
      <c r="BG798" s="475">
        <v>2025</v>
      </c>
      <c r="BH798" s="476">
        <v>63675</v>
      </c>
      <c r="BI798" s="467"/>
      <c r="BJ798" s="468"/>
    </row>
    <row r="799" spans="1:62">
      <c r="A799" s="469">
        <v>45992</v>
      </c>
      <c r="B799" s="469" t="s">
        <v>747</v>
      </c>
      <c r="C799" s="508"/>
      <c r="D799" s="470" t="s">
        <v>749</v>
      </c>
      <c r="E799" s="471">
        <v>2247</v>
      </c>
      <c r="F799" s="470" t="s">
        <v>1388</v>
      </c>
      <c r="G799" s="470" t="s">
        <v>751</v>
      </c>
      <c r="H799" s="470" t="s">
        <v>12</v>
      </c>
      <c r="I799" s="470" t="s">
        <v>1389</v>
      </c>
      <c r="J799" s="472" t="s">
        <v>1390</v>
      </c>
      <c r="K799" s="470" t="s">
        <v>1391</v>
      </c>
      <c r="L799" s="470" t="s">
        <v>1293</v>
      </c>
      <c r="M799" s="470" t="s">
        <v>1293</v>
      </c>
      <c r="N799" s="470" t="s">
        <v>756</v>
      </c>
      <c r="O799" s="472" t="s">
        <v>757</v>
      </c>
      <c r="P799" s="472" t="s">
        <v>738</v>
      </c>
      <c r="Q799" s="472" t="s">
        <v>758</v>
      </c>
      <c r="R799" s="472" t="s">
        <v>12</v>
      </c>
      <c r="S799" s="472" t="s">
        <v>12</v>
      </c>
      <c r="T799" s="472" t="s">
        <v>1392</v>
      </c>
      <c r="U799" s="470" t="s">
        <v>1393</v>
      </c>
      <c r="V799" s="470" t="s">
        <v>761</v>
      </c>
      <c r="W799" s="470" t="s">
        <v>1394</v>
      </c>
      <c r="X799" s="470">
        <v>31</v>
      </c>
      <c r="Y799" s="470">
        <v>0</v>
      </c>
      <c r="Z799" s="470">
        <v>0.5</v>
      </c>
      <c r="AA799" s="470">
        <v>30.5</v>
      </c>
      <c r="AB799" s="470">
        <v>30.5</v>
      </c>
      <c r="AC799" s="473">
        <v>88200</v>
      </c>
      <c r="AD799" s="473">
        <v>88200</v>
      </c>
      <c r="AE799" s="473">
        <v>39050</v>
      </c>
      <c r="AF799" s="473">
        <v>15620</v>
      </c>
      <c r="AG799" s="473">
        <v>1574</v>
      </c>
      <c r="AH799" s="473">
        <v>197</v>
      </c>
      <c r="AI799" s="473">
        <v>1230</v>
      </c>
      <c r="AJ799" s="473">
        <v>3253</v>
      </c>
      <c r="AK799" s="473">
        <v>7810</v>
      </c>
      <c r="AL799" s="473">
        <v>5858</v>
      </c>
      <c r="AM799" s="473">
        <v>391</v>
      </c>
      <c r="AN799" s="473">
        <v>1367</v>
      </c>
      <c r="AO799" s="473">
        <v>781</v>
      </c>
      <c r="AP799" s="473">
        <v>195</v>
      </c>
      <c r="AQ799" s="473">
        <v>1800</v>
      </c>
      <c r="AR799" s="473">
        <v>7651</v>
      </c>
      <c r="AS799" s="473">
        <v>0</v>
      </c>
      <c r="AT799" s="473">
        <v>400</v>
      </c>
      <c r="AU799" s="473">
        <v>0</v>
      </c>
      <c r="AV799" s="473">
        <v>87177</v>
      </c>
      <c r="AW799" s="474">
        <v>87177</v>
      </c>
      <c r="AX799" s="473">
        <v>0</v>
      </c>
      <c r="AY799" s="473">
        <v>0</v>
      </c>
      <c r="AZ799" s="475">
        <v>0</v>
      </c>
      <c r="BA799" s="475">
        <v>200</v>
      </c>
      <c r="BB799" s="475">
        <v>1800</v>
      </c>
      <c r="BC799" s="475">
        <v>0</v>
      </c>
      <c r="BD799" s="475">
        <v>0</v>
      </c>
      <c r="BE799" s="475">
        <v>25</v>
      </c>
      <c r="BF799" s="475">
        <v>0</v>
      </c>
      <c r="BG799" s="475">
        <v>2025</v>
      </c>
      <c r="BH799" s="476">
        <v>85152</v>
      </c>
      <c r="BI799" s="467"/>
      <c r="BJ799" s="468"/>
    </row>
    <row r="800" spans="1:62">
      <c r="A800" s="469">
        <v>45992</v>
      </c>
      <c r="B800" s="469" t="s">
        <v>747</v>
      </c>
      <c r="C800" s="508"/>
      <c r="D800" s="470" t="s">
        <v>749</v>
      </c>
      <c r="E800" s="471">
        <v>1599</v>
      </c>
      <c r="F800" s="470" t="s">
        <v>820</v>
      </c>
      <c r="G800" s="470" t="s">
        <v>751</v>
      </c>
      <c r="H800" s="470" t="s">
        <v>12</v>
      </c>
      <c r="I800" s="470" t="s">
        <v>821</v>
      </c>
      <c r="J800" s="472" t="s">
        <v>822</v>
      </c>
      <c r="K800" s="470" t="s">
        <v>823</v>
      </c>
      <c r="L800" s="470" t="s">
        <v>1345</v>
      </c>
      <c r="M800" s="470" t="s">
        <v>1345</v>
      </c>
      <c r="N800" s="470" t="s">
        <v>1275</v>
      </c>
      <c r="O800" s="472" t="s">
        <v>757</v>
      </c>
      <c r="P800" s="472" t="s">
        <v>738</v>
      </c>
      <c r="Q800" s="472" t="s">
        <v>758</v>
      </c>
      <c r="R800" s="472" t="s">
        <v>12</v>
      </c>
      <c r="S800" s="472" t="s">
        <v>12</v>
      </c>
      <c r="T800" s="472" t="s">
        <v>825</v>
      </c>
      <c r="U800" s="470" t="s">
        <v>826</v>
      </c>
      <c r="V800" s="470" t="s">
        <v>761</v>
      </c>
      <c r="W800" s="470" t="s">
        <v>827</v>
      </c>
      <c r="X800" s="470">
        <v>31</v>
      </c>
      <c r="Y800" s="470">
        <v>0</v>
      </c>
      <c r="Z800" s="470">
        <v>0</v>
      </c>
      <c r="AA800" s="470">
        <v>31</v>
      </c>
      <c r="AB800" s="470">
        <v>31</v>
      </c>
      <c r="AC800" s="473">
        <v>51640</v>
      </c>
      <c r="AD800" s="473">
        <v>51640</v>
      </c>
      <c r="AE800" s="473">
        <v>23238</v>
      </c>
      <c r="AF800" s="473">
        <v>9295</v>
      </c>
      <c r="AG800" s="473">
        <v>1600</v>
      </c>
      <c r="AH800" s="473">
        <v>200</v>
      </c>
      <c r="AI800" s="473">
        <v>1250</v>
      </c>
      <c r="AJ800" s="473">
        <v>1936</v>
      </c>
      <c r="AK800" s="473">
        <v>4648</v>
      </c>
      <c r="AL800" s="473">
        <v>3486</v>
      </c>
      <c r="AM800" s="473">
        <v>232</v>
      </c>
      <c r="AN800" s="473">
        <v>813</v>
      </c>
      <c r="AO800" s="473">
        <v>465</v>
      </c>
      <c r="AP800" s="473">
        <v>116</v>
      </c>
      <c r="AQ800" s="473">
        <v>1800</v>
      </c>
      <c r="AR800" s="473">
        <v>2561</v>
      </c>
      <c r="AS800" s="473">
        <v>0</v>
      </c>
      <c r="AT800" s="473">
        <v>0</v>
      </c>
      <c r="AU800" s="473">
        <v>2122</v>
      </c>
      <c r="AV800" s="473">
        <v>53762</v>
      </c>
      <c r="AW800" s="474">
        <v>51640</v>
      </c>
      <c r="AX800" s="473">
        <v>0</v>
      </c>
      <c r="AY800" s="473">
        <v>0</v>
      </c>
      <c r="AZ800" s="475">
        <v>0</v>
      </c>
      <c r="BA800" s="475">
        <v>200</v>
      </c>
      <c r="BB800" s="475">
        <v>1800</v>
      </c>
      <c r="BC800" s="475">
        <v>0</v>
      </c>
      <c r="BD800" s="475">
        <v>0</v>
      </c>
      <c r="BE800" s="475">
        <v>25</v>
      </c>
      <c r="BF800" s="475">
        <v>0</v>
      </c>
      <c r="BG800" s="475">
        <v>2025</v>
      </c>
      <c r="BH800" s="476">
        <v>51737</v>
      </c>
      <c r="BI800" s="467"/>
      <c r="BJ800" s="468"/>
    </row>
    <row r="801" spans="1:62">
      <c r="A801" s="469">
        <v>45992</v>
      </c>
      <c r="B801" s="469" t="s">
        <v>747</v>
      </c>
      <c r="C801" s="508"/>
      <c r="D801" s="470" t="s">
        <v>749</v>
      </c>
      <c r="E801" s="471">
        <v>1180</v>
      </c>
      <c r="F801" s="470" t="s">
        <v>828</v>
      </c>
      <c r="G801" s="470" t="s">
        <v>751</v>
      </c>
      <c r="H801" s="470" t="s">
        <v>12</v>
      </c>
      <c r="I801" s="470" t="s">
        <v>829</v>
      </c>
      <c r="J801" s="472" t="s">
        <v>830</v>
      </c>
      <c r="K801" s="470" t="s">
        <v>831</v>
      </c>
      <c r="L801" s="470" t="s">
        <v>832</v>
      </c>
      <c r="M801" s="470" t="s">
        <v>832</v>
      </c>
      <c r="N801" s="470" t="s">
        <v>833</v>
      </c>
      <c r="O801" s="472" t="s">
        <v>757</v>
      </c>
      <c r="P801" s="472" t="s">
        <v>738</v>
      </c>
      <c r="Q801" s="472" t="s">
        <v>758</v>
      </c>
      <c r="R801" s="472" t="s">
        <v>12</v>
      </c>
      <c r="S801" s="472" t="s">
        <v>12</v>
      </c>
      <c r="T801" s="472" t="s">
        <v>834</v>
      </c>
      <c r="U801" s="470" t="s">
        <v>835</v>
      </c>
      <c r="V801" s="470" t="s">
        <v>836</v>
      </c>
      <c r="W801" s="470" t="s">
        <v>837</v>
      </c>
      <c r="X801" s="470">
        <v>31</v>
      </c>
      <c r="Y801" s="470">
        <v>0</v>
      </c>
      <c r="Z801" s="470">
        <v>0</v>
      </c>
      <c r="AA801" s="470">
        <v>31</v>
      </c>
      <c r="AB801" s="470">
        <v>31</v>
      </c>
      <c r="AC801" s="473">
        <v>28042</v>
      </c>
      <c r="AD801" s="473">
        <v>28042</v>
      </c>
      <c r="AE801" s="473">
        <v>12619</v>
      </c>
      <c r="AF801" s="473">
        <v>5048</v>
      </c>
      <c r="AG801" s="473">
        <v>1600</v>
      </c>
      <c r="AH801" s="473">
        <v>200</v>
      </c>
      <c r="AI801" s="473">
        <v>1250</v>
      </c>
      <c r="AJ801" s="473">
        <v>0</v>
      </c>
      <c r="AK801" s="473">
        <v>0</v>
      </c>
      <c r="AL801" s="473">
        <v>0</v>
      </c>
      <c r="AM801" s="473">
        <v>0</v>
      </c>
      <c r="AN801" s="473">
        <v>0</v>
      </c>
      <c r="AO801" s="473">
        <v>0</v>
      </c>
      <c r="AP801" s="473">
        <v>0</v>
      </c>
      <c r="AQ801" s="473">
        <v>1514</v>
      </c>
      <c r="AR801" s="473">
        <v>5811</v>
      </c>
      <c r="AS801" s="473">
        <v>0</v>
      </c>
      <c r="AT801" s="473">
        <v>0</v>
      </c>
      <c r="AU801" s="473">
        <v>2814</v>
      </c>
      <c r="AV801" s="473">
        <v>30856</v>
      </c>
      <c r="AW801" s="474">
        <v>28042</v>
      </c>
      <c r="AX801" s="473">
        <v>0</v>
      </c>
      <c r="AY801" s="473">
        <v>0</v>
      </c>
      <c r="AZ801" s="475">
        <v>0</v>
      </c>
      <c r="BA801" s="475">
        <v>200</v>
      </c>
      <c r="BB801" s="475">
        <v>1514</v>
      </c>
      <c r="BC801" s="475">
        <v>0</v>
      </c>
      <c r="BD801" s="475">
        <v>0</v>
      </c>
      <c r="BE801" s="475">
        <v>25</v>
      </c>
      <c r="BF801" s="475">
        <v>0</v>
      </c>
      <c r="BG801" s="475">
        <v>1739</v>
      </c>
      <c r="BH801" s="476">
        <v>29117</v>
      </c>
      <c r="BI801" s="467"/>
      <c r="BJ801" s="468"/>
    </row>
    <row r="802" spans="1:62">
      <c r="A802" s="469">
        <v>45992</v>
      </c>
      <c r="B802" s="469" t="s">
        <v>747</v>
      </c>
      <c r="C802" s="508"/>
      <c r="D802" s="470" t="s">
        <v>749</v>
      </c>
      <c r="E802" s="471">
        <v>48</v>
      </c>
      <c r="F802" s="470" t="s">
        <v>838</v>
      </c>
      <c r="G802" s="470" t="s">
        <v>751</v>
      </c>
      <c r="H802" s="470" t="s">
        <v>12</v>
      </c>
      <c r="I802" s="470" t="s">
        <v>839</v>
      </c>
      <c r="J802" s="472" t="s">
        <v>840</v>
      </c>
      <c r="K802" s="470" t="s">
        <v>841</v>
      </c>
      <c r="L802" s="470" t="s">
        <v>842</v>
      </c>
      <c r="M802" s="470" t="s">
        <v>842</v>
      </c>
      <c r="N802" s="470" t="s">
        <v>1275</v>
      </c>
      <c r="O802" s="472" t="s">
        <v>792</v>
      </c>
      <c r="P802" s="472" t="s">
        <v>738</v>
      </c>
      <c r="Q802" s="472" t="s">
        <v>758</v>
      </c>
      <c r="R802" s="472" t="s">
        <v>12</v>
      </c>
      <c r="S802" s="472" t="s">
        <v>12</v>
      </c>
      <c r="T802" s="472" t="s">
        <v>843</v>
      </c>
      <c r="U802" s="470" t="s">
        <v>844</v>
      </c>
      <c r="V802" s="470" t="s">
        <v>761</v>
      </c>
      <c r="W802" s="470" t="s">
        <v>845</v>
      </c>
      <c r="X802" s="470">
        <v>31</v>
      </c>
      <c r="Y802" s="470">
        <v>0</v>
      </c>
      <c r="Z802" s="470">
        <v>0</v>
      </c>
      <c r="AA802" s="470">
        <v>31</v>
      </c>
      <c r="AB802" s="470">
        <v>31</v>
      </c>
      <c r="AC802" s="473">
        <v>107967</v>
      </c>
      <c r="AD802" s="473">
        <v>107967</v>
      </c>
      <c r="AE802" s="473">
        <v>48585</v>
      </c>
      <c r="AF802" s="473">
        <v>19434</v>
      </c>
      <c r="AG802" s="473">
        <v>1600</v>
      </c>
      <c r="AH802" s="473">
        <v>200</v>
      </c>
      <c r="AI802" s="473">
        <v>1250</v>
      </c>
      <c r="AJ802" s="473">
        <v>4047</v>
      </c>
      <c r="AK802" s="473">
        <v>9717</v>
      </c>
      <c r="AL802" s="473">
        <v>7288</v>
      </c>
      <c r="AM802" s="473">
        <v>486</v>
      </c>
      <c r="AN802" s="473">
        <v>1700</v>
      </c>
      <c r="AO802" s="473">
        <v>972</v>
      </c>
      <c r="AP802" s="473">
        <v>243</v>
      </c>
      <c r="AQ802" s="473">
        <v>1800</v>
      </c>
      <c r="AR802" s="473">
        <v>10645</v>
      </c>
      <c r="AS802" s="473">
        <v>0</v>
      </c>
      <c r="AT802" s="473">
        <v>2000</v>
      </c>
      <c r="AU802" s="473">
        <v>0</v>
      </c>
      <c r="AV802" s="473">
        <v>109967</v>
      </c>
      <c r="AW802" s="474">
        <v>109967</v>
      </c>
      <c r="AX802" s="473">
        <v>0</v>
      </c>
      <c r="AY802" s="473">
        <v>0</v>
      </c>
      <c r="AZ802" s="475">
        <v>6522</v>
      </c>
      <c r="BA802" s="475">
        <v>200</v>
      </c>
      <c r="BB802" s="475">
        <v>1800</v>
      </c>
      <c r="BC802" s="475">
        <v>0</v>
      </c>
      <c r="BD802" s="475">
        <v>0</v>
      </c>
      <c r="BE802" s="475">
        <v>25</v>
      </c>
      <c r="BF802" s="475">
        <v>15000</v>
      </c>
      <c r="BG802" s="475">
        <v>23547</v>
      </c>
      <c r="BH802" s="476">
        <v>86420</v>
      </c>
      <c r="BI802" s="467"/>
      <c r="BJ802" s="468"/>
    </row>
    <row r="803" spans="1:62">
      <c r="A803" s="469">
        <v>45992</v>
      </c>
      <c r="B803" s="469" t="s">
        <v>747</v>
      </c>
      <c r="C803" s="508"/>
      <c r="D803" s="470" t="s">
        <v>749</v>
      </c>
      <c r="E803" s="471">
        <v>2246</v>
      </c>
      <c r="F803" s="470" t="s">
        <v>1395</v>
      </c>
      <c r="G803" s="470" t="s">
        <v>751</v>
      </c>
      <c r="H803" s="470" t="s">
        <v>12</v>
      </c>
      <c r="I803" s="470" t="s">
        <v>1396</v>
      </c>
      <c r="J803" s="472" t="s">
        <v>1397</v>
      </c>
      <c r="K803" s="470" t="s">
        <v>1398</v>
      </c>
      <c r="L803" s="470" t="s">
        <v>1399</v>
      </c>
      <c r="M803" s="470" t="s">
        <v>1292</v>
      </c>
      <c r="N803" s="470" t="s">
        <v>756</v>
      </c>
      <c r="O803" s="472" t="s">
        <v>792</v>
      </c>
      <c r="P803" s="472" t="s">
        <v>738</v>
      </c>
      <c r="Q803" s="472" t="s">
        <v>758</v>
      </c>
      <c r="R803" s="472" t="s">
        <v>12</v>
      </c>
      <c r="S803" s="472" t="s">
        <v>12</v>
      </c>
      <c r="T803" s="472" t="s">
        <v>1400</v>
      </c>
      <c r="U803" s="470" t="s">
        <v>1401</v>
      </c>
      <c r="V803" s="470" t="s">
        <v>761</v>
      </c>
      <c r="W803" s="470" t="s">
        <v>1387</v>
      </c>
      <c r="X803" s="470">
        <v>31</v>
      </c>
      <c r="Y803" s="470">
        <v>0</v>
      </c>
      <c r="Z803" s="470">
        <v>0</v>
      </c>
      <c r="AA803" s="470">
        <v>31</v>
      </c>
      <c r="AB803" s="470">
        <v>31</v>
      </c>
      <c r="AC803" s="473">
        <v>123200</v>
      </c>
      <c r="AD803" s="473">
        <v>123200</v>
      </c>
      <c r="AE803" s="473">
        <v>55440</v>
      </c>
      <c r="AF803" s="473">
        <v>22176</v>
      </c>
      <c r="AG803" s="473">
        <v>1600</v>
      </c>
      <c r="AH803" s="473">
        <v>200</v>
      </c>
      <c r="AI803" s="473">
        <v>1250</v>
      </c>
      <c r="AJ803" s="473">
        <v>4618</v>
      </c>
      <c r="AK803" s="473">
        <v>11088</v>
      </c>
      <c r="AL803" s="473">
        <v>8316</v>
      </c>
      <c r="AM803" s="473">
        <v>554</v>
      </c>
      <c r="AN803" s="473">
        <v>1940</v>
      </c>
      <c r="AO803" s="473">
        <v>1109</v>
      </c>
      <c r="AP803" s="473">
        <v>277</v>
      </c>
      <c r="AQ803" s="473">
        <v>1800</v>
      </c>
      <c r="AR803" s="473">
        <v>12832</v>
      </c>
      <c r="AS803" s="473">
        <v>0</v>
      </c>
      <c r="AT803" s="473">
        <v>0</v>
      </c>
      <c r="AU803" s="473">
        <v>0</v>
      </c>
      <c r="AV803" s="473">
        <v>123200</v>
      </c>
      <c r="AW803" s="474">
        <v>123200</v>
      </c>
      <c r="AX803" s="473">
        <v>0</v>
      </c>
      <c r="AY803" s="473">
        <v>0</v>
      </c>
      <c r="AZ803" s="475">
        <v>0</v>
      </c>
      <c r="BA803" s="475">
        <v>200</v>
      </c>
      <c r="BB803" s="475">
        <v>1800</v>
      </c>
      <c r="BC803" s="475">
        <v>0</v>
      </c>
      <c r="BD803" s="475">
        <v>0</v>
      </c>
      <c r="BE803" s="475">
        <v>25</v>
      </c>
      <c r="BF803" s="475">
        <v>0</v>
      </c>
      <c r="BG803" s="475">
        <v>2025</v>
      </c>
      <c r="BH803" s="476">
        <v>121175</v>
      </c>
      <c r="BI803" s="467"/>
      <c r="BJ803" s="468"/>
    </row>
    <row r="804" spans="1:62">
      <c r="A804" s="469">
        <v>45992</v>
      </c>
      <c r="B804" s="469" t="s">
        <v>747</v>
      </c>
      <c r="C804" s="508"/>
      <c r="D804" s="470" t="s">
        <v>749</v>
      </c>
      <c r="E804" s="471">
        <v>2276</v>
      </c>
      <c r="F804" s="470" t="s">
        <v>1436</v>
      </c>
      <c r="G804" s="470" t="s">
        <v>812</v>
      </c>
      <c r="H804" s="470" t="s">
        <v>12</v>
      </c>
      <c r="I804" s="470" t="s">
        <v>1426</v>
      </c>
      <c r="J804" s="472" t="s">
        <v>1437</v>
      </c>
      <c r="K804" s="470" t="s">
        <v>1438</v>
      </c>
      <c r="L804" s="470" t="s">
        <v>824</v>
      </c>
      <c r="M804" s="470" t="s">
        <v>824</v>
      </c>
      <c r="N804" s="470" t="s">
        <v>1275</v>
      </c>
      <c r="O804" s="472" t="s">
        <v>1276</v>
      </c>
      <c r="P804" s="472" t="s">
        <v>738</v>
      </c>
      <c r="Q804" s="472" t="s">
        <v>758</v>
      </c>
      <c r="R804" s="472" t="s">
        <v>12</v>
      </c>
      <c r="S804" s="472" t="s">
        <v>12</v>
      </c>
      <c r="T804" s="472" t="s">
        <v>1439</v>
      </c>
      <c r="U804" s="470" t="s">
        <v>1440</v>
      </c>
      <c r="V804" s="470" t="s">
        <v>761</v>
      </c>
      <c r="W804" s="470" t="s">
        <v>1361</v>
      </c>
      <c r="X804" s="470">
        <v>31</v>
      </c>
      <c r="Y804" s="470">
        <v>0</v>
      </c>
      <c r="Z804" s="470">
        <v>0</v>
      </c>
      <c r="AA804" s="470">
        <v>31</v>
      </c>
      <c r="AB804" s="470">
        <v>31</v>
      </c>
      <c r="AC804" s="473">
        <v>44033</v>
      </c>
      <c r="AD804" s="473">
        <v>44033</v>
      </c>
      <c r="AE804" s="473">
        <v>19815</v>
      </c>
      <c r="AF804" s="473">
        <v>7926</v>
      </c>
      <c r="AG804" s="473">
        <v>1600</v>
      </c>
      <c r="AH804" s="473">
        <v>200</v>
      </c>
      <c r="AI804" s="473">
        <v>1250</v>
      </c>
      <c r="AJ804" s="473">
        <v>1651</v>
      </c>
      <c r="AK804" s="473">
        <v>3963</v>
      </c>
      <c r="AL804" s="473">
        <v>2972</v>
      </c>
      <c r="AM804" s="473">
        <v>198</v>
      </c>
      <c r="AN804" s="473">
        <v>694</v>
      </c>
      <c r="AO804" s="473">
        <v>396</v>
      </c>
      <c r="AP804" s="473">
        <v>99</v>
      </c>
      <c r="AQ804" s="473">
        <v>1800</v>
      </c>
      <c r="AR804" s="473">
        <v>1469</v>
      </c>
      <c r="AS804" s="473">
        <v>0</v>
      </c>
      <c r="AT804" s="473">
        <v>175</v>
      </c>
      <c r="AU804" s="473">
        <v>0</v>
      </c>
      <c r="AV804" s="473">
        <v>44208</v>
      </c>
      <c r="AW804" s="474">
        <v>44208</v>
      </c>
      <c r="AX804" s="473">
        <v>0</v>
      </c>
      <c r="AY804" s="473">
        <v>160</v>
      </c>
      <c r="AZ804" s="475">
        <v>0</v>
      </c>
      <c r="BA804" s="475">
        <v>200</v>
      </c>
      <c r="BB804" s="475">
        <v>1800</v>
      </c>
      <c r="BC804" s="475">
        <v>0</v>
      </c>
      <c r="BD804" s="475">
        <v>0</v>
      </c>
      <c r="BE804" s="475">
        <v>25</v>
      </c>
      <c r="BF804" s="475">
        <v>0</v>
      </c>
      <c r="BG804" s="475">
        <v>2185</v>
      </c>
      <c r="BH804" s="476">
        <v>42023</v>
      </c>
      <c r="BI804" s="467"/>
      <c r="BJ804" s="468"/>
    </row>
    <row r="805" spans="1:62">
      <c r="A805" s="469">
        <v>45992</v>
      </c>
      <c r="B805" s="469" t="s">
        <v>747</v>
      </c>
      <c r="C805" s="508"/>
      <c r="D805" s="470" t="s">
        <v>749</v>
      </c>
      <c r="E805" s="471">
        <v>2017</v>
      </c>
      <c r="F805" s="470" t="s">
        <v>846</v>
      </c>
      <c r="G805" s="470" t="s">
        <v>751</v>
      </c>
      <c r="H805" s="470" t="s">
        <v>12</v>
      </c>
      <c r="I805" s="470" t="s">
        <v>847</v>
      </c>
      <c r="J805" s="472" t="s">
        <v>848</v>
      </c>
      <c r="K805" s="470" t="s">
        <v>849</v>
      </c>
      <c r="L805" s="470" t="s">
        <v>824</v>
      </c>
      <c r="M805" s="470" t="s">
        <v>824</v>
      </c>
      <c r="N805" s="470" t="s">
        <v>1275</v>
      </c>
      <c r="O805" s="472" t="s">
        <v>1276</v>
      </c>
      <c r="P805" s="472" t="s">
        <v>738</v>
      </c>
      <c r="Q805" s="472" t="s">
        <v>758</v>
      </c>
      <c r="R805" s="472" t="s">
        <v>12</v>
      </c>
      <c r="S805" s="472" t="s">
        <v>12</v>
      </c>
      <c r="T805" s="472" t="s">
        <v>850</v>
      </c>
      <c r="U805" s="470" t="s">
        <v>851</v>
      </c>
      <c r="V805" s="470" t="s">
        <v>761</v>
      </c>
      <c r="W805" s="470" t="s">
        <v>762</v>
      </c>
      <c r="X805" s="470">
        <v>31</v>
      </c>
      <c r="Y805" s="470">
        <v>0</v>
      </c>
      <c r="Z805" s="470">
        <v>0</v>
      </c>
      <c r="AA805" s="470">
        <v>31</v>
      </c>
      <c r="AB805" s="470">
        <v>31</v>
      </c>
      <c r="AC805" s="473">
        <v>56533</v>
      </c>
      <c r="AD805" s="473">
        <v>56533</v>
      </c>
      <c r="AE805" s="473">
        <v>25440</v>
      </c>
      <c r="AF805" s="473">
        <v>10176</v>
      </c>
      <c r="AG805" s="473">
        <v>1600</v>
      </c>
      <c r="AH805" s="473">
        <v>200</v>
      </c>
      <c r="AI805" s="473">
        <v>1250</v>
      </c>
      <c r="AJ805" s="473">
        <v>2119</v>
      </c>
      <c r="AK805" s="473">
        <v>5088</v>
      </c>
      <c r="AL805" s="473">
        <v>3816</v>
      </c>
      <c r="AM805" s="473">
        <v>254</v>
      </c>
      <c r="AN805" s="473">
        <v>890</v>
      </c>
      <c r="AO805" s="473">
        <v>509</v>
      </c>
      <c r="AP805" s="473">
        <v>127</v>
      </c>
      <c r="AQ805" s="473">
        <v>1800</v>
      </c>
      <c r="AR805" s="473">
        <v>3264</v>
      </c>
      <c r="AS805" s="473">
        <v>0</v>
      </c>
      <c r="AT805" s="473">
        <v>0</v>
      </c>
      <c r="AU805" s="473">
        <v>208</v>
      </c>
      <c r="AV805" s="473">
        <v>56741</v>
      </c>
      <c r="AW805" s="474">
        <v>56533</v>
      </c>
      <c r="AX805" s="473">
        <v>0</v>
      </c>
      <c r="AY805" s="473">
        <v>0</v>
      </c>
      <c r="AZ805" s="475">
        <v>0</v>
      </c>
      <c r="BA805" s="475">
        <v>200</v>
      </c>
      <c r="BB805" s="475">
        <v>1800</v>
      </c>
      <c r="BC805" s="475">
        <v>0</v>
      </c>
      <c r="BD805" s="475">
        <v>0</v>
      </c>
      <c r="BE805" s="475">
        <v>25</v>
      </c>
      <c r="BF805" s="475">
        <v>0</v>
      </c>
      <c r="BG805" s="475">
        <v>2025</v>
      </c>
      <c r="BH805" s="476">
        <v>54716</v>
      </c>
      <c r="BI805" s="467"/>
      <c r="BJ805" s="468"/>
    </row>
    <row r="806" spans="1:62">
      <c r="A806" s="469">
        <v>45992</v>
      </c>
      <c r="B806" s="469" t="s">
        <v>747</v>
      </c>
      <c r="C806" s="508"/>
      <c r="D806" s="470" t="s">
        <v>749</v>
      </c>
      <c r="E806" s="471">
        <v>1914</v>
      </c>
      <c r="F806" s="470" t="s">
        <v>852</v>
      </c>
      <c r="G806" s="470" t="s">
        <v>751</v>
      </c>
      <c r="H806" s="470" t="s">
        <v>12</v>
      </c>
      <c r="I806" s="470" t="s">
        <v>853</v>
      </c>
      <c r="J806" s="472" t="s">
        <v>854</v>
      </c>
      <c r="K806" s="470" t="s">
        <v>855</v>
      </c>
      <c r="L806" s="470" t="s">
        <v>856</v>
      </c>
      <c r="M806" s="470" t="s">
        <v>856</v>
      </c>
      <c r="N806" s="470" t="s">
        <v>756</v>
      </c>
      <c r="O806" s="472" t="s">
        <v>757</v>
      </c>
      <c r="P806" s="472" t="s">
        <v>738</v>
      </c>
      <c r="Q806" s="472" t="s">
        <v>758</v>
      </c>
      <c r="R806" s="472" t="s">
        <v>12</v>
      </c>
      <c r="S806" s="472" t="s">
        <v>12</v>
      </c>
      <c r="T806" s="472" t="s">
        <v>857</v>
      </c>
      <c r="U806" s="470" t="s">
        <v>858</v>
      </c>
      <c r="V806" s="470" t="s">
        <v>761</v>
      </c>
      <c r="W806" s="470" t="s">
        <v>859</v>
      </c>
      <c r="X806" s="470">
        <v>31</v>
      </c>
      <c r="Y806" s="470">
        <v>0</v>
      </c>
      <c r="Z806" s="470">
        <v>2</v>
      </c>
      <c r="AA806" s="470">
        <v>10</v>
      </c>
      <c r="AB806" s="470">
        <v>10</v>
      </c>
      <c r="AC806" s="473">
        <v>74033</v>
      </c>
      <c r="AD806" s="473">
        <v>74033</v>
      </c>
      <c r="AE806" s="473">
        <v>10747</v>
      </c>
      <c r="AF806" s="473">
        <v>4299</v>
      </c>
      <c r="AG806" s="473">
        <v>516</v>
      </c>
      <c r="AH806" s="473">
        <v>187</v>
      </c>
      <c r="AI806" s="473">
        <v>403</v>
      </c>
      <c r="AJ806" s="473">
        <v>895</v>
      </c>
      <c r="AK806" s="473">
        <v>2149</v>
      </c>
      <c r="AL806" s="473">
        <v>1612</v>
      </c>
      <c r="AM806" s="473">
        <v>107</v>
      </c>
      <c r="AN806" s="473">
        <v>376</v>
      </c>
      <c r="AO806" s="473">
        <v>215</v>
      </c>
      <c r="AP806" s="473">
        <v>54</v>
      </c>
      <c r="AQ806" s="473">
        <v>1290</v>
      </c>
      <c r="AR806" s="473">
        <v>1032</v>
      </c>
      <c r="AS806" s="473">
        <v>0</v>
      </c>
      <c r="AT806" s="473">
        <v>0</v>
      </c>
      <c r="AU806" s="473">
        <v>616</v>
      </c>
      <c r="AV806" s="473">
        <v>24498</v>
      </c>
      <c r="AW806" s="474">
        <v>23882</v>
      </c>
      <c r="AX806" s="473">
        <v>0</v>
      </c>
      <c r="AY806" s="473">
        <v>0</v>
      </c>
      <c r="AZ806" s="475">
        <v>0</v>
      </c>
      <c r="BA806" s="475">
        <v>200</v>
      </c>
      <c r="BB806" s="475">
        <v>1290</v>
      </c>
      <c r="BC806" s="475">
        <v>0</v>
      </c>
      <c r="BD806" s="475">
        <v>0</v>
      </c>
      <c r="BE806" s="475">
        <v>25</v>
      </c>
      <c r="BF806" s="475">
        <v>0</v>
      </c>
      <c r="BG806" s="475">
        <v>1515</v>
      </c>
      <c r="BH806" s="476">
        <v>22983</v>
      </c>
      <c r="BI806" s="467"/>
      <c r="BJ806" s="468"/>
    </row>
    <row r="807" spans="1:62">
      <c r="A807" s="469">
        <v>45992</v>
      </c>
      <c r="B807" s="469" t="s">
        <v>747</v>
      </c>
      <c r="C807" s="508"/>
      <c r="D807" s="470" t="s">
        <v>749</v>
      </c>
      <c r="E807" s="471">
        <v>2186</v>
      </c>
      <c r="F807" s="470" t="s">
        <v>1277</v>
      </c>
      <c r="G807" s="470" t="s">
        <v>751</v>
      </c>
      <c r="H807" s="470" t="s">
        <v>12</v>
      </c>
      <c r="I807" s="470" t="s">
        <v>1278</v>
      </c>
      <c r="J807" s="472" t="s">
        <v>1279</v>
      </c>
      <c r="K807" s="470" t="s">
        <v>1280</v>
      </c>
      <c r="L807" s="470" t="s">
        <v>980</v>
      </c>
      <c r="M807" s="470" t="s">
        <v>980</v>
      </c>
      <c r="N807" s="470" t="s">
        <v>1275</v>
      </c>
      <c r="O807" s="472" t="s">
        <v>757</v>
      </c>
      <c r="P807" s="472" t="s">
        <v>738</v>
      </c>
      <c r="Q807" s="472" t="s">
        <v>758</v>
      </c>
      <c r="R807" s="472" t="s">
        <v>12</v>
      </c>
      <c r="S807" s="472" t="s">
        <v>12</v>
      </c>
      <c r="T807" s="472" t="s">
        <v>1281</v>
      </c>
      <c r="U807" s="470" t="s">
        <v>1282</v>
      </c>
      <c r="V807" s="470" t="s">
        <v>761</v>
      </c>
      <c r="W807" s="470" t="s">
        <v>762</v>
      </c>
      <c r="X807" s="470">
        <v>31</v>
      </c>
      <c r="Y807" s="470">
        <v>0</v>
      </c>
      <c r="Z807" s="470">
        <v>1</v>
      </c>
      <c r="AA807" s="470">
        <v>30</v>
      </c>
      <c r="AB807" s="470">
        <v>30</v>
      </c>
      <c r="AC807" s="473">
        <v>63200</v>
      </c>
      <c r="AD807" s="473">
        <v>63200</v>
      </c>
      <c r="AE807" s="473">
        <v>27522</v>
      </c>
      <c r="AF807" s="473">
        <v>11009</v>
      </c>
      <c r="AG807" s="473">
        <v>1548</v>
      </c>
      <c r="AH807" s="473">
        <v>194</v>
      </c>
      <c r="AI807" s="473">
        <v>1210</v>
      </c>
      <c r="AJ807" s="473">
        <v>2293</v>
      </c>
      <c r="AK807" s="473">
        <v>5504</v>
      </c>
      <c r="AL807" s="473">
        <v>4128</v>
      </c>
      <c r="AM807" s="473">
        <v>275</v>
      </c>
      <c r="AN807" s="473">
        <v>963</v>
      </c>
      <c r="AO807" s="473">
        <v>550</v>
      </c>
      <c r="AP807" s="473">
        <v>138</v>
      </c>
      <c r="AQ807" s="473">
        <v>1800</v>
      </c>
      <c r="AR807" s="473">
        <v>4027</v>
      </c>
      <c r="AS807" s="473">
        <v>0</v>
      </c>
      <c r="AT807" s="473">
        <v>0</v>
      </c>
      <c r="AU807" s="473">
        <v>0</v>
      </c>
      <c r="AV807" s="473">
        <v>61161</v>
      </c>
      <c r="AW807" s="474">
        <v>61161</v>
      </c>
      <c r="AX807" s="473">
        <v>0</v>
      </c>
      <c r="AY807" s="473">
        <v>0</v>
      </c>
      <c r="AZ807" s="475">
        <v>0</v>
      </c>
      <c r="BA807" s="475">
        <v>200</v>
      </c>
      <c r="BB807" s="475">
        <v>1800</v>
      </c>
      <c r="BC807" s="475">
        <v>0</v>
      </c>
      <c r="BD807" s="475">
        <v>0</v>
      </c>
      <c r="BE807" s="475">
        <v>25</v>
      </c>
      <c r="BF807" s="475">
        <v>0</v>
      </c>
      <c r="BG807" s="475">
        <v>2025</v>
      </c>
      <c r="BH807" s="476">
        <v>59136</v>
      </c>
      <c r="BI807" s="467"/>
      <c r="BJ807" s="468"/>
    </row>
    <row r="808" spans="1:62">
      <c r="A808" s="469">
        <v>45992</v>
      </c>
      <c r="B808" s="469" t="s">
        <v>747</v>
      </c>
      <c r="C808" s="508"/>
      <c r="D808" s="470" t="s">
        <v>749</v>
      </c>
      <c r="E808" s="471">
        <v>1209</v>
      </c>
      <c r="F808" s="470" t="s">
        <v>868</v>
      </c>
      <c r="G808" s="470" t="s">
        <v>751</v>
      </c>
      <c r="H808" s="470" t="s">
        <v>12</v>
      </c>
      <c r="I808" s="470" t="s">
        <v>869</v>
      </c>
      <c r="J808" s="472" t="s">
        <v>870</v>
      </c>
      <c r="K808" s="470" t="s">
        <v>871</v>
      </c>
      <c r="L808" s="470" t="s">
        <v>873</v>
      </c>
      <c r="M808" s="470" t="s">
        <v>873</v>
      </c>
      <c r="N808" s="470" t="s">
        <v>833</v>
      </c>
      <c r="O808" s="472" t="s">
        <v>757</v>
      </c>
      <c r="P808" s="472" t="s">
        <v>738</v>
      </c>
      <c r="Q808" s="472" t="s">
        <v>758</v>
      </c>
      <c r="R808" s="472" t="s">
        <v>12</v>
      </c>
      <c r="S808" s="472" t="s">
        <v>12</v>
      </c>
      <c r="T808" s="472" t="s">
        <v>874</v>
      </c>
      <c r="U808" s="470" t="s">
        <v>875</v>
      </c>
      <c r="V808" s="470" t="s">
        <v>761</v>
      </c>
      <c r="W808" s="470" t="s">
        <v>876</v>
      </c>
      <c r="X808" s="470">
        <v>31</v>
      </c>
      <c r="Y808" s="470">
        <v>0</v>
      </c>
      <c r="Z808" s="470">
        <v>0</v>
      </c>
      <c r="AA808" s="470">
        <v>31</v>
      </c>
      <c r="AB808" s="470">
        <v>31</v>
      </c>
      <c r="AC808" s="473">
        <v>83333</v>
      </c>
      <c r="AD808" s="473">
        <v>83333</v>
      </c>
      <c r="AE808" s="473">
        <v>37500</v>
      </c>
      <c r="AF808" s="473">
        <v>15000</v>
      </c>
      <c r="AG808" s="473">
        <v>1600</v>
      </c>
      <c r="AH808" s="473">
        <v>200</v>
      </c>
      <c r="AI808" s="473">
        <v>1250</v>
      </c>
      <c r="AJ808" s="473">
        <v>3124</v>
      </c>
      <c r="AK808" s="473">
        <v>7500</v>
      </c>
      <c r="AL808" s="473">
        <v>5625</v>
      </c>
      <c r="AM808" s="473">
        <v>375</v>
      </c>
      <c r="AN808" s="473">
        <v>1313</v>
      </c>
      <c r="AO808" s="473">
        <v>750</v>
      </c>
      <c r="AP808" s="473">
        <v>188</v>
      </c>
      <c r="AQ808" s="473">
        <v>1800</v>
      </c>
      <c r="AR808" s="473">
        <v>7108</v>
      </c>
      <c r="AS808" s="473">
        <v>0</v>
      </c>
      <c r="AT808" s="473">
        <v>0</v>
      </c>
      <c r="AU808" s="473">
        <v>242</v>
      </c>
      <c r="AV808" s="473">
        <v>83575</v>
      </c>
      <c r="AW808" s="474">
        <v>83333</v>
      </c>
      <c r="AX808" s="473">
        <v>0</v>
      </c>
      <c r="AY808" s="473">
        <v>0</v>
      </c>
      <c r="AZ808" s="475">
        <v>0</v>
      </c>
      <c r="BA808" s="475">
        <v>200</v>
      </c>
      <c r="BB808" s="475">
        <v>1800</v>
      </c>
      <c r="BC808" s="475">
        <v>0</v>
      </c>
      <c r="BD808" s="475">
        <v>0</v>
      </c>
      <c r="BE808" s="475">
        <v>25</v>
      </c>
      <c r="BF808" s="475">
        <v>0</v>
      </c>
      <c r="BG808" s="475">
        <v>2025</v>
      </c>
      <c r="BH808" s="476">
        <v>81550</v>
      </c>
      <c r="BI808" s="467"/>
      <c r="BJ808" s="468"/>
    </row>
    <row r="809" spans="1:62">
      <c r="A809" s="469">
        <v>45992</v>
      </c>
      <c r="B809" s="469" t="s">
        <v>747</v>
      </c>
      <c r="C809" s="508"/>
      <c r="D809" s="470" t="s">
        <v>749</v>
      </c>
      <c r="E809" s="471">
        <v>1517</v>
      </c>
      <c r="F809" s="470" t="s">
        <v>877</v>
      </c>
      <c r="G809" s="470" t="s">
        <v>751</v>
      </c>
      <c r="H809" s="470" t="s">
        <v>12</v>
      </c>
      <c r="I809" s="470" t="s">
        <v>878</v>
      </c>
      <c r="J809" s="472" t="s">
        <v>879</v>
      </c>
      <c r="K809" s="470" t="s">
        <v>880</v>
      </c>
      <c r="L809" s="470" t="s">
        <v>881</v>
      </c>
      <c r="M809" s="470" t="s">
        <v>881</v>
      </c>
      <c r="N809" s="470" t="s">
        <v>833</v>
      </c>
      <c r="O809" s="472" t="s">
        <v>757</v>
      </c>
      <c r="P809" s="472" t="s">
        <v>738</v>
      </c>
      <c r="Q809" s="472" t="s">
        <v>758</v>
      </c>
      <c r="R809" s="472" t="s">
        <v>12</v>
      </c>
      <c r="S809" s="472" t="s">
        <v>12</v>
      </c>
      <c r="T809" s="472" t="s">
        <v>882</v>
      </c>
      <c r="U809" s="470" t="s">
        <v>883</v>
      </c>
      <c r="V809" s="470" t="s">
        <v>761</v>
      </c>
      <c r="W809" s="470" t="s">
        <v>859</v>
      </c>
      <c r="X809" s="470">
        <v>31</v>
      </c>
      <c r="Y809" s="470">
        <v>0</v>
      </c>
      <c r="Z809" s="470">
        <v>0.5</v>
      </c>
      <c r="AA809" s="470">
        <v>30.5</v>
      </c>
      <c r="AB809" s="470">
        <v>30.5</v>
      </c>
      <c r="AC809" s="473">
        <v>47190</v>
      </c>
      <c r="AD809" s="473">
        <v>47190</v>
      </c>
      <c r="AE809" s="473">
        <v>20893</v>
      </c>
      <c r="AF809" s="473">
        <v>8357</v>
      </c>
      <c r="AG809" s="473">
        <v>1574</v>
      </c>
      <c r="AH809" s="473">
        <v>197</v>
      </c>
      <c r="AI809" s="473">
        <v>1230</v>
      </c>
      <c r="AJ809" s="473">
        <v>1740</v>
      </c>
      <c r="AK809" s="473">
        <v>4179</v>
      </c>
      <c r="AL809" s="473">
        <v>3134</v>
      </c>
      <c r="AM809" s="473">
        <v>209</v>
      </c>
      <c r="AN809" s="473">
        <v>731</v>
      </c>
      <c r="AO809" s="473">
        <v>418</v>
      </c>
      <c r="AP809" s="473">
        <v>104</v>
      </c>
      <c r="AQ809" s="473">
        <v>1800</v>
      </c>
      <c r="AR809" s="473">
        <v>1863</v>
      </c>
      <c r="AS809" s="473">
        <v>0</v>
      </c>
      <c r="AT809" s="473">
        <v>0</v>
      </c>
      <c r="AU809" s="473">
        <v>800</v>
      </c>
      <c r="AV809" s="473">
        <v>47229</v>
      </c>
      <c r="AW809" s="474">
        <v>46429</v>
      </c>
      <c r="AX809" s="473">
        <v>0</v>
      </c>
      <c r="AY809" s="473">
        <v>0</v>
      </c>
      <c r="AZ809" s="475">
        <v>0</v>
      </c>
      <c r="BA809" s="475">
        <v>200</v>
      </c>
      <c r="BB809" s="475">
        <v>1800</v>
      </c>
      <c r="BC809" s="475">
        <v>0</v>
      </c>
      <c r="BD809" s="475">
        <v>0</v>
      </c>
      <c r="BE809" s="475">
        <v>25</v>
      </c>
      <c r="BF809" s="475">
        <v>0</v>
      </c>
      <c r="BG809" s="475">
        <v>2025</v>
      </c>
      <c r="BH809" s="476">
        <v>45204</v>
      </c>
      <c r="BI809" s="467"/>
      <c r="BJ809" s="468"/>
    </row>
    <row r="810" spans="1:62">
      <c r="A810" s="469">
        <v>45992</v>
      </c>
      <c r="B810" s="469" t="s">
        <v>747</v>
      </c>
      <c r="C810" s="508"/>
      <c r="D810" s="470" t="s">
        <v>749</v>
      </c>
      <c r="E810" s="471">
        <v>1202</v>
      </c>
      <c r="F810" s="470" t="s">
        <v>884</v>
      </c>
      <c r="G810" s="470" t="s">
        <v>751</v>
      </c>
      <c r="H810" s="470" t="s">
        <v>12</v>
      </c>
      <c r="I810" s="470" t="s">
        <v>885</v>
      </c>
      <c r="J810" s="472" t="s">
        <v>886</v>
      </c>
      <c r="K810" s="470" t="s">
        <v>887</v>
      </c>
      <c r="L810" s="470" t="s">
        <v>1346</v>
      </c>
      <c r="M810" s="470" t="s">
        <v>1346</v>
      </c>
      <c r="N810" s="470" t="s">
        <v>1275</v>
      </c>
      <c r="O810" s="472" t="s">
        <v>757</v>
      </c>
      <c r="P810" s="472" t="s">
        <v>738</v>
      </c>
      <c r="Q810" s="472" t="s">
        <v>758</v>
      </c>
      <c r="R810" s="472" t="s">
        <v>12</v>
      </c>
      <c r="S810" s="472" t="s">
        <v>12</v>
      </c>
      <c r="T810" s="472" t="s">
        <v>888</v>
      </c>
      <c r="U810" s="470" t="s">
        <v>889</v>
      </c>
      <c r="V810" s="470" t="s">
        <v>761</v>
      </c>
      <c r="W810" s="470" t="s">
        <v>762</v>
      </c>
      <c r="X810" s="470">
        <v>31</v>
      </c>
      <c r="Y810" s="470">
        <v>0</v>
      </c>
      <c r="Z810" s="470">
        <v>0</v>
      </c>
      <c r="AA810" s="470">
        <v>31</v>
      </c>
      <c r="AB810" s="470">
        <v>31</v>
      </c>
      <c r="AC810" s="473">
        <v>98333</v>
      </c>
      <c r="AD810" s="473">
        <v>98333</v>
      </c>
      <c r="AE810" s="473">
        <v>44250</v>
      </c>
      <c r="AF810" s="473">
        <v>17700</v>
      </c>
      <c r="AG810" s="473">
        <v>1600</v>
      </c>
      <c r="AH810" s="473">
        <v>200</v>
      </c>
      <c r="AI810" s="473">
        <v>1250</v>
      </c>
      <c r="AJ810" s="473">
        <v>3686</v>
      </c>
      <c r="AK810" s="473">
        <v>8850</v>
      </c>
      <c r="AL810" s="473">
        <v>6638</v>
      </c>
      <c r="AM810" s="473">
        <v>443</v>
      </c>
      <c r="AN810" s="473">
        <v>1549</v>
      </c>
      <c r="AO810" s="473">
        <v>885</v>
      </c>
      <c r="AP810" s="473">
        <v>221</v>
      </c>
      <c r="AQ810" s="473">
        <v>1800</v>
      </c>
      <c r="AR810" s="473">
        <v>9261</v>
      </c>
      <c r="AS810" s="473">
        <v>0</v>
      </c>
      <c r="AT810" s="473">
        <v>0</v>
      </c>
      <c r="AU810" s="473">
        <v>5141</v>
      </c>
      <c r="AV810" s="473">
        <v>103474</v>
      </c>
      <c r="AW810" s="474">
        <v>98333</v>
      </c>
      <c r="AX810" s="473">
        <v>0</v>
      </c>
      <c r="AY810" s="473">
        <v>0</v>
      </c>
      <c r="AZ810" s="475">
        <v>3143</v>
      </c>
      <c r="BA810" s="475">
        <v>200</v>
      </c>
      <c r="BB810" s="475">
        <v>1800</v>
      </c>
      <c r="BC810" s="475">
        <v>0</v>
      </c>
      <c r="BD810" s="475">
        <v>0</v>
      </c>
      <c r="BE810" s="475">
        <v>25</v>
      </c>
      <c r="BF810" s="475">
        <v>0</v>
      </c>
      <c r="BG810" s="475">
        <v>5168</v>
      </c>
      <c r="BH810" s="476">
        <v>98306</v>
      </c>
      <c r="BI810" s="467"/>
      <c r="BJ810" s="468"/>
    </row>
    <row r="811" spans="1:62">
      <c r="A811" s="469">
        <v>45992</v>
      </c>
      <c r="B811" s="469" t="s">
        <v>747</v>
      </c>
      <c r="C811" s="508"/>
      <c r="D811" s="470" t="s">
        <v>749</v>
      </c>
      <c r="E811" s="471">
        <v>2234</v>
      </c>
      <c r="F811" s="470" t="s">
        <v>1347</v>
      </c>
      <c r="G811" s="470" t="s">
        <v>751</v>
      </c>
      <c r="H811" s="470" t="s">
        <v>12</v>
      </c>
      <c r="I811" s="470" t="s">
        <v>1348</v>
      </c>
      <c r="J811" s="472" t="s">
        <v>1349</v>
      </c>
      <c r="K811" s="470" t="s">
        <v>1350</v>
      </c>
      <c r="L811" s="470" t="s">
        <v>1351</v>
      </c>
      <c r="M811" s="470" t="s">
        <v>1351</v>
      </c>
      <c r="N811" s="470" t="s">
        <v>833</v>
      </c>
      <c r="O811" s="472" t="s">
        <v>757</v>
      </c>
      <c r="P811" s="472" t="s">
        <v>738</v>
      </c>
      <c r="Q811" s="472" t="s">
        <v>758</v>
      </c>
      <c r="R811" s="472" t="s">
        <v>12</v>
      </c>
      <c r="S811" s="472" t="s">
        <v>12</v>
      </c>
      <c r="T811" s="472" t="s">
        <v>1352</v>
      </c>
      <c r="U811" s="470" t="s">
        <v>1353</v>
      </c>
      <c r="V811" s="470" t="s">
        <v>761</v>
      </c>
      <c r="W811" s="470" t="s">
        <v>1354</v>
      </c>
      <c r="X811" s="470">
        <v>31</v>
      </c>
      <c r="Y811" s="470">
        <v>0</v>
      </c>
      <c r="Z811" s="470">
        <v>0.5</v>
      </c>
      <c r="AA811" s="470">
        <v>30.5</v>
      </c>
      <c r="AB811" s="470">
        <v>30.5</v>
      </c>
      <c r="AC811" s="473">
        <v>52200</v>
      </c>
      <c r="AD811" s="473">
        <v>52200</v>
      </c>
      <c r="AE811" s="473">
        <v>23111</v>
      </c>
      <c r="AF811" s="473">
        <v>9244</v>
      </c>
      <c r="AG811" s="473">
        <v>1574</v>
      </c>
      <c r="AH811" s="473">
        <v>197</v>
      </c>
      <c r="AI811" s="473">
        <v>1230</v>
      </c>
      <c r="AJ811" s="473">
        <v>1925</v>
      </c>
      <c r="AK811" s="473">
        <v>4622</v>
      </c>
      <c r="AL811" s="473">
        <v>3467</v>
      </c>
      <c r="AM811" s="473">
        <v>231</v>
      </c>
      <c r="AN811" s="473">
        <v>809</v>
      </c>
      <c r="AO811" s="473">
        <v>462</v>
      </c>
      <c r="AP811" s="473">
        <v>116</v>
      </c>
      <c r="AQ811" s="473">
        <v>1800</v>
      </c>
      <c r="AR811" s="473">
        <v>2570</v>
      </c>
      <c r="AS811" s="473">
        <v>0</v>
      </c>
      <c r="AT811" s="473">
        <v>0</v>
      </c>
      <c r="AU811" s="473">
        <v>160</v>
      </c>
      <c r="AV811" s="473">
        <v>51518</v>
      </c>
      <c r="AW811" s="474">
        <v>51358</v>
      </c>
      <c r="AX811" s="473">
        <v>0</v>
      </c>
      <c r="AY811" s="473">
        <v>0</v>
      </c>
      <c r="AZ811" s="475">
        <v>0</v>
      </c>
      <c r="BA811" s="475">
        <v>200</v>
      </c>
      <c r="BB811" s="475">
        <v>1800</v>
      </c>
      <c r="BC811" s="475">
        <v>0</v>
      </c>
      <c r="BD811" s="475">
        <v>0</v>
      </c>
      <c r="BE811" s="475">
        <v>25</v>
      </c>
      <c r="BF811" s="475">
        <v>0</v>
      </c>
      <c r="BG811" s="475">
        <v>2025</v>
      </c>
      <c r="BH811" s="476">
        <v>49493</v>
      </c>
      <c r="BI811" s="467"/>
      <c r="BJ811" s="468"/>
    </row>
    <row r="812" spans="1:62">
      <c r="A812" s="469">
        <v>45992</v>
      </c>
      <c r="B812" s="469" t="s">
        <v>747</v>
      </c>
      <c r="C812" s="508"/>
      <c r="D812" s="470" t="s">
        <v>749</v>
      </c>
      <c r="E812" s="471">
        <v>2273</v>
      </c>
      <c r="F812" s="470" t="s">
        <v>1441</v>
      </c>
      <c r="G812" s="470" t="s">
        <v>751</v>
      </c>
      <c r="H812" s="470" t="s">
        <v>12</v>
      </c>
      <c r="I812" s="470" t="s">
        <v>1426</v>
      </c>
      <c r="J812" s="472" t="s">
        <v>1442</v>
      </c>
      <c r="K812" s="470" t="s">
        <v>1443</v>
      </c>
      <c r="L812" s="470" t="s">
        <v>824</v>
      </c>
      <c r="M812" s="470" t="s">
        <v>824</v>
      </c>
      <c r="N812" s="470" t="s">
        <v>1275</v>
      </c>
      <c r="O812" s="472" t="s">
        <v>1276</v>
      </c>
      <c r="P812" s="472" t="s">
        <v>738</v>
      </c>
      <c r="Q812" s="472" t="s">
        <v>758</v>
      </c>
      <c r="R812" s="472" t="s">
        <v>12</v>
      </c>
      <c r="S812" s="472" t="s">
        <v>12</v>
      </c>
      <c r="T812" s="472" t="s">
        <v>1444</v>
      </c>
      <c r="U812" s="470" t="s">
        <v>1445</v>
      </c>
      <c r="V812" s="470" t="s">
        <v>761</v>
      </c>
      <c r="W812" s="470" t="s">
        <v>1361</v>
      </c>
      <c r="X812" s="470">
        <v>31</v>
      </c>
      <c r="Y812" s="470">
        <v>0</v>
      </c>
      <c r="Z812" s="470">
        <v>0</v>
      </c>
      <c r="AA812" s="470">
        <v>31</v>
      </c>
      <c r="AB812" s="470">
        <v>31</v>
      </c>
      <c r="AC812" s="473">
        <v>44033</v>
      </c>
      <c r="AD812" s="473">
        <v>44033</v>
      </c>
      <c r="AE812" s="473">
        <v>19815</v>
      </c>
      <c r="AF812" s="473">
        <v>7926</v>
      </c>
      <c r="AG812" s="473">
        <v>1600</v>
      </c>
      <c r="AH812" s="473">
        <v>200</v>
      </c>
      <c r="AI812" s="473">
        <v>1250</v>
      </c>
      <c r="AJ812" s="473">
        <v>1651</v>
      </c>
      <c r="AK812" s="473">
        <v>3963</v>
      </c>
      <c r="AL812" s="473">
        <v>2972</v>
      </c>
      <c r="AM812" s="473">
        <v>198</v>
      </c>
      <c r="AN812" s="473">
        <v>694</v>
      </c>
      <c r="AO812" s="473">
        <v>396</v>
      </c>
      <c r="AP812" s="473">
        <v>99</v>
      </c>
      <c r="AQ812" s="473">
        <v>1800</v>
      </c>
      <c r="AR812" s="473">
        <v>1469</v>
      </c>
      <c r="AS812" s="473">
        <v>0</v>
      </c>
      <c r="AT812" s="473">
        <v>0</v>
      </c>
      <c r="AU812" s="473">
        <v>0</v>
      </c>
      <c r="AV812" s="473">
        <v>44033</v>
      </c>
      <c r="AW812" s="474">
        <v>44033</v>
      </c>
      <c r="AX812" s="473">
        <v>0</v>
      </c>
      <c r="AY812" s="473">
        <v>0</v>
      </c>
      <c r="AZ812" s="475">
        <v>0</v>
      </c>
      <c r="BA812" s="475">
        <v>200</v>
      </c>
      <c r="BB812" s="475">
        <v>1800</v>
      </c>
      <c r="BC812" s="475">
        <v>0</v>
      </c>
      <c r="BD812" s="475">
        <v>0</v>
      </c>
      <c r="BE812" s="475">
        <v>25</v>
      </c>
      <c r="BF812" s="475">
        <v>0</v>
      </c>
      <c r="BG812" s="475">
        <v>2025</v>
      </c>
      <c r="BH812" s="476">
        <v>42008</v>
      </c>
      <c r="BI812" s="467"/>
      <c r="BJ812" s="468"/>
    </row>
    <row r="813" spans="1:62">
      <c r="A813" s="469">
        <v>45992</v>
      </c>
      <c r="B813" s="469" t="s">
        <v>747</v>
      </c>
      <c r="C813" s="508"/>
      <c r="D813" s="470" t="s">
        <v>749</v>
      </c>
      <c r="E813" s="471">
        <v>748</v>
      </c>
      <c r="F813" s="470" t="s">
        <v>899</v>
      </c>
      <c r="G813" s="470" t="s">
        <v>751</v>
      </c>
      <c r="H813" s="470" t="s">
        <v>12</v>
      </c>
      <c r="I813" s="470" t="s">
        <v>900</v>
      </c>
      <c r="J813" s="472" t="s">
        <v>901</v>
      </c>
      <c r="K813" s="470" t="s">
        <v>902</v>
      </c>
      <c r="L813" s="470" t="s">
        <v>1283</v>
      </c>
      <c r="M813" s="470" t="s">
        <v>1284</v>
      </c>
      <c r="N813" s="470" t="s">
        <v>904</v>
      </c>
      <c r="O813" s="472" t="s">
        <v>757</v>
      </c>
      <c r="P813" s="472" t="s">
        <v>738</v>
      </c>
      <c r="Q813" s="472" t="s">
        <v>758</v>
      </c>
      <c r="R813" s="472" t="s">
        <v>12</v>
      </c>
      <c r="S813" s="472" t="s">
        <v>12</v>
      </c>
      <c r="T813" s="472" t="s">
        <v>905</v>
      </c>
      <c r="U813" s="470" t="s">
        <v>906</v>
      </c>
      <c r="V813" s="470" t="s">
        <v>761</v>
      </c>
      <c r="W813" s="470" t="s">
        <v>907</v>
      </c>
      <c r="X813" s="470">
        <v>31</v>
      </c>
      <c r="Y813" s="470">
        <v>0</v>
      </c>
      <c r="Z813" s="470">
        <v>0</v>
      </c>
      <c r="AA813" s="470">
        <v>31</v>
      </c>
      <c r="AB813" s="470">
        <v>31</v>
      </c>
      <c r="AC813" s="473">
        <v>62333</v>
      </c>
      <c r="AD813" s="473">
        <v>62333</v>
      </c>
      <c r="AE813" s="473">
        <v>28050</v>
      </c>
      <c r="AF813" s="473">
        <v>11220</v>
      </c>
      <c r="AG813" s="473">
        <v>1600</v>
      </c>
      <c r="AH813" s="473">
        <v>200</v>
      </c>
      <c r="AI813" s="473">
        <v>1250</v>
      </c>
      <c r="AJ813" s="473">
        <v>2337</v>
      </c>
      <c r="AK813" s="473">
        <v>5610</v>
      </c>
      <c r="AL813" s="473">
        <v>4208</v>
      </c>
      <c r="AM813" s="473">
        <v>281</v>
      </c>
      <c r="AN813" s="473">
        <v>982</v>
      </c>
      <c r="AO813" s="473">
        <v>561</v>
      </c>
      <c r="AP813" s="473">
        <v>140</v>
      </c>
      <c r="AQ813" s="473">
        <v>1800</v>
      </c>
      <c r="AR813" s="473">
        <v>4094</v>
      </c>
      <c r="AS813" s="473">
        <v>0</v>
      </c>
      <c r="AT813" s="473">
        <v>0</v>
      </c>
      <c r="AU813" s="473">
        <v>3917</v>
      </c>
      <c r="AV813" s="473">
        <v>66250</v>
      </c>
      <c r="AW813" s="474">
        <v>62333</v>
      </c>
      <c r="AX813" s="473">
        <v>0</v>
      </c>
      <c r="AY813" s="473">
        <v>0</v>
      </c>
      <c r="AZ813" s="475">
        <v>0</v>
      </c>
      <c r="BA813" s="475">
        <v>200</v>
      </c>
      <c r="BB813" s="475">
        <v>1800</v>
      </c>
      <c r="BC813" s="475">
        <v>0</v>
      </c>
      <c r="BD813" s="475">
        <v>0</v>
      </c>
      <c r="BE813" s="475">
        <v>25</v>
      </c>
      <c r="BF813" s="475">
        <v>15000</v>
      </c>
      <c r="BG813" s="475">
        <v>17025</v>
      </c>
      <c r="BH813" s="476">
        <v>49225</v>
      </c>
      <c r="BI813" s="467"/>
      <c r="BJ813" s="468"/>
    </row>
    <row r="814" spans="1:62">
      <c r="A814" s="469">
        <v>45992</v>
      </c>
      <c r="B814" s="469" t="s">
        <v>747</v>
      </c>
      <c r="C814" s="508"/>
      <c r="D814" s="470" t="s">
        <v>749</v>
      </c>
      <c r="E814" s="471">
        <v>2214</v>
      </c>
      <c r="F814" s="470" t="s">
        <v>1355</v>
      </c>
      <c r="G814" s="470" t="s">
        <v>751</v>
      </c>
      <c r="H814" s="470" t="s">
        <v>12</v>
      </c>
      <c r="I814" s="470" t="s">
        <v>1340</v>
      </c>
      <c r="J814" s="472" t="s">
        <v>1356</v>
      </c>
      <c r="K814" s="470" t="s">
        <v>1357</v>
      </c>
      <c r="L814" s="470" t="s">
        <v>1358</v>
      </c>
      <c r="M814" s="470" t="s">
        <v>1358</v>
      </c>
      <c r="N814" s="470" t="s">
        <v>1108</v>
      </c>
      <c r="O814" s="472" t="s">
        <v>757</v>
      </c>
      <c r="P814" s="472" t="s">
        <v>738</v>
      </c>
      <c r="Q814" s="472" t="s">
        <v>758</v>
      </c>
      <c r="R814" s="472" t="s">
        <v>12</v>
      </c>
      <c r="S814" s="472" t="s">
        <v>12</v>
      </c>
      <c r="T814" s="472" t="s">
        <v>1359</v>
      </c>
      <c r="U814" s="470" t="s">
        <v>1360</v>
      </c>
      <c r="V814" s="470" t="s">
        <v>761</v>
      </c>
      <c r="W814" s="470" t="s">
        <v>1361</v>
      </c>
      <c r="X814" s="470">
        <v>31</v>
      </c>
      <c r="Y814" s="470">
        <v>0</v>
      </c>
      <c r="Z814" s="470">
        <v>1</v>
      </c>
      <c r="AA814" s="470">
        <v>30</v>
      </c>
      <c r="AB814" s="470">
        <v>30</v>
      </c>
      <c r="AC814" s="473">
        <v>54867</v>
      </c>
      <c r="AD814" s="473">
        <v>54867</v>
      </c>
      <c r="AE814" s="473">
        <v>23894</v>
      </c>
      <c r="AF814" s="473">
        <v>9558</v>
      </c>
      <c r="AG814" s="473">
        <v>1548</v>
      </c>
      <c r="AH814" s="473">
        <v>194</v>
      </c>
      <c r="AI814" s="473">
        <v>1210</v>
      </c>
      <c r="AJ814" s="473">
        <v>1990</v>
      </c>
      <c r="AK814" s="473">
        <v>4779</v>
      </c>
      <c r="AL814" s="473">
        <v>3584</v>
      </c>
      <c r="AM814" s="473">
        <v>239</v>
      </c>
      <c r="AN814" s="473">
        <v>836</v>
      </c>
      <c r="AO814" s="473">
        <v>478</v>
      </c>
      <c r="AP814" s="473">
        <v>119</v>
      </c>
      <c r="AQ814" s="473">
        <v>1800</v>
      </c>
      <c r="AR814" s="473">
        <v>2868</v>
      </c>
      <c r="AS814" s="473">
        <v>0</v>
      </c>
      <c r="AT814" s="473">
        <v>0</v>
      </c>
      <c r="AU814" s="473">
        <v>0</v>
      </c>
      <c r="AV814" s="473">
        <v>53097</v>
      </c>
      <c r="AW814" s="474">
        <v>53097</v>
      </c>
      <c r="AX814" s="473">
        <v>0</v>
      </c>
      <c r="AY814" s="473">
        <v>0</v>
      </c>
      <c r="AZ814" s="475">
        <v>0</v>
      </c>
      <c r="BA814" s="475">
        <v>200</v>
      </c>
      <c r="BB814" s="475">
        <v>1800</v>
      </c>
      <c r="BC814" s="475">
        <v>0</v>
      </c>
      <c r="BD814" s="475">
        <v>0</v>
      </c>
      <c r="BE814" s="475">
        <v>25</v>
      </c>
      <c r="BF814" s="475">
        <v>0</v>
      </c>
      <c r="BG814" s="475">
        <v>2025</v>
      </c>
      <c r="BH814" s="476">
        <v>51072</v>
      </c>
      <c r="BI814" s="467"/>
      <c r="BJ814" s="468"/>
    </row>
    <row r="815" spans="1:62">
      <c r="A815" s="469">
        <v>45992</v>
      </c>
      <c r="B815" s="469" t="s">
        <v>747</v>
      </c>
      <c r="C815" s="508"/>
      <c r="D815" s="470" t="s">
        <v>749</v>
      </c>
      <c r="E815" s="471">
        <v>2239</v>
      </c>
      <c r="F815" s="470" t="s">
        <v>1402</v>
      </c>
      <c r="G815" s="470" t="s">
        <v>812</v>
      </c>
      <c r="H815" s="470" t="s">
        <v>12</v>
      </c>
      <c r="I815" s="470" t="s">
        <v>1389</v>
      </c>
      <c r="J815" s="472" t="s">
        <v>1403</v>
      </c>
      <c r="K815" s="470" t="s">
        <v>1404</v>
      </c>
      <c r="L815" s="470" t="s">
        <v>872</v>
      </c>
      <c r="M815" s="470" t="s">
        <v>872</v>
      </c>
      <c r="N815" s="470" t="s">
        <v>833</v>
      </c>
      <c r="O815" s="472" t="s">
        <v>757</v>
      </c>
      <c r="P815" s="472" t="s">
        <v>738</v>
      </c>
      <c r="Q815" s="472" t="s">
        <v>758</v>
      </c>
      <c r="R815" s="472" t="s">
        <v>12</v>
      </c>
      <c r="S815" s="472" t="s">
        <v>12</v>
      </c>
      <c r="T815" s="472" t="s">
        <v>1405</v>
      </c>
      <c r="U815" s="470" t="s">
        <v>1406</v>
      </c>
      <c r="V815" s="470" t="s">
        <v>761</v>
      </c>
      <c r="W815" s="470" t="s">
        <v>859</v>
      </c>
      <c r="X815" s="470">
        <v>31</v>
      </c>
      <c r="Y815" s="470">
        <v>0</v>
      </c>
      <c r="Z815" s="470">
        <v>0</v>
      </c>
      <c r="AA815" s="470">
        <v>31</v>
      </c>
      <c r="AB815" s="470">
        <v>31</v>
      </c>
      <c r="AC815" s="473">
        <v>88067</v>
      </c>
      <c r="AD815" s="473">
        <v>88067</v>
      </c>
      <c r="AE815" s="473">
        <v>39630</v>
      </c>
      <c r="AF815" s="473">
        <v>15852</v>
      </c>
      <c r="AG815" s="473">
        <v>1600</v>
      </c>
      <c r="AH815" s="473">
        <v>200</v>
      </c>
      <c r="AI815" s="473">
        <v>1250</v>
      </c>
      <c r="AJ815" s="473">
        <v>3301</v>
      </c>
      <c r="AK815" s="473">
        <v>7926</v>
      </c>
      <c r="AL815" s="473">
        <v>5945</v>
      </c>
      <c r="AM815" s="473">
        <v>396</v>
      </c>
      <c r="AN815" s="473">
        <v>1387</v>
      </c>
      <c r="AO815" s="473">
        <v>793</v>
      </c>
      <c r="AP815" s="473">
        <v>198</v>
      </c>
      <c r="AQ815" s="473">
        <v>1800</v>
      </c>
      <c r="AR815" s="473">
        <v>7789</v>
      </c>
      <c r="AS815" s="473">
        <v>0</v>
      </c>
      <c r="AT815" s="473">
        <v>0</v>
      </c>
      <c r="AU815" s="473">
        <v>0</v>
      </c>
      <c r="AV815" s="473">
        <v>88067</v>
      </c>
      <c r="AW815" s="474">
        <v>88067</v>
      </c>
      <c r="AX815" s="473">
        <v>0</v>
      </c>
      <c r="AY815" s="473">
        <v>0</v>
      </c>
      <c r="AZ815" s="475">
        <v>0</v>
      </c>
      <c r="BA815" s="475">
        <v>200</v>
      </c>
      <c r="BB815" s="475">
        <v>1800</v>
      </c>
      <c r="BC815" s="475">
        <v>0</v>
      </c>
      <c r="BD815" s="475">
        <v>0</v>
      </c>
      <c r="BE815" s="475">
        <v>25</v>
      </c>
      <c r="BF815" s="475">
        <v>0</v>
      </c>
      <c r="BG815" s="475">
        <v>2025</v>
      </c>
      <c r="BH815" s="476">
        <v>86042</v>
      </c>
      <c r="BI815" s="467"/>
      <c r="BJ815" s="468"/>
    </row>
    <row r="816" spans="1:62">
      <c r="A816" s="469">
        <v>45992</v>
      </c>
      <c r="B816" s="469" t="s">
        <v>747</v>
      </c>
      <c r="C816" s="508"/>
      <c r="D816" s="470" t="s">
        <v>749</v>
      </c>
      <c r="E816" s="471">
        <v>2152</v>
      </c>
      <c r="F816" s="470" t="s">
        <v>1285</v>
      </c>
      <c r="G816" s="470" t="s">
        <v>751</v>
      </c>
      <c r="H816" s="470" t="s">
        <v>12</v>
      </c>
      <c r="I816" s="470" t="s">
        <v>1286</v>
      </c>
      <c r="J816" s="472" t="s">
        <v>1287</v>
      </c>
      <c r="K816" s="470" t="s">
        <v>1288</v>
      </c>
      <c r="L816" s="470" t="s">
        <v>1165</v>
      </c>
      <c r="M816" s="470" t="s">
        <v>1165</v>
      </c>
      <c r="N816" s="470" t="s">
        <v>756</v>
      </c>
      <c r="O816" s="472" t="s">
        <v>757</v>
      </c>
      <c r="P816" s="472" t="s">
        <v>738</v>
      </c>
      <c r="Q816" s="472" t="s">
        <v>758</v>
      </c>
      <c r="R816" s="472" t="s">
        <v>12</v>
      </c>
      <c r="S816" s="472" t="s">
        <v>12</v>
      </c>
      <c r="T816" s="472" t="s">
        <v>1289</v>
      </c>
      <c r="U816" s="470" t="s">
        <v>1290</v>
      </c>
      <c r="V816" s="470" t="s">
        <v>761</v>
      </c>
      <c r="W816" s="470" t="s">
        <v>898</v>
      </c>
      <c r="X816" s="470">
        <v>31</v>
      </c>
      <c r="Y816" s="470">
        <v>0</v>
      </c>
      <c r="Z816" s="470">
        <v>0</v>
      </c>
      <c r="AA816" s="470">
        <v>31</v>
      </c>
      <c r="AB816" s="470">
        <v>31</v>
      </c>
      <c r="AC816" s="473">
        <v>32760</v>
      </c>
      <c r="AD816" s="473">
        <v>32760</v>
      </c>
      <c r="AE816" s="473">
        <v>14742</v>
      </c>
      <c r="AF816" s="473">
        <v>5897</v>
      </c>
      <c r="AG816" s="473">
        <v>1600</v>
      </c>
      <c r="AH816" s="473">
        <v>200</v>
      </c>
      <c r="AI816" s="473">
        <v>1250</v>
      </c>
      <c r="AJ816" s="473">
        <v>0</v>
      </c>
      <c r="AK816" s="473">
        <v>0</v>
      </c>
      <c r="AL816" s="473">
        <v>0</v>
      </c>
      <c r="AM816" s="473">
        <v>0</v>
      </c>
      <c r="AN816" s="473">
        <v>0</v>
      </c>
      <c r="AO816" s="473">
        <v>0</v>
      </c>
      <c r="AP816" s="473">
        <v>0</v>
      </c>
      <c r="AQ816" s="473">
        <v>1769</v>
      </c>
      <c r="AR816" s="473">
        <v>7302</v>
      </c>
      <c r="AS816" s="473">
        <v>0</v>
      </c>
      <c r="AT816" s="473">
        <v>0</v>
      </c>
      <c r="AU816" s="473">
        <v>399</v>
      </c>
      <c r="AV816" s="473">
        <v>33159</v>
      </c>
      <c r="AW816" s="474">
        <v>32760</v>
      </c>
      <c r="AX816" s="473">
        <v>0</v>
      </c>
      <c r="AY816" s="473">
        <v>0</v>
      </c>
      <c r="AZ816" s="475">
        <v>0</v>
      </c>
      <c r="BA816" s="475">
        <v>200</v>
      </c>
      <c r="BB816" s="475">
        <v>1769</v>
      </c>
      <c r="BC816" s="475">
        <v>0</v>
      </c>
      <c r="BD816" s="475">
        <v>0</v>
      </c>
      <c r="BE816" s="475">
        <v>25</v>
      </c>
      <c r="BF816" s="475">
        <v>0</v>
      </c>
      <c r="BG816" s="475">
        <v>1994</v>
      </c>
      <c r="BH816" s="476">
        <v>31165</v>
      </c>
      <c r="BI816" s="467"/>
      <c r="BJ816" s="468"/>
    </row>
    <row r="817" spans="1:62">
      <c r="A817" s="469">
        <v>45992</v>
      </c>
      <c r="B817" s="469" t="s">
        <v>747</v>
      </c>
      <c r="C817" s="508"/>
      <c r="D817" s="470" t="s">
        <v>749</v>
      </c>
      <c r="E817" s="471">
        <v>2281</v>
      </c>
      <c r="F817" s="470" t="s">
        <v>1446</v>
      </c>
      <c r="G817" s="470" t="s">
        <v>812</v>
      </c>
      <c r="H817" s="470" t="s">
        <v>12</v>
      </c>
      <c r="I817" s="470" t="s">
        <v>1447</v>
      </c>
      <c r="J817" s="472" t="s">
        <v>1448</v>
      </c>
      <c r="K817" s="470" t="s">
        <v>1449</v>
      </c>
      <c r="L817" s="470" t="s">
        <v>1345</v>
      </c>
      <c r="M817" s="470" t="s">
        <v>1345</v>
      </c>
      <c r="N817" s="470" t="s">
        <v>1275</v>
      </c>
      <c r="O817" s="472" t="s">
        <v>757</v>
      </c>
      <c r="P817" s="472" t="s">
        <v>738</v>
      </c>
      <c r="Q817" s="472" t="s">
        <v>758</v>
      </c>
      <c r="R817" s="472" t="s">
        <v>12</v>
      </c>
      <c r="S817" s="472" t="s">
        <v>12</v>
      </c>
      <c r="T817" s="472" t="s">
        <v>1450</v>
      </c>
      <c r="U817" s="470" t="s">
        <v>1451</v>
      </c>
      <c r="V817" s="470" t="s">
        <v>761</v>
      </c>
      <c r="W817" s="470" t="s">
        <v>1452</v>
      </c>
      <c r="X817" s="470">
        <v>31</v>
      </c>
      <c r="Y817" s="470">
        <v>0</v>
      </c>
      <c r="Z817" s="470">
        <v>0.5</v>
      </c>
      <c r="AA817" s="470">
        <v>30.5</v>
      </c>
      <c r="AB817" s="470">
        <v>30.5</v>
      </c>
      <c r="AC817" s="473">
        <v>81533</v>
      </c>
      <c r="AD817" s="473">
        <v>81533</v>
      </c>
      <c r="AE817" s="473">
        <v>36098</v>
      </c>
      <c r="AF817" s="473">
        <v>14439</v>
      </c>
      <c r="AG817" s="473">
        <v>1574</v>
      </c>
      <c r="AH817" s="473">
        <v>197</v>
      </c>
      <c r="AI817" s="473">
        <v>1230</v>
      </c>
      <c r="AJ817" s="473">
        <v>3007</v>
      </c>
      <c r="AK817" s="473">
        <v>7220</v>
      </c>
      <c r="AL817" s="473">
        <v>5415</v>
      </c>
      <c r="AM817" s="473">
        <v>361</v>
      </c>
      <c r="AN817" s="473">
        <v>1263</v>
      </c>
      <c r="AO817" s="473">
        <v>722</v>
      </c>
      <c r="AP817" s="473">
        <v>180</v>
      </c>
      <c r="AQ817" s="473">
        <v>1800</v>
      </c>
      <c r="AR817" s="473">
        <v>6712</v>
      </c>
      <c r="AS817" s="473">
        <v>0</v>
      </c>
      <c r="AT817" s="473">
        <v>0</v>
      </c>
      <c r="AU817" s="473">
        <v>951</v>
      </c>
      <c r="AV817" s="473">
        <v>81169</v>
      </c>
      <c r="AW817" s="474">
        <v>80218</v>
      </c>
      <c r="AX817" s="473">
        <v>0</v>
      </c>
      <c r="AY817" s="473">
        <v>0</v>
      </c>
      <c r="AZ817" s="475">
        <v>0</v>
      </c>
      <c r="BA817" s="475">
        <v>200</v>
      </c>
      <c r="BB817" s="475">
        <v>1800</v>
      </c>
      <c r="BC817" s="475">
        <v>0</v>
      </c>
      <c r="BD817" s="475">
        <v>0</v>
      </c>
      <c r="BE817" s="475">
        <v>25</v>
      </c>
      <c r="BF817" s="475">
        <v>0</v>
      </c>
      <c r="BG817" s="475">
        <v>2025</v>
      </c>
      <c r="BH817" s="476">
        <v>79144</v>
      </c>
      <c r="BI817" s="467"/>
      <c r="BJ817" s="468"/>
    </row>
    <row r="818" spans="1:62">
      <c r="A818" s="469">
        <v>45992</v>
      </c>
      <c r="B818" s="469" t="s">
        <v>747</v>
      </c>
      <c r="C818" s="508"/>
      <c r="D818" s="470" t="s">
        <v>749</v>
      </c>
      <c r="E818" s="471">
        <v>1875</v>
      </c>
      <c r="F818" s="470" t="s">
        <v>908</v>
      </c>
      <c r="G818" s="470" t="s">
        <v>751</v>
      </c>
      <c r="H818" s="470" t="s">
        <v>12</v>
      </c>
      <c r="I818" s="470" t="s">
        <v>909</v>
      </c>
      <c r="J818" s="472" t="s">
        <v>910</v>
      </c>
      <c r="K818" s="470" t="s">
        <v>911</v>
      </c>
      <c r="L818" s="470" t="s">
        <v>1338</v>
      </c>
      <c r="M818" s="470" t="s">
        <v>776</v>
      </c>
      <c r="N818" s="470" t="s">
        <v>1275</v>
      </c>
      <c r="O818" s="472" t="s">
        <v>757</v>
      </c>
      <c r="P818" s="472" t="s">
        <v>738</v>
      </c>
      <c r="Q818" s="472" t="s">
        <v>758</v>
      </c>
      <c r="R818" s="472" t="s">
        <v>12</v>
      </c>
      <c r="S818" s="472" t="s">
        <v>12</v>
      </c>
      <c r="T818" s="472" t="s">
        <v>912</v>
      </c>
      <c r="U818" s="470" t="s">
        <v>913</v>
      </c>
      <c r="V818" s="470" t="s">
        <v>761</v>
      </c>
      <c r="W818" s="470" t="s">
        <v>859</v>
      </c>
      <c r="X818" s="470">
        <v>31</v>
      </c>
      <c r="Y818" s="470">
        <v>0</v>
      </c>
      <c r="Z818" s="470">
        <v>0</v>
      </c>
      <c r="AA818" s="470">
        <v>31</v>
      </c>
      <c r="AB818" s="470">
        <v>31</v>
      </c>
      <c r="AC818" s="473">
        <v>65840</v>
      </c>
      <c r="AD818" s="473">
        <v>65840</v>
      </c>
      <c r="AE818" s="473">
        <v>29628</v>
      </c>
      <c r="AF818" s="473">
        <v>11851</v>
      </c>
      <c r="AG818" s="473">
        <v>1600</v>
      </c>
      <c r="AH818" s="473">
        <v>200</v>
      </c>
      <c r="AI818" s="473">
        <v>1250</v>
      </c>
      <c r="AJ818" s="473">
        <v>2468</v>
      </c>
      <c r="AK818" s="473">
        <v>5926</v>
      </c>
      <c r="AL818" s="473">
        <v>4444</v>
      </c>
      <c r="AM818" s="473">
        <v>296</v>
      </c>
      <c r="AN818" s="473">
        <v>1037</v>
      </c>
      <c r="AO818" s="473">
        <v>593</v>
      </c>
      <c r="AP818" s="473">
        <v>148</v>
      </c>
      <c r="AQ818" s="473">
        <v>1800</v>
      </c>
      <c r="AR818" s="473">
        <v>4599</v>
      </c>
      <c r="AS818" s="473">
        <v>0</v>
      </c>
      <c r="AT818" s="473">
        <v>0</v>
      </c>
      <c r="AU818" s="473">
        <v>3848</v>
      </c>
      <c r="AV818" s="473">
        <v>69688</v>
      </c>
      <c r="AW818" s="474">
        <v>65840</v>
      </c>
      <c r="AX818" s="473">
        <v>0</v>
      </c>
      <c r="AY818" s="473">
        <v>0</v>
      </c>
      <c r="AZ818" s="475">
        <v>0</v>
      </c>
      <c r="BA818" s="475">
        <v>200</v>
      </c>
      <c r="BB818" s="475">
        <v>1800</v>
      </c>
      <c r="BC818" s="475">
        <v>0</v>
      </c>
      <c r="BD818" s="475">
        <v>0</v>
      </c>
      <c r="BE818" s="475">
        <v>25</v>
      </c>
      <c r="BF818" s="475">
        <v>0</v>
      </c>
      <c r="BG818" s="475">
        <v>2025</v>
      </c>
      <c r="BH818" s="476">
        <v>67663</v>
      </c>
      <c r="BI818" s="467"/>
      <c r="BJ818" s="468"/>
    </row>
    <row r="819" spans="1:62">
      <c r="A819" s="469">
        <v>45992</v>
      </c>
      <c r="B819" s="469" t="s">
        <v>747</v>
      </c>
      <c r="C819" s="508"/>
      <c r="D819" s="470" t="s">
        <v>749</v>
      </c>
      <c r="E819" s="471">
        <v>1135</v>
      </c>
      <c r="F819" s="470" t="s">
        <v>914</v>
      </c>
      <c r="G819" s="470" t="s">
        <v>751</v>
      </c>
      <c r="H819" s="470" t="s">
        <v>12</v>
      </c>
      <c r="I819" s="470" t="s">
        <v>915</v>
      </c>
      <c r="J819" s="472" t="s">
        <v>916</v>
      </c>
      <c r="K819" s="470" t="s">
        <v>917</v>
      </c>
      <c r="L819" s="470" t="s">
        <v>942</v>
      </c>
      <c r="M819" s="470" t="s">
        <v>942</v>
      </c>
      <c r="N819" s="470" t="s">
        <v>1275</v>
      </c>
      <c r="O819" s="472" t="s">
        <v>792</v>
      </c>
      <c r="P819" s="472" t="s">
        <v>738</v>
      </c>
      <c r="Q819" s="472" t="s">
        <v>758</v>
      </c>
      <c r="R819" s="472" t="s">
        <v>12</v>
      </c>
      <c r="S819" s="472" t="s">
        <v>12</v>
      </c>
      <c r="T819" s="472" t="s">
        <v>919</v>
      </c>
      <c r="U819" s="470" t="s">
        <v>920</v>
      </c>
      <c r="V819" s="470" t="s">
        <v>761</v>
      </c>
      <c r="W819" s="470" t="s">
        <v>921</v>
      </c>
      <c r="X819" s="470">
        <v>31</v>
      </c>
      <c r="Y819" s="470">
        <v>0</v>
      </c>
      <c r="Z819" s="470">
        <v>0</v>
      </c>
      <c r="AA819" s="470">
        <v>31</v>
      </c>
      <c r="AB819" s="470">
        <v>31</v>
      </c>
      <c r="AC819" s="473">
        <v>169400</v>
      </c>
      <c r="AD819" s="473">
        <v>169400</v>
      </c>
      <c r="AE819" s="473">
        <v>76230</v>
      </c>
      <c r="AF819" s="473">
        <v>30492</v>
      </c>
      <c r="AG819" s="473">
        <v>1600</v>
      </c>
      <c r="AH819" s="473">
        <v>200</v>
      </c>
      <c r="AI819" s="473">
        <v>1250</v>
      </c>
      <c r="AJ819" s="473">
        <v>6350</v>
      </c>
      <c r="AK819" s="473">
        <v>15246</v>
      </c>
      <c r="AL819" s="473">
        <v>11435</v>
      </c>
      <c r="AM819" s="473">
        <v>762</v>
      </c>
      <c r="AN819" s="473">
        <v>2668</v>
      </c>
      <c r="AO819" s="473">
        <v>1525</v>
      </c>
      <c r="AP819" s="473">
        <v>381</v>
      </c>
      <c r="AQ819" s="473">
        <v>1800</v>
      </c>
      <c r="AR819" s="473">
        <v>19461</v>
      </c>
      <c r="AS819" s="473">
        <v>0</v>
      </c>
      <c r="AT819" s="473">
        <v>0</v>
      </c>
      <c r="AU819" s="473">
        <v>12383</v>
      </c>
      <c r="AV819" s="473">
        <v>181783</v>
      </c>
      <c r="AW819" s="474">
        <v>169400</v>
      </c>
      <c r="AX819" s="473">
        <v>0</v>
      </c>
      <c r="AY819" s="473">
        <v>0</v>
      </c>
      <c r="AZ819" s="475">
        <v>25145</v>
      </c>
      <c r="BA819" s="475">
        <v>200</v>
      </c>
      <c r="BB819" s="475">
        <v>1800</v>
      </c>
      <c r="BC819" s="475">
        <v>0</v>
      </c>
      <c r="BD819" s="475">
        <v>0</v>
      </c>
      <c r="BE819" s="475">
        <v>25</v>
      </c>
      <c r="BF819" s="475">
        <v>0</v>
      </c>
      <c r="BG819" s="475">
        <v>27170</v>
      </c>
      <c r="BH819" s="476">
        <v>154613</v>
      </c>
      <c r="BI819" s="467"/>
      <c r="BJ819" s="468"/>
    </row>
    <row r="820" spans="1:62">
      <c r="A820" s="469">
        <v>45992</v>
      </c>
      <c r="B820" s="469" t="s">
        <v>747</v>
      </c>
      <c r="C820" s="508"/>
      <c r="D820" s="470" t="s">
        <v>749</v>
      </c>
      <c r="E820" s="471">
        <v>1997</v>
      </c>
      <c r="F820" s="470" t="s">
        <v>922</v>
      </c>
      <c r="G820" s="470" t="s">
        <v>751</v>
      </c>
      <c r="H820" s="470" t="s">
        <v>12</v>
      </c>
      <c r="I820" s="470" t="s">
        <v>923</v>
      </c>
      <c r="J820" s="472" t="s">
        <v>924</v>
      </c>
      <c r="K820" s="470" t="s">
        <v>925</v>
      </c>
      <c r="L820" s="470" t="s">
        <v>926</v>
      </c>
      <c r="M820" s="470" t="s">
        <v>927</v>
      </c>
      <c r="N820" s="470" t="s">
        <v>756</v>
      </c>
      <c r="O820" s="472" t="s">
        <v>757</v>
      </c>
      <c r="P820" s="472" t="s">
        <v>738</v>
      </c>
      <c r="Q820" s="472" t="s">
        <v>758</v>
      </c>
      <c r="R820" s="472" t="s">
        <v>12</v>
      </c>
      <c r="S820" s="472" t="s">
        <v>12</v>
      </c>
      <c r="T820" s="472" t="s">
        <v>928</v>
      </c>
      <c r="U820" s="470" t="s">
        <v>929</v>
      </c>
      <c r="V820" s="470" t="s">
        <v>761</v>
      </c>
      <c r="W820" s="470" t="s">
        <v>762</v>
      </c>
      <c r="X820" s="470">
        <v>31</v>
      </c>
      <c r="Y820" s="470">
        <v>0</v>
      </c>
      <c r="Z820" s="470">
        <v>0.5</v>
      </c>
      <c r="AA820" s="470">
        <v>7.5</v>
      </c>
      <c r="AB820" s="470">
        <v>7.5</v>
      </c>
      <c r="AC820" s="473">
        <v>36067</v>
      </c>
      <c r="AD820" s="473">
        <v>36067</v>
      </c>
      <c r="AE820" s="473">
        <v>3927</v>
      </c>
      <c r="AF820" s="473">
        <v>1571</v>
      </c>
      <c r="AG820" s="473">
        <v>387</v>
      </c>
      <c r="AH820" s="473">
        <v>197</v>
      </c>
      <c r="AI820" s="473">
        <v>302</v>
      </c>
      <c r="AJ820" s="473">
        <v>0</v>
      </c>
      <c r="AK820" s="473">
        <v>0</v>
      </c>
      <c r="AL820" s="473">
        <v>0</v>
      </c>
      <c r="AM820" s="473">
        <v>0</v>
      </c>
      <c r="AN820" s="473">
        <v>0</v>
      </c>
      <c r="AO820" s="473">
        <v>0</v>
      </c>
      <c r="AP820" s="473">
        <v>0</v>
      </c>
      <c r="AQ820" s="473">
        <v>471</v>
      </c>
      <c r="AR820" s="473">
        <v>1871</v>
      </c>
      <c r="AS820" s="473">
        <v>0</v>
      </c>
      <c r="AT820" s="473">
        <v>0</v>
      </c>
      <c r="AU820" s="473">
        <v>0</v>
      </c>
      <c r="AV820" s="473">
        <v>8726</v>
      </c>
      <c r="AW820" s="474">
        <v>8726</v>
      </c>
      <c r="AX820" s="473">
        <v>0</v>
      </c>
      <c r="AY820" s="473">
        <v>0</v>
      </c>
      <c r="AZ820" s="475">
        <v>0</v>
      </c>
      <c r="BA820" s="475">
        <v>175</v>
      </c>
      <c r="BB820" s="475">
        <v>471</v>
      </c>
      <c r="BC820" s="475">
        <v>0</v>
      </c>
      <c r="BD820" s="475">
        <v>0</v>
      </c>
      <c r="BE820" s="475">
        <v>25</v>
      </c>
      <c r="BF820" s="475">
        <v>0</v>
      </c>
      <c r="BG820" s="475">
        <v>671</v>
      </c>
      <c r="BH820" s="476">
        <v>8055</v>
      </c>
      <c r="BI820" s="467"/>
      <c r="BJ820" s="468"/>
    </row>
    <row r="821" spans="1:62">
      <c r="A821" s="469">
        <v>45992</v>
      </c>
      <c r="B821" s="469" t="s">
        <v>747</v>
      </c>
      <c r="C821" s="508"/>
      <c r="D821" s="470" t="s">
        <v>749</v>
      </c>
      <c r="E821" s="471">
        <v>2272</v>
      </c>
      <c r="F821" s="470" t="s">
        <v>1453</v>
      </c>
      <c r="G821" s="470" t="s">
        <v>812</v>
      </c>
      <c r="H821" s="470" t="s">
        <v>12</v>
      </c>
      <c r="I821" s="470" t="s">
        <v>1426</v>
      </c>
      <c r="J821" s="472" t="s">
        <v>1454</v>
      </c>
      <c r="K821" s="470" t="s">
        <v>1455</v>
      </c>
      <c r="L821" s="470" t="s">
        <v>824</v>
      </c>
      <c r="M821" s="470" t="s">
        <v>824</v>
      </c>
      <c r="N821" s="470" t="s">
        <v>1275</v>
      </c>
      <c r="O821" s="472" t="s">
        <v>1276</v>
      </c>
      <c r="P821" s="472" t="s">
        <v>738</v>
      </c>
      <c r="Q821" s="472" t="s">
        <v>758</v>
      </c>
      <c r="R821" s="472" t="s">
        <v>12</v>
      </c>
      <c r="S821" s="472" t="s">
        <v>12</v>
      </c>
      <c r="T821" s="472" t="s">
        <v>1456</v>
      </c>
      <c r="U821" s="470" t="s">
        <v>1457</v>
      </c>
      <c r="V821" s="470" t="s">
        <v>761</v>
      </c>
      <c r="W821" s="470" t="s">
        <v>1458</v>
      </c>
      <c r="X821" s="470">
        <v>31</v>
      </c>
      <c r="Y821" s="470">
        <v>0</v>
      </c>
      <c r="Z821" s="470">
        <v>0</v>
      </c>
      <c r="AA821" s="470">
        <v>31</v>
      </c>
      <c r="AB821" s="470">
        <v>31</v>
      </c>
      <c r="AC821" s="473">
        <v>44033</v>
      </c>
      <c r="AD821" s="473">
        <v>44033</v>
      </c>
      <c r="AE821" s="473">
        <v>19815</v>
      </c>
      <c r="AF821" s="473">
        <v>7926</v>
      </c>
      <c r="AG821" s="473">
        <v>1600</v>
      </c>
      <c r="AH821" s="473">
        <v>200</v>
      </c>
      <c r="AI821" s="473">
        <v>1250</v>
      </c>
      <c r="AJ821" s="473">
        <v>1651</v>
      </c>
      <c r="AK821" s="473">
        <v>3963</v>
      </c>
      <c r="AL821" s="473">
        <v>2972</v>
      </c>
      <c r="AM821" s="473">
        <v>198</v>
      </c>
      <c r="AN821" s="473">
        <v>694</v>
      </c>
      <c r="AO821" s="473">
        <v>396</v>
      </c>
      <c r="AP821" s="473">
        <v>99</v>
      </c>
      <c r="AQ821" s="473">
        <v>1800</v>
      </c>
      <c r="AR821" s="473">
        <v>1469</v>
      </c>
      <c r="AS821" s="473">
        <v>0</v>
      </c>
      <c r="AT821" s="473">
        <v>175</v>
      </c>
      <c r="AU821" s="473">
        <v>0</v>
      </c>
      <c r="AV821" s="473">
        <v>44208</v>
      </c>
      <c r="AW821" s="474">
        <v>44208</v>
      </c>
      <c r="AX821" s="473">
        <v>0</v>
      </c>
      <c r="AY821" s="473">
        <v>0</v>
      </c>
      <c r="AZ821" s="475">
        <v>0</v>
      </c>
      <c r="BA821" s="475">
        <v>200</v>
      </c>
      <c r="BB821" s="475">
        <v>1800</v>
      </c>
      <c r="BC821" s="475">
        <v>0</v>
      </c>
      <c r="BD821" s="475">
        <v>0</v>
      </c>
      <c r="BE821" s="475">
        <v>25</v>
      </c>
      <c r="BF821" s="475">
        <v>0</v>
      </c>
      <c r="BG821" s="475">
        <v>2025</v>
      </c>
      <c r="BH821" s="476">
        <v>42183</v>
      </c>
      <c r="BI821" s="467"/>
      <c r="BJ821" s="468"/>
    </row>
    <row r="822" spans="1:62">
      <c r="A822" s="469">
        <v>45992</v>
      </c>
      <c r="B822" s="469" t="s">
        <v>747</v>
      </c>
      <c r="C822" s="508"/>
      <c r="D822" s="470" t="s">
        <v>749</v>
      </c>
      <c r="E822" s="471">
        <v>726</v>
      </c>
      <c r="F822" s="470" t="s">
        <v>930</v>
      </c>
      <c r="G822" s="470" t="s">
        <v>812</v>
      </c>
      <c r="H822" s="470" t="s">
        <v>12</v>
      </c>
      <c r="I822" s="470" t="s">
        <v>931</v>
      </c>
      <c r="J822" s="472" t="s">
        <v>932</v>
      </c>
      <c r="K822" s="470" t="s">
        <v>933</v>
      </c>
      <c r="L822" s="470" t="s">
        <v>934</v>
      </c>
      <c r="M822" s="470" t="s">
        <v>934</v>
      </c>
      <c r="N822" s="470" t="s">
        <v>1075</v>
      </c>
      <c r="O822" s="472" t="s">
        <v>757</v>
      </c>
      <c r="P822" s="472" t="s">
        <v>738</v>
      </c>
      <c r="Q822" s="472" t="s">
        <v>758</v>
      </c>
      <c r="R822" s="472" t="s">
        <v>12</v>
      </c>
      <c r="S822" s="472" t="s">
        <v>12</v>
      </c>
      <c r="T822" s="472" t="s">
        <v>935</v>
      </c>
      <c r="U822" s="470" t="s">
        <v>936</v>
      </c>
      <c r="V822" s="470" t="s">
        <v>761</v>
      </c>
      <c r="W822" s="470" t="s">
        <v>762</v>
      </c>
      <c r="X822" s="470">
        <v>31</v>
      </c>
      <c r="Y822" s="470">
        <v>0</v>
      </c>
      <c r="Z822" s="470">
        <v>0</v>
      </c>
      <c r="AA822" s="470">
        <v>31</v>
      </c>
      <c r="AB822" s="470">
        <v>31</v>
      </c>
      <c r="AC822" s="473">
        <v>27904</v>
      </c>
      <c r="AD822" s="473">
        <v>27904</v>
      </c>
      <c r="AE822" s="473">
        <v>12557</v>
      </c>
      <c r="AF822" s="473">
        <v>5023</v>
      </c>
      <c r="AG822" s="473">
        <v>1600</v>
      </c>
      <c r="AH822" s="473">
        <v>200</v>
      </c>
      <c r="AI822" s="473">
        <v>1250</v>
      </c>
      <c r="AJ822" s="473">
        <v>0</v>
      </c>
      <c r="AK822" s="473">
        <v>0</v>
      </c>
      <c r="AL822" s="473">
        <v>0</v>
      </c>
      <c r="AM822" s="473">
        <v>0</v>
      </c>
      <c r="AN822" s="473">
        <v>0</v>
      </c>
      <c r="AO822" s="473">
        <v>0</v>
      </c>
      <c r="AP822" s="473">
        <v>0</v>
      </c>
      <c r="AQ822" s="473">
        <v>1507</v>
      </c>
      <c r="AR822" s="473">
        <v>5767</v>
      </c>
      <c r="AS822" s="473">
        <v>0</v>
      </c>
      <c r="AT822" s="473">
        <v>0</v>
      </c>
      <c r="AU822" s="473">
        <v>0</v>
      </c>
      <c r="AV822" s="473">
        <v>27904</v>
      </c>
      <c r="AW822" s="474">
        <v>27904</v>
      </c>
      <c r="AX822" s="473">
        <v>0</v>
      </c>
      <c r="AY822" s="473">
        <v>0</v>
      </c>
      <c r="AZ822" s="475">
        <v>0</v>
      </c>
      <c r="BA822" s="475">
        <v>200</v>
      </c>
      <c r="BB822" s="475">
        <v>1507</v>
      </c>
      <c r="BC822" s="475">
        <v>0</v>
      </c>
      <c r="BD822" s="475">
        <v>0</v>
      </c>
      <c r="BE822" s="475">
        <v>25</v>
      </c>
      <c r="BF822" s="475">
        <v>0</v>
      </c>
      <c r="BG822" s="475">
        <v>1732</v>
      </c>
      <c r="BH822" s="476">
        <v>26172</v>
      </c>
      <c r="BI822" s="467"/>
      <c r="BJ822" s="468"/>
    </row>
    <row r="823" spans="1:62">
      <c r="A823" s="469">
        <v>45992</v>
      </c>
      <c r="B823" s="469" t="s">
        <v>747</v>
      </c>
      <c r="C823" s="508"/>
      <c r="D823" s="470" t="s">
        <v>749</v>
      </c>
      <c r="E823" s="471">
        <v>1722</v>
      </c>
      <c r="F823" s="470" t="s">
        <v>937</v>
      </c>
      <c r="G823" s="470" t="s">
        <v>751</v>
      </c>
      <c r="H823" s="470" t="s">
        <v>12</v>
      </c>
      <c r="I823" s="470" t="s">
        <v>938</v>
      </c>
      <c r="J823" s="472" t="s">
        <v>939</v>
      </c>
      <c r="K823" s="470" t="s">
        <v>940</v>
      </c>
      <c r="L823" s="470" t="s">
        <v>941</v>
      </c>
      <c r="M823" s="470" t="s">
        <v>941</v>
      </c>
      <c r="N823" s="470" t="s">
        <v>756</v>
      </c>
      <c r="O823" s="472" t="s">
        <v>943</v>
      </c>
      <c r="P823" s="472" t="s">
        <v>738</v>
      </c>
      <c r="Q823" s="472" t="s">
        <v>758</v>
      </c>
      <c r="R823" s="472" t="s">
        <v>12</v>
      </c>
      <c r="S823" s="472" t="s">
        <v>12</v>
      </c>
      <c r="T823" s="472" t="s">
        <v>944</v>
      </c>
      <c r="U823" s="470" t="s">
        <v>945</v>
      </c>
      <c r="V823" s="470" t="s">
        <v>761</v>
      </c>
      <c r="W823" s="470" t="s">
        <v>946</v>
      </c>
      <c r="X823" s="470">
        <v>31</v>
      </c>
      <c r="Y823" s="470">
        <v>0</v>
      </c>
      <c r="Z823" s="470">
        <v>0</v>
      </c>
      <c r="AA823" s="470">
        <v>31</v>
      </c>
      <c r="AB823" s="470">
        <v>31</v>
      </c>
      <c r="AC823" s="473">
        <v>434795</v>
      </c>
      <c r="AD823" s="473">
        <v>434795</v>
      </c>
      <c r="AE823" s="473">
        <v>195658</v>
      </c>
      <c r="AF823" s="473">
        <v>78263</v>
      </c>
      <c r="AG823" s="473">
        <v>1600</v>
      </c>
      <c r="AH823" s="473">
        <v>200</v>
      </c>
      <c r="AI823" s="473">
        <v>1250</v>
      </c>
      <c r="AJ823" s="473">
        <v>16298</v>
      </c>
      <c r="AK823" s="473">
        <v>39132</v>
      </c>
      <c r="AL823" s="473">
        <v>29349</v>
      </c>
      <c r="AM823" s="473">
        <v>1957</v>
      </c>
      <c r="AN823" s="473">
        <v>6848</v>
      </c>
      <c r="AO823" s="473">
        <v>3913</v>
      </c>
      <c r="AP823" s="473">
        <v>978</v>
      </c>
      <c r="AQ823" s="473">
        <v>1800</v>
      </c>
      <c r="AR823" s="473">
        <v>57549</v>
      </c>
      <c r="AS823" s="473">
        <v>0</v>
      </c>
      <c r="AT823" s="473">
        <v>0</v>
      </c>
      <c r="AU823" s="473">
        <v>3082</v>
      </c>
      <c r="AV823" s="473">
        <v>437877</v>
      </c>
      <c r="AW823" s="474">
        <v>434795</v>
      </c>
      <c r="AX823" s="473">
        <v>0</v>
      </c>
      <c r="AY823" s="473">
        <v>0</v>
      </c>
      <c r="AZ823" s="475">
        <v>144055</v>
      </c>
      <c r="BA823" s="475">
        <v>200</v>
      </c>
      <c r="BB823" s="475">
        <v>1800</v>
      </c>
      <c r="BC823" s="475">
        <v>0</v>
      </c>
      <c r="BD823" s="475">
        <v>0</v>
      </c>
      <c r="BE823" s="475">
        <v>25</v>
      </c>
      <c r="BF823" s="475">
        <v>0</v>
      </c>
      <c r="BG823" s="475">
        <v>146080</v>
      </c>
      <c r="BH823" s="476">
        <v>291797</v>
      </c>
      <c r="BI823" s="467"/>
      <c r="BJ823" s="468"/>
    </row>
    <row r="824" spans="1:62">
      <c r="A824" s="469">
        <v>45992</v>
      </c>
      <c r="B824" s="469" t="s">
        <v>747</v>
      </c>
      <c r="C824" s="508"/>
      <c r="D824" s="470" t="s">
        <v>749</v>
      </c>
      <c r="E824" s="471">
        <v>2241</v>
      </c>
      <c r="F824" s="470" t="s">
        <v>1407</v>
      </c>
      <c r="G824" s="470" t="s">
        <v>812</v>
      </c>
      <c r="H824" s="470" t="s">
        <v>12</v>
      </c>
      <c r="I824" s="470" t="s">
        <v>1408</v>
      </c>
      <c r="J824" s="472" t="s">
        <v>1409</v>
      </c>
      <c r="K824" s="470" t="s">
        <v>1410</v>
      </c>
      <c r="L824" s="470" t="s">
        <v>1411</v>
      </c>
      <c r="M824" s="470" t="s">
        <v>1411</v>
      </c>
      <c r="N824" s="470" t="s">
        <v>1275</v>
      </c>
      <c r="O824" s="472" t="s">
        <v>757</v>
      </c>
      <c r="P824" s="472" t="s">
        <v>738</v>
      </c>
      <c r="Q824" s="472" t="s">
        <v>758</v>
      </c>
      <c r="R824" s="472" t="s">
        <v>12</v>
      </c>
      <c r="S824" s="472" t="s">
        <v>12</v>
      </c>
      <c r="T824" s="472" t="s">
        <v>1412</v>
      </c>
      <c r="U824" s="470" t="s">
        <v>1413</v>
      </c>
      <c r="V824" s="470" t="s">
        <v>761</v>
      </c>
      <c r="W824" s="470" t="s">
        <v>1414</v>
      </c>
      <c r="X824" s="470">
        <v>31</v>
      </c>
      <c r="Y824" s="470">
        <v>0</v>
      </c>
      <c r="Z824" s="470">
        <v>0</v>
      </c>
      <c r="AA824" s="470">
        <v>31</v>
      </c>
      <c r="AB824" s="470">
        <v>31</v>
      </c>
      <c r="AC824" s="473">
        <v>47367</v>
      </c>
      <c r="AD824" s="473">
        <v>47367</v>
      </c>
      <c r="AE824" s="473">
        <v>21315</v>
      </c>
      <c r="AF824" s="473">
        <v>8526</v>
      </c>
      <c r="AG824" s="473">
        <v>1600</v>
      </c>
      <c r="AH824" s="473">
        <v>200</v>
      </c>
      <c r="AI824" s="473">
        <v>1250</v>
      </c>
      <c r="AJ824" s="473">
        <v>1776</v>
      </c>
      <c r="AK824" s="473">
        <v>4263</v>
      </c>
      <c r="AL824" s="473">
        <v>3197</v>
      </c>
      <c r="AM824" s="473">
        <v>213</v>
      </c>
      <c r="AN824" s="473">
        <v>746</v>
      </c>
      <c r="AO824" s="473">
        <v>426</v>
      </c>
      <c r="AP824" s="473">
        <v>107</v>
      </c>
      <c r="AQ824" s="473">
        <v>1800</v>
      </c>
      <c r="AR824" s="473">
        <v>1948</v>
      </c>
      <c r="AS824" s="473">
        <v>0</v>
      </c>
      <c r="AT824" s="473">
        <v>0</v>
      </c>
      <c r="AU824" s="473">
        <v>0</v>
      </c>
      <c r="AV824" s="473">
        <v>47367</v>
      </c>
      <c r="AW824" s="474">
        <v>47367</v>
      </c>
      <c r="AX824" s="473">
        <v>0</v>
      </c>
      <c r="AY824" s="473">
        <v>0</v>
      </c>
      <c r="AZ824" s="475">
        <v>0</v>
      </c>
      <c r="BA824" s="475">
        <v>200</v>
      </c>
      <c r="BB824" s="475">
        <v>1800</v>
      </c>
      <c r="BC824" s="475">
        <v>0</v>
      </c>
      <c r="BD824" s="475">
        <v>0</v>
      </c>
      <c r="BE824" s="475">
        <v>25</v>
      </c>
      <c r="BF824" s="475">
        <v>0</v>
      </c>
      <c r="BG824" s="475">
        <v>2025</v>
      </c>
      <c r="BH824" s="476">
        <v>45342</v>
      </c>
      <c r="BI824" s="467"/>
      <c r="BJ824" s="468"/>
    </row>
    <row r="825" spans="1:62">
      <c r="A825" s="469">
        <v>45992</v>
      </c>
      <c r="B825" s="469" t="s">
        <v>747</v>
      </c>
      <c r="C825" s="508"/>
      <c r="D825" s="470" t="s">
        <v>749</v>
      </c>
      <c r="E825" s="471">
        <v>1937</v>
      </c>
      <c r="F825" s="470" t="s">
        <v>947</v>
      </c>
      <c r="G825" s="470" t="s">
        <v>751</v>
      </c>
      <c r="H825" s="470" t="s">
        <v>12</v>
      </c>
      <c r="I825" s="470" t="s">
        <v>948</v>
      </c>
      <c r="J825" s="472" t="s">
        <v>949</v>
      </c>
      <c r="K825" s="470" t="s">
        <v>950</v>
      </c>
      <c r="L825" s="470" t="s">
        <v>824</v>
      </c>
      <c r="M825" s="470" t="s">
        <v>824</v>
      </c>
      <c r="N825" s="470" t="s">
        <v>1275</v>
      </c>
      <c r="O825" s="472" t="s">
        <v>1276</v>
      </c>
      <c r="P825" s="472" t="s">
        <v>738</v>
      </c>
      <c r="Q825" s="472" t="s">
        <v>758</v>
      </c>
      <c r="R825" s="472" t="s">
        <v>12</v>
      </c>
      <c r="S825" s="472" t="s">
        <v>12</v>
      </c>
      <c r="T825" s="472" t="s">
        <v>951</v>
      </c>
      <c r="U825" s="470" t="s">
        <v>952</v>
      </c>
      <c r="V825" s="470" t="s">
        <v>761</v>
      </c>
      <c r="W825" s="470" t="s">
        <v>859</v>
      </c>
      <c r="X825" s="470">
        <v>31</v>
      </c>
      <c r="Y825" s="470">
        <v>0</v>
      </c>
      <c r="Z825" s="470">
        <v>0</v>
      </c>
      <c r="AA825" s="470">
        <v>31</v>
      </c>
      <c r="AB825" s="470">
        <v>31</v>
      </c>
      <c r="AC825" s="473">
        <v>31533</v>
      </c>
      <c r="AD825" s="473">
        <v>31533</v>
      </c>
      <c r="AE825" s="473">
        <v>14190</v>
      </c>
      <c r="AF825" s="473">
        <v>5676</v>
      </c>
      <c r="AG825" s="473">
        <v>1600</v>
      </c>
      <c r="AH825" s="473">
        <v>200</v>
      </c>
      <c r="AI825" s="473">
        <v>1250</v>
      </c>
      <c r="AJ825" s="473">
        <v>0</v>
      </c>
      <c r="AK825" s="473">
        <v>0</v>
      </c>
      <c r="AL825" s="473">
        <v>0</v>
      </c>
      <c r="AM825" s="473">
        <v>0</v>
      </c>
      <c r="AN825" s="473">
        <v>0</v>
      </c>
      <c r="AO825" s="473">
        <v>0</v>
      </c>
      <c r="AP825" s="473">
        <v>0</v>
      </c>
      <c r="AQ825" s="473">
        <v>1703</v>
      </c>
      <c r="AR825" s="473">
        <v>6914</v>
      </c>
      <c r="AS825" s="473">
        <v>0</v>
      </c>
      <c r="AT825" s="473">
        <v>0</v>
      </c>
      <c r="AU825" s="473">
        <v>4862</v>
      </c>
      <c r="AV825" s="473">
        <v>36395</v>
      </c>
      <c r="AW825" s="474">
        <v>31533</v>
      </c>
      <c r="AX825" s="473">
        <v>0</v>
      </c>
      <c r="AY825" s="473">
        <v>0</v>
      </c>
      <c r="AZ825" s="475">
        <v>0</v>
      </c>
      <c r="BA825" s="475">
        <v>200</v>
      </c>
      <c r="BB825" s="475">
        <v>1703</v>
      </c>
      <c r="BC825" s="475">
        <v>0</v>
      </c>
      <c r="BD825" s="475">
        <v>0</v>
      </c>
      <c r="BE825" s="475">
        <v>25</v>
      </c>
      <c r="BF825" s="475">
        <v>0</v>
      </c>
      <c r="BG825" s="475">
        <v>1928</v>
      </c>
      <c r="BH825" s="476">
        <v>34467</v>
      </c>
      <c r="BI825" s="467"/>
      <c r="BJ825" s="468"/>
    </row>
    <row r="826" spans="1:62">
      <c r="A826" s="469">
        <v>45992</v>
      </c>
      <c r="B826" s="469" t="s">
        <v>747</v>
      </c>
      <c r="C826" s="508"/>
      <c r="D826" s="470" t="s">
        <v>749</v>
      </c>
      <c r="E826" s="471">
        <v>382</v>
      </c>
      <c r="F826" s="470" t="s">
        <v>953</v>
      </c>
      <c r="G826" s="470" t="s">
        <v>751</v>
      </c>
      <c r="H826" s="470" t="s">
        <v>12</v>
      </c>
      <c r="I826" s="470" t="s">
        <v>954</v>
      </c>
      <c r="J826" s="472" t="s">
        <v>955</v>
      </c>
      <c r="K826" s="470" t="s">
        <v>956</v>
      </c>
      <c r="L826" s="470" t="s">
        <v>1305</v>
      </c>
      <c r="M826" s="470" t="s">
        <v>1305</v>
      </c>
      <c r="N826" s="470" t="s">
        <v>833</v>
      </c>
      <c r="O826" s="472" t="s">
        <v>757</v>
      </c>
      <c r="P826" s="472" t="s">
        <v>738</v>
      </c>
      <c r="Q826" s="472" t="s">
        <v>758</v>
      </c>
      <c r="R826" s="472" t="s">
        <v>12</v>
      </c>
      <c r="S826" s="472" t="s">
        <v>12</v>
      </c>
      <c r="T826" s="472" t="s">
        <v>958</v>
      </c>
      <c r="U826" s="470" t="s">
        <v>959</v>
      </c>
      <c r="V826" s="470" t="s">
        <v>761</v>
      </c>
      <c r="W826" s="470" t="s">
        <v>960</v>
      </c>
      <c r="X826" s="470">
        <v>31</v>
      </c>
      <c r="Y826" s="470">
        <v>0</v>
      </c>
      <c r="Z826" s="470">
        <v>0</v>
      </c>
      <c r="AA826" s="470">
        <v>31</v>
      </c>
      <c r="AB826" s="470">
        <v>31</v>
      </c>
      <c r="AC826" s="473">
        <v>36950</v>
      </c>
      <c r="AD826" s="473">
        <v>36950</v>
      </c>
      <c r="AE826" s="473">
        <v>16628</v>
      </c>
      <c r="AF826" s="473">
        <v>6651</v>
      </c>
      <c r="AG826" s="473">
        <v>1600</v>
      </c>
      <c r="AH826" s="473">
        <v>200</v>
      </c>
      <c r="AI826" s="473">
        <v>1250</v>
      </c>
      <c r="AJ826" s="473">
        <v>0</v>
      </c>
      <c r="AK826" s="473">
        <v>0</v>
      </c>
      <c r="AL826" s="473">
        <v>0</v>
      </c>
      <c r="AM826" s="473">
        <v>0</v>
      </c>
      <c r="AN826" s="473">
        <v>0</v>
      </c>
      <c r="AO826" s="473">
        <v>0</v>
      </c>
      <c r="AP826" s="473">
        <v>0</v>
      </c>
      <c r="AQ826" s="473">
        <v>1800</v>
      </c>
      <c r="AR826" s="473">
        <v>8821</v>
      </c>
      <c r="AS826" s="473">
        <v>0</v>
      </c>
      <c r="AT826" s="473">
        <v>0</v>
      </c>
      <c r="AU826" s="473">
        <v>7198</v>
      </c>
      <c r="AV826" s="473">
        <v>44148</v>
      </c>
      <c r="AW826" s="474">
        <v>36950</v>
      </c>
      <c r="AX826" s="473">
        <v>0</v>
      </c>
      <c r="AY826" s="473">
        <v>0</v>
      </c>
      <c r="AZ826" s="475">
        <v>0</v>
      </c>
      <c r="BA826" s="475">
        <v>200</v>
      </c>
      <c r="BB826" s="475">
        <v>1800</v>
      </c>
      <c r="BC826" s="475">
        <v>0</v>
      </c>
      <c r="BD826" s="475">
        <v>0</v>
      </c>
      <c r="BE826" s="475">
        <v>25</v>
      </c>
      <c r="BF826" s="475">
        <v>0</v>
      </c>
      <c r="BG826" s="475">
        <v>2025</v>
      </c>
      <c r="BH826" s="476">
        <v>42123</v>
      </c>
      <c r="BI826" s="467"/>
      <c r="BJ826" s="468"/>
    </row>
    <row r="827" spans="1:62">
      <c r="A827" s="469">
        <v>45992</v>
      </c>
      <c r="B827" s="469" t="s">
        <v>747</v>
      </c>
      <c r="C827" s="508"/>
      <c r="D827" s="470" t="s">
        <v>749</v>
      </c>
      <c r="E827" s="471">
        <v>511</v>
      </c>
      <c r="F827" s="470" t="s">
        <v>961</v>
      </c>
      <c r="G827" s="470" t="s">
        <v>751</v>
      </c>
      <c r="H827" s="470" t="s">
        <v>12</v>
      </c>
      <c r="I827" s="470" t="s">
        <v>962</v>
      </c>
      <c r="J827" s="472" t="s">
        <v>963</v>
      </c>
      <c r="K827" s="470" t="s">
        <v>964</v>
      </c>
      <c r="L827" s="470" t="s">
        <v>776</v>
      </c>
      <c r="M827" s="470" t="s">
        <v>776</v>
      </c>
      <c r="N827" s="470" t="s">
        <v>1075</v>
      </c>
      <c r="O827" s="472" t="s">
        <v>757</v>
      </c>
      <c r="P827" s="472" t="s">
        <v>738</v>
      </c>
      <c r="Q827" s="472" t="s">
        <v>758</v>
      </c>
      <c r="R827" s="472" t="s">
        <v>12</v>
      </c>
      <c r="S827" s="472" t="s">
        <v>12</v>
      </c>
      <c r="T827" s="472" t="s">
        <v>965</v>
      </c>
      <c r="U827" s="470" t="s">
        <v>966</v>
      </c>
      <c r="V827" s="470" t="s">
        <v>761</v>
      </c>
      <c r="W827" s="470" t="s">
        <v>845</v>
      </c>
      <c r="X827" s="470">
        <v>31</v>
      </c>
      <c r="Y827" s="470">
        <v>0</v>
      </c>
      <c r="Z827" s="470">
        <v>2</v>
      </c>
      <c r="AA827" s="470">
        <v>29</v>
      </c>
      <c r="AB827" s="470">
        <v>29</v>
      </c>
      <c r="AC827" s="473">
        <v>43308</v>
      </c>
      <c r="AD827" s="473">
        <v>43308</v>
      </c>
      <c r="AE827" s="473">
        <v>18231</v>
      </c>
      <c r="AF827" s="473">
        <v>7292</v>
      </c>
      <c r="AG827" s="473">
        <v>1497</v>
      </c>
      <c r="AH827" s="473">
        <v>187</v>
      </c>
      <c r="AI827" s="473">
        <v>1169</v>
      </c>
      <c r="AJ827" s="473">
        <v>1519</v>
      </c>
      <c r="AK827" s="473">
        <v>3646</v>
      </c>
      <c r="AL827" s="473">
        <v>2735</v>
      </c>
      <c r="AM827" s="473">
        <v>182</v>
      </c>
      <c r="AN827" s="473">
        <v>638</v>
      </c>
      <c r="AO827" s="473">
        <v>365</v>
      </c>
      <c r="AP827" s="473">
        <v>91</v>
      </c>
      <c r="AQ827" s="473">
        <v>1800</v>
      </c>
      <c r="AR827" s="473">
        <v>1162</v>
      </c>
      <c r="AS827" s="473">
        <v>0</v>
      </c>
      <c r="AT827" s="473">
        <v>0</v>
      </c>
      <c r="AU827" s="473">
        <v>2801</v>
      </c>
      <c r="AV827" s="473">
        <v>43315</v>
      </c>
      <c r="AW827" s="474">
        <v>40514</v>
      </c>
      <c r="AX827" s="473">
        <v>0</v>
      </c>
      <c r="AY827" s="473">
        <v>0</v>
      </c>
      <c r="AZ827" s="475">
        <v>0</v>
      </c>
      <c r="BA827" s="475">
        <v>200</v>
      </c>
      <c r="BB827" s="475">
        <v>1800</v>
      </c>
      <c r="BC827" s="475">
        <v>0</v>
      </c>
      <c r="BD827" s="475">
        <v>0</v>
      </c>
      <c r="BE827" s="475">
        <v>25</v>
      </c>
      <c r="BF827" s="475">
        <v>0</v>
      </c>
      <c r="BG827" s="475">
        <v>2025</v>
      </c>
      <c r="BH827" s="476">
        <v>41290</v>
      </c>
      <c r="BI827" s="467"/>
      <c r="BJ827" s="468"/>
    </row>
    <row r="828" spans="1:62">
      <c r="A828" s="469">
        <v>45992</v>
      </c>
      <c r="B828" s="469" t="s">
        <v>747</v>
      </c>
      <c r="C828" s="508"/>
      <c r="D828" s="470" t="s">
        <v>749</v>
      </c>
      <c r="E828" s="471">
        <v>2062</v>
      </c>
      <c r="F828" s="470" t="s">
        <v>967</v>
      </c>
      <c r="G828" s="470" t="s">
        <v>751</v>
      </c>
      <c r="H828" s="470" t="s">
        <v>12</v>
      </c>
      <c r="I828" s="470" t="s">
        <v>968</v>
      </c>
      <c r="J828" s="472" t="s">
        <v>969</v>
      </c>
      <c r="K828" s="470" t="s">
        <v>970</v>
      </c>
      <c r="L828" s="470" t="s">
        <v>971</v>
      </c>
      <c r="M828" s="470" t="s">
        <v>971</v>
      </c>
      <c r="N828" s="470" t="s">
        <v>756</v>
      </c>
      <c r="O828" s="472" t="s">
        <v>792</v>
      </c>
      <c r="P828" s="472" t="s">
        <v>738</v>
      </c>
      <c r="Q828" s="472" t="s">
        <v>758</v>
      </c>
      <c r="R828" s="472" t="s">
        <v>12</v>
      </c>
      <c r="S828" s="472" t="s">
        <v>12</v>
      </c>
      <c r="T828" s="472" t="s">
        <v>972</v>
      </c>
      <c r="U828" s="470" t="s">
        <v>1362</v>
      </c>
      <c r="V828" s="470" t="s">
        <v>761</v>
      </c>
      <c r="W828" s="470" t="s">
        <v>974</v>
      </c>
      <c r="X828" s="470">
        <v>31</v>
      </c>
      <c r="Y828" s="470">
        <v>0</v>
      </c>
      <c r="Z828" s="470">
        <v>0</v>
      </c>
      <c r="AA828" s="470">
        <v>31</v>
      </c>
      <c r="AB828" s="470">
        <v>31</v>
      </c>
      <c r="AC828" s="473">
        <v>181533</v>
      </c>
      <c r="AD828" s="473">
        <v>181533</v>
      </c>
      <c r="AE828" s="473">
        <v>81690</v>
      </c>
      <c r="AF828" s="473">
        <v>32676</v>
      </c>
      <c r="AG828" s="473">
        <v>1600</v>
      </c>
      <c r="AH828" s="473">
        <v>200</v>
      </c>
      <c r="AI828" s="473">
        <v>1250</v>
      </c>
      <c r="AJ828" s="473">
        <v>6805</v>
      </c>
      <c r="AK828" s="473">
        <v>16338</v>
      </c>
      <c r="AL828" s="473">
        <v>12254</v>
      </c>
      <c r="AM828" s="473">
        <v>817</v>
      </c>
      <c r="AN828" s="473">
        <v>2859</v>
      </c>
      <c r="AO828" s="473">
        <v>1634</v>
      </c>
      <c r="AP828" s="473">
        <v>408</v>
      </c>
      <c r="AQ828" s="473">
        <v>1800</v>
      </c>
      <c r="AR828" s="473">
        <v>21202</v>
      </c>
      <c r="AS828" s="473">
        <v>0</v>
      </c>
      <c r="AT828" s="473">
        <v>0</v>
      </c>
      <c r="AU828" s="473">
        <v>0</v>
      </c>
      <c r="AV828" s="473">
        <v>181533</v>
      </c>
      <c r="AW828" s="474">
        <v>181533</v>
      </c>
      <c r="AX828" s="473">
        <v>0</v>
      </c>
      <c r="AY828" s="473">
        <v>0</v>
      </c>
      <c r="AZ828" s="475">
        <v>18542</v>
      </c>
      <c r="BA828" s="475">
        <v>200</v>
      </c>
      <c r="BB828" s="475">
        <v>1800</v>
      </c>
      <c r="BC828" s="475">
        <v>0</v>
      </c>
      <c r="BD828" s="475">
        <v>0</v>
      </c>
      <c r="BE828" s="475">
        <v>25</v>
      </c>
      <c r="BF828" s="475">
        <v>0</v>
      </c>
      <c r="BG828" s="475">
        <v>20567</v>
      </c>
      <c r="BH828" s="476">
        <v>160966</v>
      </c>
      <c r="BI828" s="467"/>
      <c r="BJ828" s="468"/>
    </row>
    <row r="829" spans="1:62">
      <c r="A829" s="469">
        <v>45992</v>
      </c>
      <c r="B829" s="469" t="s">
        <v>747</v>
      </c>
      <c r="C829" s="508"/>
      <c r="D829" s="470" t="s">
        <v>749</v>
      </c>
      <c r="E829" s="471">
        <v>2300</v>
      </c>
      <c r="F829" s="470" t="s">
        <v>1522</v>
      </c>
      <c r="G829" s="470" t="s">
        <v>751</v>
      </c>
      <c r="H829" s="470" t="s">
        <v>12</v>
      </c>
      <c r="I829" s="470" t="s">
        <v>1523</v>
      </c>
      <c r="J829" s="472" t="s">
        <v>1524</v>
      </c>
      <c r="K829" s="470" t="s">
        <v>1525</v>
      </c>
      <c r="L829" s="470" t="s">
        <v>971</v>
      </c>
      <c r="M829" s="470" t="s">
        <v>1512</v>
      </c>
      <c r="N829" s="470" t="s">
        <v>1275</v>
      </c>
      <c r="O829" s="472" t="s">
        <v>792</v>
      </c>
      <c r="P829" s="472" t="s">
        <v>738</v>
      </c>
      <c r="Q829" s="472" t="s">
        <v>758</v>
      </c>
      <c r="R829" s="472" t="s">
        <v>12</v>
      </c>
      <c r="S829" s="472" t="s">
        <v>12</v>
      </c>
      <c r="T829" s="472" t="s">
        <v>1526</v>
      </c>
      <c r="U829" s="470" t="s">
        <v>1527</v>
      </c>
      <c r="V829" s="470" t="s">
        <v>761</v>
      </c>
      <c r="W829" s="470" t="s">
        <v>845</v>
      </c>
      <c r="X829" s="470">
        <v>31</v>
      </c>
      <c r="Y829" s="470">
        <v>0</v>
      </c>
      <c r="Z829" s="470">
        <v>0</v>
      </c>
      <c r="AA829" s="470">
        <v>22</v>
      </c>
      <c r="AB829" s="470">
        <v>22</v>
      </c>
      <c r="AC829" s="473">
        <v>142367</v>
      </c>
      <c r="AD829" s="473">
        <v>142367</v>
      </c>
      <c r="AE829" s="473">
        <v>45466</v>
      </c>
      <c r="AF829" s="473">
        <v>18186</v>
      </c>
      <c r="AG829" s="473">
        <v>1135</v>
      </c>
      <c r="AH829" s="473">
        <v>200</v>
      </c>
      <c r="AI829" s="473">
        <v>887</v>
      </c>
      <c r="AJ829" s="473">
        <v>3787</v>
      </c>
      <c r="AK829" s="473">
        <v>9093</v>
      </c>
      <c r="AL829" s="473">
        <v>6820</v>
      </c>
      <c r="AM829" s="473">
        <v>455</v>
      </c>
      <c r="AN829" s="473">
        <v>1591</v>
      </c>
      <c r="AO829" s="473">
        <v>909</v>
      </c>
      <c r="AP829" s="473">
        <v>227</v>
      </c>
      <c r="AQ829" s="473">
        <v>1800</v>
      </c>
      <c r="AR829" s="473">
        <v>10479</v>
      </c>
      <c r="AS829" s="473">
        <v>0</v>
      </c>
      <c r="AT829" s="473">
        <v>0</v>
      </c>
      <c r="AU829" s="473">
        <v>0</v>
      </c>
      <c r="AV829" s="473">
        <v>101035</v>
      </c>
      <c r="AW829" s="474">
        <v>101035</v>
      </c>
      <c r="AX829" s="473">
        <v>0</v>
      </c>
      <c r="AY829" s="473">
        <v>0</v>
      </c>
      <c r="AZ829" s="475">
        <v>0</v>
      </c>
      <c r="BA829" s="475">
        <v>200</v>
      </c>
      <c r="BB829" s="475">
        <v>1800</v>
      </c>
      <c r="BC829" s="475">
        <v>0</v>
      </c>
      <c r="BD829" s="475">
        <v>0</v>
      </c>
      <c r="BE829" s="475">
        <v>25</v>
      </c>
      <c r="BF829" s="475">
        <v>0</v>
      </c>
      <c r="BG829" s="475">
        <v>2025</v>
      </c>
      <c r="BH829" s="476">
        <v>99010</v>
      </c>
      <c r="BI829" s="467"/>
      <c r="BJ829" s="468"/>
    </row>
    <row r="830" spans="1:62">
      <c r="A830" s="469">
        <v>45992</v>
      </c>
      <c r="B830" s="469" t="s">
        <v>747</v>
      </c>
      <c r="C830" s="508"/>
      <c r="D830" s="470" t="s">
        <v>749</v>
      </c>
      <c r="E830" s="471">
        <v>2282</v>
      </c>
      <c r="F830" s="470" t="s">
        <v>1459</v>
      </c>
      <c r="G830" s="470" t="s">
        <v>812</v>
      </c>
      <c r="H830" s="470" t="s">
        <v>12</v>
      </c>
      <c r="I830" s="470" t="s">
        <v>1447</v>
      </c>
      <c r="J830" s="472" t="s">
        <v>1460</v>
      </c>
      <c r="K830" s="470" t="s">
        <v>1461</v>
      </c>
      <c r="L830" s="470" t="s">
        <v>1345</v>
      </c>
      <c r="M830" s="470" t="s">
        <v>994</v>
      </c>
      <c r="N830" s="470" t="s">
        <v>1275</v>
      </c>
      <c r="O830" s="472" t="s">
        <v>757</v>
      </c>
      <c r="P830" s="472" t="s">
        <v>738</v>
      </c>
      <c r="Q830" s="472" t="s">
        <v>758</v>
      </c>
      <c r="R830" s="472" t="s">
        <v>12</v>
      </c>
      <c r="S830" s="472" t="s">
        <v>12</v>
      </c>
      <c r="T830" s="472" t="s">
        <v>1462</v>
      </c>
      <c r="U830" s="470" t="s">
        <v>1463</v>
      </c>
      <c r="V830" s="470" t="s">
        <v>761</v>
      </c>
      <c r="W830" s="470" t="s">
        <v>1464</v>
      </c>
      <c r="X830" s="470">
        <v>31</v>
      </c>
      <c r="Y830" s="470">
        <v>0</v>
      </c>
      <c r="Z830" s="470">
        <v>0</v>
      </c>
      <c r="AA830" s="470">
        <v>31</v>
      </c>
      <c r="AB830" s="470">
        <v>31</v>
      </c>
      <c r="AC830" s="473">
        <v>76500</v>
      </c>
      <c r="AD830" s="473">
        <v>76500</v>
      </c>
      <c r="AE830" s="473">
        <v>34425</v>
      </c>
      <c r="AF830" s="473">
        <v>13770</v>
      </c>
      <c r="AG830" s="473">
        <v>1600</v>
      </c>
      <c r="AH830" s="473">
        <v>200</v>
      </c>
      <c r="AI830" s="473">
        <v>1250</v>
      </c>
      <c r="AJ830" s="473">
        <v>2868</v>
      </c>
      <c r="AK830" s="473">
        <v>6885</v>
      </c>
      <c r="AL830" s="473">
        <v>5164</v>
      </c>
      <c r="AM830" s="473">
        <v>344</v>
      </c>
      <c r="AN830" s="473">
        <v>1205</v>
      </c>
      <c r="AO830" s="473">
        <v>689</v>
      </c>
      <c r="AP830" s="473">
        <v>172</v>
      </c>
      <c r="AQ830" s="473">
        <v>1800</v>
      </c>
      <c r="AR830" s="473">
        <v>6128</v>
      </c>
      <c r="AS830" s="473">
        <v>0</v>
      </c>
      <c r="AT830" s="473">
        <v>0</v>
      </c>
      <c r="AU830" s="473">
        <v>0</v>
      </c>
      <c r="AV830" s="473">
        <v>76500</v>
      </c>
      <c r="AW830" s="474">
        <v>76500</v>
      </c>
      <c r="AX830" s="473">
        <v>0</v>
      </c>
      <c r="AY830" s="473">
        <v>0</v>
      </c>
      <c r="AZ830" s="475">
        <v>0</v>
      </c>
      <c r="BA830" s="475">
        <v>200</v>
      </c>
      <c r="BB830" s="475">
        <v>1800</v>
      </c>
      <c r="BC830" s="475">
        <v>0</v>
      </c>
      <c r="BD830" s="475">
        <v>0</v>
      </c>
      <c r="BE830" s="475">
        <v>25</v>
      </c>
      <c r="BF830" s="475">
        <v>0</v>
      </c>
      <c r="BG830" s="475">
        <v>2025</v>
      </c>
      <c r="BH830" s="476">
        <v>74475</v>
      </c>
      <c r="BI830" s="467"/>
      <c r="BJ830" s="468"/>
    </row>
    <row r="831" spans="1:62">
      <c r="A831" s="469">
        <v>45992</v>
      </c>
      <c r="B831" s="469" t="s">
        <v>747</v>
      </c>
      <c r="C831" s="508"/>
      <c r="D831" s="470" t="s">
        <v>749</v>
      </c>
      <c r="E831" s="471">
        <v>1092</v>
      </c>
      <c r="F831" s="470" t="s">
        <v>975</v>
      </c>
      <c r="G831" s="470" t="s">
        <v>751</v>
      </c>
      <c r="H831" s="470" t="s">
        <v>12</v>
      </c>
      <c r="I831" s="470" t="s">
        <v>976</v>
      </c>
      <c r="J831" s="472" t="s">
        <v>977</v>
      </c>
      <c r="K831" s="470" t="s">
        <v>978</v>
      </c>
      <c r="L831" s="470" t="s">
        <v>1345</v>
      </c>
      <c r="M831" s="470" t="s">
        <v>1345</v>
      </c>
      <c r="N831" s="470" t="s">
        <v>1275</v>
      </c>
      <c r="O831" s="472" t="s">
        <v>757</v>
      </c>
      <c r="P831" s="472" t="s">
        <v>738</v>
      </c>
      <c r="Q831" s="472" t="s">
        <v>758</v>
      </c>
      <c r="R831" s="472" t="s">
        <v>12</v>
      </c>
      <c r="S831" s="472" t="s">
        <v>12</v>
      </c>
      <c r="T831" s="472" t="s">
        <v>981</v>
      </c>
      <c r="U831" s="470" t="s">
        <v>982</v>
      </c>
      <c r="V831" s="470" t="s">
        <v>761</v>
      </c>
      <c r="W831" s="470" t="s">
        <v>762</v>
      </c>
      <c r="X831" s="470">
        <v>31</v>
      </c>
      <c r="Y831" s="470">
        <v>0</v>
      </c>
      <c r="Z831" s="470">
        <v>0</v>
      </c>
      <c r="AA831" s="470">
        <v>31</v>
      </c>
      <c r="AB831" s="470">
        <v>31</v>
      </c>
      <c r="AC831" s="473">
        <v>71927</v>
      </c>
      <c r="AD831" s="473">
        <v>71927</v>
      </c>
      <c r="AE831" s="473">
        <v>32367</v>
      </c>
      <c r="AF831" s="473">
        <v>12947</v>
      </c>
      <c r="AG831" s="473">
        <v>1600</v>
      </c>
      <c r="AH831" s="473">
        <v>200</v>
      </c>
      <c r="AI831" s="473">
        <v>1250</v>
      </c>
      <c r="AJ831" s="473">
        <v>2696</v>
      </c>
      <c r="AK831" s="473">
        <v>6473</v>
      </c>
      <c r="AL831" s="473">
        <v>4855</v>
      </c>
      <c r="AM831" s="473">
        <v>324</v>
      </c>
      <c r="AN831" s="473">
        <v>1133</v>
      </c>
      <c r="AO831" s="473">
        <v>647</v>
      </c>
      <c r="AP831" s="473">
        <v>162</v>
      </c>
      <c r="AQ831" s="473">
        <v>1800</v>
      </c>
      <c r="AR831" s="473">
        <v>5473</v>
      </c>
      <c r="AS831" s="473">
        <v>0</v>
      </c>
      <c r="AT831" s="473">
        <v>0</v>
      </c>
      <c r="AU831" s="473">
        <v>979</v>
      </c>
      <c r="AV831" s="473">
        <v>72906</v>
      </c>
      <c r="AW831" s="474">
        <v>71927</v>
      </c>
      <c r="AX831" s="473">
        <v>0</v>
      </c>
      <c r="AY831" s="473">
        <v>0</v>
      </c>
      <c r="AZ831" s="475">
        <v>0</v>
      </c>
      <c r="BA831" s="475">
        <v>200</v>
      </c>
      <c r="BB831" s="475">
        <v>1800</v>
      </c>
      <c r="BC831" s="475">
        <v>0</v>
      </c>
      <c r="BD831" s="475">
        <v>0</v>
      </c>
      <c r="BE831" s="475">
        <v>25</v>
      </c>
      <c r="BF831" s="475">
        <v>0</v>
      </c>
      <c r="BG831" s="475">
        <v>2025</v>
      </c>
      <c r="BH831" s="476">
        <v>70881</v>
      </c>
      <c r="BI831" s="467"/>
      <c r="BJ831" s="468"/>
    </row>
    <row r="832" spans="1:62">
      <c r="A832" s="469">
        <v>45992</v>
      </c>
      <c r="B832" s="469" t="s">
        <v>747</v>
      </c>
      <c r="C832" s="508"/>
      <c r="D832" s="470" t="s">
        <v>749</v>
      </c>
      <c r="E832" s="471">
        <v>1506</v>
      </c>
      <c r="F832" s="470" t="s">
        <v>983</v>
      </c>
      <c r="G832" s="470" t="s">
        <v>751</v>
      </c>
      <c r="H832" s="470" t="s">
        <v>12</v>
      </c>
      <c r="I832" s="470" t="s">
        <v>984</v>
      </c>
      <c r="J832" s="472" t="s">
        <v>985</v>
      </c>
      <c r="K832" s="470" t="s">
        <v>986</v>
      </c>
      <c r="L832" s="470" t="s">
        <v>987</v>
      </c>
      <c r="M832" s="470" t="s">
        <v>987</v>
      </c>
      <c r="N832" s="470" t="s">
        <v>756</v>
      </c>
      <c r="O832" s="472" t="s">
        <v>757</v>
      </c>
      <c r="P832" s="472" t="s">
        <v>738</v>
      </c>
      <c r="Q832" s="472" t="s">
        <v>758</v>
      </c>
      <c r="R832" s="472" t="s">
        <v>12</v>
      </c>
      <c r="S832" s="472" t="s">
        <v>12</v>
      </c>
      <c r="T832" s="472" t="s">
        <v>988</v>
      </c>
      <c r="U832" s="470" t="s">
        <v>989</v>
      </c>
      <c r="V832" s="470" t="s">
        <v>761</v>
      </c>
      <c r="W832" s="470" t="s">
        <v>762</v>
      </c>
      <c r="X832" s="470">
        <v>31</v>
      </c>
      <c r="Y832" s="470">
        <v>0</v>
      </c>
      <c r="Z832" s="470">
        <v>0</v>
      </c>
      <c r="AA832" s="470">
        <v>31</v>
      </c>
      <c r="AB832" s="470">
        <v>31</v>
      </c>
      <c r="AC832" s="473">
        <v>49575</v>
      </c>
      <c r="AD832" s="473">
        <v>49575</v>
      </c>
      <c r="AE832" s="473">
        <v>22309</v>
      </c>
      <c r="AF832" s="473">
        <v>8924</v>
      </c>
      <c r="AG832" s="473">
        <v>1600</v>
      </c>
      <c r="AH832" s="473">
        <v>200</v>
      </c>
      <c r="AI832" s="473">
        <v>1250</v>
      </c>
      <c r="AJ832" s="473">
        <v>1858</v>
      </c>
      <c r="AK832" s="473">
        <v>4462</v>
      </c>
      <c r="AL832" s="473">
        <v>3346</v>
      </c>
      <c r="AM832" s="473">
        <v>223</v>
      </c>
      <c r="AN832" s="473">
        <v>781</v>
      </c>
      <c r="AO832" s="473">
        <v>446</v>
      </c>
      <c r="AP832" s="473">
        <v>112</v>
      </c>
      <c r="AQ832" s="473">
        <v>1800</v>
      </c>
      <c r="AR832" s="473">
        <v>2264</v>
      </c>
      <c r="AS832" s="473">
        <v>0</v>
      </c>
      <c r="AT832" s="473">
        <v>200</v>
      </c>
      <c r="AU832" s="473">
        <v>0</v>
      </c>
      <c r="AV832" s="473">
        <v>49775</v>
      </c>
      <c r="AW832" s="474">
        <v>49775</v>
      </c>
      <c r="AX832" s="473">
        <v>0</v>
      </c>
      <c r="AY832" s="473">
        <v>0</v>
      </c>
      <c r="AZ832" s="475">
        <v>0</v>
      </c>
      <c r="BA832" s="475">
        <v>200</v>
      </c>
      <c r="BB832" s="475">
        <v>1800</v>
      </c>
      <c r="BC832" s="475">
        <v>0</v>
      </c>
      <c r="BD832" s="475">
        <v>0</v>
      </c>
      <c r="BE832" s="475">
        <v>25</v>
      </c>
      <c r="BF832" s="475">
        <v>0</v>
      </c>
      <c r="BG832" s="475">
        <v>2025</v>
      </c>
      <c r="BH832" s="476">
        <v>47750</v>
      </c>
      <c r="BI832" s="467"/>
      <c r="BJ832" s="468"/>
    </row>
    <row r="833" spans="1:62">
      <c r="A833" s="469">
        <v>45992</v>
      </c>
      <c r="B833" s="469" t="s">
        <v>747</v>
      </c>
      <c r="C833" s="508"/>
      <c r="D833" s="470" t="s">
        <v>749</v>
      </c>
      <c r="E833" s="471">
        <v>1700</v>
      </c>
      <c r="F833" s="470" t="s">
        <v>990</v>
      </c>
      <c r="G833" s="470" t="s">
        <v>751</v>
      </c>
      <c r="H833" s="470" t="s">
        <v>12</v>
      </c>
      <c r="I833" s="470" t="s">
        <v>991</v>
      </c>
      <c r="J833" s="472" t="s">
        <v>992</v>
      </c>
      <c r="K833" s="470" t="s">
        <v>993</v>
      </c>
      <c r="L833" s="470" t="s">
        <v>1345</v>
      </c>
      <c r="M833" s="470" t="s">
        <v>1345</v>
      </c>
      <c r="N833" s="470" t="s">
        <v>1275</v>
      </c>
      <c r="O833" s="472" t="s">
        <v>757</v>
      </c>
      <c r="P833" s="472" t="s">
        <v>738</v>
      </c>
      <c r="Q833" s="472" t="s">
        <v>758</v>
      </c>
      <c r="R833" s="472" t="s">
        <v>12</v>
      </c>
      <c r="S833" s="472" t="s">
        <v>12</v>
      </c>
      <c r="T833" s="472" t="s">
        <v>995</v>
      </c>
      <c r="U833" s="470" t="s">
        <v>996</v>
      </c>
      <c r="V833" s="470" t="s">
        <v>761</v>
      </c>
      <c r="W833" s="470" t="s">
        <v>859</v>
      </c>
      <c r="X833" s="470">
        <v>31</v>
      </c>
      <c r="Y833" s="470">
        <v>0</v>
      </c>
      <c r="Z833" s="470">
        <v>0</v>
      </c>
      <c r="AA833" s="470">
        <v>31</v>
      </c>
      <c r="AB833" s="470">
        <v>31</v>
      </c>
      <c r="AC833" s="473">
        <v>79907</v>
      </c>
      <c r="AD833" s="473">
        <v>79907</v>
      </c>
      <c r="AE833" s="473">
        <v>35958</v>
      </c>
      <c r="AF833" s="473">
        <v>14383</v>
      </c>
      <c r="AG833" s="473">
        <v>1600</v>
      </c>
      <c r="AH833" s="473">
        <v>200</v>
      </c>
      <c r="AI833" s="473">
        <v>1250</v>
      </c>
      <c r="AJ833" s="473">
        <v>2995</v>
      </c>
      <c r="AK833" s="473">
        <v>7192</v>
      </c>
      <c r="AL833" s="473">
        <v>5394</v>
      </c>
      <c r="AM833" s="473">
        <v>360</v>
      </c>
      <c r="AN833" s="473">
        <v>1259</v>
      </c>
      <c r="AO833" s="473">
        <v>719</v>
      </c>
      <c r="AP833" s="473">
        <v>180</v>
      </c>
      <c r="AQ833" s="473">
        <v>1800</v>
      </c>
      <c r="AR833" s="473">
        <v>6617</v>
      </c>
      <c r="AS833" s="473">
        <v>0</v>
      </c>
      <c r="AT833" s="473">
        <v>0</v>
      </c>
      <c r="AU833" s="473">
        <v>520</v>
      </c>
      <c r="AV833" s="473">
        <v>80427</v>
      </c>
      <c r="AW833" s="474">
        <v>79907</v>
      </c>
      <c r="AX833" s="473">
        <v>0</v>
      </c>
      <c r="AY833" s="473">
        <v>0</v>
      </c>
      <c r="AZ833" s="475">
        <v>0</v>
      </c>
      <c r="BA833" s="475">
        <v>200</v>
      </c>
      <c r="BB833" s="475">
        <v>1800</v>
      </c>
      <c r="BC833" s="475">
        <v>0</v>
      </c>
      <c r="BD833" s="475">
        <v>0</v>
      </c>
      <c r="BE833" s="475">
        <v>25</v>
      </c>
      <c r="BF833" s="475">
        <v>0</v>
      </c>
      <c r="BG833" s="475">
        <v>2025</v>
      </c>
      <c r="BH833" s="476">
        <v>78402</v>
      </c>
      <c r="BI833" s="467"/>
      <c r="BJ833" s="468"/>
    </row>
    <row r="834" spans="1:62">
      <c r="A834" s="469">
        <v>45992</v>
      </c>
      <c r="B834" s="469" t="s">
        <v>747</v>
      </c>
      <c r="C834" s="508"/>
      <c r="D834" s="470" t="s">
        <v>749</v>
      </c>
      <c r="E834" s="471">
        <v>2270</v>
      </c>
      <c r="F834" s="470" t="s">
        <v>1465</v>
      </c>
      <c r="G834" s="470" t="s">
        <v>751</v>
      </c>
      <c r="H834" s="470" t="s">
        <v>12</v>
      </c>
      <c r="I834" s="470" t="s">
        <v>1426</v>
      </c>
      <c r="J834" s="472" t="s">
        <v>1466</v>
      </c>
      <c r="K834" s="470" t="s">
        <v>1467</v>
      </c>
      <c r="L834" s="470" t="s">
        <v>824</v>
      </c>
      <c r="M834" s="470" t="s">
        <v>824</v>
      </c>
      <c r="N834" s="470" t="s">
        <v>1275</v>
      </c>
      <c r="O834" s="472" t="s">
        <v>1276</v>
      </c>
      <c r="P834" s="472" t="s">
        <v>738</v>
      </c>
      <c r="Q834" s="472" t="s">
        <v>758</v>
      </c>
      <c r="R834" s="472" t="s">
        <v>12</v>
      </c>
      <c r="S834" s="472" t="s">
        <v>12</v>
      </c>
      <c r="T834" s="472" t="s">
        <v>1468</v>
      </c>
      <c r="U834" s="470" t="s">
        <v>1469</v>
      </c>
      <c r="V834" s="470" t="s">
        <v>761</v>
      </c>
      <c r="W834" s="470" t="s">
        <v>1361</v>
      </c>
      <c r="X834" s="470">
        <v>31</v>
      </c>
      <c r="Y834" s="470">
        <v>0</v>
      </c>
      <c r="Z834" s="470">
        <v>0</v>
      </c>
      <c r="AA834" s="470">
        <v>31</v>
      </c>
      <c r="AB834" s="470">
        <v>31</v>
      </c>
      <c r="AC834" s="473">
        <v>44033</v>
      </c>
      <c r="AD834" s="473">
        <v>44033</v>
      </c>
      <c r="AE834" s="473">
        <v>19815</v>
      </c>
      <c r="AF834" s="473">
        <v>7926</v>
      </c>
      <c r="AG834" s="473">
        <v>1600</v>
      </c>
      <c r="AH834" s="473">
        <v>200</v>
      </c>
      <c r="AI834" s="473">
        <v>1250</v>
      </c>
      <c r="AJ834" s="473">
        <v>1651</v>
      </c>
      <c r="AK834" s="473">
        <v>3963</v>
      </c>
      <c r="AL834" s="473">
        <v>2972</v>
      </c>
      <c r="AM834" s="473">
        <v>198</v>
      </c>
      <c r="AN834" s="473">
        <v>694</v>
      </c>
      <c r="AO834" s="473">
        <v>396</v>
      </c>
      <c r="AP834" s="473">
        <v>99</v>
      </c>
      <c r="AQ834" s="473">
        <v>1800</v>
      </c>
      <c r="AR834" s="473">
        <v>1469</v>
      </c>
      <c r="AS834" s="473">
        <v>0</v>
      </c>
      <c r="AT834" s="473">
        <v>0</v>
      </c>
      <c r="AU834" s="473">
        <v>0</v>
      </c>
      <c r="AV834" s="473">
        <v>44033</v>
      </c>
      <c r="AW834" s="474">
        <v>44033</v>
      </c>
      <c r="AX834" s="473">
        <v>0</v>
      </c>
      <c r="AY834" s="473">
        <v>0</v>
      </c>
      <c r="AZ834" s="475">
        <v>0</v>
      </c>
      <c r="BA834" s="475">
        <v>200</v>
      </c>
      <c r="BB834" s="475">
        <v>1800</v>
      </c>
      <c r="BC834" s="475">
        <v>0</v>
      </c>
      <c r="BD834" s="475">
        <v>0</v>
      </c>
      <c r="BE834" s="475">
        <v>25</v>
      </c>
      <c r="BF834" s="475">
        <v>0</v>
      </c>
      <c r="BG834" s="475">
        <v>2025</v>
      </c>
      <c r="BH834" s="476">
        <v>42008</v>
      </c>
      <c r="BI834" s="467"/>
      <c r="BJ834" s="468"/>
    </row>
    <row r="835" spans="1:62">
      <c r="A835" s="469">
        <v>45992</v>
      </c>
      <c r="B835" s="469" t="s">
        <v>747</v>
      </c>
      <c r="C835" s="508"/>
      <c r="D835" s="470" t="s">
        <v>749</v>
      </c>
      <c r="E835" s="471">
        <v>1033</v>
      </c>
      <c r="F835" s="470" t="s">
        <v>668</v>
      </c>
      <c r="G835" s="470" t="s">
        <v>751</v>
      </c>
      <c r="H835" s="470" t="s">
        <v>12</v>
      </c>
      <c r="I835" s="470" t="s">
        <v>1003</v>
      </c>
      <c r="J835" s="472" t="s">
        <v>1004</v>
      </c>
      <c r="K835" s="470" t="s">
        <v>1005</v>
      </c>
      <c r="L835" s="470" t="s">
        <v>971</v>
      </c>
      <c r="M835" s="470" t="s">
        <v>971</v>
      </c>
      <c r="N835" s="470" t="s">
        <v>1275</v>
      </c>
      <c r="O835" s="472" t="s">
        <v>757</v>
      </c>
      <c r="P835" s="472" t="s">
        <v>738</v>
      </c>
      <c r="Q835" s="472" t="s">
        <v>758</v>
      </c>
      <c r="R835" s="472" t="s">
        <v>12</v>
      </c>
      <c r="S835" s="472" t="s">
        <v>12</v>
      </c>
      <c r="T835" s="472" t="s">
        <v>1007</v>
      </c>
      <c r="U835" s="470" t="s">
        <v>1008</v>
      </c>
      <c r="V835" s="470" t="s">
        <v>761</v>
      </c>
      <c r="W835" s="470" t="s">
        <v>1009</v>
      </c>
      <c r="X835" s="470">
        <v>31</v>
      </c>
      <c r="Y835" s="470">
        <v>0</v>
      </c>
      <c r="Z835" s="470">
        <v>0</v>
      </c>
      <c r="AA835" s="470">
        <v>31</v>
      </c>
      <c r="AB835" s="470">
        <v>31</v>
      </c>
      <c r="AC835" s="473">
        <v>133125</v>
      </c>
      <c r="AD835" s="473">
        <v>133125</v>
      </c>
      <c r="AE835" s="473">
        <v>59906</v>
      </c>
      <c r="AF835" s="473">
        <v>23962</v>
      </c>
      <c r="AG835" s="473">
        <v>1600</v>
      </c>
      <c r="AH835" s="473">
        <v>200</v>
      </c>
      <c r="AI835" s="473">
        <v>1250</v>
      </c>
      <c r="AJ835" s="473">
        <v>4990</v>
      </c>
      <c r="AK835" s="473">
        <v>11981</v>
      </c>
      <c r="AL835" s="473">
        <v>8986</v>
      </c>
      <c r="AM835" s="473">
        <v>599</v>
      </c>
      <c r="AN835" s="473">
        <v>2097</v>
      </c>
      <c r="AO835" s="473">
        <v>1198</v>
      </c>
      <c r="AP835" s="473">
        <v>300</v>
      </c>
      <c r="AQ835" s="473">
        <v>1800</v>
      </c>
      <c r="AR835" s="473">
        <v>14256</v>
      </c>
      <c r="AS835" s="473">
        <v>0</v>
      </c>
      <c r="AT835" s="473">
        <v>0</v>
      </c>
      <c r="AU835" s="473">
        <v>10696</v>
      </c>
      <c r="AV835" s="473">
        <v>143821</v>
      </c>
      <c r="AW835" s="474">
        <v>133125</v>
      </c>
      <c r="AX835" s="473">
        <v>0</v>
      </c>
      <c r="AY835" s="473">
        <v>0</v>
      </c>
      <c r="AZ835" s="475">
        <v>12531</v>
      </c>
      <c r="BA835" s="475">
        <v>200</v>
      </c>
      <c r="BB835" s="475">
        <v>1800</v>
      </c>
      <c r="BC835" s="475">
        <v>0</v>
      </c>
      <c r="BD835" s="475">
        <v>0</v>
      </c>
      <c r="BE835" s="475">
        <v>25</v>
      </c>
      <c r="BF835" s="475">
        <v>12500</v>
      </c>
      <c r="BG835" s="475">
        <v>27056</v>
      </c>
      <c r="BH835" s="476">
        <v>116765</v>
      </c>
      <c r="BI835" s="467"/>
      <c r="BJ835" s="468"/>
    </row>
    <row r="836" spans="1:62">
      <c r="A836" s="469">
        <v>45992</v>
      </c>
      <c r="B836" s="469" t="s">
        <v>747</v>
      </c>
      <c r="C836" s="508"/>
      <c r="D836" s="470" t="s">
        <v>749</v>
      </c>
      <c r="E836" s="471">
        <v>2289</v>
      </c>
      <c r="F836" s="470" t="s">
        <v>1528</v>
      </c>
      <c r="G836" s="470" t="s">
        <v>812</v>
      </c>
      <c r="H836" s="470" t="s">
        <v>12</v>
      </c>
      <c r="I836" s="470" t="s">
        <v>1529</v>
      </c>
      <c r="J836" s="472" t="s">
        <v>1530</v>
      </c>
      <c r="K836" s="470" t="s">
        <v>1531</v>
      </c>
      <c r="L836" s="470" t="s">
        <v>1123</v>
      </c>
      <c r="M836" s="470" t="s">
        <v>1124</v>
      </c>
      <c r="N836" s="470" t="s">
        <v>1108</v>
      </c>
      <c r="O836" s="472" t="s">
        <v>757</v>
      </c>
      <c r="P836" s="472" t="s">
        <v>738</v>
      </c>
      <c r="Q836" s="472" t="s">
        <v>758</v>
      </c>
      <c r="R836" s="472" t="s">
        <v>12</v>
      </c>
      <c r="S836" s="472" t="s">
        <v>12</v>
      </c>
      <c r="T836" s="472" t="s">
        <v>1532</v>
      </c>
      <c r="U836" s="470" t="s">
        <v>1533</v>
      </c>
      <c r="V836" s="470" t="s">
        <v>761</v>
      </c>
      <c r="W836" s="470" t="s">
        <v>1534</v>
      </c>
      <c r="X836" s="470">
        <v>31</v>
      </c>
      <c r="Y836" s="470">
        <v>0</v>
      </c>
      <c r="Z836" s="470">
        <v>1.5</v>
      </c>
      <c r="AA836" s="470">
        <v>29.5</v>
      </c>
      <c r="AB836" s="470">
        <v>29.5</v>
      </c>
      <c r="AC836" s="473">
        <v>52200</v>
      </c>
      <c r="AD836" s="473">
        <v>52200</v>
      </c>
      <c r="AE836" s="473">
        <v>22353</v>
      </c>
      <c r="AF836" s="473">
        <v>8941</v>
      </c>
      <c r="AG836" s="473">
        <v>1523</v>
      </c>
      <c r="AH836" s="473">
        <v>190</v>
      </c>
      <c r="AI836" s="473">
        <v>1190</v>
      </c>
      <c r="AJ836" s="473">
        <v>1862</v>
      </c>
      <c r="AK836" s="473">
        <v>4471</v>
      </c>
      <c r="AL836" s="473">
        <v>3353</v>
      </c>
      <c r="AM836" s="473">
        <v>224</v>
      </c>
      <c r="AN836" s="473">
        <v>782</v>
      </c>
      <c r="AO836" s="473">
        <v>447</v>
      </c>
      <c r="AP836" s="473">
        <v>112</v>
      </c>
      <c r="AQ836" s="473">
        <v>1800</v>
      </c>
      <c r="AR836" s="473">
        <v>2426</v>
      </c>
      <c r="AS836" s="473">
        <v>0</v>
      </c>
      <c r="AT836" s="473">
        <v>6960</v>
      </c>
      <c r="AU836" s="473">
        <v>0</v>
      </c>
      <c r="AV836" s="473">
        <v>56634</v>
      </c>
      <c r="AW836" s="474">
        <v>56634</v>
      </c>
      <c r="AX836" s="473">
        <v>0</v>
      </c>
      <c r="AY836" s="473">
        <v>0</v>
      </c>
      <c r="AZ836" s="475">
        <v>0</v>
      </c>
      <c r="BA836" s="475">
        <v>200</v>
      </c>
      <c r="BB836" s="475">
        <v>1800</v>
      </c>
      <c r="BC836" s="475">
        <v>0</v>
      </c>
      <c r="BD836" s="475">
        <v>0</v>
      </c>
      <c r="BE836" s="475">
        <v>25</v>
      </c>
      <c r="BF836" s="475">
        <v>0</v>
      </c>
      <c r="BG836" s="475">
        <v>2025</v>
      </c>
      <c r="BH836" s="476">
        <v>54609</v>
      </c>
      <c r="BI836" s="467"/>
      <c r="BJ836" s="468"/>
    </row>
    <row r="837" spans="1:62">
      <c r="A837" s="469">
        <v>45992</v>
      </c>
      <c r="B837" s="469" t="s">
        <v>747</v>
      </c>
      <c r="C837" s="508"/>
      <c r="D837" s="470" t="s">
        <v>749</v>
      </c>
      <c r="E837" s="471">
        <v>737</v>
      </c>
      <c r="F837" s="470" t="s">
        <v>1023</v>
      </c>
      <c r="G837" s="470" t="s">
        <v>751</v>
      </c>
      <c r="H837" s="470" t="s">
        <v>12</v>
      </c>
      <c r="I837" s="470" t="s">
        <v>1024</v>
      </c>
      <c r="J837" s="472" t="s">
        <v>1025</v>
      </c>
      <c r="K837" s="470" t="s">
        <v>1026</v>
      </c>
      <c r="L837" s="470" t="s">
        <v>979</v>
      </c>
      <c r="M837" s="470" t="s">
        <v>979</v>
      </c>
      <c r="N837" s="470" t="s">
        <v>833</v>
      </c>
      <c r="O837" s="472" t="s">
        <v>757</v>
      </c>
      <c r="P837" s="472" t="s">
        <v>738</v>
      </c>
      <c r="Q837" s="472" t="s">
        <v>758</v>
      </c>
      <c r="R837" s="472" t="s">
        <v>12</v>
      </c>
      <c r="S837" s="472" t="s">
        <v>12</v>
      </c>
      <c r="T837" s="472" t="s">
        <v>1029</v>
      </c>
      <c r="U837" s="470" t="s">
        <v>1030</v>
      </c>
      <c r="V837" s="470" t="s">
        <v>761</v>
      </c>
      <c r="W837" s="470" t="s">
        <v>762</v>
      </c>
      <c r="X837" s="470">
        <v>31</v>
      </c>
      <c r="Y837" s="470">
        <v>0</v>
      </c>
      <c r="Z837" s="470">
        <v>0</v>
      </c>
      <c r="AA837" s="470">
        <v>31</v>
      </c>
      <c r="AB837" s="470">
        <v>31</v>
      </c>
      <c r="AC837" s="473">
        <v>22933</v>
      </c>
      <c r="AD837" s="473">
        <v>22933</v>
      </c>
      <c r="AE837" s="473">
        <v>10320</v>
      </c>
      <c r="AF837" s="473">
        <v>4128</v>
      </c>
      <c r="AG837" s="473">
        <v>1600</v>
      </c>
      <c r="AH837" s="473">
        <v>200</v>
      </c>
      <c r="AI837" s="473">
        <v>1250</v>
      </c>
      <c r="AJ837" s="473">
        <v>0</v>
      </c>
      <c r="AK837" s="473">
        <v>0</v>
      </c>
      <c r="AL837" s="473">
        <v>0</v>
      </c>
      <c r="AM837" s="473">
        <v>0</v>
      </c>
      <c r="AN837" s="473">
        <v>0</v>
      </c>
      <c r="AO837" s="473">
        <v>0</v>
      </c>
      <c r="AP837" s="473">
        <v>0</v>
      </c>
      <c r="AQ837" s="473">
        <v>1238</v>
      </c>
      <c r="AR837" s="473">
        <v>4197</v>
      </c>
      <c r="AS837" s="473">
        <v>0</v>
      </c>
      <c r="AT837" s="473">
        <v>0</v>
      </c>
      <c r="AU837" s="473">
        <v>5428</v>
      </c>
      <c r="AV837" s="473">
        <v>28361</v>
      </c>
      <c r="AW837" s="474">
        <v>22933</v>
      </c>
      <c r="AX837" s="473">
        <v>0</v>
      </c>
      <c r="AY837" s="473">
        <v>0</v>
      </c>
      <c r="AZ837" s="475">
        <v>0</v>
      </c>
      <c r="BA837" s="475">
        <v>200</v>
      </c>
      <c r="BB837" s="475">
        <v>1238</v>
      </c>
      <c r="BC837" s="475">
        <v>0</v>
      </c>
      <c r="BD837" s="475">
        <v>0</v>
      </c>
      <c r="BE837" s="475">
        <v>25</v>
      </c>
      <c r="BF837" s="475">
        <v>0</v>
      </c>
      <c r="BG837" s="475">
        <v>1463</v>
      </c>
      <c r="BH837" s="476">
        <v>26898</v>
      </c>
      <c r="BI837" s="467"/>
      <c r="BJ837" s="468"/>
    </row>
    <row r="838" spans="1:62">
      <c r="A838" s="469">
        <v>45992</v>
      </c>
      <c r="B838" s="469" t="s">
        <v>747</v>
      </c>
      <c r="C838" s="508"/>
      <c r="D838" s="470" t="s">
        <v>749</v>
      </c>
      <c r="E838" s="471">
        <v>649</v>
      </c>
      <c r="F838" s="470" t="s">
        <v>1031</v>
      </c>
      <c r="G838" s="470" t="s">
        <v>812</v>
      </c>
      <c r="H838" s="470" t="s">
        <v>12</v>
      </c>
      <c r="I838" s="470" t="s">
        <v>1032</v>
      </c>
      <c r="J838" s="472" t="s">
        <v>1033</v>
      </c>
      <c r="K838" s="470" t="s">
        <v>1034</v>
      </c>
      <c r="L838" s="470" t="s">
        <v>1535</v>
      </c>
      <c r="M838" s="470" t="s">
        <v>942</v>
      </c>
      <c r="N838" s="470" t="s">
        <v>833</v>
      </c>
      <c r="O838" s="472" t="s">
        <v>792</v>
      </c>
      <c r="P838" s="472" t="s">
        <v>738</v>
      </c>
      <c r="Q838" s="472" t="s">
        <v>758</v>
      </c>
      <c r="R838" s="472" t="s">
        <v>12</v>
      </c>
      <c r="S838" s="472" t="s">
        <v>12</v>
      </c>
      <c r="T838" s="472" t="s">
        <v>1036</v>
      </c>
      <c r="U838" s="470" t="s">
        <v>1037</v>
      </c>
      <c r="V838" s="470" t="s">
        <v>761</v>
      </c>
      <c r="W838" s="470" t="s">
        <v>762</v>
      </c>
      <c r="X838" s="470">
        <v>31</v>
      </c>
      <c r="Y838" s="470">
        <v>0</v>
      </c>
      <c r="Z838" s="470">
        <v>0.5</v>
      </c>
      <c r="AA838" s="470">
        <v>30.5</v>
      </c>
      <c r="AB838" s="470">
        <v>30.5</v>
      </c>
      <c r="AC838" s="473">
        <v>183333</v>
      </c>
      <c r="AD838" s="473">
        <v>183333</v>
      </c>
      <c r="AE838" s="473">
        <v>81169</v>
      </c>
      <c r="AF838" s="473">
        <v>32468</v>
      </c>
      <c r="AG838" s="473">
        <v>1574</v>
      </c>
      <c r="AH838" s="473">
        <v>197</v>
      </c>
      <c r="AI838" s="473">
        <v>1230</v>
      </c>
      <c r="AJ838" s="473">
        <v>6761</v>
      </c>
      <c r="AK838" s="473">
        <v>16234</v>
      </c>
      <c r="AL838" s="473">
        <v>12175</v>
      </c>
      <c r="AM838" s="473">
        <v>812</v>
      </c>
      <c r="AN838" s="473">
        <v>2841</v>
      </c>
      <c r="AO838" s="473">
        <v>1623</v>
      </c>
      <c r="AP838" s="473">
        <v>406</v>
      </c>
      <c r="AQ838" s="473">
        <v>1800</v>
      </c>
      <c r="AR838" s="473">
        <v>21086</v>
      </c>
      <c r="AS838" s="473">
        <v>0</v>
      </c>
      <c r="AT838" s="473">
        <v>0</v>
      </c>
      <c r="AU838" s="473">
        <v>0</v>
      </c>
      <c r="AV838" s="473">
        <v>180376</v>
      </c>
      <c r="AW838" s="474">
        <v>180376</v>
      </c>
      <c r="AX838" s="473">
        <v>0</v>
      </c>
      <c r="AY838" s="473">
        <v>0</v>
      </c>
      <c r="AZ838" s="475">
        <v>30000</v>
      </c>
      <c r="BA838" s="475">
        <v>200</v>
      </c>
      <c r="BB838" s="475">
        <v>1800</v>
      </c>
      <c r="BC838" s="475">
        <v>0</v>
      </c>
      <c r="BD838" s="475">
        <v>0</v>
      </c>
      <c r="BE838" s="475">
        <v>25</v>
      </c>
      <c r="BF838" s="475">
        <v>0</v>
      </c>
      <c r="BG838" s="475">
        <v>32025</v>
      </c>
      <c r="BH838" s="476">
        <v>148351</v>
      </c>
      <c r="BI838" s="467"/>
      <c r="BJ838" s="468"/>
    </row>
    <row r="839" spans="1:62">
      <c r="A839" s="469">
        <v>45992</v>
      </c>
      <c r="B839" s="469" t="s">
        <v>747</v>
      </c>
      <c r="C839" s="508"/>
      <c r="D839" s="470" t="s">
        <v>749</v>
      </c>
      <c r="E839" s="471">
        <v>1746</v>
      </c>
      <c r="F839" s="470" t="s">
        <v>1038</v>
      </c>
      <c r="G839" s="470" t="s">
        <v>751</v>
      </c>
      <c r="H839" s="470" t="s">
        <v>12</v>
      </c>
      <c r="I839" s="470" t="s">
        <v>1039</v>
      </c>
      <c r="J839" s="472" t="s">
        <v>1040</v>
      </c>
      <c r="K839" s="470" t="s">
        <v>1041</v>
      </c>
      <c r="L839" s="470" t="s">
        <v>1042</v>
      </c>
      <c r="M839" s="470" t="s">
        <v>1042</v>
      </c>
      <c r="N839" s="470" t="s">
        <v>833</v>
      </c>
      <c r="O839" s="472" t="s">
        <v>1043</v>
      </c>
      <c r="P839" s="472" t="s">
        <v>738</v>
      </c>
      <c r="Q839" s="472" t="s">
        <v>758</v>
      </c>
      <c r="R839" s="472" t="s">
        <v>12</v>
      </c>
      <c r="S839" s="472" t="s">
        <v>12</v>
      </c>
      <c r="T839" s="472" t="s">
        <v>1044</v>
      </c>
      <c r="U839" s="470" t="s">
        <v>1045</v>
      </c>
      <c r="V839" s="470" t="s">
        <v>761</v>
      </c>
      <c r="W839" s="470" t="s">
        <v>762</v>
      </c>
      <c r="X839" s="470">
        <v>31</v>
      </c>
      <c r="Y839" s="470">
        <v>0</v>
      </c>
      <c r="Z839" s="470">
        <v>1</v>
      </c>
      <c r="AA839" s="470">
        <v>30</v>
      </c>
      <c r="AB839" s="470">
        <v>30</v>
      </c>
      <c r="AC839" s="473">
        <v>28500</v>
      </c>
      <c r="AD839" s="473">
        <v>28500</v>
      </c>
      <c r="AE839" s="473">
        <v>12411</v>
      </c>
      <c r="AF839" s="473">
        <v>4964</v>
      </c>
      <c r="AG839" s="473">
        <v>1548</v>
      </c>
      <c r="AH839" s="473">
        <v>194</v>
      </c>
      <c r="AI839" s="473">
        <v>1210</v>
      </c>
      <c r="AJ839" s="473">
        <v>0</v>
      </c>
      <c r="AK839" s="473">
        <v>0</v>
      </c>
      <c r="AL839" s="473">
        <v>0</v>
      </c>
      <c r="AM839" s="473">
        <v>0</v>
      </c>
      <c r="AN839" s="473">
        <v>0</v>
      </c>
      <c r="AO839" s="473">
        <v>0</v>
      </c>
      <c r="AP839" s="473">
        <v>0</v>
      </c>
      <c r="AQ839" s="473">
        <v>1489</v>
      </c>
      <c r="AR839" s="473">
        <v>5765</v>
      </c>
      <c r="AS839" s="473">
        <v>0</v>
      </c>
      <c r="AT839" s="473">
        <v>0</v>
      </c>
      <c r="AU839" s="473">
        <v>2212</v>
      </c>
      <c r="AV839" s="473">
        <v>29793</v>
      </c>
      <c r="AW839" s="474">
        <v>27581</v>
      </c>
      <c r="AX839" s="473">
        <v>0</v>
      </c>
      <c r="AY839" s="473">
        <v>0</v>
      </c>
      <c r="AZ839" s="475">
        <v>0</v>
      </c>
      <c r="BA839" s="475">
        <v>200</v>
      </c>
      <c r="BB839" s="475">
        <v>1489</v>
      </c>
      <c r="BC839" s="475">
        <v>0</v>
      </c>
      <c r="BD839" s="475">
        <v>0</v>
      </c>
      <c r="BE839" s="475">
        <v>25</v>
      </c>
      <c r="BF839" s="475">
        <v>0</v>
      </c>
      <c r="BG839" s="475">
        <v>1714</v>
      </c>
      <c r="BH839" s="476">
        <v>28079</v>
      </c>
      <c r="BI839" s="467"/>
      <c r="BJ839" s="468"/>
    </row>
    <row r="840" spans="1:62">
      <c r="A840" s="469">
        <v>45992</v>
      </c>
      <c r="B840" s="469" t="s">
        <v>747</v>
      </c>
      <c r="C840" s="508"/>
      <c r="D840" s="470" t="s">
        <v>749</v>
      </c>
      <c r="E840" s="471">
        <v>2252</v>
      </c>
      <c r="F840" s="470" t="s">
        <v>1415</v>
      </c>
      <c r="G840" s="470" t="s">
        <v>751</v>
      </c>
      <c r="H840" s="470" t="s">
        <v>12</v>
      </c>
      <c r="I840" s="470" t="s">
        <v>1416</v>
      </c>
      <c r="J840" s="472" t="s">
        <v>1417</v>
      </c>
      <c r="K840" s="470" t="s">
        <v>1418</v>
      </c>
      <c r="L840" s="470" t="s">
        <v>1419</v>
      </c>
      <c r="M840" s="470" t="s">
        <v>1124</v>
      </c>
      <c r="N840" s="470" t="s">
        <v>1108</v>
      </c>
      <c r="O840" s="472" t="s">
        <v>757</v>
      </c>
      <c r="P840" s="472" t="s">
        <v>738</v>
      </c>
      <c r="Q840" s="472" t="s">
        <v>758</v>
      </c>
      <c r="R840" s="472" t="s">
        <v>12</v>
      </c>
      <c r="S840" s="472" t="s">
        <v>12</v>
      </c>
      <c r="T840" s="472" t="s">
        <v>1420</v>
      </c>
      <c r="U840" s="470" t="s">
        <v>1421</v>
      </c>
      <c r="V840" s="470" t="s">
        <v>761</v>
      </c>
      <c r="W840" s="470" t="s">
        <v>1422</v>
      </c>
      <c r="X840" s="470">
        <v>31</v>
      </c>
      <c r="Y840" s="470">
        <v>0</v>
      </c>
      <c r="Z840" s="470">
        <v>5.5</v>
      </c>
      <c r="AA840" s="470">
        <v>25.5</v>
      </c>
      <c r="AB840" s="470">
        <v>25.5</v>
      </c>
      <c r="AC840" s="473">
        <v>52200</v>
      </c>
      <c r="AD840" s="473">
        <v>52200</v>
      </c>
      <c r="AE840" s="473">
        <v>19323</v>
      </c>
      <c r="AF840" s="473">
        <v>7729</v>
      </c>
      <c r="AG840" s="473">
        <v>1316</v>
      </c>
      <c r="AH840" s="473">
        <v>165</v>
      </c>
      <c r="AI840" s="473">
        <v>1028</v>
      </c>
      <c r="AJ840" s="473">
        <v>1610</v>
      </c>
      <c r="AK840" s="473">
        <v>3865</v>
      </c>
      <c r="AL840" s="473">
        <v>2898</v>
      </c>
      <c r="AM840" s="473">
        <v>193</v>
      </c>
      <c r="AN840" s="473">
        <v>676</v>
      </c>
      <c r="AO840" s="473">
        <v>386</v>
      </c>
      <c r="AP840" s="473">
        <v>97</v>
      </c>
      <c r="AQ840" s="473">
        <v>1800</v>
      </c>
      <c r="AR840" s="473">
        <v>1853</v>
      </c>
      <c r="AS840" s="473">
        <v>0</v>
      </c>
      <c r="AT840" s="473">
        <v>0</v>
      </c>
      <c r="AU840" s="473">
        <v>0</v>
      </c>
      <c r="AV840" s="473">
        <v>42939</v>
      </c>
      <c r="AW840" s="474">
        <v>42939</v>
      </c>
      <c r="AX840" s="473">
        <v>0</v>
      </c>
      <c r="AY840" s="473">
        <v>160</v>
      </c>
      <c r="AZ840" s="475">
        <v>0</v>
      </c>
      <c r="BA840" s="475">
        <v>200</v>
      </c>
      <c r="BB840" s="475">
        <v>1800</v>
      </c>
      <c r="BC840" s="475">
        <v>0</v>
      </c>
      <c r="BD840" s="475">
        <v>0</v>
      </c>
      <c r="BE840" s="475">
        <v>25</v>
      </c>
      <c r="BF840" s="475">
        <v>0</v>
      </c>
      <c r="BG840" s="475">
        <v>2185</v>
      </c>
      <c r="BH840" s="476">
        <v>40754</v>
      </c>
      <c r="BI840" s="467"/>
      <c r="BJ840" s="468"/>
    </row>
    <row r="841" spans="1:62">
      <c r="A841" s="469">
        <v>45992</v>
      </c>
      <c r="B841" s="469" t="s">
        <v>747</v>
      </c>
      <c r="C841" s="508"/>
      <c r="D841" s="470" t="s">
        <v>749</v>
      </c>
      <c r="E841" s="471">
        <v>1771</v>
      </c>
      <c r="F841" s="470" t="s">
        <v>1046</v>
      </c>
      <c r="G841" s="470" t="s">
        <v>751</v>
      </c>
      <c r="H841" s="470" t="s">
        <v>12</v>
      </c>
      <c r="I841" s="470" t="s">
        <v>781</v>
      </c>
      <c r="J841" s="472" t="s">
        <v>1047</v>
      </c>
      <c r="K841" s="470" t="s">
        <v>1048</v>
      </c>
      <c r="L841" s="470" t="s">
        <v>1338</v>
      </c>
      <c r="M841" s="470" t="s">
        <v>1338</v>
      </c>
      <c r="N841" s="470" t="s">
        <v>1275</v>
      </c>
      <c r="O841" s="472" t="s">
        <v>757</v>
      </c>
      <c r="P841" s="472" t="s">
        <v>738</v>
      </c>
      <c r="Q841" s="472" t="s">
        <v>758</v>
      </c>
      <c r="R841" s="472" t="s">
        <v>12</v>
      </c>
      <c r="S841" s="472" t="s">
        <v>12</v>
      </c>
      <c r="T841" s="472" t="s">
        <v>1049</v>
      </c>
      <c r="U841" s="470" t="s">
        <v>1050</v>
      </c>
      <c r="V841" s="470" t="s">
        <v>761</v>
      </c>
      <c r="W841" s="470" t="s">
        <v>795</v>
      </c>
      <c r="X841" s="470">
        <v>31</v>
      </c>
      <c r="Y841" s="470">
        <v>0</v>
      </c>
      <c r="Z841" s="470">
        <v>0</v>
      </c>
      <c r="AA841" s="470">
        <v>31</v>
      </c>
      <c r="AB841" s="470">
        <v>31</v>
      </c>
      <c r="AC841" s="473">
        <v>92504</v>
      </c>
      <c r="AD841" s="473">
        <v>92504</v>
      </c>
      <c r="AE841" s="473">
        <v>41627</v>
      </c>
      <c r="AF841" s="473">
        <v>16651</v>
      </c>
      <c r="AG841" s="473">
        <v>1600</v>
      </c>
      <c r="AH841" s="473">
        <v>200</v>
      </c>
      <c r="AI841" s="473">
        <v>1250</v>
      </c>
      <c r="AJ841" s="473">
        <v>3468</v>
      </c>
      <c r="AK841" s="473">
        <v>8325</v>
      </c>
      <c r="AL841" s="473">
        <v>6244</v>
      </c>
      <c r="AM841" s="473">
        <v>416</v>
      </c>
      <c r="AN841" s="473">
        <v>1457</v>
      </c>
      <c r="AO841" s="473">
        <v>833</v>
      </c>
      <c r="AP841" s="473">
        <v>208</v>
      </c>
      <c r="AQ841" s="473">
        <v>1800</v>
      </c>
      <c r="AR841" s="473">
        <v>8425</v>
      </c>
      <c r="AS841" s="473">
        <v>0</v>
      </c>
      <c r="AT841" s="473">
        <v>0</v>
      </c>
      <c r="AU841" s="473">
        <v>2045</v>
      </c>
      <c r="AV841" s="473">
        <v>94549</v>
      </c>
      <c r="AW841" s="474">
        <v>92504</v>
      </c>
      <c r="AX841" s="473">
        <v>0</v>
      </c>
      <c r="AY841" s="473">
        <v>0</v>
      </c>
      <c r="AZ841" s="475">
        <v>0</v>
      </c>
      <c r="BA841" s="475">
        <v>200</v>
      </c>
      <c r="BB841" s="475">
        <v>1800</v>
      </c>
      <c r="BC841" s="475">
        <v>0</v>
      </c>
      <c r="BD841" s="475">
        <v>0</v>
      </c>
      <c r="BE841" s="475">
        <v>25</v>
      </c>
      <c r="BF841" s="475">
        <v>0</v>
      </c>
      <c r="BG841" s="475">
        <v>2025</v>
      </c>
      <c r="BH841" s="476">
        <v>92524</v>
      </c>
      <c r="BI841" s="467"/>
      <c r="BJ841" s="468"/>
    </row>
    <row r="842" spans="1:62">
      <c r="A842" s="469">
        <v>45992</v>
      </c>
      <c r="B842" s="469" t="s">
        <v>747</v>
      </c>
      <c r="C842" s="508"/>
      <c r="D842" s="470" t="s">
        <v>749</v>
      </c>
      <c r="E842" s="471">
        <v>1445</v>
      </c>
      <c r="F842" s="470" t="s">
        <v>1057</v>
      </c>
      <c r="G842" s="470" t="s">
        <v>751</v>
      </c>
      <c r="H842" s="470" t="s">
        <v>12</v>
      </c>
      <c r="I842" s="470" t="s">
        <v>1058</v>
      </c>
      <c r="J842" s="472" t="s">
        <v>1059</v>
      </c>
      <c r="K842" s="470" t="s">
        <v>1060</v>
      </c>
      <c r="L842" s="470" t="s">
        <v>800</v>
      </c>
      <c r="M842" s="470" t="s">
        <v>801</v>
      </c>
      <c r="N842" s="470" t="s">
        <v>756</v>
      </c>
      <c r="O842" s="472" t="s">
        <v>757</v>
      </c>
      <c r="P842" s="472" t="s">
        <v>738</v>
      </c>
      <c r="Q842" s="472" t="s">
        <v>758</v>
      </c>
      <c r="R842" s="472" t="s">
        <v>12</v>
      </c>
      <c r="S842" s="472" t="s">
        <v>12</v>
      </c>
      <c r="T842" s="472" t="s">
        <v>1061</v>
      </c>
      <c r="U842" s="470" t="s">
        <v>1062</v>
      </c>
      <c r="V842" s="470" t="s">
        <v>761</v>
      </c>
      <c r="W842" s="470" t="s">
        <v>1063</v>
      </c>
      <c r="X842" s="470">
        <v>31</v>
      </c>
      <c r="Y842" s="470">
        <v>0</v>
      </c>
      <c r="Z842" s="470">
        <v>2</v>
      </c>
      <c r="AA842" s="470">
        <v>29</v>
      </c>
      <c r="AB842" s="470">
        <v>29</v>
      </c>
      <c r="AC842" s="473">
        <v>50225</v>
      </c>
      <c r="AD842" s="473">
        <v>50225</v>
      </c>
      <c r="AE842" s="473">
        <v>21143</v>
      </c>
      <c r="AF842" s="473">
        <v>8457</v>
      </c>
      <c r="AG842" s="473">
        <v>1497</v>
      </c>
      <c r="AH842" s="473">
        <v>187</v>
      </c>
      <c r="AI842" s="473">
        <v>1169</v>
      </c>
      <c r="AJ842" s="473">
        <v>1761</v>
      </c>
      <c r="AK842" s="473">
        <v>4229</v>
      </c>
      <c r="AL842" s="473">
        <v>3171</v>
      </c>
      <c r="AM842" s="473">
        <v>211</v>
      </c>
      <c r="AN842" s="473">
        <v>740</v>
      </c>
      <c r="AO842" s="473">
        <v>423</v>
      </c>
      <c r="AP842" s="473">
        <v>106</v>
      </c>
      <c r="AQ842" s="473">
        <v>1800</v>
      </c>
      <c r="AR842" s="473">
        <v>2091</v>
      </c>
      <c r="AS842" s="473">
        <v>0</v>
      </c>
      <c r="AT842" s="473">
        <v>3440</v>
      </c>
      <c r="AU842" s="473">
        <v>0</v>
      </c>
      <c r="AV842" s="473">
        <v>50425</v>
      </c>
      <c r="AW842" s="474">
        <v>50425</v>
      </c>
      <c r="AX842" s="473">
        <v>0</v>
      </c>
      <c r="AY842" s="473">
        <v>0</v>
      </c>
      <c r="AZ842" s="475">
        <v>0</v>
      </c>
      <c r="BA842" s="475">
        <v>200</v>
      </c>
      <c r="BB842" s="475">
        <v>1800</v>
      </c>
      <c r="BC842" s="475">
        <v>0</v>
      </c>
      <c r="BD842" s="475">
        <v>0</v>
      </c>
      <c r="BE842" s="475">
        <v>25</v>
      </c>
      <c r="BF842" s="475">
        <v>0</v>
      </c>
      <c r="BG842" s="475">
        <v>2025</v>
      </c>
      <c r="BH842" s="476">
        <v>48400</v>
      </c>
      <c r="BI842" s="467"/>
      <c r="BJ842" s="468"/>
    </row>
    <row r="843" spans="1:62">
      <c r="A843" s="469">
        <v>45992</v>
      </c>
      <c r="B843" s="469" t="s">
        <v>747</v>
      </c>
      <c r="C843" s="508"/>
      <c r="D843" s="470" t="s">
        <v>749</v>
      </c>
      <c r="E843" s="471">
        <v>1932</v>
      </c>
      <c r="F843" s="470" t="s">
        <v>1064</v>
      </c>
      <c r="G843" s="470" t="s">
        <v>751</v>
      </c>
      <c r="H843" s="470" t="s">
        <v>12</v>
      </c>
      <c r="I843" s="470" t="s">
        <v>1065</v>
      </c>
      <c r="J843" s="472" t="s">
        <v>1066</v>
      </c>
      <c r="K843" s="470" t="s">
        <v>1067</v>
      </c>
      <c r="L843" s="470" t="s">
        <v>1068</v>
      </c>
      <c r="M843" s="470" t="s">
        <v>1068</v>
      </c>
      <c r="N843" s="470" t="s">
        <v>756</v>
      </c>
      <c r="O843" s="472" t="s">
        <v>757</v>
      </c>
      <c r="P843" s="472" t="s">
        <v>738</v>
      </c>
      <c r="Q843" s="472" t="s">
        <v>758</v>
      </c>
      <c r="R843" s="472" t="s">
        <v>12</v>
      </c>
      <c r="S843" s="472" t="s">
        <v>12</v>
      </c>
      <c r="T843" s="472" t="s">
        <v>1069</v>
      </c>
      <c r="U843" s="470" t="s">
        <v>1070</v>
      </c>
      <c r="V843" s="470" t="s">
        <v>761</v>
      </c>
      <c r="W843" s="470" t="s">
        <v>859</v>
      </c>
      <c r="X843" s="470">
        <v>31</v>
      </c>
      <c r="Y843" s="470">
        <v>0</v>
      </c>
      <c r="Z843" s="470">
        <v>2</v>
      </c>
      <c r="AA843" s="470">
        <v>29</v>
      </c>
      <c r="AB843" s="470">
        <v>29</v>
      </c>
      <c r="AC843" s="473">
        <v>30700</v>
      </c>
      <c r="AD843" s="473">
        <v>30700</v>
      </c>
      <c r="AE843" s="473">
        <v>12924</v>
      </c>
      <c r="AF843" s="473">
        <v>5170</v>
      </c>
      <c r="AG843" s="473">
        <v>1497</v>
      </c>
      <c r="AH843" s="473">
        <v>187</v>
      </c>
      <c r="AI843" s="473">
        <v>1169</v>
      </c>
      <c r="AJ843" s="473">
        <v>0</v>
      </c>
      <c r="AK843" s="473">
        <v>0</v>
      </c>
      <c r="AL843" s="473">
        <v>0</v>
      </c>
      <c r="AM843" s="473">
        <v>0</v>
      </c>
      <c r="AN843" s="473">
        <v>0</v>
      </c>
      <c r="AO843" s="473">
        <v>0</v>
      </c>
      <c r="AP843" s="473">
        <v>0</v>
      </c>
      <c r="AQ843" s="473">
        <v>1551</v>
      </c>
      <c r="AR843" s="473">
        <v>6221</v>
      </c>
      <c r="AS843" s="473">
        <v>0</v>
      </c>
      <c r="AT843" s="473">
        <v>0</v>
      </c>
      <c r="AU843" s="473">
        <v>0</v>
      </c>
      <c r="AV843" s="473">
        <v>28719</v>
      </c>
      <c r="AW843" s="474">
        <v>28719</v>
      </c>
      <c r="AX843" s="473">
        <v>0</v>
      </c>
      <c r="AY843" s="473">
        <v>0</v>
      </c>
      <c r="AZ843" s="475">
        <v>0</v>
      </c>
      <c r="BA843" s="475">
        <v>200</v>
      </c>
      <c r="BB843" s="475">
        <v>1551</v>
      </c>
      <c r="BC843" s="475">
        <v>0</v>
      </c>
      <c r="BD843" s="475">
        <v>0</v>
      </c>
      <c r="BE843" s="475">
        <v>25</v>
      </c>
      <c r="BF843" s="475">
        <v>0</v>
      </c>
      <c r="BG843" s="475">
        <v>1776</v>
      </c>
      <c r="BH843" s="476">
        <v>26943</v>
      </c>
      <c r="BI843" s="467"/>
      <c r="BJ843" s="468"/>
    </row>
    <row r="844" spans="1:62">
      <c r="A844" s="469">
        <v>45992</v>
      </c>
      <c r="B844" s="469" t="s">
        <v>747</v>
      </c>
      <c r="C844" s="508"/>
      <c r="D844" s="470" t="s">
        <v>749</v>
      </c>
      <c r="E844" s="471">
        <v>2014</v>
      </c>
      <c r="F844" s="470" t="s">
        <v>1071</v>
      </c>
      <c r="G844" s="470" t="s">
        <v>751</v>
      </c>
      <c r="H844" s="470" t="s">
        <v>12</v>
      </c>
      <c r="I844" s="470" t="s">
        <v>847</v>
      </c>
      <c r="J844" s="472" t="s">
        <v>1072</v>
      </c>
      <c r="K844" s="470" t="s">
        <v>1073</v>
      </c>
      <c r="L844" s="470" t="s">
        <v>1074</v>
      </c>
      <c r="M844" s="470" t="s">
        <v>1074</v>
      </c>
      <c r="N844" s="470" t="s">
        <v>833</v>
      </c>
      <c r="O844" s="472" t="s">
        <v>757</v>
      </c>
      <c r="P844" s="472" t="s">
        <v>738</v>
      </c>
      <c r="Q844" s="472" t="s">
        <v>758</v>
      </c>
      <c r="R844" s="472" t="s">
        <v>12</v>
      </c>
      <c r="S844" s="472" t="s">
        <v>12</v>
      </c>
      <c r="T844" s="472" t="s">
        <v>1076</v>
      </c>
      <c r="U844" s="470" t="s">
        <v>1077</v>
      </c>
      <c r="V844" s="470" t="s">
        <v>761</v>
      </c>
      <c r="W844" s="470" t="s">
        <v>762</v>
      </c>
      <c r="X844" s="470">
        <v>31</v>
      </c>
      <c r="Y844" s="470">
        <v>0</v>
      </c>
      <c r="Z844" s="470">
        <v>0</v>
      </c>
      <c r="AA844" s="470">
        <v>31</v>
      </c>
      <c r="AB844" s="470">
        <v>31</v>
      </c>
      <c r="AC844" s="473">
        <v>32033</v>
      </c>
      <c r="AD844" s="473">
        <v>32033</v>
      </c>
      <c r="AE844" s="473">
        <v>14415</v>
      </c>
      <c r="AF844" s="473">
        <v>5766</v>
      </c>
      <c r="AG844" s="473">
        <v>1600</v>
      </c>
      <c r="AH844" s="473">
        <v>200</v>
      </c>
      <c r="AI844" s="473">
        <v>1250</v>
      </c>
      <c r="AJ844" s="473">
        <v>0</v>
      </c>
      <c r="AK844" s="473">
        <v>0</v>
      </c>
      <c r="AL844" s="473">
        <v>0</v>
      </c>
      <c r="AM844" s="473">
        <v>0</v>
      </c>
      <c r="AN844" s="473">
        <v>0</v>
      </c>
      <c r="AO844" s="473">
        <v>0</v>
      </c>
      <c r="AP844" s="473">
        <v>0</v>
      </c>
      <c r="AQ844" s="473">
        <v>1730</v>
      </c>
      <c r="AR844" s="473">
        <v>7072</v>
      </c>
      <c r="AS844" s="473">
        <v>0</v>
      </c>
      <c r="AT844" s="473">
        <v>0</v>
      </c>
      <c r="AU844" s="473">
        <v>7045</v>
      </c>
      <c r="AV844" s="473">
        <v>39078</v>
      </c>
      <c r="AW844" s="474">
        <v>32033</v>
      </c>
      <c r="AX844" s="473">
        <v>0</v>
      </c>
      <c r="AY844" s="473">
        <v>0</v>
      </c>
      <c r="AZ844" s="475">
        <v>0</v>
      </c>
      <c r="BA844" s="475">
        <v>200</v>
      </c>
      <c r="BB844" s="475">
        <v>1730</v>
      </c>
      <c r="BC844" s="475">
        <v>0</v>
      </c>
      <c r="BD844" s="475">
        <v>0</v>
      </c>
      <c r="BE844" s="475">
        <v>25</v>
      </c>
      <c r="BF844" s="475">
        <v>0</v>
      </c>
      <c r="BG844" s="475">
        <v>1955</v>
      </c>
      <c r="BH844" s="476">
        <v>37123</v>
      </c>
      <c r="BI844" s="467"/>
      <c r="BJ844" s="468"/>
    </row>
    <row r="845" spans="1:62">
      <c r="A845" s="469">
        <v>45992</v>
      </c>
      <c r="B845" s="469" t="s">
        <v>747</v>
      </c>
      <c r="C845" s="508"/>
      <c r="D845" s="470" t="s">
        <v>749</v>
      </c>
      <c r="E845" s="471">
        <v>2190</v>
      </c>
      <c r="F845" s="470" t="s">
        <v>1294</v>
      </c>
      <c r="G845" s="470" t="s">
        <v>751</v>
      </c>
      <c r="H845" s="470" t="s">
        <v>12</v>
      </c>
      <c r="I845" s="470" t="s">
        <v>1295</v>
      </c>
      <c r="J845" s="472" t="s">
        <v>1296</v>
      </c>
      <c r="K845" s="470" t="s">
        <v>1297</v>
      </c>
      <c r="L845" s="470" t="s">
        <v>1298</v>
      </c>
      <c r="M845" s="470" t="s">
        <v>1298</v>
      </c>
      <c r="N845" s="470" t="s">
        <v>1075</v>
      </c>
      <c r="O845" s="472" t="s">
        <v>757</v>
      </c>
      <c r="P845" s="472" t="s">
        <v>738</v>
      </c>
      <c r="Q845" s="472" t="s">
        <v>758</v>
      </c>
      <c r="R845" s="472" t="s">
        <v>12</v>
      </c>
      <c r="S845" s="472" t="s">
        <v>12</v>
      </c>
      <c r="T845" s="472" t="s">
        <v>1299</v>
      </c>
      <c r="U845" s="470" t="s">
        <v>1300</v>
      </c>
      <c r="V845" s="470" t="s">
        <v>761</v>
      </c>
      <c r="W845" s="470" t="s">
        <v>1301</v>
      </c>
      <c r="X845" s="470">
        <v>31</v>
      </c>
      <c r="Y845" s="470">
        <v>0</v>
      </c>
      <c r="Z845" s="470">
        <v>1</v>
      </c>
      <c r="AA845" s="470">
        <v>30</v>
      </c>
      <c r="AB845" s="470">
        <v>30</v>
      </c>
      <c r="AC845" s="473">
        <v>24438</v>
      </c>
      <c r="AD845" s="473">
        <v>24438</v>
      </c>
      <c r="AE845" s="473">
        <v>10643</v>
      </c>
      <c r="AF845" s="473">
        <v>4257</v>
      </c>
      <c r="AG845" s="473">
        <v>1548</v>
      </c>
      <c r="AH845" s="473">
        <v>194</v>
      </c>
      <c r="AI845" s="473">
        <v>1210</v>
      </c>
      <c r="AJ845" s="473">
        <v>0</v>
      </c>
      <c r="AK845" s="473">
        <v>0</v>
      </c>
      <c r="AL845" s="473">
        <v>0</v>
      </c>
      <c r="AM845" s="473">
        <v>0</v>
      </c>
      <c r="AN845" s="473">
        <v>0</v>
      </c>
      <c r="AO845" s="473">
        <v>0</v>
      </c>
      <c r="AP845" s="473">
        <v>0</v>
      </c>
      <c r="AQ845" s="473">
        <v>1277</v>
      </c>
      <c r="AR845" s="473">
        <v>4521</v>
      </c>
      <c r="AS845" s="473">
        <v>0</v>
      </c>
      <c r="AT845" s="473">
        <v>0</v>
      </c>
      <c r="AU845" s="473">
        <v>5651</v>
      </c>
      <c r="AV845" s="473">
        <v>29301</v>
      </c>
      <c r="AW845" s="474">
        <v>23650</v>
      </c>
      <c r="AX845" s="473">
        <v>0</v>
      </c>
      <c r="AY845" s="473">
        <v>160</v>
      </c>
      <c r="AZ845" s="475">
        <v>0</v>
      </c>
      <c r="BA845" s="475">
        <v>200</v>
      </c>
      <c r="BB845" s="475">
        <v>1277</v>
      </c>
      <c r="BC845" s="475">
        <v>0</v>
      </c>
      <c r="BD845" s="475">
        <v>0</v>
      </c>
      <c r="BE845" s="475">
        <v>25</v>
      </c>
      <c r="BF845" s="475">
        <v>0</v>
      </c>
      <c r="BG845" s="475">
        <v>1662</v>
      </c>
      <c r="BH845" s="476">
        <v>27639</v>
      </c>
      <c r="BI845" s="467"/>
      <c r="BJ845" s="468"/>
    </row>
    <row r="846" spans="1:62">
      <c r="A846" s="469">
        <v>45992</v>
      </c>
      <c r="B846" s="469" t="s">
        <v>747</v>
      </c>
      <c r="C846" s="508"/>
      <c r="D846" s="470" t="s">
        <v>749</v>
      </c>
      <c r="E846" s="471">
        <v>1480</v>
      </c>
      <c r="F846" s="470" t="s">
        <v>1078</v>
      </c>
      <c r="G846" s="470" t="s">
        <v>751</v>
      </c>
      <c r="H846" s="470" t="s">
        <v>12</v>
      </c>
      <c r="I846" s="470" t="s">
        <v>1079</v>
      </c>
      <c r="J846" s="472" t="s">
        <v>1080</v>
      </c>
      <c r="K846" s="470" t="s">
        <v>1081</v>
      </c>
      <c r="L846" s="470" t="s">
        <v>767</v>
      </c>
      <c r="M846" s="470" t="s">
        <v>767</v>
      </c>
      <c r="N846" s="470" t="s">
        <v>756</v>
      </c>
      <c r="O846" s="472" t="s">
        <v>757</v>
      </c>
      <c r="P846" s="472" t="s">
        <v>738</v>
      </c>
      <c r="Q846" s="472" t="s">
        <v>758</v>
      </c>
      <c r="R846" s="472" t="s">
        <v>12</v>
      </c>
      <c r="S846" s="472" t="s">
        <v>12</v>
      </c>
      <c r="T846" s="472" t="s">
        <v>1082</v>
      </c>
      <c r="U846" s="470" t="s">
        <v>1083</v>
      </c>
      <c r="V846" s="470" t="s">
        <v>761</v>
      </c>
      <c r="W846" s="470" t="s">
        <v>1084</v>
      </c>
      <c r="X846" s="470">
        <v>31</v>
      </c>
      <c r="Y846" s="470">
        <v>0</v>
      </c>
      <c r="Z846" s="470">
        <v>0</v>
      </c>
      <c r="AA846" s="470">
        <v>31</v>
      </c>
      <c r="AB846" s="470">
        <v>31</v>
      </c>
      <c r="AC846" s="473">
        <v>72817</v>
      </c>
      <c r="AD846" s="473">
        <v>72817</v>
      </c>
      <c r="AE846" s="473">
        <v>32768</v>
      </c>
      <c r="AF846" s="473">
        <v>13107</v>
      </c>
      <c r="AG846" s="473">
        <v>1600</v>
      </c>
      <c r="AH846" s="473">
        <v>200</v>
      </c>
      <c r="AI846" s="473">
        <v>1250</v>
      </c>
      <c r="AJ846" s="473">
        <v>2730</v>
      </c>
      <c r="AK846" s="473">
        <v>6554</v>
      </c>
      <c r="AL846" s="473">
        <v>4915</v>
      </c>
      <c r="AM846" s="473">
        <v>328</v>
      </c>
      <c r="AN846" s="473">
        <v>1147</v>
      </c>
      <c r="AO846" s="473">
        <v>655</v>
      </c>
      <c r="AP846" s="473">
        <v>164</v>
      </c>
      <c r="AQ846" s="473">
        <v>1800</v>
      </c>
      <c r="AR846" s="473">
        <v>5599</v>
      </c>
      <c r="AS846" s="473">
        <v>0</v>
      </c>
      <c r="AT846" s="473">
        <v>1000</v>
      </c>
      <c r="AU846" s="473">
        <v>0</v>
      </c>
      <c r="AV846" s="473">
        <v>73817</v>
      </c>
      <c r="AW846" s="474">
        <v>73817</v>
      </c>
      <c r="AX846" s="473">
        <v>0</v>
      </c>
      <c r="AY846" s="473">
        <v>0</v>
      </c>
      <c r="AZ846" s="475">
        <v>0</v>
      </c>
      <c r="BA846" s="475">
        <v>200</v>
      </c>
      <c r="BB846" s="475">
        <v>1800</v>
      </c>
      <c r="BC846" s="475">
        <v>0</v>
      </c>
      <c r="BD846" s="475">
        <v>0</v>
      </c>
      <c r="BE846" s="475">
        <v>25</v>
      </c>
      <c r="BF846" s="475">
        <v>0</v>
      </c>
      <c r="BG846" s="475">
        <v>2025</v>
      </c>
      <c r="BH846" s="476">
        <v>71792</v>
      </c>
      <c r="BI846" s="467"/>
      <c r="BJ846" s="468"/>
    </row>
    <row r="847" spans="1:62">
      <c r="A847" s="469">
        <v>45992</v>
      </c>
      <c r="B847" s="469" t="s">
        <v>747</v>
      </c>
      <c r="C847" s="508"/>
      <c r="D847" s="470" t="s">
        <v>749</v>
      </c>
      <c r="E847" s="471">
        <v>405</v>
      </c>
      <c r="F847" s="470" t="s">
        <v>1085</v>
      </c>
      <c r="G847" s="470" t="s">
        <v>751</v>
      </c>
      <c r="H847" s="470" t="s">
        <v>12</v>
      </c>
      <c r="I847" s="470" t="s">
        <v>954</v>
      </c>
      <c r="J847" s="472" t="s">
        <v>1086</v>
      </c>
      <c r="K847" s="470" t="s">
        <v>1087</v>
      </c>
      <c r="L847" s="470" t="s">
        <v>832</v>
      </c>
      <c r="M847" s="470" t="s">
        <v>832</v>
      </c>
      <c r="N847" s="470" t="s">
        <v>833</v>
      </c>
      <c r="O847" s="472" t="s">
        <v>757</v>
      </c>
      <c r="P847" s="472" t="s">
        <v>738</v>
      </c>
      <c r="Q847" s="472" t="s">
        <v>758</v>
      </c>
      <c r="R847" s="472" t="s">
        <v>12</v>
      </c>
      <c r="S847" s="472" t="s">
        <v>12</v>
      </c>
      <c r="T847" s="472" t="s">
        <v>1088</v>
      </c>
      <c r="U847" s="470" t="s">
        <v>1089</v>
      </c>
      <c r="V847" s="470" t="s">
        <v>761</v>
      </c>
      <c r="W847" s="470" t="s">
        <v>762</v>
      </c>
      <c r="X847" s="470">
        <v>31</v>
      </c>
      <c r="Y847" s="470">
        <v>0</v>
      </c>
      <c r="Z847" s="470">
        <v>0</v>
      </c>
      <c r="AA847" s="470">
        <v>31</v>
      </c>
      <c r="AB847" s="470">
        <v>31</v>
      </c>
      <c r="AC847" s="473">
        <v>33167</v>
      </c>
      <c r="AD847" s="473">
        <v>33167</v>
      </c>
      <c r="AE847" s="473">
        <v>14925</v>
      </c>
      <c r="AF847" s="473">
        <v>5970</v>
      </c>
      <c r="AG847" s="473">
        <v>1600</v>
      </c>
      <c r="AH847" s="473">
        <v>200</v>
      </c>
      <c r="AI847" s="473">
        <v>1250</v>
      </c>
      <c r="AJ847" s="473">
        <v>0</v>
      </c>
      <c r="AK847" s="473">
        <v>0</v>
      </c>
      <c r="AL847" s="473">
        <v>0</v>
      </c>
      <c r="AM847" s="473">
        <v>0</v>
      </c>
      <c r="AN847" s="473">
        <v>0</v>
      </c>
      <c r="AO847" s="473">
        <v>0</v>
      </c>
      <c r="AP847" s="473">
        <v>0</v>
      </c>
      <c r="AQ847" s="473">
        <v>1791</v>
      </c>
      <c r="AR847" s="473">
        <v>7431</v>
      </c>
      <c r="AS847" s="473">
        <v>0</v>
      </c>
      <c r="AT847" s="473">
        <v>0</v>
      </c>
      <c r="AU847" s="473">
        <v>1122</v>
      </c>
      <c r="AV847" s="473">
        <v>34289</v>
      </c>
      <c r="AW847" s="474">
        <v>33167</v>
      </c>
      <c r="AX847" s="473">
        <v>0</v>
      </c>
      <c r="AY847" s="473">
        <v>0</v>
      </c>
      <c r="AZ847" s="475">
        <v>0</v>
      </c>
      <c r="BA847" s="475">
        <v>200</v>
      </c>
      <c r="BB847" s="475">
        <v>1791</v>
      </c>
      <c r="BC847" s="475">
        <v>0</v>
      </c>
      <c r="BD847" s="475">
        <v>0</v>
      </c>
      <c r="BE847" s="475">
        <v>25</v>
      </c>
      <c r="BF847" s="475">
        <v>0</v>
      </c>
      <c r="BG847" s="475">
        <v>2016</v>
      </c>
      <c r="BH847" s="476">
        <v>32273</v>
      </c>
      <c r="BI847" s="467"/>
      <c r="BJ847" s="468"/>
    </row>
    <row r="848" spans="1:62">
      <c r="A848" s="469">
        <v>45992</v>
      </c>
      <c r="B848" s="469" t="s">
        <v>747</v>
      </c>
      <c r="C848" s="508"/>
      <c r="D848" s="470" t="s">
        <v>749</v>
      </c>
      <c r="E848" s="471">
        <v>1916</v>
      </c>
      <c r="F848" s="470" t="s">
        <v>1090</v>
      </c>
      <c r="G848" s="470" t="s">
        <v>751</v>
      </c>
      <c r="H848" s="470" t="s">
        <v>12</v>
      </c>
      <c r="I848" s="470" t="s">
        <v>853</v>
      </c>
      <c r="J848" s="472" t="s">
        <v>1091</v>
      </c>
      <c r="K848" s="470" t="s">
        <v>1092</v>
      </c>
      <c r="L848" s="470" t="s">
        <v>776</v>
      </c>
      <c r="M848" s="470" t="s">
        <v>776</v>
      </c>
      <c r="N848" s="470" t="s">
        <v>777</v>
      </c>
      <c r="O848" s="472" t="s">
        <v>757</v>
      </c>
      <c r="P848" s="472" t="s">
        <v>738</v>
      </c>
      <c r="Q848" s="472" t="s">
        <v>758</v>
      </c>
      <c r="R848" s="472" t="s">
        <v>12</v>
      </c>
      <c r="S848" s="472" t="s">
        <v>12</v>
      </c>
      <c r="T848" s="472" t="s">
        <v>1093</v>
      </c>
      <c r="U848" s="470" t="s">
        <v>1094</v>
      </c>
      <c r="V848" s="470" t="s">
        <v>761</v>
      </c>
      <c r="W848" s="470" t="s">
        <v>1095</v>
      </c>
      <c r="X848" s="470">
        <v>31</v>
      </c>
      <c r="Y848" s="470">
        <v>0</v>
      </c>
      <c r="Z848" s="470">
        <v>0</v>
      </c>
      <c r="AA848" s="470">
        <v>31</v>
      </c>
      <c r="AB848" s="470">
        <v>31</v>
      </c>
      <c r="AC848" s="473">
        <v>94033</v>
      </c>
      <c r="AD848" s="473">
        <v>94033</v>
      </c>
      <c r="AE848" s="473">
        <v>42315</v>
      </c>
      <c r="AF848" s="473">
        <v>16926</v>
      </c>
      <c r="AG848" s="473">
        <v>1600</v>
      </c>
      <c r="AH848" s="473">
        <v>200</v>
      </c>
      <c r="AI848" s="473">
        <v>1250</v>
      </c>
      <c r="AJ848" s="473">
        <v>3525</v>
      </c>
      <c r="AK848" s="473">
        <v>8463</v>
      </c>
      <c r="AL848" s="473">
        <v>6347</v>
      </c>
      <c r="AM848" s="473">
        <v>423</v>
      </c>
      <c r="AN848" s="473">
        <v>1481</v>
      </c>
      <c r="AO848" s="473">
        <v>846</v>
      </c>
      <c r="AP848" s="473">
        <v>212</v>
      </c>
      <c r="AQ848" s="473">
        <v>1800</v>
      </c>
      <c r="AR848" s="473">
        <v>8645</v>
      </c>
      <c r="AS848" s="473">
        <v>0</v>
      </c>
      <c r="AT848" s="473">
        <v>0</v>
      </c>
      <c r="AU848" s="473">
        <v>1549</v>
      </c>
      <c r="AV848" s="473">
        <v>95582</v>
      </c>
      <c r="AW848" s="474">
        <v>94033</v>
      </c>
      <c r="AX848" s="473">
        <v>0</v>
      </c>
      <c r="AY848" s="473">
        <v>0</v>
      </c>
      <c r="AZ848" s="475">
        <v>0</v>
      </c>
      <c r="BA848" s="475">
        <v>200</v>
      </c>
      <c r="BB848" s="475">
        <v>1800</v>
      </c>
      <c r="BC848" s="475">
        <v>0</v>
      </c>
      <c r="BD848" s="475">
        <v>0</v>
      </c>
      <c r="BE848" s="475">
        <v>25</v>
      </c>
      <c r="BF848" s="475">
        <v>0</v>
      </c>
      <c r="BG848" s="475">
        <v>2025</v>
      </c>
      <c r="BH848" s="476">
        <v>93557</v>
      </c>
      <c r="BI848" s="467"/>
      <c r="BJ848" s="468"/>
    </row>
    <row r="849" spans="1:62">
      <c r="A849" s="469">
        <v>45992</v>
      </c>
      <c r="B849" s="469" t="s">
        <v>747</v>
      </c>
      <c r="C849" s="508"/>
      <c r="D849" s="470" t="s">
        <v>749</v>
      </c>
      <c r="E849" s="471">
        <v>1093</v>
      </c>
      <c r="F849" s="470" t="s">
        <v>1096</v>
      </c>
      <c r="G849" s="470" t="s">
        <v>751</v>
      </c>
      <c r="H849" s="470" t="s">
        <v>12</v>
      </c>
      <c r="I849" s="470" t="s">
        <v>976</v>
      </c>
      <c r="J849" s="472" t="s">
        <v>1097</v>
      </c>
      <c r="K849" s="470" t="s">
        <v>1098</v>
      </c>
      <c r="L849" s="470" t="s">
        <v>1292</v>
      </c>
      <c r="M849" s="470" t="s">
        <v>1292</v>
      </c>
      <c r="N849" s="470" t="s">
        <v>1275</v>
      </c>
      <c r="O849" s="472" t="s">
        <v>792</v>
      </c>
      <c r="P849" s="472" t="s">
        <v>738</v>
      </c>
      <c r="Q849" s="472" t="s">
        <v>758</v>
      </c>
      <c r="R849" s="472" t="s">
        <v>12</v>
      </c>
      <c r="S849" s="472" t="s">
        <v>12</v>
      </c>
      <c r="T849" s="472" t="s">
        <v>1099</v>
      </c>
      <c r="U849" s="470" t="s">
        <v>1100</v>
      </c>
      <c r="V849" s="470" t="s">
        <v>761</v>
      </c>
      <c r="W849" s="470" t="s">
        <v>1101</v>
      </c>
      <c r="X849" s="470">
        <v>31</v>
      </c>
      <c r="Y849" s="470">
        <v>0</v>
      </c>
      <c r="Z849" s="470">
        <v>0</v>
      </c>
      <c r="AA849" s="470">
        <v>31</v>
      </c>
      <c r="AB849" s="470">
        <v>31</v>
      </c>
      <c r="AC849" s="473">
        <v>96667</v>
      </c>
      <c r="AD849" s="473">
        <v>96667</v>
      </c>
      <c r="AE849" s="473">
        <v>43500</v>
      </c>
      <c r="AF849" s="473">
        <v>17400</v>
      </c>
      <c r="AG849" s="473">
        <v>1600</v>
      </c>
      <c r="AH849" s="473">
        <v>200</v>
      </c>
      <c r="AI849" s="473">
        <v>1250</v>
      </c>
      <c r="AJ849" s="473">
        <v>3624</v>
      </c>
      <c r="AK849" s="473">
        <v>8700</v>
      </c>
      <c r="AL849" s="473">
        <v>6525</v>
      </c>
      <c r="AM849" s="473">
        <v>435</v>
      </c>
      <c r="AN849" s="473">
        <v>1523</v>
      </c>
      <c r="AO849" s="473">
        <v>870</v>
      </c>
      <c r="AP849" s="473">
        <v>218</v>
      </c>
      <c r="AQ849" s="473">
        <v>1800</v>
      </c>
      <c r="AR849" s="473">
        <v>9022</v>
      </c>
      <c r="AS849" s="473">
        <v>0</v>
      </c>
      <c r="AT849" s="473">
        <v>0</v>
      </c>
      <c r="AU849" s="473">
        <v>7279</v>
      </c>
      <c r="AV849" s="473">
        <v>103946</v>
      </c>
      <c r="AW849" s="474">
        <v>96667</v>
      </c>
      <c r="AX849" s="473">
        <v>0</v>
      </c>
      <c r="AY849" s="473">
        <v>0</v>
      </c>
      <c r="AZ849" s="475">
        <v>16281</v>
      </c>
      <c r="BA849" s="475">
        <v>200</v>
      </c>
      <c r="BB849" s="475">
        <v>1800</v>
      </c>
      <c r="BC849" s="475">
        <v>0</v>
      </c>
      <c r="BD849" s="475">
        <v>0</v>
      </c>
      <c r="BE849" s="475">
        <v>25</v>
      </c>
      <c r="BF849" s="475">
        <v>0</v>
      </c>
      <c r="BG849" s="475">
        <v>18306</v>
      </c>
      <c r="BH849" s="476">
        <v>85640</v>
      </c>
      <c r="BI849" s="467"/>
      <c r="BJ849" s="468"/>
    </row>
    <row r="850" spans="1:62">
      <c r="A850" s="469">
        <v>45992</v>
      </c>
      <c r="B850" s="469" t="s">
        <v>747</v>
      </c>
      <c r="C850" s="508"/>
      <c r="D850" s="470" t="s">
        <v>749</v>
      </c>
      <c r="E850" s="471">
        <v>2287</v>
      </c>
      <c r="F850" s="470" t="s">
        <v>1470</v>
      </c>
      <c r="G850" s="470" t="s">
        <v>751</v>
      </c>
      <c r="H850" s="470" t="s">
        <v>12</v>
      </c>
      <c r="I850" s="470" t="s">
        <v>1471</v>
      </c>
      <c r="J850" s="472" t="s">
        <v>1472</v>
      </c>
      <c r="K850" s="470" t="s">
        <v>1473</v>
      </c>
      <c r="L850" s="470" t="s">
        <v>1305</v>
      </c>
      <c r="M850" s="470" t="s">
        <v>1305</v>
      </c>
      <c r="N850" s="470" t="s">
        <v>1275</v>
      </c>
      <c r="O850" s="472" t="s">
        <v>757</v>
      </c>
      <c r="P850" s="472" t="s">
        <v>738</v>
      </c>
      <c r="Q850" s="472" t="s">
        <v>758</v>
      </c>
      <c r="R850" s="472" t="s">
        <v>12</v>
      </c>
      <c r="S850" s="472" t="s">
        <v>12</v>
      </c>
      <c r="T850" s="472" t="s">
        <v>1474</v>
      </c>
      <c r="U850" s="470" t="s">
        <v>1475</v>
      </c>
      <c r="V850" s="470" t="s">
        <v>761</v>
      </c>
      <c r="W850" s="470" t="s">
        <v>1387</v>
      </c>
      <c r="X850" s="470">
        <v>31</v>
      </c>
      <c r="Y850" s="470">
        <v>0</v>
      </c>
      <c r="Z850" s="470">
        <v>0</v>
      </c>
      <c r="AA850" s="470">
        <v>31</v>
      </c>
      <c r="AB850" s="470">
        <v>31</v>
      </c>
      <c r="AC850" s="473">
        <v>66200</v>
      </c>
      <c r="AD850" s="473">
        <v>66200</v>
      </c>
      <c r="AE850" s="473">
        <v>29790</v>
      </c>
      <c r="AF850" s="473">
        <v>11916</v>
      </c>
      <c r="AG850" s="473">
        <v>1600</v>
      </c>
      <c r="AH850" s="473">
        <v>200</v>
      </c>
      <c r="AI850" s="473">
        <v>1250</v>
      </c>
      <c r="AJ850" s="473">
        <v>2482</v>
      </c>
      <c r="AK850" s="473">
        <v>5958</v>
      </c>
      <c r="AL850" s="473">
        <v>4469</v>
      </c>
      <c r="AM850" s="473">
        <v>298</v>
      </c>
      <c r="AN850" s="473">
        <v>1043</v>
      </c>
      <c r="AO850" s="473">
        <v>596</v>
      </c>
      <c r="AP850" s="473">
        <v>149</v>
      </c>
      <c r="AQ850" s="473">
        <v>1800</v>
      </c>
      <c r="AR850" s="473">
        <v>4649</v>
      </c>
      <c r="AS850" s="473">
        <v>0</v>
      </c>
      <c r="AT850" s="473">
        <v>0</v>
      </c>
      <c r="AU850" s="473">
        <v>5882</v>
      </c>
      <c r="AV850" s="473">
        <v>72082</v>
      </c>
      <c r="AW850" s="474">
        <v>66200</v>
      </c>
      <c r="AX850" s="473">
        <v>0</v>
      </c>
      <c r="AY850" s="473">
        <v>0</v>
      </c>
      <c r="AZ850" s="475">
        <v>0</v>
      </c>
      <c r="BA850" s="475">
        <v>200</v>
      </c>
      <c r="BB850" s="475">
        <v>1800</v>
      </c>
      <c r="BC850" s="475">
        <v>0</v>
      </c>
      <c r="BD850" s="475">
        <v>0</v>
      </c>
      <c r="BE850" s="475">
        <v>25</v>
      </c>
      <c r="BF850" s="475">
        <v>0</v>
      </c>
      <c r="BG850" s="475">
        <v>2025</v>
      </c>
      <c r="BH850" s="476">
        <v>70057</v>
      </c>
      <c r="BI850" s="467"/>
      <c r="BJ850" s="468"/>
    </row>
    <row r="851" spans="1:62">
      <c r="A851" s="469">
        <v>45992</v>
      </c>
      <c r="B851" s="469" t="s">
        <v>747</v>
      </c>
      <c r="C851" s="508"/>
      <c r="D851" s="470" t="s">
        <v>749</v>
      </c>
      <c r="E851" s="471">
        <v>2261</v>
      </c>
      <c r="F851" s="470" t="s">
        <v>1476</v>
      </c>
      <c r="G851" s="470" t="s">
        <v>751</v>
      </c>
      <c r="H851" s="470" t="s">
        <v>12</v>
      </c>
      <c r="I851" s="470" t="s">
        <v>1477</v>
      </c>
      <c r="J851" s="472" t="s">
        <v>1478</v>
      </c>
      <c r="K851" s="470" t="s">
        <v>1479</v>
      </c>
      <c r="L851" s="470" t="s">
        <v>1192</v>
      </c>
      <c r="M851" s="470" t="s">
        <v>1328</v>
      </c>
      <c r="N851" s="470" t="s">
        <v>833</v>
      </c>
      <c r="O851" s="472" t="s">
        <v>1043</v>
      </c>
      <c r="P851" s="472" t="s">
        <v>738</v>
      </c>
      <c r="Q851" s="472" t="s">
        <v>758</v>
      </c>
      <c r="R851" s="472" t="s">
        <v>12</v>
      </c>
      <c r="S851" s="472" t="s">
        <v>12</v>
      </c>
      <c r="T851" s="472" t="s">
        <v>1480</v>
      </c>
      <c r="U851" s="470" t="s">
        <v>1481</v>
      </c>
      <c r="V851" s="470" t="s">
        <v>761</v>
      </c>
      <c r="W851" s="470" t="s">
        <v>876</v>
      </c>
      <c r="X851" s="470">
        <v>31</v>
      </c>
      <c r="Y851" s="470">
        <v>0</v>
      </c>
      <c r="Z851" s="470">
        <v>0</v>
      </c>
      <c r="AA851" s="470">
        <v>31</v>
      </c>
      <c r="AB851" s="470">
        <v>31</v>
      </c>
      <c r="AC851" s="473">
        <v>27434</v>
      </c>
      <c r="AD851" s="473">
        <v>27434</v>
      </c>
      <c r="AE851" s="473">
        <v>12345</v>
      </c>
      <c r="AF851" s="473">
        <v>4938</v>
      </c>
      <c r="AG851" s="473">
        <v>1600</v>
      </c>
      <c r="AH851" s="473">
        <v>200</v>
      </c>
      <c r="AI851" s="473">
        <v>1250</v>
      </c>
      <c r="AJ851" s="473">
        <v>0</v>
      </c>
      <c r="AK851" s="473">
        <v>0</v>
      </c>
      <c r="AL851" s="473">
        <v>0</v>
      </c>
      <c r="AM851" s="473">
        <v>0</v>
      </c>
      <c r="AN851" s="473">
        <v>0</v>
      </c>
      <c r="AO851" s="473">
        <v>0</v>
      </c>
      <c r="AP851" s="473">
        <v>0</v>
      </c>
      <c r="AQ851" s="473">
        <v>1481</v>
      </c>
      <c r="AR851" s="473">
        <v>5620</v>
      </c>
      <c r="AS851" s="473">
        <v>0</v>
      </c>
      <c r="AT851" s="473">
        <v>0</v>
      </c>
      <c r="AU851" s="473">
        <v>606</v>
      </c>
      <c r="AV851" s="473">
        <v>28040</v>
      </c>
      <c r="AW851" s="474">
        <v>27434</v>
      </c>
      <c r="AX851" s="473">
        <v>0</v>
      </c>
      <c r="AY851" s="473">
        <v>0</v>
      </c>
      <c r="AZ851" s="475">
        <v>0</v>
      </c>
      <c r="BA851" s="475">
        <v>200</v>
      </c>
      <c r="BB851" s="475">
        <v>1481</v>
      </c>
      <c r="BC851" s="475">
        <v>0</v>
      </c>
      <c r="BD851" s="475">
        <v>0</v>
      </c>
      <c r="BE851" s="475">
        <v>25</v>
      </c>
      <c r="BF851" s="475">
        <v>0</v>
      </c>
      <c r="BG851" s="475">
        <v>1706</v>
      </c>
      <c r="BH851" s="476">
        <v>26334</v>
      </c>
      <c r="BI851" s="467"/>
      <c r="BJ851" s="468"/>
    </row>
    <row r="852" spans="1:62">
      <c r="A852" s="469">
        <v>45992</v>
      </c>
      <c r="B852" s="469" t="s">
        <v>747</v>
      </c>
      <c r="C852" s="508"/>
      <c r="D852" s="470" t="s">
        <v>749</v>
      </c>
      <c r="E852" s="471">
        <v>2279</v>
      </c>
      <c r="F852" s="470" t="s">
        <v>1482</v>
      </c>
      <c r="G852" s="470" t="s">
        <v>751</v>
      </c>
      <c r="H852" s="470" t="s">
        <v>12</v>
      </c>
      <c r="I852" s="470" t="s">
        <v>1426</v>
      </c>
      <c r="J852" s="472" t="s">
        <v>1483</v>
      </c>
      <c r="K852" s="470" t="s">
        <v>1484</v>
      </c>
      <c r="L852" s="470" t="s">
        <v>824</v>
      </c>
      <c r="M852" s="470" t="s">
        <v>824</v>
      </c>
      <c r="N852" s="470" t="s">
        <v>1275</v>
      </c>
      <c r="O852" s="472" t="s">
        <v>1276</v>
      </c>
      <c r="P852" s="472" t="s">
        <v>738</v>
      </c>
      <c r="Q852" s="472" t="s">
        <v>758</v>
      </c>
      <c r="R852" s="472" t="s">
        <v>12</v>
      </c>
      <c r="S852" s="472" t="s">
        <v>12</v>
      </c>
      <c r="T852" s="472" t="s">
        <v>1485</v>
      </c>
      <c r="U852" s="470" t="s">
        <v>1486</v>
      </c>
      <c r="V852" s="470" t="s">
        <v>761</v>
      </c>
      <c r="W852" s="470" t="s">
        <v>1361</v>
      </c>
      <c r="X852" s="470">
        <v>31</v>
      </c>
      <c r="Y852" s="470">
        <v>0</v>
      </c>
      <c r="Z852" s="470">
        <v>0</v>
      </c>
      <c r="AA852" s="470">
        <v>31</v>
      </c>
      <c r="AB852" s="470">
        <v>31</v>
      </c>
      <c r="AC852" s="473">
        <v>44033</v>
      </c>
      <c r="AD852" s="473">
        <v>44033</v>
      </c>
      <c r="AE852" s="473">
        <v>19815</v>
      </c>
      <c r="AF852" s="473">
        <v>7926</v>
      </c>
      <c r="AG852" s="473">
        <v>1600</v>
      </c>
      <c r="AH852" s="473">
        <v>200</v>
      </c>
      <c r="AI852" s="473">
        <v>1250</v>
      </c>
      <c r="AJ852" s="473">
        <v>1651</v>
      </c>
      <c r="AK852" s="473">
        <v>3963</v>
      </c>
      <c r="AL852" s="473">
        <v>2972</v>
      </c>
      <c r="AM852" s="473">
        <v>198</v>
      </c>
      <c r="AN852" s="473">
        <v>694</v>
      </c>
      <c r="AO852" s="473">
        <v>396</v>
      </c>
      <c r="AP852" s="473">
        <v>99</v>
      </c>
      <c r="AQ852" s="473">
        <v>1800</v>
      </c>
      <c r="AR852" s="473">
        <v>1469</v>
      </c>
      <c r="AS852" s="473">
        <v>0</v>
      </c>
      <c r="AT852" s="473">
        <v>0</v>
      </c>
      <c r="AU852" s="473">
        <v>0</v>
      </c>
      <c r="AV852" s="473">
        <v>44033</v>
      </c>
      <c r="AW852" s="474">
        <v>44033</v>
      </c>
      <c r="AX852" s="473">
        <v>0</v>
      </c>
      <c r="AY852" s="473">
        <v>0</v>
      </c>
      <c r="AZ852" s="475">
        <v>0</v>
      </c>
      <c r="BA852" s="475">
        <v>200</v>
      </c>
      <c r="BB852" s="475">
        <v>1800</v>
      </c>
      <c r="BC852" s="475">
        <v>0</v>
      </c>
      <c r="BD852" s="475">
        <v>0</v>
      </c>
      <c r="BE852" s="475">
        <v>25</v>
      </c>
      <c r="BF852" s="475">
        <v>0</v>
      </c>
      <c r="BG852" s="475">
        <v>2025</v>
      </c>
      <c r="BH852" s="476">
        <v>42008</v>
      </c>
      <c r="BI852" s="467"/>
      <c r="BJ852" s="468"/>
    </row>
    <row r="853" spans="1:62">
      <c r="A853" s="469">
        <v>45992</v>
      </c>
      <c r="B853" s="469" t="s">
        <v>747</v>
      </c>
      <c r="C853" s="508"/>
      <c r="D853" s="470" t="s">
        <v>749</v>
      </c>
      <c r="E853" s="471">
        <v>2274</v>
      </c>
      <c r="F853" s="470" t="s">
        <v>1487</v>
      </c>
      <c r="G853" s="470" t="s">
        <v>812</v>
      </c>
      <c r="H853" s="470" t="s">
        <v>12</v>
      </c>
      <c r="I853" s="470" t="s">
        <v>1426</v>
      </c>
      <c r="J853" s="472" t="s">
        <v>1488</v>
      </c>
      <c r="K853" s="470" t="s">
        <v>1489</v>
      </c>
      <c r="L853" s="470" t="s">
        <v>824</v>
      </c>
      <c r="M853" s="470" t="s">
        <v>824</v>
      </c>
      <c r="N853" s="470" t="s">
        <v>1275</v>
      </c>
      <c r="O853" s="472" t="s">
        <v>1276</v>
      </c>
      <c r="P853" s="472" t="s">
        <v>738</v>
      </c>
      <c r="Q853" s="472" t="s">
        <v>758</v>
      </c>
      <c r="R853" s="472" t="s">
        <v>12</v>
      </c>
      <c r="S853" s="472" t="s">
        <v>12</v>
      </c>
      <c r="T853" s="472" t="s">
        <v>1490</v>
      </c>
      <c r="U853" s="470" t="s">
        <v>1491</v>
      </c>
      <c r="V853" s="470" t="s">
        <v>761</v>
      </c>
      <c r="W853" s="470" t="s">
        <v>1361</v>
      </c>
      <c r="X853" s="470">
        <v>31</v>
      </c>
      <c r="Y853" s="470">
        <v>0</v>
      </c>
      <c r="Z853" s="470">
        <v>1</v>
      </c>
      <c r="AA853" s="470">
        <v>30</v>
      </c>
      <c r="AB853" s="470">
        <v>30</v>
      </c>
      <c r="AC853" s="473">
        <v>44033</v>
      </c>
      <c r="AD853" s="473">
        <v>44033</v>
      </c>
      <c r="AE853" s="473">
        <v>19176</v>
      </c>
      <c r="AF853" s="473">
        <v>7670</v>
      </c>
      <c r="AG853" s="473">
        <v>1548</v>
      </c>
      <c r="AH853" s="473">
        <v>194</v>
      </c>
      <c r="AI853" s="473">
        <v>1210</v>
      </c>
      <c r="AJ853" s="473">
        <v>1597</v>
      </c>
      <c r="AK853" s="473">
        <v>3835</v>
      </c>
      <c r="AL853" s="473">
        <v>2876</v>
      </c>
      <c r="AM853" s="473">
        <v>192</v>
      </c>
      <c r="AN853" s="473">
        <v>671</v>
      </c>
      <c r="AO853" s="473">
        <v>384</v>
      </c>
      <c r="AP853" s="473">
        <v>96</v>
      </c>
      <c r="AQ853" s="473">
        <v>1800</v>
      </c>
      <c r="AR853" s="473">
        <v>1364</v>
      </c>
      <c r="AS853" s="473">
        <v>0</v>
      </c>
      <c r="AT853" s="473">
        <v>175</v>
      </c>
      <c r="AU853" s="473">
        <v>0</v>
      </c>
      <c r="AV853" s="473">
        <v>42788</v>
      </c>
      <c r="AW853" s="474">
        <v>42788</v>
      </c>
      <c r="AX853" s="473">
        <v>0</v>
      </c>
      <c r="AY853" s="473">
        <v>0</v>
      </c>
      <c r="AZ853" s="475">
        <v>0</v>
      </c>
      <c r="BA853" s="475">
        <v>200</v>
      </c>
      <c r="BB853" s="475">
        <v>1800</v>
      </c>
      <c r="BC853" s="475">
        <v>0</v>
      </c>
      <c r="BD853" s="475">
        <v>0</v>
      </c>
      <c r="BE853" s="475">
        <v>25</v>
      </c>
      <c r="BF853" s="475">
        <v>0</v>
      </c>
      <c r="BG853" s="475">
        <v>2025</v>
      </c>
      <c r="BH853" s="476">
        <v>40763</v>
      </c>
      <c r="BI853" s="467"/>
      <c r="BJ853" s="468"/>
    </row>
    <row r="854" spans="1:62">
      <c r="A854" s="469">
        <v>45992</v>
      </c>
      <c r="B854" s="469" t="s">
        <v>747</v>
      </c>
      <c r="C854" s="508"/>
      <c r="D854" s="470" t="s">
        <v>749</v>
      </c>
      <c r="E854" s="471">
        <v>2277</v>
      </c>
      <c r="F854" s="470" t="s">
        <v>1492</v>
      </c>
      <c r="G854" s="470" t="s">
        <v>751</v>
      </c>
      <c r="H854" s="470" t="s">
        <v>12</v>
      </c>
      <c r="I854" s="470" t="s">
        <v>1426</v>
      </c>
      <c r="J854" s="472" t="s">
        <v>1493</v>
      </c>
      <c r="K854" s="470" t="s">
        <v>1494</v>
      </c>
      <c r="L854" s="470" t="s">
        <v>824</v>
      </c>
      <c r="M854" s="470" t="s">
        <v>824</v>
      </c>
      <c r="N854" s="470" t="s">
        <v>1275</v>
      </c>
      <c r="O854" s="472" t="s">
        <v>1276</v>
      </c>
      <c r="P854" s="472" t="s">
        <v>738</v>
      </c>
      <c r="Q854" s="472" t="s">
        <v>758</v>
      </c>
      <c r="R854" s="472" t="s">
        <v>12</v>
      </c>
      <c r="S854" s="472" t="s">
        <v>12</v>
      </c>
      <c r="T854" s="472" t="s">
        <v>1495</v>
      </c>
      <c r="U854" s="470" t="s">
        <v>1496</v>
      </c>
      <c r="V854" s="470" t="s">
        <v>761</v>
      </c>
      <c r="W854" s="470" t="s">
        <v>1361</v>
      </c>
      <c r="X854" s="470">
        <v>31</v>
      </c>
      <c r="Y854" s="470">
        <v>0</v>
      </c>
      <c r="Z854" s="470">
        <v>0</v>
      </c>
      <c r="AA854" s="470">
        <v>31</v>
      </c>
      <c r="AB854" s="470">
        <v>31</v>
      </c>
      <c r="AC854" s="473">
        <v>44033</v>
      </c>
      <c r="AD854" s="473">
        <v>44033</v>
      </c>
      <c r="AE854" s="473">
        <v>19815</v>
      </c>
      <c r="AF854" s="473">
        <v>7926</v>
      </c>
      <c r="AG854" s="473">
        <v>1600</v>
      </c>
      <c r="AH854" s="473">
        <v>200</v>
      </c>
      <c r="AI854" s="473">
        <v>1250</v>
      </c>
      <c r="AJ854" s="473">
        <v>1651</v>
      </c>
      <c r="AK854" s="473">
        <v>3963</v>
      </c>
      <c r="AL854" s="473">
        <v>2972</v>
      </c>
      <c r="AM854" s="473">
        <v>198</v>
      </c>
      <c r="AN854" s="473">
        <v>694</v>
      </c>
      <c r="AO854" s="473">
        <v>396</v>
      </c>
      <c r="AP854" s="473">
        <v>99</v>
      </c>
      <c r="AQ854" s="473">
        <v>1800</v>
      </c>
      <c r="AR854" s="473">
        <v>1469</v>
      </c>
      <c r="AS854" s="473">
        <v>0</v>
      </c>
      <c r="AT854" s="473">
        <v>0</v>
      </c>
      <c r="AU854" s="473">
        <v>0</v>
      </c>
      <c r="AV854" s="473">
        <v>44033</v>
      </c>
      <c r="AW854" s="474">
        <v>44033</v>
      </c>
      <c r="AX854" s="473">
        <v>0</v>
      </c>
      <c r="AY854" s="473">
        <v>0</v>
      </c>
      <c r="AZ854" s="475">
        <v>0</v>
      </c>
      <c r="BA854" s="475">
        <v>200</v>
      </c>
      <c r="BB854" s="475">
        <v>1800</v>
      </c>
      <c r="BC854" s="475">
        <v>0</v>
      </c>
      <c r="BD854" s="475">
        <v>0</v>
      </c>
      <c r="BE854" s="475">
        <v>25</v>
      </c>
      <c r="BF854" s="475">
        <v>0</v>
      </c>
      <c r="BG854" s="475">
        <v>2025</v>
      </c>
      <c r="BH854" s="476">
        <v>42008</v>
      </c>
      <c r="BI854" s="467"/>
      <c r="BJ854" s="468"/>
    </row>
    <row r="855" spans="1:62">
      <c r="A855" s="469">
        <v>45992</v>
      </c>
      <c r="B855" s="469" t="s">
        <v>747</v>
      </c>
      <c r="C855" s="508"/>
      <c r="D855" s="470" t="s">
        <v>749</v>
      </c>
      <c r="E855" s="471">
        <v>2156</v>
      </c>
      <c r="F855" s="470" t="s">
        <v>1302</v>
      </c>
      <c r="G855" s="470" t="s">
        <v>751</v>
      </c>
      <c r="H855" s="470" t="s">
        <v>12</v>
      </c>
      <c r="I855" s="470" t="s">
        <v>1286</v>
      </c>
      <c r="J855" s="472" t="s">
        <v>1303</v>
      </c>
      <c r="K855" s="470" t="s">
        <v>1304</v>
      </c>
      <c r="L855" s="470" t="s">
        <v>1305</v>
      </c>
      <c r="M855" s="470" t="s">
        <v>1305</v>
      </c>
      <c r="N855" s="470" t="s">
        <v>756</v>
      </c>
      <c r="O855" s="472" t="s">
        <v>792</v>
      </c>
      <c r="P855" s="472" t="s">
        <v>738</v>
      </c>
      <c r="Q855" s="472" t="s">
        <v>758</v>
      </c>
      <c r="R855" s="472" t="s">
        <v>12</v>
      </c>
      <c r="S855" s="472" t="s">
        <v>12</v>
      </c>
      <c r="T855" s="472" t="s">
        <v>1306</v>
      </c>
      <c r="U855" s="470" t="s">
        <v>1307</v>
      </c>
      <c r="V855" s="470" t="s">
        <v>761</v>
      </c>
      <c r="W855" s="470" t="s">
        <v>898</v>
      </c>
      <c r="X855" s="470">
        <v>31</v>
      </c>
      <c r="Y855" s="470">
        <v>0</v>
      </c>
      <c r="Z855" s="470">
        <v>0</v>
      </c>
      <c r="AA855" s="470">
        <v>31</v>
      </c>
      <c r="AB855" s="470">
        <v>31</v>
      </c>
      <c r="AC855" s="473">
        <v>67200</v>
      </c>
      <c r="AD855" s="473">
        <v>67200</v>
      </c>
      <c r="AE855" s="473">
        <v>30240</v>
      </c>
      <c r="AF855" s="473">
        <v>12096</v>
      </c>
      <c r="AG855" s="473">
        <v>1600</v>
      </c>
      <c r="AH855" s="473">
        <v>200</v>
      </c>
      <c r="AI855" s="473">
        <v>1250</v>
      </c>
      <c r="AJ855" s="473">
        <v>2519</v>
      </c>
      <c r="AK855" s="473">
        <v>6048</v>
      </c>
      <c r="AL855" s="473">
        <v>4536</v>
      </c>
      <c r="AM855" s="473">
        <v>302</v>
      </c>
      <c r="AN855" s="473">
        <v>1058</v>
      </c>
      <c r="AO855" s="473">
        <v>605</v>
      </c>
      <c r="AP855" s="473">
        <v>151</v>
      </c>
      <c r="AQ855" s="473">
        <v>1800</v>
      </c>
      <c r="AR855" s="473">
        <v>4795</v>
      </c>
      <c r="AS855" s="473">
        <v>0</v>
      </c>
      <c r="AT855" s="473">
        <v>0</v>
      </c>
      <c r="AU855" s="473">
        <v>765</v>
      </c>
      <c r="AV855" s="473">
        <v>67965</v>
      </c>
      <c r="AW855" s="474">
        <v>67200</v>
      </c>
      <c r="AX855" s="473">
        <v>0</v>
      </c>
      <c r="AY855" s="473">
        <v>0</v>
      </c>
      <c r="AZ855" s="475">
        <v>0</v>
      </c>
      <c r="BA855" s="475">
        <v>200</v>
      </c>
      <c r="BB855" s="475">
        <v>1800</v>
      </c>
      <c r="BC855" s="475">
        <v>0</v>
      </c>
      <c r="BD855" s="475">
        <v>0</v>
      </c>
      <c r="BE855" s="475">
        <v>25</v>
      </c>
      <c r="BF855" s="475">
        <v>0</v>
      </c>
      <c r="BG855" s="475">
        <v>2025</v>
      </c>
      <c r="BH855" s="476">
        <v>65940</v>
      </c>
      <c r="BI855" s="467"/>
      <c r="BJ855" s="468"/>
    </row>
    <row r="856" spans="1:62">
      <c r="A856" s="469">
        <v>45992</v>
      </c>
      <c r="B856" s="469" t="s">
        <v>747</v>
      </c>
      <c r="C856" s="508"/>
      <c r="D856" s="470" t="s">
        <v>749</v>
      </c>
      <c r="E856" s="471">
        <v>413</v>
      </c>
      <c r="F856" s="470" t="s">
        <v>1112</v>
      </c>
      <c r="G856" s="470" t="s">
        <v>751</v>
      </c>
      <c r="H856" s="470" t="s">
        <v>12</v>
      </c>
      <c r="I856" s="470" t="s">
        <v>1113</v>
      </c>
      <c r="J856" s="472" t="s">
        <v>1114</v>
      </c>
      <c r="K856" s="470" t="s">
        <v>1115</v>
      </c>
      <c r="L856" s="470" t="s">
        <v>856</v>
      </c>
      <c r="M856" s="470" t="s">
        <v>856</v>
      </c>
      <c r="N856" s="470" t="s">
        <v>756</v>
      </c>
      <c r="O856" s="472" t="s">
        <v>757</v>
      </c>
      <c r="P856" s="472" t="s">
        <v>738</v>
      </c>
      <c r="Q856" s="472" t="s">
        <v>758</v>
      </c>
      <c r="R856" s="472" t="s">
        <v>12</v>
      </c>
      <c r="S856" s="472" t="s">
        <v>12</v>
      </c>
      <c r="T856" s="472" t="s">
        <v>1117</v>
      </c>
      <c r="U856" s="470" t="s">
        <v>1118</v>
      </c>
      <c r="V856" s="470" t="s">
        <v>761</v>
      </c>
      <c r="W856" s="470" t="s">
        <v>762</v>
      </c>
      <c r="X856" s="470">
        <v>31</v>
      </c>
      <c r="Y856" s="470">
        <v>0</v>
      </c>
      <c r="Z856" s="470">
        <v>1</v>
      </c>
      <c r="AA856" s="470">
        <v>30</v>
      </c>
      <c r="AB856" s="470">
        <v>30</v>
      </c>
      <c r="AC856" s="473">
        <v>52975</v>
      </c>
      <c r="AD856" s="473">
        <v>52975</v>
      </c>
      <c r="AE856" s="473">
        <v>23070</v>
      </c>
      <c r="AF856" s="473">
        <v>9228</v>
      </c>
      <c r="AG856" s="473">
        <v>1548</v>
      </c>
      <c r="AH856" s="473">
        <v>194</v>
      </c>
      <c r="AI856" s="473">
        <v>1210</v>
      </c>
      <c r="AJ856" s="473">
        <v>1922</v>
      </c>
      <c r="AK856" s="473">
        <v>4614</v>
      </c>
      <c r="AL856" s="473">
        <v>3461</v>
      </c>
      <c r="AM856" s="473">
        <v>231</v>
      </c>
      <c r="AN856" s="473">
        <v>807</v>
      </c>
      <c r="AO856" s="473">
        <v>461</v>
      </c>
      <c r="AP856" s="473">
        <v>115</v>
      </c>
      <c r="AQ856" s="473">
        <v>1800</v>
      </c>
      <c r="AR856" s="473">
        <v>2605</v>
      </c>
      <c r="AS856" s="473">
        <v>0</v>
      </c>
      <c r="AT856" s="473">
        <v>1000</v>
      </c>
      <c r="AU856" s="473">
        <v>0</v>
      </c>
      <c r="AV856" s="473">
        <v>52266</v>
      </c>
      <c r="AW856" s="474">
        <v>52266</v>
      </c>
      <c r="AX856" s="473">
        <v>0</v>
      </c>
      <c r="AY856" s="473">
        <v>0</v>
      </c>
      <c r="AZ856" s="475">
        <v>0</v>
      </c>
      <c r="BA856" s="475">
        <v>200</v>
      </c>
      <c r="BB856" s="475">
        <v>1800</v>
      </c>
      <c r="BC856" s="475">
        <v>0</v>
      </c>
      <c r="BD856" s="475">
        <v>0</v>
      </c>
      <c r="BE856" s="475">
        <v>25</v>
      </c>
      <c r="BF856" s="475">
        <v>0</v>
      </c>
      <c r="BG856" s="475">
        <v>2025</v>
      </c>
      <c r="BH856" s="476">
        <v>50241</v>
      </c>
      <c r="BI856" s="467"/>
      <c r="BJ856" s="468"/>
    </row>
    <row r="857" spans="1:62">
      <c r="A857" s="469">
        <v>45992</v>
      </c>
      <c r="B857" s="469" t="s">
        <v>747</v>
      </c>
      <c r="C857" s="508"/>
      <c r="D857" s="470" t="s">
        <v>749</v>
      </c>
      <c r="E857" s="471">
        <v>1389</v>
      </c>
      <c r="F857" s="470" t="s">
        <v>1119</v>
      </c>
      <c r="G857" s="470" t="s">
        <v>751</v>
      </c>
      <c r="H857" s="470" t="s">
        <v>12</v>
      </c>
      <c r="I857" s="470" t="s">
        <v>1120</v>
      </c>
      <c r="J857" s="472" t="s">
        <v>1121</v>
      </c>
      <c r="K857" s="470" t="s">
        <v>1122</v>
      </c>
      <c r="L857" s="470" t="s">
        <v>1123</v>
      </c>
      <c r="M857" s="470" t="s">
        <v>1124</v>
      </c>
      <c r="N857" s="470" t="s">
        <v>1108</v>
      </c>
      <c r="O857" s="472" t="s">
        <v>757</v>
      </c>
      <c r="P857" s="472" t="s">
        <v>738</v>
      </c>
      <c r="Q857" s="472" t="s">
        <v>758</v>
      </c>
      <c r="R857" s="472" t="s">
        <v>12</v>
      </c>
      <c r="S857" s="472" t="s">
        <v>12</v>
      </c>
      <c r="T857" s="472" t="s">
        <v>1125</v>
      </c>
      <c r="U857" s="470" t="s">
        <v>1126</v>
      </c>
      <c r="V857" s="470" t="s">
        <v>761</v>
      </c>
      <c r="W857" s="470" t="s">
        <v>762</v>
      </c>
      <c r="X857" s="470">
        <v>31</v>
      </c>
      <c r="Y857" s="470">
        <v>0</v>
      </c>
      <c r="Z857" s="470">
        <v>0.5</v>
      </c>
      <c r="AA857" s="470">
        <v>30.5</v>
      </c>
      <c r="AB857" s="470">
        <v>30.5</v>
      </c>
      <c r="AC857" s="473">
        <v>60807</v>
      </c>
      <c r="AD857" s="473">
        <v>60807</v>
      </c>
      <c r="AE857" s="473">
        <v>26922</v>
      </c>
      <c r="AF857" s="473">
        <v>10769</v>
      </c>
      <c r="AG857" s="473">
        <v>1574</v>
      </c>
      <c r="AH857" s="473">
        <v>197</v>
      </c>
      <c r="AI857" s="473">
        <v>1230</v>
      </c>
      <c r="AJ857" s="473">
        <v>2243</v>
      </c>
      <c r="AK857" s="473">
        <v>5384</v>
      </c>
      <c r="AL857" s="473">
        <v>4038</v>
      </c>
      <c r="AM857" s="473">
        <v>269</v>
      </c>
      <c r="AN857" s="473">
        <v>942</v>
      </c>
      <c r="AO857" s="473">
        <v>538</v>
      </c>
      <c r="AP857" s="473">
        <v>135</v>
      </c>
      <c r="AQ857" s="473">
        <v>1800</v>
      </c>
      <c r="AR857" s="473">
        <v>3785</v>
      </c>
      <c r="AS857" s="473">
        <v>0</v>
      </c>
      <c r="AT857" s="473">
        <v>0</v>
      </c>
      <c r="AU857" s="473">
        <v>0</v>
      </c>
      <c r="AV857" s="473">
        <v>59826</v>
      </c>
      <c r="AW857" s="474">
        <v>59826</v>
      </c>
      <c r="AX857" s="473">
        <v>0</v>
      </c>
      <c r="AY857" s="473">
        <v>0</v>
      </c>
      <c r="AZ857" s="475">
        <v>0</v>
      </c>
      <c r="BA857" s="475">
        <v>200</v>
      </c>
      <c r="BB857" s="475">
        <v>1800</v>
      </c>
      <c r="BC857" s="475">
        <v>0</v>
      </c>
      <c r="BD857" s="475">
        <v>0</v>
      </c>
      <c r="BE857" s="475">
        <v>25</v>
      </c>
      <c r="BF857" s="475">
        <v>10000</v>
      </c>
      <c r="BG857" s="475">
        <v>12025</v>
      </c>
      <c r="BH857" s="476">
        <v>47801</v>
      </c>
      <c r="BI857" s="467"/>
      <c r="BJ857" s="468"/>
    </row>
    <row r="858" spans="1:62">
      <c r="A858" s="469">
        <v>45992</v>
      </c>
      <c r="B858" s="469" t="s">
        <v>747</v>
      </c>
      <c r="C858" s="508"/>
      <c r="D858" s="470" t="s">
        <v>749</v>
      </c>
      <c r="E858" s="471">
        <v>1535</v>
      </c>
      <c r="F858" s="470" t="s">
        <v>1127</v>
      </c>
      <c r="G858" s="470" t="s">
        <v>751</v>
      </c>
      <c r="H858" s="470" t="s">
        <v>12</v>
      </c>
      <c r="I858" s="470" t="s">
        <v>1128</v>
      </c>
      <c r="J858" s="472" t="s">
        <v>1129</v>
      </c>
      <c r="K858" s="470" t="s">
        <v>1130</v>
      </c>
      <c r="L858" s="470" t="s">
        <v>1131</v>
      </c>
      <c r="M858" s="470" t="s">
        <v>1131</v>
      </c>
      <c r="N858" s="470" t="s">
        <v>756</v>
      </c>
      <c r="O858" s="472" t="s">
        <v>792</v>
      </c>
      <c r="P858" s="472" t="s">
        <v>738</v>
      </c>
      <c r="Q858" s="472" t="s">
        <v>758</v>
      </c>
      <c r="R858" s="472" t="s">
        <v>12</v>
      </c>
      <c r="S858" s="472" t="s">
        <v>12</v>
      </c>
      <c r="T858" s="472" t="s">
        <v>1132</v>
      </c>
      <c r="U858" s="470" t="s">
        <v>1133</v>
      </c>
      <c r="V858" s="470" t="s">
        <v>761</v>
      </c>
      <c r="W858" s="470" t="s">
        <v>1134</v>
      </c>
      <c r="X858" s="470">
        <v>31</v>
      </c>
      <c r="Y858" s="470">
        <v>0</v>
      </c>
      <c r="Z858" s="470">
        <v>3.5</v>
      </c>
      <c r="AA858" s="470">
        <v>27.5</v>
      </c>
      <c r="AB858" s="470">
        <v>27.5</v>
      </c>
      <c r="AC858" s="473">
        <v>95900</v>
      </c>
      <c r="AD858" s="473">
        <v>95900</v>
      </c>
      <c r="AE858" s="473">
        <v>38283</v>
      </c>
      <c r="AF858" s="473">
        <v>15313</v>
      </c>
      <c r="AG858" s="473">
        <v>1419</v>
      </c>
      <c r="AH858" s="473">
        <v>177</v>
      </c>
      <c r="AI858" s="473">
        <v>1109</v>
      </c>
      <c r="AJ858" s="473">
        <v>3189</v>
      </c>
      <c r="AK858" s="473">
        <v>7657</v>
      </c>
      <c r="AL858" s="473">
        <v>5742</v>
      </c>
      <c r="AM858" s="473">
        <v>383</v>
      </c>
      <c r="AN858" s="473">
        <v>1340</v>
      </c>
      <c r="AO858" s="473">
        <v>766</v>
      </c>
      <c r="AP858" s="473">
        <v>191</v>
      </c>
      <c r="AQ858" s="473">
        <v>1800</v>
      </c>
      <c r="AR858" s="473">
        <v>7704</v>
      </c>
      <c r="AS858" s="473">
        <v>0</v>
      </c>
      <c r="AT858" s="473">
        <v>0</v>
      </c>
      <c r="AU858" s="473">
        <v>0</v>
      </c>
      <c r="AV858" s="473">
        <v>85073</v>
      </c>
      <c r="AW858" s="474">
        <v>85073</v>
      </c>
      <c r="AX858" s="473">
        <v>0</v>
      </c>
      <c r="AY858" s="473">
        <v>0</v>
      </c>
      <c r="AZ858" s="475">
        <v>0</v>
      </c>
      <c r="BA858" s="475">
        <v>200</v>
      </c>
      <c r="BB858" s="475">
        <v>1800</v>
      </c>
      <c r="BC858" s="475">
        <v>0</v>
      </c>
      <c r="BD858" s="475">
        <v>0</v>
      </c>
      <c r="BE858" s="475">
        <v>25</v>
      </c>
      <c r="BF858" s="475">
        <v>0</v>
      </c>
      <c r="BG858" s="475">
        <v>2025</v>
      </c>
      <c r="BH858" s="476">
        <v>83048</v>
      </c>
      <c r="BI858" s="467"/>
      <c r="BJ858" s="468"/>
    </row>
    <row r="859" spans="1:62">
      <c r="A859" s="469">
        <v>45992</v>
      </c>
      <c r="B859" s="469" t="s">
        <v>747</v>
      </c>
      <c r="C859" s="508"/>
      <c r="D859" s="470" t="s">
        <v>749</v>
      </c>
      <c r="E859" s="471">
        <v>1409</v>
      </c>
      <c r="F859" s="470" t="s">
        <v>1135</v>
      </c>
      <c r="G859" s="470" t="s">
        <v>751</v>
      </c>
      <c r="H859" s="470" t="s">
        <v>12</v>
      </c>
      <c r="I859" s="470" t="s">
        <v>1136</v>
      </c>
      <c r="J859" s="472" t="s">
        <v>1137</v>
      </c>
      <c r="K859" s="470" t="s">
        <v>1138</v>
      </c>
      <c r="L859" s="470" t="s">
        <v>856</v>
      </c>
      <c r="M859" s="470" t="s">
        <v>856</v>
      </c>
      <c r="N859" s="470" t="s">
        <v>756</v>
      </c>
      <c r="O859" s="472" t="s">
        <v>757</v>
      </c>
      <c r="P859" s="472" t="s">
        <v>738</v>
      </c>
      <c r="Q859" s="472" t="s">
        <v>758</v>
      </c>
      <c r="R859" s="472" t="s">
        <v>12</v>
      </c>
      <c r="S859" s="472" t="s">
        <v>12</v>
      </c>
      <c r="T859" s="472" t="s">
        <v>1139</v>
      </c>
      <c r="U859" s="470" t="s">
        <v>1140</v>
      </c>
      <c r="V859" s="470" t="s">
        <v>761</v>
      </c>
      <c r="W859" s="470" t="s">
        <v>1111</v>
      </c>
      <c r="X859" s="470">
        <v>31</v>
      </c>
      <c r="Y859" s="470">
        <v>0</v>
      </c>
      <c r="Z859" s="470">
        <v>1</v>
      </c>
      <c r="AA859" s="470">
        <v>30</v>
      </c>
      <c r="AB859" s="470">
        <v>30</v>
      </c>
      <c r="AC859" s="473">
        <v>71417</v>
      </c>
      <c r="AD859" s="473">
        <v>71417</v>
      </c>
      <c r="AE859" s="473">
        <v>31101</v>
      </c>
      <c r="AF859" s="473">
        <v>12440</v>
      </c>
      <c r="AG859" s="473">
        <v>1548</v>
      </c>
      <c r="AH859" s="473">
        <v>194</v>
      </c>
      <c r="AI859" s="473">
        <v>1210</v>
      </c>
      <c r="AJ859" s="473">
        <v>2591</v>
      </c>
      <c r="AK859" s="473">
        <v>6220</v>
      </c>
      <c r="AL859" s="473">
        <v>4665</v>
      </c>
      <c r="AM859" s="473">
        <v>311</v>
      </c>
      <c r="AN859" s="473">
        <v>1089</v>
      </c>
      <c r="AO859" s="473">
        <v>622</v>
      </c>
      <c r="AP859" s="473">
        <v>156</v>
      </c>
      <c r="AQ859" s="473">
        <v>1800</v>
      </c>
      <c r="AR859" s="473">
        <v>5166</v>
      </c>
      <c r="AS859" s="473">
        <v>0</v>
      </c>
      <c r="AT859" s="473">
        <v>200</v>
      </c>
      <c r="AU859" s="473">
        <v>0</v>
      </c>
      <c r="AV859" s="473">
        <v>69313</v>
      </c>
      <c r="AW859" s="474">
        <v>69313</v>
      </c>
      <c r="AX859" s="473">
        <v>0</v>
      </c>
      <c r="AY859" s="473">
        <v>0</v>
      </c>
      <c r="AZ859" s="475">
        <v>0</v>
      </c>
      <c r="BA859" s="475">
        <v>200</v>
      </c>
      <c r="BB859" s="475">
        <v>1800</v>
      </c>
      <c r="BC859" s="475">
        <v>0</v>
      </c>
      <c r="BD859" s="475">
        <v>0</v>
      </c>
      <c r="BE859" s="475">
        <v>25</v>
      </c>
      <c r="BF859" s="475">
        <v>0</v>
      </c>
      <c r="BG859" s="475">
        <v>2025</v>
      </c>
      <c r="BH859" s="476">
        <v>67288</v>
      </c>
      <c r="BI859" s="467"/>
      <c r="BJ859" s="468"/>
    </row>
    <row r="860" spans="1:62">
      <c r="A860" s="469">
        <v>45992</v>
      </c>
      <c r="B860" s="469" t="s">
        <v>747</v>
      </c>
      <c r="C860" s="508"/>
      <c r="D860" s="470" t="s">
        <v>749</v>
      </c>
      <c r="E860" s="471">
        <v>2155</v>
      </c>
      <c r="F860" s="470" t="s">
        <v>1308</v>
      </c>
      <c r="G860" s="470" t="s">
        <v>751</v>
      </c>
      <c r="H860" s="470" t="s">
        <v>12</v>
      </c>
      <c r="I860" s="470" t="s">
        <v>1286</v>
      </c>
      <c r="J860" s="472" t="s">
        <v>1309</v>
      </c>
      <c r="K860" s="470" t="s">
        <v>1310</v>
      </c>
      <c r="L860" s="470" t="s">
        <v>1311</v>
      </c>
      <c r="M860" s="470" t="s">
        <v>1311</v>
      </c>
      <c r="N860" s="470" t="s">
        <v>756</v>
      </c>
      <c r="O860" s="472" t="s">
        <v>757</v>
      </c>
      <c r="P860" s="472" t="s">
        <v>738</v>
      </c>
      <c r="Q860" s="472" t="s">
        <v>758</v>
      </c>
      <c r="R860" s="472" t="s">
        <v>12</v>
      </c>
      <c r="S860" s="472" t="s">
        <v>12</v>
      </c>
      <c r="T860" s="472" t="s">
        <v>1312</v>
      </c>
      <c r="U860" s="470" t="s">
        <v>1313</v>
      </c>
      <c r="V860" s="470" t="s">
        <v>761</v>
      </c>
      <c r="W860" s="470" t="s">
        <v>898</v>
      </c>
      <c r="X860" s="470">
        <v>31</v>
      </c>
      <c r="Y860" s="470">
        <v>0</v>
      </c>
      <c r="Z860" s="470">
        <v>0</v>
      </c>
      <c r="AA860" s="470">
        <v>31</v>
      </c>
      <c r="AB860" s="470">
        <v>31</v>
      </c>
      <c r="AC860" s="473">
        <v>53200</v>
      </c>
      <c r="AD860" s="473">
        <v>53200</v>
      </c>
      <c r="AE860" s="473">
        <v>23940</v>
      </c>
      <c r="AF860" s="473">
        <v>9576</v>
      </c>
      <c r="AG860" s="473">
        <v>1600</v>
      </c>
      <c r="AH860" s="473">
        <v>200</v>
      </c>
      <c r="AI860" s="473">
        <v>1250</v>
      </c>
      <c r="AJ860" s="473">
        <v>1994</v>
      </c>
      <c r="AK860" s="473">
        <v>4788</v>
      </c>
      <c r="AL860" s="473">
        <v>3591</v>
      </c>
      <c r="AM860" s="473">
        <v>239</v>
      </c>
      <c r="AN860" s="473">
        <v>838</v>
      </c>
      <c r="AO860" s="473">
        <v>479</v>
      </c>
      <c r="AP860" s="473">
        <v>120</v>
      </c>
      <c r="AQ860" s="473">
        <v>1800</v>
      </c>
      <c r="AR860" s="473">
        <v>2785</v>
      </c>
      <c r="AS860" s="473">
        <v>0</v>
      </c>
      <c r="AT860" s="473">
        <v>0</v>
      </c>
      <c r="AU860" s="473">
        <v>698</v>
      </c>
      <c r="AV860" s="473">
        <v>53898</v>
      </c>
      <c r="AW860" s="474">
        <v>53200</v>
      </c>
      <c r="AX860" s="473">
        <v>0</v>
      </c>
      <c r="AY860" s="473">
        <v>0</v>
      </c>
      <c r="AZ860" s="475">
        <v>0</v>
      </c>
      <c r="BA860" s="475">
        <v>200</v>
      </c>
      <c r="BB860" s="475">
        <v>1800</v>
      </c>
      <c r="BC860" s="475">
        <v>0</v>
      </c>
      <c r="BD860" s="475">
        <v>0</v>
      </c>
      <c r="BE860" s="475">
        <v>25</v>
      </c>
      <c r="BF860" s="475">
        <v>0</v>
      </c>
      <c r="BG860" s="475">
        <v>2025</v>
      </c>
      <c r="BH860" s="476">
        <v>51873</v>
      </c>
      <c r="BI860" s="467"/>
      <c r="BJ860" s="468"/>
    </row>
    <row r="861" spans="1:62">
      <c r="A861" s="469">
        <v>45992</v>
      </c>
      <c r="B861" s="469" t="s">
        <v>747</v>
      </c>
      <c r="C861" s="508"/>
      <c r="D861" s="470" t="s">
        <v>749</v>
      </c>
      <c r="E861" s="471">
        <v>2232</v>
      </c>
      <c r="F861" s="470" t="s">
        <v>1372</v>
      </c>
      <c r="G861" s="470" t="s">
        <v>751</v>
      </c>
      <c r="H861" s="470" t="s">
        <v>12</v>
      </c>
      <c r="I861" s="470" t="s">
        <v>1348</v>
      </c>
      <c r="J861" s="472" t="s">
        <v>1373</v>
      </c>
      <c r="K861" s="470" t="s">
        <v>1374</v>
      </c>
      <c r="L861" s="470" t="s">
        <v>1375</v>
      </c>
      <c r="M861" s="470" t="s">
        <v>1375</v>
      </c>
      <c r="N861" s="470" t="s">
        <v>756</v>
      </c>
      <c r="O861" s="472" t="s">
        <v>757</v>
      </c>
      <c r="P861" s="472" t="s">
        <v>738</v>
      </c>
      <c r="Q861" s="472" t="s">
        <v>758</v>
      </c>
      <c r="R861" s="472" t="s">
        <v>12</v>
      </c>
      <c r="S861" s="472" t="s">
        <v>12</v>
      </c>
      <c r="T861" s="472" t="s">
        <v>1376</v>
      </c>
      <c r="U861" s="470" t="s">
        <v>1377</v>
      </c>
      <c r="V861" s="470" t="s">
        <v>1536</v>
      </c>
      <c r="W861" s="470" t="s">
        <v>1379</v>
      </c>
      <c r="X861" s="470">
        <v>31</v>
      </c>
      <c r="Y861" s="470">
        <v>0</v>
      </c>
      <c r="Z861" s="470">
        <v>0</v>
      </c>
      <c r="AA861" s="470">
        <v>31</v>
      </c>
      <c r="AB861" s="470">
        <v>31</v>
      </c>
      <c r="AC861" s="473">
        <v>89867</v>
      </c>
      <c r="AD861" s="473">
        <v>89867</v>
      </c>
      <c r="AE861" s="473">
        <v>40440</v>
      </c>
      <c r="AF861" s="473">
        <v>16176</v>
      </c>
      <c r="AG861" s="473">
        <v>1600</v>
      </c>
      <c r="AH861" s="473">
        <v>200</v>
      </c>
      <c r="AI861" s="473">
        <v>1250</v>
      </c>
      <c r="AJ861" s="473">
        <v>3369</v>
      </c>
      <c r="AK861" s="473">
        <v>8088</v>
      </c>
      <c r="AL861" s="473">
        <v>6066</v>
      </c>
      <c r="AM861" s="473">
        <v>404</v>
      </c>
      <c r="AN861" s="473">
        <v>1415</v>
      </c>
      <c r="AO861" s="473">
        <v>809</v>
      </c>
      <c r="AP861" s="473">
        <v>202</v>
      </c>
      <c r="AQ861" s="473">
        <v>1800</v>
      </c>
      <c r="AR861" s="473">
        <v>8048</v>
      </c>
      <c r="AS861" s="473">
        <v>0</v>
      </c>
      <c r="AT861" s="473">
        <v>0</v>
      </c>
      <c r="AU861" s="473">
        <v>924</v>
      </c>
      <c r="AV861" s="473">
        <v>90791</v>
      </c>
      <c r="AW861" s="474">
        <v>89867</v>
      </c>
      <c r="AX861" s="473">
        <v>0</v>
      </c>
      <c r="AY861" s="473">
        <v>0</v>
      </c>
      <c r="AZ861" s="475">
        <v>0</v>
      </c>
      <c r="BA861" s="475">
        <v>200</v>
      </c>
      <c r="BB861" s="475">
        <v>1800</v>
      </c>
      <c r="BC861" s="475">
        <v>0</v>
      </c>
      <c r="BD861" s="475">
        <v>0</v>
      </c>
      <c r="BE861" s="475">
        <v>25</v>
      </c>
      <c r="BF861" s="475">
        <v>0</v>
      </c>
      <c r="BG861" s="475">
        <v>2025</v>
      </c>
      <c r="BH861" s="476">
        <v>88766</v>
      </c>
      <c r="BI861" s="467"/>
      <c r="BJ861" s="468"/>
    </row>
    <row r="862" spans="1:62">
      <c r="A862" s="469">
        <v>45992</v>
      </c>
      <c r="B862" s="469" t="s">
        <v>747</v>
      </c>
      <c r="C862" s="508"/>
      <c r="D862" s="470" t="s">
        <v>749</v>
      </c>
      <c r="E862" s="471">
        <v>2147</v>
      </c>
      <c r="F862" s="470" t="s">
        <v>1314</v>
      </c>
      <c r="G862" s="470" t="s">
        <v>812</v>
      </c>
      <c r="H862" s="470" t="s">
        <v>12</v>
      </c>
      <c r="I862" s="470" t="s">
        <v>1286</v>
      </c>
      <c r="J862" s="472" t="s">
        <v>1315</v>
      </c>
      <c r="K862" s="470" t="s">
        <v>1316</v>
      </c>
      <c r="L862" s="470" t="s">
        <v>1317</v>
      </c>
      <c r="M862" s="470" t="s">
        <v>1317</v>
      </c>
      <c r="N862" s="470" t="s">
        <v>833</v>
      </c>
      <c r="O862" s="472" t="s">
        <v>757</v>
      </c>
      <c r="P862" s="472" t="s">
        <v>738</v>
      </c>
      <c r="Q862" s="472" t="s">
        <v>758</v>
      </c>
      <c r="R862" s="472" t="s">
        <v>12</v>
      </c>
      <c r="S862" s="472" t="s">
        <v>12</v>
      </c>
      <c r="T862" s="472" t="s">
        <v>1318</v>
      </c>
      <c r="U862" s="470" t="s">
        <v>1319</v>
      </c>
      <c r="V862" s="470" t="s">
        <v>761</v>
      </c>
      <c r="W862" s="470" t="s">
        <v>898</v>
      </c>
      <c r="X862" s="470">
        <v>31</v>
      </c>
      <c r="Y862" s="470">
        <v>0</v>
      </c>
      <c r="Z862" s="470">
        <v>0</v>
      </c>
      <c r="AA862" s="470">
        <v>31</v>
      </c>
      <c r="AB862" s="470">
        <v>31</v>
      </c>
      <c r="AC862" s="473">
        <v>28380</v>
      </c>
      <c r="AD862" s="473">
        <v>28380</v>
      </c>
      <c r="AE862" s="473">
        <v>12771</v>
      </c>
      <c r="AF862" s="473">
        <v>5108</v>
      </c>
      <c r="AG862" s="473">
        <v>1600</v>
      </c>
      <c r="AH862" s="473">
        <v>200</v>
      </c>
      <c r="AI862" s="473">
        <v>1250</v>
      </c>
      <c r="AJ862" s="473">
        <v>0</v>
      </c>
      <c r="AK862" s="473">
        <v>0</v>
      </c>
      <c r="AL862" s="473">
        <v>0</v>
      </c>
      <c r="AM862" s="473">
        <v>0</v>
      </c>
      <c r="AN862" s="473">
        <v>0</v>
      </c>
      <c r="AO862" s="473">
        <v>0</v>
      </c>
      <c r="AP862" s="473">
        <v>0</v>
      </c>
      <c r="AQ862" s="473">
        <v>1533</v>
      </c>
      <c r="AR862" s="473">
        <v>5918</v>
      </c>
      <c r="AS862" s="473">
        <v>0</v>
      </c>
      <c r="AT862" s="473">
        <v>0</v>
      </c>
      <c r="AU862" s="473">
        <v>0</v>
      </c>
      <c r="AV862" s="473">
        <v>28380</v>
      </c>
      <c r="AW862" s="474">
        <v>28380</v>
      </c>
      <c r="AX862" s="473">
        <v>0</v>
      </c>
      <c r="AY862" s="473">
        <v>0</v>
      </c>
      <c r="AZ862" s="475">
        <v>0</v>
      </c>
      <c r="BA862" s="475">
        <v>200</v>
      </c>
      <c r="BB862" s="475">
        <v>1533</v>
      </c>
      <c r="BC862" s="475">
        <v>0</v>
      </c>
      <c r="BD862" s="475">
        <v>0</v>
      </c>
      <c r="BE862" s="475">
        <v>25</v>
      </c>
      <c r="BF862" s="475">
        <v>0</v>
      </c>
      <c r="BG862" s="475">
        <v>1758</v>
      </c>
      <c r="BH862" s="476">
        <v>26622</v>
      </c>
      <c r="BI862" s="467"/>
      <c r="BJ862" s="468"/>
    </row>
    <row r="863" spans="1:62">
      <c r="A863" s="469">
        <v>45992</v>
      </c>
      <c r="B863" s="469" t="s">
        <v>747</v>
      </c>
      <c r="C863" s="508"/>
      <c r="D863" s="470" t="s">
        <v>749</v>
      </c>
      <c r="E863" s="471">
        <v>2278</v>
      </c>
      <c r="F863" s="470" t="s">
        <v>1498</v>
      </c>
      <c r="G863" s="470" t="s">
        <v>812</v>
      </c>
      <c r="H863" s="470" t="s">
        <v>12</v>
      </c>
      <c r="I863" s="470" t="s">
        <v>1426</v>
      </c>
      <c r="J863" s="472" t="s">
        <v>1499</v>
      </c>
      <c r="K863" s="470" t="s">
        <v>1500</v>
      </c>
      <c r="L863" s="470" t="s">
        <v>824</v>
      </c>
      <c r="M863" s="470" t="s">
        <v>824</v>
      </c>
      <c r="N863" s="470" t="s">
        <v>1275</v>
      </c>
      <c r="O863" s="472" t="s">
        <v>1276</v>
      </c>
      <c r="P863" s="472" t="s">
        <v>738</v>
      </c>
      <c r="Q863" s="472" t="s">
        <v>758</v>
      </c>
      <c r="R863" s="472" t="s">
        <v>12</v>
      </c>
      <c r="S863" s="472" t="s">
        <v>12</v>
      </c>
      <c r="T863" s="472" t="s">
        <v>1501</v>
      </c>
      <c r="U863" s="470" t="s">
        <v>1502</v>
      </c>
      <c r="V863" s="470" t="s">
        <v>761</v>
      </c>
      <c r="W863" s="470" t="s">
        <v>1361</v>
      </c>
      <c r="X863" s="470">
        <v>31</v>
      </c>
      <c r="Y863" s="470">
        <v>0</v>
      </c>
      <c r="Z863" s="470">
        <v>0</v>
      </c>
      <c r="AA863" s="470">
        <v>31</v>
      </c>
      <c r="AB863" s="470">
        <v>31</v>
      </c>
      <c r="AC863" s="473">
        <v>44033</v>
      </c>
      <c r="AD863" s="473">
        <v>44033</v>
      </c>
      <c r="AE863" s="473">
        <v>19815</v>
      </c>
      <c r="AF863" s="473">
        <v>7926</v>
      </c>
      <c r="AG863" s="473">
        <v>1600</v>
      </c>
      <c r="AH863" s="473">
        <v>200</v>
      </c>
      <c r="AI863" s="473">
        <v>1250</v>
      </c>
      <c r="AJ863" s="473">
        <v>1651</v>
      </c>
      <c r="AK863" s="473">
        <v>3963</v>
      </c>
      <c r="AL863" s="473">
        <v>2972</v>
      </c>
      <c r="AM863" s="473">
        <v>198</v>
      </c>
      <c r="AN863" s="473">
        <v>694</v>
      </c>
      <c r="AO863" s="473">
        <v>396</v>
      </c>
      <c r="AP863" s="473">
        <v>99</v>
      </c>
      <c r="AQ863" s="473">
        <v>1800</v>
      </c>
      <c r="AR863" s="473">
        <v>1469</v>
      </c>
      <c r="AS863" s="473">
        <v>0</v>
      </c>
      <c r="AT863" s="473">
        <v>175</v>
      </c>
      <c r="AU863" s="473">
        <v>0</v>
      </c>
      <c r="AV863" s="473">
        <v>44208</v>
      </c>
      <c r="AW863" s="474">
        <v>44208</v>
      </c>
      <c r="AX863" s="473">
        <v>0</v>
      </c>
      <c r="AY863" s="473">
        <v>0</v>
      </c>
      <c r="AZ863" s="475">
        <v>0</v>
      </c>
      <c r="BA863" s="475">
        <v>200</v>
      </c>
      <c r="BB863" s="475">
        <v>1800</v>
      </c>
      <c r="BC863" s="475">
        <v>0</v>
      </c>
      <c r="BD863" s="475">
        <v>0</v>
      </c>
      <c r="BE863" s="475">
        <v>25</v>
      </c>
      <c r="BF863" s="475">
        <v>0</v>
      </c>
      <c r="BG863" s="475">
        <v>2025</v>
      </c>
      <c r="BH863" s="476">
        <v>42183</v>
      </c>
      <c r="BI863" s="467"/>
      <c r="BJ863" s="468"/>
    </row>
    <row r="864" spans="1:62">
      <c r="A864" s="469">
        <v>45992</v>
      </c>
      <c r="B864" s="469" t="s">
        <v>747</v>
      </c>
      <c r="C864" s="508"/>
      <c r="D864" s="470" t="s">
        <v>749</v>
      </c>
      <c r="E864" s="471">
        <v>1263</v>
      </c>
      <c r="F864" s="470" t="s">
        <v>1141</v>
      </c>
      <c r="G864" s="470" t="s">
        <v>751</v>
      </c>
      <c r="H864" s="470" t="s">
        <v>12</v>
      </c>
      <c r="I864" s="470" t="s">
        <v>1142</v>
      </c>
      <c r="J864" s="472" t="s">
        <v>1143</v>
      </c>
      <c r="K864" s="470" t="s">
        <v>1144</v>
      </c>
      <c r="L864" s="470" t="s">
        <v>1305</v>
      </c>
      <c r="M864" s="470" t="s">
        <v>1305</v>
      </c>
      <c r="N864" s="470" t="s">
        <v>756</v>
      </c>
      <c r="O864" s="472" t="s">
        <v>757</v>
      </c>
      <c r="P864" s="472" t="s">
        <v>738</v>
      </c>
      <c r="Q864" s="472" t="s">
        <v>758</v>
      </c>
      <c r="R864" s="472" t="s">
        <v>12</v>
      </c>
      <c r="S864" s="472" t="s">
        <v>12</v>
      </c>
      <c r="T864" s="472" t="s">
        <v>1147</v>
      </c>
      <c r="U864" s="470" t="s">
        <v>1148</v>
      </c>
      <c r="V864" s="470" t="s">
        <v>761</v>
      </c>
      <c r="W864" s="470" t="s">
        <v>859</v>
      </c>
      <c r="X864" s="470">
        <v>31</v>
      </c>
      <c r="Y864" s="470">
        <v>0</v>
      </c>
      <c r="Z864" s="470">
        <v>0</v>
      </c>
      <c r="AA864" s="470">
        <v>31</v>
      </c>
      <c r="AB864" s="470">
        <v>31</v>
      </c>
      <c r="AC864" s="473">
        <v>55900</v>
      </c>
      <c r="AD864" s="473">
        <v>55900</v>
      </c>
      <c r="AE864" s="473">
        <v>25155</v>
      </c>
      <c r="AF864" s="473">
        <v>10062</v>
      </c>
      <c r="AG864" s="473">
        <v>1600</v>
      </c>
      <c r="AH864" s="473">
        <v>200</v>
      </c>
      <c r="AI864" s="473">
        <v>1250</v>
      </c>
      <c r="AJ864" s="473">
        <v>2095</v>
      </c>
      <c r="AK864" s="473">
        <v>5031</v>
      </c>
      <c r="AL864" s="473">
        <v>3773</v>
      </c>
      <c r="AM864" s="473">
        <v>252</v>
      </c>
      <c r="AN864" s="473">
        <v>880</v>
      </c>
      <c r="AO864" s="473">
        <v>503</v>
      </c>
      <c r="AP864" s="473">
        <v>126</v>
      </c>
      <c r="AQ864" s="473">
        <v>1800</v>
      </c>
      <c r="AR864" s="473">
        <v>3173</v>
      </c>
      <c r="AS864" s="473">
        <v>0</v>
      </c>
      <c r="AT864" s="473">
        <v>0</v>
      </c>
      <c r="AU864" s="473">
        <v>0</v>
      </c>
      <c r="AV864" s="473">
        <v>55900</v>
      </c>
      <c r="AW864" s="474">
        <v>55900</v>
      </c>
      <c r="AX864" s="473">
        <v>0</v>
      </c>
      <c r="AY864" s="473">
        <v>0</v>
      </c>
      <c r="AZ864" s="475">
        <v>0</v>
      </c>
      <c r="BA864" s="475">
        <v>200</v>
      </c>
      <c r="BB864" s="475">
        <v>1800</v>
      </c>
      <c r="BC864" s="475">
        <v>0</v>
      </c>
      <c r="BD864" s="475">
        <v>0</v>
      </c>
      <c r="BE864" s="475">
        <v>25</v>
      </c>
      <c r="BF864" s="475">
        <v>0</v>
      </c>
      <c r="BG864" s="475">
        <v>2025</v>
      </c>
      <c r="BH864" s="476">
        <v>53875</v>
      </c>
      <c r="BI864" s="467"/>
      <c r="BJ864" s="468"/>
    </row>
    <row r="865" spans="1:62">
      <c r="A865" s="469">
        <v>45992</v>
      </c>
      <c r="B865" s="469" t="s">
        <v>747</v>
      </c>
      <c r="C865" s="508"/>
      <c r="D865" s="470" t="s">
        <v>749</v>
      </c>
      <c r="E865" s="471">
        <v>2218</v>
      </c>
      <c r="F865" s="470" t="s">
        <v>1380</v>
      </c>
      <c r="G865" s="470" t="s">
        <v>751</v>
      </c>
      <c r="H865" s="470" t="s">
        <v>12</v>
      </c>
      <c r="I865" s="470" t="s">
        <v>1340</v>
      </c>
      <c r="J865" s="472" t="s">
        <v>1381</v>
      </c>
      <c r="K865" s="470" t="s">
        <v>1382</v>
      </c>
      <c r="L865" s="470" t="s">
        <v>1383</v>
      </c>
      <c r="M865" s="470" t="s">
        <v>903</v>
      </c>
      <c r="N865" s="470" t="s">
        <v>1384</v>
      </c>
      <c r="O865" s="472" t="s">
        <v>757</v>
      </c>
      <c r="P865" s="472" t="s">
        <v>738</v>
      </c>
      <c r="Q865" s="472" t="s">
        <v>758</v>
      </c>
      <c r="R865" s="472" t="s">
        <v>12</v>
      </c>
      <c r="S865" s="472" t="s">
        <v>12</v>
      </c>
      <c r="T865" s="472" t="s">
        <v>1385</v>
      </c>
      <c r="U865" s="470" t="s">
        <v>1386</v>
      </c>
      <c r="V865" s="470" t="s">
        <v>761</v>
      </c>
      <c r="W865" s="470" t="s">
        <v>1387</v>
      </c>
      <c r="X865" s="470">
        <v>31</v>
      </c>
      <c r="Y865" s="470">
        <v>0</v>
      </c>
      <c r="Z865" s="470">
        <v>0</v>
      </c>
      <c r="AA865" s="470">
        <v>31</v>
      </c>
      <c r="AB865" s="470">
        <v>31</v>
      </c>
      <c r="AC865" s="473">
        <v>53200</v>
      </c>
      <c r="AD865" s="473">
        <v>53200</v>
      </c>
      <c r="AE865" s="473">
        <v>23940</v>
      </c>
      <c r="AF865" s="473">
        <v>9576</v>
      </c>
      <c r="AG865" s="473">
        <v>1600</v>
      </c>
      <c r="AH865" s="473">
        <v>200</v>
      </c>
      <c r="AI865" s="473">
        <v>1250</v>
      </c>
      <c r="AJ865" s="473">
        <v>1994</v>
      </c>
      <c r="AK865" s="473">
        <v>4788</v>
      </c>
      <c r="AL865" s="473">
        <v>3591</v>
      </c>
      <c r="AM865" s="473">
        <v>239</v>
      </c>
      <c r="AN865" s="473">
        <v>838</v>
      </c>
      <c r="AO865" s="473">
        <v>479</v>
      </c>
      <c r="AP865" s="473">
        <v>120</v>
      </c>
      <c r="AQ865" s="473">
        <v>1800</v>
      </c>
      <c r="AR865" s="473">
        <v>2785</v>
      </c>
      <c r="AS865" s="473">
        <v>0</v>
      </c>
      <c r="AT865" s="473">
        <v>0</v>
      </c>
      <c r="AU865" s="473">
        <v>5934</v>
      </c>
      <c r="AV865" s="473">
        <v>59134</v>
      </c>
      <c r="AW865" s="474">
        <v>53200</v>
      </c>
      <c r="AX865" s="473">
        <v>0</v>
      </c>
      <c r="AY865" s="473">
        <v>0</v>
      </c>
      <c r="AZ865" s="475">
        <v>0</v>
      </c>
      <c r="BA865" s="475">
        <v>200</v>
      </c>
      <c r="BB865" s="475">
        <v>1800</v>
      </c>
      <c r="BC865" s="475">
        <v>0</v>
      </c>
      <c r="BD865" s="475">
        <v>0</v>
      </c>
      <c r="BE865" s="475">
        <v>25</v>
      </c>
      <c r="BF865" s="475">
        <v>0</v>
      </c>
      <c r="BG865" s="475">
        <v>2025</v>
      </c>
      <c r="BH865" s="476">
        <v>57109</v>
      </c>
      <c r="BI865" s="467"/>
      <c r="BJ865" s="468"/>
    </row>
    <row r="866" spans="1:62">
      <c r="A866" s="469">
        <v>45992</v>
      </c>
      <c r="B866" s="469" t="s">
        <v>747</v>
      </c>
      <c r="C866" s="508"/>
      <c r="D866" s="470" t="s">
        <v>749</v>
      </c>
      <c r="E866" s="471">
        <v>1758</v>
      </c>
      <c r="F866" s="470" t="s">
        <v>1149</v>
      </c>
      <c r="G866" s="470" t="s">
        <v>751</v>
      </c>
      <c r="H866" s="470" t="s">
        <v>12</v>
      </c>
      <c r="I866" s="470" t="s">
        <v>1150</v>
      </c>
      <c r="J866" s="472" t="s">
        <v>1151</v>
      </c>
      <c r="K866" s="470" t="s">
        <v>1152</v>
      </c>
      <c r="L866" s="470" t="s">
        <v>856</v>
      </c>
      <c r="M866" s="470" t="s">
        <v>856</v>
      </c>
      <c r="N866" s="470" t="s">
        <v>756</v>
      </c>
      <c r="O866" s="472" t="s">
        <v>757</v>
      </c>
      <c r="P866" s="472" t="s">
        <v>738</v>
      </c>
      <c r="Q866" s="472" t="s">
        <v>758</v>
      </c>
      <c r="R866" s="472" t="s">
        <v>12</v>
      </c>
      <c r="S866" s="472" t="s">
        <v>12</v>
      </c>
      <c r="T866" s="472" t="s">
        <v>1153</v>
      </c>
      <c r="U866" s="470" t="s">
        <v>1154</v>
      </c>
      <c r="V866" s="470" t="s">
        <v>761</v>
      </c>
      <c r="W866" s="470" t="s">
        <v>1155</v>
      </c>
      <c r="X866" s="470">
        <v>31</v>
      </c>
      <c r="Y866" s="470">
        <v>0</v>
      </c>
      <c r="Z866" s="470">
        <v>1</v>
      </c>
      <c r="AA866" s="470">
        <v>30</v>
      </c>
      <c r="AB866" s="470">
        <v>30</v>
      </c>
      <c r="AC866" s="473">
        <v>68220</v>
      </c>
      <c r="AD866" s="473">
        <v>68220</v>
      </c>
      <c r="AE866" s="473">
        <v>29709</v>
      </c>
      <c r="AF866" s="473">
        <v>11884</v>
      </c>
      <c r="AG866" s="473">
        <v>1548</v>
      </c>
      <c r="AH866" s="473">
        <v>194</v>
      </c>
      <c r="AI866" s="473">
        <v>1210</v>
      </c>
      <c r="AJ866" s="473">
        <v>2475</v>
      </c>
      <c r="AK866" s="473">
        <v>5942</v>
      </c>
      <c r="AL866" s="473">
        <v>4456</v>
      </c>
      <c r="AM866" s="473">
        <v>297</v>
      </c>
      <c r="AN866" s="473">
        <v>1040</v>
      </c>
      <c r="AO866" s="473">
        <v>594</v>
      </c>
      <c r="AP866" s="473">
        <v>149</v>
      </c>
      <c r="AQ866" s="473">
        <v>1800</v>
      </c>
      <c r="AR866" s="473">
        <v>4721</v>
      </c>
      <c r="AS866" s="473">
        <v>0</v>
      </c>
      <c r="AT866" s="473">
        <v>0</v>
      </c>
      <c r="AU866" s="473">
        <v>0</v>
      </c>
      <c r="AV866" s="473">
        <v>66019</v>
      </c>
      <c r="AW866" s="474">
        <v>66019</v>
      </c>
      <c r="AX866" s="473">
        <v>0</v>
      </c>
      <c r="AY866" s="473">
        <v>0</v>
      </c>
      <c r="AZ866" s="475">
        <v>0</v>
      </c>
      <c r="BA866" s="475">
        <v>200</v>
      </c>
      <c r="BB866" s="475">
        <v>1800</v>
      </c>
      <c r="BC866" s="475">
        <v>0</v>
      </c>
      <c r="BD866" s="475">
        <v>0</v>
      </c>
      <c r="BE866" s="475">
        <v>25</v>
      </c>
      <c r="BF866" s="475">
        <v>0</v>
      </c>
      <c r="BG866" s="475">
        <v>2025</v>
      </c>
      <c r="BH866" s="476">
        <v>63994</v>
      </c>
      <c r="BI866" s="467"/>
      <c r="BJ866" s="468"/>
    </row>
    <row r="867" spans="1:62">
      <c r="A867" s="469">
        <v>45992</v>
      </c>
      <c r="B867" s="469" t="s">
        <v>747</v>
      </c>
      <c r="C867" s="508"/>
      <c r="D867" s="470" t="s">
        <v>749</v>
      </c>
      <c r="E867" s="471">
        <v>1624</v>
      </c>
      <c r="F867" s="470" t="s">
        <v>1156</v>
      </c>
      <c r="G867" s="470" t="s">
        <v>751</v>
      </c>
      <c r="H867" s="470" t="s">
        <v>12</v>
      </c>
      <c r="I867" s="470" t="s">
        <v>1157</v>
      </c>
      <c r="J867" s="472" t="s">
        <v>1158</v>
      </c>
      <c r="K867" s="470" t="s">
        <v>1159</v>
      </c>
      <c r="L867" s="470" t="s">
        <v>987</v>
      </c>
      <c r="M867" s="470" t="s">
        <v>987</v>
      </c>
      <c r="N867" s="470" t="s">
        <v>756</v>
      </c>
      <c r="O867" s="472" t="s">
        <v>757</v>
      </c>
      <c r="P867" s="472" t="s">
        <v>738</v>
      </c>
      <c r="Q867" s="472" t="s">
        <v>758</v>
      </c>
      <c r="R867" s="472" t="s">
        <v>12</v>
      </c>
      <c r="S867" s="472" t="s">
        <v>12</v>
      </c>
      <c r="T867" s="472" t="s">
        <v>1160</v>
      </c>
      <c r="U867" s="470" t="s">
        <v>1161</v>
      </c>
      <c r="V867" s="470" t="s">
        <v>761</v>
      </c>
      <c r="W867" s="470" t="s">
        <v>898</v>
      </c>
      <c r="X867" s="470">
        <v>31</v>
      </c>
      <c r="Y867" s="470">
        <v>0</v>
      </c>
      <c r="Z867" s="470">
        <v>0</v>
      </c>
      <c r="AA867" s="470">
        <v>31</v>
      </c>
      <c r="AB867" s="470">
        <v>31</v>
      </c>
      <c r="AC867" s="473">
        <v>42042</v>
      </c>
      <c r="AD867" s="473">
        <v>42042</v>
      </c>
      <c r="AE867" s="473">
        <v>18919</v>
      </c>
      <c r="AF867" s="473">
        <v>7568</v>
      </c>
      <c r="AG867" s="473">
        <v>1600</v>
      </c>
      <c r="AH867" s="473">
        <v>200</v>
      </c>
      <c r="AI867" s="473">
        <v>1250</v>
      </c>
      <c r="AJ867" s="473">
        <v>1576</v>
      </c>
      <c r="AK867" s="473">
        <v>3784</v>
      </c>
      <c r="AL867" s="473">
        <v>2838</v>
      </c>
      <c r="AM867" s="473">
        <v>189</v>
      </c>
      <c r="AN867" s="473">
        <v>662</v>
      </c>
      <c r="AO867" s="473">
        <v>378</v>
      </c>
      <c r="AP867" s="473">
        <v>95</v>
      </c>
      <c r="AQ867" s="473">
        <v>1800</v>
      </c>
      <c r="AR867" s="473">
        <v>1183</v>
      </c>
      <c r="AS867" s="473">
        <v>0</v>
      </c>
      <c r="AT867" s="473">
        <v>0</v>
      </c>
      <c r="AU867" s="473">
        <v>0</v>
      </c>
      <c r="AV867" s="473">
        <v>42042</v>
      </c>
      <c r="AW867" s="474">
        <v>42042</v>
      </c>
      <c r="AX867" s="473">
        <v>0</v>
      </c>
      <c r="AY867" s="473">
        <v>0</v>
      </c>
      <c r="AZ867" s="475">
        <v>0</v>
      </c>
      <c r="BA867" s="475">
        <v>200</v>
      </c>
      <c r="BB867" s="475">
        <v>1800</v>
      </c>
      <c r="BC867" s="475">
        <v>0</v>
      </c>
      <c r="BD867" s="475">
        <v>0</v>
      </c>
      <c r="BE867" s="475">
        <v>25</v>
      </c>
      <c r="BF867" s="475">
        <v>0</v>
      </c>
      <c r="BG867" s="475">
        <v>2025</v>
      </c>
      <c r="BH867" s="476">
        <v>40017</v>
      </c>
      <c r="BI867" s="467"/>
      <c r="BJ867" s="468"/>
    </row>
    <row r="868" spans="1:62">
      <c r="A868" s="469">
        <v>45992</v>
      </c>
      <c r="B868" s="469" t="s">
        <v>747</v>
      </c>
      <c r="C868" s="508"/>
      <c r="D868" s="470" t="s">
        <v>749</v>
      </c>
      <c r="E868" s="471">
        <v>1738</v>
      </c>
      <c r="F868" s="470" t="s">
        <v>1162</v>
      </c>
      <c r="G868" s="470" t="s">
        <v>751</v>
      </c>
      <c r="H868" s="470" t="s">
        <v>12</v>
      </c>
      <c r="I868" s="470" t="s">
        <v>938</v>
      </c>
      <c r="J868" s="472" t="s">
        <v>1163</v>
      </c>
      <c r="K868" s="470" t="s">
        <v>1164</v>
      </c>
      <c r="L868" s="470" t="s">
        <v>1165</v>
      </c>
      <c r="M868" s="470" t="s">
        <v>1165</v>
      </c>
      <c r="N868" s="470" t="s">
        <v>756</v>
      </c>
      <c r="O868" s="472" t="s">
        <v>757</v>
      </c>
      <c r="P868" s="472" t="s">
        <v>738</v>
      </c>
      <c r="Q868" s="472" t="s">
        <v>758</v>
      </c>
      <c r="R868" s="472" t="s">
        <v>12</v>
      </c>
      <c r="S868" s="472" t="s">
        <v>12</v>
      </c>
      <c r="T868" s="472" t="s">
        <v>1166</v>
      </c>
      <c r="U868" s="470" t="s">
        <v>1167</v>
      </c>
      <c r="V868" s="470" t="s">
        <v>761</v>
      </c>
      <c r="W868" s="470" t="s">
        <v>762</v>
      </c>
      <c r="X868" s="470">
        <v>31</v>
      </c>
      <c r="Y868" s="470">
        <v>0</v>
      </c>
      <c r="Z868" s="470">
        <v>0</v>
      </c>
      <c r="AA868" s="470">
        <v>31</v>
      </c>
      <c r="AB868" s="470">
        <v>31</v>
      </c>
      <c r="AC868" s="473">
        <v>35983</v>
      </c>
      <c r="AD868" s="473">
        <v>35983</v>
      </c>
      <c r="AE868" s="473">
        <v>16192</v>
      </c>
      <c r="AF868" s="473">
        <v>6477</v>
      </c>
      <c r="AG868" s="473">
        <v>1600</v>
      </c>
      <c r="AH868" s="473">
        <v>200</v>
      </c>
      <c r="AI868" s="473">
        <v>1250</v>
      </c>
      <c r="AJ868" s="473">
        <v>0</v>
      </c>
      <c r="AK868" s="473">
        <v>0</v>
      </c>
      <c r="AL868" s="473">
        <v>0</v>
      </c>
      <c r="AM868" s="473">
        <v>0</v>
      </c>
      <c r="AN868" s="473">
        <v>0</v>
      </c>
      <c r="AO868" s="473">
        <v>0</v>
      </c>
      <c r="AP868" s="473">
        <v>0</v>
      </c>
      <c r="AQ868" s="473">
        <v>1800</v>
      </c>
      <c r="AR868" s="473">
        <v>8464</v>
      </c>
      <c r="AS868" s="473">
        <v>0</v>
      </c>
      <c r="AT868" s="473">
        <v>0</v>
      </c>
      <c r="AU868" s="473">
        <v>0</v>
      </c>
      <c r="AV868" s="473">
        <v>35983</v>
      </c>
      <c r="AW868" s="474">
        <v>35983</v>
      </c>
      <c r="AX868" s="473">
        <v>0</v>
      </c>
      <c r="AY868" s="473">
        <v>160</v>
      </c>
      <c r="AZ868" s="475">
        <v>0</v>
      </c>
      <c r="BA868" s="475">
        <v>200</v>
      </c>
      <c r="BB868" s="475">
        <v>1800</v>
      </c>
      <c r="BC868" s="475">
        <v>0</v>
      </c>
      <c r="BD868" s="475">
        <v>0</v>
      </c>
      <c r="BE868" s="475">
        <v>25</v>
      </c>
      <c r="BF868" s="475">
        <v>0</v>
      </c>
      <c r="BG868" s="475">
        <v>2185</v>
      </c>
      <c r="BH868" s="476">
        <v>33798</v>
      </c>
      <c r="BI868" s="467"/>
      <c r="BJ868" s="468"/>
    </row>
    <row r="869" spans="1:62">
      <c r="A869" s="469">
        <v>45992</v>
      </c>
      <c r="B869" s="469" t="s">
        <v>747</v>
      </c>
      <c r="C869" s="508"/>
      <c r="D869" s="470" t="s">
        <v>749</v>
      </c>
      <c r="E869" s="471">
        <v>2175</v>
      </c>
      <c r="F869" s="470" t="s">
        <v>1320</v>
      </c>
      <c r="G869" s="470" t="s">
        <v>812</v>
      </c>
      <c r="H869" s="470" t="s">
        <v>12</v>
      </c>
      <c r="I869" s="470" t="s">
        <v>1321</v>
      </c>
      <c r="J869" s="472" t="s">
        <v>1322</v>
      </c>
      <c r="K869" s="470" t="s">
        <v>1323</v>
      </c>
      <c r="L869" s="470" t="s">
        <v>1324</v>
      </c>
      <c r="M869" s="470" t="s">
        <v>1293</v>
      </c>
      <c r="N869" s="470" t="s">
        <v>756</v>
      </c>
      <c r="O869" s="472" t="s">
        <v>792</v>
      </c>
      <c r="P869" s="472" t="s">
        <v>738</v>
      </c>
      <c r="Q869" s="472" t="s">
        <v>758</v>
      </c>
      <c r="R869" s="472" t="s">
        <v>12</v>
      </c>
      <c r="S869" s="472" t="s">
        <v>12</v>
      </c>
      <c r="T869" s="472" t="s">
        <v>1325</v>
      </c>
      <c r="U869" s="470" t="s">
        <v>1326</v>
      </c>
      <c r="V869" s="470" t="s">
        <v>761</v>
      </c>
      <c r="W869" s="470" t="s">
        <v>1327</v>
      </c>
      <c r="X869" s="470">
        <v>31</v>
      </c>
      <c r="Y869" s="470">
        <v>0</v>
      </c>
      <c r="Z869" s="470">
        <v>0.5</v>
      </c>
      <c r="AA869" s="470">
        <v>30.5</v>
      </c>
      <c r="AB869" s="470">
        <v>30.5</v>
      </c>
      <c r="AC869" s="473">
        <v>137785</v>
      </c>
      <c r="AD869" s="473">
        <v>137785</v>
      </c>
      <c r="AE869" s="473">
        <v>61003</v>
      </c>
      <c r="AF869" s="473">
        <v>24401</v>
      </c>
      <c r="AG869" s="473">
        <v>1574</v>
      </c>
      <c r="AH869" s="473">
        <v>197</v>
      </c>
      <c r="AI869" s="473">
        <v>1230</v>
      </c>
      <c r="AJ869" s="473">
        <v>5082</v>
      </c>
      <c r="AK869" s="473">
        <v>12201</v>
      </c>
      <c r="AL869" s="473">
        <v>9150</v>
      </c>
      <c r="AM869" s="473">
        <v>610</v>
      </c>
      <c r="AN869" s="473">
        <v>2135</v>
      </c>
      <c r="AO869" s="473">
        <v>1220</v>
      </c>
      <c r="AP869" s="473">
        <v>305</v>
      </c>
      <c r="AQ869" s="473">
        <v>1800</v>
      </c>
      <c r="AR869" s="473">
        <v>14655</v>
      </c>
      <c r="AS869" s="473">
        <v>0</v>
      </c>
      <c r="AT869" s="473">
        <v>0</v>
      </c>
      <c r="AU869" s="473">
        <v>0</v>
      </c>
      <c r="AV869" s="473">
        <v>135563</v>
      </c>
      <c r="AW869" s="474">
        <v>135563</v>
      </c>
      <c r="AX869" s="473">
        <v>0</v>
      </c>
      <c r="AY869" s="473">
        <v>0</v>
      </c>
      <c r="AZ869" s="475">
        <v>0</v>
      </c>
      <c r="BA869" s="475">
        <v>200</v>
      </c>
      <c r="BB869" s="475">
        <v>1800</v>
      </c>
      <c r="BC869" s="475">
        <v>0</v>
      </c>
      <c r="BD869" s="475">
        <v>0</v>
      </c>
      <c r="BE869" s="475">
        <v>25</v>
      </c>
      <c r="BF869" s="475">
        <v>0</v>
      </c>
      <c r="BG869" s="475">
        <v>2025</v>
      </c>
      <c r="BH869" s="476">
        <v>133538</v>
      </c>
      <c r="BI869" s="467"/>
      <c r="BJ869" s="468"/>
    </row>
    <row r="870" spans="1:62">
      <c r="A870" s="469">
        <v>45992</v>
      </c>
      <c r="B870" s="469" t="s">
        <v>747</v>
      </c>
      <c r="C870" s="508"/>
      <c r="D870" s="470" t="s">
        <v>749</v>
      </c>
      <c r="E870" s="471">
        <v>1589</v>
      </c>
      <c r="F870" s="470" t="s">
        <v>1175</v>
      </c>
      <c r="G870" s="470" t="s">
        <v>751</v>
      </c>
      <c r="H870" s="470" t="s">
        <v>12</v>
      </c>
      <c r="I870" s="470" t="s">
        <v>1176</v>
      </c>
      <c r="J870" s="472" t="s">
        <v>1177</v>
      </c>
      <c r="K870" s="470" t="s">
        <v>1178</v>
      </c>
      <c r="L870" s="470" t="s">
        <v>755</v>
      </c>
      <c r="M870" s="470" t="s">
        <v>755</v>
      </c>
      <c r="N870" s="470" t="s">
        <v>756</v>
      </c>
      <c r="O870" s="472" t="s">
        <v>757</v>
      </c>
      <c r="P870" s="472" t="s">
        <v>738</v>
      </c>
      <c r="Q870" s="472" t="s">
        <v>758</v>
      </c>
      <c r="R870" s="472" t="s">
        <v>12</v>
      </c>
      <c r="S870" s="472" t="s">
        <v>12</v>
      </c>
      <c r="T870" s="472" t="s">
        <v>1179</v>
      </c>
      <c r="U870" s="470" t="s">
        <v>1180</v>
      </c>
      <c r="V870" s="470" t="s">
        <v>761</v>
      </c>
      <c r="W870" s="470" t="s">
        <v>762</v>
      </c>
      <c r="X870" s="470">
        <v>31</v>
      </c>
      <c r="Y870" s="470">
        <v>0</v>
      </c>
      <c r="Z870" s="470">
        <v>0</v>
      </c>
      <c r="AA870" s="470">
        <v>31</v>
      </c>
      <c r="AB870" s="470">
        <v>31</v>
      </c>
      <c r="AC870" s="473">
        <v>34250</v>
      </c>
      <c r="AD870" s="473">
        <v>34250</v>
      </c>
      <c r="AE870" s="473">
        <v>15413</v>
      </c>
      <c r="AF870" s="473">
        <v>6165</v>
      </c>
      <c r="AG870" s="473">
        <v>1600</v>
      </c>
      <c r="AH870" s="473">
        <v>200</v>
      </c>
      <c r="AI870" s="473">
        <v>1250</v>
      </c>
      <c r="AJ870" s="473">
        <v>0</v>
      </c>
      <c r="AK870" s="473">
        <v>0</v>
      </c>
      <c r="AL870" s="473">
        <v>0</v>
      </c>
      <c r="AM870" s="473">
        <v>0</v>
      </c>
      <c r="AN870" s="473">
        <v>0</v>
      </c>
      <c r="AO870" s="473">
        <v>0</v>
      </c>
      <c r="AP870" s="473">
        <v>0</v>
      </c>
      <c r="AQ870" s="473">
        <v>1800</v>
      </c>
      <c r="AR870" s="473">
        <v>7822</v>
      </c>
      <c r="AS870" s="473">
        <v>0</v>
      </c>
      <c r="AT870" s="473">
        <v>0</v>
      </c>
      <c r="AU870" s="473">
        <v>0</v>
      </c>
      <c r="AV870" s="473">
        <v>34250</v>
      </c>
      <c r="AW870" s="474">
        <v>34250</v>
      </c>
      <c r="AX870" s="473">
        <v>0</v>
      </c>
      <c r="AY870" s="473">
        <v>0</v>
      </c>
      <c r="AZ870" s="475">
        <v>0</v>
      </c>
      <c r="BA870" s="475">
        <v>200</v>
      </c>
      <c r="BB870" s="475">
        <v>1800</v>
      </c>
      <c r="BC870" s="475">
        <v>0</v>
      </c>
      <c r="BD870" s="475">
        <v>0</v>
      </c>
      <c r="BE870" s="475">
        <v>25</v>
      </c>
      <c r="BF870" s="475">
        <v>0</v>
      </c>
      <c r="BG870" s="475">
        <v>2025</v>
      </c>
      <c r="BH870" s="476">
        <v>32225</v>
      </c>
      <c r="BI870" s="467"/>
      <c r="BJ870" s="468"/>
    </row>
    <row r="871" spans="1:62">
      <c r="A871" s="469">
        <v>45992</v>
      </c>
      <c r="B871" s="469" t="s">
        <v>747</v>
      </c>
      <c r="C871" s="508"/>
      <c r="D871" s="470" t="s">
        <v>749</v>
      </c>
      <c r="E871" s="471">
        <v>2069</v>
      </c>
      <c r="F871" s="470" t="s">
        <v>1181</v>
      </c>
      <c r="G871" s="470" t="s">
        <v>751</v>
      </c>
      <c r="H871" s="470" t="s">
        <v>12</v>
      </c>
      <c r="I871" s="470" t="s">
        <v>1182</v>
      </c>
      <c r="J871" s="472" t="s">
        <v>1183</v>
      </c>
      <c r="K871" s="470" t="s">
        <v>1184</v>
      </c>
      <c r="L871" s="470" t="s">
        <v>767</v>
      </c>
      <c r="M871" s="470" t="s">
        <v>767</v>
      </c>
      <c r="N871" s="470" t="s">
        <v>756</v>
      </c>
      <c r="O871" s="472" t="s">
        <v>792</v>
      </c>
      <c r="P871" s="472" t="s">
        <v>738</v>
      </c>
      <c r="Q871" s="472" t="s">
        <v>758</v>
      </c>
      <c r="R871" s="472" t="s">
        <v>12</v>
      </c>
      <c r="S871" s="472" t="s">
        <v>12</v>
      </c>
      <c r="T871" s="472" t="s">
        <v>1185</v>
      </c>
      <c r="U871" s="470" t="s">
        <v>1186</v>
      </c>
      <c r="V871" s="470" t="s">
        <v>761</v>
      </c>
      <c r="W871" s="470" t="s">
        <v>1187</v>
      </c>
      <c r="X871" s="470">
        <v>31</v>
      </c>
      <c r="Y871" s="470">
        <v>0</v>
      </c>
      <c r="Z871" s="470">
        <v>0</v>
      </c>
      <c r="AA871" s="470">
        <v>31</v>
      </c>
      <c r="AB871" s="470">
        <v>31</v>
      </c>
      <c r="AC871" s="473">
        <v>70000</v>
      </c>
      <c r="AD871" s="473">
        <v>70000</v>
      </c>
      <c r="AE871" s="473">
        <v>31500</v>
      </c>
      <c r="AF871" s="473">
        <v>12600</v>
      </c>
      <c r="AG871" s="473">
        <v>1600</v>
      </c>
      <c r="AH871" s="473">
        <v>200</v>
      </c>
      <c r="AI871" s="473">
        <v>1250</v>
      </c>
      <c r="AJ871" s="473">
        <v>2624</v>
      </c>
      <c r="AK871" s="473">
        <v>6300</v>
      </c>
      <c r="AL871" s="473">
        <v>4725</v>
      </c>
      <c r="AM871" s="473">
        <v>315</v>
      </c>
      <c r="AN871" s="473">
        <v>1103</v>
      </c>
      <c r="AO871" s="473">
        <v>630</v>
      </c>
      <c r="AP871" s="473">
        <v>158</v>
      </c>
      <c r="AQ871" s="473">
        <v>1800</v>
      </c>
      <c r="AR871" s="473">
        <v>5195</v>
      </c>
      <c r="AS871" s="473">
        <v>0</v>
      </c>
      <c r="AT871" s="473">
        <v>0</v>
      </c>
      <c r="AU871" s="473">
        <v>0</v>
      </c>
      <c r="AV871" s="473">
        <v>70000</v>
      </c>
      <c r="AW871" s="474">
        <v>70000</v>
      </c>
      <c r="AX871" s="473">
        <v>0</v>
      </c>
      <c r="AY871" s="473">
        <v>0</v>
      </c>
      <c r="AZ871" s="475">
        <v>0</v>
      </c>
      <c r="BA871" s="475">
        <v>200</v>
      </c>
      <c r="BB871" s="475">
        <v>1800</v>
      </c>
      <c r="BC871" s="475">
        <v>0</v>
      </c>
      <c r="BD871" s="475">
        <v>0</v>
      </c>
      <c r="BE871" s="475">
        <v>25</v>
      </c>
      <c r="BF871" s="475">
        <v>0</v>
      </c>
      <c r="BG871" s="475">
        <v>2025</v>
      </c>
      <c r="BH871" s="476">
        <v>67975</v>
      </c>
      <c r="BI871" s="467"/>
      <c r="BJ871" s="468"/>
    </row>
    <row r="872" spans="1:62">
      <c r="A872" s="469">
        <v>45992</v>
      </c>
      <c r="B872" s="469" t="s">
        <v>747</v>
      </c>
      <c r="C872" s="508"/>
      <c r="D872" s="470" t="s">
        <v>749</v>
      </c>
      <c r="E872" s="471">
        <v>2015</v>
      </c>
      <c r="F872" s="470" t="s">
        <v>1202</v>
      </c>
      <c r="G872" s="470" t="s">
        <v>751</v>
      </c>
      <c r="H872" s="470" t="s">
        <v>12</v>
      </c>
      <c r="I872" s="470" t="s">
        <v>847</v>
      </c>
      <c r="J872" s="472" t="s">
        <v>1203</v>
      </c>
      <c r="K872" s="470" t="s">
        <v>1204</v>
      </c>
      <c r="L872" s="470" t="s">
        <v>824</v>
      </c>
      <c r="M872" s="470" t="s">
        <v>824</v>
      </c>
      <c r="N872" s="470" t="s">
        <v>1275</v>
      </c>
      <c r="O872" s="472" t="s">
        <v>1276</v>
      </c>
      <c r="P872" s="472" t="s">
        <v>738</v>
      </c>
      <c r="Q872" s="472" t="s">
        <v>758</v>
      </c>
      <c r="R872" s="472" t="s">
        <v>12</v>
      </c>
      <c r="S872" s="472" t="s">
        <v>12</v>
      </c>
      <c r="T872" s="472" t="s">
        <v>1205</v>
      </c>
      <c r="U872" s="470" t="s">
        <v>1206</v>
      </c>
      <c r="V872" s="470" t="s">
        <v>761</v>
      </c>
      <c r="W872" s="470" t="s">
        <v>762</v>
      </c>
      <c r="X872" s="470">
        <v>31</v>
      </c>
      <c r="Y872" s="470">
        <v>0</v>
      </c>
      <c r="Z872" s="470">
        <v>0</v>
      </c>
      <c r="AA872" s="470">
        <v>31</v>
      </c>
      <c r="AB872" s="470">
        <v>31</v>
      </c>
      <c r="AC872" s="473">
        <v>56533</v>
      </c>
      <c r="AD872" s="473">
        <v>56533</v>
      </c>
      <c r="AE872" s="473">
        <v>25440</v>
      </c>
      <c r="AF872" s="473">
        <v>10176</v>
      </c>
      <c r="AG872" s="473">
        <v>1600</v>
      </c>
      <c r="AH872" s="473">
        <v>200</v>
      </c>
      <c r="AI872" s="473">
        <v>1250</v>
      </c>
      <c r="AJ872" s="473">
        <v>2119</v>
      </c>
      <c r="AK872" s="473">
        <v>5088</v>
      </c>
      <c r="AL872" s="473">
        <v>3816</v>
      </c>
      <c r="AM872" s="473">
        <v>254</v>
      </c>
      <c r="AN872" s="473">
        <v>890</v>
      </c>
      <c r="AO872" s="473">
        <v>509</v>
      </c>
      <c r="AP872" s="473">
        <v>127</v>
      </c>
      <c r="AQ872" s="473">
        <v>1800</v>
      </c>
      <c r="AR872" s="473">
        <v>3264</v>
      </c>
      <c r="AS872" s="473">
        <v>0</v>
      </c>
      <c r="AT872" s="473">
        <v>0</v>
      </c>
      <c r="AU872" s="473">
        <v>4132</v>
      </c>
      <c r="AV872" s="473">
        <v>60665</v>
      </c>
      <c r="AW872" s="474">
        <v>56533</v>
      </c>
      <c r="AX872" s="473">
        <v>0</v>
      </c>
      <c r="AY872" s="473">
        <v>0</v>
      </c>
      <c r="AZ872" s="475">
        <v>0</v>
      </c>
      <c r="BA872" s="475">
        <v>200</v>
      </c>
      <c r="BB872" s="475">
        <v>1800</v>
      </c>
      <c r="BC872" s="475">
        <v>0</v>
      </c>
      <c r="BD872" s="475">
        <v>0</v>
      </c>
      <c r="BE872" s="475">
        <v>25</v>
      </c>
      <c r="BF872" s="475">
        <v>0</v>
      </c>
      <c r="BG872" s="475">
        <v>2025</v>
      </c>
      <c r="BH872" s="476">
        <v>58640</v>
      </c>
      <c r="BI872" s="467"/>
      <c r="BJ872" s="468"/>
    </row>
    <row r="873" spans="1:62">
      <c r="A873" s="469">
        <v>45992</v>
      </c>
      <c r="B873" s="469" t="s">
        <v>747</v>
      </c>
      <c r="C873" s="508"/>
      <c r="D873" s="470" t="s">
        <v>749</v>
      </c>
      <c r="E873" s="471">
        <v>1166</v>
      </c>
      <c r="F873" s="470" t="s">
        <v>1207</v>
      </c>
      <c r="G873" s="470" t="s">
        <v>751</v>
      </c>
      <c r="H873" s="470" t="s">
        <v>12</v>
      </c>
      <c r="I873" s="470" t="s">
        <v>1208</v>
      </c>
      <c r="J873" s="472" t="s">
        <v>1209</v>
      </c>
      <c r="K873" s="470" t="s">
        <v>1210</v>
      </c>
      <c r="L873" s="470" t="s">
        <v>1329</v>
      </c>
      <c r="M873" s="470" t="s">
        <v>1330</v>
      </c>
      <c r="N873" s="470" t="s">
        <v>756</v>
      </c>
      <c r="O873" s="472" t="s">
        <v>757</v>
      </c>
      <c r="P873" s="472" t="s">
        <v>738</v>
      </c>
      <c r="Q873" s="472" t="s">
        <v>758</v>
      </c>
      <c r="R873" s="472" t="s">
        <v>12</v>
      </c>
      <c r="S873" s="472" t="s">
        <v>12</v>
      </c>
      <c r="T873" s="472" t="s">
        <v>1213</v>
      </c>
      <c r="U873" s="470" t="s">
        <v>1214</v>
      </c>
      <c r="V873" s="470" t="s">
        <v>761</v>
      </c>
      <c r="W873" s="470" t="s">
        <v>859</v>
      </c>
      <c r="X873" s="470">
        <v>31</v>
      </c>
      <c r="Y873" s="470">
        <v>0</v>
      </c>
      <c r="Z873" s="470">
        <v>1</v>
      </c>
      <c r="AA873" s="470">
        <v>30</v>
      </c>
      <c r="AB873" s="470">
        <v>30</v>
      </c>
      <c r="AC873" s="473">
        <v>59983</v>
      </c>
      <c r="AD873" s="473">
        <v>59983</v>
      </c>
      <c r="AE873" s="473">
        <v>26122</v>
      </c>
      <c r="AF873" s="473">
        <v>10449</v>
      </c>
      <c r="AG873" s="473">
        <v>1548</v>
      </c>
      <c r="AH873" s="473">
        <v>194</v>
      </c>
      <c r="AI873" s="473">
        <v>1210</v>
      </c>
      <c r="AJ873" s="473">
        <v>2176</v>
      </c>
      <c r="AK873" s="473">
        <v>5224</v>
      </c>
      <c r="AL873" s="473">
        <v>3918</v>
      </c>
      <c r="AM873" s="473">
        <v>261</v>
      </c>
      <c r="AN873" s="473">
        <v>914</v>
      </c>
      <c r="AO873" s="473">
        <v>522</v>
      </c>
      <c r="AP873" s="473">
        <v>131</v>
      </c>
      <c r="AQ873" s="473">
        <v>1800</v>
      </c>
      <c r="AR873" s="473">
        <v>3579</v>
      </c>
      <c r="AS873" s="473">
        <v>0</v>
      </c>
      <c r="AT873" s="473">
        <v>600</v>
      </c>
      <c r="AU873" s="473">
        <v>0</v>
      </c>
      <c r="AV873" s="473">
        <v>58648</v>
      </c>
      <c r="AW873" s="474">
        <v>58648</v>
      </c>
      <c r="AX873" s="473">
        <v>0</v>
      </c>
      <c r="AY873" s="473">
        <v>0</v>
      </c>
      <c r="AZ873" s="475">
        <v>0</v>
      </c>
      <c r="BA873" s="475">
        <v>200</v>
      </c>
      <c r="BB873" s="475">
        <v>1800</v>
      </c>
      <c r="BC873" s="475">
        <v>0</v>
      </c>
      <c r="BD873" s="475">
        <v>0</v>
      </c>
      <c r="BE873" s="475">
        <v>25</v>
      </c>
      <c r="BF873" s="475">
        <v>0</v>
      </c>
      <c r="BG873" s="475">
        <v>2025</v>
      </c>
      <c r="BH873" s="476">
        <v>56623</v>
      </c>
      <c r="BI873" s="467"/>
      <c r="BJ873" s="468"/>
    </row>
    <row r="874" spans="1:62">
      <c r="A874" s="469">
        <v>45992</v>
      </c>
      <c r="B874" s="469" t="s">
        <v>747</v>
      </c>
      <c r="C874" s="508"/>
      <c r="D874" s="470" t="s">
        <v>749</v>
      </c>
      <c r="E874" s="471">
        <v>247</v>
      </c>
      <c r="F874" s="470" t="s">
        <v>1215</v>
      </c>
      <c r="G874" s="470" t="s">
        <v>751</v>
      </c>
      <c r="H874" s="470" t="s">
        <v>12</v>
      </c>
      <c r="I874" s="470" t="s">
        <v>1216</v>
      </c>
      <c r="J874" s="472" t="s">
        <v>1217</v>
      </c>
      <c r="K874" s="470" t="s">
        <v>1218</v>
      </c>
      <c r="L874" s="470" t="s">
        <v>894</v>
      </c>
      <c r="M874" s="470" t="s">
        <v>1027</v>
      </c>
      <c r="N874" s="470" t="s">
        <v>756</v>
      </c>
      <c r="O874" s="472" t="s">
        <v>757</v>
      </c>
      <c r="P874" s="472" t="s">
        <v>738</v>
      </c>
      <c r="Q874" s="472" t="s">
        <v>758</v>
      </c>
      <c r="R874" s="472" t="s">
        <v>12</v>
      </c>
      <c r="S874" s="472" t="s">
        <v>12</v>
      </c>
      <c r="T874" s="472" t="s">
        <v>1219</v>
      </c>
      <c r="U874" s="470" t="s">
        <v>1220</v>
      </c>
      <c r="V874" s="470" t="s">
        <v>761</v>
      </c>
      <c r="W874" s="470" t="s">
        <v>960</v>
      </c>
      <c r="X874" s="470">
        <v>31</v>
      </c>
      <c r="Y874" s="470">
        <v>0</v>
      </c>
      <c r="Z874" s="470">
        <v>0</v>
      </c>
      <c r="AA874" s="470">
        <v>31</v>
      </c>
      <c r="AB874" s="470">
        <v>31</v>
      </c>
      <c r="AC874" s="473">
        <v>34308</v>
      </c>
      <c r="AD874" s="473">
        <v>34308</v>
      </c>
      <c r="AE874" s="473">
        <v>15439</v>
      </c>
      <c r="AF874" s="473">
        <v>6176</v>
      </c>
      <c r="AG874" s="473">
        <v>1600</v>
      </c>
      <c r="AH874" s="473">
        <v>200</v>
      </c>
      <c r="AI874" s="473">
        <v>1250</v>
      </c>
      <c r="AJ874" s="473">
        <v>0</v>
      </c>
      <c r="AK874" s="473">
        <v>0</v>
      </c>
      <c r="AL874" s="473">
        <v>0</v>
      </c>
      <c r="AM874" s="473">
        <v>0</v>
      </c>
      <c r="AN874" s="473">
        <v>0</v>
      </c>
      <c r="AO874" s="473">
        <v>0</v>
      </c>
      <c r="AP874" s="473">
        <v>0</v>
      </c>
      <c r="AQ874" s="473">
        <v>1800</v>
      </c>
      <c r="AR874" s="473">
        <v>7843</v>
      </c>
      <c r="AS874" s="473">
        <v>0</v>
      </c>
      <c r="AT874" s="473">
        <v>200</v>
      </c>
      <c r="AU874" s="473">
        <v>5477</v>
      </c>
      <c r="AV874" s="473">
        <v>39985</v>
      </c>
      <c r="AW874" s="474">
        <v>34508</v>
      </c>
      <c r="AX874" s="473">
        <v>0</v>
      </c>
      <c r="AY874" s="473">
        <v>0</v>
      </c>
      <c r="AZ874" s="475">
        <v>0</v>
      </c>
      <c r="BA874" s="475">
        <v>200</v>
      </c>
      <c r="BB874" s="475">
        <v>1800</v>
      </c>
      <c r="BC874" s="475">
        <v>0</v>
      </c>
      <c r="BD874" s="475">
        <v>0</v>
      </c>
      <c r="BE874" s="475">
        <v>25</v>
      </c>
      <c r="BF874" s="475">
        <v>0</v>
      </c>
      <c r="BG874" s="475">
        <v>2025</v>
      </c>
      <c r="BH874" s="476">
        <v>37960</v>
      </c>
      <c r="BI874" s="467"/>
      <c r="BJ874" s="468"/>
    </row>
    <row r="875" spans="1:62">
      <c r="A875" s="469">
        <v>45992</v>
      </c>
      <c r="B875" s="469" t="s">
        <v>747</v>
      </c>
      <c r="C875" s="508"/>
      <c r="D875" s="470" t="s">
        <v>749</v>
      </c>
      <c r="E875" s="471">
        <v>1237</v>
      </c>
      <c r="F875" s="470" t="s">
        <v>1221</v>
      </c>
      <c r="G875" s="470" t="s">
        <v>751</v>
      </c>
      <c r="H875" s="470" t="s">
        <v>12</v>
      </c>
      <c r="I875" s="470" t="s">
        <v>1222</v>
      </c>
      <c r="J875" s="472" t="s">
        <v>1223</v>
      </c>
      <c r="K875" s="470" t="s">
        <v>1224</v>
      </c>
      <c r="L875" s="470" t="s">
        <v>800</v>
      </c>
      <c r="M875" s="470" t="s">
        <v>801</v>
      </c>
      <c r="N875" s="470" t="s">
        <v>756</v>
      </c>
      <c r="O875" s="472" t="s">
        <v>757</v>
      </c>
      <c r="P875" s="472" t="s">
        <v>738</v>
      </c>
      <c r="Q875" s="472" t="s">
        <v>758</v>
      </c>
      <c r="R875" s="472" t="s">
        <v>12</v>
      </c>
      <c r="S875" s="472" t="s">
        <v>12</v>
      </c>
      <c r="T875" s="472" t="s">
        <v>1225</v>
      </c>
      <c r="U875" s="470" t="s">
        <v>1226</v>
      </c>
      <c r="V875" s="470" t="s">
        <v>761</v>
      </c>
      <c r="W875" s="470" t="s">
        <v>762</v>
      </c>
      <c r="X875" s="470">
        <v>31</v>
      </c>
      <c r="Y875" s="470">
        <v>0</v>
      </c>
      <c r="Z875" s="470">
        <v>1.5</v>
      </c>
      <c r="AA875" s="470">
        <v>29.5</v>
      </c>
      <c r="AB875" s="470">
        <v>29.5</v>
      </c>
      <c r="AC875" s="473">
        <v>31644</v>
      </c>
      <c r="AD875" s="473">
        <v>31644</v>
      </c>
      <c r="AE875" s="473">
        <v>13551</v>
      </c>
      <c r="AF875" s="473">
        <v>5420</v>
      </c>
      <c r="AG875" s="473">
        <v>1523</v>
      </c>
      <c r="AH875" s="473">
        <v>190</v>
      </c>
      <c r="AI875" s="473">
        <v>1190</v>
      </c>
      <c r="AJ875" s="473">
        <v>0</v>
      </c>
      <c r="AK875" s="473">
        <v>0</v>
      </c>
      <c r="AL875" s="473">
        <v>0</v>
      </c>
      <c r="AM875" s="473">
        <v>0</v>
      </c>
      <c r="AN875" s="473">
        <v>0</v>
      </c>
      <c r="AO875" s="473">
        <v>0</v>
      </c>
      <c r="AP875" s="473">
        <v>0</v>
      </c>
      <c r="AQ875" s="473">
        <v>1626</v>
      </c>
      <c r="AR875" s="473">
        <v>6613</v>
      </c>
      <c r="AS875" s="473">
        <v>0</v>
      </c>
      <c r="AT875" s="473">
        <v>600</v>
      </c>
      <c r="AU875" s="473">
        <v>0</v>
      </c>
      <c r="AV875" s="473">
        <v>30713</v>
      </c>
      <c r="AW875" s="474">
        <v>30713</v>
      </c>
      <c r="AX875" s="473">
        <v>0</v>
      </c>
      <c r="AY875" s="473">
        <v>0</v>
      </c>
      <c r="AZ875" s="475">
        <v>0</v>
      </c>
      <c r="BA875" s="475">
        <v>200</v>
      </c>
      <c r="BB875" s="475">
        <v>1626</v>
      </c>
      <c r="BC875" s="475">
        <v>0</v>
      </c>
      <c r="BD875" s="475">
        <v>0</v>
      </c>
      <c r="BE875" s="475">
        <v>25</v>
      </c>
      <c r="BF875" s="475">
        <v>0</v>
      </c>
      <c r="BG875" s="475">
        <v>1851</v>
      </c>
      <c r="BH875" s="476">
        <v>28862</v>
      </c>
      <c r="BI875" s="467"/>
      <c r="BJ875" s="468"/>
    </row>
    <row r="876" spans="1:62">
      <c r="A876" s="469">
        <v>45992</v>
      </c>
      <c r="B876" s="469" t="s">
        <v>747</v>
      </c>
      <c r="C876" s="508"/>
      <c r="D876" s="470" t="s">
        <v>749</v>
      </c>
      <c r="E876" s="471">
        <v>1941</v>
      </c>
      <c r="F876" s="470" t="s">
        <v>1227</v>
      </c>
      <c r="G876" s="470" t="s">
        <v>751</v>
      </c>
      <c r="H876" s="470" t="s">
        <v>12</v>
      </c>
      <c r="I876" s="470" t="s">
        <v>1228</v>
      </c>
      <c r="J876" s="472" t="s">
        <v>1229</v>
      </c>
      <c r="K876" s="470" t="s">
        <v>1230</v>
      </c>
      <c r="L876" s="470" t="s">
        <v>1165</v>
      </c>
      <c r="M876" s="470" t="s">
        <v>1165</v>
      </c>
      <c r="N876" s="470" t="s">
        <v>756</v>
      </c>
      <c r="O876" s="472" t="s">
        <v>757</v>
      </c>
      <c r="P876" s="472" t="s">
        <v>738</v>
      </c>
      <c r="Q876" s="472" t="s">
        <v>758</v>
      </c>
      <c r="R876" s="472" t="s">
        <v>12</v>
      </c>
      <c r="S876" s="472" t="s">
        <v>12</v>
      </c>
      <c r="T876" s="472" t="s">
        <v>1231</v>
      </c>
      <c r="U876" s="470" t="s">
        <v>1232</v>
      </c>
      <c r="V876" s="470" t="s">
        <v>761</v>
      </c>
      <c r="W876" s="470" t="s">
        <v>907</v>
      </c>
      <c r="X876" s="470">
        <v>31</v>
      </c>
      <c r="Y876" s="470">
        <v>0</v>
      </c>
      <c r="Z876" s="470">
        <v>0</v>
      </c>
      <c r="AA876" s="470">
        <v>31</v>
      </c>
      <c r="AB876" s="470">
        <v>31</v>
      </c>
      <c r="AC876" s="473">
        <v>43800</v>
      </c>
      <c r="AD876" s="473">
        <v>43800</v>
      </c>
      <c r="AE876" s="473">
        <v>19710</v>
      </c>
      <c r="AF876" s="473">
        <v>7884</v>
      </c>
      <c r="AG876" s="473">
        <v>1600</v>
      </c>
      <c r="AH876" s="473">
        <v>200</v>
      </c>
      <c r="AI876" s="473">
        <v>1250</v>
      </c>
      <c r="AJ876" s="473">
        <v>1642</v>
      </c>
      <c r="AK876" s="473">
        <v>3942</v>
      </c>
      <c r="AL876" s="473">
        <v>2957</v>
      </c>
      <c r="AM876" s="473">
        <v>197</v>
      </c>
      <c r="AN876" s="473">
        <v>690</v>
      </c>
      <c r="AO876" s="473">
        <v>394</v>
      </c>
      <c r="AP876" s="473">
        <v>99</v>
      </c>
      <c r="AQ876" s="473">
        <v>1800</v>
      </c>
      <c r="AR876" s="473">
        <v>1435</v>
      </c>
      <c r="AS876" s="473">
        <v>0</v>
      </c>
      <c r="AT876" s="473">
        <v>0</v>
      </c>
      <c r="AU876" s="473">
        <v>1573</v>
      </c>
      <c r="AV876" s="473">
        <v>45373</v>
      </c>
      <c r="AW876" s="474">
        <v>43800</v>
      </c>
      <c r="AX876" s="473">
        <v>0</v>
      </c>
      <c r="AY876" s="473">
        <v>0</v>
      </c>
      <c r="AZ876" s="475">
        <v>0</v>
      </c>
      <c r="BA876" s="475">
        <v>200</v>
      </c>
      <c r="BB876" s="475">
        <v>1800</v>
      </c>
      <c r="BC876" s="475">
        <v>0</v>
      </c>
      <c r="BD876" s="475">
        <v>0</v>
      </c>
      <c r="BE876" s="475">
        <v>25</v>
      </c>
      <c r="BF876" s="475">
        <v>0</v>
      </c>
      <c r="BG876" s="475">
        <v>2025</v>
      </c>
      <c r="BH876" s="476">
        <v>43348</v>
      </c>
      <c r="BI876" s="467"/>
      <c r="BJ876" s="468"/>
    </row>
    <row r="877" spans="1:62">
      <c r="A877" s="469">
        <v>45992</v>
      </c>
      <c r="B877" s="469" t="s">
        <v>747</v>
      </c>
      <c r="C877" s="508"/>
      <c r="D877" s="470" t="s">
        <v>749</v>
      </c>
      <c r="E877" s="471">
        <v>1950</v>
      </c>
      <c r="F877" s="470" t="s">
        <v>1233</v>
      </c>
      <c r="G877" s="470" t="s">
        <v>751</v>
      </c>
      <c r="H877" s="470" t="s">
        <v>12</v>
      </c>
      <c r="I877" s="470" t="s">
        <v>1234</v>
      </c>
      <c r="J877" s="472" t="s">
        <v>1235</v>
      </c>
      <c r="K877" s="470" t="s">
        <v>1236</v>
      </c>
      <c r="L877" s="470" t="s">
        <v>800</v>
      </c>
      <c r="M877" s="470" t="s">
        <v>800</v>
      </c>
      <c r="N877" s="470" t="s">
        <v>756</v>
      </c>
      <c r="O877" s="472" t="s">
        <v>1043</v>
      </c>
      <c r="P877" s="472" t="s">
        <v>738</v>
      </c>
      <c r="Q877" s="472" t="s">
        <v>758</v>
      </c>
      <c r="R877" s="472" t="s">
        <v>12</v>
      </c>
      <c r="S877" s="472" t="s">
        <v>12</v>
      </c>
      <c r="T877" s="472" t="s">
        <v>1237</v>
      </c>
      <c r="U877" s="470" t="s">
        <v>1238</v>
      </c>
      <c r="V877" s="470" t="s">
        <v>836</v>
      </c>
      <c r="W877" s="470" t="s">
        <v>1239</v>
      </c>
      <c r="X877" s="470">
        <v>31</v>
      </c>
      <c r="Y877" s="470">
        <v>0</v>
      </c>
      <c r="Z877" s="470">
        <v>0</v>
      </c>
      <c r="AA877" s="470">
        <v>31</v>
      </c>
      <c r="AB877" s="470">
        <v>31</v>
      </c>
      <c r="AC877" s="473">
        <v>35283</v>
      </c>
      <c r="AD877" s="473">
        <v>35283</v>
      </c>
      <c r="AE877" s="473">
        <v>15877</v>
      </c>
      <c r="AF877" s="473">
        <v>6351</v>
      </c>
      <c r="AG877" s="473">
        <v>1600</v>
      </c>
      <c r="AH877" s="473">
        <v>200</v>
      </c>
      <c r="AI877" s="473">
        <v>1250</v>
      </c>
      <c r="AJ877" s="473">
        <v>0</v>
      </c>
      <c r="AK877" s="473">
        <v>0</v>
      </c>
      <c r="AL877" s="473">
        <v>0</v>
      </c>
      <c r="AM877" s="473">
        <v>0</v>
      </c>
      <c r="AN877" s="473">
        <v>0</v>
      </c>
      <c r="AO877" s="473">
        <v>0</v>
      </c>
      <c r="AP877" s="473">
        <v>0</v>
      </c>
      <c r="AQ877" s="473">
        <v>1800</v>
      </c>
      <c r="AR877" s="473">
        <v>8205</v>
      </c>
      <c r="AS877" s="473">
        <v>0</v>
      </c>
      <c r="AT877" s="473">
        <v>0</v>
      </c>
      <c r="AU877" s="473">
        <v>0</v>
      </c>
      <c r="AV877" s="473">
        <v>35283</v>
      </c>
      <c r="AW877" s="474">
        <v>35283</v>
      </c>
      <c r="AX877" s="473">
        <v>0</v>
      </c>
      <c r="AY877" s="473">
        <v>0</v>
      </c>
      <c r="AZ877" s="475">
        <v>0</v>
      </c>
      <c r="BA877" s="475">
        <v>200</v>
      </c>
      <c r="BB877" s="475">
        <v>1800</v>
      </c>
      <c r="BC877" s="475">
        <v>0</v>
      </c>
      <c r="BD877" s="475">
        <v>0</v>
      </c>
      <c r="BE877" s="475">
        <v>25</v>
      </c>
      <c r="BF877" s="475">
        <v>0</v>
      </c>
      <c r="BG877" s="475">
        <v>2025</v>
      </c>
      <c r="BH877" s="476">
        <v>33258</v>
      </c>
      <c r="BI877" s="467"/>
      <c r="BJ877" s="468"/>
    </row>
    <row r="878" spans="1:62">
      <c r="A878" s="469">
        <v>45992</v>
      </c>
      <c r="B878" s="469" t="s">
        <v>747</v>
      </c>
      <c r="C878" s="508"/>
      <c r="D878" s="470" t="s">
        <v>749</v>
      </c>
      <c r="E878" s="471">
        <v>1370</v>
      </c>
      <c r="F878" s="470" t="s">
        <v>1240</v>
      </c>
      <c r="G878" s="470" t="s">
        <v>751</v>
      </c>
      <c r="H878" s="470" t="s">
        <v>12</v>
      </c>
      <c r="I878" s="470" t="s">
        <v>1241</v>
      </c>
      <c r="J878" s="472" t="s">
        <v>1242</v>
      </c>
      <c r="K878" s="470" t="s">
        <v>1243</v>
      </c>
      <c r="L878" s="470" t="s">
        <v>979</v>
      </c>
      <c r="M878" s="470" t="s">
        <v>979</v>
      </c>
      <c r="N878" s="470" t="s">
        <v>833</v>
      </c>
      <c r="O878" s="472" t="s">
        <v>757</v>
      </c>
      <c r="P878" s="472" t="s">
        <v>738</v>
      </c>
      <c r="Q878" s="472" t="s">
        <v>758</v>
      </c>
      <c r="R878" s="472" t="s">
        <v>12</v>
      </c>
      <c r="S878" s="472" t="s">
        <v>12</v>
      </c>
      <c r="T878" s="472" t="s">
        <v>1245</v>
      </c>
      <c r="U878" s="470" t="s">
        <v>1246</v>
      </c>
      <c r="V878" s="470" t="s">
        <v>761</v>
      </c>
      <c r="W878" s="470" t="s">
        <v>762</v>
      </c>
      <c r="X878" s="470">
        <v>31</v>
      </c>
      <c r="Y878" s="470">
        <v>0</v>
      </c>
      <c r="Z878" s="470">
        <v>0</v>
      </c>
      <c r="AA878" s="470">
        <v>31</v>
      </c>
      <c r="AB878" s="470">
        <v>31</v>
      </c>
      <c r="AC878" s="473">
        <v>33000</v>
      </c>
      <c r="AD878" s="473">
        <v>33000</v>
      </c>
      <c r="AE878" s="473">
        <v>14850</v>
      </c>
      <c r="AF878" s="473">
        <v>5940</v>
      </c>
      <c r="AG878" s="473">
        <v>1600</v>
      </c>
      <c r="AH878" s="473">
        <v>200</v>
      </c>
      <c r="AI878" s="473">
        <v>1250</v>
      </c>
      <c r="AJ878" s="473">
        <v>0</v>
      </c>
      <c r="AK878" s="473">
        <v>0</v>
      </c>
      <c r="AL878" s="473">
        <v>0</v>
      </c>
      <c r="AM878" s="473">
        <v>0</v>
      </c>
      <c r="AN878" s="473">
        <v>0</v>
      </c>
      <c r="AO878" s="473">
        <v>0</v>
      </c>
      <c r="AP878" s="473">
        <v>0</v>
      </c>
      <c r="AQ878" s="473">
        <v>1782</v>
      </c>
      <c r="AR878" s="473">
        <v>7378</v>
      </c>
      <c r="AS878" s="473">
        <v>0</v>
      </c>
      <c r="AT878" s="473">
        <v>0</v>
      </c>
      <c r="AU878" s="473">
        <v>0</v>
      </c>
      <c r="AV878" s="473">
        <v>33000</v>
      </c>
      <c r="AW878" s="474">
        <v>33000</v>
      </c>
      <c r="AX878" s="473">
        <v>0</v>
      </c>
      <c r="AY878" s="473">
        <v>0</v>
      </c>
      <c r="AZ878" s="475">
        <v>0</v>
      </c>
      <c r="BA878" s="475">
        <v>200</v>
      </c>
      <c r="BB878" s="475">
        <v>1782</v>
      </c>
      <c r="BC878" s="475">
        <v>0</v>
      </c>
      <c r="BD878" s="475">
        <v>0</v>
      </c>
      <c r="BE878" s="475">
        <v>25</v>
      </c>
      <c r="BF878" s="475">
        <v>0</v>
      </c>
      <c r="BG878" s="475">
        <v>2007</v>
      </c>
      <c r="BH878" s="476">
        <v>30993</v>
      </c>
      <c r="BI878" s="467"/>
      <c r="BJ878" s="468"/>
    </row>
    <row r="879" spans="1:62">
      <c r="A879" s="469">
        <v>45992</v>
      </c>
      <c r="B879" s="469" t="s">
        <v>747</v>
      </c>
      <c r="C879" s="508"/>
      <c r="D879" s="470" t="s">
        <v>749</v>
      </c>
      <c r="E879" s="471">
        <v>2049</v>
      </c>
      <c r="F879" s="470" t="s">
        <v>1247</v>
      </c>
      <c r="G879" s="470" t="s">
        <v>751</v>
      </c>
      <c r="H879" s="470" t="s">
        <v>12</v>
      </c>
      <c r="I879" s="470" t="s">
        <v>1248</v>
      </c>
      <c r="J879" s="472" t="s">
        <v>1249</v>
      </c>
      <c r="K879" s="470" t="s">
        <v>1250</v>
      </c>
      <c r="L879" s="470" t="s">
        <v>824</v>
      </c>
      <c r="M879" s="470" t="s">
        <v>824</v>
      </c>
      <c r="N879" s="470" t="s">
        <v>756</v>
      </c>
      <c r="O879" s="472" t="s">
        <v>1276</v>
      </c>
      <c r="P879" s="472" t="s">
        <v>738</v>
      </c>
      <c r="Q879" s="472" t="s">
        <v>758</v>
      </c>
      <c r="R879" s="472" t="s">
        <v>12</v>
      </c>
      <c r="S879" s="472" t="s">
        <v>12</v>
      </c>
      <c r="T879" s="472" t="s">
        <v>1251</v>
      </c>
      <c r="U879" s="470" t="s">
        <v>1252</v>
      </c>
      <c r="V879" s="470" t="s">
        <v>761</v>
      </c>
      <c r="W879" s="470" t="s">
        <v>859</v>
      </c>
      <c r="X879" s="470">
        <v>31</v>
      </c>
      <c r="Y879" s="470">
        <v>0</v>
      </c>
      <c r="Z879" s="470">
        <v>0</v>
      </c>
      <c r="AA879" s="470">
        <v>31</v>
      </c>
      <c r="AB879" s="470">
        <v>31</v>
      </c>
      <c r="AC879" s="473">
        <v>27713</v>
      </c>
      <c r="AD879" s="473">
        <v>27713</v>
      </c>
      <c r="AE879" s="473">
        <v>12471</v>
      </c>
      <c r="AF879" s="473">
        <v>4988</v>
      </c>
      <c r="AG879" s="473">
        <v>1600</v>
      </c>
      <c r="AH879" s="473">
        <v>200</v>
      </c>
      <c r="AI879" s="473">
        <v>1250</v>
      </c>
      <c r="AJ879" s="473">
        <v>0</v>
      </c>
      <c r="AK879" s="473">
        <v>0</v>
      </c>
      <c r="AL879" s="473">
        <v>0</v>
      </c>
      <c r="AM879" s="473">
        <v>0</v>
      </c>
      <c r="AN879" s="473">
        <v>0</v>
      </c>
      <c r="AO879" s="473">
        <v>0</v>
      </c>
      <c r="AP879" s="473">
        <v>0</v>
      </c>
      <c r="AQ879" s="473">
        <v>1497</v>
      </c>
      <c r="AR879" s="473">
        <v>5707</v>
      </c>
      <c r="AS879" s="473">
        <v>0</v>
      </c>
      <c r="AT879" s="473">
        <v>0</v>
      </c>
      <c r="AU879" s="473">
        <v>231</v>
      </c>
      <c r="AV879" s="473">
        <v>27944</v>
      </c>
      <c r="AW879" s="474">
        <v>27713</v>
      </c>
      <c r="AX879" s="473">
        <v>0</v>
      </c>
      <c r="AY879" s="473">
        <v>0</v>
      </c>
      <c r="AZ879" s="475">
        <v>0</v>
      </c>
      <c r="BA879" s="475">
        <v>200</v>
      </c>
      <c r="BB879" s="475">
        <v>1497</v>
      </c>
      <c r="BC879" s="475">
        <v>0</v>
      </c>
      <c r="BD879" s="475">
        <v>0</v>
      </c>
      <c r="BE879" s="475">
        <v>25</v>
      </c>
      <c r="BF879" s="475">
        <v>0</v>
      </c>
      <c r="BG879" s="475">
        <v>1722</v>
      </c>
      <c r="BH879" s="476">
        <v>26222</v>
      </c>
      <c r="BI879" s="467"/>
      <c r="BJ879" s="468"/>
    </row>
    <row r="880" spans="1:62">
      <c r="A880" s="469">
        <v>45992</v>
      </c>
      <c r="B880" s="469" t="s">
        <v>747</v>
      </c>
      <c r="C880" s="508"/>
      <c r="D880" s="470" t="s">
        <v>749</v>
      </c>
      <c r="E880" s="471">
        <v>1121</v>
      </c>
      <c r="F880" s="470" t="s">
        <v>1253</v>
      </c>
      <c r="G880" s="470" t="s">
        <v>751</v>
      </c>
      <c r="H880" s="470" t="s">
        <v>12</v>
      </c>
      <c r="I880" s="470" t="s">
        <v>1254</v>
      </c>
      <c r="J880" s="472" t="s">
        <v>1255</v>
      </c>
      <c r="K880" s="470" t="s">
        <v>1256</v>
      </c>
      <c r="L880" s="470" t="s">
        <v>942</v>
      </c>
      <c r="M880" s="470" t="s">
        <v>942</v>
      </c>
      <c r="N880" s="470" t="s">
        <v>1275</v>
      </c>
      <c r="O880" s="472" t="s">
        <v>792</v>
      </c>
      <c r="P880" s="472" t="s">
        <v>738</v>
      </c>
      <c r="Q880" s="472" t="s">
        <v>758</v>
      </c>
      <c r="R880" s="472" t="s">
        <v>12</v>
      </c>
      <c r="S880" s="472" t="s">
        <v>12</v>
      </c>
      <c r="T880" s="472" t="s">
        <v>1257</v>
      </c>
      <c r="U880" s="470" t="s">
        <v>1258</v>
      </c>
      <c r="V880" s="470" t="s">
        <v>761</v>
      </c>
      <c r="W880" s="470" t="s">
        <v>1259</v>
      </c>
      <c r="X880" s="470">
        <v>31</v>
      </c>
      <c r="Y880" s="470">
        <v>0</v>
      </c>
      <c r="Z880" s="470">
        <v>0</v>
      </c>
      <c r="AA880" s="470">
        <v>31</v>
      </c>
      <c r="AB880" s="470">
        <v>31</v>
      </c>
      <c r="AC880" s="473">
        <v>206500</v>
      </c>
      <c r="AD880" s="473">
        <v>206500</v>
      </c>
      <c r="AE880" s="473">
        <v>92925</v>
      </c>
      <c r="AF880" s="473">
        <v>37170</v>
      </c>
      <c r="AG880" s="473">
        <v>1600</v>
      </c>
      <c r="AH880" s="473">
        <v>200</v>
      </c>
      <c r="AI880" s="473">
        <v>1250</v>
      </c>
      <c r="AJ880" s="473">
        <v>7741</v>
      </c>
      <c r="AK880" s="473">
        <v>18585</v>
      </c>
      <c r="AL880" s="473">
        <v>13939</v>
      </c>
      <c r="AM880" s="473">
        <v>929</v>
      </c>
      <c r="AN880" s="473">
        <v>3252</v>
      </c>
      <c r="AO880" s="473">
        <v>1859</v>
      </c>
      <c r="AP880" s="473">
        <v>465</v>
      </c>
      <c r="AQ880" s="473">
        <v>1800</v>
      </c>
      <c r="AR880" s="473">
        <v>24785</v>
      </c>
      <c r="AS880" s="473">
        <v>0</v>
      </c>
      <c r="AT880" s="473">
        <v>0</v>
      </c>
      <c r="AU880" s="473">
        <v>20140</v>
      </c>
      <c r="AV880" s="473">
        <v>226640</v>
      </c>
      <c r="AW880" s="474">
        <v>206500</v>
      </c>
      <c r="AX880" s="473">
        <v>0</v>
      </c>
      <c r="AY880" s="473">
        <v>0</v>
      </c>
      <c r="AZ880" s="475">
        <v>44254</v>
      </c>
      <c r="BA880" s="475">
        <v>200</v>
      </c>
      <c r="BB880" s="475">
        <v>1800</v>
      </c>
      <c r="BC880" s="475">
        <v>0</v>
      </c>
      <c r="BD880" s="475">
        <v>0</v>
      </c>
      <c r="BE880" s="475">
        <v>25</v>
      </c>
      <c r="BF880" s="475">
        <v>0</v>
      </c>
      <c r="BG880" s="475">
        <v>46279</v>
      </c>
      <c r="BH880" s="476">
        <v>180361</v>
      </c>
      <c r="BI880" s="467"/>
      <c r="BJ880" s="468"/>
    </row>
    <row r="881" spans="1:62">
      <c r="A881" s="469">
        <v>45992</v>
      </c>
      <c r="B881" s="469" t="s">
        <v>747</v>
      </c>
      <c r="C881" s="508"/>
      <c r="D881" s="470" t="s">
        <v>749</v>
      </c>
      <c r="E881" s="471">
        <v>2264</v>
      </c>
      <c r="F881" s="470" t="s">
        <v>1503</v>
      </c>
      <c r="G881" s="470" t="s">
        <v>751</v>
      </c>
      <c r="H881" s="470" t="s">
        <v>12</v>
      </c>
      <c r="I881" s="470" t="s">
        <v>1477</v>
      </c>
      <c r="J881" s="472" t="s">
        <v>1504</v>
      </c>
      <c r="K881" s="470" t="s">
        <v>1505</v>
      </c>
      <c r="L881" s="470" t="s">
        <v>1123</v>
      </c>
      <c r="M881" s="470" t="s">
        <v>1124</v>
      </c>
      <c r="N881" s="470" t="s">
        <v>1108</v>
      </c>
      <c r="O881" s="472" t="s">
        <v>757</v>
      </c>
      <c r="P881" s="472" t="s">
        <v>738</v>
      </c>
      <c r="Q881" s="472" t="s">
        <v>758</v>
      </c>
      <c r="R881" s="472" t="s">
        <v>12</v>
      </c>
      <c r="S881" s="472" t="s">
        <v>12</v>
      </c>
      <c r="T881" s="472" t="s">
        <v>1506</v>
      </c>
      <c r="U881" s="470" t="s">
        <v>1507</v>
      </c>
      <c r="V881" s="470" t="s">
        <v>761</v>
      </c>
      <c r="W881" s="470" t="s">
        <v>1361</v>
      </c>
      <c r="X881" s="470">
        <v>31</v>
      </c>
      <c r="Y881" s="470">
        <v>0</v>
      </c>
      <c r="Z881" s="470">
        <v>2.5</v>
      </c>
      <c r="AA881" s="470">
        <v>28.5</v>
      </c>
      <c r="AB881" s="470">
        <v>28.5</v>
      </c>
      <c r="AC881" s="473">
        <v>54867</v>
      </c>
      <c r="AD881" s="473">
        <v>54867</v>
      </c>
      <c r="AE881" s="473">
        <v>22699</v>
      </c>
      <c r="AF881" s="473">
        <v>9080</v>
      </c>
      <c r="AG881" s="473">
        <v>1471</v>
      </c>
      <c r="AH881" s="473">
        <v>184</v>
      </c>
      <c r="AI881" s="473">
        <v>1149</v>
      </c>
      <c r="AJ881" s="473">
        <v>1891</v>
      </c>
      <c r="AK881" s="473">
        <v>4540</v>
      </c>
      <c r="AL881" s="473">
        <v>3405</v>
      </c>
      <c r="AM881" s="473">
        <v>227</v>
      </c>
      <c r="AN881" s="473">
        <v>794</v>
      </c>
      <c r="AO881" s="473">
        <v>454</v>
      </c>
      <c r="AP881" s="473">
        <v>114</v>
      </c>
      <c r="AQ881" s="473">
        <v>1800</v>
      </c>
      <c r="AR881" s="473">
        <v>2634</v>
      </c>
      <c r="AS881" s="473">
        <v>0</v>
      </c>
      <c r="AT881" s="473">
        <v>0</v>
      </c>
      <c r="AU881" s="473">
        <v>0</v>
      </c>
      <c r="AV881" s="473">
        <v>50442</v>
      </c>
      <c r="AW881" s="474">
        <v>50442</v>
      </c>
      <c r="AX881" s="473">
        <v>0</v>
      </c>
      <c r="AY881" s="473">
        <v>0</v>
      </c>
      <c r="AZ881" s="475">
        <v>0</v>
      </c>
      <c r="BA881" s="475">
        <v>200</v>
      </c>
      <c r="BB881" s="475">
        <v>1800</v>
      </c>
      <c r="BC881" s="475">
        <v>0</v>
      </c>
      <c r="BD881" s="475">
        <v>0</v>
      </c>
      <c r="BE881" s="475">
        <v>25</v>
      </c>
      <c r="BF881" s="475">
        <v>0</v>
      </c>
      <c r="BG881" s="475">
        <v>2025</v>
      </c>
      <c r="BH881" s="476">
        <v>48417</v>
      </c>
      <c r="BI881" s="467"/>
      <c r="BJ881" s="468"/>
    </row>
    <row r="882" spans="1:62">
      <c r="A882" s="469">
        <v>45992</v>
      </c>
      <c r="B882" s="469" t="s">
        <v>747</v>
      </c>
      <c r="C882" s="508"/>
      <c r="D882" s="470" t="s">
        <v>749</v>
      </c>
      <c r="E882" s="471">
        <v>1496</v>
      </c>
      <c r="F882" s="470" t="s">
        <v>1260</v>
      </c>
      <c r="G882" s="470" t="s">
        <v>751</v>
      </c>
      <c r="H882" s="470" t="s">
        <v>12</v>
      </c>
      <c r="I882" s="470" t="s">
        <v>1261</v>
      </c>
      <c r="J882" s="472" t="s">
        <v>1262</v>
      </c>
      <c r="K882" s="470" t="s">
        <v>1263</v>
      </c>
      <c r="L882" s="470" t="s">
        <v>856</v>
      </c>
      <c r="M882" s="470" t="s">
        <v>856</v>
      </c>
      <c r="N882" s="470" t="s">
        <v>756</v>
      </c>
      <c r="O882" s="472" t="s">
        <v>757</v>
      </c>
      <c r="P882" s="472" t="s">
        <v>738</v>
      </c>
      <c r="Q882" s="472" t="s">
        <v>758</v>
      </c>
      <c r="R882" s="472" t="s">
        <v>12</v>
      </c>
      <c r="S882" s="472" t="s">
        <v>12</v>
      </c>
      <c r="T882" s="472" t="s">
        <v>1264</v>
      </c>
      <c r="U882" s="470" t="s">
        <v>1265</v>
      </c>
      <c r="V882" s="470" t="s">
        <v>761</v>
      </c>
      <c r="W882" s="470" t="s">
        <v>876</v>
      </c>
      <c r="X882" s="470">
        <v>31</v>
      </c>
      <c r="Y882" s="470">
        <v>0</v>
      </c>
      <c r="Z882" s="470">
        <v>2</v>
      </c>
      <c r="AA882" s="470">
        <v>29</v>
      </c>
      <c r="AB882" s="470">
        <v>29</v>
      </c>
      <c r="AC882" s="473">
        <v>55383</v>
      </c>
      <c r="AD882" s="473">
        <v>55383</v>
      </c>
      <c r="AE882" s="473">
        <v>23315</v>
      </c>
      <c r="AF882" s="473">
        <v>9326</v>
      </c>
      <c r="AG882" s="473">
        <v>1497</v>
      </c>
      <c r="AH882" s="473">
        <v>187</v>
      </c>
      <c r="AI882" s="473">
        <v>1169</v>
      </c>
      <c r="AJ882" s="473">
        <v>1942</v>
      </c>
      <c r="AK882" s="473">
        <v>4663</v>
      </c>
      <c r="AL882" s="473">
        <v>3497</v>
      </c>
      <c r="AM882" s="473">
        <v>233</v>
      </c>
      <c r="AN882" s="473">
        <v>816</v>
      </c>
      <c r="AO882" s="473">
        <v>466</v>
      </c>
      <c r="AP882" s="473">
        <v>117</v>
      </c>
      <c r="AQ882" s="473">
        <v>1800</v>
      </c>
      <c r="AR882" s="473">
        <v>2782</v>
      </c>
      <c r="AS882" s="473">
        <v>0</v>
      </c>
      <c r="AT882" s="473">
        <v>0</v>
      </c>
      <c r="AU882" s="473">
        <v>0</v>
      </c>
      <c r="AV882" s="473">
        <v>51810</v>
      </c>
      <c r="AW882" s="474">
        <v>51810</v>
      </c>
      <c r="AX882" s="473">
        <v>0</v>
      </c>
      <c r="AY882" s="473">
        <v>0</v>
      </c>
      <c r="AZ882" s="475">
        <v>0</v>
      </c>
      <c r="BA882" s="475">
        <v>200</v>
      </c>
      <c r="BB882" s="475">
        <v>1800</v>
      </c>
      <c r="BC882" s="475">
        <v>0</v>
      </c>
      <c r="BD882" s="475">
        <v>0</v>
      </c>
      <c r="BE882" s="475">
        <v>25</v>
      </c>
      <c r="BF882" s="475">
        <v>0</v>
      </c>
      <c r="BG882" s="475">
        <v>2025</v>
      </c>
      <c r="BH882" s="476">
        <v>49785</v>
      </c>
      <c r="BI882" s="467"/>
      <c r="BJ882" s="468"/>
    </row>
    <row r="883" spans="1:62">
      <c r="A883" s="469">
        <v>45992</v>
      </c>
      <c r="B883" s="469" t="s">
        <v>747</v>
      </c>
      <c r="C883" s="508"/>
      <c r="D883" s="470" t="s">
        <v>749</v>
      </c>
      <c r="E883" s="471">
        <v>734</v>
      </c>
      <c r="F883" s="470" t="s">
        <v>1537</v>
      </c>
      <c r="G883" s="470" t="s">
        <v>812</v>
      </c>
      <c r="H883" s="470" t="s">
        <v>12</v>
      </c>
      <c r="I883" s="470" t="s">
        <v>931</v>
      </c>
      <c r="J883" s="472" t="s">
        <v>1538</v>
      </c>
      <c r="K883" s="470" t="s">
        <v>1539</v>
      </c>
      <c r="L883" s="470" t="s">
        <v>1540</v>
      </c>
      <c r="M883" s="470" t="s">
        <v>1541</v>
      </c>
      <c r="N883" s="470" t="s">
        <v>904</v>
      </c>
      <c r="O883" s="472" t="s">
        <v>757</v>
      </c>
      <c r="P883" s="472" t="s">
        <v>738</v>
      </c>
      <c r="Q883" s="472" t="s">
        <v>758</v>
      </c>
      <c r="R883" s="472" t="s">
        <v>12</v>
      </c>
      <c r="S883" s="472" t="s">
        <v>12</v>
      </c>
      <c r="T883" s="472" t="s">
        <v>1542</v>
      </c>
      <c r="U883" s="470" t="s">
        <v>1543</v>
      </c>
      <c r="V883" s="470" t="s">
        <v>761</v>
      </c>
      <c r="W883" s="470" t="s">
        <v>762</v>
      </c>
      <c r="X883" s="470">
        <v>31</v>
      </c>
      <c r="Y883" s="470">
        <v>0</v>
      </c>
      <c r="Z883" s="470">
        <v>0</v>
      </c>
      <c r="AA883" s="470">
        <v>31</v>
      </c>
      <c r="AB883" s="470">
        <v>31</v>
      </c>
      <c r="AC883" s="473">
        <v>103609</v>
      </c>
      <c r="AD883" s="473">
        <v>103609</v>
      </c>
      <c r="AE883" s="473">
        <v>46624</v>
      </c>
      <c r="AF883" s="473">
        <v>18650</v>
      </c>
      <c r="AG883" s="473">
        <v>1600</v>
      </c>
      <c r="AH883" s="473">
        <v>200</v>
      </c>
      <c r="AI883" s="473">
        <v>1250</v>
      </c>
      <c r="AJ883" s="473">
        <v>3884</v>
      </c>
      <c r="AK883" s="473">
        <v>9325</v>
      </c>
      <c r="AL883" s="473">
        <v>6994</v>
      </c>
      <c r="AM883" s="473">
        <v>466</v>
      </c>
      <c r="AN883" s="473">
        <v>1632</v>
      </c>
      <c r="AO883" s="473">
        <v>932</v>
      </c>
      <c r="AP883" s="473">
        <v>233</v>
      </c>
      <c r="AQ883" s="473">
        <v>1800</v>
      </c>
      <c r="AR883" s="473">
        <v>10019</v>
      </c>
      <c r="AS883" s="473">
        <v>0</v>
      </c>
      <c r="AT883" s="473">
        <v>0</v>
      </c>
      <c r="AU883" s="473">
        <v>0</v>
      </c>
      <c r="AV883" s="473">
        <v>103609</v>
      </c>
      <c r="AW883" s="474">
        <v>103609</v>
      </c>
      <c r="AX883" s="473">
        <v>0</v>
      </c>
      <c r="AY883" s="473">
        <v>0</v>
      </c>
      <c r="AZ883" s="475">
        <v>0</v>
      </c>
      <c r="BA883" s="475">
        <v>200</v>
      </c>
      <c r="BB883" s="475">
        <v>1800</v>
      </c>
      <c r="BC883" s="475">
        <v>0</v>
      </c>
      <c r="BD883" s="475">
        <v>0</v>
      </c>
      <c r="BE883" s="475">
        <v>25</v>
      </c>
      <c r="BF883" s="475">
        <v>0</v>
      </c>
      <c r="BG883" s="475">
        <v>2025</v>
      </c>
      <c r="BH883" s="476">
        <v>101584</v>
      </c>
      <c r="BI883" s="467"/>
      <c r="BJ883" s="468"/>
    </row>
    <row r="884" spans="1:62">
      <c r="A884" s="469">
        <v>45992</v>
      </c>
      <c r="B884" s="469" t="s">
        <v>1423</v>
      </c>
      <c r="C884" s="508"/>
      <c r="D884" s="470" t="s">
        <v>749</v>
      </c>
      <c r="E884" s="471">
        <v>48</v>
      </c>
      <c r="F884" s="470" t="s">
        <v>838</v>
      </c>
      <c r="G884" s="470"/>
      <c r="H884" s="470"/>
      <c r="I884" s="470"/>
      <c r="J884" s="472"/>
      <c r="K884" s="470"/>
      <c r="L884" s="470"/>
      <c r="M884" s="470"/>
      <c r="N884" s="470" t="s">
        <v>1544</v>
      </c>
      <c r="O884" s="472"/>
      <c r="P884" s="472"/>
      <c r="Q884" s="472"/>
      <c r="R884" s="472"/>
      <c r="S884" s="472"/>
      <c r="T884" s="472"/>
      <c r="U884" s="470"/>
      <c r="V884" s="470"/>
      <c r="W884" s="470"/>
      <c r="X884" s="470"/>
      <c r="Y884" s="470"/>
      <c r="Z884" s="470"/>
      <c r="AA884" s="470"/>
      <c r="AB884" s="470"/>
      <c r="AC884" s="473"/>
      <c r="AD884" s="473"/>
      <c r="AE884" s="473"/>
      <c r="AF884" s="473"/>
      <c r="AG884" s="473"/>
      <c r="AH884" s="473"/>
      <c r="AI884" s="473"/>
      <c r="AJ884" s="473"/>
      <c r="AK884" s="473"/>
      <c r="AL884" s="473"/>
      <c r="AM884" s="473"/>
      <c r="AN884" s="473"/>
      <c r="AO884" s="473"/>
      <c r="AP884" s="473"/>
      <c r="AQ884" s="473"/>
      <c r="AR884" s="473"/>
      <c r="AS884" s="473"/>
      <c r="AT884" s="473"/>
      <c r="AU884" s="473"/>
      <c r="AV884" s="473"/>
      <c r="AW884" s="474">
        <v>7000</v>
      </c>
      <c r="AX884" s="473"/>
      <c r="AY884" s="473"/>
      <c r="AZ884" s="475"/>
      <c r="BA884" s="475"/>
      <c r="BB884" s="475"/>
      <c r="BC884" s="475"/>
      <c r="BD884" s="475"/>
      <c r="BE884" s="475"/>
      <c r="BF884" s="475"/>
      <c r="BG884" s="475"/>
      <c r="BH884" s="476">
        <v>7000</v>
      </c>
      <c r="BI884" s="467"/>
      <c r="BJ884" s="468"/>
    </row>
    <row r="885" spans="1:62">
      <c r="A885" s="469">
        <v>45992</v>
      </c>
      <c r="B885" s="469" t="s">
        <v>1423</v>
      </c>
      <c r="C885" s="508"/>
      <c r="D885" s="470" t="s">
        <v>749</v>
      </c>
      <c r="E885" s="471">
        <v>2017</v>
      </c>
      <c r="F885" s="470" t="s">
        <v>846</v>
      </c>
      <c r="G885" s="470"/>
      <c r="H885" s="470"/>
      <c r="I885" s="470"/>
      <c r="J885" s="472"/>
      <c r="K885" s="470"/>
      <c r="L885" s="470"/>
      <c r="M885" s="470"/>
      <c r="N885" s="470" t="s">
        <v>1544</v>
      </c>
      <c r="O885" s="472"/>
      <c r="P885" s="472"/>
      <c r="Q885" s="472"/>
      <c r="R885" s="472"/>
      <c r="S885" s="472"/>
      <c r="T885" s="472"/>
      <c r="U885" s="470"/>
      <c r="V885" s="470"/>
      <c r="W885" s="470"/>
      <c r="X885" s="470"/>
      <c r="Y885" s="470"/>
      <c r="Z885" s="470"/>
      <c r="AA885" s="470"/>
      <c r="AB885" s="470"/>
      <c r="AC885" s="473"/>
      <c r="AD885" s="473"/>
      <c r="AE885" s="473"/>
      <c r="AF885" s="473"/>
      <c r="AG885" s="473"/>
      <c r="AH885" s="473"/>
      <c r="AI885" s="473"/>
      <c r="AJ885" s="473"/>
      <c r="AK885" s="473"/>
      <c r="AL885" s="473"/>
      <c r="AM885" s="473"/>
      <c r="AN885" s="473"/>
      <c r="AO885" s="473"/>
      <c r="AP885" s="473"/>
      <c r="AQ885" s="473"/>
      <c r="AR885" s="473"/>
      <c r="AS885" s="473"/>
      <c r="AT885" s="473"/>
      <c r="AU885" s="473"/>
      <c r="AV885" s="473"/>
      <c r="AW885" s="474">
        <v>25875</v>
      </c>
      <c r="AX885" s="473"/>
      <c r="AY885" s="473"/>
      <c r="AZ885" s="475"/>
      <c r="BA885" s="475"/>
      <c r="BB885" s="475"/>
      <c r="BC885" s="475"/>
      <c r="BD885" s="475"/>
      <c r="BE885" s="475"/>
      <c r="BF885" s="475"/>
      <c r="BG885" s="475"/>
      <c r="BH885" s="476">
        <v>25875</v>
      </c>
      <c r="BI885" s="467"/>
      <c r="BJ885" s="468"/>
    </row>
    <row r="886" spans="1:62">
      <c r="A886" s="469">
        <v>45992</v>
      </c>
      <c r="B886" s="469" t="s">
        <v>1423</v>
      </c>
      <c r="C886" s="508"/>
      <c r="D886" s="470" t="s">
        <v>749</v>
      </c>
      <c r="E886" s="471">
        <v>1771</v>
      </c>
      <c r="F886" s="470" t="s">
        <v>1046</v>
      </c>
      <c r="G886" s="470"/>
      <c r="H886" s="470"/>
      <c r="I886" s="470"/>
      <c r="J886" s="472"/>
      <c r="K886" s="470"/>
      <c r="L886" s="470"/>
      <c r="M886" s="470"/>
      <c r="N886" s="470" t="s">
        <v>1544</v>
      </c>
      <c r="O886" s="472"/>
      <c r="P886" s="472"/>
      <c r="Q886" s="472"/>
      <c r="R886" s="472"/>
      <c r="S886" s="472"/>
      <c r="T886" s="472"/>
      <c r="U886" s="470"/>
      <c r="V886" s="470"/>
      <c r="W886" s="470"/>
      <c r="X886" s="470"/>
      <c r="Y886" s="470"/>
      <c r="Z886" s="470"/>
      <c r="AA886" s="470"/>
      <c r="AB886" s="470"/>
      <c r="AC886" s="473"/>
      <c r="AD886" s="473"/>
      <c r="AE886" s="473"/>
      <c r="AF886" s="473"/>
      <c r="AG886" s="473"/>
      <c r="AH886" s="473"/>
      <c r="AI886" s="473"/>
      <c r="AJ886" s="473"/>
      <c r="AK886" s="473"/>
      <c r="AL886" s="473"/>
      <c r="AM886" s="473"/>
      <c r="AN886" s="473"/>
      <c r="AO886" s="473"/>
      <c r="AP886" s="473"/>
      <c r="AQ886" s="473"/>
      <c r="AR886" s="473"/>
      <c r="AS886" s="473"/>
      <c r="AT886" s="473"/>
      <c r="AU886" s="473"/>
      <c r="AV886" s="473"/>
      <c r="AW886" s="474">
        <v>15000</v>
      </c>
      <c r="AX886" s="473"/>
      <c r="AY886" s="473"/>
      <c r="AZ886" s="475"/>
      <c r="BA886" s="475"/>
      <c r="BB886" s="475"/>
      <c r="BC886" s="475"/>
      <c r="BD886" s="475"/>
      <c r="BE886" s="475"/>
      <c r="BF886" s="475"/>
      <c r="BG886" s="475"/>
      <c r="BH886" s="476">
        <v>15000</v>
      </c>
      <c r="BI886" s="467"/>
      <c r="BJ886" s="468"/>
    </row>
    <row r="887" spans="1:62">
      <c r="A887" s="469">
        <v>46023</v>
      </c>
      <c r="B887" s="469" t="s">
        <v>747</v>
      </c>
      <c r="C887" s="508"/>
      <c r="D887" s="470" t="s">
        <v>749</v>
      </c>
      <c r="E887" s="471">
        <v>2163</v>
      </c>
      <c r="F887" s="470" t="s">
        <v>1267</v>
      </c>
      <c r="G887" s="470" t="s">
        <v>751</v>
      </c>
      <c r="H887" s="470"/>
      <c r="I887" s="470" t="s">
        <v>1268</v>
      </c>
      <c r="J887" s="472" t="s">
        <v>1269</v>
      </c>
      <c r="K887" s="470" t="s">
        <v>1270</v>
      </c>
      <c r="L887" s="470" t="s">
        <v>1271</v>
      </c>
      <c r="M887" s="470" t="s">
        <v>942</v>
      </c>
      <c r="N887" s="470" t="s">
        <v>756</v>
      </c>
      <c r="O887" s="472" t="s">
        <v>1272</v>
      </c>
      <c r="P887" s="472" t="s">
        <v>738</v>
      </c>
      <c r="Q887" s="472" t="s">
        <v>758</v>
      </c>
      <c r="R887" s="472" t="s">
        <v>12</v>
      </c>
      <c r="S887" s="472" t="s">
        <v>12</v>
      </c>
      <c r="T887" s="472" t="s">
        <v>1273</v>
      </c>
      <c r="U887" s="470" t="s">
        <v>1274</v>
      </c>
      <c r="V887" s="470" t="s">
        <v>761</v>
      </c>
      <c r="W887" s="470" t="s">
        <v>1111</v>
      </c>
      <c r="X887" s="470">
        <v>31</v>
      </c>
      <c r="Y887" s="470">
        <v>0</v>
      </c>
      <c r="Z887" s="470">
        <v>0.5</v>
      </c>
      <c r="AA887" s="470">
        <v>30.5</v>
      </c>
      <c r="AB887" s="470">
        <v>30.5</v>
      </c>
      <c r="AC887" s="473">
        <v>235700</v>
      </c>
      <c r="AD887" s="473">
        <v>235700</v>
      </c>
      <c r="AE887" s="473">
        <v>104354</v>
      </c>
      <c r="AF887" s="473">
        <v>41742</v>
      </c>
      <c r="AG887" s="473">
        <v>1574</v>
      </c>
      <c r="AH887" s="473">
        <v>197</v>
      </c>
      <c r="AI887" s="473">
        <v>1230</v>
      </c>
      <c r="AJ887" s="473">
        <v>8693</v>
      </c>
      <c r="AK887" s="473">
        <v>20871</v>
      </c>
      <c r="AL887" s="473">
        <v>15653</v>
      </c>
      <c r="AM887" s="473">
        <v>1044</v>
      </c>
      <c r="AN887" s="473">
        <v>3652</v>
      </c>
      <c r="AO887" s="473">
        <v>2087</v>
      </c>
      <c r="AP887" s="473">
        <v>522</v>
      </c>
      <c r="AQ887" s="473">
        <v>1800</v>
      </c>
      <c r="AR887" s="473">
        <v>28479</v>
      </c>
      <c r="AS887" s="473">
        <v>0</v>
      </c>
      <c r="AT887" s="473">
        <v>0</v>
      </c>
      <c r="AU887" s="473">
        <v>981</v>
      </c>
      <c r="AV887" s="473">
        <v>232879</v>
      </c>
      <c r="AW887" s="474">
        <v>231898</v>
      </c>
      <c r="AX887" s="473">
        <v>0</v>
      </c>
      <c r="AY887" s="473">
        <v>0</v>
      </c>
      <c r="AZ887" s="475">
        <v>21565</v>
      </c>
      <c r="BA887" s="475">
        <v>200</v>
      </c>
      <c r="BB887" s="475">
        <v>1800</v>
      </c>
      <c r="BC887" s="475">
        <v>0</v>
      </c>
      <c r="BD887" s="475">
        <v>0</v>
      </c>
      <c r="BE887" s="475">
        <v>0</v>
      </c>
      <c r="BF887" s="475">
        <v>0</v>
      </c>
      <c r="BG887" s="475">
        <v>23565</v>
      </c>
      <c r="BH887" s="476">
        <v>209314</v>
      </c>
      <c r="BI887" s="467"/>
      <c r="BJ887" s="468"/>
    </row>
    <row r="888" spans="1:62">
      <c r="A888" s="469">
        <v>46023</v>
      </c>
      <c r="B888" s="469" t="s">
        <v>747</v>
      </c>
      <c r="C888" s="508"/>
      <c r="D888" s="470" t="s">
        <v>749</v>
      </c>
      <c r="E888" s="471">
        <v>2020</v>
      </c>
      <c r="F888" s="470" t="s">
        <v>772</v>
      </c>
      <c r="G888" s="470" t="s">
        <v>751</v>
      </c>
      <c r="H888" s="470"/>
      <c r="I888" s="470" t="s">
        <v>773</v>
      </c>
      <c r="J888" s="472" t="s">
        <v>774</v>
      </c>
      <c r="K888" s="470" t="s">
        <v>775</v>
      </c>
      <c r="L888" s="470" t="s">
        <v>776</v>
      </c>
      <c r="M888" s="470" t="s">
        <v>776</v>
      </c>
      <c r="N888" s="470" t="s">
        <v>777</v>
      </c>
      <c r="O888" s="472" t="s">
        <v>757</v>
      </c>
      <c r="P888" s="472" t="s">
        <v>738</v>
      </c>
      <c r="Q888" s="472" t="s">
        <v>758</v>
      </c>
      <c r="R888" s="472" t="s">
        <v>12</v>
      </c>
      <c r="S888" s="472" t="s">
        <v>12</v>
      </c>
      <c r="T888" s="472" t="s">
        <v>778</v>
      </c>
      <c r="U888" s="470" t="s">
        <v>779</v>
      </c>
      <c r="V888" s="470" t="s">
        <v>761</v>
      </c>
      <c r="W888" s="470" t="s">
        <v>762</v>
      </c>
      <c r="X888" s="470">
        <v>31</v>
      </c>
      <c r="Y888" s="470">
        <v>0</v>
      </c>
      <c r="Z888" s="470">
        <v>0.5</v>
      </c>
      <c r="AA888" s="470">
        <v>30.5</v>
      </c>
      <c r="AB888" s="470">
        <v>30.5</v>
      </c>
      <c r="AC888" s="473">
        <v>68450</v>
      </c>
      <c r="AD888" s="473">
        <v>68450</v>
      </c>
      <c r="AE888" s="473">
        <v>30306</v>
      </c>
      <c r="AF888" s="473">
        <v>12122</v>
      </c>
      <c r="AG888" s="473">
        <v>1574</v>
      </c>
      <c r="AH888" s="473">
        <v>197</v>
      </c>
      <c r="AI888" s="473">
        <v>1230</v>
      </c>
      <c r="AJ888" s="473">
        <v>2524</v>
      </c>
      <c r="AK888" s="473">
        <v>6061</v>
      </c>
      <c r="AL888" s="473">
        <v>4546</v>
      </c>
      <c r="AM888" s="473">
        <v>303</v>
      </c>
      <c r="AN888" s="473">
        <v>1061</v>
      </c>
      <c r="AO888" s="473">
        <v>606</v>
      </c>
      <c r="AP888" s="473">
        <v>152</v>
      </c>
      <c r="AQ888" s="473">
        <v>1800</v>
      </c>
      <c r="AR888" s="473">
        <v>4864</v>
      </c>
      <c r="AS888" s="473">
        <v>0</v>
      </c>
      <c r="AT888" s="473">
        <v>0</v>
      </c>
      <c r="AU888" s="473">
        <v>1679</v>
      </c>
      <c r="AV888" s="473">
        <v>69025</v>
      </c>
      <c r="AW888" s="474">
        <v>67346</v>
      </c>
      <c r="AX888" s="473">
        <v>0</v>
      </c>
      <c r="AY888" s="473">
        <v>0</v>
      </c>
      <c r="AZ888" s="475">
        <v>0</v>
      </c>
      <c r="BA888" s="475">
        <v>200</v>
      </c>
      <c r="BB888" s="475">
        <v>1800</v>
      </c>
      <c r="BC888" s="475">
        <v>0</v>
      </c>
      <c r="BD888" s="475">
        <v>0</v>
      </c>
      <c r="BE888" s="475">
        <v>0</v>
      </c>
      <c r="BF888" s="475">
        <v>0</v>
      </c>
      <c r="BG888" s="475">
        <v>2000</v>
      </c>
      <c r="BH888" s="476">
        <v>67025</v>
      </c>
      <c r="BI888" s="467"/>
      <c r="BJ888" s="468"/>
    </row>
    <row r="889" spans="1:62">
      <c r="A889" s="469">
        <v>46023</v>
      </c>
      <c r="B889" s="469" t="s">
        <v>747</v>
      </c>
      <c r="C889" s="508"/>
      <c r="D889" s="470" t="s">
        <v>749</v>
      </c>
      <c r="E889" s="471">
        <v>2307</v>
      </c>
      <c r="F889" s="470" t="s">
        <v>1508</v>
      </c>
      <c r="G889" s="470" t="s">
        <v>751</v>
      </c>
      <c r="H889" s="470"/>
      <c r="I889" s="470" t="s">
        <v>1509</v>
      </c>
      <c r="J889" s="472" t="s">
        <v>1510</v>
      </c>
      <c r="K889" s="470" t="s">
        <v>1511</v>
      </c>
      <c r="L889" s="470" t="s">
        <v>971</v>
      </c>
      <c r="M889" s="470" t="s">
        <v>1512</v>
      </c>
      <c r="N889" s="470" t="s">
        <v>1275</v>
      </c>
      <c r="O889" s="472" t="s">
        <v>792</v>
      </c>
      <c r="P889" s="472" t="s">
        <v>738</v>
      </c>
      <c r="Q889" s="472" t="s">
        <v>758</v>
      </c>
      <c r="R889" s="472" t="s">
        <v>12</v>
      </c>
      <c r="S889" s="472" t="s">
        <v>12</v>
      </c>
      <c r="T889" s="472" t="s">
        <v>1513</v>
      </c>
      <c r="U889" s="470" t="s">
        <v>1514</v>
      </c>
      <c r="V889" s="470" t="s">
        <v>761</v>
      </c>
      <c r="W889" s="470" t="s">
        <v>1101</v>
      </c>
      <c r="X889" s="470">
        <v>31</v>
      </c>
      <c r="Y889" s="470">
        <v>0</v>
      </c>
      <c r="Z889" s="470">
        <v>2</v>
      </c>
      <c r="AA889" s="470">
        <v>29</v>
      </c>
      <c r="AB889" s="470">
        <v>29</v>
      </c>
      <c r="AC889" s="473">
        <v>148200</v>
      </c>
      <c r="AD889" s="473">
        <v>148200</v>
      </c>
      <c r="AE889" s="473">
        <v>62388</v>
      </c>
      <c r="AF889" s="473">
        <v>24955</v>
      </c>
      <c r="AG889" s="473">
        <v>1497</v>
      </c>
      <c r="AH889" s="473">
        <v>187</v>
      </c>
      <c r="AI889" s="473">
        <v>1169</v>
      </c>
      <c r="AJ889" s="473">
        <v>5197</v>
      </c>
      <c r="AK889" s="473">
        <v>12478</v>
      </c>
      <c r="AL889" s="473">
        <v>9358</v>
      </c>
      <c r="AM889" s="473">
        <v>624</v>
      </c>
      <c r="AN889" s="473">
        <v>2184</v>
      </c>
      <c r="AO889" s="473">
        <v>1248</v>
      </c>
      <c r="AP889" s="473">
        <v>312</v>
      </c>
      <c r="AQ889" s="473">
        <v>1800</v>
      </c>
      <c r="AR889" s="473">
        <v>15242</v>
      </c>
      <c r="AS889" s="473">
        <v>0</v>
      </c>
      <c r="AT889" s="473">
        <v>0</v>
      </c>
      <c r="AU889" s="473">
        <v>10121</v>
      </c>
      <c r="AV889" s="473">
        <v>148760</v>
      </c>
      <c r="AW889" s="474">
        <v>138639</v>
      </c>
      <c r="AX889" s="473">
        <v>0</v>
      </c>
      <c r="AY889" s="473">
        <v>0</v>
      </c>
      <c r="AZ889" s="475">
        <v>0</v>
      </c>
      <c r="BA889" s="475">
        <v>200</v>
      </c>
      <c r="BB889" s="475">
        <v>1800</v>
      </c>
      <c r="BC889" s="475">
        <v>0</v>
      </c>
      <c r="BD889" s="475">
        <v>0</v>
      </c>
      <c r="BE889" s="475">
        <v>0</v>
      </c>
      <c r="BF889" s="475">
        <v>0</v>
      </c>
      <c r="BG889" s="475">
        <v>2000</v>
      </c>
      <c r="BH889" s="476">
        <v>146760</v>
      </c>
      <c r="BI889" s="467"/>
      <c r="BJ889" s="468"/>
    </row>
    <row r="890" spans="1:62">
      <c r="A890" s="469">
        <v>46023</v>
      </c>
      <c r="B890" s="469" t="s">
        <v>747</v>
      </c>
      <c r="C890" s="508"/>
      <c r="D890" s="470" t="s">
        <v>749</v>
      </c>
      <c r="E890" s="471">
        <v>2072</v>
      </c>
      <c r="F890" s="470" t="s">
        <v>787</v>
      </c>
      <c r="G890" s="470" t="s">
        <v>751</v>
      </c>
      <c r="H890" s="470"/>
      <c r="I890" s="470" t="s">
        <v>788</v>
      </c>
      <c r="J890" s="472" t="s">
        <v>789</v>
      </c>
      <c r="K890" s="470" t="s">
        <v>790</v>
      </c>
      <c r="L890" s="470" t="s">
        <v>791</v>
      </c>
      <c r="M890" s="470" t="s">
        <v>791</v>
      </c>
      <c r="N890" s="470" t="s">
        <v>756</v>
      </c>
      <c r="O890" s="472" t="s">
        <v>792</v>
      </c>
      <c r="P890" s="472" t="s">
        <v>738</v>
      </c>
      <c r="Q890" s="472" t="s">
        <v>758</v>
      </c>
      <c r="R890" s="472" t="s">
        <v>12</v>
      </c>
      <c r="S890" s="472" t="s">
        <v>12</v>
      </c>
      <c r="T890" s="472" t="s">
        <v>793</v>
      </c>
      <c r="U890" s="470" t="s">
        <v>794</v>
      </c>
      <c r="V890" s="470" t="s">
        <v>761</v>
      </c>
      <c r="W890" s="470" t="s">
        <v>795</v>
      </c>
      <c r="X890" s="470">
        <v>31</v>
      </c>
      <c r="Y890" s="470">
        <v>0</v>
      </c>
      <c r="Z890" s="470">
        <v>1.5</v>
      </c>
      <c r="AA890" s="470">
        <v>29.5</v>
      </c>
      <c r="AB890" s="470">
        <v>29.5</v>
      </c>
      <c r="AC890" s="473">
        <v>123200</v>
      </c>
      <c r="AD890" s="473">
        <v>123200</v>
      </c>
      <c r="AE890" s="473">
        <v>52758</v>
      </c>
      <c r="AF890" s="473">
        <v>21103</v>
      </c>
      <c r="AG890" s="473">
        <v>1523</v>
      </c>
      <c r="AH890" s="473">
        <v>190</v>
      </c>
      <c r="AI890" s="473">
        <v>1190</v>
      </c>
      <c r="AJ890" s="473">
        <v>4395</v>
      </c>
      <c r="AK890" s="473">
        <v>10552</v>
      </c>
      <c r="AL890" s="473">
        <v>7914</v>
      </c>
      <c r="AM890" s="473">
        <v>528</v>
      </c>
      <c r="AN890" s="473">
        <v>1847</v>
      </c>
      <c r="AO890" s="473">
        <v>1055</v>
      </c>
      <c r="AP890" s="473">
        <v>264</v>
      </c>
      <c r="AQ890" s="473">
        <v>1800</v>
      </c>
      <c r="AR890" s="473">
        <v>12120</v>
      </c>
      <c r="AS890" s="473">
        <v>0</v>
      </c>
      <c r="AT890" s="473">
        <v>0</v>
      </c>
      <c r="AU890" s="473">
        <v>1932</v>
      </c>
      <c r="AV890" s="473">
        <v>119171</v>
      </c>
      <c r="AW890" s="474">
        <v>117239</v>
      </c>
      <c r="AX890" s="473">
        <v>0</v>
      </c>
      <c r="AY890" s="473">
        <v>0</v>
      </c>
      <c r="AZ890" s="475">
        <v>6767</v>
      </c>
      <c r="BA890" s="475">
        <v>200</v>
      </c>
      <c r="BB890" s="475">
        <v>1800</v>
      </c>
      <c r="BC890" s="475">
        <v>0</v>
      </c>
      <c r="BD890" s="475">
        <v>0</v>
      </c>
      <c r="BE890" s="475">
        <v>0</v>
      </c>
      <c r="BF890" s="475">
        <v>0</v>
      </c>
      <c r="BG890" s="475">
        <v>8767</v>
      </c>
      <c r="BH890" s="476">
        <v>110404</v>
      </c>
      <c r="BI890" s="467"/>
      <c r="BJ890" s="468"/>
    </row>
    <row r="891" spans="1:62">
      <c r="A891" s="469">
        <v>46023</v>
      </c>
      <c r="B891" s="469" t="s">
        <v>747</v>
      </c>
      <c r="C891" s="508"/>
      <c r="D891" s="470" t="s">
        <v>749</v>
      </c>
      <c r="E891" s="471">
        <v>1440</v>
      </c>
      <c r="F891" s="470" t="s">
        <v>796</v>
      </c>
      <c r="G891" s="470" t="s">
        <v>751</v>
      </c>
      <c r="H891" s="470"/>
      <c r="I891" s="470" t="s">
        <v>797</v>
      </c>
      <c r="J891" s="472" t="s">
        <v>798</v>
      </c>
      <c r="K891" s="470" t="s">
        <v>799</v>
      </c>
      <c r="L891" s="470" t="s">
        <v>800</v>
      </c>
      <c r="M891" s="470" t="s">
        <v>801</v>
      </c>
      <c r="N891" s="470" t="s">
        <v>756</v>
      </c>
      <c r="O891" s="472" t="s">
        <v>757</v>
      </c>
      <c r="P891" s="472" t="s">
        <v>738</v>
      </c>
      <c r="Q891" s="472" t="s">
        <v>758</v>
      </c>
      <c r="R891" s="472" t="s">
        <v>12</v>
      </c>
      <c r="S891" s="472" t="s">
        <v>12</v>
      </c>
      <c r="T891" s="472" t="s">
        <v>802</v>
      </c>
      <c r="U891" s="470" t="s">
        <v>803</v>
      </c>
      <c r="V891" s="470" t="s">
        <v>761</v>
      </c>
      <c r="W891" s="470" t="s">
        <v>762</v>
      </c>
      <c r="X891" s="470">
        <v>31</v>
      </c>
      <c r="Y891" s="470">
        <v>0</v>
      </c>
      <c r="Z891" s="470">
        <v>0</v>
      </c>
      <c r="AA891" s="470">
        <v>31</v>
      </c>
      <c r="AB891" s="470">
        <v>31</v>
      </c>
      <c r="AC891" s="473">
        <v>38617</v>
      </c>
      <c r="AD891" s="473">
        <v>38617</v>
      </c>
      <c r="AE891" s="473">
        <v>17378</v>
      </c>
      <c r="AF891" s="473">
        <v>6951</v>
      </c>
      <c r="AG891" s="473">
        <v>1600</v>
      </c>
      <c r="AH891" s="473">
        <v>200</v>
      </c>
      <c r="AI891" s="473">
        <v>1250</v>
      </c>
      <c r="AJ891" s="473">
        <v>0</v>
      </c>
      <c r="AK891" s="473">
        <v>0</v>
      </c>
      <c r="AL891" s="473">
        <v>0</v>
      </c>
      <c r="AM891" s="473">
        <v>0</v>
      </c>
      <c r="AN891" s="473">
        <v>0</v>
      </c>
      <c r="AO891" s="473">
        <v>0</v>
      </c>
      <c r="AP891" s="473">
        <v>0</v>
      </c>
      <c r="AQ891" s="473">
        <v>1800</v>
      </c>
      <c r="AR891" s="473">
        <v>9438</v>
      </c>
      <c r="AS891" s="473">
        <v>0</v>
      </c>
      <c r="AT891" s="473">
        <v>200</v>
      </c>
      <c r="AU891" s="473"/>
      <c r="AV891" s="473">
        <v>38817</v>
      </c>
      <c r="AW891" s="474">
        <v>38817</v>
      </c>
      <c r="AX891" s="473">
        <v>0</v>
      </c>
      <c r="AY891" s="473">
        <v>0</v>
      </c>
      <c r="AZ891" s="475">
        <v>0</v>
      </c>
      <c r="BA891" s="475">
        <v>200</v>
      </c>
      <c r="BB891" s="475">
        <v>1800</v>
      </c>
      <c r="BC891" s="475">
        <v>0</v>
      </c>
      <c r="BD891" s="475">
        <v>0</v>
      </c>
      <c r="BE891" s="475">
        <v>0</v>
      </c>
      <c r="BF891" s="475">
        <v>0</v>
      </c>
      <c r="BG891" s="475">
        <v>2000</v>
      </c>
      <c r="BH891" s="476">
        <v>36817</v>
      </c>
      <c r="BI891" s="467"/>
      <c r="BJ891" s="468"/>
    </row>
    <row r="892" spans="1:62">
      <c r="A892" s="469">
        <v>46023</v>
      </c>
      <c r="B892" s="469" t="s">
        <v>747</v>
      </c>
      <c r="C892" s="508"/>
      <c r="D892" s="470" t="s">
        <v>749</v>
      </c>
      <c r="E892" s="471">
        <v>2275</v>
      </c>
      <c r="F892" s="470" t="s">
        <v>1425</v>
      </c>
      <c r="G892" s="470" t="s">
        <v>812</v>
      </c>
      <c r="H892" s="470"/>
      <c r="I892" s="470" t="s">
        <v>1426</v>
      </c>
      <c r="J892" s="472" t="s">
        <v>1427</v>
      </c>
      <c r="K892" s="470" t="s">
        <v>1428</v>
      </c>
      <c r="L892" s="470" t="s">
        <v>824</v>
      </c>
      <c r="M892" s="470" t="s">
        <v>824</v>
      </c>
      <c r="N892" s="470" t="s">
        <v>1275</v>
      </c>
      <c r="O892" s="472" t="s">
        <v>1276</v>
      </c>
      <c r="P892" s="472" t="s">
        <v>738</v>
      </c>
      <c r="Q892" s="472" t="s">
        <v>758</v>
      </c>
      <c r="R892" s="472" t="s">
        <v>12</v>
      </c>
      <c r="S892" s="472" t="s">
        <v>12</v>
      </c>
      <c r="T892" s="472" t="s">
        <v>1429</v>
      </c>
      <c r="U892" s="470" t="s">
        <v>1430</v>
      </c>
      <c r="V892" s="470" t="s">
        <v>761</v>
      </c>
      <c r="W892" s="470" t="s">
        <v>1361</v>
      </c>
      <c r="X892" s="470">
        <v>31</v>
      </c>
      <c r="Y892" s="470">
        <v>0</v>
      </c>
      <c r="Z892" s="470">
        <v>1</v>
      </c>
      <c r="AA892" s="470">
        <v>30</v>
      </c>
      <c r="AB892" s="470">
        <v>30</v>
      </c>
      <c r="AC892" s="473">
        <v>44033</v>
      </c>
      <c r="AD892" s="473">
        <v>44033</v>
      </c>
      <c r="AE892" s="473">
        <v>19176</v>
      </c>
      <c r="AF892" s="473">
        <v>7670</v>
      </c>
      <c r="AG892" s="473">
        <v>1548</v>
      </c>
      <c r="AH892" s="473">
        <v>194</v>
      </c>
      <c r="AI892" s="473">
        <v>1210</v>
      </c>
      <c r="AJ892" s="473">
        <v>1597</v>
      </c>
      <c r="AK892" s="473">
        <v>3835</v>
      </c>
      <c r="AL892" s="473">
        <v>2876</v>
      </c>
      <c r="AM892" s="473">
        <v>192</v>
      </c>
      <c r="AN892" s="473">
        <v>671</v>
      </c>
      <c r="AO892" s="473">
        <v>384</v>
      </c>
      <c r="AP892" s="473">
        <v>96</v>
      </c>
      <c r="AQ892" s="473">
        <v>1800</v>
      </c>
      <c r="AR892" s="473">
        <v>1364</v>
      </c>
      <c r="AS892" s="473">
        <v>0</v>
      </c>
      <c r="AT892" s="473">
        <v>0</v>
      </c>
      <c r="AU892" s="473"/>
      <c r="AV892" s="473">
        <v>42613</v>
      </c>
      <c r="AW892" s="474">
        <v>42613</v>
      </c>
      <c r="AX892" s="473">
        <v>0</v>
      </c>
      <c r="AY892" s="473">
        <v>0</v>
      </c>
      <c r="AZ892" s="475">
        <v>0</v>
      </c>
      <c r="BA892" s="475">
        <v>200</v>
      </c>
      <c r="BB892" s="475">
        <v>1800</v>
      </c>
      <c r="BC892" s="475">
        <v>0</v>
      </c>
      <c r="BD892" s="475">
        <v>0</v>
      </c>
      <c r="BE892" s="475">
        <v>0</v>
      </c>
      <c r="BF892" s="475">
        <v>0</v>
      </c>
      <c r="BG892" s="475">
        <v>2000</v>
      </c>
      <c r="BH892" s="476">
        <v>40613</v>
      </c>
      <c r="BI892" s="467"/>
      <c r="BJ892" s="468"/>
    </row>
    <row r="893" spans="1:62">
      <c r="A893" s="469">
        <v>46023</v>
      </c>
      <c r="B893" s="469" t="s">
        <v>747</v>
      </c>
      <c r="C893" s="508"/>
      <c r="D893" s="470" t="s">
        <v>749</v>
      </c>
      <c r="E893" s="471">
        <v>1484</v>
      </c>
      <c r="F893" s="470" t="s">
        <v>811</v>
      </c>
      <c r="G893" s="470" t="s">
        <v>812</v>
      </c>
      <c r="H893" s="470"/>
      <c r="I893" s="470" t="s">
        <v>813</v>
      </c>
      <c r="J893" s="472" t="s">
        <v>814</v>
      </c>
      <c r="K893" s="470" t="s">
        <v>815</v>
      </c>
      <c r="L893" s="470" t="s">
        <v>1292</v>
      </c>
      <c r="M893" s="470" t="s">
        <v>1292</v>
      </c>
      <c r="N893" s="470" t="s">
        <v>1275</v>
      </c>
      <c r="O893" s="472" t="s">
        <v>792</v>
      </c>
      <c r="P893" s="472" t="s">
        <v>738</v>
      </c>
      <c r="Q893" s="472" t="s">
        <v>758</v>
      </c>
      <c r="R893" s="472" t="s">
        <v>12</v>
      </c>
      <c r="S893" s="472" t="s">
        <v>12</v>
      </c>
      <c r="T893" s="472" t="s">
        <v>818</v>
      </c>
      <c r="U893" s="470" t="s">
        <v>819</v>
      </c>
      <c r="V893" s="470" t="s">
        <v>761</v>
      </c>
      <c r="W893" s="470" t="s">
        <v>762</v>
      </c>
      <c r="X893" s="470">
        <v>31</v>
      </c>
      <c r="Y893" s="470">
        <v>0</v>
      </c>
      <c r="Z893" s="470">
        <v>1</v>
      </c>
      <c r="AA893" s="470">
        <v>0</v>
      </c>
      <c r="AB893" s="470">
        <v>0</v>
      </c>
      <c r="AC893" s="473">
        <v>111343</v>
      </c>
      <c r="AD893" s="473">
        <v>111343</v>
      </c>
      <c r="AE893" s="473">
        <v>0</v>
      </c>
      <c r="AF893" s="473">
        <v>0</v>
      </c>
      <c r="AG893" s="473">
        <v>0</v>
      </c>
      <c r="AH893" s="473">
        <v>194</v>
      </c>
      <c r="AI893" s="473">
        <v>0</v>
      </c>
      <c r="AJ893" s="473">
        <v>0</v>
      </c>
      <c r="AK893" s="473">
        <v>0</v>
      </c>
      <c r="AL893" s="473">
        <v>0</v>
      </c>
      <c r="AM893" s="473">
        <v>0</v>
      </c>
      <c r="AN893" s="473">
        <v>0</v>
      </c>
      <c r="AO893" s="473">
        <v>0</v>
      </c>
      <c r="AP893" s="473">
        <v>0</v>
      </c>
      <c r="AQ893" s="473">
        <v>0</v>
      </c>
      <c r="AR893" s="473">
        <v>-194</v>
      </c>
      <c r="AS893" s="473">
        <v>0</v>
      </c>
      <c r="AT893" s="473">
        <v>0</v>
      </c>
      <c r="AU893" s="473"/>
      <c r="AV893" s="473">
        <v>0</v>
      </c>
      <c r="AW893" s="474">
        <v>0</v>
      </c>
      <c r="AX893" s="473">
        <v>0</v>
      </c>
      <c r="AY893" s="473">
        <v>0</v>
      </c>
      <c r="AZ893" s="475">
        <v>0</v>
      </c>
      <c r="BA893" s="475">
        <v>0</v>
      </c>
      <c r="BB893" s="475">
        <v>0</v>
      </c>
      <c r="BC893" s="475">
        <v>0</v>
      </c>
      <c r="BD893" s="475">
        <v>0</v>
      </c>
      <c r="BE893" s="475">
        <v>0</v>
      </c>
      <c r="BF893" s="475">
        <v>0</v>
      </c>
      <c r="BG893" s="475">
        <v>0</v>
      </c>
      <c r="BH893" s="476">
        <v>0</v>
      </c>
      <c r="BI893" s="467"/>
      <c r="BJ893" s="468"/>
    </row>
    <row r="894" spans="1:62">
      <c r="A894" s="469">
        <v>46023</v>
      </c>
      <c r="B894" s="469" t="s">
        <v>747</v>
      </c>
      <c r="C894" s="508"/>
      <c r="D894" s="470" t="s">
        <v>749</v>
      </c>
      <c r="E894" s="471">
        <v>2291</v>
      </c>
      <c r="F894" s="470" t="s">
        <v>1515</v>
      </c>
      <c r="G894" s="470" t="s">
        <v>751</v>
      </c>
      <c r="H894" s="470"/>
      <c r="I894" s="470" t="s">
        <v>1516</v>
      </c>
      <c r="J894" s="472" t="s">
        <v>1517</v>
      </c>
      <c r="K894" s="470" t="s">
        <v>1518</v>
      </c>
      <c r="L894" s="470" t="s">
        <v>1519</v>
      </c>
      <c r="M894" s="470" t="s">
        <v>1305</v>
      </c>
      <c r="N894" s="470" t="s">
        <v>777</v>
      </c>
      <c r="O894" s="472" t="s">
        <v>757</v>
      </c>
      <c r="P894" s="472" t="s">
        <v>738</v>
      </c>
      <c r="Q894" s="472" t="s">
        <v>758</v>
      </c>
      <c r="R894" s="472" t="s">
        <v>12</v>
      </c>
      <c r="S894" s="472" t="s">
        <v>12</v>
      </c>
      <c r="T894" s="472" t="s">
        <v>1520</v>
      </c>
      <c r="U894" s="470" t="s">
        <v>1521</v>
      </c>
      <c r="V894" s="470" t="s">
        <v>761</v>
      </c>
      <c r="W894" s="470" t="s">
        <v>762</v>
      </c>
      <c r="X894" s="470">
        <v>31</v>
      </c>
      <c r="Y894" s="470">
        <v>0</v>
      </c>
      <c r="Z894" s="470">
        <v>4</v>
      </c>
      <c r="AA894" s="470">
        <v>27</v>
      </c>
      <c r="AB894" s="470">
        <v>27</v>
      </c>
      <c r="AC894" s="473">
        <v>85700</v>
      </c>
      <c r="AD894" s="473">
        <v>85700</v>
      </c>
      <c r="AE894" s="473">
        <v>33589</v>
      </c>
      <c r="AF894" s="473">
        <v>13436</v>
      </c>
      <c r="AG894" s="473">
        <v>1394</v>
      </c>
      <c r="AH894" s="473">
        <v>174</v>
      </c>
      <c r="AI894" s="473">
        <v>1089</v>
      </c>
      <c r="AJ894" s="473">
        <v>2798</v>
      </c>
      <c r="AK894" s="473">
        <v>6718</v>
      </c>
      <c r="AL894" s="473">
        <v>5038</v>
      </c>
      <c r="AM894" s="473">
        <v>336</v>
      </c>
      <c r="AN894" s="473">
        <v>1176</v>
      </c>
      <c r="AO894" s="473">
        <v>672</v>
      </c>
      <c r="AP894" s="473">
        <v>168</v>
      </c>
      <c r="AQ894" s="473">
        <v>1800</v>
      </c>
      <c r="AR894" s="473">
        <v>6254</v>
      </c>
      <c r="AS894" s="473">
        <v>0</v>
      </c>
      <c r="AT894" s="473">
        <v>0</v>
      </c>
      <c r="AU894" s="473"/>
      <c r="AV894" s="473">
        <v>74642</v>
      </c>
      <c r="AW894" s="474">
        <v>74642</v>
      </c>
      <c r="AX894" s="473">
        <v>0</v>
      </c>
      <c r="AY894" s="473">
        <v>0</v>
      </c>
      <c r="AZ894" s="475">
        <v>0</v>
      </c>
      <c r="BA894" s="475">
        <v>200</v>
      </c>
      <c r="BB894" s="475">
        <v>1800</v>
      </c>
      <c r="BC894" s="475">
        <v>0</v>
      </c>
      <c r="BD894" s="475">
        <v>0</v>
      </c>
      <c r="BE894" s="475">
        <v>0</v>
      </c>
      <c r="BF894" s="475">
        <v>0</v>
      </c>
      <c r="BG894" s="475">
        <v>2000</v>
      </c>
      <c r="BH894" s="476">
        <v>72642</v>
      </c>
      <c r="BI894" s="467"/>
      <c r="BJ894" s="468"/>
    </row>
    <row r="895" spans="1:62">
      <c r="A895" s="469">
        <v>46023</v>
      </c>
      <c r="B895" s="469" t="s">
        <v>747</v>
      </c>
      <c r="C895" s="508"/>
      <c r="D895" s="470" t="s">
        <v>749</v>
      </c>
      <c r="E895" s="471">
        <v>2271</v>
      </c>
      <c r="F895" s="470" t="s">
        <v>1431</v>
      </c>
      <c r="G895" s="470" t="s">
        <v>751</v>
      </c>
      <c r="H895" s="470"/>
      <c r="I895" s="470" t="s">
        <v>1426</v>
      </c>
      <c r="J895" s="472" t="s">
        <v>1432</v>
      </c>
      <c r="K895" s="470" t="s">
        <v>1433</v>
      </c>
      <c r="L895" s="470" t="s">
        <v>824</v>
      </c>
      <c r="M895" s="470" t="s">
        <v>824</v>
      </c>
      <c r="N895" s="470" t="s">
        <v>1275</v>
      </c>
      <c r="O895" s="472" t="s">
        <v>1276</v>
      </c>
      <c r="P895" s="472" t="s">
        <v>738</v>
      </c>
      <c r="Q895" s="472" t="s">
        <v>758</v>
      </c>
      <c r="R895" s="472" t="s">
        <v>12</v>
      </c>
      <c r="S895" s="472" t="s">
        <v>12</v>
      </c>
      <c r="T895" s="472" t="s">
        <v>1434</v>
      </c>
      <c r="U895" s="470" t="s">
        <v>1435</v>
      </c>
      <c r="V895" s="470" t="s">
        <v>761</v>
      </c>
      <c r="W895" s="470" t="s">
        <v>1361</v>
      </c>
      <c r="X895" s="470">
        <v>31</v>
      </c>
      <c r="Y895" s="470">
        <v>0</v>
      </c>
      <c r="Z895" s="470">
        <v>0</v>
      </c>
      <c r="AA895" s="470">
        <v>31</v>
      </c>
      <c r="AB895" s="470">
        <v>31</v>
      </c>
      <c r="AC895" s="473">
        <v>44033</v>
      </c>
      <c r="AD895" s="473">
        <v>44033</v>
      </c>
      <c r="AE895" s="473">
        <v>19815</v>
      </c>
      <c r="AF895" s="473">
        <v>7926</v>
      </c>
      <c r="AG895" s="473">
        <v>1600</v>
      </c>
      <c r="AH895" s="473">
        <v>200</v>
      </c>
      <c r="AI895" s="473">
        <v>1250</v>
      </c>
      <c r="AJ895" s="473">
        <v>1651</v>
      </c>
      <c r="AK895" s="473">
        <v>3963</v>
      </c>
      <c r="AL895" s="473">
        <v>2972</v>
      </c>
      <c r="AM895" s="473">
        <v>198</v>
      </c>
      <c r="AN895" s="473">
        <v>694</v>
      </c>
      <c r="AO895" s="473">
        <v>396</v>
      </c>
      <c r="AP895" s="473">
        <v>99</v>
      </c>
      <c r="AQ895" s="473">
        <v>1800</v>
      </c>
      <c r="AR895" s="473">
        <v>1469</v>
      </c>
      <c r="AS895" s="473">
        <v>0</v>
      </c>
      <c r="AT895" s="473">
        <v>0</v>
      </c>
      <c r="AU895" s="473"/>
      <c r="AV895" s="473">
        <v>44033</v>
      </c>
      <c r="AW895" s="474">
        <v>44033</v>
      </c>
      <c r="AX895" s="473">
        <v>0</v>
      </c>
      <c r="AY895" s="473">
        <v>0</v>
      </c>
      <c r="AZ895" s="475">
        <v>0</v>
      </c>
      <c r="BA895" s="475">
        <v>200</v>
      </c>
      <c r="BB895" s="475">
        <v>1800</v>
      </c>
      <c r="BC895" s="475">
        <v>0</v>
      </c>
      <c r="BD895" s="475">
        <v>0</v>
      </c>
      <c r="BE895" s="475">
        <v>0</v>
      </c>
      <c r="BF895" s="475">
        <v>0</v>
      </c>
      <c r="BG895" s="475">
        <v>2000</v>
      </c>
      <c r="BH895" s="476">
        <v>42033</v>
      </c>
      <c r="BI895" s="467"/>
      <c r="BJ895" s="468"/>
    </row>
    <row r="896" spans="1:62">
      <c r="A896" s="469">
        <v>46023</v>
      </c>
      <c r="B896" s="469" t="s">
        <v>747</v>
      </c>
      <c r="C896" s="508"/>
      <c r="D896" s="470" t="s">
        <v>749</v>
      </c>
      <c r="E896" s="471">
        <v>2216</v>
      </c>
      <c r="F896" s="470" t="s">
        <v>1339</v>
      </c>
      <c r="G896" s="470" t="s">
        <v>751</v>
      </c>
      <c r="H896" s="470"/>
      <c r="I896" s="470" t="s">
        <v>1340</v>
      </c>
      <c r="J896" s="472" t="s">
        <v>1341</v>
      </c>
      <c r="K896" s="470" t="s">
        <v>1342</v>
      </c>
      <c r="L896" s="470" t="s">
        <v>1305</v>
      </c>
      <c r="M896" s="470" t="s">
        <v>1305</v>
      </c>
      <c r="N896" s="470" t="s">
        <v>1108</v>
      </c>
      <c r="O896" s="472" t="s">
        <v>757</v>
      </c>
      <c r="P896" s="472" t="s">
        <v>738</v>
      </c>
      <c r="Q896" s="472" t="s">
        <v>758</v>
      </c>
      <c r="R896" s="472" t="s">
        <v>12</v>
      </c>
      <c r="S896" s="472" t="s">
        <v>12</v>
      </c>
      <c r="T896" s="472" t="s">
        <v>1343</v>
      </c>
      <c r="U896" s="470" t="s">
        <v>1344</v>
      </c>
      <c r="V896" s="470" t="s">
        <v>761</v>
      </c>
      <c r="W896" s="470" t="s">
        <v>1301</v>
      </c>
      <c r="X896" s="470">
        <v>31</v>
      </c>
      <c r="Y896" s="470">
        <v>0</v>
      </c>
      <c r="Z896" s="470">
        <v>2.5</v>
      </c>
      <c r="AA896" s="470">
        <v>18.5</v>
      </c>
      <c r="AB896" s="470">
        <v>18.5</v>
      </c>
      <c r="AC896" s="473">
        <v>65700</v>
      </c>
      <c r="AD896" s="473">
        <v>65700</v>
      </c>
      <c r="AE896" s="473">
        <v>17644</v>
      </c>
      <c r="AF896" s="473">
        <v>7058</v>
      </c>
      <c r="AG896" s="473">
        <v>955</v>
      </c>
      <c r="AH896" s="473">
        <v>184</v>
      </c>
      <c r="AI896" s="473">
        <v>746</v>
      </c>
      <c r="AJ896" s="473">
        <v>1470</v>
      </c>
      <c r="AK896" s="473">
        <v>3529</v>
      </c>
      <c r="AL896" s="473">
        <v>2647</v>
      </c>
      <c r="AM896" s="473">
        <v>176</v>
      </c>
      <c r="AN896" s="473">
        <v>618</v>
      </c>
      <c r="AO896" s="473">
        <v>353</v>
      </c>
      <c r="AP896" s="473">
        <v>88</v>
      </c>
      <c r="AQ896" s="473">
        <v>1800</v>
      </c>
      <c r="AR896" s="473">
        <v>1940</v>
      </c>
      <c r="AS896" s="473">
        <v>0</v>
      </c>
      <c r="AT896" s="473">
        <v>0</v>
      </c>
      <c r="AU896" s="473"/>
      <c r="AV896" s="473">
        <v>39208</v>
      </c>
      <c r="AW896" s="474">
        <v>39208</v>
      </c>
      <c r="AX896" s="473">
        <v>0</v>
      </c>
      <c r="AY896" s="473">
        <v>0</v>
      </c>
      <c r="AZ896" s="475">
        <v>0</v>
      </c>
      <c r="BA896" s="475">
        <v>200</v>
      </c>
      <c r="BB896" s="475">
        <v>1800</v>
      </c>
      <c r="BC896" s="475">
        <v>0</v>
      </c>
      <c r="BD896" s="475">
        <v>0</v>
      </c>
      <c r="BE896" s="475">
        <v>0</v>
      </c>
      <c r="BF896" s="475">
        <v>0</v>
      </c>
      <c r="BG896" s="475">
        <v>2000</v>
      </c>
      <c r="BH896" s="476">
        <v>37208</v>
      </c>
      <c r="BI896" s="467" t="s">
        <v>1368</v>
      </c>
      <c r="BJ896" s="468"/>
    </row>
    <row r="897" spans="1:62">
      <c r="A897" s="469">
        <v>46023</v>
      </c>
      <c r="B897" s="469" t="s">
        <v>747</v>
      </c>
      <c r="C897" s="508"/>
      <c r="D897" s="470" t="s">
        <v>749</v>
      </c>
      <c r="E897" s="471">
        <v>2247</v>
      </c>
      <c r="F897" s="470" t="s">
        <v>1388</v>
      </c>
      <c r="G897" s="470" t="s">
        <v>751</v>
      </c>
      <c r="H897" s="470"/>
      <c r="I897" s="470" t="s">
        <v>1389</v>
      </c>
      <c r="J897" s="472" t="s">
        <v>1390</v>
      </c>
      <c r="K897" s="470" t="s">
        <v>1391</v>
      </c>
      <c r="L897" s="470" t="s">
        <v>1293</v>
      </c>
      <c r="M897" s="470" t="s">
        <v>1293</v>
      </c>
      <c r="N897" s="470" t="s">
        <v>756</v>
      </c>
      <c r="O897" s="472" t="s">
        <v>757</v>
      </c>
      <c r="P897" s="472" t="s">
        <v>738</v>
      </c>
      <c r="Q897" s="472" t="s">
        <v>758</v>
      </c>
      <c r="R897" s="472" t="s">
        <v>12</v>
      </c>
      <c r="S897" s="472" t="s">
        <v>12</v>
      </c>
      <c r="T897" s="472" t="s">
        <v>1392</v>
      </c>
      <c r="U897" s="470" t="s">
        <v>1393</v>
      </c>
      <c r="V897" s="470" t="s">
        <v>761</v>
      </c>
      <c r="W897" s="470" t="s">
        <v>1394</v>
      </c>
      <c r="X897" s="470">
        <v>31</v>
      </c>
      <c r="Y897" s="470">
        <v>0</v>
      </c>
      <c r="Z897" s="470">
        <v>0</v>
      </c>
      <c r="AA897" s="470">
        <v>31</v>
      </c>
      <c r="AB897" s="470">
        <v>31</v>
      </c>
      <c r="AC897" s="473">
        <v>88200</v>
      </c>
      <c r="AD897" s="473">
        <v>88200</v>
      </c>
      <c r="AE897" s="473">
        <v>39690</v>
      </c>
      <c r="AF897" s="473">
        <v>15876</v>
      </c>
      <c r="AG897" s="473">
        <v>1600</v>
      </c>
      <c r="AH897" s="473">
        <v>200</v>
      </c>
      <c r="AI897" s="473">
        <v>1250</v>
      </c>
      <c r="AJ897" s="473">
        <v>3306</v>
      </c>
      <c r="AK897" s="473">
        <v>7938</v>
      </c>
      <c r="AL897" s="473">
        <v>5954</v>
      </c>
      <c r="AM897" s="473">
        <v>397</v>
      </c>
      <c r="AN897" s="473">
        <v>1389</v>
      </c>
      <c r="AO897" s="473">
        <v>794</v>
      </c>
      <c r="AP897" s="473">
        <v>198</v>
      </c>
      <c r="AQ897" s="473">
        <v>1800</v>
      </c>
      <c r="AR897" s="473">
        <v>7808</v>
      </c>
      <c r="AS897" s="473">
        <v>0</v>
      </c>
      <c r="AT897" s="473">
        <v>200</v>
      </c>
      <c r="AU897" s="473"/>
      <c r="AV897" s="473">
        <v>88400</v>
      </c>
      <c r="AW897" s="474">
        <v>88400</v>
      </c>
      <c r="AX897" s="473">
        <v>0</v>
      </c>
      <c r="AY897" s="473">
        <v>0</v>
      </c>
      <c r="AZ897" s="475">
        <v>0</v>
      </c>
      <c r="BA897" s="475">
        <v>200</v>
      </c>
      <c r="BB897" s="475">
        <v>1800</v>
      </c>
      <c r="BC897" s="475">
        <v>0</v>
      </c>
      <c r="BD897" s="475">
        <v>0</v>
      </c>
      <c r="BE897" s="475">
        <v>0</v>
      </c>
      <c r="BF897" s="475">
        <v>0</v>
      </c>
      <c r="BG897" s="475">
        <v>2000</v>
      </c>
      <c r="BH897" s="476">
        <v>86400</v>
      </c>
      <c r="BI897" s="467"/>
      <c r="BJ897" s="468"/>
    </row>
    <row r="898" spans="1:62">
      <c r="A898" s="469">
        <v>46023</v>
      </c>
      <c r="B898" s="469" t="s">
        <v>747</v>
      </c>
      <c r="C898" s="508"/>
      <c r="D898" s="470" t="s">
        <v>749</v>
      </c>
      <c r="E898" s="471">
        <v>1599</v>
      </c>
      <c r="F898" s="470" t="s">
        <v>820</v>
      </c>
      <c r="G898" s="470" t="s">
        <v>751</v>
      </c>
      <c r="H898" s="470"/>
      <c r="I898" s="470" t="s">
        <v>821</v>
      </c>
      <c r="J898" s="472" t="s">
        <v>822</v>
      </c>
      <c r="K898" s="470" t="s">
        <v>823</v>
      </c>
      <c r="L898" s="470" t="s">
        <v>1345</v>
      </c>
      <c r="M898" s="470" t="s">
        <v>1345</v>
      </c>
      <c r="N898" s="470" t="s">
        <v>1275</v>
      </c>
      <c r="O898" s="472" t="s">
        <v>757</v>
      </c>
      <c r="P898" s="472" t="s">
        <v>738</v>
      </c>
      <c r="Q898" s="472" t="s">
        <v>758</v>
      </c>
      <c r="R898" s="472" t="s">
        <v>12</v>
      </c>
      <c r="S898" s="472" t="s">
        <v>12</v>
      </c>
      <c r="T898" s="472" t="s">
        <v>825</v>
      </c>
      <c r="U898" s="470" t="s">
        <v>826</v>
      </c>
      <c r="V898" s="470" t="s">
        <v>761</v>
      </c>
      <c r="W898" s="470" t="s">
        <v>827</v>
      </c>
      <c r="X898" s="470">
        <v>31</v>
      </c>
      <c r="Y898" s="470">
        <v>0</v>
      </c>
      <c r="Z898" s="470">
        <v>0</v>
      </c>
      <c r="AA898" s="470">
        <v>31</v>
      </c>
      <c r="AB898" s="470">
        <v>31</v>
      </c>
      <c r="AC898" s="473">
        <v>51640</v>
      </c>
      <c r="AD898" s="473">
        <v>51640</v>
      </c>
      <c r="AE898" s="473">
        <v>23238</v>
      </c>
      <c r="AF898" s="473">
        <v>9295</v>
      </c>
      <c r="AG898" s="473">
        <v>1600</v>
      </c>
      <c r="AH898" s="473">
        <v>200</v>
      </c>
      <c r="AI898" s="473">
        <v>1250</v>
      </c>
      <c r="AJ898" s="473">
        <v>1936</v>
      </c>
      <c r="AK898" s="473">
        <v>4648</v>
      </c>
      <c r="AL898" s="473">
        <v>3486</v>
      </c>
      <c r="AM898" s="473">
        <v>232</v>
      </c>
      <c r="AN898" s="473">
        <v>813</v>
      </c>
      <c r="AO898" s="473">
        <v>465</v>
      </c>
      <c r="AP898" s="473">
        <v>116</v>
      </c>
      <c r="AQ898" s="473">
        <v>1800</v>
      </c>
      <c r="AR898" s="473">
        <v>2561</v>
      </c>
      <c r="AS898" s="473">
        <v>0</v>
      </c>
      <c r="AT898" s="473">
        <v>0</v>
      </c>
      <c r="AU898" s="473">
        <v>2260</v>
      </c>
      <c r="AV898" s="473">
        <v>53900</v>
      </c>
      <c r="AW898" s="474">
        <v>51640</v>
      </c>
      <c r="AX898" s="473">
        <v>0</v>
      </c>
      <c r="AY898" s="473">
        <v>0</v>
      </c>
      <c r="AZ898" s="475">
        <v>0</v>
      </c>
      <c r="BA898" s="475">
        <v>200</v>
      </c>
      <c r="BB898" s="475">
        <v>1800</v>
      </c>
      <c r="BC898" s="475">
        <v>0</v>
      </c>
      <c r="BD898" s="475">
        <v>0</v>
      </c>
      <c r="BE898" s="475">
        <v>0</v>
      </c>
      <c r="BF898" s="475">
        <v>0</v>
      </c>
      <c r="BG898" s="475">
        <v>2000</v>
      </c>
      <c r="BH898" s="476">
        <v>51900</v>
      </c>
      <c r="BI898" s="467"/>
      <c r="BJ898" s="468"/>
    </row>
    <row r="899" spans="1:62">
      <c r="A899" s="469">
        <v>46023</v>
      </c>
      <c r="B899" s="469" t="s">
        <v>747</v>
      </c>
      <c r="C899" s="508"/>
      <c r="D899" s="470" t="s">
        <v>749</v>
      </c>
      <c r="E899" s="471">
        <v>1180</v>
      </c>
      <c r="F899" s="470" t="s">
        <v>828</v>
      </c>
      <c r="G899" s="470" t="s">
        <v>751</v>
      </c>
      <c r="H899" s="470"/>
      <c r="I899" s="470" t="s">
        <v>829</v>
      </c>
      <c r="J899" s="472" t="s">
        <v>830</v>
      </c>
      <c r="K899" s="470" t="s">
        <v>831</v>
      </c>
      <c r="L899" s="470" t="s">
        <v>832</v>
      </c>
      <c r="M899" s="470" t="s">
        <v>832</v>
      </c>
      <c r="N899" s="470" t="s">
        <v>833</v>
      </c>
      <c r="O899" s="472" t="s">
        <v>757</v>
      </c>
      <c r="P899" s="472" t="s">
        <v>738</v>
      </c>
      <c r="Q899" s="472" t="s">
        <v>758</v>
      </c>
      <c r="R899" s="472" t="s">
        <v>12</v>
      </c>
      <c r="S899" s="472" t="s">
        <v>12</v>
      </c>
      <c r="T899" s="472" t="s">
        <v>834</v>
      </c>
      <c r="U899" s="470" t="s">
        <v>835</v>
      </c>
      <c r="V899" s="470" t="s">
        <v>836</v>
      </c>
      <c r="W899" s="470" t="s">
        <v>837</v>
      </c>
      <c r="X899" s="470">
        <v>31</v>
      </c>
      <c r="Y899" s="470">
        <v>0</v>
      </c>
      <c r="Z899" s="470">
        <v>0</v>
      </c>
      <c r="AA899" s="470">
        <v>31</v>
      </c>
      <c r="AB899" s="470">
        <v>31</v>
      </c>
      <c r="AC899" s="473">
        <v>28042</v>
      </c>
      <c r="AD899" s="473">
        <v>28042</v>
      </c>
      <c r="AE899" s="473">
        <v>12619</v>
      </c>
      <c r="AF899" s="473">
        <v>5048</v>
      </c>
      <c r="AG899" s="473">
        <v>1600</v>
      </c>
      <c r="AH899" s="473">
        <v>200</v>
      </c>
      <c r="AI899" s="473">
        <v>1250</v>
      </c>
      <c r="AJ899" s="473">
        <v>0</v>
      </c>
      <c r="AK899" s="473">
        <v>0</v>
      </c>
      <c r="AL899" s="473">
        <v>0</v>
      </c>
      <c r="AM899" s="473">
        <v>0</v>
      </c>
      <c r="AN899" s="473">
        <v>0</v>
      </c>
      <c r="AO899" s="473">
        <v>0</v>
      </c>
      <c r="AP899" s="473">
        <v>0</v>
      </c>
      <c r="AQ899" s="473">
        <v>1514</v>
      </c>
      <c r="AR899" s="473">
        <v>5811</v>
      </c>
      <c r="AS899" s="473">
        <v>0</v>
      </c>
      <c r="AT899" s="473">
        <v>0</v>
      </c>
      <c r="AU899" s="473">
        <v>2453</v>
      </c>
      <c r="AV899" s="473">
        <v>30495</v>
      </c>
      <c r="AW899" s="474">
        <v>28042</v>
      </c>
      <c r="AX899" s="473">
        <v>0</v>
      </c>
      <c r="AY899" s="473">
        <v>0</v>
      </c>
      <c r="AZ899" s="475">
        <v>0</v>
      </c>
      <c r="BA899" s="475">
        <v>200</v>
      </c>
      <c r="BB899" s="475">
        <v>1514</v>
      </c>
      <c r="BC899" s="475">
        <v>0</v>
      </c>
      <c r="BD899" s="475">
        <v>0</v>
      </c>
      <c r="BE899" s="475">
        <v>0</v>
      </c>
      <c r="BF899" s="475">
        <v>0</v>
      </c>
      <c r="BG899" s="475">
        <v>1714</v>
      </c>
      <c r="BH899" s="476">
        <v>28781</v>
      </c>
      <c r="BI899" s="467"/>
      <c r="BJ899" s="468"/>
    </row>
    <row r="900" spans="1:62">
      <c r="A900" s="469">
        <v>46023</v>
      </c>
      <c r="B900" s="469" t="s">
        <v>747</v>
      </c>
      <c r="C900" s="508"/>
      <c r="D900" s="470" t="s">
        <v>749</v>
      </c>
      <c r="E900" s="471">
        <v>48</v>
      </c>
      <c r="F900" s="470" t="s">
        <v>838</v>
      </c>
      <c r="G900" s="470" t="s">
        <v>751</v>
      </c>
      <c r="H900" s="470"/>
      <c r="I900" s="470" t="s">
        <v>839</v>
      </c>
      <c r="J900" s="472" t="s">
        <v>840</v>
      </c>
      <c r="K900" s="470" t="s">
        <v>841</v>
      </c>
      <c r="L900" s="470" t="s">
        <v>842</v>
      </c>
      <c r="M900" s="470" t="s">
        <v>842</v>
      </c>
      <c r="N900" s="470" t="s">
        <v>1275</v>
      </c>
      <c r="O900" s="472" t="s">
        <v>792</v>
      </c>
      <c r="P900" s="472" t="s">
        <v>738</v>
      </c>
      <c r="Q900" s="472" t="s">
        <v>758</v>
      </c>
      <c r="R900" s="472" t="s">
        <v>12</v>
      </c>
      <c r="S900" s="472" t="s">
        <v>12</v>
      </c>
      <c r="T900" s="472" t="s">
        <v>843</v>
      </c>
      <c r="U900" s="470" t="s">
        <v>844</v>
      </c>
      <c r="V900" s="470" t="s">
        <v>761</v>
      </c>
      <c r="W900" s="470" t="s">
        <v>845</v>
      </c>
      <c r="X900" s="470">
        <v>31</v>
      </c>
      <c r="Y900" s="470">
        <v>0</v>
      </c>
      <c r="Z900" s="470">
        <v>1.5</v>
      </c>
      <c r="AA900" s="470">
        <v>29.5</v>
      </c>
      <c r="AB900" s="470">
        <v>29.5</v>
      </c>
      <c r="AC900" s="473">
        <v>107967</v>
      </c>
      <c r="AD900" s="473">
        <v>107967</v>
      </c>
      <c r="AE900" s="473">
        <v>46234</v>
      </c>
      <c r="AF900" s="473">
        <v>18494</v>
      </c>
      <c r="AG900" s="473">
        <v>1523</v>
      </c>
      <c r="AH900" s="473">
        <v>190</v>
      </c>
      <c r="AI900" s="473">
        <v>1190</v>
      </c>
      <c r="AJ900" s="473">
        <v>3851</v>
      </c>
      <c r="AK900" s="473">
        <v>9247</v>
      </c>
      <c r="AL900" s="473">
        <v>6935</v>
      </c>
      <c r="AM900" s="473">
        <v>462</v>
      </c>
      <c r="AN900" s="473">
        <v>1618</v>
      </c>
      <c r="AO900" s="473">
        <v>925</v>
      </c>
      <c r="AP900" s="473">
        <v>231</v>
      </c>
      <c r="AQ900" s="473">
        <v>1800</v>
      </c>
      <c r="AR900" s="473">
        <v>10043</v>
      </c>
      <c r="AS900" s="473">
        <v>0</v>
      </c>
      <c r="AT900" s="473">
        <v>0</v>
      </c>
      <c r="AU900" s="473"/>
      <c r="AV900" s="473">
        <v>102743</v>
      </c>
      <c r="AW900" s="474">
        <v>102743</v>
      </c>
      <c r="AX900" s="473">
        <v>0</v>
      </c>
      <c r="AY900" s="473">
        <v>0</v>
      </c>
      <c r="AZ900" s="475">
        <v>6143</v>
      </c>
      <c r="BA900" s="475">
        <v>200</v>
      </c>
      <c r="BB900" s="475">
        <v>1800</v>
      </c>
      <c r="BC900" s="475">
        <v>0</v>
      </c>
      <c r="BD900" s="475">
        <v>0</v>
      </c>
      <c r="BE900" s="475">
        <v>0</v>
      </c>
      <c r="BF900" s="475">
        <v>15000</v>
      </c>
      <c r="BG900" s="475">
        <v>23143</v>
      </c>
      <c r="BH900" s="476">
        <v>79600</v>
      </c>
      <c r="BI900" s="467"/>
      <c r="BJ900" s="468"/>
    </row>
    <row r="901" spans="1:62">
      <c r="A901" s="469">
        <v>46023</v>
      </c>
      <c r="B901" s="469" t="s">
        <v>747</v>
      </c>
      <c r="C901" s="508"/>
      <c r="D901" s="470" t="s">
        <v>749</v>
      </c>
      <c r="E901" s="471">
        <v>2246</v>
      </c>
      <c r="F901" s="470" t="s">
        <v>1395</v>
      </c>
      <c r="G901" s="470" t="s">
        <v>751</v>
      </c>
      <c r="H901" s="470"/>
      <c r="I901" s="470" t="s">
        <v>1396</v>
      </c>
      <c r="J901" s="472" t="s">
        <v>1397</v>
      </c>
      <c r="K901" s="470" t="s">
        <v>1398</v>
      </c>
      <c r="L901" s="470" t="s">
        <v>1399</v>
      </c>
      <c r="M901" s="470" t="s">
        <v>1292</v>
      </c>
      <c r="N901" s="470" t="s">
        <v>756</v>
      </c>
      <c r="O901" s="472" t="s">
        <v>792</v>
      </c>
      <c r="P901" s="472" t="s">
        <v>738</v>
      </c>
      <c r="Q901" s="472" t="s">
        <v>758</v>
      </c>
      <c r="R901" s="472" t="s">
        <v>12</v>
      </c>
      <c r="S901" s="472" t="s">
        <v>12</v>
      </c>
      <c r="T901" s="472" t="s">
        <v>1400</v>
      </c>
      <c r="U901" s="470" t="s">
        <v>1401</v>
      </c>
      <c r="V901" s="470" t="s">
        <v>761</v>
      </c>
      <c r="W901" s="470" t="s">
        <v>1387</v>
      </c>
      <c r="X901" s="470">
        <v>31</v>
      </c>
      <c r="Y901" s="470">
        <v>0</v>
      </c>
      <c r="Z901" s="470">
        <v>0</v>
      </c>
      <c r="AA901" s="470">
        <v>31</v>
      </c>
      <c r="AB901" s="470">
        <v>31</v>
      </c>
      <c r="AC901" s="473">
        <v>123200</v>
      </c>
      <c r="AD901" s="473">
        <v>123200</v>
      </c>
      <c r="AE901" s="473">
        <v>55440</v>
      </c>
      <c r="AF901" s="473">
        <v>22176</v>
      </c>
      <c r="AG901" s="473">
        <v>1600</v>
      </c>
      <c r="AH901" s="473">
        <v>200</v>
      </c>
      <c r="AI901" s="473">
        <v>1250</v>
      </c>
      <c r="AJ901" s="473">
        <v>4618</v>
      </c>
      <c r="AK901" s="473">
        <v>11088</v>
      </c>
      <c r="AL901" s="473">
        <v>8316</v>
      </c>
      <c r="AM901" s="473">
        <v>554</v>
      </c>
      <c r="AN901" s="473">
        <v>1940</v>
      </c>
      <c r="AO901" s="473">
        <v>1109</v>
      </c>
      <c r="AP901" s="473">
        <v>277</v>
      </c>
      <c r="AQ901" s="473">
        <v>1800</v>
      </c>
      <c r="AR901" s="473">
        <v>12832</v>
      </c>
      <c r="AS901" s="473">
        <v>0</v>
      </c>
      <c r="AT901" s="473">
        <v>0</v>
      </c>
      <c r="AU901" s="473"/>
      <c r="AV901" s="473">
        <v>123200</v>
      </c>
      <c r="AW901" s="474">
        <v>123200</v>
      </c>
      <c r="AX901" s="473">
        <v>0</v>
      </c>
      <c r="AY901" s="473">
        <v>0</v>
      </c>
      <c r="AZ901" s="475">
        <v>0</v>
      </c>
      <c r="BA901" s="475">
        <v>200</v>
      </c>
      <c r="BB901" s="475">
        <v>1800</v>
      </c>
      <c r="BC901" s="475">
        <v>0</v>
      </c>
      <c r="BD901" s="475">
        <v>0</v>
      </c>
      <c r="BE901" s="475">
        <v>0</v>
      </c>
      <c r="BF901" s="475">
        <v>0</v>
      </c>
      <c r="BG901" s="475">
        <v>2000</v>
      </c>
      <c r="BH901" s="476">
        <v>121200</v>
      </c>
      <c r="BI901" s="467"/>
      <c r="BJ901" s="468"/>
    </row>
    <row r="902" spans="1:62">
      <c r="A902" s="469">
        <v>46023</v>
      </c>
      <c r="B902" s="469" t="s">
        <v>747</v>
      </c>
      <c r="C902" s="508"/>
      <c r="D902" s="470" t="s">
        <v>749</v>
      </c>
      <c r="E902" s="471">
        <v>2276</v>
      </c>
      <c r="F902" s="470" t="s">
        <v>1436</v>
      </c>
      <c r="G902" s="470" t="s">
        <v>812</v>
      </c>
      <c r="H902" s="470"/>
      <c r="I902" s="470" t="s">
        <v>1426</v>
      </c>
      <c r="J902" s="472" t="s">
        <v>1437</v>
      </c>
      <c r="K902" s="470" t="s">
        <v>1438</v>
      </c>
      <c r="L902" s="470" t="s">
        <v>824</v>
      </c>
      <c r="M902" s="470" t="s">
        <v>824</v>
      </c>
      <c r="N902" s="470" t="s">
        <v>1275</v>
      </c>
      <c r="O902" s="472" t="s">
        <v>1276</v>
      </c>
      <c r="P902" s="472" t="s">
        <v>738</v>
      </c>
      <c r="Q902" s="472" t="s">
        <v>758</v>
      </c>
      <c r="R902" s="472" t="s">
        <v>12</v>
      </c>
      <c r="S902" s="472" t="s">
        <v>12</v>
      </c>
      <c r="T902" s="472" t="s">
        <v>1439</v>
      </c>
      <c r="U902" s="470" t="s">
        <v>1440</v>
      </c>
      <c r="V902" s="470" t="s">
        <v>761</v>
      </c>
      <c r="W902" s="470" t="s">
        <v>1361</v>
      </c>
      <c r="X902" s="470">
        <v>31</v>
      </c>
      <c r="Y902" s="470">
        <v>0</v>
      </c>
      <c r="Z902" s="470">
        <v>0</v>
      </c>
      <c r="AA902" s="470">
        <v>31</v>
      </c>
      <c r="AB902" s="470">
        <v>31</v>
      </c>
      <c r="AC902" s="473">
        <v>44033</v>
      </c>
      <c r="AD902" s="473">
        <v>44033</v>
      </c>
      <c r="AE902" s="473">
        <v>19815</v>
      </c>
      <c r="AF902" s="473">
        <v>7926</v>
      </c>
      <c r="AG902" s="473">
        <v>1600</v>
      </c>
      <c r="AH902" s="473">
        <v>200</v>
      </c>
      <c r="AI902" s="473">
        <v>1250</v>
      </c>
      <c r="AJ902" s="473">
        <v>1651</v>
      </c>
      <c r="AK902" s="473">
        <v>3963</v>
      </c>
      <c r="AL902" s="473">
        <v>2972</v>
      </c>
      <c r="AM902" s="473">
        <v>198</v>
      </c>
      <c r="AN902" s="473">
        <v>694</v>
      </c>
      <c r="AO902" s="473">
        <v>396</v>
      </c>
      <c r="AP902" s="473">
        <v>99</v>
      </c>
      <c r="AQ902" s="473">
        <v>1800</v>
      </c>
      <c r="AR902" s="473">
        <v>1469</v>
      </c>
      <c r="AS902" s="473">
        <v>0</v>
      </c>
      <c r="AT902" s="473">
        <v>0</v>
      </c>
      <c r="AU902" s="473"/>
      <c r="AV902" s="473">
        <v>44033</v>
      </c>
      <c r="AW902" s="474">
        <v>44033</v>
      </c>
      <c r="AX902" s="473">
        <v>0</v>
      </c>
      <c r="AY902" s="473">
        <v>0</v>
      </c>
      <c r="AZ902" s="475">
        <v>0</v>
      </c>
      <c r="BA902" s="475">
        <v>200</v>
      </c>
      <c r="BB902" s="475">
        <v>1800</v>
      </c>
      <c r="BC902" s="475">
        <v>0</v>
      </c>
      <c r="BD902" s="475">
        <v>0</v>
      </c>
      <c r="BE902" s="475">
        <v>0</v>
      </c>
      <c r="BF902" s="475">
        <v>0</v>
      </c>
      <c r="BG902" s="475">
        <v>2000</v>
      </c>
      <c r="BH902" s="476">
        <v>42033</v>
      </c>
      <c r="BI902" s="467"/>
      <c r="BJ902" s="468"/>
    </row>
    <row r="903" spans="1:62">
      <c r="A903" s="469">
        <v>46023</v>
      </c>
      <c r="B903" s="469" t="s">
        <v>747</v>
      </c>
      <c r="C903" s="508"/>
      <c r="D903" s="470" t="s">
        <v>749</v>
      </c>
      <c r="E903" s="471">
        <v>2017</v>
      </c>
      <c r="F903" s="470" t="s">
        <v>846</v>
      </c>
      <c r="G903" s="470" t="s">
        <v>751</v>
      </c>
      <c r="H903" s="470"/>
      <c r="I903" s="470" t="s">
        <v>847</v>
      </c>
      <c r="J903" s="472" t="s">
        <v>848</v>
      </c>
      <c r="K903" s="470" t="s">
        <v>849</v>
      </c>
      <c r="L903" s="470" t="s">
        <v>824</v>
      </c>
      <c r="M903" s="470" t="s">
        <v>824</v>
      </c>
      <c r="N903" s="470" t="s">
        <v>1275</v>
      </c>
      <c r="O903" s="472" t="s">
        <v>1276</v>
      </c>
      <c r="P903" s="472" t="s">
        <v>738</v>
      </c>
      <c r="Q903" s="472" t="s">
        <v>758</v>
      </c>
      <c r="R903" s="472" t="s">
        <v>12</v>
      </c>
      <c r="S903" s="472" t="s">
        <v>12</v>
      </c>
      <c r="T903" s="472" t="s">
        <v>850</v>
      </c>
      <c r="U903" s="470" t="s">
        <v>851</v>
      </c>
      <c r="V903" s="470" t="s">
        <v>761</v>
      </c>
      <c r="W903" s="470" t="s">
        <v>762</v>
      </c>
      <c r="X903" s="470">
        <v>31</v>
      </c>
      <c r="Y903" s="470">
        <v>0</v>
      </c>
      <c r="Z903" s="470">
        <v>0</v>
      </c>
      <c r="AA903" s="470">
        <v>31</v>
      </c>
      <c r="AB903" s="470">
        <v>31</v>
      </c>
      <c r="AC903" s="473">
        <v>56533</v>
      </c>
      <c r="AD903" s="473">
        <v>56533</v>
      </c>
      <c r="AE903" s="473">
        <v>25440</v>
      </c>
      <c r="AF903" s="473">
        <v>10176</v>
      </c>
      <c r="AG903" s="473">
        <v>1600</v>
      </c>
      <c r="AH903" s="473">
        <v>200</v>
      </c>
      <c r="AI903" s="473">
        <v>1250</v>
      </c>
      <c r="AJ903" s="473">
        <v>2119</v>
      </c>
      <c r="AK903" s="473">
        <v>5088</v>
      </c>
      <c r="AL903" s="473">
        <v>3816</v>
      </c>
      <c r="AM903" s="473">
        <v>254</v>
      </c>
      <c r="AN903" s="473">
        <v>890</v>
      </c>
      <c r="AO903" s="473">
        <v>509</v>
      </c>
      <c r="AP903" s="473">
        <v>127</v>
      </c>
      <c r="AQ903" s="473">
        <v>1800</v>
      </c>
      <c r="AR903" s="473">
        <v>3264</v>
      </c>
      <c r="AS903" s="473">
        <v>0</v>
      </c>
      <c r="AT903" s="473">
        <v>0</v>
      </c>
      <c r="AU903" s="473">
        <v>3959</v>
      </c>
      <c r="AV903" s="473">
        <v>60492</v>
      </c>
      <c r="AW903" s="474">
        <v>56533</v>
      </c>
      <c r="AX903" s="473">
        <v>0</v>
      </c>
      <c r="AY903" s="473">
        <v>0</v>
      </c>
      <c r="AZ903" s="475">
        <v>0</v>
      </c>
      <c r="BA903" s="475">
        <v>200</v>
      </c>
      <c r="BB903" s="475">
        <v>1800</v>
      </c>
      <c r="BC903" s="475">
        <v>0</v>
      </c>
      <c r="BD903" s="475">
        <v>0</v>
      </c>
      <c r="BE903" s="475">
        <v>0</v>
      </c>
      <c r="BF903" s="475">
        <v>0</v>
      </c>
      <c r="BG903" s="475">
        <v>2000</v>
      </c>
      <c r="BH903" s="476">
        <v>58492</v>
      </c>
      <c r="BI903" s="467"/>
      <c r="BJ903" s="468"/>
    </row>
    <row r="904" spans="1:62">
      <c r="A904" s="469">
        <v>46023</v>
      </c>
      <c r="B904" s="469" t="s">
        <v>747</v>
      </c>
      <c r="C904" s="508"/>
      <c r="D904" s="470" t="s">
        <v>749</v>
      </c>
      <c r="E904" s="471">
        <v>1914</v>
      </c>
      <c r="F904" s="470" t="s">
        <v>852</v>
      </c>
      <c r="G904" s="470" t="s">
        <v>751</v>
      </c>
      <c r="H904" s="470"/>
      <c r="I904" s="470" t="s">
        <v>853</v>
      </c>
      <c r="J904" s="472" t="s">
        <v>854</v>
      </c>
      <c r="K904" s="470" t="s">
        <v>855</v>
      </c>
      <c r="L904" s="470" t="s">
        <v>856</v>
      </c>
      <c r="M904" s="470" t="s">
        <v>856</v>
      </c>
      <c r="N904" s="470" t="s">
        <v>756</v>
      </c>
      <c r="O904" s="472" t="s">
        <v>757</v>
      </c>
      <c r="P904" s="472" t="s">
        <v>738</v>
      </c>
      <c r="Q904" s="472" t="s">
        <v>758</v>
      </c>
      <c r="R904" s="472" t="s">
        <v>12</v>
      </c>
      <c r="S904" s="472" t="s">
        <v>12</v>
      </c>
      <c r="T904" s="472" t="s">
        <v>857</v>
      </c>
      <c r="U904" s="470" t="s">
        <v>858</v>
      </c>
      <c r="V904" s="470" t="s">
        <v>761</v>
      </c>
      <c r="W904" s="470" t="s">
        <v>859</v>
      </c>
      <c r="X904" s="470">
        <v>31</v>
      </c>
      <c r="Y904" s="470">
        <v>0</v>
      </c>
      <c r="Z904" s="470">
        <v>31</v>
      </c>
      <c r="AA904" s="470">
        <v>0</v>
      </c>
      <c r="AB904" s="470">
        <v>0</v>
      </c>
      <c r="AC904" s="473">
        <v>74033</v>
      </c>
      <c r="AD904" s="473">
        <v>74033</v>
      </c>
      <c r="AE904" s="473">
        <v>0</v>
      </c>
      <c r="AF904" s="473">
        <v>0</v>
      </c>
      <c r="AG904" s="473">
        <v>0</v>
      </c>
      <c r="AH904" s="473">
        <v>0</v>
      </c>
      <c r="AI904" s="473">
        <v>0</v>
      </c>
      <c r="AJ904" s="473">
        <v>0</v>
      </c>
      <c r="AK904" s="473">
        <v>0</v>
      </c>
      <c r="AL904" s="473">
        <v>0</v>
      </c>
      <c r="AM904" s="473">
        <v>0</v>
      </c>
      <c r="AN904" s="473">
        <v>0</v>
      </c>
      <c r="AO904" s="473">
        <v>0</v>
      </c>
      <c r="AP904" s="473">
        <v>0</v>
      </c>
      <c r="AQ904" s="473">
        <v>0</v>
      </c>
      <c r="AR904" s="473">
        <v>0</v>
      </c>
      <c r="AS904" s="473">
        <v>0</v>
      </c>
      <c r="AT904" s="473">
        <v>4776</v>
      </c>
      <c r="AU904" s="473"/>
      <c r="AV904" s="473">
        <v>4776</v>
      </c>
      <c r="AW904" s="474">
        <v>4776</v>
      </c>
      <c r="AX904" s="473">
        <v>0</v>
      </c>
      <c r="AY904" s="473">
        <v>0</v>
      </c>
      <c r="AZ904" s="475">
        <v>0</v>
      </c>
      <c r="BA904" s="475">
        <v>0</v>
      </c>
      <c r="BB904" s="475">
        <v>0</v>
      </c>
      <c r="BC904" s="475">
        <v>0</v>
      </c>
      <c r="BD904" s="475">
        <v>0</v>
      </c>
      <c r="BE904" s="475">
        <v>0</v>
      </c>
      <c r="BF904" s="475">
        <v>0</v>
      </c>
      <c r="BG904" s="475">
        <v>0</v>
      </c>
      <c r="BH904" s="476">
        <v>4776</v>
      </c>
      <c r="BI904" s="467"/>
      <c r="BJ904" s="468"/>
    </row>
    <row r="905" spans="1:62">
      <c r="A905" s="469">
        <v>46023</v>
      </c>
      <c r="B905" s="469" t="s">
        <v>747</v>
      </c>
      <c r="C905" s="508"/>
      <c r="D905" s="470" t="s">
        <v>749</v>
      </c>
      <c r="E905" s="471">
        <v>2186</v>
      </c>
      <c r="F905" s="470" t="s">
        <v>1277</v>
      </c>
      <c r="G905" s="470" t="s">
        <v>751</v>
      </c>
      <c r="H905" s="470"/>
      <c r="I905" s="470" t="s">
        <v>1278</v>
      </c>
      <c r="J905" s="472" t="s">
        <v>1279</v>
      </c>
      <c r="K905" s="470" t="s">
        <v>1280</v>
      </c>
      <c r="L905" s="470" t="s">
        <v>980</v>
      </c>
      <c r="M905" s="470" t="s">
        <v>980</v>
      </c>
      <c r="N905" s="470" t="s">
        <v>1275</v>
      </c>
      <c r="O905" s="472" t="s">
        <v>757</v>
      </c>
      <c r="P905" s="472" t="s">
        <v>738</v>
      </c>
      <c r="Q905" s="472" t="s">
        <v>758</v>
      </c>
      <c r="R905" s="472" t="s">
        <v>12</v>
      </c>
      <c r="S905" s="472" t="s">
        <v>12</v>
      </c>
      <c r="T905" s="472" t="s">
        <v>1281</v>
      </c>
      <c r="U905" s="470" t="s">
        <v>1282</v>
      </c>
      <c r="V905" s="470" t="s">
        <v>761</v>
      </c>
      <c r="W905" s="470" t="s">
        <v>762</v>
      </c>
      <c r="X905" s="470">
        <v>31</v>
      </c>
      <c r="Y905" s="470">
        <v>0</v>
      </c>
      <c r="Z905" s="470">
        <v>2.5</v>
      </c>
      <c r="AA905" s="470">
        <v>28.5</v>
      </c>
      <c r="AB905" s="470">
        <v>28.5</v>
      </c>
      <c r="AC905" s="473">
        <v>63200</v>
      </c>
      <c r="AD905" s="473">
        <v>63200</v>
      </c>
      <c r="AE905" s="473">
        <v>26146</v>
      </c>
      <c r="AF905" s="473">
        <v>10458</v>
      </c>
      <c r="AG905" s="473">
        <v>1471</v>
      </c>
      <c r="AH905" s="473">
        <v>184</v>
      </c>
      <c r="AI905" s="473">
        <v>1149</v>
      </c>
      <c r="AJ905" s="473">
        <v>2178</v>
      </c>
      <c r="AK905" s="473">
        <v>5229</v>
      </c>
      <c r="AL905" s="473">
        <v>3922</v>
      </c>
      <c r="AM905" s="473">
        <v>261</v>
      </c>
      <c r="AN905" s="473">
        <v>915</v>
      </c>
      <c r="AO905" s="473">
        <v>523</v>
      </c>
      <c r="AP905" s="473">
        <v>131</v>
      </c>
      <c r="AQ905" s="473">
        <v>1800</v>
      </c>
      <c r="AR905" s="473">
        <v>3736</v>
      </c>
      <c r="AS905" s="473">
        <v>0</v>
      </c>
      <c r="AT905" s="473">
        <v>0</v>
      </c>
      <c r="AU905" s="473"/>
      <c r="AV905" s="473">
        <v>58103</v>
      </c>
      <c r="AW905" s="474">
        <v>58103</v>
      </c>
      <c r="AX905" s="473">
        <v>0</v>
      </c>
      <c r="AY905" s="473">
        <v>0</v>
      </c>
      <c r="AZ905" s="475">
        <v>0</v>
      </c>
      <c r="BA905" s="475">
        <v>200</v>
      </c>
      <c r="BB905" s="475">
        <v>1800</v>
      </c>
      <c r="BC905" s="475">
        <v>0</v>
      </c>
      <c r="BD905" s="475">
        <v>0</v>
      </c>
      <c r="BE905" s="475">
        <v>0</v>
      </c>
      <c r="BF905" s="475">
        <v>0</v>
      </c>
      <c r="BG905" s="475">
        <v>2000</v>
      </c>
      <c r="BH905" s="476">
        <v>56103</v>
      </c>
      <c r="BI905" s="467"/>
      <c r="BJ905" s="468"/>
    </row>
    <row r="906" spans="1:62">
      <c r="A906" s="469">
        <v>46023</v>
      </c>
      <c r="B906" s="469" t="s">
        <v>747</v>
      </c>
      <c r="C906" s="508"/>
      <c r="D906" s="470" t="s">
        <v>749</v>
      </c>
      <c r="E906" s="471">
        <v>1209</v>
      </c>
      <c r="F906" s="470" t="s">
        <v>868</v>
      </c>
      <c r="G906" s="470" t="s">
        <v>751</v>
      </c>
      <c r="H906" s="470"/>
      <c r="I906" s="470" t="s">
        <v>869</v>
      </c>
      <c r="J906" s="472" t="s">
        <v>870</v>
      </c>
      <c r="K906" s="470" t="s">
        <v>871</v>
      </c>
      <c r="L906" s="470" t="s">
        <v>873</v>
      </c>
      <c r="M906" s="470" t="s">
        <v>873</v>
      </c>
      <c r="N906" s="470" t="s">
        <v>833</v>
      </c>
      <c r="O906" s="472" t="s">
        <v>757</v>
      </c>
      <c r="P906" s="472" t="s">
        <v>738</v>
      </c>
      <c r="Q906" s="472" t="s">
        <v>758</v>
      </c>
      <c r="R906" s="472" t="s">
        <v>12</v>
      </c>
      <c r="S906" s="472" t="s">
        <v>12</v>
      </c>
      <c r="T906" s="472" t="s">
        <v>874</v>
      </c>
      <c r="U906" s="470" t="s">
        <v>875</v>
      </c>
      <c r="V906" s="470" t="s">
        <v>761</v>
      </c>
      <c r="W906" s="470" t="s">
        <v>876</v>
      </c>
      <c r="X906" s="470">
        <v>31</v>
      </c>
      <c r="Y906" s="470">
        <v>0</v>
      </c>
      <c r="Z906" s="470">
        <v>0.5</v>
      </c>
      <c r="AA906" s="470">
        <v>30.5</v>
      </c>
      <c r="AB906" s="470">
        <v>30.5</v>
      </c>
      <c r="AC906" s="473">
        <v>83333</v>
      </c>
      <c r="AD906" s="473">
        <v>83333</v>
      </c>
      <c r="AE906" s="473">
        <v>36895</v>
      </c>
      <c r="AF906" s="473">
        <v>14758</v>
      </c>
      <c r="AG906" s="473">
        <v>1574</v>
      </c>
      <c r="AH906" s="473">
        <v>197</v>
      </c>
      <c r="AI906" s="473">
        <v>1230</v>
      </c>
      <c r="AJ906" s="473">
        <v>3073</v>
      </c>
      <c r="AK906" s="473">
        <v>7379</v>
      </c>
      <c r="AL906" s="473">
        <v>5534</v>
      </c>
      <c r="AM906" s="473">
        <v>369</v>
      </c>
      <c r="AN906" s="473">
        <v>1291</v>
      </c>
      <c r="AO906" s="473">
        <v>738</v>
      </c>
      <c r="AP906" s="473">
        <v>184</v>
      </c>
      <c r="AQ906" s="473">
        <v>1800</v>
      </c>
      <c r="AR906" s="473">
        <v>6967</v>
      </c>
      <c r="AS906" s="473">
        <v>0</v>
      </c>
      <c r="AT906" s="473">
        <v>0</v>
      </c>
      <c r="AU906" s="473">
        <v>579</v>
      </c>
      <c r="AV906" s="473">
        <v>82568</v>
      </c>
      <c r="AW906" s="474">
        <v>81989</v>
      </c>
      <c r="AX906" s="473">
        <v>0</v>
      </c>
      <c r="AY906" s="473">
        <v>0</v>
      </c>
      <c r="AZ906" s="475">
        <v>0</v>
      </c>
      <c r="BA906" s="475">
        <v>200</v>
      </c>
      <c r="BB906" s="475">
        <v>1800</v>
      </c>
      <c r="BC906" s="475">
        <v>0</v>
      </c>
      <c r="BD906" s="475">
        <v>0</v>
      </c>
      <c r="BE906" s="475">
        <v>0</v>
      </c>
      <c r="BF906" s="475">
        <v>0</v>
      </c>
      <c r="BG906" s="475">
        <v>2000</v>
      </c>
      <c r="BH906" s="476">
        <v>80568</v>
      </c>
      <c r="BI906" s="467"/>
      <c r="BJ906" s="468"/>
    </row>
    <row r="907" spans="1:62">
      <c r="A907" s="469">
        <v>46023</v>
      </c>
      <c r="B907" s="469" t="s">
        <v>747</v>
      </c>
      <c r="C907" s="508"/>
      <c r="D907" s="470" t="s">
        <v>749</v>
      </c>
      <c r="E907" s="471">
        <v>1517</v>
      </c>
      <c r="F907" s="470" t="s">
        <v>877</v>
      </c>
      <c r="G907" s="470" t="s">
        <v>751</v>
      </c>
      <c r="H907" s="470"/>
      <c r="I907" s="470" t="s">
        <v>878</v>
      </c>
      <c r="J907" s="472" t="s">
        <v>879</v>
      </c>
      <c r="K907" s="470" t="s">
        <v>880</v>
      </c>
      <c r="L907" s="470" t="s">
        <v>881</v>
      </c>
      <c r="M907" s="470" t="s">
        <v>881</v>
      </c>
      <c r="N907" s="470" t="s">
        <v>833</v>
      </c>
      <c r="O907" s="472" t="s">
        <v>757</v>
      </c>
      <c r="P907" s="472" t="s">
        <v>738</v>
      </c>
      <c r="Q907" s="472" t="s">
        <v>758</v>
      </c>
      <c r="R907" s="472" t="s">
        <v>12</v>
      </c>
      <c r="S907" s="472" t="s">
        <v>12</v>
      </c>
      <c r="T907" s="472" t="s">
        <v>882</v>
      </c>
      <c r="U907" s="470" t="s">
        <v>883</v>
      </c>
      <c r="V907" s="470" t="s">
        <v>761</v>
      </c>
      <c r="W907" s="470" t="s">
        <v>859</v>
      </c>
      <c r="X907" s="470">
        <v>31</v>
      </c>
      <c r="Y907" s="470">
        <v>0</v>
      </c>
      <c r="Z907" s="470">
        <v>2.5</v>
      </c>
      <c r="AA907" s="470">
        <v>28.5</v>
      </c>
      <c r="AB907" s="470">
        <v>28.5</v>
      </c>
      <c r="AC907" s="473">
        <v>47190</v>
      </c>
      <c r="AD907" s="473">
        <v>47190</v>
      </c>
      <c r="AE907" s="473">
        <v>19523</v>
      </c>
      <c r="AF907" s="473">
        <v>7809</v>
      </c>
      <c r="AG907" s="473">
        <v>1471</v>
      </c>
      <c r="AH907" s="473">
        <v>184</v>
      </c>
      <c r="AI907" s="473">
        <v>1149</v>
      </c>
      <c r="AJ907" s="473">
        <v>1626</v>
      </c>
      <c r="AK907" s="473">
        <v>3905</v>
      </c>
      <c r="AL907" s="473">
        <v>2928</v>
      </c>
      <c r="AM907" s="473">
        <v>195</v>
      </c>
      <c r="AN907" s="473">
        <v>683</v>
      </c>
      <c r="AO907" s="473">
        <v>390</v>
      </c>
      <c r="AP907" s="473">
        <v>98</v>
      </c>
      <c r="AQ907" s="473">
        <v>1800</v>
      </c>
      <c r="AR907" s="473">
        <v>1623</v>
      </c>
      <c r="AS907" s="473">
        <v>0</v>
      </c>
      <c r="AT907" s="473">
        <v>0</v>
      </c>
      <c r="AU907" s="473"/>
      <c r="AV907" s="473">
        <v>43384</v>
      </c>
      <c r="AW907" s="474">
        <v>43384</v>
      </c>
      <c r="AX907" s="473">
        <v>0</v>
      </c>
      <c r="AY907" s="473">
        <v>0</v>
      </c>
      <c r="AZ907" s="475">
        <v>0</v>
      </c>
      <c r="BA907" s="475">
        <v>200</v>
      </c>
      <c r="BB907" s="475">
        <v>1800</v>
      </c>
      <c r="BC907" s="475">
        <v>0</v>
      </c>
      <c r="BD907" s="475">
        <v>0</v>
      </c>
      <c r="BE907" s="475">
        <v>0</v>
      </c>
      <c r="BF907" s="475">
        <v>0</v>
      </c>
      <c r="BG907" s="475">
        <v>2000</v>
      </c>
      <c r="BH907" s="476">
        <v>41384</v>
      </c>
      <c r="BI907" s="467"/>
      <c r="BJ907" s="468"/>
    </row>
    <row r="908" spans="1:62">
      <c r="A908" s="469">
        <v>46023</v>
      </c>
      <c r="B908" s="469" t="s">
        <v>747</v>
      </c>
      <c r="C908" s="508"/>
      <c r="D908" s="470" t="s">
        <v>749</v>
      </c>
      <c r="E908" s="471">
        <v>1202</v>
      </c>
      <c r="F908" s="470" t="s">
        <v>884</v>
      </c>
      <c r="G908" s="470" t="s">
        <v>751</v>
      </c>
      <c r="H908" s="470"/>
      <c r="I908" s="470" t="s">
        <v>885</v>
      </c>
      <c r="J908" s="472" t="s">
        <v>886</v>
      </c>
      <c r="K908" s="470" t="s">
        <v>887</v>
      </c>
      <c r="L908" s="470" t="s">
        <v>1346</v>
      </c>
      <c r="M908" s="470" t="s">
        <v>1346</v>
      </c>
      <c r="N908" s="470" t="s">
        <v>1275</v>
      </c>
      <c r="O908" s="472" t="s">
        <v>757</v>
      </c>
      <c r="P908" s="472" t="s">
        <v>738</v>
      </c>
      <c r="Q908" s="472" t="s">
        <v>758</v>
      </c>
      <c r="R908" s="472" t="s">
        <v>12</v>
      </c>
      <c r="S908" s="472" t="s">
        <v>12</v>
      </c>
      <c r="T908" s="472" t="s">
        <v>888</v>
      </c>
      <c r="U908" s="470" t="s">
        <v>889</v>
      </c>
      <c r="V908" s="470" t="s">
        <v>761</v>
      </c>
      <c r="W908" s="470" t="s">
        <v>762</v>
      </c>
      <c r="X908" s="470">
        <v>31</v>
      </c>
      <c r="Y908" s="470">
        <v>0</v>
      </c>
      <c r="Z908" s="470">
        <v>0</v>
      </c>
      <c r="AA908" s="470">
        <v>31</v>
      </c>
      <c r="AB908" s="470">
        <v>31</v>
      </c>
      <c r="AC908" s="473">
        <v>98333</v>
      </c>
      <c r="AD908" s="473">
        <v>98333</v>
      </c>
      <c r="AE908" s="473">
        <v>44250</v>
      </c>
      <c r="AF908" s="473">
        <v>17700</v>
      </c>
      <c r="AG908" s="473">
        <v>1600</v>
      </c>
      <c r="AH908" s="473">
        <v>200</v>
      </c>
      <c r="AI908" s="473">
        <v>1250</v>
      </c>
      <c r="AJ908" s="473">
        <v>3686</v>
      </c>
      <c r="AK908" s="473">
        <v>8850</v>
      </c>
      <c r="AL908" s="473">
        <v>6638</v>
      </c>
      <c r="AM908" s="473">
        <v>443</v>
      </c>
      <c r="AN908" s="473">
        <v>1549</v>
      </c>
      <c r="AO908" s="473">
        <v>885</v>
      </c>
      <c r="AP908" s="473">
        <v>221</v>
      </c>
      <c r="AQ908" s="473">
        <v>1800</v>
      </c>
      <c r="AR908" s="473">
        <v>9261</v>
      </c>
      <c r="AS908" s="473">
        <v>0</v>
      </c>
      <c r="AT908" s="473">
        <v>0</v>
      </c>
      <c r="AU908" s="473">
        <v>2274</v>
      </c>
      <c r="AV908" s="473">
        <v>100607</v>
      </c>
      <c r="AW908" s="474">
        <v>98333</v>
      </c>
      <c r="AX908" s="473">
        <v>0</v>
      </c>
      <c r="AY908" s="473">
        <v>0</v>
      </c>
      <c r="AZ908" s="475">
        <v>3143</v>
      </c>
      <c r="BA908" s="475">
        <v>200</v>
      </c>
      <c r="BB908" s="475">
        <v>1800</v>
      </c>
      <c r="BC908" s="475">
        <v>0</v>
      </c>
      <c r="BD908" s="475">
        <v>0</v>
      </c>
      <c r="BE908" s="475">
        <v>0</v>
      </c>
      <c r="BF908" s="475">
        <v>0</v>
      </c>
      <c r="BG908" s="475">
        <v>5143</v>
      </c>
      <c r="BH908" s="476">
        <v>95464</v>
      </c>
      <c r="BI908" s="467"/>
      <c r="BJ908" s="468"/>
    </row>
    <row r="909" spans="1:62">
      <c r="A909" s="469">
        <v>46023</v>
      </c>
      <c r="B909" s="469" t="s">
        <v>747</v>
      </c>
      <c r="C909" s="508"/>
      <c r="D909" s="470" t="s">
        <v>749</v>
      </c>
      <c r="E909" s="471">
        <v>2234</v>
      </c>
      <c r="F909" s="470" t="s">
        <v>1347</v>
      </c>
      <c r="G909" s="470" t="s">
        <v>751</v>
      </c>
      <c r="H909" s="470"/>
      <c r="I909" s="470" t="s">
        <v>1348</v>
      </c>
      <c r="J909" s="472" t="s">
        <v>1349</v>
      </c>
      <c r="K909" s="470" t="s">
        <v>1350</v>
      </c>
      <c r="L909" s="470" t="s">
        <v>1351</v>
      </c>
      <c r="M909" s="470" t="s">
        <v>1351</v>
      </c>
      <c r="N909" s="470" t="s">
        <v>833</v>
      </c>
      <c r="O909" s="472" t="s">
        <v>757</v>
      </c>
      <c r="P909" s="472" t="s">
        <v>738</v>
      </c>
      <c r="Q909" s="472" t="s">
        <v>758</v>
      </c>
      <c r="R909" s="472" t="s">
        <v>12</v>
      </c>
      <c r="S909" s="472" t="s">
        <v>12</v>
      </c>
      <c r="T909" s="472" t="s">
        <v>1352</v>
      </c>
      <c r="U909" s="470" t="s">
        <v>1353</v>
      </c>
      <c r="V909" s="470" t="s">
        <v>761</v>
      </c>
      <c r="W909" s="470" t="s">
        <v>1354</v>
      </c>
      <c r="X909" s="470">
        <v>31</v>
      </c>
      <c r="Y909" s="470">
        <v>0</v>
      </c>
      <c r="Z909" s="470">
        <v>2.5</v>
      </c>
      <c r="AA909" s="470">
        <v>28.5</v>
      </c>
      <c r="AB909" s="470">
        <v>28.5</v>
      </c>
      <c r="AC909" s="473">
        <v>52200</v>
      </c>
      <c r="AD909" s="473">
        <v>52200</v>
      </c>
      <c r="AE909" s="473">
        <v>21596</v>
      </c>
      <c r="AF909" s="473">
        <v>8638</v>
      </c>
      <c r="AG909" s="473">
        <v>1471</v>
      </c>
      <c r="AH909" s="473">
        <v>184</v>
      </c>
      <c r="AI909" s="473">
        <v>1149</v>
      </c>
      <c r="AJ909" s="473">
        <v>1799</v>
      </c>
      <c r="AK909" s="473">
        <v>4319</v>
      </c>
      <c r="AL909" s="473">
        <v>3239</v>
      </c>
      <c r="AM909" s="473">
        <v>216</v>
      </c>
      <c r="AN909" s="473">
        <v>756</v>
      </c>
      <c r="AO909" s="473">
        <v>432</v>
      </c>
      <c r="AP909" s="473">
        <v>108</v>
      </c>
      <c r="AQ909" s="473">
        <v>1800</v>
      </c>
      <c r="AR909" s="473">
        <v>2283</v>
      </c>
      <c r="AS909" s="473">
        <v>0</v>
      </c>
      <c r="AT909" s="473">
        <v>0</v>
      </c>
      <c r="AU909" s="473"/>
      <c r="AV909" s="473">
        <v>47990</v>
      </c>
      <c r="AW909" s="474">
        <v>47990</v>
      </c>
      <c r="AX909" s="473">
        <v>0</v>
      </c>
      <c r="AY909" s="473">
        <v>0</v>
      </c>
      <c r="AZ909" s="475">
        <v>0</v>
      </c>
      <c r="BA909" s="475">
        <v>200</v>
      </c>
      <c r="BB909" s="475">
        <v>1800</v>
      </c>
      <c r="BC909" s="475">
        <v>0</v>
      </c>
      <c r="BD909" s="475">
        <v>0</v>
      </c>
      <c r="BE909" s="475">
        <v>0</v>
      </c>
      <c r="BF909" s="475">
        <v>0</v>
      </c>
      <c r="BG909" s="475">
        <v>2000</v>
      </c>
      <c r="BH909" s="476">
        <v>45990</v>
      </c>
      <c r="BI909" s="467"/>
      <c r="BJ909" s="468"/>
    </row>
    <row r="910" spans="1:62">
      <c r="A910" s="469">
        <v>46023</v>
      </c>
      <c r="B910" s="469" t="s">
        <v>747</v>
      </c>
      <c r="C910" s="508"/>
      <c r="D910" s="470" t="s">
        <v>749</v>
      </c>
      <c r="E910" s="471">
        <v>2273</v>
      </c>
      <c r="F910" s="470" t="s">
        <v>1441</v>
      </c>
      <c r="G910" s="470" t="s">
        <v>751</v>
      </c>
      <c r="H910" s="470"/>
      <c r="I910" s="470" t="s">
        <v>1426</v>
      </c>
      <c r="J910" s="472" t="s">
        <v>1442</v>
      </c>
      <c r="K910" s="470" t="s">
        <v>1443</v>
      </c>
      <c r="L910" s="470" t="s">
        <v>824</v>
      </c>
      <c r="M910" s="470" t="s">
        <v>824</v>
      </c>
      <c r="N910" s="470" t="s">
        <v>1275</v>
      </c>
      <c r="O910" s="472" t="s">
        <v>1276</v>
      </c>
      <c r="P910" s="472" t="s">
        <v>738</v>
      </c>
      <c r="Q910" s="472" t="s">
        <v>758</v>
      </c>
      <c r="R910" s="472" t="s">
        <v>12</v>
      </c>
      <c r="S910" s="472" t="s">
        <v>12</v>
      </c>
      <c r="T910" s="472" t="s">
        <v>1444</v>
      </c>
      <c r="U910" s="470" t="s">
        <v>1445</v>
      </c>
      <c r="V910" s="470" t="s">
        <v>761</v>
      </c>
      <c r="W910" s="470" t="s">
        <v>1361</v>
      </c>
      <c r="X910" s="470">
        <v>31</v>
      </c>
      <c r="Y910" s="470">
        <v>0</v>
      </c>
      <c r="Z910" s="470">
        <v>1</v>
      </c>
      <c r="AA910" s="470">
        <v>30</v>
      </c>
      <c r="AB910" s="470">
        <v>30</v>
      </c>
      <c r="AC910" s="473">
        <v>44033</v>
      </c>
      <c r="AD910" s="473">
        <v>44033</v>
      </c>
      <c r="AE910" s="473">
        <v>19176</v>
      </c>
      <c r="AF910" s="473">
        <v>7670</v>
      </c>
      <c r="AG910" s="473">
        <v>1548</v>
      </c>
      <c r="AH910" s="473">
        <v>194</v>
      </c>
      <c r="AI910" s="473">
        <v>1210</v>
      </c>
      <c r="AJ910" s="473">
        <v>1597</v>
      </c>
      <c r="AK910" s="473">
        <v>3835</v>
      </c>
      <c r="AL910" s="473">
        <v>2876</v>
      </c>
      <c r="AM910" s="473">
        <v>192</v>
      </c>
      <c r="AN910" s="473">
        <v>671</v>
      </c>
      <c r="AO910" s="473">
        <v>384</v>
      </c>
      <c r="AP910" s="473">
        <v>96</v>
      </c>
      <c r="AQ910" s="473">
        <v>1800</v>
      </c>
      <c r="AR910" s="473">
        <v>1364</v>
      </c>
      <c r="AS910" s="473">
        <v>0</v>
      </c>
      <c r="AT910" s="473">
        <v>0</v>
      </c>
      <c r="AU910" s="473">
        <v>1197</v>
      </c>
      <c r="AV910" s="473">
        <v>43810</v>
      </c>
      <c r="AW910" s="474">
        <v>42613</v>
      </c>
      <c r="AX910" s="473">
        <v>0</v>
      </c>
      <c r="AY910" s="473">
        <v>0</v>
      </c>
      <c r="AZ910" s="475">
        <v>0</v>
      </c>
      <c r="BA910" s="475">
        <v>200</v>
      </c>
      <c r="BB910" s="475">
        <v>1800</v>
      </c>
      <c r="BC910" s="475">
        <v>0</v>
      </c>
      <c r="BD910" s="475">
        <v>0</v>
      </c>
      <c r="BE910" s="475">
        <v>0</v>
      </c>
      <c r="BF910" s="475">
        <v>0</v>
      </c>
      <c r="BG910" s="475">
        <v>2000</v>
      </c>
      <c r="BH910" s="476">
        <v>41810</v>
      </c>
      <c r="BI910" s="467"/>
      <c r="BJ910" s="468"/>
    </row>
    <row r="911" spans="1:62">
      <c r="A911" s="469">
        <v>46023</v>
      </c>
      <c r="B911" s="469" t="s">
        <v>747</v>
      </c>
      <c r="C911" s="508"/>
      <c r="D911" s="470" t="s">
        <v>749</v>
      </c>
      <c r="E911" s="471">
        <v>748</v>
      </c>
      <c r="F911" s="470" t="s">
        <v>899</v>
      </c>
      <c r="G911" s="470" t="s">
        <v>751</v>
      </c>
      <c r="H911" s="470"/>
      <c r="I911" s="470" t="s">
        <v>900</v>
      </c>
      <c r="J911" s="472" t="s">
        <v>901</v>
      </c>
      <c r="K911" s="470" t="s">
        <v>902</v>
      </c>
      <c r="L911" s="470" t="s">
        <v>1283</v>
      </c>
      <c r="M911" s="470" t="s">
        <v>1284</v>
      </c>
      <c r="N911" s="470" t="s">
        <v>904</v>
      </c>
      <c r="O911" s="472" t="s">
        <v>757</v>
      </c>
      <c r="P911" s="472" t="s">
        <v>738</v>
      </c>
      <c r="Q911" s="472" t="s">
        <v>758</v>
      </c>
      <c r="R911" s="472" t="s">
        <v>12</v>
      </c>
      <c r="S911" s="472" t="s">
        <v>12</v>
      </c>
      <c r="T911" s="472" t="s">
        <v>905</v>
      </c>
      <c r="U911" s="470" t="s">
        <v>906</v>
      </c>
      <c r="V911" s="470" t="s">
        <v>761</v>
      </c>
      <c r="W911" s="470" t="s">
        <v>907</v>
      </c>
      <c r="X911" s="470">
        <v>31</v>
      </c>
      <c r="Y911" s="470">
        <v>0</v>
      </c>
      <c r="Z911" s="470">
        <v>0</v>
      </c>
      <c r="AA911" s="470">
        <v>31</v>
      </c>
      <c r="AB911" s="470">
        <v>31</v>
      </c>
      <c r="AC911" s="473">
        <v>62333</v>
      </c>
      <c r="AD911" s="473">
        <v>62333</v>
      </c>
      <c r="AE911" s="473">
        <v>28050</v>
      </c>
      <c r="AF911" s="473">
        <v>11220</v>
      </c>
      <c r="AG911" s="473">
        <v>1600</v>
      </c>
      <c r="AH911" s="473">
        <v>200</v>
      </c>
      <c r="AI911" s="473">
        <v>1250</v>
      </c>
      <c r="AJ911" s="473">
        <v>2337</v>
      </c>
      <c r="AK911" s="473">
        <v>5610</v>
      </c>
      <c r="AL911" s="473">
        <v>4208</v>
      </c>
      <c r="AM911" s="473">
        <v>281</v>
      </c>
      <c r="AN911" s="473">
        <v>982</v>
      </c>
      <c r="AO911" s="473">
        <v>561</v>
      </c>
      <c r="AP911" s="473">
        <v>140</v>
      </c>
      <c r="AQ911" s="473">
        <v>1800</v>
      </c>
      <c r="AR911" s="473">
        <v>4094</v>
      </c>
      <c r="AS911" s="473">
        <v>0</v>
      </c>
      <c r="AT911" s="473">
        <v>0</v>
      </c>
      <c r="AU911" s="473">
        <v>2167</v>
      </c>
      <c r="AV911" s="473">
        <v>64500</v>
      </c>
      <c r="AW911" s="474">
        <v>62333</v>
      </c>
      <c r="AX911" s="473">
        <v>0</v>
      </c>
      <c r="AY911" s="473">
        <v>0</v>
      </c>
      <c r="AZ911" s="475">
        <v>0</v>
      </c>
      <c r="BA911" s="475">
        <v>200</v>
      </c>
      <c r="BB911" s="475">
        <v>1800</v>
      </c>
      <c r="BC911" s="475">
        <v>0</v>
      </c>
      <c r="BD911" s="475">
        <v>0</v>
      </c>
      <c r="BE911" s="475">
        <v>0</v>
      </c>
      <c r="BF911" s="475">
        <v>15000</v>
      </c>
      <c r="BG911" s="475">
        <v>17000</v>
      </c>
      <c r="BH911" s="476">
        <v>47500</v>
      </c>
      <c r="BI911" s="467"/>
      <c r="BJ911" s="468"/>
    </row>
    <row r="912" spans="1:62">
      <c r="A912" s="469">
        <v>46023</v>
      </c>
      <c r="B912" s="469" t="s">
        <v>747</v>
      </c>
      <c r="C912" s="508"/>
      <c r="D912" s="470" t="s">
        <v>749</v>
      </c>
      <c r="E912" s="471">
        <v>2214</v>
      </c>
      <c r="F912" s="470" t="s">
        <v>1355</v>
      </c>
      <c r="G912" s="470" t="s">
        <v>751</v>
      </c>
      <c r="H912" s="470"/>
      <c r="I912" s="470" t="s">
        <v>1340</v>
      </c>
      <c r="J912" s="472" t="s">
        <v>1356</v>
      </c>
      <c r="K912" s="470" t="s">
        <v>1357</v>
      </c>
      <c r="L912" s="470" t="s">
        <v>1358</v>
      </c>
      <c r="M912" s="470" t="s">
        <v>1358</v>
      </c>
      <c r="N912" s="470" t="s">
        <v>1108</v>
      </c>
      <c r="O912" s="472" t="s">
        <v>757</v>
      </c>
      <c r="P912" s="472" t="s">
        <v>738</v>
      </c>
      <c r="Q912" s="472" t="s">
        <v>758</v>
      </c>
      <c r="R912" s="472" t="s">
        <v>12</v>
      </c>
      <c r="S912" s="472" t="s">
        <v>12</v>
      </c>
      <c r="T912" s="472" t="s">
        <v>1359</v>
      </c>
      <c r="U912" s="470" t="s">
        <v>1360</v>
      </c>
      <c r="V912" s="470" t="s">
        <v>761</v>
      </c>
      <c r="W912" s="470" t="s">
        <v>1361</v>
      </c>
      <c r="X912" s="470">
        <v>31</v>
      </c>
      <c r="Y912" s="470">
        <v>0</v>
      </c>
      <c r="Z912" s="470">
        <v>0</v>
      </c>
      <c r="AA912" s="470">
        <v>31</v>
      </c>
      <c r="AB912" s="470">
        <v>31</v>
      </c>
      <c r="AC912" s="473">
        <v>54867</v>
      </c>
      <c r="AD912" s="473">
        <v>54867</v>
      </c>
      <c r="AE912" s="473">
        <v>24690</v>
      </c>
      <c r="AF912" s="473">
        <v>9876</v>
      </c>
      <c r="AG912" s="473">
        <v>1600</v>
      </c>
      <c r="AH912" s="473">
        <v>200</v>
      </c>
      <c r="AI912" s="473">
        <v>1250</v>
      </c>
      <c r="AJ912" s="473">
        <v>2057</v>
      </c>
      <c r="AK912" s="473">
        <v>4938</v>
      </c>
      <c r="AL912" s="473">
        <v>3704</v>
      </c>
      <c r="AM912" s="473">
        <v>247</v>
      </c>
      <c r="AN912" s="473">
        <v>864</v>
      </c>
      <c r="AO912" s="473">
        <v>494</v>
      </c>
      <c r="AP912" s="473">
        <v>123</v>
      </c>
      <c r="AQ912" s="473">
        <v>1800</v>
      </c>
      <c r="AR912" s="473">
        <v>3024</v>
      </c>
      <c r="AS912" s="473">
        <v>0</v>
      </c>
      <c r="AT912" s="473">
        <v>0</v>
      </c>
      <c r="AU912" s="473"/>
      <c r="AV912" s="473">
        <v>54867</v>
      </c>
      <c r="AW912" s="474">
        <v>54867</v>
      </c>
      <c r="AX912" s="473">
        <v>0</v>
      </c>
      <c r="AY912" s="473">
        <v>0</v>
      </c>
      <c r="AZ912" s="475">
        <v>0</v>
      </c>
      <c r="BA912" s="475">
        <v>200</v>
      </c>
      <c r="BB912" s="475">
        <v>1800</v>
      </c>
      <c r="BC912" s="475">
        <v>0</v>
      </c>
      <c r="BD912" s="475">
        <v>0</v>
      </c>
      <c r="BE912" s="475">
        <v>0</v>
      </c>
      <c r="BF912" s="475">
        <v>0</v>
      </c>
      <c r="BG912" s="475">
        <v>2000</v>
      </c>
      <c r="BH912" s="476">
        <v>52867</v>
      </c>
      <c r="BI912" s="467"/>
      <c r="BJ912" s="468"/>
    </row>
    <row r="913" spans="1:62">
      <c r="A913" s="469">
        <v>46023</v>
      </c>
      <c r="B913" s="469" t="s">
        <v>747</v>
      </c>
      <c r="C913" s="508"/>
      <c r="D913" s="470" t="s">
        <v>749</v>
      </c>
      <c r="E913" s="471">
        <v>2239</v>
      </c>
      <c r="F913" s="470" t="s">
        <v>1402</v>
      </c>
      <c r="G913" s="470" t="s">
        <v>812</v>
      </c>
      <c r="H913" s="470"/>
      <c r="I913" s="470" t="s">
        <v>1389</v>
      </c>
      <c r="J913" s="472" t="s">
        <v>1403</v>
      </c>
      <c r="K913" s="470" t="s">
        <v>1404</v>
      </c>
      <c r="L913" s="470" t="s">
        <v>872</v>
      </c>
      <c r="M913" s="470" t="s">
        <v>872</v>
      </c>
      <c r="N913" s="470" t="s">
        <v>833</v>
      </c>
      <c r="O913" s="472" t="s">
        <v>757</v>
      </c>
      <c r="P913" s="472" t="s">
        <v>738</v>
      </c>
      <c r="Q913" s="472" t="s">
        <v>758</v>
      </c>
      <c r="R913" s="472" t="s">
        <v>12</v>
      </c>
      <c r="S913" s="472" t="s">
        <v>12</v>
      </c>
      <c r="T913" s="472" t="s">
        <v>1405</v>
      </c>
      <c r="U913" s="470" t="s">
        <v>1406</v>
      </c>
      <c r="V913" s="470" t="s">
        <v>761</v>
      </c>
      <c r="W913" s="470" t="s">
        <v>859</v>
      </c>
      <c r="X913" s="470">
        <v>31</v>
      </c>
      <c r="Y913" s="470">
        <v>0</v>
      </c>
      <c r="Z913" s="470">
        <v>6.5</v>
      </c>
      <c r="AA913" s="470">
        <v>24.5</v>
      </c>
      <c r="AB913" s="470">
        <v>24.5</v>
      </c>
      <c r="AC913" s="473">
        <v>88067</v>
      </c>
      <c r="AD913" s="473">
        <v>88067</v>
      </c>
      <c r="AE913" s="473">
        <v>31320</v>
      </c>
      <c r="AF913" s="473">
        <v>12528</v>
      </c>
      <c r="AG913" s="473">
        <v>1265</v>
      </c>
      <c r="AH913" s="473">
        <v>158</v>
      </c>
      <c r="AI913" s="473">
        <v>988</v>
      </c>
      <c r="AJ913" s="473">
        <v>2609</v>
      </c>
      <c r="AK913" s="473">
        <v>6264</v>
      </c>
      <c r="AL913" s="473">
        <v>4698</v>
      </c>
      <c r="AM913" s="473">
        <v>313</v>
      </c>
      <c r="AN913" s="473">
        <v>1096</v>
      </c>
      <c r="AO913" s="473">
        <v>626</v>
      </c>
      <c r="AP913" s="473">
        <v>157</v>
      </c>
      <c r="AQ913" s="473">
        <v>1800</v>
      </c>
      <c r="AR913" s="473">
        <v>5779</v>
      </c>
      <c r="AS913" s="473">
        <v>0</v>
      </c>
      <c r="AT913" s="473">
        <v>0</v>
      </c>
      <c r="AU913" s="473"/>
      <c r="AV913" s="473">
        <v>69601</v>
      </c>
      <c r="AW913" s="474">
        <v>69601</v>
      </c>
      <c r="AX913" s="473">
        <v>0</v>
      </c>
      <c r="AY913" s="473">
        <v>0</v>
      </c>
      <c r="AZ913" s="475">
        <v>0</v>
      </c>
      <c r="BA913" s="475">
        <v>200</v>
      </c>
      <c r="BB913" s="475">
        <v>1800</v>
      </c>
      <c r="BC913" s="475">
        <v>0</v>
      </c>
      <c r="BD913" s="475">
        <v>0</v>
      </c>
      <c r="BE913" s="475">
        <v>0</v>
      </c>
      <c r="BF913" s="475">
        <v>0</v>
      </c>
      <c r="BG913" s="475">
        <v>2000</v>
      </c>
      <c r="BH913" s="476">
        <v>67601</v>
      </c>
      <c r="BI913" s="467"/>
      <c r="BJ913" s="468"/>
    </row>
    <row r="914" spans="1:62">
      <c r="A914" s="469">
        <v>46023</v>
      </c>
      <c r="B914" s="469" t="s">
        <v>747</v>
      </c>
      <c r="C914" s="508"/>
      <c r="D914" s="470" t="s">
        <v>749</v>
      </c>
      <c r="E914" s="471">
        <v>2152</v>
      </c>
      <c r="F914" s="470" t="s">
        <v>1285</v>
      </c>
      <c r="G914" s="470" t="s">
        <v>751</v>
      </c>
      <c r="H914" s="470"/>
      <c r="I914" s="470" t="s">
        <v>1286</v>
      </c>
      <c r="J914" s="472" t="s">
        <v>1287</v>
      </c>
      <c r="K914" s="470" t="s">
        <v>1288</v>
      </c>
      <c r="L914" s="470" t="s">
        <v>1165</v>
      </c>
      <c r="M914" s="470" t="s">
        <v>1165</v>
      </c>
      <c r="N914" s="470" t="s">
        <v>756</v>
      </c>
      <c r="O914" s="472" t="s">
        <v>757</v>
      </c>
      <c r="P914" s="472" t="s">
        <v>738</v>
      </c>
      <c r="Q914" s="472" t="s">
        <v>758</v>
      </c>
      <c r="R914" s="472" t="s">
        <v>12</v>
      </c>
      <c r="S914" s="472" t="s">
        <v>12</v>
      </c>
      <c r="T914" s="472" t="s">
        <v>1289</v>
      </c>
      <c r="U914" s="470" t="s">
        <v>1290</v>
      </c>
      <c r="V914" s="470" t="s">
        <v>761</v>
      </c>
      <c r="W914" s="470" t="s">
        <v>898</v>
      </c>
      <c r="X914" s="470">
        <v>31</v>
      </c>
      <c r="Y914" s="470">
        <v>0</v>
      </c>
      <c r="Z914" s="470">
        <v>0</v>
      </c>
      <c r="AA914" s="470">
        <v>31</v>
      </c>
      <c r="AB914" s="470">
        <v>31</v>
      </c>
      <c r="AC914" s="473">
        <v>32760</v>
      </c>
      <c r="AD914" s="473">
        <v>32760</v>
      </c>
      <c r="AE914" s="473">
        <v>14742</v>
      </c>
      <c r="AF914" s="473">
        <v>5897</v>
      </c>
      <c r="AG914" s="473">
        <v>1600</v>
      </c>
      <c r="AH914" s="473">
        <v>200</v>
      </c>
      <c r="AI914" s="473">
        <v>1250</v>
      </c>
      <c r="AJ914" s="473">
        <v>0</v>
      </c>
      <c r="AK914" s="473">
        <v>0</v>
      </c>
      <c r="AL914" s="473">
        <v>0</v>
      </c>
      <c r="AM914" s="473">
        <v>0</v>
      </c>
      <c r="AN914" s="473">
        <v>0</v>
      </c>
      <c r="AO914" s="473">
        <v>0</v>
      </c>
      <c r="AP914" s="473">
        <v>0</v>
      </c>
      <c r="AQ914" s="473">
        <v>1769</v>
      </c>
      <c r="AR914" s="473">
        <v>7302</v>
      </c>
      <c r="AS914" s="473">
        <v>0</v>
      </c>
      <c r="AT914" s="473">
        <v>0</v>
      </c>
      <c r="AU914" s="473"/>
      <c r="AV914" s="473">
        <v>32760</v>
      </c>
      <c r="AW914" s="474">
        <v>32760</v>
      </c>
      <c r="AX914" s="473">
        <v>0</v>
      </c>
      <c r="AY914" s="473">
        <v>0</v>
      </c>
      <c r="AZ914" s="475">
        <v>0</v>
      </c>
      <c r="BA914" s="475">
        <v>200</v>
      </c>
      <c r="BB914" s="475">
        <v>1769</v>
      </c>
      <c r="BC914" s="475">
        <v>0</v>
      </c>
      <c r="BD914" s="475">
        <v>0</v>
      </c>
      <c r="BE914" s="475">
        <v>0</v>
      </c>
      <c r="BF914" s="475">
        <v>0</v>
      </c>
      <c r="BG914" s="475">
        <v>1969</v>
      </c>
      <c r="BH914" s="476">
        <v>30791</v>
      </c>
      <c r="BI914" s="467"/>
      <c r="BJ914" s="468"/>
    </row>
    <row r="915" spans="1:62">
      <c r="A915" s="469">
        <v>46023</v>
      </c>
      <c r="B915" s="469" t="s">
        <v>747</v>
      </c>
      <c r="C915" s="508"/>
      <c r="D915" s="470" t="s">
        <v>749</v>
      </c>
      <c r="E915" s="471">
        <v>2281</v>
      </c>
      <c r="F915" s="470" t="s">
        <v>1446</v>
      </c>
      <c r="G915" s="470" t="s">
        <v>812</v>
      </c>
      <c r="H915" s="470"/>
      <c r="I915" s="470" t="s">
        <v>1447</v>
      </c>
      <c r="J915" s="472" t="s">
        <v>1448</v>
      </c>
      <c r="K915" s="470" t="s">
        <v>1449</v>
      </c>
      <c r="L915" s="470" t="s">
        <v>1345</v>
      </c>
      <c r="M915" s="470" t="s">
        <v>1345</v>
      </c>
      <c r="N915" s="470" t="s">
        <v>1275</v>
      </c>
      <c r="O915" s="472" t="s">
        <v>757</v>
      </c>
      <c r="P915" s="472" t="s">
        <v>738</v>
      </c>
      <c r="Q915" s="472" t="s">
        <v>758</v>
      </c>
      <c r="R915" s="472" t="s">
        <v>12</v>
      </c>
      <c r="S915" s="472" t="s">
        <v>12</v>
      </c>
      <c r="T915" s="472" t="s">
        <v>1450</v>
      </c>
      <c r="U915" s="470" t="s">
        <v>1451</v>
      </c>
      <c r="V915" s="470" t="s">
        <v>761</v>
      </c>
      <c r="W915" s="470" t="s">
        <v>1452</v>
      </c>
      <c r="X915" s="470">
        <v>31</v>
      </c>
      <c r="Y915" s="470">
        <v>0</v>
      </c>
      <c r="Z915" s="470">
        <v>0</v>
      </c>
      <c r="AA915" s="470">
        <v>31</v>
      </c>
      <c r="AB915" s="470">
        <v>31</v>
      </c>
      <c r="AC915" s="473">
        <v>81533</v>
      </c>
      <c r="AD915" s="473">
        <v>81533</v>
      </c>
      <c r="AE915" s="473">
        <v>36690</v>
      </c>
      <c r="AF915" s="473">
        <v>14676</v>
      </c>
      <c r="AG915" s="473">
        <v>1600</v>
      </c>
      <c r="AH915" s="473">
        <v>200</v>
      </c>
      <c r="AI915" s="473">
        <v>1250</v>
      </c>
      <c r="AJ915" s="473">
        <v>3056</v>
      </c>
      <c r="AK915" s="473">
        <v>7338</v>
      </c>
      <c r="AL915" s="473">
        <v>5504</v>
      </c>
      <c r="AM915" s="473">
        <v>367</v>
      </c>
      <c r="AN915" s="473">
        <v>1284</v>
      </c>
      <c r="AO915" s="473">
        <v>734</v>
      </c>
      <c r="AP915" s="473">
        <v>183</v>
      </c>
      <c r="AQ915" s="473">
        <v>1800</v>
      </c>
      <c r="AR915" s="473">
        <v>6851</v>
      </c>
      <c r="AS915" s="473">
        <v>0</v>
      </c>
      <c r="AT915" s="473">
        <v>0</v>
      </c>
      <c r="AU915" s="473"/>
      <c r="AV915" s="473">
        <v>81533</v>
      </c>
      <c r="AW915" s="474">
        <v>81533</v>
      </c>
      <c r="AX915" s="473">
        <v>0</v>
      </c>
      <c r="AY915" s="473">
        <v>0</v>
      </c>
      <c r="AZ915" s="475">
        <v>0</v>
      </c>
      <c r="BA915" s="475">
        <v>200</v>
      </c>
      <c r="BB915" s="475">
        <v>1800</v>
      </c>
      <c r="BC915" s="475">
        <v>0</v>
      </c>
      <c r="BD915" s="475">
        <v>0</v>
      </c>
      <c r="BE915" s="475">
        <v>0</v>
      </c>
      <c r="BF915" s="475">
        <v>0</v>
      </c>
      <c r="BG915" s="475">
        <v>2000</v>
      </c>
      <c r="BH915" s="476">
        <v>79533</v>
      </c>
      <c r="BI915" s="467"/>
      <c r="BJ915" s="468"/>
    </row>
    <row r="916" spans="1:62">
      <c r="A916" s="469">
        <v>46023</v>
      </c>
      <c r="B916" s="469" t="s">
        <v>747</v>
      </c>
      <c r="C916" s="508"/>
      <c r="D916" s="470" t="s">
        <v>749</v>
      </c>
      <c r="E916" s="471">
        <v>1875</v>
      </c>
      <c r="F916" s="470" t="s">
        <v>908</v>
      </c>
      <c r="G916" s="470" t="s">
        <v>751</v>
      </c>
      <c r="H916" s="470"/>
      <c r="I916" s="470" t="s">
        <v>909</v>
      </c>
      <c r="J916" s="472" t="s">
        <v>910</v>
      </c>
      <c r="K916" s="470" t="s">
        <v>911</v>
      </c>
      <c r="L916" s="470" t="s">
        <v>1338</v>
      </c>
      <c r="M916" s="470" t="s">
        <v>776</v>
      </c>
      <c r="N916" s="470" t="s">
        <v>1275</v>
      </c>
      <c r="O916" s="472" t="s">
        <v>757</v>
      </c>
      <c r="P916" s="472" t="s">
        <v>738</v>
      </c>
      <c r="Q916" s="472" t="s">
        <v>758</v>
      </c>
      <c r="R916" s="472" t="s">
        <v>12</v>
      </c>
      <c r="S916" s="472" t="s">
        <v>12</v>
      </c>
      <c r="T916" s="472" t="s">
        <v>912</v>
      </c>
      <c r="U916" s="470" t="s">
        <v>913</v>
      </c>
      <c r="V916" s="470" t="s">
        <v>761</v>
      </c>
      <c r="W916" s="470" t="s">
        <v>859</v>
      </c>
      <c r="X916" s="470">
        <v>31</v>
      </c>
      <c r="Y916" s="470">
        <v>0</v>
      </c>
      <c r="Z916" s="470">
        <v>1</v>
      </c>
      <c r="AA916" s="470">
        <v>30</v>
      </c>
      <c r="AB916" s="470">
        <v>30</v>
      </c>
      <c r="AC916" s="473">
        <v>65840</v>
      </c>
      <c r="AD916" s="473">
        <v>65840</v>
      </c>
      <c r="AE916" s="473">
        <v>28672</v>
      </c>
      <c r="AF916" s="473">
        <v>11469</v>
      </c>
      <c r="AG916" s="473">
        <v>1548</v>
      </c>
      <c r="AH916" s="473">
        <v>194</v>
      </c>
      <c r="AI916" s="473">
        <v>1210</v>
      </c>
      <c r="AJ916" s="473">
        <v>2388</v>
      </c>
      <c r="AK916" s="473">
        <v>5734</v>
      </c>
      <c r="AL916" s="473">
        <v>4301</v>
      </c>
      <c r="AM916" s="473">
        <v>287</v>
      </c>
      <c r="AN916" s="473">
        <v>1004</v>
      </c>
      <c r="AO916" s="473">
        <v>573</v>
      </c>
      <c r="AP916" s="473">
        <v>143</v>
      </c>
      <c r="AQ916" s="473">
        <v>1800</v>
      </c>
      <c r="AR916" s="473">
        <v>4393</v>
      </c>
      <c r="AS916" s="473">
        <v>0</v>
      </c>
      <c r="AT916" s="473">
        <v>0</v>
      </c>
      <c r="AU916" s="473">
        <v>4082</v>
      </c>
      <c r="AV916" s="473">
        <v>67798</v>
      </c>
      <c r="AW916" s="474">
        <v>63716</v>
      </c>
      <c r="AX916" s="473">
        <v>0</v>
      </c>
      <c r="AY916" s="473">
        <v>0</v>
      </c>
      <c r="AZ916" s="475">
        <v>0</v>
      </c>
      <c r="BA916" s="475">
        <v>200</v>
      </c>
      <c r="BB916" s="475">
        <v>1800</v>
      </c>
      <c r="BC916" s="475">
        <v>0</v>
      </c>
      <c r="BD916" s="475">
        <v>0</v>
      </c>
      <c r="BE916" s="475">
        <v>0</v>
      </c>
      <c r="BF916" s="475">
        <v>0</v>
      </c>
      <c r="BG916" s="475">
        <v>2000</v>
      </c>
      <c r="BH916" s="476">
        <v>65798</v>
      </c>
      <c r="BI916" s="467"/>
      <c r="BJ916" s="468"/>
    </row>
    <row r="917" spans="1:62">
      <c r="A917" s="469">
        <v>46023</v>
      </c>
      <c r="B917" s="469" t="s">
        <v>747</v>
      </c>
      <c r="C917" s="508"/>
      <c r="D917" s="470" t="s">
        <v>749</v>
      </c>
      <c r="E917" s="471">
        <v>1135</v>
      </c>
      <c r="F917" s="470" t="s">
        <v>914</v>
      </c>
      <c r="G917" s="470" t="s">
        <v>751</v>
      </c>
      <c r="H917" s="470"/>
      <c r="I917" s="470" t="s">
        <v>915</v>
      </c>
      <c r="J917" s="472" t="s">
        <v>916</v>
      </c>
      <c r="K917" s="470" t="s">
        <v>917</v>
      </c>
      <c r="L917" s="470" t="s">
        <v>942</v>
      </c>
      <c r="M917" s="470" t="s">
        <v>942</v>
      </c>
      <c r="N917" s="470" t="s">
        <v>1275</v>
      </c>
      <c r="O917" s="472" t="s">
        <v>792</v>
      </c>
      <c r="P917" s="472" t="s">
        <v>738</v>
      </c>
      <c r="Q917" s="472" t="s">
        <v>758</v>
      </c>
      <c r="R917" s="472" t="s">
        <v>12</v>
      </c>
      <c r="S917" s="472" t="s">
        <v>12</v>
      </c>
      <c r="T917" s="472" t="s">
        <v>919</v>
      </c>
      <c r="U917" s="470" t="s">
        <v>920</v>
      </c>
      <c r="V917" s="470" t="s">
        <v>761</v>
      </c>
      <c r="W917" s="470" t="s">
        <v>921</v>
      </c>
      <c r="X917" s="470">
        <v>31</v>
      </c>
      <c r="Y917" s="470">
        <v>0</v>
      </c>
      <c r="Z917" s="470">
        <v>0</v>
      </c>
      <c r="AA917" s="470">
        <v>31</v>
      </c>
      <c r="AB917" s="470">
        <v>31</v>
      </c>
      <c r="AC917" s="473">
        <v>169400</v>
      </c>
      <c r="AD917" s="473">
        <v>169400</v>
      </c>
      <c r="AE917" s="473">
        <v>76230</v>
      </c>
      <c r="AF917" s="473">
        <v>30492</v>
      </c>
      <c r="AG917" s="473">
        <v>1600</v>
      </c>
      <c r="AH917" s="473">
        <v>200</v>
      </c>
      <c r="AI917" s="473">
        <v>1250</v>
      </c>
      <c r="AJ917" s="473">
        <v>6350</v>
      </c>
      <c r="AK917" s="473">
        <v>15246</v>
      </c>
      <c r="AL917" s="473">
        <v>11435</v>
      </c>
      <c r="AM917" s="473">
        <v>762</v>
      </c>
      <c r="AN917" s="473">
        <v>2668</v>
      </c>
      <c r="AO917" s="473">
        <v>1525</v>
      </c>
      <c r="AP917" s="473">
        <v>381</v>
      </c>
      <c r="AQ917" s="473">
        <v>1800</v>
      </c>
      <c r="AR917" s="473">
        <v>19461</v>
      </c>
      <c r="AS917" s="473">
        <v>0</v>
      </c>
      <c r="AT917" s="473">
        <v>0</v>
      </c>
      <c r="AU917" s="473">
        <v>9302</v>
      </c>
      <c r="AV917" s="473">
        <v>178702</v>
      </c>
      <c r="AW917" s="474">
        <v>169400</v>
      </c>
      <c r="AX917" s="473">
        <v>0</v>
      </c>
      <c r="AY917" s="473">
        <v>2000</v>
      </c>
      <c r="AZ917" s="475">
        <v>25145</v>
      </c>
      <c r="BA917" s="475">
        <v>200</v>
      </c>
      <c r="BB917" s="475">
        <v>1800</v>
      </c>
      <c r="BC917" s="475">
        <v>0</v>
      </c>
      <c r="BD917" s="475">
        <v>0</v>
      </c>
      <c r="BE917" s="475">
        <v>0</v>
      </c>
      <c r="BF917" s="475">
        <v>0</v>
      </c>
      <c r="BG917" s="475">
        <v>29145</v>
      </c>
      <c r="BH917" s="476">
        <v>149557</v>
      </c>
      <c r="BI917" s="467"/>
      <c r="BJ917" s="468"/>
    </row>
    <row r="918" spans="1:62">
      <c r="A918" s="469">
        <v>46023</v>
      </c>
      <c r="B918" s="469" t="s">
        <v>747</v>
      </c>
      <c r="C918" s="508"/>
      <c r="D918" s="470" t="s">
        <v>749</v>
      </c>
      <c r="E918" s="471">
        <v>2272</v>
      </c>
      <c r="F918" s="470" t="s">
        <v>1453</v>
      </c>
      <c r="G918" s="470" t="s">
        <v>812</v>
      </c>
      <c r="H918" s="470"/>
      <c r="I918" s="470" t="s">
        <v>1426</v>
      </c>
      <c r="J918" s="472" t="s">
        <v>1454</v>
      </c>
      <c r="K918" s="470" t="s">
        <v>1455</v>
      </c>
      <c r="L918" s="470" t="s">
        <v>824</v>
      </c>
      <c r="M918" s="470" t="s">
        <v>824</v>
      </c>
      <c r="N918" s="470" t="s">
        <v>1275</v>
      </c>
      <c r="O918" s="472" t="s">
        <v>1276</v>
      </c>
      <c r="P918" s="472" t="s">
        <v>738</v>
      </c>
      <c r="Q918" s="472" t="s">
        <v>758</v>
      </c>
      <c r="R918" s="472" t="s">
        <v>12</v>
      </c>
      <c r="S918" s="472" t="s">
        <v>12</v>
      </c>
      <c r="T918" s="472" t="s">
        <v>1456</v>
      </c>
      <c r="U918" s="470" t="s">
        <v>1457</v>
      </c>
      <c r="V918" s="470" t="s">
        <v>761</v>
      </c>
      <c r="W918" s="470" t="s">
        <v>1458</v>
      </c>
      <c r="X918" s="470">
        <v>31</v>
      </c>
      <c r="Y918" s="470">
        <v>0</v>
      </c>
      <c r="Z918" s="470">
        <v>0</v>
      </c>
      <c r="AA918" s="470">
        <v>31</v>
      </c>
      <c r="AB918" s="470">
        <v>31</v>
      </c>
      <c r="AC918" s="473">
        <v>44033</v>
      </c>
      <c r="AD918" s="473">
        <v>44033</v>
      </c>
      <c r="AE918" s="473">
        <v>19815</v>
      </c>
      <c r="AF918" s="473">
        <v>7926</v>
      </c>
      <c r="AG918" s="473">
        <v>1600</v>
      </c>
      <c r="AH918" s="473">
        <v>200</v>
      </c>
      <c r="AI918" s="473">
        <v>1250</v>
      </c>
      <c r="AJ918" s="473">
        <v>1651</v>
      </c>
      <c r="AK918" s="473">
        <v>3963</v>
      </c>
      <c r="AL918" s="473">
        <v>2972</v>
      </c>
      <c r="AM918" s="473">
        <v>198</v>
      </c>
      <c r="AN918" s="473">
        <v>694</v>
      </c>
      <c r="AO918" s="473">
        <v>396</v>
      </c>
      <c r="AP918" s="473">
        <v>99</v>
      </c>
      <c r="AQ918" s="473">
        <v>1800</v>
      </c>
      <c r="AR918" s="473">
        <v>1469</v>
      </c>
      <c r="AS918" s="473">
        <v>0</v>
      </c>
      <c r="AT918" s="473">
        <v>0</v>
      </c>
      <c r="AU918" s="473"/>
      <c r="AV918" s="473">
        <v>44033</v>
      </c>
      <c r="AW918" s="474">
        <v>44033</v>
      </c>
      <c r="AX918" s="473">
        <v>0</v>
      </c>
      <c r="AY918" s="473">
        <v>0</v>
      </c>
      <c r="AZ918" s="475">
        <v>0</v>
      </c>
      <c r="BA918" s="475">
        <v>200</v>
      </c>
      <c r="BB918" s="475">
        <v>1800</v>
      </c>
      <c r="BC918" s="475">
        <v>0</v>
      </c>
      <c r="BD918" s="475">
        <v>0</v>
      </c>
      <c r="BE918" s="475">
        <v>0</v>
      </c>
      <c r="BF918" s="475">
        <v>0</v>
      </c>
      <c r="BG918" s="475">
        <v>2000</v>
      </c>
      <c r="BH918" s="476">
        <v>42033</v>
      </c>
      <c r="BI918" s="467"/>
      <c r="BJ918" s="468"/>
    </row>
    <row r="919" spans="1:62">
      <c r="A919" s="469">
        <v>46023</v>
      </c>
      <c r="B919" s="469" t="s">
        <v>747</v>
      </c>
      <c r="C919" s="508"/>
      <c r="D919" s="470" t="s">
        <v>749</v>
      </c>
      <c r="E919" s="471">
        <v>726</v>
      </c>
      <c r="F919" s="470" t="s">
        <v>930</v>
      </c>
      <c r="G919" s="470" t="s">
        <v>812</v>
      </c>
      <c r="H919" s="470"/>
      <c r="I919" s="470" t="s">
        <v>931</v>
      </c>
      <c r="J919" s="472" t="s">
        <v>932</v>
      </c>
      <c r="K919" s="470" t="s">
        <v>933</v>
      </c>
      <c r="L919" s="470" t="s">
        <v>934</v>
      </c>
      <c r="M919" s="470" t="s">
        <v>934</v>
      </c>
      <c r="N919" s="470" t="s">
        <v>1075</v>
      </c>
      <c r="O919" s="472" t="s">
        <v>757</v>
      </c>
      <c r="P919" s="472" t="s">
        <v>738</v>
      </c>
      <c r="Q919" s="472" t="s">
        <v>758</v>
      </c>
      <c r="R919" s="472" t="s">
        <v>12</v>
      </c>
      <c r="S919" s="472" t="s">
        <v>12</v>
      </c>
      <c r="T919" s="472" t="s">
        <v>935</v>
      </c>
      <c r="U919" s="470" t="s">
        <v>936</v>
      </c>
      <c r="V919" s="470" t="s">
        <v>761</v>
      </c>
      <c r="W919" s="470" t="s">
        <v>762</v>
      </c>
      <c r="X919" s="470">
        <v>31</v>
      </c>
      <c r="Y919" s="470">
        <v>0</v>
      </c>
      <c r="Z919" s="470">
        <v>0</v>
      </c>
      <c r="AA919" s="470">
        <v>31</v>
      </c>
      <c r="AB919" s="470">
        <v>31</v>
      </c>
      <c r="AC919" s="473">
        <v>27904</v>
      </c>
      <c r="AD919" s="473">
        <v>27904</v>
      </c>
      <c r="AE919" s="473">
        <v>12557</v>
      </c>
      <c r="AF919" s="473">
        <v>5023</v>
      </c>
      <c r="AG919" s="473">
        <v>1600</v>
      </c>
      <c r="AH919" s="473">
        <v>200</v>
      </c>
      <c r="AI919" s="473">
        <v>1250</v>
      </c>
      <c r="AJ919" s="473">
        <v>0</v>
      </c>
      <c r="AK919" s="473">
        <v>0</v>
      </c>
      <c r="AL919" s="473">
        <v>0</v>
      </c>
      <c r="AM919" s="473">
        <v>0</v>
      </c>
      <c r="AN919" s="473">
        <v>0</v>
      </c>
      <c r="AO919" s="473">
        <v>0</v>
      </c>
      <c r="AP919" s="473">
        <v>0</v>
      </c>
      <c r="AQ919" s="473">
        <v>1507</v>
      </c>
      <c r="AR919" s="473">
        <v>5767</v>
      </c>
      <c r="AS919" s="473">
        <v>0</v>
      </c>
      <c r="AT919" s="473">
        <v>0</v>
      </c>
      <c r="AU919" s="473">
        <v>478</v>
      </c>
      <c r="AV919" s="473">
        <v>28382</v>
      </c>
      <c r="AW919" s="474">
        <v>27904</v>
      </c>
      <c r="AX919" s="473">
        <v>0</v>
      </c>
      <c r="AY919" s="473">
        <v>0</v>
      </c>
      <c r="AZ919" s="475">
        <v>0</v>
      </c>
      <c r="BA919" s="475">
        <v>200</v>
      </c>
      <c r="BB919" s="475">
        <v>1507</v>
      </c>
      <c r="BC919" s="475">
        <v>0</v>
      </c>
      <c r="BD919" s="475">
        <v>0</v>
      </c>
      <c r="BE919" s="475">
        <v>0</v>
      </c>
      <c r="BF919" s="475">
        <v>0</v>
      </c>
      <c r="BG919" s="475">
        <v>1707</v>
      </c>
      <c r="BH919" s="476">
        <v>26675</v>
      </c>
      <c r="BI919" s="467"/>
      <c r="BJ919" s="468"/>
    </row>
    <row r="920" spans="1:62">
      <c r="A920" s="469">
        <v>46023</v>
      </c>
      <c r="B920" s="469" t="s">
        <v>747</v>
      </c>
      <c r="C920" s="508"/>
      <c r="D920" s="470" t="s">
        <v>749</v>
      </c>
      <c r="E920" s="471">
        <v>1722</v>
      </c>
      <c r="F920" s="470" t="s">
        <v>937</v>
      </c>
      <c r="G920" s="470" t="s">
        <v>751</v>
      </c>
      <c r="H920" s="470"/>
      <c r="I920" s="470" t="s">
        <v>938</v>
      </c>
      <c r="J920" s="472" t="s">
        <v>939</v>
      </c>
      <c r="K920" s="470" t="s">
        <v>940</v>
      </c>
      <c r="L920" s="470" t="s">
        <v>941</v>
      </c>
      <c r="M920" s="470" t="s">
        <v>941</v>
      </c>
      <c r="N920" s="470" t="s">
        <v>756</v>
      </c>
      <c r="O920" s="472" t="s">
        <v>943</v>
      </c>
      <c r="P920" s="472" t="s">
        <v>738</v>
      </c>
      <c r="Q920" s="472" t="s">
        <v>758</v>
      </c>
      <c r="R920" s="472" t="s">
        <v>12</v>
      </c>
      <c r="S920" s="472" t="s">
        <v>12</v>
      </c>
      <c r="T920" s="472" t="s">
        <v>944</v>
      </c>
      <c r="U920" s="470" t="s">
        <v>945</v>
      </c>
      <c r="V920" s="470" t="s">
        <v>761</v>
      </c>
      <c r="W920" s="470" t="s">
        <v>946</v>
      </c>
      <c r="X920" s="470">
        <v>31</v>
      </c>
      <c r="Y920" s="470">
        <v>0</v>
      </c>
      <c r="Z920" s="470">
        <v>0</v>
      </c>
      <c r="AA920" s="470">
        <v>31</v>
      </c>
      <c r="AB920" s="470">
        <v>31</v>
      </c>
      <c r="AC920" s="473">
        <v>434795</v>
      </c>
      <c r="AD920" s="473">
        <v>434795</v>
      </c>
      <c r="AE920" s="473">
        <v>195658</v>
      </c>
      <c r="AF920" s="473">
        <v>78263</v>
      </c>
      <c r="AG920" s="473">
        <v>1600</v>
      </c>
      <c r="AH920" s="473">
        <v>200</v>
      </c>
      <c r="AI920" s="473">
        <v>1250</v>
      </c>
      <c r="AJ920" s="473">
        <v>16298</v>
      </c>
      <c r="AK920" s="473">
        <v>39132</v>
      </c>
      <c r="AL920" s="473">
        <v>29349</v>
      </c>
      <c r="AM920" s="473">
        <v>1957</v>
      </c>
      <c r="AN920" s="473">
        <v>6848</v>
      </c>
      <c r="AO920" s="473">
        <v>3913</v>
      </c>
      <c r="AP920" s="473">
        <v>978</v>
      </c>
      <c r="AQ920" s="473">
        <v>1800</v>
      </c>
      <c r="AR920" s="473">
        <v>57549</v>
      </c>
      <c r="AS920" s="473">
        <v>0</v>
      </c>
      <c r="AT920" s="473">
        <v>0</v>
      </c>
      <c r="AU920" s="473"/>
      <c r="AV920" s="473">
        <v>434795</v>
      </c>
      <c r="AW920" s="474">
        <v>434795</v>
      </c>
      <c r="AX920" s="473">
        <v>0</v>
      </c>
      <c r="AY920" s="473">
        <v>0</v>
      </c>
      <c r="AZ920" s="475">
        <v>144055</v>
      </c>
      <c r="BA920" s="475">
        <v>200</v>
      </c>
      <c r="BB920" s="475">
        <v>1800</v>
      </c>
      <c r="BC920" s="475">
        <v>0</v>
      </c>
      <c r="BD920" s="475">
        <v>0</v>
      </c>
      <c r="BE920" s="475">
        <v>0</v>
      </c>
      <c r="BF920" s="475">
        <v>0</v>
      </c>
      <c r="BG920" s="475">
        <v>146055</v>
      </c>
      <c r="BH920" s="476">
        <v>288740</v>
      </c>
      <c r="BI920" s="467"/>
      <c r="BJ920" s="468"/>
    </row>
    <row r="921" spans="1:62">
      <c r="A921" s="469">
        <v>46023</v>
      </c>
      <c r="B921" s="469" t="s">
        <v>747</v>
      </c>
      <c r="C921" s="508"/>
      <c r="D921" s="470" t="s">
        <v>749</v>
      </c>
      <c r="E921" s="471">
        <v>2241</v>
      </c>
      <c r="F921" s="470" t="s">
        <v>1407</v>
      </c>
      <c r="G921" s="470" t="s">
        <v>812</v>
      </c>
      <c r="H921" s="470"/>
      <c r="I921" s="470" t="s">
        <v>1408</v>
      </c>
      <c r="J921" s="472" t="s">
        <v>1409</v>
      </c>
      <c r="K921" s="470" t="s">
        <v>1410</v>
      </c>
      <c r="L921" s="470" t="s">
        <v>1411</v>
      </c>
      <c r="M921" s="470" t="s">
        <v>1411</v>
      </c>
      <c r="N921" s="470" t="s">
        <v>1275</v>
      </c>
      <c r="O921" s="472" t="s">
        <v>757</v>
      </c>
      <c r="P921" s="472" t="s">
        <v>738</v>
      </c>
      <c r="Q921" s="472" t="s">
        <v>758</v>
      </c>
      <c r="R921" s="472" t="s">
        <v>12</v>
      </c>
      <c r="S921" s="472" t="s">
        <v>12</v>
      </c>
      <c r="T921" s="472" t="s">
        <v>1412</v>
      </c>
      <c r="U921" s="470" t="s">
        <v>1413</v>
      </c>
      <c r="V921" s="470" t="s">
        <v>761</v>
      </c>
      <c r="W921" s="470" t="s">
        <v>1414</v>
      </c>
      <c r="X921" s="470">
        <v>31</v>
      </c>
      <c r="Y921" s="470">
        <v>0</v>
      </c>
      <c r="Z921" s="470">
        <v>0</v>
      </c>
      <c r="AA921" s="470">
        <v>31</v>
      </c>
      <c r="AB921" s="470">
        <v>31</v>
      </c>
      <c r="AC921" s="473">
        <v>47367</v>
      </c>
      <c r="AD921" s="473">
        <v>47367</v>
      </c>
      <c r="AE921" s="473">
        <v>21315</v>
      </c>
      <c r="AF921" s="473">
        <v>8526</v>
      </c>
      <c r="AG921" s="473">
        <v>1600</v>
      </c>
      <c r="AH921" s="473">
        <v>200</v>
      </c>
      <c r="AI921" s="473">
        <v>1250</v>
      </c>
      <c r="AJ921" s="473">
        <v>1776</v>
      </c>
      <c r="AK921" s="473">
        <v>4263</v>
      </c>
      <c r="AL921" s="473">
        <v>3197</v>
      </c>
      <c r="AM921" s="473">
        <v>213</v>
      </c>
      <c r="AN921" s="473">
        <v>746</v>
      </c>
      <c r="AO921" s="473">
        <v>426</v>
      </c>
      <c r="AP921" s="473">
        <v>107</v>
      </c>
      <c r="AQ921" s="473">
        <v>1800</v>
      </c>
      <c r="AR921" s="473">
        <v>1948</v>
      </c>
      <c r="AS921" s="473">
        <v>0</v>
      </c>
      <c r="AT921" s="473">
        <v>0</v>
      </c>
      <c r="AU921" s="473"/>
      <c r="AV921" s="473">
        <v>47367</v>
      </c>
      <c r="AW921" s="474">
        <v>47367</v>
      </c>
      <c r="AX921" s="473">
        <v>0</v>
      </c>
      <c r="AY921" s="473">
        <v>0</v>
      </c>
      <c r="AZ921" s="475">
        <v>0</v>
      </c>
      <c r="BA921" s="475">
        <v>200</v>
      </c>
      <c r="BB921" s="475">
        <v>1800</v>
      </c>
      <c r="BC921" s="475">
        <v>0</v>
      </c>
      <c r="BD921" s="475">
        <v>0</v>
      </c>
      <c r="BE921" s="475">
        <v>0</v>
      </c>
      <c r="BF921" s="475">
        <v>0</v>
      </c>
      <c r="BG921" s="475">
        <v>2000</v>
      </c>
      <c r="BH921" s="476">
        <v>45367</v>
      </c>
      <c r="BI921" s="467"/>
      <c r="BJ921" s="468"/>
    </row>
    <row r="922" spans="1:62">
      <c r="A922" s="469">
        <v>46023</v>
      </c>
      <c r="B922" s="469" t="s">
        <v>747</v>
      </c>
      <c r="C922" s="508"/>
      <c r="D922" s="470" t="s">
        <v>749</v>
      </c>
      <c r="E922" s="471">
        <v>1937</v>
      </c>
      <c r="F922" s="470" t="s">
        <v>947</v>
      </c>
      <c r="G922" s="470" t="s">
        <v>751</v>
      </c>
      <c r="H922" s="470"/>
      <c r="I922" s="470" t="s">
        <v>948</v>
      </c>
      <c r="J922" s="472" t="s">
        <v>949</v>
      </c>
      <c r="K922" s="470" t="s">
        <v>950</v>
      </c>
      <c r="L922" s="470" t="s">
        <v>824</v>
      </c>
      <c r="M922" s="470" t="s">
        <v>824</v>
      </c>
      <c r="N922" s="470" t="s">
        <v>1275</v>
      </c>
      <c r="O922" s="472" t="s">
        <v>1276</v>
      </c>
      <c r="P922" s="472" t="s">
        <v>738</v>
      </c>
      <c r="Q922" s="472" t="s">
        <v>758</v>
      </c>
      <c r="R922" s="472" t="s">
        <v>12</v>
      </c>
      <c r="S922" s="472" t="s">
        <v>12</v>
      </c>
      <c r="T922" s="472" t="s">
        <v>951</v>
      </c>
      <c r="U922" s="470" t="s">
        <v>952</v>
      </c>
      <c r="V922" s="470" t="s">
        <v>761</v>
      </c>
      <c r="W922" s="470" t="s">
        <v>859</v>
      </c>
      <c r="X922" s="470">
        <v>31</v>
      </c>
      <c r="Y922" s="470">
        <v>0</v>
      </c>
      <c r="Z922" s="470">
        <v>10</v>
      </c>
      <c r="AA922" s="470">
        <v>2</v>
      </c>
      <c r="AB922" s="470">
        <v>2</v>
      </c>
      <c r="AC922" s="473">
        <v>31533</v>
      </c>
      <c r="AD922" s="473">
        <v>31533</v>
      </c>
      <c r="AE922" s="473">
        <v>915</v>
      </c>
      <c r="AF922" s="473">
        <v>366</v>
      </c>
      <c r="AG922" s="473">
        <v>103</v>
      </c>
      <c r="AH922" s="473">
        <v>135</v>
      </c>
      <c r="AI922" s="473">
        <v>81</v>
      </c>
      <c r="AJ922" s="473">
        <v>0</v>
      </c>
      <c r="AK922" s="473">
        <v>0</v>
      </c>
      <c r="AL922" s="473">
        <v>0</v>
      </c>
      <c r="AM922" s="473">
        <v>0</v>
      </c>
      <c r="AN922" s="473">
        <v>0</v>
      </c>
      <c r="AO922" s="473">
        <v>0</v>
      </c>
      <c r="AP922" s="473">
        <v>0</v>
      </c>
      <c r="AQ922" s="473">
        <v>110</v>
      </c>
      <c r="AR922" s="473">
        <v>324</v>
      </c>
      <c r="AS922" s="473">
        <v>0</v>
      </c>
      <c r="AT922" s="473">
        <v>0</v>
      </c>
      <c r="AU922" s="473">
        <v>1859</v>
      </c>
      <c r="AV922" s="473">
        <v>3893</v>
      </c>
      <c r="AW922" s="474">
        <v>2034</v>
      </c>
      <c r="AX922" s="473">
        <v>0</v>
      </c>
      <c r="AY922" s="473">
        <v>0</v>
      </c>
      <c r="AZ922" s="475">
        <v>0</v>
      </c>
      <c r="BA922" s="475">
        <v>0</v>
      </c>
      <c r="BB922" s="475">
        <v>110</v>
      </c>
      <c r="BC922" s="475">
        <v>0</v>
      </c>
      <c r="BD922" s="475">
        <v>0</v>
      </c>
      <c r="BE922" s="475">
        <v>0</v>
      </c>
      <c r="BF922" s="475">
        <v>0</v>
      </c>
      <c r="BG922" s="475">
        <v>110</v>
      </c>
      <c r="BH922" s="476">
        <v>3783</v>
      </c>
      <c r="BI922" s="467"/>
      <c r="BJ922" s="468"/>
    </row>
    <row r="923" spans="1:62">
      <c r="A923" s="469">
        <v>46023</v>
      </c>
      <c r="B923" s="469" t="s">
        <v>747</v>
      </c>
      <c r="C923" s="508"/>
      <c r="D923" s="470" t="s">
        <v>749</v>
      </c>
      <c r="E923" s="471">
        <v>382</v>
      </c>
      <c r="F923" s="470" t="s">
        <v>953</v>
      </c>
      <c r="G923" s="470" t="s">
        <v>751</v>
      </c>
      <c r="H923" s="470"/>
      <c r="I923" s="470" t="s">
        <v>954</v>
      </c>
      <c r="J923" s="472" t="s">
        <v>955</v>
      </c>
      <c r="K923" s="470" t="s">
        <v>956</v>
      </c>
      <c r="L923" s="470" t="s">
        <v>1305</v>
      </c>
      <c r="M923" s="470" t="s">
        <v>1305</v>
      </c>
      <c r="N923" s="470" t="s">
        <v>833</v>
      </c>
      <c r="O923" s="472" t="s">
        <v>757</v>
      </c>
      <c r="P923" s="472" t="s">
        <v>738</v>
      </c>
      <c r="Q923" s="472" t="s">
        <v>758</v>
      </c>
      <c r="R923" s="472" t="s">
        <v>12</v>
      </c>
      <c r="S923" s="472" t="s">
        <v>12</v>
      </c>
      <c r="T923" s="472" t="s">
        <v>958</v>
      </c>
      <c r="U923" s="470" t="s">
        <v>959</v>
      </c>
      <c r="V923" s="470" t="s">
        <v>761</v>
      </c>
      <c r="W923" s="470" t="s">
        <v>960</v>
      </c>
      <c r="X923" s="470">
        <v>31</v>
      </c>
      <c r="Y923" s="470">
        <v>0</v>
      </c>
      <c r="Z923" s="470">
        <v>0</v>
      </c>
      <c r="AA923" s="470">
        <v>31</v>
      </c>
      <c r="AB923" s="470">
        <v>31</v>
      </c>
      <c r="AC923" s="473">
        <v>36950</v>
      </c>
      <c r="AD923" s="473">
        <v>36950</v>
      </c>
      <c r="AE923" s="473">
        <v>16628</v>
      </c>
      <c r="AF923" s="473">
        <v>6651</v>
      </c>
      <c r="AG923" s="473">
        <v>1600</v>
      </c>
      <c r="AH923" s="473">
        <v>200</v>
      </c>
      <c r="AI923" s="473">
        <v>1250</v>
      </c>
      <c r="AJ923" s="473">
        <v>0</v>
      </c>
      <c r="AK923" s="473">
        <v>0</v>
      </c>
      <c r="AL923" s="473">
        <v>0</v>
      </c>
      <c r="AM923" s="473">
        <v>0</v>
      </c>
      <c r="AN923" s="473">
        <v>0</v>
      </c>
      <c r="AO923" s="473">
        <v>0</v>
      </c>
      <c r="AP923" s="473">
        <v>0</v>
      </c>
      <c r="AQ923" s="473">
        <v>1800</v>
      </c>
      <c r="AR923" s="473">
        <v>8821</v>
      </c>
      <c r="AS923" s="473">
        <v>0</v>
      </c>
      <c r="AT923" s="473">
        <v>0</v>
      </c>
      <c r="AU923" s="473">
        <v>5452</v>
      </c>
      <c r="AV923" s="473">
        <v>42402</v>
      </c>
      <c r="AW923" s="474">
        <v>36950</v>
      </c>
      <c r="AX923" s="473">
        <v>0</v>
      </c>
      <c r="AY923" s="473">
        <v>0</v>
      </c>
      <c r="AZ923" s="475">
        <v>0</v>
      </c>
      <c r="BA923" s="475">
        <v>200</v>
      </c>
      <c r="BB923" s="475">
        <v>1800</v>
      </c>
      <c r="BC923" s="475">
        <v>0</v>
      </c>
      <c r="BD923" s="475">
        <v>0</v>
      </c>
      <c r="BE923" s="475">
        <v>0</v>
      </c>
      <c r="BF923" s="475">
        <v>0</v>
      </c>
      <c r="BG923" s="475">
        <v>2000</v>
      </c>
      <c r="BH923" s="476">
        <v>40402</v>
      </c>
      <c r="BI923" s="467"/>
      <c r="BJ923" s="468"/>
    </row>
    <row r="924" spans="1:62">
      <c r="A924" s="469">
        <v>46023</v>
      </c>
      <c r="B924" s="469" t="s">
        <v>747</v>
      </c>
      <c r="C924" s="508"/>
      <c r="D924" s="470" t="s">
        <v>749</v>
      </c>
      <c r="E924" s="471">
        <v>511</v>
      </c>
      <c r="F924" s="470" t="s">
        <v>961</v>
      </c>
      <c r="G924" s="470" t="s">
        <v>751</v>
      </c>
      <c r="H924" s="470"/>
      <c r="I924" s="470" t="s">
        <v>962</v>
      </c>
      <c r="J924" s="472" t="s">
        <v>963</v>
      </c>
      <c r="K924" s="470" t="s">
        <v>964</v>
      </c>
      <c r="L924" s="470" t="s">
        <v>776</v>
      </c>
      <c r="M924" s="470" t="s">
        <v>776</v>
      </c>
      <c r="N924" s="470" t="s">
        <v>1075</v>
      </c>
      <c r="O924" s="472" t="s">
        <v>757</v>
      </c>
      <c r="P924" s="472" t="s">
        <v>738</v>
      </c>
      <c r="Q924" s="472" t="s">
        <v>758</v>
      </c>
      <c r="R924" s="472" t="s">
        <v>12</v>
      </c>
      <c r="S924" s="472" t="s">
        <v>12</v>
      </c>
      <c r="T924" s="472" t="s">
        <v>965</v>
      </c>
      <c r="U924" s="470" t="s">
        <v>966</v>
      </c>
      <c r="V924" s="470" t="s">
        <v>761</v>
      </c>
      <c r="W924" s="470" t="s">
        <v>845</v>
      </c>
      <c r="X924" s="470">
        <v>31</v>
      </c>
      <c r="Y924" s="470">
        <v>0</v>
      </c>
      <c r="Z924" s="470">
        <v>0</v>
      </c>
      <c r="AA924" s="470">
        <v>31</v>
      </c>
      <c r="AB924" s="470">
        <v>31</v>
      </c>
      <c r="AC924" s="473">
        <v>43308</v>
      </c>
      <c r="AD924" s="473">
        <v>43308</v>
      </c>
      <c r="AE924" s="473">
        <v>19489</v>
      </c>
      <c r="AF924" s="473">
        <v>7796</v>
      </c>
      <c r="AG924" s="473">
        <v>1600</v>
      </c>
      <c r="AH924" s="473">
        <v>200</v>
      </c>
      <c r="AI924" s="473">
        <v>1250</v>
      </c>
      <c r="AJ924" s="473">
        <v>1623</v>
      </c>
      <c r="AK924" s="473">
        <v>3898</v>
      </c>
      <c r="AL924" s="473">
        <v>2923</v>
      </c>
      <c r="AM924" s="473">
        <v>195</v>
      </c>
      <c r="AN924" s="473">
        <v>682</v>
      </c>
      <c r="AO924" s="473">
        <v>390</v>
      </c>
      <c r="AP924" s="473">
        <v>97</v>
      </c>
      <c r="AQ924" s="473">
        <v>1800</v>
      </c>
      <c r="AR924" s="473">
        <v>1365</v>
      </c>
      <c r="AS924" s="473">
        <v>0</v>
      </c>
      <c r="AT924" s="473">
        <v>0</v>
      </c>
      <c r="AU924" s="473">
        <v>3299</v>
      </c>
      <c r="AV924" s="473">
        <v>46607</v>
      </c>
      <c r="AW924" s="474">
        <v>43308</v>
      </c>
      <c r="AX924" s="473">
        <v>0</v>
      </c>
      <c r="AY924" s="473">
        <v>0</v>
      </c>
      <c r="AZ924" s="475">
        <v>0</v>
      </c>
      <c r="BA924" s="475">
        <v>200</v>
      </c>
      <c r="BB924" s="475">
        <v>1800</v>
      </c>
      <c r="BC924" s="475">
        <v>0</v>
      </c>
      <c r="BD924" s="475">
        <v>0</v>
      </c>
      <c r="BE924" s="475">
        <v>0</v>
      </c>
      <c r="BF924" s="475">
        <v>0</v>
      </c>
      <c r="BG924" s="475">
        <v>2000</v>
      </c>
      <c r="BH924" s="476">
        <v>44607</v>
      </c>
      <c r="BI924" s="467"/>
      <c r="BJ924" s="468"/>
    </row>
    <row r="925" spans="1:62">
      <c r="A925" s="469">
        <v>46023</v>
      </c>
      <c r="B925" s="469" t="s">
        <v>747</v>
      </c>
      <c r="C925" s="508"/>
      <c r="D925" s="470" t="s">
        <v>749</v>
      </c>
      <c r="E925" s="471">
        <v>2062</v>
      </c>
      <c r="F925" s="470" t="s">
        <v>967</v>
      </c>
      <c r="G925" s="470" t="s">
        <v>751</v>
      </c>
      <c r="H925" s="470"/>
      <c r="I925" s="470" t="s">
        <v>968</v>
      </c>
      <c r="J925" s="472" t="s">
        <v>969</v>
      </c>
      <c r="K925" s="470" t="s">
        <v>970</v>
      </c>
      <c r="L925" s="470" t="s">
        <v>971</v>
      </c>
      <c r="M925" s="470" t="s">
        <v>971</v>
      </c>
      <c r="N925" s="470" t="s">
        <v>756</v>
      </c>
      <c r="O925" s="472" t="s">
        <v>792</v>
      </c>
      <c r="P925" s="472" t="s">
        <v>738</v>
      </c>
      <c r="Q925" s="472" t="s">
        <v>758</v>
      </c>
      <c r="R925" s="472" t="s">
        <v>12</v>
      </c>
      <c r="S925" s="472" t="s">
        <v>12</v>
      </c>
      <c r="T925" s="472" t="s">
        <v>972</v>
      </c>
      <c r="U925" s="470" t="s">
        <v>1362</v>
      </c>
      <c r="V925" s="470" t="s">
        <v>761</v>
      </c>
      <c r="W925" s="470" t="s">
        <v>974</v>
      </c>
      <c r="X925" s="470">
        <v>31</v>
      </c>
      <c r="Y925" s="470">
        <v>0</v>
      </c>
      <c r="Z925" s="470">
        <v>0.5</v>
      </c>
      <c r="AA925" s="470">
        <v>30.5</v>
      </c>
      <c r="AB925" s="470">
        <v>30.5</v>
      </c>
      <c r="AC925" s="473">
        <v>181533</v>
      </c>
      <c r="AD925" s="473">
        <v>181533</v>
      </c>
      <c r="AE925" s="473">
        <v>80372</v>
      </c>
      <c r="AF925" s="473">
        <v>32149</v>
      </c>
      <c r="AG925" s="473">
        <v>1574</v>
      </c>
      <c r="AH925" s="473">
        <v>197</v>
      </c>
      <c r="AI925" s="473">
        <v>1230</v>
      </c>
      <c r="AJ925" s="473">
        <v>6695</v>
      </c>
      <c r="AK925" s="473">
        <v>16074</v>
      </c>
      <c r="AL925" s="473">
        <v>12056</v>
      </c>
      <c r="AM925" s="473">
        <v>804</v>
      </c>
      <c r="AN925" s="473">
        <v>2813</v>
      </c>
      <c r="AO925" s="473">
        <v>1607</v>
      </c>
      <c r="AP925" s="473">
        <v>402</v>
      </c>
      <c r="AQ925" s="473">
        <v>1800</v>
      </c>
      <c r="AR925" s="473">
        <v>20832</v>
      </c>
      <c r="AS925" s="473">
        <v>0</v>
      </c>
      <c r="AT925" s="473">
        <v>0</v>
      </c>
      <c r="AU925" s="473">
        <v>2990</v>
      </c>
      <c r="AV925" s="473">
        <v>181595</v>
      </c>
      <c r="AW925" s="474">
        <v>178605</v>
      </c>
      <c r="AX925" s="473">
        <v>0</v>
      </c>
      <c r="AY925" s="473">
        <v>0</v>
      </c>
      <c r="AZ925" s="475">
        <v>18541</v>
      </c>
      <c r="BA925" s="475">
        <v>200</v>
      </c>
      <c r="BB925" s="475">
        <v>1800</v>
      </c>
      <c r="BC925" s="475">
        <v>0</v>
      </c>
      <c r="BD925" s="475">
        <v>0</v>
      </c>
      <c r="BE925" s="475">
        <v>0</v>
      </c>
      <c r="BF925" s="475">
        <v>0</v>
      </c>
      <c r="BG925" s="475">
        <v>20541</v>
      </c>
      <c r="BH925" s="476">
        <v>161054</v>
      </c>
      <c r="BI925" s="467"/>
      <c r="BJ925" s="468"/>
    </row>
    <row r="926" spans="1:62">
      <c r="A926" s="469">
        <v>46023</v>
      </c>
      <c r="B926" s="469" t="s">
        <v>747</v>
      </c>
      <c r="C926" s="508"/>
      <c r="D926" s="470" t="s">
        <v>749</v>
      </c>
      <c r="E926" s="471">
        <v>2300</v>
      </c>
      <c r="F926" s="470" t="s">
        <v>1522</v>
      </c>
      <c r="G926" s="470" t="s">
        <v>751</v>
      </c>
      <c r="H926" s="470"/>
      <c r="I926" s="470" t="s">
        <v>1523</v>
      </c>
      <c r="J926" s="472" t="s">
        <v>1524</v>
      </c>
      <c r="K926" s="470" t="s">
        <v>1525</v>
      </c>
      <c r="L926" s="470" t="s">
        <v>971</v>
      </c>
      <c r="M926" s="470" t="s">
        <v>1512</v>
      </c>
      <c r="N926" s="470" t="s">
        <v>1275</v>
      </c>
      <c r="O926" s="472" t="s">
        <v>792</v>
      </c>
      <c r="P926" s="472" t="s">
        <v>738</v>
      </c>
      <c r="Q926" s="472" t="s">
        <v>758</v>
      </c>
      <c r="R926" s="472" t="s">
        <v>12</v>
      </c>
      <c r="S926" s="472" t="s">
        <v>12</v>
      </c>
      <c r="T926" s="472" t="s">
        <v>1526</v>
      </c>
      <c r="U926" s="470" t="s">
        <v>1527</v>
      </c>
      <c r="V926" s="470" t="s">
        <v>761</v>
      </c>
      <c r="W926" s="470" t="s">
        <v>845</v>
      </c>
      <c r="X926" s="470">
        <v>31</v>
      </c>
      <c r="Y926" s="470">
        <v>0</v>
      </c>
      <c r="Z926" s="470">
        <v>1</v>
      </c>
      <c r="AA926" s="470">
        <v>30</v>
      </c>
      <c r="AB926" s="470">
        <v>30</v>
      </c>
      <c r="AC926" s="473">
        <v>142367</v>
      </c>
      <c r="AD926" s="473">
        <v>142367</v>
      </c>
      <c r="AE926" s="473">
        <v>61999</v>
      </c>
      <c r="AF926" s="473">
        <v>24800</v>
      </c>
      <c r="AG926" s="473">
        <v>1548</v>
      </c>
      <c r="AH926" s="473">
        <v>194</v>
      </c>
      <c r="AI926" s="473">
        <v>1210</v>
      </c>
      <c r="AJ926" s="473">
        <v>5165</v>
      </c>
      <c r="AK926" s="473">
        <v>12400</v>
      </c>
      <c r="AL926" s="473">
        <v>9300</v>
      </c>
      <c r="AM926" s="473">
        <v>620</v>
      </c>
      <c r="AN926" s="473">
        <v>2170</v>
      </c>
      <c r="AO926" s="473">
        <v>1240</v>
      </c>
      <c r="AP926" s="473">
        <v>310</v>
      </c>
      <c r="AQ926" s="473">
        <v>1800</v>
      </c>
      <c r="AR926" s="473">
        <v>15019</v>
      </c>
      <c r="AS926" s="473">
        <v>0</v>
      </c>
      <c r="AT926" s="473">
        <v>0</v>
      </c>
      <c r="AU926" s="473">
        <v>2127</v>
      </c>
      <c r="AV926" s="473">
        <v>139902</v>
      </c>
      <c r="AW926" s="474">
        <v>137775</v>
      </c>
      <c r="AX926" s="473">
        <v>0</v>
      </c>
      <c r="AY926" s="473">
        <v>0</v>
      </c>
      <c r="AZ926" s="475">
        <v>0</v>
      </c>
      <c r="BA926" s="475">
        <v>200</v>
      </c>
      <c r="BB926" s="475">
        <v>1800</v>
      </c>
      <c r="BC926" s="475">
        <v>0</v>
      </c>
      <c r="BD926" s="475">
        <v>0</v>
      </c>
      <c r="BE926" s="475">
        <v>0</v>
      </c>
      <c r="BF926" s="475">
        <v>0</v>
      </c>
      <c r="BG926" s="475">
        <v>2000</v>
      </c>
      <c r="BH926" s="476">
        <v>137902</v>
      </c>
      <c r="BI926" s="467"/>
      <c r="BJ926" s="468"/>
    </row>
    <row r="927" spans="1:62">
      <c r="A927" s="469">
        <v>46023</v>
      </c>
      <c r="B927" s="469" t="s">
        <v>747</v>
      </c>
      <c r="C927" s="508"/>
      <c r="D927" s="470" t="s">
        <v>749</v>
      </c>
      <c r="E927" s="471">
        <v>2282</v>
      </c>
      <c r="F927" s="470" t="s">
        <v>1459</v>
      </c>
      <c r="G927" s="470" t="s">
        <v>812</v>
      </c>
      <c r="H927" s="470"/>
      <c r="I927" s="470" t="s">
        <v>1447</v>
      </c>
      <c r="J927" s="472" t="s">
        <v>1460</v>
      </c>
      <c r="K927" s="470" t="s">
        <v>1461</v>
      </c>
      <c r="L927" s="470" t="s">
        <v>1345</v>
      </c>
      <c r="M927" s="470" t="s">
        <v>994</v>
      </c>
      <c r="N927" s="470" t="s">
        <v>1275</v>
      </c>
      <c r="O927" s="472" t="s">
        <v>757</v>
      </c>
      <c r="P927" s="472" t="s">
        <v>738</v>
      </c>
      <c r="Q927" s="472" t="s">
        <v>758</v>
      </c>
      <c r="R927" s="472" t="s">
        <v>12</v>
      </c>
      <c r="S927" s="472" t="s">
        <v>12</v>
      </c>
      <c r="T927" s="472" t="s">
        <v>1462</v>
      </c>
      <c r="U927" s="470" t="s">
        <v>1463</v>
      </c>
      <c r="V927" s="470" t="s">
        <v>761</v>
      </c>
      <c r="W927" s="470" t="s">
        <v>1464</v>
      </c>
      <c r="X927" s="470">
        <v>31</v>
      </c>
      <c r="Y927" s="470">
        <v>0</v>
      </c>
      <c r="Z927" s="470">
        <v>0</v>
      </c>
      <c r="AA927" s="470">
        <v>31</v>
      </c>
      <c r="AB927" s="470">
        <v>31</v>
      </c>
      <c r="AC927" s="473">
        <v>76500</v>
      </c>
      <c r="AD927" s="473">
        <v>76500</v>
      </c>
      <c r="AE927" s="473">
        <v>34425</v>
      </c>
      <c r="AF927" s="473">
        <v>13770</v>
      </c>
      <c r="AG927" s="473">
        <v>1600</v>
      </c>
      <c r="AH927" s="473">
        <v>200</v>
      </c>
      <c r="AI927" s="473">
        <v>1250</v>
      </c>
      <c r="AJ927" s="473">
        <v>2868</v>
      </c>
      <c r="AK927" s="473">
        <v>6885</v>
      </c>
      <c r="AL927" s="473">
        <v>5164</v>
      </c>
      <c r="AM927" s="473">
        <v>344</v>
      </c>
      <c r="AN927" s="473">
        <v>1205</v>
      </c>
      <c r="AO927" s="473">
        <v>689</v>
      </c>
      <c r="AP927" s="473">
        <v>172</v>
      </c>
      <c r="AQ927" s="473">
        <v>1800</v>
      </c>
      <c r="AR927" s="473">
        <v>6128</v>
      </c>
      <c r="AS927" s="473">
        <v>0</v>
      </c>
      <c r="AT927" s="473">
        <v>0</v>
      </c>
      <c r="AU927" s="473"/>
      <c r="AV927" s="473">
        <v>76500</v>
      </c>
      <c r="AW927" s="474">
        <v>76500</v>
      </c>
      <c r="AX927" s="473">
        <v>0</v>
      </c>
      <c r="AY927" s="473">
        <v>0</v>
      </c>
      <c r="AZ927" s="475">
        <v>0</v>
      </c>
      <c r="BA927" s="475">
        <v>200</v>
      </c>
      <c r="BB927" s="475">
        <v>1800</v>
      </c>
      <c r="BC927" s="475">
        <v>0</v>
      </c>
      <c r="BD927" s="475">
        <v>0</v>
      </c>
      <c r="BE927" s="475">
        <v>0</v>
      </c>
      <c r="BF927" s="475">
        <v>0</v>
      </c>
      <c r="BG927" s="475">
        <v>2000</v>
      </c>
      <c r="BH927" s="476">
        <v>74500</v>
      </c>
      <c r="BI927" s="467"/>
      <c r="BJ927" s="468"/>
    </row>
    <row r="928" spans="1:62">
      <c r="A928" s="469">
        <v>46023</v>
      </c>
      <c r="B928" s="469" t="s">
        <v>747</v>
      </c>
      <c r="C928" s="508"/>
      <c r="D928" s="470" t="s">
        <v>749</v>
      </c>
      <c r="E928" s="471">
        <v>1092</v>
      </c>
      <c r="F928" s="470" t="s">
        <v>975</v>
      </c>
      <c r="G928" s="470" t="s">
        <v>751</v>
      </c>
      <c r="H928" s="470"/>
      <c r="I928" s="470" t="s">
        <v>976</v>
      </c>
      <c r="J928" s="472" t="s">
        <v>977</v>
      </c>
      <c r="K928" s="470" t="s">
        <v>978</v>
      </c>
      <c r="L928" s="470" t="s">
        <v>1345</v>
      </c>
      <c r="M928" s="470" t="s">
        <v>1345</v>
      </c>
      <c r="N928" s="470" t="s">
        <v>1275</v>
      </c>
      <c r="O928" s="472" t="s">
        <v>757</v>
      </c>
      <c r="P928" s="472" t="s">
        <v>738</v>
      </c>
      <c r="Q928" s="472" t="s">
        <v>758</v>
      </c>
      <c r="R928" s="472" t="s">
        <v>12</v>
      </c>
      <c r="S928" s="472" t="s">
        <v>12</v>
      </c>
      <c r="T928" s="472" t="s">
        <v>981</v>
      </c>
      <c r="U928" s="470" t="s">
        <v>982</v>
      </c>
      <c r="V928" s="470" t="s">
        <v>761</v>
      </c>
      <c r="W928" s="470" t="s">
        <v>762</v>
      </c>
      <c r="X928" s="470">
        <v>31</v>
      </c>
      <c r="Y928" s="470">
        <v>0</v>
      </c>
      <c r="Z928" s="470">
        <v>0</v>
      </c>
      <c r="AA928" s="470">
        <v>31</v>
      </c>
      <c r="AB928" s="470">
        <v>31</v>
      </c>
      <c r="AC928" s="473">
        <v>71927</v>
      </c>
      <c r="AD928" s="473">
        <v>71927</v>
      </c>
      <c r="AE928" s="473">
        <v>32367</v>
      </c>
      <c r="AF928" s="473">
        <v>12947</v>
      </c>
      <c r="AG928" s="473">
        <v>1600</v>
      </c>
      <c r="AH928" s="473">
        <v>200</v>
      </c>
      <c r="AI928" s="473">
        <v>1250</v>
      </c>
      <c r="AJ928" s="473">
        <v>2696</v>
      </c>
      <c r="AK928" s="473">
        <v>6473</v>
      </c>
      <c r="AL928" s="473">
        <v>4855</v>
      </c>
      <c r="AM928" s="473">
        <v>324</v>
      </c>
      <c r="AN928" s="473">
        <v>1133</v>
      </c>
      <c r="AO928" s="473">
        <v>647</v>
      </c>
      <c r="AP928" s="473">
        <v>162</v>
      </c>
      <c r="AQ928" s="473">
        <v>1800</v>
      </c>
      <c r="AR928" s="473">
        <v>5473</v>
      </c>
      <c r="AS928" s="473">
        <v>0</v>
      </c>
      <c r="AT928" s="473">
        <v>0</v>
      </c>
      <c r="AU928" s="473">
        <v>1496</v>
      </c>
      <c r="AV928" s="473">
        <v>73423</v>
      </c>
      <c r="AW928" s="474">
        <v>71927</v>
      </c>
      <c r="AX928" s="473">
        <v>0</v>
      </c>
      <c r="AY928" s="473">
        <v>0</v>
      </c>
      <c r="AZ928" s="475">
        <v>0</v>
      </c>
      <c r="BA928" s="475">
        <v>200</v>
      </c>
      <c r="BB928" s="475">
        <v>1800</v>
      </c>
      <c r="BC928" s="475">
        <v>0</v>
      </c>
      <c r="BD928" s="475">
        <v>0</v>
      </c>
      <c r="BE928" s="475">
        <v>0</v>
      </c>
      <c r="BF928" s="475">
        <v>0</v>
      </c>
      <c r="BG928" s="475">
        <v>2000</v>
      </c>
      <c r="BH928" s="476">
        <v>71423</v>
      </c>
      <c r="BI928" s="467"/>
      <c r="BJ928" s="468"/>
    </row>
    <row r="929" spans="1:62">
      <c r="A929" s="469">
        <v>46023</v>
      </c>
      <c r="B929" s="469" t="s">
        <v>747</v>
      </c>
      <c r="C929" s="508"/>
      <c r="D929" s="470" t="s">
        <v>749</v>
      </c>
      <c r="E929" s="471">
        <v>1506</v>
      </c>
      <c r="F929" s="470" t="s">
        <v>983</v>
      </c>
      <c r="G929" s="470" t="s">
        <v>751</v>
      </c>
      <c r="H929" s="470"/>
      <c r="I929" s="470" t="s">
        <v>984</v>
      </c>
      <c r="J929" s="472" t="s">
        <v>985</v>
      </c>
      <c r="K929" s="470" t="s">
        <v>986</v>
      </c>
      <c r="L929" s="470" t="s">
        <v>987</v>
      </c>
      <c r="M929" s="470" t="s">
        <v>987</v>
      </c>
      <c r="N929" s="470" t="s">
        <v>756</v>
      </c>
      <c r="O929" s="472" t="s">
        <v>757</v>
      </c>
      <c r="P929" s="472" t="s">
        <v>738</v>
      </c>
      <c r="Q929" s="472" t="s">
        <v>758</v>
      </c>
      <c r="R929" s="472" t="s">
        <v>12</v>
      </c>
      <c r="S929" s="472" t="s">
        <v>12</v>
      </c>
      <c r="T929" s="472" t="s">
        <v>988</v>
      </c>
      <c r="U929" s="470" t="s">
        <v>989</v>
      </c>
      <c r="V929" s="470" t="s">
        <v>761</v>
      </c>
      <c r="W929" s="470" t="s">
        <v>762</v>
      </c>
      <c r="X929" s="470">
        <v>31</v>
      </c>
      <c r="Y929" s="470">
        <v>0</v>
      </c>
      <c r="Z929" s="470">
        <v>0</v>
      </c>
      <c r="AA929" s="470">
        <v>31</v>
      </c>
      <c r="AB929" s="470">
        <v>31</v>
      </c>
      <c r="AC929" s="473">
        <v>49575</v>
      </c>
      <c r="AD929" s="473">
        <v>49575</v>
      </c>
      <c r="AE929" s="473">
        <v>22309</v>
      </c>
      <c r="AF929" s="473">
        <v>8924</v>
      </c>
      <c r="AG929" s="473">
        <v>1600</v>
      </c>
      <c r="AH929" s="473">
        <v>200</v>
      </c>
      <c r="AI929" s="473">
        <v>1250</v>
      </c>
      <c r="AJ929" s="473">
        <v>1858</v>
      </c>
      <c r="AK929" s="473">
        <v>4462</v>
      </c>
      <c r="AL929" s="473">
        <v>3346</v>
      </c>
      <c r="AM929" s="473">
        <v>223</v>
      </c>
      <c r="AN929" s="473">
        <v>781</v>
      </c>
      <c r="AO929" s="473">
        <v>446</v>
      </c>
      <c r="AP929" s="473">
        <v>112</v>
      </c>
      <c r="AQ929" s="473">
        <v>1800</v>
      </c>
      <c r="AR929" s="473">
        <v>2264</v>
      </c>
      <c r="AS929" s="473">
        <v>0</v>
      </c>
      <c r="AT929" s="473">
        <v>0</v>
      </c>
      <c r="AU929" s="473"/>
      <c r="AV929" s="473">
        <v>49575</v>
      </c>
      <c r="AW929" s="474">
        <v>49575</v>
      </c>
      <c r="AX929" s="473">
        <v>0</v>
      </c>
      <c r="AY929" s="473">
        <v>0</v>
      </c>
      <c r="AZ929" s="475">
        <v>0</v>
      </c>
      <c r="BA929" s="475">
        <v>200</v>
      </c>
      <c r="BB929" s="475">
        <v>1800</v>
      </c>
      <c r="BC929" s="475">
        <v>0</v>
      </c>
      <c r="BD929" s="475">
        <v>0</v>
      </c>
      <c r="BE929" s="475">
        <v>0</v>
      </c>
      <c r="BF929" s="475">
        <v>0</v>
      </c>
      <c r="BG929" s="475">
        <v>2000</v>
      </c>
      <c r="BH929" s="476">
        <v>47575</v>
      </c>
      <c r="BI929" s="467"/>
      <c r="BJ929" s="468"/>
    </row>
    <row r="930" spans="1:62">
      <c r="A930" s="469">
        <v>46023</v>
      </c>
      <c r="B930" s="469" t="s">
        <v>747</v>
      </c>
      <c r="C930" s="508"/>
      <c r="D930" s="470" t="s">
        <v>749</v>
      </c>
      <c r="E930" s="471">
        <v>1700</v>
      </c>
      <c r="F930" s="470" t="s">
        <v>990</v>
      </c>
      <c r="G930" s="470" t="s">
        <v>751</v>
      </c>
      <c r="H930" s="470"/>
      <c r="I930" s="470" t="s">
        <v>991</v>
      </c>
      <c r="J930" s="472" t="s">
        <v>992</v>
      </c>
      <c r="K930" s="470" t="s">
        <v>993</v>
      </c>
      <c r="L930" s="470" t="s">
        <v>1345</v>
      </c>
      <c r="M930" s="470" t="s">
        <v>1345</v>
      </c>
      <c r="N930" s="470" t="s">
        <v>1275</v>
      </c>
      <c r="O930" s="472" t="s">
        <v>757</v>
      </c>
      <c r="P930" s="472" t="s">
        <v>738</v>
      </c>
      <c r="Q930" s="472" t="s">
        <v>758</v>
      </c>
      <c r="R930" s="472" t="s">
        <v>12</v>
      </c>
      <c r="S930" s="472" t="s">
        <v>12</v>
      </c>
      <c r="T930" s="472" t="s">
        <v>995</v>
      </c>
      <c r="U930" s="470" t="s">
        <v>996</v>
      </c>
      <c r="V930" s="470" t="s">
        <v>761</v>
      </c>
      <c r="W930" s="470" t="s">
        <v>859</v>
      </c>
      <c r="X930" s="470">
        <v>31</v>
      </c>
      <c r="Y930" s="470">
        <v>0</v>
      </c>
      <c r="Z930" s="470">
        <v>0.5</v>
      </c>
      <c r="AA930" s="470">
        <v>30.5</v>
      </c>
      <c r="AB930" s="470">
        <v>30.5</v>
      </c>
      <c r="AC930" s="473">
        <v>79907</v>
      </c>
      <c r="AD930" s="473">
        <v>79907</v>
      </c>
      <c r="AE930" s="473">
        <v>35378</v>
      </c>
      <c r="AF930" s="473">
        <v>14151</v>
      </c>
      <c r="AG930" s="473">
        <v>1574</v>
      </c>
      <c r="AH930" s="473">
        <v>197</v>
      </c>
      <c r="AI930" s="473">
        <v>1230</v>
      </c>
      <c r="AJ930" s="473">
        <v>2947</v>
      </c>
      <c r="AK930" s="473">
        <v>7076</v>
      </c>
      <c r="AL930" s="473">
        <v>5307</v>
      </c>
      <c r="AM930" s="473">
        <v>354</v>
      </c>
      <c r="AN930" s="473">
        <v>1238</v>
      </c>
      <c r="AO930" s="473">
        <v>708</v>
      </c>
      <c r="AP930" s="473">
        <v>177</v>
      </c>
      <c r="AQ930" s="473">
        <v>1800</v>
      </c>
      <c r="AR930" s="473">
        <v>6481</v>
      </c>
      <c r="AS930" s="473">
        <v>0</v>
      </c>
      <c r="AT930" s="473">
        <v>0</v>
      </c>
      <c r="AU930" s="473">
        <v>1814</v>
      </c>
      <c r="AV930" s="473">
        <v>80432</v>
      </c>
      <c r="AW930" s="474">
        <v>78618</v>
      </c>
      <c r="AX930" s="473">
        <v>0</v>
      </c>
      <c r="AY930" s="473">
        <v>0</v>
      </c>
      <c r="AZ930" s="475">
        <v>0</v>
      </c>
      <c r="BA930" s="475">
        <v>200</v>
      </c>
      <c r="BB930" s="475">
        <v>1800</v>
      </c>
      <c r="BC930" s="475">
        <v>0</v>
      </c>
      <c r="BD930" s="475">
        <v>0</v>
      </c>
      <c r="BE930" s="475">
        <v>0</v>
      </c>
      <c r="BF930" s="475">
        <v>0</v>
      </c>
      <c r="BG930" s="475">
        <v>2000</v>
      </c>
      <c r="BH930" s="476">
        <v>78432</v>
      </c>
      <c r="BI930" s="467"/>
      <c r="BJ930" s="468"/>
    </row>
    <row r="931" spans="1:62">
      <c r="A931" s="469">
        <v>46023</v>
      </c>
      <c r="B931" s="469" t="s">
        <v>747</v>
      </c>
      <c r="C931" s="508"/>
      <c r="D931" s="470" t="s">
        <v>749</v>
      </c>
      <c r="E931" s="471">
        <v>2270</v>
      </c>
      <c r="F931" s="470" t="s">
        <v>1465</v>
      </c>
      <c r="G931" s="470" t="s">
        <v>751</v>
      </c>
      <c r="H931" s="470"/>
      <c r="I931" s="470" t="s">
        <v>1426</v>
      </c>
      <c r="J931" s="472" t="s">
        <v>1466</v>
      </c>
      <c r="K931" s="470" t="s">
        <v>1467</v>
      </c>
      <c r="L931" s="470" t="s">
        <v>824</v>
      </c>
      <c r="M931" s="470" t="s">
        <v>824</v>
      </c>
      <c r="N931" s="470" t="s">
        <v>1275</v>
      </c>
      <c r="O931" s="472" t="s">
        <v>1276</v>
      </c>
      <c r="P931" s="472" t="s">
        <v>738</v>
      </c>
      <c r="Q931" s="472" t="s">
        <v>758</v>
      </c>
      <c r="R931" s="472" t="s">
        <v>12</v>
      </c>
      <c r="S931" s="472" t="s">
        <v>12</v>
      </c>
      <c r="T931" s="472" t="s">
        <v>1468</v>
      </c>
      <c r="U931" s="470" t="s">
        <v>1469</v>
      </c>
      <c r="V931" s="470" t="s">
        <v>761</v>
      </c>
      <c r="W931" s="470" t="s">
        <v>1361</v>
      </c>
      <c r="X931" s="470">
        <v>31</v>
      </c>
      <c r="Y931" s="470">
        <v>0</v>
      </c>
      <c r="Z931" s="470">
        <v>0</v>
      </c>
      <c r="AA931" s="470">
        <v>31</v>
      </c>
      <c r="AB931" s="470">
        <v>31</v>
      </c>
      <c r="AC931" s="473">
        <v>44033</v>
      </c>
      <c r="AD931" s="473">
        <v>44033</v>
      </c>
      <c r="AE931" s="473">
        <v>19815</v>
      </c>
      <c r="AF931" s="473">
        <v>7926</v>
      </c>
      <c r="AG931" s="473">
        <v>1600</v>
      </c>
      <c r="AH931" s="473">
        <v>200</v>
      </c>
      <c r="AI931" s="473">
        <v>1250</v>
      </c>
      <c r="AJ931" s="473">
        <v>1651</v>
      </c>
      <c r="AK931" s="473">
        <v>3963</v>
      </c>
      <c r="AL931" s="473">
        <v>2972</v>
      </c>
      <c r="AM931" s="473">
        <v>198</v>
      </c>
      <c r="AN931" s="473">
        <v>694</v>
      </c>
      <c r="AO931" s="473">
        <v>396</v>
      </c>
      <c r="AP931" s="473">
        <v>99</v>
      </c>
      <c r="AQ931" s="473">
        <v>1800</v>
      </c>
      <c r="AR931" s="473">
        <v>1469</v>
      </c>
      <c r="AS931" s="473">
        <v>0</v>
      </c>
      <c r="AT931" s="473">
        <v>0</v>
      </c>
      <c r="AU931" s="473"/>
      <c r="AV931" s="473">
        <v>44033</v>
      </c>
      <c r="AW931" s="474">
        <v>44033</v>
      </c>
      <c r="AX931" s="473">
        <v>0</v>
      </c>
      <c r="AY931" s="473">
        <v>0</v>
      </c>
      <c r="AZ931" s="475">
        <v>0</v>
      </c>
      <c r="BA931" s="475">
        <v>200</v>
      </c>
      <c r="BB931" s="475">
        <v>1800</v>
      </c>
      <c r="BC931" s="475">
        <v>0</v>
      </c>
      <c r="BD931" s="475">
        <v>0</v>
      </c>
      <c r="BE931" s="475">
        <v>0</v>
      </c>
      <c r="BF931" s="475">
        <v>0</v>
      </c>
      <c r="BG931" s="475">
        <v>2000</v>
      </c>
      <c r="BH931" s="476">
        <v>42033</v>
      </c>
      <c r="BI931" s="467"/>
      <c r="BJ931" s="468"/>
    </row>
    <row r="932" spans="1:62">
      <c r="A932" s="469">
        <v>46023</v>
      </c>
      <c r="B932" s="469" t="s">
        <v>747</v>
      </c>
      <c r="C932" s="508"/>
      <c r="D932" s="470" t="s">
        <v>749</v>
      </c>
      <c r="E932" s="471">
        <v>1033</v>
      </c>
      <c r="F932" s="470" t="s">
        <v>668</v>
      </c>
      <c r="G932" s="470" t="s">
        <v>751</v>
      </c>
      <c r="H932" s="470"/>
      <c r="I932" s="470" t="s">
        <v>1003</v>
      </c>
      <c r="J932" s="472" t="s">
        <v>1004</v>
      </c>
      <c r="K932" s="470" t="s">
        <v>1005</v>
      </c>
      <c r="L932" s="470" t="s">
        <v>971</v>
      </c>
      <c r="M932" s="470" t="s">
        <v>971</v>
      </c>
      <c r="N932" s="470" t="s">
        <v>1275</v>
      </c>
      <c r="O932" s="472" t="s">
        <v>757</v>
      </c>
      <c r="P932" s="472" t="s">
        <v>738</v>
      </c>
      <c r="Q932" s="472" t="s">
        <v>758</v>
      </c>
      <c r="R932" s="472" t="s">
        <v>12</v>
      </c>
      <c r="S932" s="472" t="s">
        <v>12</v>
      </c>
      <c r="T932" s="472" t="s">
        <v>1007</v>
      </c>
      <c r="U932" s="470" t="s">
        <v>1008</v>
      </c>
      <c r="V932" s="470" t="s">
        <v>761</v>
      </c>
      <c r="W932" s="470" t="s">
        <v>1009</v>
      </c>
      <c r="X932" s="470">
        <v>31</v>
      </c>
      <c r="Y932" s="470">
        <v>0</v>
      </c>
      <c r="Z932" s="470">
        <v>20</v>
      </c>
      <c r="AA932" s="470">
        <v>2</v>
      </c>
      <c r="AB932" s="470">
        <v>2</v>
      </c>
      <c r="AC932" s="473">
        <v>133125</v>
      </c>
      <c r="AD932" s="473">
        <v>133125</v>
      </c>
      <c r="AE932" s="473">
        <v>3865</v>
      </c>
      <c r="AF932" s="473">
        <v>1546</v>
      </c>
      <c r="AG932" s="473">
        <v>103</v>
      </c>
      <c r="AH932" s="473">
        <v>71</v>
      </c>
      <c r="AI932" s="473">
        <v>81</v>
      </c>
      <c r="AJ932" s="473">
        <v>322</v>
      </c>
      <c r="AK932" s="473">
        <v>773</v>
      </c>
      <c r="AL932" s="473">
        <v>580</v>
      </c>
      <c r="AM932" s="473">
        <v>39</v>
      </c>
      <c r="AN932" s="473">
        <v>135</v>
      </c>
      <c r="AO932" s="473">
        <v>77</v>
      </c>
      <c r="AP932" s="473">
        <v>19</v>
      </c>
      <c r="AQ932" s="473">
        <v>464</v>
      </c>
      <c r="AR932" s="473">
        <v>514</v>
      </c>
      <c r="AS932" s="473">
        <v>0</v>
      </c>
      <c r="AT932" s="473">
        <v>0</v>
      </c>
      <c r="AU932" s="473">
        <v>825</v>
      </c>
      <c r="AV932" s="473">
        <v>9414</v>
      </c>
      <c r="AW932" s="474">
        <v>8589</v>
      </c>
      <c r="AX932" s="473">
        <v>0</v>
      </c>
      <c r="AY932" s="473">
        <v>0</v>
      </c>
      <c r="AZ932" s="475">
        <v>0</v>
      </c>
      <c r="BA932" s="475">
        <v>175</v>
      </c>
      <c r="BB932" s="475">
        <v>464</v>
      </c>
      <c r="BC932" s="475">
        <v>0</v>
      </c>
      <c r="BD932" s="475">
        <v>0</v>
      </c>
      <c r="BE932" s="475">
        <v>0</v>
      </c>
      <c r="BF932" s="475">
        <v>12500</v>
      </c>
      <c r="BG932" s="475">
        <v>13139</v>
      </c>
      <c r="BH932" s="476">
        <v>-3725</v>
      </c>
      <c r="BI932" s="467" t="s">
        <v>1368</v>
      </c>
      <c r="BJ932" s="468"/>
    </row>
    <row r="933" spans="1:62">
      <c r="A933" s="469">
        <v>46023</v>
      </c>
      <c r="B933" s="469" t="s">
        <v>747</v>
      </c>
      <c r="C933" s="508"/>
      <c r="D933" s="470" t="s">
        <v>749</v>
      </c>
      <c r="E933" s="471">
        <v>2289</v>
      </c>
      <c r="F933" s="470" t="s">
        <v>1528</v>
      </c>
      <c r="G933" s="470" t="s">
        <v>812</v>
      </c>
      <c r="H933" s="470"/>
      <c r="I933" s="470" t="s">
        <v>1529</v>
      </c>
      <c r="J933" s="472" t="s">
        <v>1530</v>
      </c>
      <c r="K933" s="470" t="s">
        <v>1531</v>
      </c>
      <c r="L933" s="470" t="s">
        <v>1123</v>
      </c>
      <c r="M933" s="470" t="s">
        <v>1124</v>
      </c>
      <c r="N933" s="470" t="s">
        <v>1108</v>
      </c>
      <c r="O933" s="472" t="s">
        <v>757</v>
      </c>
      <c r="P933" s="472" t="s">
        <v>738</v>
      </c>
      <c r="Q933" s="472" t="s">
        <v>758</v>
      </c>
      <c r="R933" s="472" t="s">
        <v>12</v>
      </c>
      <c r="S933" s="472" t="s">
        <v>12</v>
      </c>
      <c r="T933" s="472" t="s">
        <v>1532</v>
      </c>
      <c r="U933" s="470" t="s">
        <v>1533</v>
      </c>
      <c r="V933" s="470" t="s">
        <v>761</v>
      </c>
      <c r="W933" s="470" t="s">
        <v>1534</v>
      </c>
      <c r="X933" s="470">
        <v>31</v>
      </c>
      <c r="Y933" s="470">
        <v>0</v>
      </c>
      <c r="Z933" s="470">
        <v>0</v>
      </c>
      <c r="AA933" s="470">
        <v>31</v>
      </c>
      <c r="AB933" s="470">
        <v>31</v>
      </c>
      <c r="AC933" s="473">
        <v>52200</v>
      </c>
      <c r="AD933" s="473">
        <v>52200</v>
      </c>
      <c r="AE933" s="473">
        <v>23490</v>
      </c>
      <c r="AF933" s="473">
        <v>9396</v>
      </c>
      <c r="AG933" s="473">
        <v>1600</v>
      </c>
      <c r="AH933" s="473">
        <v>200</v>
      </c>
      <c r="AI933" s="473">
        <v>1250</v>
      </c>
      <c r="AJ933" s="473">
        <v>1957</v>
      </c>
      <c r="AK933" s="473">
        <v>4698</v>
      </c>
      <c r="AL933" s="473">
        <v>3524</v>
      </c>
      <c r="AM933" s="473">
        <v>235</v>
      </c>
      <c r="AN933" s="473">
        <v>822</v>
      </c>
      <c r="AO933" s="473">
        <v>470</v>
      </c>
      <c r="AP933" s="473">
        <v>117</v>
      </c>
      <c r="AQ933" s="473">
        <v>1800</v>
      </c>
      <c r="AR933" s="473">
        <v>2641</v>
      </c>
      <c r="AS933" s="473">
        <v>0</v>
      </c>
      <c r="AT933" s="473">
        <v>1683</v>
      </c>
      <c r="AU933" s="473"/>
      <c r="AV933" s="473">
        <v>53883</v>
      </c>
      <c r="AW933" s="474">
        <v>53883</v>
      </c>
      <c r="AX933" s="473">
        <v>0</v>
      </c>
      <c r="AY933" s="473">
        <v>0</v>
      </c>
      <c r="AZ933" s="475">
        <v>0</v>
      </c>
      <c r="BA933" s="475">
        <v>200</v>
      </c>
      <c r="BB933" s="475">
        <v>1800</v>
      </c>
      <c r="BC933" s="475">
        <v>0</v>
      </c>
      <c r="BD933" s="475">
        <v>0</v>
      </c>
      <c r="BE933" s="475">
        <v>0</v>
      </c>
      <c r="BF933" s="475">
        <v>0</v>
      </c>
      <c r="BG933" s="475">
        <v>2000</v>
      </c>
      <c r="BH933" s="476">
        <v>51883</v>
      </c>
      <c r="BI933" s="467"/>
      <c r="BJ933" s="468"/>
    </row>
    <row r="934" spans="1:62">
      <c r="A934" s="469">
        <v>46023</v>
      </c>
      <c r="B934" s="469" t="s">
        <v>747</v>
      </c>
      <c r="C934" s="508"/>
      <c r="D934" s="470" t="s">
        <v>749</v>
      </c>
      <c r="E934" s="471">
        <v>737</v>
      </c>
      <c r="F934" s="470" t="s">
        <v>1545</v>
      </c>
      <c r="G934" s="470" t="s">
        <v>751</v>
      </c>
      <c r="H934" s="470"/>
      <c r="I934" s="470" t="s">
        <v>1024</v>
      </c>
      <c r="J934" s="472" t="s">
        <v>1025</v>
      </c>
      <c r="K934" s="470" t="s">
        <v>1026</v>
      </c>
      <c r="L934" s="470" t="s">
        <v>979</v>
      </c>
      <c r="M934" s="470" t="s">
        <v>979</v>
      </c>
      <c r="N934" s="470" t="s">
        <v>833</v>
      </c>
      <c r="O934" s="472" t="s">
        <v>757</v>
      </c>
      <c r="P934" s="472" t="s">
        <v>738</v>
      </c>
      <c r="Q934" s="472" t="s">
        <v>758</v>
      </c>
      <c r="R934" s="472" t="s">
        <v>12</v>
      </c>
      <c r="S934" s="472" t="s">
        <v>12</v>
      </c>
      <c r="T934" s="472" t="s">
        <v>1029</v>
      </c>
      <c r="U934" s="470" t="s">
        <v>1030</v>
      </c>
      <c r="V934" s="470" t="s">
        <v>761</v>
      </c>
      <c r="W934" s="470" t="s">
        <v>762</v>
      </c>
      <c r="X934" s="470">
        <v>31</v>
      </c>
      <c r="Y934" s="470">
        <v>0</v>
      </c>
      <c r="Z934" s="470">
        <v>1.5</v>
      </c>
      <c r="AA934" s="470">
        <v>29.5</v>
      </c>
      <c r="AB934" s="470">
        <v>29.5</v>
      </c>
      <c r="AC934" s="473">
        <v>22933</v>
      </c>
      <c r="AD934" s="473">
        <v>22933</v>
      </c>
      <c r="AE934" s="473">
        <v>9820</v>
      </c>
      <c r="AF934" s="473">
        <v>3928</v>
      </c>
      <c r="AG934" s="473">
        <v>1523</v>
      </c>
      <c r="AH934" s="473">
        <v>190</v>
      </c>
      <c r="AI934" s="473">
        <v>1190</v>
      </c>
      <c r="AJ934" s="473">
        <v>0</v>
      </c>
      <c r="AK934" s="473">
        <v>0</v>
      </c>
      <c r="AL934" s="473">
        <v>0</v>
      </c>
      <c r="AM934" s="473">
        <v>0</v>
      </c>
      <c r="AN934" s="473">
        <v>0</v>
      </c>
      <c r="AO934" s="473">
        <v>0</v>
      </c>
      <c r="AP934" s="473">
        <v>0</v>
      </c>
      <c r="AQ934" s="473">
        <v>1178</v>
      </c>
      <c r="AR934" s="473">
        <v>3994</v>
      </c>
      <c r="AS934" s="473">
        <v>0</v>
      </c>
      <c r="AT934" s="473">
        <v>0</v>
      </c>
      <c r="AU934" s="473">
        <v>3522</v>
      </c>
      <c r="AV934" s="473">
        <v>25345</v>
      </c>
      <c r="AW934" s="474">
        <v>21823</v>
      </c>
      <c r="AX934" s="473">
        <v>0</v>
      </c>
      <c r="AY934" s="473">
        <v>0</v>
      </c>
      <c r="AZ934" s="475">
        <v>0</v>
      </c>
      <c r="BA934" s="475">
        <v>200</v>
      </c>
      <c r="BB934" s="475">
        <v>1178</v>
      </c>
      <c r="BC934" s="475">
        <v>0</v>
      </c>
      <c r="BD934" s="475">
        <v>0</v>
      </c>
      <c r="BE934" s="475">
        <v>0</v>
      </c>
      <c r="BF934" s="475">
        <v>0</v>
      </c>
      <c r="BG934" s="475">
        <v>1378</v>
      </c>
      <c r="BH934" s="476">
        <v>23967</v>
      </c>
      <c r="BI934" s="467"/>
      <c r="BJ934" s="468"/>
    </row>
    <row r="935" spans="1:62">
      <c r="A935" s="469">
        <v>46023</v>
      </c>
      <c r="B935" s="469" t="s">
        <v>747</v>
      </c>
      <c r="C935" s="508"/>
      <c r="D935" s="470" t="s">
        <v>749</v>
      </c>
      <c r="E935" s="471">
        <v>649</v>
      </c>
      <c r="F935" s="470" t="s">
        <v>1031</v>
      </c>
      <c r="G935" s="470" t="s">
        <v>812</v>
      </c>
      <c r="H935" s="470"/>
      <c r="I935" s="470" t="s">
        <v>1032</v>
      </c>
      <c r="J935" s="472" t="s">
        <v>1033</v>
      </c>
      <c r="K935" s="470" t="s">
        <v>1034</v>
      </c>
      <c r="L935" s="470" t="s">
        <v>1535</v>
      </c>
      <c r="M935" s="470" t="s">
        <v>942</v>
      </c>
      <c r="N935" s="470" t="s">
        <v>833</v>
      </c>
      <c r="O935" s="472" t="s">
        <v>792</v>
      </c>
      <c r="P935" s="472" t="s">
        <v>738</v>
      </c>
      <c r="Q935" s="472" t="s">
        <v>758</v>
      </c>
      <c r="R935" s="472" t="s">
        <v>12</v>
      </c>
      <c r="S935" s="472" t="s">
        <v>12</v>
      </c>
      <c r="T935" s="472" t="s">
        <v>1036</v>
      </c>
      <c r="U935" s="470" t="s">
        <v>1037</v>
      </c>
      <c r="V935" s="470" t="s">
        <v>761</v>
      </c>
      <c r="W935" s="470" t="s">
        <v>762</v>
      </c>
      <c r="X935" s="470">
        <v>31</v>
      </c>
      <c r="Y935" s="470">
        <v>0</v>
      </c>
      <c r="Z935" s="470">
        <v>3</v>
      </c>
      <c r="AA935" s="470">
        <v>28</v>
      </c>
      <c r="AB935" s="470">
        <v>28</v>
      </c>
      <c r="AC935" s="473">
        <v>183333</v>
      </c>
      <c r="AD935" s="473">
        <v>183333</v>
      </c>
      <c r="AE935" s="473">
        <v>74516</v>
      </c>
      <c r="AF935" s="473">
        <v>29806</v>
      </c>
      <c r="AG935" s="473">
        <v>1445</v>
      </c>
      <c r="AH935" s="473">
        <v>181</v>
      </c>
      <c r="AI935" s="473">
        <v>1129</v>
      </c>
      <c r="AJ935" s="473">
        <v>6207</v>
      </c>
      <c r="AK935" s="473">
        <v>14903</v>
      </c>
      <c r="AL935" s="473">
        <v>11177</v>
      </c>
      <c r="AM935" s="473">
        <v>745</v>
      </c>
      <c r="AN935" s="473">
        <v>2608</v>
      </c>
      <c r="AO935" s="473">
        <v>1490</v>
      </c>
      <c r="AP935" s="473">
        <v>373</v>
      </c>
      <c r="AQ935" s="473">
        <v>1800</v>
      </c>
      <c r="AR935" s="473">
        <v>19211</v>
      </c>
      <c r="AS935" s="473">
        <v>0</v>
      </c>
      <c r="AT935" s="473">
        <v>0</v>
      </c>
      <c r="AU935" s="473"/>
      <c r="AV935" s="473">
        <v>165591</v>
      </c>
      <c r="AW935" s="474">
        <v>165591</v>
      </c>
      <c r="AX935" s="473">
        <v>0</v>
      </c>
      <c r="AY935" s="473">
        <v>0</v>
      </c>
      <c r="AZ935" s="475">
        <v>42247</v>
      </c>
      <c r="BA935" s="475">
        <v>200</v>
      </c>
      <c r="BB935" s="475">
        <v>1800</v>
      </c>
      <c r="BC935" s="475">
        <v>0</v>
      </c>
      <c r="BD935" s="475">
        <v>0</v>
      </c>
      <c r="BE935" s="475">
        <v>0</v>
      </c>
      <c r="BF935" s="475">
        <v>0</v>
      </c>
      <c r="BG935" s="475">
        <v>44247</v>
      </c>
      <c r="BH935" s="476">
        <v>121344</v>
      </c>
      <c r="BI935" s="467"/>
      <c r="BJ935" s="468"/>
    </row>
    <row r="936" spans="1:62">
      <c r="A936" s="469">
        <v>46023</v>
      </c>
      <c r="B936" s="469" t="s">
        <v>747</v>
      </c>
      <c r="C936" s="508"/>
      <c r="D936" s="470" t="s">
        <v>749</v>
      </c>
      <c r="E936" s="471">
        <v>1746</v>
      </c>
      <c r="F936" s="470" t="s">
        <v>1038</v>
      </c>
      <c r="G936" s="470" t="s">
        <v>751</v>
      </c>
      <c r="H936" s="470"/>
      <c r="I936" s="470" t="s">
        <v>1039</v>
      </c>
      <c r="J936" s="472" t="s">
        <v>1040</v>
      </c>
      <c r="K936" s="470" t="s">
        <v>1041</v>
      </c>
      <c r="L936" s="470" t="s">
        <v>1042</v>
      </c>
      <c r="M936" s="470" t="s">
        <v>1042</v>
      </c>
      <c r="N936" s="470" t="s">
        <v>833</v>
      </c>
      <c r="O936" s="472" t="s">
        <v>1043</v>
      </c>
      <c r="P936" s="472" t="s">
        <v>738</v>
      </c>
      <c r="Q936" s="472" t="s">
        <v>758</v>
      </c>
      <c r="R936" s="472" t="s">
        <v>12</v>
      </c>
      <c r="S936" s="472" t="s">
        <v>12</v>
      </c>
      <c r="T936" s="472" t="s">
        <v>1044</v>
      </c>
      <c r="U936" s="470" t="s">
        <v>1045</v>
      </c>
      <c r="V936" s="470" t="s">
        <v>761</v>
      </c>
      <c r="W936" s="470" t="s">
        <v>762</v>
      </c>
      <c r="X936" s="470">
        <v>31</v>
      </c>
      <c r="Y936" s="470">
        <v>0</v>
      </c>
      <c r="Z936" s="470">
        <v>2</v>
      </c>
      <c r="AA936" s="470">
        <v>29</v>
      </c>
      <c r="AB936" s="470">
        <v>29</v>
      </c>
      <c r="AC936" s="473">
        <v>28500</v>
      </c>
      <c r="AD936" s="473">
        <v>28500</v>
      </c>
      <c r="AE936" s="473">
        <v>11997</v>
      </c>
      <c r="AF936" s="473">
        <v>4799</v>
      </c>
      <c r="AG936" s="473">
        <v>1497</v>
      </c>
      <c r="AH936" s="473">
        <v>187</v>
      </c>
      <c r="AI936" s="473">
        <v>1169</v>
      </c>
      <c r="AJ936" s="473">
        <v>0</v>
      </c>
      <c r="AK936" s="473">
        <v>0</v>
      </c>
      <c r="AL936" s="473">
        <v>0</v>
      </c>
      <c r="AM936" s="473">
        <v>0</v>
      </c>
      <c r="AN936" s="473">
        <v>0</v>
      </c>
      <c r="AO936" s="473">
        <v>0</v>
      </c>
      <c r="AP936" s="473">
        <v>0</v>
      </c>
      <c r="AQ936" s="473">
        <v>1440</v>
      </c>
      <c r="AR936" s="473">
        <v>5572</v>
      </c>
      <c r="AS936" s="473">
        <v>0</v>
      </c>
      <c r="AT936" s="473">
        <v>0</v>
      </c>
      <c r="AU936" s="473">
        <v>1177</v>
      </c>
      <c r="AV936" s="473">
        <v>27838</v>
      </c>
      <c r="AW936" s="474">
        <v>26661</v>
      </c>
      <c r="AX936" s="473">
        <v>0</v>
      </c>
      <c r="AY936" s="473">
        <v>0</v>
      </c>
      <c r="AZ936" s="475">
        <v>0</v>
      </c>
      <c r="BA936" s="475">
        <v>200</v>
      </c>
      <c r="BB936" s="475">
        <v>1440</v>
      </c>
      <c r="BC936" s="475">
        <v>0</v>
      </c>
      <c r="BD936" s="475">
        <v>0</v>
      </c>
      <c r="BE936" s="475">
        <v>0</v>
      </c>
      <c r="BF936" s="475">
        <v>0</v>
      </c>
      <c r="BG936" s="475">
        <v>1640</v>
      </c>
      <c r="BH936" s="476">
        <v>26198</v>
      </c>
      <c r="BI936" s="467"/>
      <c r="BJ936" s="468"/>
    </row>
    <row r="937" spans="1:62">
      <c r="A937" s="469">
        <v>46023</v>
      </c>
      <c r="B937" s="469" t="s">
        <v>747</v>
      </c>
      <c r="C937" s="508"/>
      <c r="D937" s="470" t="s">
        <v>749</v>
      </c>
      <c r="E937" s="471">
        <v>2252</v>
      </c>
      <c r="F937" s="470" t="s">
        <v>1415</v>
      </c>
      <c r="G937" s="470" t="s">
        <v>751</v>
      </c>
      <c r="H937" s="470"/>
      <c r="I937" s="470" t="s">
        <v>1416</v>
      </c>
      <c r="J937" s="472" t="s">
        <v>1417</v>
      </c>
      <c r="K937" s="470" t="s">
        <v>1418</v>
      </c>
      <c r="L937" s="470" t="s">
        <v>1419</v>
      </c>
      <c r="M937" s="470" t="s">
        <v>1124</v>
      </c>
      <c r="N937" s="470" t="s">
        <v>1108</v>
      </c>
      <c r="O937" s="472" t="s">
        <v>757</v>
      </c>
      <c r="P937" s="472" t="s">
        <v>738</v>
      </c>
      <c r="Q937" s="472" t="s">
        <v>758</v>
      </c>
      <c r="R937" s="472" t="s">
        <v>12</v>
      </c>
      <c r="S937" s="472" t="s">
        <v>12</v>
      </c>
      <c r="T937" s="472" t="s">
        <v>1420</v>
      </c>
      <c r="U937" s="470" t="s">
        <v>1421</v>
      </c>
      <c r="V937" s="470" t="s">
        <v>761</v>
      </c>
      <c r="W937" s="470" t="s">
        <v>1422</v>
      </c>
      <c r="X937" s="470">
        <v>31</v>
      </c>
      <c r="Y937" s="470">
        <v>0</v>
      </c>
      <c r="Z937" s="470">
        <v>6.5</v>
      </c>
      <c r="AA937" s="470">
        <v>24.5</v>
      </c>
      <c r="AB937" s="470">
        <v>24.5</v>
      </c>
      <c r="AC937" s="473">
        <v>52200</v>
      </c>
      <c r="AD937" s="473">
        <v>52200</v>
      </c>
      <c r="AE937" s="473">
        <v>18565</v>
      </c>
      <c r="AF937" s="473">
        <v>7426</v>
      </c>
      <c r="AG937" s="473">
        <v>1265</v>
      </c>
      <c r="AH937" s="473">
        <v>158</v>
      </c>
      <c r="AI937" s="473">
        <v>988</v>
      </c>
      <c r="AJ937" s="473">
        <v>1546</v>
      </c>
      <c r="AK937" s="473">
        <v>3713</v>
      </c>
      <c r="AL937" s="473">
        <v>2785</v>
      </c>
      <c r="AM937" s="473">
        <v>186</v>
      </c>
      <c r="AN937" s="473">
        <v>650</v>
      </c>
      <c r="AO937" s="473">
        <v>371</v>
      </c>
      <c r="AP937" s="473">
        <v>93</v>
      </c>
      <c r="AQ937" s="473">
        <v>1800</v>
      </c>
      <c r="AR937" s="473">
        <v>1709</v>
      </c>
      <c r="AS937" s="473">
        <v>0</v>
      </c>
      <c r="AT937" s="473">
        <v>0</v>
      </c>
      <c r="AU937" s="473"/>
      <c r="AV937" s="473">
        <v>41255</v>
      </c>
      <c r="AW937" s="474">
        <v>41255</v>
      </c>
      <c r="AX937" s="473">
        <v>0</v>
      </c>
      <c r="AY937" s="473">
        <v>0</v>
      </c>
      <c r="AZ937" s="475">
        <v>0</v>
      </c>
      <c r="BA937" s="475">
        <v>200</v>
      </c>
      <c r="BB937" s="475">
        <v>1800</v>
      </c>
      <c r="BC937" s="475">
        <v>0</v>
      </c>
      <c r="BD937" s="475">
        <v>0</v>
      </c>
      <c r="BE937" s="475">
        <v>0</v>
      </c>
      <c r="BF937" s="475">
        <v>0</v>
      </c>
      <c r="BG937" s="475">
        <v>2000</v>
      </c>
      <c r="BH937" s="476">
        <v>39255</v>
      </c>
      <c r="BI937" s="467"/>
      <c r="BJ937" s="468"/>
    </row>
    <row r="938" spans="1:62">
      <c r="A938" s="469">
        <v>46023</v>
      </c>
      <c r="B938" s="469" t="s">
        <v>747</v>
      </c>
      <c r="C938" s="508"/>
      <c r="D938" s="470" t="s">
        <v>749</v>
      </c>
      <c r="E938" s="471">
        <v>1771</v>
      </c>
      <c r="F938" s="470" t="s">
        <v>1046</v>
      </c>
      <c r="G938" s="470" t="s">
        <v>751</v>
      </c>
      <c r="H938" s="470"/>
      <c r="I938" s="470" t="s">
        <v>781</v>
      </c>
      <c r="J938" s="472" t="s">
        <v>1047</v>
      </c>
      <c r="K938" s="470" t="s">
        <v>1048</v>
      </c>
      <c r="L938" s="470" t="s">
        <v>1338</v>
      </c>
      <c r="M938" s="470" t="s">
        <v>1338</v>
      </c>
      <c r="N938" s="470" t="s">
        <v>1275</v>
      </c>
      <c r="O938" s="472" t="s">
        <v>757</v>
      </c>
      <c r="P938" s="472" t="s">
        <v>738</v>
      </c>
      <c r="Q938" s="472" t="s">
        <v>758</v>
      </c>
      <c r="R938" s="472" t="s">
        <v>12</v>
      </c>
      <c r="S938" s="472" t="s">
        <v>12</v>
      </c>
      <c r="T938" s="472" t="s">
        <v>1049</v>
      </c>
      <c r="U938" s="470" t="s">
        <v>1050</v>
      </c>
      <c r="V938" s="470" t="s">
        <v>761</v>
      </c>
      <c r="W938" s="470" t="s">
        <v>795</v>
      </c>
      <c r="X938" s="470">
        <v>31</v>
      </c>
      <c r="Y938" s="470">
        <v>0</v>
      </c>
      <c r="Z938" s="470">
        <v>0.5</v>
      </c>
      <c r="AA938" s="470">
        <v>30.5</v>
      </c>
      <c r="AB938" s="470">
        <v>30.5</v>
      </c>
      <c r="AC938" s="473">
        <v>92504</v>
      </c>
      <c r="AD938" s="473">
        <v>92504</v>
      </c>
      <c r="AE938" s="473">
        <v>40955</v>
      </c>
      <c r="AF938" s="473">
        <v>16382</v>
      </c>
      <c r="AG938" s="473">
        <v>1574</v>
      </c>
      <c r="AH938" s="473">
        <v>197</v>
      </c>
      <c r="AI938" s="473">
        <v>1230</v>
      </c>
      <c r="AJ938" s="473">
        <v>3412</v>
      </c>
      <c r="AK938" s="473">
        <v>8191</v>
      </c>
      <c r="AL938" s="473">
        <v>6143</v>
      </c>
      <c r="AM938" s="473">
        <v>410</v>
      </c>
      <c r="AN938" s="473">
        <v>1433</v>
      </c>
      <c r="AO938" s="473">
        <v>819</v>
      </c>
      <c r="AP938" s="473">
        <v>205</v>
      </c>
      <c r="AQ938" s="473">
        <v>1800</v>
      </c>
      <c r="AR938" s="473">
        <v>8261</v>
      </c>
      <c r="AS938" s="473">
        <v>0</v>
      </c>
      <c r="AT938" s="473">
        <v>0</v>
      </c>
      <c r="AU938" s="473">
        <v>907</v>
      </c>
      <c r="AV938" s="473">
        <v>91919</v>
      </c>
      <c r="AW938" s="474">
        <v>91012</v>
      </c>
      <c r="AX938" s="473">
        <v>0</v>
      </c>
      <c r="AY938" s="473">
        <v>0</v>
      </c>
      <c r="AZ938" s="475">
        <v>0</v>
      </c>
      <c r="BA938" s="475">
        <v>200</v>
      </c>
      <c r="BB938" s="475">
        <v>1800</v>
      </c>
      <c r="BC938" s="475">
        <v>0</v>
      </c>
      <c r="BD938" s="475">
        <v>0</v>
      </c>
      <c r="BE938" s="475">
        <v>0</v>
      </c>
      <c r="BF938" s="475">
        <v>0</v>
      </c>
      <c r="BG938" s="475">
        <v>2000</v>
      </c>
      <c r="BH938" s="476">
        <v>89919</v>
      </c>
      <c r="BI938" s="467"/>
      <c r="BJ938" s="468"/>
    </row>
    <row r="939" spans="1:62">
      <c r="A939" s="469">
        <v>46023</v>
      </c>
      <c r="B939" s="469" t="s">
        <v>747</v>
      </c>
      <c r="C939" s="508"/>
      <c r="D939" s="470" t="s">
        <v>749</v>
      </c>
      <c r="E939" s="471">
        <v>1445</v>
      </c>
      <c r="F939" s="470" t="s">
        <v>1057</v>
      </c>
      <c r="G939" s="470" t="s">
        <v>751</v>
      </c>
      <c r="H939" s="470"/>
      <c r="I939" s="470" t="s">
        <v>1058</v>
      </c>
      <c r="J939" s="472" t="s">
        <v>1059</v>
      </c>
      <c r="K939" s="470" t="s">
        <v>1060</v>
      </c>
      <c r="L939" s="470" t="s">
        <v>800</v>
      </c>
      <c r="M939" s="470" t="s">
        <v>801</v>
      </c>
      <c r="N939" s="470" t="s">
        <v>756</v>
      </c>
      <c r="O939" s="472" t="s">
        <v>757</v>
      </c>
      <c r="P939" s="472" t="s">
        <v>738</v>
      </c>
      <c r="Q939" s="472" t="s">
        <v>758</v>
      </c>
      <c r="R939" s="472" t="s">
        <v>12</v>
      </c>
      <c r="S939" s="472" t="s">
        <v>12</v>
      </c>
      <c r="T939" s="472" t="s">
        <v>1061</v>
      </c>
      <c r="U939" s="470" t="s">
        <v>1062</v>
      </c>
      <c r="V939" s="470" t="s">
        <v>761</v>
      </c>
      <c r="W939" s="470" t="s">
        <v>1063</v>
      </c>
      <c r="X939" s="470">
        <v>31</v>
      </c>
      <c r="Y939" s="470">
        <v>0</v>
      </c>
      <c r="Z939" s="470">
        <v>0</v>
      </c>
      <c r="AA939" s="470">
        <v>31</v>
      </c>
      <c r="AB939" s="470">
        <v>31</v>
      </c>
      <c r="AC939" s="473">
        <v>50225</v>
      </c>
      <c r="AD939" s="473">
        <v>50225</v>
      </c>
      <c r="AE939" s="473">
        <v>22601</v>
      </c>
      <c r="AF939" s="473">
        <v>9040</v>
      </c>
      <c r="AG939" s="473">
        <v>1600</v>
      </c>
      <c r="AH939" s="473">
        <v>200</v>
      </c>
      <c r="AI939" s="473">
        <v>1250</v>
      </c>
      <c r="AJ939" s="473">
        <v>1883</v>
      </c>
      <c r="AK939" s="473">
        <v>4520</v>
      </c>
      <c r="AL939" s="473">
        <v>3390</v>
      </c>
      <c r="AM939" s="473">
        <v>226</v>
      </c>
      <c r="AN939" s="473">
        <v>791</v>
      </c>
      <c r="AO939" s="473">
        <v>452</v>
      </c>
      <c r="AP939" s="473">
        <v>113</v>
      </c>
      <c r="AQ939" s="473">
        <v>1800</v>
      </c>
      <c r="AR939" s="473">
        <v>2359</v>
      </c>
      <c r="AS939" s="473">
        <v>0</v>
      </c>
      <c r="AT939" s="473">
        <v>200</v>
      </c>
      <c r="AU939" s="473"/>
      <c r="AV939" s="473">
        <v>50425</v>
      </c>
      <c r="AW939" s="474">
        <v>50425</v>
      </c>
      <c r="AX939" s="473">
        <v>0</v>
      </c>
      <c r="AY939" s="473">
        <v>0</v>
      </c>
      <c r="AZ939" s="475">
        <v>0</v>
      </c>
      <c r="BA939" s="475">
        <v>200</v>
      </c>
      <c r="BB939" s="475">
        <v>1800</v>
      </c>
      <c r="BC939" s="475">
        <v>0</v>
      </c>
      <c r="BD939" s="475">
        <v>0</v>
      </c>
      <c r="BE939" s="475">
        <v>0</v>
      </c>
      <c r="BF939" s="475">
        <v>0</v>
      </c>
      <c r="BG939" s="475">
        <v>2000</v>
      </c>
      <c r="BH939" s="476">
        <v>48425</v>
      </c>
      <c r="BI939" s="467"/>
      <c r="BJ939" s="468"/>
    </row>
    <row r="940" spans="1:62">
      <c r="A940" s="469">
        <v>46023</v>
      </c>
      <c r="B940" s="469" t="s">
        <v>747</v>
      </c>
      <c r="C940" s="508"/>
      <c r="D940" s="470" t="s">
        <v>749</v>
      </c>
      <c r="E940" s="471">
        <v>1932</v>
      </c>
      <c r="F940" s="470" t="s">
        <v>1064</v>
      </c>
      <c r="G940" s="470" t="s">
        <v>751</v>
      </c>
      <c r="H940" s="470"/>
      <c r="I940" s="470" t="s">
        <v>1065</v>
      </c>
      <c r="J940" s="472" t="s">
        <v>1066</v>
      </c>
      <c r="K940" s="470" t="s">
        <v>1067</v>
      </c>
      <c r="L940" s="470" t="s">
        <v>1068</v>
      </c>
      <c r="M940" s="470" t="s">
        <v>1068</v>
      </c>
      <c r="N940" s="470" t="s">
        <v>756</v>
      </c>
      <c r="O940" s="472" t="s">
        <v>757</v>
      </c>
      <c r="P940" s="472" t="s">
        <v>738</v>
      </c>
      <c r="Q940" s="472" t="s">
        <v>758</v>
      </c>
      <c r="R940" s="472" t="s">
        <v>12</v>
      </c>
      <c r="S940" s="472" t="s">
        <v>12</v>
      </c>
      <c r="T940" s="472" t="s">
        <v>1069</v>
      </c>
      <c r="U940" s="470" t="s">
        <v>1070</v>
      </c>
      <c r="V940" s="470" t="s">
        <v>761</v>
      </c>
      <c r="W940" s="470" t="s">
        <v>859</v>
      </c>
      <c r="X940" s="470">
        <v>31</v>
      </c>
      <c r="Y940" s="470">
        <v>0</v>
      </c>
      <c r="Z940" s="470">
        <v>1</v>
      </c>
      <c r="AA940" s="470">
        <v>30</v>
      </c>
      <c r="AB940" s="470">
        <v>30</v>
      </c>
      <c r="AC940" s="473">
        <v>30700</v>
      </c>
      <c r="AD940" s="473">
        <v>30700</v>
      </c>
      <c r="AE940" s="473">
        <v>13370</v>
      </c>
      <c r="AF940" s="473">
        <v>5348</v>
      </c>
      <c r="AG940" s="473">
        <v>1548</v>
      </c>
      <c r="AH940" s="473">
        <v>194</v>
      </c>
      <c r="AI940" s="473">
        <v>1210</v>
      </c>
      <c r="AJ940" s="473">
        <v>0</v>
      </c>
      <c r="AK940" s="473">
        <v>0</v>
      </c>
      <c r="AL940" s="473">
        <v>0</v>
      </c>
      <c r="AM940" s="473">
        <v>0</v>
      </c>
      <c r="AN940" s="473">
        <v>0</v>
      </c>
      <c r="AO940" s="473">
        <v>0</v>
      </c>
      <c r="AP940" s="473">
        <v>0</v>
      </c>
      <c r="AQ940" s="473">
        <v>1604</v>
      </c>
      <c r="AR940" s="473">
        <v>6436</v>
      </c>
      <c r="AS940" s="473">
        <v>0</v>
      </c>
      <c r="AT940" s="473">
        <v>0</v>
      </c>
      <c r="AU940" s="473"/>
      <c r="AV940" s="473">
        <v>29710</v>
      </c>
      <c r="AW940" s="474">
        <v>29710</v>
      </c>
      <c r="AX940" s="473">
        <v>0</v>
      </c>
      <c r="AY940" s="473">
        <v>0</v>
      </c>
      <c r="AZ940" s="475">
        <v>0</v>
      </c>
      <c r="BA940" s="475">
        <v>200</v>
      </c>
      <c r="BB940" s="475">
        <v>1604</v>
      </c>
      <c r="BC940" s="475">
        <v>0</v>
      </c>
      <c r="BD940" s="475">
        <v>0</v>
      </c>
      <c r="BE940" s="475">
        <v>0</v>
      </c>
      <c r="BF940" s="475">
        <v>0</v>
      </c>
      <c r="BG940" s="475">
        <v>1804</v>
      </c>
      <c r="BH940" s="476">
        <v>27906</v>
      </c>
      <c r="BI940" s="467"/>
      <c r="BJ940" s="468"/>
    </row>
    <row r="941" spans="1:62">
      <c r="A941" s="469">
        <v>46023</v>
      </c>
      <c r="B941" s="469" t="s">
        <v>747</v>
      </c>
      <c r="C941" s="508"/>
      <c r="D941" s="470" t="s">
        <v>749</v>
      </c>
      <c r="E941" s="471">
        <v>2014</v>
      </c>
      <c r="F941" s="470" t="s">
        <v>1071</v>
      </c>
      <c r="G941" s="470" t="s">
        <v>751</v>
      </c>
      <c r="H941" s="470"/>
      <c r="I941" s="470" t="s">
        <v>847</v>
      </c>
      <c r="J941" s="472" t="s">
        <v>1072</v>
      </c>
      <c r="K941" s="470" t="s">
        <v>1073</v>
      </c>
      <c r="L941" s="470" t="s">
        <v>1074</v>
      </c>
      <c r="M941" s="470" t="s">
        <v>1074</v>
      </c>
      <c r="N941" s="470" t="s">
        <v>833</v>
      </c>
      <c r="O941" s="472" t="s">
        <v>757</v>
      </c>
      <c r="P941" s="472" t="s">
        <v>738</v>
      </c>
      <c r="Q941" s="472" t="s">
        <v>758</v>
      </c>
      <c r="R941" s="472" t="s">
        <v>12</v>
      </c>
      <c r="S941" s="472" t="s">
        <v>12</v>
      </c>
      <c r="T941" s="472" t="s">
        <v>1076</v>
      </c>
      <c r="U941" s="470" t="s">
        <v>1077</v>
      </c>
      <c r="V941" s="470" t="s">
        <v>761</v>
      </c>
      <c r="W941" s="470" t="s">
        <v>762</v>
      </c>
      <c r="X941" s="470">
        <v>31</v>
      </c>
      <c r="Y941" s="470">
        <v>0</v>
      </c>
      <c r="Z941" s="470">
        <v>0</v>
      </c>
      <c r="AA941" s="470">
        <v>31</v>
      </c>
      <c r="AB941" s="470">
        <v>31</v>
      </c>
      <c r="AC941" s="473">
        <v>32033</v>
      </c>
      <c r="AD941" s="473">
        <v>32033</v>
      </c>
      <c r="AE941" s="473">
        <v>14415</v>
      </c>
      <c r="AF941" s="473">
        <v>5766</v>
      </c>
      <c r="AG941" s="473">
        <v>1600</v>
      </c>
      <c r="AH941" s="473">
        <v>200</v>
      </c>
      <c r="AI941" s="473">
        <v>1250</v>
      </c>
      <c r="AJ941" s="473">
        <v>0</v>
      </c>
      <c r="AK941" s="473">
        <v>0</v>
      </c>
      <c r="AL941" s="473">
        <v>0</v>
      </c>
      <c r="AM941" s="473">
        <v>0</v>
      </c>
      <c r="AN941" s="473">
        <v>0</v>
      </c>
      <c r="AO941" s="473">
        <v>0</v>
      </c>
      <c r="AP941" s="473">
        <v>0</v>
      </c>
      <c r="AQ941" s="473">
        <v>1730</v>
      </c>
      <c r="AR941" s="473">
        <v>7072</v>
      </c>
      <c r="AS941" s="473">
        <v>0</v>
      </c>
      <c r="AT941" s="473">
        <v>0</v>
      </c>
      <c r="AU941" s="473">
        <v>3861</v>
      </c>
      <c r="AV941" s="473">
        <v>35894</v>
      </c>
      <c r="AW941" s="474">
        <v>32033</v>
      </c>
      <c r="AX941" s="473">
        <v>0</v>
      </c>
      <c r="AY941" s="473">
        <v>0</v>
      </c>
      <c r="AZ941" s="475">
        <v>0</v>
      </c>
      <c r="BA941" s="475">
        <v>200</v>
      </c>
      <c r="BB941" s="475">
        <v>1730</v>
      </c>
      <c r="BC941" s="475">
        <v>0</v>
      </c>
      <c r="BD941" s="475">
        <v>0</v>
      </c>
      <c r="BE941" s="475">
        <v>0</v>
      </c>
      <c r="BF941" s="475">
        <v>0</v>
      </c>
      <c r="BG941" s="475">
        <v>1930</v>
      </c>
      <c r="BH941" s="476">
        <v>33964</v>
      </c>
      <c r="BI941" s="467"/>
      <c r="BJ941" s="468"/>
    </row>
    <row r="942" spans="1:62">
      <c r="A942" s="469">
        <v>46023</v>
      </c>
      <c r="B942" s="469" t="s">
        <v>747</v>
      </c>
      <c r="C942" s="508"/>
      <c r="D942" s="470" t="s">
        <v>749</v>
      </c>
      <c r="E942" s="471">
        <v>2190</v>
      </c>
      <c r="F942" s="470" t="s">
        <v>1294</v>
      </c>
      <c r="G942" s="470" t="s">
        <v>751</v>
      </c>
      <c r="H942" s="470"/>
      <c r="I942" s="470" t="s">
        <v>1295</v>
      </c>
      <c r="J942" s="472" t="s">
        <v>1296</v>
      </c>
      <c r="K942" s="470" t="s">
        <v>1297</v>
      </c>
      <c r="L942" s="470" t="s">
        <v>1298</v>
      </c>
      <c r="M942" s="470" t="s">
        <v>1298</v>
      </c>
      <c r="N942" s="470" t="s">
        <v>1075</v>
      </c>
      <c r="O942" s="472" t="s">
        <v>757</v>
      </c>
      <c r="P942" s="472" t="s">
        <v>738</v>
      </c>
      <c r="Q942" s="472" t="s">
        <v>758</v>
      </c>
      <c r="R942" s="472" t="s">
        <v>12</v>
      </c>
      <c r="S942" s="472" t="s">
        <v>12</v>
      </c>
      <c r="T942" s="472" t="s">
        <v>1299</v>
      </c>
      <c r="U942" s="470" t="s">
        <v>1300</v>
      </c>
      <c r="V942" s="470" t="s">
        <v>761</v>
      </c>
      <c r="W942" s="470" t="s">
        <v>1301</v>
      </c>
      <c r="X942" s="470">
        <v>31</v>
      </c>
      <c r="Y942" s="470">
        <v>0</v>
      </c>
      <c r="Z942" s="470">
        <v>0</v>
      </c>
      <c r="AA942" s="470">
        <v>31</v>
      </c>
      <c r="AB942" s="470">
        <v>31</v>
      </c>
      <c r="AC942" s="473">
        <v>24438</v>
      </c>
      <c r="AD942" s="473">
        <v>24438</v>
      </c>
      <c r="AE942" s="473">
        <v>10997</v>
      </c>
      <c r="AF942" s="473">
        <v>4399</v>
      </c>
      <c r="AG942" s="473">
        <v>1600</v>
      </c>
      <c r="AH942" s="473">
        <v>200</v>
      </c>
      <c r="AI942" s="473">
        <v>1250</v>
      </c>
      <c r="AJ942" s="473">
        <v>0</v>
      </c>
      <c r="AK942" s="473">
        <v>0</v>
      </c>
      <c r="AL942" s="473">
        <v>0</v>
      </c>
      <c r="AM942" s="473">
        <v>0</v>
      </c>
      <c r="AN942" s="473">
        <v>0</v>
      </c>
      <c r="AO942" s="473">
        <v>0</v>
      </c>
      <c r="AP942" s="473">
        <v>0</v>
      </c>
      <c r="AQ942" s="473">
        <v>1320</v>
      </c>
      <c r="AR942" s="473">
        <v>4672</v>
      </c>
      <c r="AS942" s="473">
        <v>0</v>
      </c>
      <c r="AT942" s="473">
        <v>0</v>
      </c>
      <c r="AU942" s="473">
        <v>12044</v>
      </c>
      <c r="AV942" s="473">
        <v>36482</v>
      </c>
      <c r="AW942" s="474">
        <v>24438</v>
      </c>
      <c r="AX942" s="473">
        <v>0</v>
      </c>
      <c r="AY942" s="473">
        <v>0</v>
      </c>
      <c r="AZ942" s="475">
        <v>0</v>
      </c>
      <c r="BA942" s="475">
        <v>200</v>
      </c>
      <c r="BB942" s="475">
        <v>1320</v>
      </c>
      <c r="BC942" s="475">
        <v>0</v>
      </c>
      <c r="BD942" s="475">
        <v>0</v>
      </c>
      <c r="BE942" s="475">
        <v>0</v>
      </c>
      <c r="BF942" s="475">
        <v>0</v>
      </c>
      <c r="BG942" s="475">
        <v>1520</v>
      </c>
      <c r="BH942" s="476">
        <v>34962</v>
      </c>
      <c r="BI942" s="467"/>
      <c r="BJ942" s="468"/>
    </row>
    <row r="943" spans="1:62">
      <c r="A943" s="469">
        <v>46023</v>
      </c>
      <c r="B943" s="469" t="s">
        <v>747</v>
      </c>
      <c r="C943" s="508"/>
      <c r="D943" s="470" t="s">
        <v>749</v>
      </c>
      <c r="E943" s="471">
        <v>1480</v>
      </c>
      <c r="F943" s="470" t="s">
        <v>1078</v>
      </c>
      <c r="G943" s="470" t="s">
        <v>751</v>
      </c>
      <c r="H943" s="470"/>
      <c r="I943" s="470" t="s">
        <v>1079</v>
      </c>
      <c r="J943" s="472" t="s">
        <v>1080</v>
      </c>
      <c r="K943" s="470" t="s">
        <v>1081</v>
      </c>
      <c r="L943" s="470" t="s">
        <v>767</v>
      </c>
      <c r="M943" s="470" t="s">
        <v>767</v>
      </c>
      <c r="N943" s="470" t="s">
        <v>756</v>
      </c>
      <c r="O943" s="472" t="s">
        <v>757</v>
      </c>
      <c r="P943" s="472" t="s">
        <v>738</v>
      </c>
      <c r="Q943" s="472" t="s">
        <v>758</v>
      </c>
      <c r="R943" s="472" t="s">
        <v>12</v>
      </c>
      <c r="S943" s="472" t="s">
        <v>12</v>
      </c>
      <c r="T943" s="472" t="s">
        <v>1082</v>
      </c>
      <c r="U943" s="470" t="s">
        <v>1083</v>
      </c>
      <c r="V943" s="470" t="s">
        <v>761</v>
      </c>
      <c r="W943" s="470" t="s">
        <v>1084</v>
      </c>
      <c r="X943" s="470">
        <v>31</v>
      </c>
      <c r="Y943" s="470">
        <v>0</v>
      </c>
      <c r="Z943" s="470">
        <v>0.5</v>
      </c>
      <c r="AA943" s="470">
        <v>30.5</v>
      </c>
      <c r="AB943" s="470">
        <v>30.5</v>
      </c>
      <c r="AC943" s="473">
        <v>72817</v>
      </c>
      <c r="AD943" s="473">
        <v>72817</v>
      </c>
      <c r="AE943" s="473">
        <v>32239</v>
      </c>
      <c r="AF943" s="473">
        <v>12896</v>
      </c>
      <c r="AG943" s="473">
        <v>1574</v>
      </c>
      <c r="AH943" s="473">
        <v>197</v>
      </c>
      <c r="AI943" s="473">
        <v>1230</v>
      </c>
      <c r="AJ943" s="473">
        <v>2686</v>
      </c>
      <c r="AK943" s="473">
        <v>6448</v>
      </c>
      <c r="AL943" s="473">
        <v>4836</v>
      </c>
      <c r="AM943" s="473">
        <v>322</v>
      </c>
      <c r="AN943" s="473">
        <v>1128</v>
      </c>
      <c r="AO943" s="473">
        <v>645</v>
      </c>
      <c r="AP943" s="473">
        <v>161</v>
      </c>
      <c r="AQ943" s="473">
        <v>1800</v>
      </c>
      <c r="AR943" s="473">
        <v>5481</v>
      </c>
      <c r="AS943" s="473">
        <v>0</v>
      </c>
      <c r="AT943" s="473">
        <v>200</v>
      </c>
      <c r="AU943" s="473"/>
      <c r="AV943" s="473">
        <v>71843</v>
      </c>
      <c r="AW943" s="474">
        <v>71843</v>
      </c>
      <c r="AX943" s="473">
        <v>0</v>
      </c>
      <c r="AY943" s="473">
        <v>0</v>
      </c>
      <c r="AZ943" s="475">
        <v>0</v>
      </c>
      <c r="BA943" s="475">
        <v>200</v>
      </c>
      <c r="BB943" s="475">
        <v>1800</v>
      </c>
      <c r="BC943" s="475">
        <v>0</v>
      </c>
      <c r="BD943" s="475">
        <v>0</v>
      </c>
      <c r="BE943" s="475">
        <v>0</v>
      </c>
      <c r="BF943" s="475">
        <v>0</v>
      </c>
      <c r="BG943" s="475">
        <v>2000</v>
      </c>
      <c r="BH943" s="476">
        <v>69843</v>
      </c>
      <c r="BI943" s="467"/>
      <c r="BJ943" s="468"/>
    </row>
    <row r="944" spans="1:62">
      <c r="A944" s="469">
        <v>46023</v>
      </c>
      <c r="B944" s="469" t="s">
        <v>747</v>
      </c>
      <c r="C944" s="508"/>
      <c r="D944" s="470" t="s">
        <v>749</v>
      </c>
      <c r="E944" s="471">
        <v>405</v>
      </c>
      <c r="F944" s="470" t="s">
        <v>1085</v>
      </c>
      <c r="G944" s="470" t="s">
        <v>751</v>
      </c>
      <c r="H944" s="470"/>
      <c r="I944" s="470" t="s">
        <v>954</v>
      </c>
      <c r="J944" s="472" t="s">
        <v>1086</v>
      </c>
      <c r="K944" s="470" t="s">
        <v>1087</v>
      </c>
      <c r="L944" s="470" t="s">
        <v>832</v>
      </c>
      <c r="M944" s="470" t="s">
        <v>832</v>
      </c>
      <c r="N944" s="470" t="s">
        <v>833</v>
      </c>
      <c r="O944" s="472" t="s">
        <v>757</v>
      </c>
      <c r="P944" s="472" t="s">
        <v>738</v>
      </c>
      <c r="Q944" s="472" t="s">
        <v>758</v>
      </c>
      <c r="R944" s="472" t="s">
        <v>12</v>
      </c>
      <c r="S944" s="472" t="s">
        <v>12</v>
      </c>
      <c r="T944" s="472" t="s">
        <v>1088</v>
      </c>
      <c r="U944" s="470" t="s">
        <v>1089</v>
      </c>
      <c r="V944" s="470" t="s">
        <v>761</v>
      </c>
      <c r="W944" s="470" t="s">
        <v>762</v>
      </c>
      <c r="X944" s="470">
        <v>31</v>
      </c>
      <c r="Y944" s="470">
        <v>0</v>
      </c>
      <c r="Z944" s="470">
        <v>1</v>
      </c>
      <c r="AA944" s="470">
        <v>30</v>
      </c>
      <c r="AB944" s="470">
        <v>30</v>
      </c>
      <c r="AC944" s="473">
        <v>33167</v>
      </c>
      <c r="AD944" s="473">
        <v>33167</v>
      </c>
      <c r="AE944" s="473">
        <v>14444</v>
      </c>
      <c r="AF944" s="473">
        <v>5778</v>
      </c>
      <c r="AG944" s="473">
        <v>1548</v>
      </c>
      <c r="AH944" s="473">
        <v>194</v>
      </c>
      <c r="AI944" s="473">
        <v>1210</v>
      </c>
      <c r="AJ944" s="473">
        <v>0</v>
      </c>
      <c r="AK944" s="473">
        <v>0</v>
      </c>
      <c r="AL944" s="473">
        <v>0</v>
      </c>
      <c r="AM944" s="473">
        <v>0</v>
      </c>
      <c r="AN944" s="473">
        <v>0</v>
      </c>
      <c r="AO944" s="473">
        <v>0</v>
      </c>
      <c r="AP944" s="473">
        <v>0</v>
      </c>
      <c r="AQ944" s="473">
        <v>1733</v>
      </c>
      <c r="AR944" s="473">
        <v>7190</v>
      </c>
      <c r="AS944" s="473">
        <v>0</v>
      </c>
      <c r="AT944" s="473">
        <v>0</v>
      </c>
      <c r="AU944" s="473">
        <v>1144</v>
      </c>
      <c r="AV944" s="473">
        <v>33241</v>
      </c>
      <c r="AW944" s="474">
        <v>32097</v>
      </c>
      <c r="AX944" s="473">
        <v>0</v>
      </c>
      <c r="AY944" s="473">
        <v>0</v>
      </c>
      <c r="AZ944" s="475">
        <v>0</v>
      </c>
      <c r="BA944" s="475">
        <v>200</v>
      </c>
      <c r="BB944" s="475">
        <v>1733</v>
      </c>
      <c r="BC944" s="475">
        <v>0</v>
      </c>
      <c r="BD944" s="475">
        <v>0</v>
      </c>
      <c r="BE944" s="475">
        <v>0</v>
      </c>
      <c r="BF944" s="475">
        <v>0</v>
      </c>
      <c r="BG944" s="475">
        <v>1933</v>
      </c>
      <c r="BH944" s="476">
        <v>31308</v>
      </c>
      <c r="BI944" s="467"/>
      <c r="BJ944" s="468"/>
    </row>
    <row r="945" spans="1:62">
      <c r="A945" s="469">
        <v>46023</v>
      </c>
      <c r="B945" s="469" t="s">
        <v>747</v>
      </c>
      <c r="C945" s="508"/>
      <c r="D945" s="470" t="s">
        <v>749</v>
      </c>
      <c r="E945" s="471">
        <v>1916</v>
      </c>
      <c r="F945" s="470" t="s">
        <v>1090</v>
      </c>
      <c r="G945" s="470" t="s">
        <v>751</v>
      </c>
      <c r="H945" s="470"/>
      <c r="I945" s="470" t="s">
        <v>853</v>
      </c>
      <c r="J945" s="472" t="s">
        <v>1091</v>
      </c>
      <c r="K945" s="470" t="s">
        <v>1092</v>
      </c>
      <c r="L945" s="470" t="s">
        <v>776</v>
      </c>
      <c r="M945" s="470" t="s">
        <v>776</v>
      </c>
      <c r="N945" s="470" t="s">
        <v>777</v>
      </c>
      <c r="O945" s="472" t="s">
        <v>757</v>
      </c>
      <c r="P945" s="472" t="s">
        <v>738</v>
      </c>
      <c r="Q945" s="472" t="s">
        <v>758</v>
      </c>
      <c r="R945" s="472" t="s">
        <v>12</v>
      </c>
      <c r="S945" s="472" t="s">
        <v>12</v>
      </c>
      <c r="T945" s="472" t="s">
        <v>1093</v>
      </c>
      <c r="U945" s="470" t="s">
        <v>1094</v>
      </c>
      <c r="V945" s="470" t="s">
        <v>761</v>
      </c>
      <c r="W945" s="470" t="s">
        <v>1095</v>
      </c>
      <c r="X945" s="470">
        <v>31</v>
      </c>
      <c r="Y945" s="470">
        <v>0</v>
      </c>
      <c r="Z945" s="470">
        <v>0</v>
      </c>
      <c r="AA945" s="470">
        <v>31</v>
      </c>
      <c r="AB945" s="470">
        <v>31</v>
      </c>
      <c r="AC945" s="473">
        <v>94033</v>
      </c>
      <c r="AD945" s="473">
        <v>94033</v>
      </c>
      <c r="AE945" s="473">
        <v>42315</v>
      </c>
      <c r="AF945" s="473">
        <v>16926</v>
      </c>
      <c r="AG945" s="473">
        <v>1600</v>
      </c>
      <c r="AH945" s="473">
        <v>200</v>
      </c>
      <c r="AI945" s="473">
        <v>1250</v>
      </c>
      <c r="AJ945" s="473">
        <v>3525</v>
      </c>
      <c r="AK945" s="473">
        <v>8463</v>
      </c>
      <c r="AL945" s="473">
        <v>6347</v>
      </c>
      <c r="AM945" s="473">
        <v>423</v>
      </c>
      <c r="AN945" s="473">
        <v>1481</v>
      </c>
      <c r="AO945" s="473">
        <v>846</v>
      </c>
      <c r="AP945" s="473">
        <v>212</v>
      </c>
      <c r="AQ945" s="473">
        <v>1800</v>
      </c>
      <c r="AR945" s="473">
        <v>8645</v>
      </c>
      <c r="AS945" s="473">
        <v>0</v>
      </c>
      <c r="AT945" s="473">
        <v>0</v>
      </c>
      <c r="AU945" s="473">
        <v>96</v>
      </c>
      <c r="AV945" s="473">
        <v>94129</v>
      </c>
      <c r="AW945" s="474">
        <v>94033</v>
      </c>
      <c r="AX945" s="473">
        <v>0</v>
      </c>
      <c r="AY945" s="473">
        <v>0</v>
      </c>
      <c r="AZ945" s="475">
        <v>0</v>
      </c>
      <c r="BA945" s="475">
        <v>200</v>
      </c>
      <c r="BB945" s="475">
        <v>1800</v>
      </c>
      <c r="BC945" s="475">
        <v>0</v>
      </c>
      <c r="BD945" s="475">
        <v>0</v>
      </c>
      <c r="BE945" s="475">
        <v>0</v>
      </c>
      <c r="BF945" s="475">
        <v>0</v>
      </c>
      <c r="BG945" s="475">
        <v>2000</v>
      </c>
      <c r="BH945" s="476">
        <v>92129</v>
      </c>
      <c r="BI945" s="467"/>
      <c r="BJ945" s="468"/>
    </row>
    <row r="946" spans="1:62">
      <c r="A946" s="469">
        <v>46023</v>
      </c>
      <c r="B946" s="469" t="s">
        <v>747</v>
      </c>
      <c r="C946" s="508"/>
      <c r="D946" s="470" t="s">
        <v>749</v>
      </c>
      <c r="E946" s="471">
        <v>1093</v>
      </c>
      <c r="F946" s="470" t="s">
        <v>1096</v>
      </c>
      <c r="G946" s="470" t="s">
        <v>751</v>
      </c>
      <c r="H946" s="470"/>
      <c r="I946" s="470" t="s">
        <v>976</v>
      </c>
      <c r="J946" s="472" t="s">
        <v>1097</v>
      </c>
      <c r="K946" s="470" t="s">
        <v>1098</v>
      </c>
      <c r="L946" s="470" t="s">
        <v>1292</v>
      </c>
      <c r="M946" s="470" t="s">
        <v>1292</v>
      </c>
      <c r="N946" s="470" t="s">
        <v>1275</v>
      </c>
      <c r="O946" s="472" t="s">
        <v>792</v>
      </c>
      <c r="P946" s="472" t="s">
        <v>738</v>
      </c>
      <c r="Q946" s="472" t="s">
        <v>758</v>
      </c>
      <c r="R946" s="472" t="s">
        <v>12</v>
      </c>
      <c r="S946" s="472" t="s">
        <v>12</v>
      </c>
      <c r="T946" s="472" t="s">
        <v>1099</v>
      </c>
      <c r="U946" s="470" t="s">
        <v>1100</v>
      </c>
      <c r="V946" s="470" t="s">
        <v>761</v>
      </c>
      <c r="W946" s="470" t="s">
        <v>1101</v>
      </c>
      <c r="X946" s="470">
        <v>31</v>
      </c>
      <c r="Y946" s="470">
        <v>0</v>
      </c>
      <c r="Z946" s="470">
        <v>0</v>
      </c>
      <c r="AA946" s="470">
        <v>31</v>
      </c>
      <c r="AB946" s="470">
        <v>31</v>
      </c>
      <c r="AC946" s="473">
        <v>96667</v>
      </c>
      <c r="AD946" s="473">
        <v>96667</v>
      </c>
      <c r="AE946" s="473">
        <v>43500</v>
      </c>
      <c r="AF946" s="473">
        <v>17400</v>
      </c>
      <c r="AG946" s="473">
        <v>1600</v>
      </c>
      <c r="AH946" s="473">
        <v>200</v>
      </c>
      <c r="AI946" s="473">
        <v>1250</v>
      </c>
      <c r="AJ946" s="473">
        <v>3624</v>
      </c>
      <c r="AK946" s="473">
        <v>8700</v>
      </c>
      <c r="AL946" s="473">
        <v>6525</v>
      </c>
      <c r="AM946" s="473">
        <v>435</v>
      </c>
      <c r="AN946" s="473">
        <v>1523</v>
      </c>
      <c r="AO946" s="473">
        <v>870</v>
      </c>
      <c r="AP946" s="473">
        <v>218</v>
      </c>
      <c r="AQ946" s="473">
        <v>1800</v>
      </c>
      <c r="AR946" s="473">
        <v>9022</v>
      </c>
      <c r="AS946" s="473">
        <v>0</v>
      </c>
      <c r="AT946" s="473">
        <v>0</v>
      </c>
      <c r="AU946" s="473">
        <v>8477</v>
      </c>
      <c r="AV946" s="473">
        <v>105144</v>
      </c>
      <c r="AW946" s="474">
        <v>96667</v>
      </c>
      <c r="AX946" s="473">
        <v>0</v>
      </c>
      <c r="AY946" s="473">
        <v>0</v>
      </c>
      <c r="AZ946" s="475">
        <v>16281</v>
      </c>
      <c r="BA946" s="475">
        <v>200</v>
      </c>
      <c r="BB946" s="475">
        <v>1800</v>
      </c>
      <c r="BC946" s="475">
        <v>0</v>
      </c>
      <c r="BD946" s="475">
        <v>0</v>
      </c>
      <c r="BE946" s="475">
        <v>0</v>
      </c>
      <c r="BF946" s="475">
        <v>0</v>
      </c>
      <c r="BG946" s="475">
        <v>18281</v>
      </c>
      <c r="BH946" s="476">
        <v>86863</v>
      </c>
      <c r="BI946" s="467"/>
      <c r="BJ946" s="468"/>
    </row>
    <row r="947" spans="1:62">
      <c r="A947" s="469">
        <v>46023</v>
      </c>
      <c r="B947" s="469" t="s">
        <v>747</v>
      </c>
      <c r="C947" s="508"/>
      <c r="D947" s="470" t="s">
        <v>749</v>
      </c>
      <c r="E947" s="471">
        <v>2287</v>
      </c>
      <c r="F947" s="470" t="s">
        <v>1470</v>
      </c>
      <c r="G947" s="470" t="s">
        <v>751</v>
      </c>
      <c r="H947" s="470"/>
      <c r="I947" s="470" t="s">
        <v>1471</v>
      </c>
      <c r="J947" s="472" t="s">
        <v>1472</v>
      </c>
      <c r="K947" s="470" t="s">
        <v>1473</v>
      </c>
      <c r="L947" s="470" t="s">
        <v>1305</v>
      </c>
      <c r="M947" s="470" t="s">
        <v>1305</v>
      </c>
      <c r="N947" s="470" t="s">
        <v>1275</v>
      </c>
      <c r="O947" s="472" t="s">
        <v>757</v>
      </c>
      <c r="P947" s="472" t="s">
        <v>738</v>
      </c>
      <c r="Q947" s="472" t="s">
        <v>758</v>
      </c>
      <c r="R947" s="472" t="s">
        <v>12</v>
      </c>
      <c r="S947" s="472" t="s">
        <v>12</v>
      </c>
      <c r="T947" s="472" t="s">
        <v>1474</v>
      </c>
      <c r="U947" s="470" t="s">
        <v>1475</v>
      </c>
      <c r="V947" s="470" t="s">
        <v>761</v>
      </c>
      <c r="W947" s="470" t="s">
        <v>1387</v>
      </c>
      <c r="X947" s="470">
        <v>31</v>
      </c>
      <c r="Y947" s="470">
        <v>0</v>
      </c>
      <c r="Z947" s="470">
        <v>0.5</v>
      </c>
      <c r="AA947" s="470">
        <v>30.5</v>
      </c>
      <c r="AB947" s="470">
        <v>30.5</v>
      </c>
      <c r="AC947" s="473">
        <v>66200</v>
      </c>
      <c r="AD947" s="473">
        <v>66200</v>
      </c>
      <c r="AE947" s="473">
        <v>29309</v>
      </c>
      <c r="AF947" s="473">
        <v>11724</v>
      </c>
      <c r="AG947" s="473">
        <v>1574</v>
      </c>
      <c r="AH947" s="473">
        <v>197</v>
      </c>
      <c r="AI947" s="473">
        <v>1230</v>
      </c>
      <c r="AJ947" s="473">
        <v>2441</v>
      </c>
      <c r="AK947" s="473">
        <v>5862</v>
      </c>
      <c r="AL947" s="473">
        <v>4396</v>
      </c>
      <c r="AM947" s="473">
        <v>293</v>
      </c>
      <c r="AN947" s="473">
        <v>1026</v>
      </c>
      <c r="AO947" s="473">
        <v>586</v>
      </c>
      <c r="AP947" s="473">
        <v>147</v>
      </c>
      <c r="AQ947" s="473">
        <v>1800</v>
      </c>
      <c r="AR947" s="473">
        <v>4547</v>
      </c>
      <c r="AS947" s="473">
        <v>0</v>
      </c>
      <c r="AT947" s="473">
        <v>0</v>
      </c>
      <c r="AU947" s="473">
        <v>3586</v>
      </c>
      <c r="AV947" s="473">
        <v>68718</v>
      </c>
      <c r="AW947" s="474">
        <v>65132</v>
      </c>
      <c r="AX947" s="473">
        <v>0</v>
      </c>
      <c r="AY947" s="473">
        <v>0</v>
      </c>
      <c r="AZ947" s="475">
        <v>0</v>
      </c>
      <c r="BA947" s="475">
        <v>200</v>
      </c>
      <c r="BB947" s="475">
        <v>1800</v>
      </c>
      <c r="BC947" s="475">
        <v>0</v>
      </c>
      <c r="BD947" s="475">
        <v>0</v>
      </c>
      <c r="BE947" s="475">
        <v>0</v>
      </c>
      <c r="BF947" s="475">
        <v>0</v>
      </c>
      <c r="BG947" s="475">
        <v>2000</v>
      </c>
      <c r="BH947" s="476">
        <v>66718</v>
      </c>
      <c r="BI947" s="467"/>
      <c r="BJ947" s="468"/>
    </row>
    <row r="948" spans="1:62">
      <c r="A948" s="469">
        <v>46023</v>
      </c>
      <c r="B948" s="469" t="s">
        <v>747</v>
      </c>
      <c r="C948" s="508"/>
      <c r="D948" s="470" t="s">
        <v>749</v>
      </c>
      <c r="E948" s="471">
        <v>2261</v>
      </c>
      <c r="F948" s="470" t="s">
        <v>1476</v>
      </c>
      <c r="G948" s="470" t="s">
        <v>751</v>
      </c>
      <c r="H948" s="470"/>
      <c r="I948" s="470" t="s">
        <v>1477</v>
      </c>
      <c r="J948" s="472" t="s">
        <v>1478</v>
      </c>
      <c r="K948" s="470" t="s">
        <v>1479</v>
      </c>
      <c r="L948" s="470" t="s">
        <v>1192</v>
      </c>
      <c r="M948" s="470" t="s">
        <v>1328</v>
      </c>
      <c r="N948" s="470" t="s">
        <v>833</v>
      </c>
      <c r="O948" s="472" t="s">
        <v>1043</v>
      </c>
      <c r="P948" s="472" t="s">
        <v>738</v>
      </c>
      <c r="Q948" s="472" t="s">
        <v>758</v>
      </c>
      <c r="R948" s="472" t="s">
        <v>12</v>
      </c>
      <c r="S948" s="472" t="s">
        <v>12</v>
      </c>
      <c r="T948" s="472" t="s">
        <v>1480</v>
      </c>
      <c r="U948" s="470" t="s">
        <v>1481</v>
      </c>
      <c r="V948" s="470" t="s">
        <v>761</v>
      </c>
      <c r="W948" s="470" t="s">
        <v>876</v>
      </c>
      <c r="X948" s="470">
        <v>31</v>
      </c>
      <c r="Y948" s="470">
        <v>0</v>
      </c>
      <c r="Z948" s="470">
        <v>0</v>
      </c>
      <c r="AA948" s="470">
        <v>31</v>
      </c>
      <c r="AB948" s="470">
        <v>31</v>
      </c>
      <c r="AC948" s="473">
        <v>27434</v>
      </c>
      <c r="AD948" s="473">
        <v>27434</v>
      </c>
      <c r="AE948" s="473">
        <v>12345</v>
      </c>
      <c r="AF948" s="473">
        <v>4938</v>
      </c>
      <c r="AG948" s="473">
        <v>1600</v>
      </c>
      <c r="AH948" s="473">
        <v>200</v>
      </c>
      <c r="AI948" s="473">
        <v>1250</v>
      </c>
      <c r="AJ948" s="473">
        <v>0</v>
      </c>
      <c r="AK948" s="473">
        <v>0</v>
      </c>
      <c r="AL948" s="473">
        <v>0</v>
      </c>
      <c r="AM948" s="473">
        <v>0</v>
      </c>
      <c r="AN948" s="473">
        <v>0</v>
      </c>
      <c r="AO948" s="473">
        <v>0</v>
      </c>
      <c r="AP948" s="473">
        <v>0</v>
      </c>
      <c r="AQ948" s="473">
        <v>1481</v>
      </c>
      <c r="AR948" s="473">
        <v>5620</v>
      </c>
      <c r="AS948" s="473">
        <v>0</v>
      </c>
      <c r="AT948" s="473">
        <v>0</v>
      </c>
      <c r="AU948" s="473">
        <v>462</v>
      </c>
      <c r="AV948" s="473">
        <v>27896</v>
      </c>
      <c r="AW948" s="474">
        <v>27434</v>
      </c>
      <c r="AX948" s="473">
        <v>0</v>
      </c>
      <c r="AY948" s="473">
        <v>0</v>
      </c>
      <c r="AZ948" s="475">
        <v>0</v>
      </c>
      <c r="BA948" s="475">
        <v>200</v>
      </c>
      <c r="BB948" s="475">
        <v>1481</v>
      </c>
      <c r="BC948" s="475">
        <v>0</v>
      </c>
      <c r="BD948" s="475">
        <v>0</v>
      </c>
      <c r="BE948" s="475">
        <v>0</v>
      </c>
      <c r="BF948" s="475">
        <v>0</v>
      </c>
      <c r="BG948" s="475">
        <v>1681</v>
      </c>
      <c r="BH948" s="476">
        <v>26215</v>
      </c>
      <c r="BI948" s="467"/>
      <c r="BJ948" s="468"/>
    </row>
    <row r="949" spans="1:62">
      <c r="A949" s="469">
        <v>46023</v>
      </c>
      <c r="B949" s="469" t="s">
        <v>747</v>
      </c>
      <c r="C949" s="508"/>
      <c r="D949" s="470" t="s">
        <v>749</v>
      </c>
      <c r="E949" s="471">
        <v>2279</v>
      </c>
      <c r="F949" s="470" t="s">
        <v>1482</v>
      </c>
      <c r="G949" s="470" t="s">
        <v>751</v>
      </c>
      <c r="H949" s="470"/>
      <c r="I949" s="470" t="s">
        <v>1426</v>
      </c>
      <c r="J949" s="472" t="s">
        <v>1483</v>
      </c>
      <c r="K949" s="470" t="s">
        <v>1484</v>
      </c>
      <c r="L949" s="470" t="s">
        <v>824</v>
      </c>
      <c r="M949" s="470" t="s">
        <v>824</v>
      </c>
      <c r="N949" s="470" t="s">
        <v>1275</v>
      </c>
      <c r="O949" s="472" t="s">
        <v>1276</v>
      </c>
      <c r="P949" s="472" t="s">
        <v>738</v>
      </c>
      <c r="Q949" s="472" t="s">
        <v>758</v>
      </c>
      <c r="R949" s="472" t="s">
        <v>12</v>
      </c>
      <c r="S949" s="472" t="s">
        <v>12</v>
      </c>
      <c r="T949" s="472" t="s">
        <v>1485</v>
      </c>
      <c r="U949" s="470" t="s">
        <v>1486</v>
      </c>
      <c r="V949" s="470" t="s">
        <v>761</v>
      </c>
      <c r="W949" s="470" t="s">
        <v>1361</v>
      </c>
      <c r="X949" s="470">
        <v>31</v>
      </c>
      <c r="Y949" s="470">
        <v>0</v>
      </c>
      <c r="Z949" s="470">
        <v>0</v>
      </c>
      <c r="AA949" s="470">
        <v>31</v>
      </c>
      <c r="AB949" s="470">
        <v>31</v>
      </c>
      <c r="AC949" s="473">
        <v>44033</v>
      </c>
      <c r="AD949" s="473">
        <v>44033</v>
      </c>
      <c r="AE949" s="473">
        <v>19815</v>
      </c>
      <c r="AF949" s="473">
        <v>7926</v>
      </c>
      <c r="AG949" s="473">
        <v>1600</v>
      </c>
      <c r="AH949" s="473">
        <v>200</v>
      </c>
      <c r="AI949" s="473">
        <v>1250</v>
      </c>
      <c r="AJ949" s="473">
        <v>1651</v>
      </c>
      <c r="AK949" s="473">
        <v>3963</v>
      </c>
      <c r="AL949" s="473">
        <v>2972</v>
      </c>
      <c r="AM949" s="473">
        <v>198</v>
      </c>
      <c r="AN949" s="473">
        <v>694</v>
      </c>
      <c r="AO949" s="473">
        <v>396</v>
      </c>
      <c r="AP949" s="473">
        <v>99</v>
      </c>
      <c r="AQ949" s="473">
        <v>1800</v>
      </c>
      <c r="AR949" s="473">
        <v>1469</v>
      </c>
      <c r="AS949" s="473">
        <v>0</v>
      </c>
      <c r="AT949" s="473">
        <v>0</v>
      </c>
      <c r="AU949" s="473"/>
      <c r="AV949" s="473">
        <v>44033</v>
      </c>
      <c r="AW949" s="474">
        <v>44033</v>
      </c>
      <c r="AX949" s="473">
        <v>0</v>
      </c>
      <c r="AY949" s="473">
        <v>0</v>
      </c>
      <c r="AZ949" s="475">
        <v>0</v>
      </c>
      <c r="BA949" s="475">
        <v>200</v>
      </c>
      <c r="BB949" s="475">
        <v>1800</v>
      </c>
      <c r="BC949" s="475">
        <v>0</v>
      </c>
      <c r="BD949" s="475">
        <v>0</v>
      </c>
      <c r="BE949" s="475">
        <v>0</v>
      </c>
      <c r="BF949" s="475">
        <v>0</v>
      </c>
      <c r="BG949" s="475">
        <v>2000</v>
      </c>
      <c r="BH949" s="476">
        <v>42033</v>
      </c>
      <c r="BI949" s="467"/>
      <c r="BJ949" s="468"/>
    </row>
    <row r="950" spans="1:62">
      <c r="A950" s="469">
        <v>46023</v>
      </c>
      <c r="B950" s="469" t="s">
        <v>747</v>
      </c>
      <c r="C950" s="508"/>
      <c r="D950" s="470" t="s">
        <v>749</v>
      </c>
      <c r="E950" s="471">
        <v>2274</v>
      </c>
      <c r="F950" s="470" t="s">
        <v>1487</v>
      </c>
      <c r="G950" s="470" t="s">
        <v>812</v>
      </c>
      <c r="H950" s="470"/>
      <c r="I950" s="470" t="s">
        <v>1426</v>
      </c>
      <c r="J950" s="472" t="s">
        <v>1488</v>
      </c>
      <c r="K950" s="470" t="s">
        <v>1489</v>
      </c>
      <c r="L950" s="470" t="s">
        <v>824</v>
      </c>
      <c r="M950" s="470" t="s">
        <v>824</v>
      </c>
      <c r="N950" s="470" t="s">
        <v>1275</v>
      </c>
      <c r="O950" s="472" t="s">
        <v>1276</v>
      </c>
      <c r="P950" s="472" t="s">
        <v>738</v>
      </c>
      <c r="Q950" s="472" t="s">
        <v>758</v>
      </c>
      <c r="R950" s="472" t="s">
        <v>12</v>
      </c>
      <c r="S950" s="472" t="s">
        <v>12</v>
      </c>
      <c r="T950" s="472" t="s">
        <v>1490</v>
      </c>
      <c r="U950" s="470" t="s">
        <v>1491</v>
      </c>
      <c r="V950" s="470" t="s">
        <v>761</v>
      </c>
      <c r="W950" s="470" t="s">
        <v>1361</v>
      </c>
      <c r="X950" s="470">
        <v>31</v>
      </c>
      <c r="Y950" s="470">
        <v>0</v>
      </c>
      <c r="Z950" s="470">
        <v>4</v>
      </c>
      <c r="AA950" s="470">
        <v>27</v>
      </c>
      <c r="AB950" s="470">
        <v>27</v>
      </c>
      <c r="AC950" s="473">
        <v>44033</v>
      </c>
      <c r="AD950" s="473">
        <v>44033</v>
      </c>
      <c r="AE950" s="473">
        <v>17258</v>
      </c>
      <c r="AF950" s="473">
        <v>6903</v>
      </c>
      <c r="AG950" s="473">
        <v>1394</v>
      </c>
      <c r="AH950" s="473">
        <v>174</v>
      </c>
      <c r="AI950" s="473">
        <v>1089</v>
      </c>
      <c r="AJ950" s="473">
        <v>1438</v>
      </c>
      <c r="AK950" s="473">
        <v>3452</v>
      </c>
      <c r="AL950" s="473">
        <v>2589</v>
      </c>
      <c r="AM950" s="473">
        <v>173</v>
      </c>
      <c r="AN950" s="473">
        <v>604</v>
      </c>
      <c r="AO950" s="473">
        <v>345</v>
      </c>
      <c r="AP950" s="473">
        <v>86</v>
      </c>
      <c r="AQ950" s="473">
        <v>1800</v>
      </c>
      <c r="AR950" s="473">
        <v>1046</v>
      </c>
      <c r="AS950" s="473">
        <v>0</v>
      </c>
      <c r="AT950" s="473">
        <v>0</v>
      </c>
      <c r="AU950" s="473"/>
      <c r="AV950" s="473">
        <v>38351</v>
      </c>
      <c r="AW950" s="474">
        <v>38351</v>
      </c>
      <c r="AX950" s="473">
        <v>0</v>
      </c>
      <c r="AY950" s="473">
        <v>0</v>
      </c>
      <c r="AZ950" s="475">
        <v>0</v>
      </c>
      <c r="BA950" s="475">
        <v>200</v>
      </c>
      <c r="BB950" s="475">
        <v>1800</v>
      </c>
      <c r="BC950" s="475">
        <v>0</v>
      </c>
      <c r="BD950" s="475">
        <v>0</v>
      </c>
      <c r="BE950" s="475">
        <v>0</v>
      </c>
      <c r="BF950" s="475">
        <v>0</v>
      </c>
      <c r="BG950" s="475">
        <v>2000</v>
      </c>
      <c r="BH950" s="476">
        <v>36351</v>
      </c>
      <c r="BI950" s="467"/>
      <c r="BJ950" s="468"/>
    </row>
    <row r="951" spans="1:62">
      <c r="A951" s="469">
        <v>46023</v>
      </c>
      <c r="B951" s="469" t="s">
        <v>747</v>
      </c>
      <c r="C951" s="508"/>
      <c r="D951" s="470" t="s">
        <v>749</v>
      </c>
      <c r="E951" s="471">
        <v>2277</v>
      </c>
      <c r="F951" s="470" t="s">
        <v>1492</v>
      </c>
      <c r="G951" s="470" t="s">
        <v>751</v>
      </c>
      <c r="H951" s="470"/>
      <c r="I951" s="470" t="s">
        <v>1426</v>
      </c>
      <c r="J951" s="472" t="s">
        <v>1493</v>
      </c>
      <c r="K951" s="470" t="s">
        <v>1494</v>
      </c>
      <c r="L951" s="470" t="s">
        <v>824</v>
      </c>
      <c r="M951" s="470" t="s">
        <v>824</v>
      </c>
      <c r="N951" s="470" t="s">
        <v>1275</v>
      </c>
      <c r="O951" s="472" t="s">
        <v>1276</v>
      </c>
      <c r="P951" s="472" t="s">
        <v>738</v>
      </c>
      <c r="Q951" s="472" t="s">
        <v>758</v>
      </c>
      <c r="R951" s="472" t="s">
        <v>12</v>
      </c>
      <c r="S951" s="472" t="s">
        <v>12</v>
      </c>
      <c r="T951" s="472" t="s">
        <v>1495</v>
      </c>
      <c r="U951" s="470" t="s">
        <v>1496</v>
      </c>
      <c r="V951" s="470" t="s">
        <v>761</v>
      </c>
      <c r="W951" s="470" t="s">
        <v>1361</v>
      </c>
      <c r="X951" s="470">
        <v>31</v>
      </c>
      <c r="Y951" s="470">
        <v>0</v>
      </c>
      <c r="Z951" s="470">
        <v>0</v>
      </c>
      <c r="AA951" s="470">
        <v>31</v>
      </c>
      <c r="AB951" s="470">
        <v>31</v>
      </c>
      <c r="AC951" s="473">
        <v>44033</v>
      </c>
      <c r="AD951" s="473">
        <v>44033</v>
      </c>
      <c r="AE951" s="473">
        <v>19815</v>
      </c>
      <c r="AF951" s="473">
        <v>7926</v>
      </c>
      <c r="AG951" s="473">
        <v>1600</v>
      </c>
      <c r="AH951" s="473">
        <v>200</v>
      </c>
      <c r="AI951" s="473">
        <v>1250</v>
      </c>
      <c r="AJ951" s="473">
        <v>1651</v>
      </c>
      <c r="AK951" s="473">
        <v>3963</v>
      </c>
      <c r="AL951" s="473">
        <v>2972</v>
      </c>
      <c r="AM951" s="473">
        <v>198</v>
      </c>
      <c r="AN951" s="473">
        <v>694</v>
      </c>
      <c r="AO951" s="473">
        <v>396</v>
      </c>
      <c r="AP951" s="473">
        <v>99</v>
      </c>
      <c r="AQ951" s="473">
        <v>1800</v>
      </c>
      <c r="AR951" s="473">
        <v>1469</v>
      </c>
      <c r="AS951" s="473">
        <v>0</v>
      </c>
      <c r="AT951" s="473">
        <v>0</v>
      </c>
      <c r="AU951" s="473"/>
      <c r="AV951" s="473">
        <v>44033</v>
      </c>
      <c r="AW951" s="474">
        <v>44033</v>
      </c>
      <c r="AX951" s="473">
        <v>0</v>
      </c>
      <c r="AY951" s="473">
        <v>0</v>
      </c>
      <c r="AZ951" s="475">
        <v>0</v>
      </c>
      <c r="BA951" s="475">
        <v>200</v>
      </c>
      <c r="BB951" s="475">
        <v>1800</v>
      </c>
      <c r="BC951" s="475">
        <v>0</v>
      </c>
      <c r="BD951" s="475">
        <v>0</v>
      </c>
      <c r="BE951" s="475">
        <v>0</v>
      </c>
      <c r="BF951" s="475">
        <v>0</v>
      </c>
      <c r="BG951" s="475">
        <v>2000</v>
      </c>
      <c r="BH951" s="476">
        <v>42033</v>
      </c>
      <c r="BI951" s="467"/>
      <c r="BJ951" s="468"/>
    </row>
    <row r="952" spans="1:62">
      <c r="A952" s="469">
        <v>46023</v>
      </c>
      <c r="B952" s="469" t="s">
        <v>747</v>
      </c>
      <c r="C952" s="508"/>
      <c r="D952" s="470" t="s">
        <v>749</v>
      </c>
      <c r="E952" s="471">
        <v>2156</v>
      </c>
      <c r="F952" s="470" t="s">
        <v>1302</v>
      </c>
      <c r="G952" s="470" t="s">
        <v>751</v>
      </c>
      <c r="H952" s="470"/>
      <c r="I952" s="470" t="s">
        <v>1286</v>
      </c>
      <c r="J952" s="472" t="s">
        <v>1303</v>
      </c>
      <c r="K952" s="470" t="s">
        <v>1304</v>
      </c>
      <c r="L952" s="470" t="s">
        <v>1305</v>
      </c>
      <c r="M952" s="470" t="s">
        <v>1305</v>
      </c>
      <c r="N952" s="470" t="s">
        <v>756</v>
      </c>
      <c r="O952" s="472" t="s">
        <v>792</v>
      </c>
      <c r="P952" s="472" t="s">
        <v>738</v>
      </c>
      <c r="Q952" s="472" t="s">
        <v>758</v>
      </c>
      <c r="R952" s="472" t="s">
        <v>12</v>
      </c>
      <c r="S952" s="472" t="s">
        <v>12</v>
      </c>
      <c r="T952" s="472" t="s">
        <v>1306</v>
      </c>
      <c r="U952" s="470" t="s">
        <v>1307</v>
      </c>
      <c r="V952" s="470" t="s">
        <v>761</v>
      </c>
      <c r="W952" s="470" t="s">
        <v>898</v>
      </c>
      <c r="X952" s="470">
        <v>31</v>
      </c>
      <c r="Y952" s="470">
        <v>0</v>
      </c>
      <c r="Z952" s="470">
        <v>0</v>
      </c>
      <c r="AA952" s="470">
        <v>31</v>
      </c>
      <c r="AB952" s="470">
        <v>31</v>
      </c>
      <c r="AC952" s="473">
        <v>67200</v>
      </c>
      <c r="AD952" s="473">
        <v>67200</v>
      </c>
      <c r="AE952" s="473">
        <v>30240</v>
      </c>
      <c r="AF952" s="473">
        <v>12096</v>
      </c>
      <c r="AG952" s="473">
        <v>1600</v>
      </c>
      <c r="AH952" s="473">
        <v>200</v>
      </c>
      <c r="AI952" s="473">
        <v>1250</v>
      </c>
      <c r="AJ952" s="473">
        <v>2519</v>
      </c>
      <c r="AK952" s="473">
        <v>6048</v>
      </c>
      <c r="AL952" s="473">
        <v>4536</v>
      </c>
      <c r="AM952" s="473">
        <v>302</v>
      </c>
      <c r="AN952" s="473">
        <v>1058</v>
      </c>
      <c r="AO952" s="473">
        <v>605</v>
      </c>
      <c r="AP952" s="473">
        <v>151</v>
      </c>
      <c r="AQ952" s="473">
        <v>1800</v>
      </c>
      <c r="AR952" s="473">
        <v>4795</v>
      </c>
      <c r="AS952" s="473">
        <v>0</v>
      </c>
      <c r="AT952" s="473">
        <v>0</v>
      </c>
      <c r="AU952" s="473"/>
      <c r="AV952" s="473">
        <v>67200</v>
      </c>
      <c r="AW952" s="474">
        <v>67200</v>
      </c>
      <c r="AX952" s="473">
        <v>0</v>
      </c>
      <c r="AY952" s="473">
        <v>0</v>
      </c>
      <c r="AZ952" s="475">
        <v>0</v>
      </c>
      <c r="BA952" s="475">
        <v>200</v>
      </c>
      <c r="BB952" s="475">
        <v>1800</v>
      </c>
      <c r="BC952" s="475">
        <v>0</v>
      </c>
      <c r="BD952" s="475">
        <v>0</v>
      </c>
      <c r="BE952" s="475">
        <v>0</v>
      </c>
      <c r="BF952" s="475">
        <v>0</v>
      </c>
      <c r="BG952" s="475">
        <v>2000</v>
      </c>
      <c r="BH952" s="476">
        <v>65200</v>
      </c>
      <c r="BI952" s="467"/>
      <c r="BJ952" s="468"/>
    </row>
    <row r="953" spans="1:62">
      <c r="A953" s="469">
        <v>46023</v>
      </c>
      <c r="B953" s="469" t="s">
        <v>747</v>
      </c>
      <c r="C953" s="508"/>
      <c r="D953" s="470" t="s">
        <v>749</v>
      </c>
      <c r="E953" s="471">
        <v>413</v>
      </c>
      <c r="F953" s="470" t="s">
        <v>1112</v>
      </c>
      <c r="G953" s="470" t="s">
        <v>751</v>
      </c>
      <c r="H953" s="470"/>
      <c r="I953" s="470" t="s">
        <v>1113</v>
      </c>
      <c r="J953" s="472" t="s">
        <v>1114</v>
      </c>
      <c r="K953" s="470" t="s">
        <v>1115</v>
      </c>
      <c r="L953" s="470" t="s">
        <v>856</v>
      </c>
      <c r="M953" s="470" t="s">
        <v>856</v>
      </c>
      <c r="N953" s="470" t="s">
        <v>756</v>
      </c>
      <c r="O953" s="472" t="s">
        <v>757</v>
      </c>
      <c r="P953" s="472" t="s">
        <v>738</v>
      </c>
      <c r="Q953" s="472" t="s">
        <v>758</v>
      </c>
      <c r="R953" s="472" t="s">
        <v>12</v>
      </c>
      <c r="S953" s="472" t="s">
        <v>12</v>
      </c>
      <c r="T953" s="472" t="s">
        <v>1117</v>
      </c>
      <c r="U953" s="470" t="s">
        <v>1118</v>
      </c>
      <c r="V953" s="470" t="s">
        <v>761</v>
      </c>
      <c r="W953" s="470" t="s">
        <v>762</v>
      </c>
      <c r="X953" s="470">
        <v>31</v>
      </c>
      <c r="Y953" s="470">
        <v>0</v>
      </c>
      <c r="Z953" s="470">
        <v>0</v>
      </c>
      <c r="AA953" s="470">
        <v>31</v>
      </c>
      <c r="AB953" s="470">
        <v>31</v>
      </c>
      <c r="AC953" s="473">
        <v>52975</v>
      </c>
      <c r="AD953" s="473">
        <v>52975</v>
      </c>
      <c r="AE953" s="473">
        <v>23839</v>
      </c>
      <c r="AF953" s="473">
        <v>9536</v>
      </c>
      <c r="AG953" s="473">
        <v>1600</v>
      </c>
      <c r="AH953" s="473">
        <v>200</v>
      </c>
      <c r="AI953" s="473">
        <v>1250</v>
      </c>
      <c r="AJ953" s="473">
        <v>1986</v>
      </c>
      <c r="AK953" s="473">
        <v>4768</v>
      </c>
      <c r="AL953" s="473">
        <v>3576</v>
      </c>
      <c r="AM953" s="473">
        <v>238</v>
      </c>
      <c r="AN953" s="473">
        <v>834</v>
      </c>
      <c r="AO953" s="473">
        <v>477</v>
      </c>
      <c r="AP953" s="473">
        <v>119</v>
      </c>
      <c r="AQ953" s="473">
        <v>1800</v>
      </c>
      <c r="AR953" s="473">
        <v>2752</v>
      </c>
      <c r="AS953" s="473">
        <v>0</v>
      </c>
      <c r="AT953" s="473">
        <v>0</v>
      </c>
      <c r="AU953" s="473"/>
      <c r="AV953" s="473">
        <v>52975</v>
      </c>
      <c r="AW953" s="474">
        <v>52975</v>
      </c>
      <c r="AX953" s="473">
        <v>0</v>
      </c>
      <c r="AY953" s="473">
        <v>0</v>
      </c>
      <c r="AZ953" s="475">
        <v>0</v>
      </c>
      <c r="BA953" s="475">
        <v>200</v>
      </c>
      <c r="BB953" s="475">
        <v>1800</v>
      </c>
      <c r="BC953" s="475">
        <v>0</v>
      </c>
      <c r="BD953" s="475">
        <v>0</v>
      </c>
      <c r="BE953" s="475">
        <v>0</v>
      </c>
      <c r="BF953" s="475">
        <v>0</v>
      </c>
      <c r="BG953" s="475">
        <v>2000</v>
      </c>
      <c r="BH953" s="476">
        <v>50975</v>
      </c>
      <c r="BI953" s="467"/>
      <c r="BJ953" s="468"/>
    </row>
    <row r="954" spans="1:62">
      <c r="A954" s="469">
        <v>46023</v>
      </c>
      <c r="B954" s="469" t="s">
        <v>747</v>
      </c>
      <c r="C954" s="508"/>
      <c r="D954" s="470" t="s">
        <v>749</v>
      </c>
      <c r="E954" s="471">
        <v>1389</v>
      </c>
      <c r="F954" s="470" t="s">
        <v>1119</v>
      </c>
      <c r="G954" s="470" t="s">
        <v>751</v>
      </c>
      <c r="H954" s="470"/>
      <c r="I954" s="470" t="s">
        <v>1120</v>
      </c>
      <c r="J954" s="472" t="s">
        <v>1121</v>
      </c>
      <c r="K954" s="470" t="s">
        <v>1122</v>
      </c>
      <c r="L954" s="470" t="s">
        <v>1123</v>
      </c>
      <c r="M954" s="470" t="s">
        <v>1124</v>
      </c>
      <c r="N954" s="470" t="s">
        <v>1108</v>
      </c>
      <c r="O954" s="472" t="s">
        <v>757</v>
      </c>
      <c r="P954" s="472" t="s">
        <v>738</v>
      </c>
      <c r="Q954" s="472" t="s">
        <v>758</v>
      </c>
      <c r="R954" s="472" t="s">
        <v>12</v>
      </c>
      <c r="S954" s="472" t="s">
        <v>12</v>
      </c>
      <c r="T954" s="472" t="s">
        <v>1125</v>
      </c>
      <c r="U954" s="470" t="s">
        <v>1126</v>
      </c>
      <c r="V954" s="470" t="s">
        <v>761</v>
      </c>
      <c r="W954" s="470" t="s">
        <v>762</v>
      </c>
      <c r="X954" s="470">
        <v>31</v>
      </c>
      <c r="Y954" s="470">
        <v>0</v>
      </c>
      <c r="Z954" s="470">
        <v>0</v>
      </c>
      <c r="AA954" s="470">
        <v>31</v>
      </c>
      <c r="AB954" s="470">
        <v>31</v>
      </c>
      <c r="AC954" s="473">
        <v>60807</v>
      </c>
      <c r="AD954" s="473">
        <v>60807</v>
      </c>
      <c r="AE954" s="473">
        <v>27363</v>
      </c>
      <c r="AF954" s="473">
        <v>10945</v>
      </c>
      <c r="AG954" s="473">
        <v>1600</v>
      </c>
      <c r="AH954" s="473">
        <v>200</v>
      </c>
      <c r="AI954" s="473">
        <v>1250</v>
      </c>
      <c r="AJ954" s="473">
        <v>2279</v>
      </c>
      <c r="AK954" s="473">
        <v>5473</v>
      </c>
      <c r="AL954" s="473">
        <v>4104</v>
      </c>
      <c r="AM954" s="473">
        <v>274</v>
      </c>
      <c r="AN954" s="473">
        <v>958</v>
      </c>
      <c r="AO954" s="473">
        <v>547</v>
      </c>
      <c r="AP954" s="473">
        <v>137</v>
      </c>
      <c r="AQ954" s="473">
        <v>1800</v>
      </c>
      <c r="AR954" s="473">
        <v>3877</v>
      </c>
      <c r="AS954" s="473">
        <v>0</v>
      </c>
      <c r="AT954" s="473">
        <v>0</v>
      </c>
      <c r="AU954" s="473"/>
      <c r="AV954" s="473">
        <v>60807</v>
      </c>
      <c r="AW954" s="474">
        <v>60807</v>
      </c>
      <c r="AX954" s="473">
        <v>0</v>
      </c>
      <c r="AY954" s="473">
        <v>0</v>
      </c>
      <c r="AZ954" s="475">
        <v>0</v>
      </c>
      <c r="BA954" s="475">
        <v>200</v>
      </c>
      <c r="BB954" s="475">
        <v>1800</v>
      </c>
      <c r="BC954" s="475">
        <v>0</v>
      </c>
      <c r="BD954" s="475">
        <v>0</v>
      </c>
      <c r="BE954" s="475">
        <v>0</v>
      </c>
      <c r="BF954" s="475">
        <v>10000</v>
      </c>
      <c r="BG954" s="475">
        <v>12000</v>
      </c>
      <c r="BH954" s="476">
        <v>48807</v>
      </c>
      <c r="BI954" s="467"/>
      <c r="BJ954" s="468"/>
    </row>
    <row r="955" spans="1:62">
      <c r="A955" s="469">
        <v>46023</v>
      </c>
      <c r="B955" s="469" t="s">
        <v>747</v>
      </c>
      <c r="C955" s="508"/>
      <c r="D955" s="470" t="s">
        <v>749</v>
      </c>
      <c r="E955" s="471">
        <v>1535</v>
      </c>
      <c r="F955" s="470" t="s">
        <v>1127</v>
      </c>
      <c r="G955" s="470" t="s">
        <v>751</v>
      </c>
      <c r="H955" s="470"/>
      <c r="I955" s="470" t="s">
        <v>1128</v>
      </c>
      <c r="J955" s="472" t="s">
        <v>1129</v>
      </c>
      <c r="K955" s="470" t="s">
        <v>1130</v>
      </c>
      <c r="L955" s="470" t="s">
        <v>1131</v>
      </c>
      <c r="M955" s="470" t="s">
        <v>1131</v>
      </c>
      <c r="N955" s="470" t="s">
        <v>756</v>
      </c>
      <c r="O955" s="472" t="s">
        <v>792</v>
      </c>
      <c r="P955" s="472" t="s">
        <v>738</v>
      </c>
      <c r="Q955" s="472" t="s">
        <v>758</v>
      </c>
      <c r="R955" s="472" t="s">
        <v>12</v>
      </c>
      <c r="S955" s="472" t="s">
        <v>12</v>
      </c>
      <c r="T955" s="472" t="s">
        <v>1132</v>
      </c>
      <c r="U955" s="470" t="s">
        <v>1133</v>
      </c>
      <c r="V955" s="470" t="s">
        <v>761</v>
      </c>
      <c r="W955" s="470" t="s">
        <v>1134</v>
      </c>
      <c r="X955" s="470">
        <v>31</v>
      </c>
      <c r="Y955" s="470">
        <v>0</v>
      </c>
      <c r="Z955" s="470">
        <v>0.5</v>
      </c>
      <c r="AA955" s="470">
        <v>30.5</v>
      </c>
      <c r="AB955" s="470">
        <v>30.5</v>
      </c>
      <c r="AC955" s="473">
        <v>95900</v>
      </c>
      <c r="AD955" s="473">
        <v>95900</v>
      </c>
      <c r="AE955" s="473">
        <v>42459</v>
      </c>
      <c r="AF955" s="473">
        <v>16984</v>
      </c>
      <c r="AG955" s="473">
        <v>1574</v>
      </c>
      <c r="AH955" s="473">
        <v>197</v>
      </c>
      <c r="AI955" s="473">
        <v>1230</v>
      </c>
      <c r="AJ955" s="473">
        <v>3537</v>
      </c>
      <c r="AK955" s="473">
        <v>8492</v>
      </c>
      <c r="AL955" s="473">
        <v>6369</v>
      </c>
      <c r="AM955" s="473">
        <v>425</v>
      </c>
      <c r="AN955" s="473">
        <v>1486</v>
      </c>
      <c r="AO955" s="473">
        <v>849</v>
      </c>
      <c r="AP955" s="473">
        <v>212</v>
      </c>
      <c r="AQ955" s="473">
        <v>1800</v>
      </c>
      <c r="AR955" s="473">
        <v>8739</v>
      </c>
      <c r="AS955" s="473">
        <v>0</v>
      </c>
      <c r="AT955" s="473">
        <v>0</v>
      </c>
      <c r="AU955" s="473"/>
      <c r="AV955" s="473">
        <v>94353</v>
      </c>
      <c r="AW955" s="474">
        <v>94353</v>
      </c>
      <c r="AX955" s="473">
        <v>0</v>
      </c>
      <c r="AY955" s="473">
        <v>0</v>
      </c>
      <c r="AZ955" s="475">
        <v>0</v>
      </c>
      <c r="BA955" s="475">
        <v>200</v>
      </c>
      <c r="BB955" s="475">
        <v>1800</v>
      </c>
      <c r="BC955" s="475">
        <v>0</v>
      </c>
      <c r="BD955" s="475">
        <v>0</v>
      </c>
      <c r="BE955" s="475">
        <v>0</v>
      </c>
      <c r="BF955" s="475">
        <v>0</v>
      </c>
      <c r="BG955" s="475">
        <v>2000</v>
      </c>
      <c r="BH955" s="476">
        <v>92353</v>
      </c>
      <c r="BI955" s="467"/>
      <c r="BJ955" s="468"/>
    </row>
    <row r="956" spans="1:62">
      <c r="A956" s="469">
        <v>46023</v>
      </c>
      <c r="B956" s="469" t="s">
        <v>747</v>
      </c>
      <c r="C956" s="508"/>
      <c r="D956" s="470" t="s">
        <v>749</v>
      </c>
      <c r="E956" s="471">
        <v>1409</v>
      </c>
      <c r="F956" s="470" t="s">
        <v>1135</v>
      </c>
      <c r="G956" s="470" t="s">
        <v>751</v>
      </c>
      <c r="H956" s="470"/>
      <c r="I956" s="470" t="s">
        <v>1136</v>
      </c>
      <c r="J956" s="472" t="s">
        <v>1137</v>
      </c>
      <c r="K956" s="470" t="s">
        <v>1138</v>
      </c>
      <c r="L956" s="470" t="s">
        <v>856</v>
      </c>
      <c r="M956" s="470" t="s">
        <v>856</v>
      </c>
      <c r="N956" s="470" t="s">
        <v>756</v>
      </c>
      <c r="O956" s="472" t="s">
        <v>757</v>
      </c>
      <c r="P956" s="472" t="s">
        <v>738</v>
      </c>
      <c r="Q956" s="472" t="s">
        <v>758</v>
      </c>
      <c r="R956" s="472" t="s">
        <v>12</v>
      </c>
      <c r="S956" s="472" t="s">
        <v>12</v>
      </c>
      <c r="T956" s="472" t="s">
        <v>1139</v>
      </c>
      <c r="U956" s="470" t="s">
        <v>1140</v>
      </c>
      <c r="V956" s="470" t="s">
        <v>761</v>
      </c>
      <c r="W956" s="470" t="s">
        <v>1111</v>
      </c>
      <c r="X956" s="470">
        <v>31</v>
      </c>
      <c r="Y956" s="470">
        <v>0</v>
      </c>
      <c r="Z956" s="470">
        <v>7.5</v>
      </c>
      <c r="AA956" s="470">
        <v>23.5</v>
      </c>
      <c r="AB956" s="470">
        <v>23.5</v>
      </c>
      <c r="AC956" s="473">
        <v>71417</v>
      </c>
      <c r="AD956" s="473">
        <v>71417</v>
      </c>
      <c r="AE956" s="473">
        <v>24363</v>
      </c>
      <c r="AF956" s="473">
        <v>9745</v>
      </c>
      <c r="AG956" s="473">
        <v>1213</v>
      </c>
      <c r="AH956" s="473">
        <v>152</v>
      </c>
      <c r="AI956" s="473">
        <v>948</v>
      </c>
      <c r="AJ956" s="473">
        <v>2029</v>
      </c>
      <c r="AK956" s="473">
        <v>4873</v>
      </c>
      <c r="AL956" s="473">
        <v>3654</v>
      </c>
      <c r="AM956" s="473">
        <v>244</v>
      </c>
      <c r="AN956" s="473">
        <v>853</v>
      </c>
      <c r="AO956" s="473">
        <v>487</v>
      </c>
      <c r="AP956" s="473">
        <v>122</v>
      </c>
      <c r="AQ956" s="473">
        <v>1800</v>
      </c>
      <c r="AR956" s="473">
        <v>3656</v>
      </c>
      <c r="AS956" s="473">
        <v>0</v>
      </c>
      <c r="AT956" s="473">
        <v>200</v>
      </c>
      <c r="AU956" s="473"/>
      <c r="AV956" s="473">
        <v>54339</v>
      </c>
      <c r="AW956" s="474">
        <v>54339</v>
      </c>
      <c r="AX956" s="473">
        <v>0</v>
      </c>
      <c r="AY956" s="473">
        <v>0</v>
      </c>
      <c r="AZ956" s="475">
        <v>0</v>
      </c>
      <c r="BA956" s="475">
        <v>200</v>
      </c>
      <c r="BB956" s="475">
        <v>1800</v>
      </c>
      <c r="BC956" s="475">
        <v>0</v>
      </c>
      <c r="BD956" s="475">
        <v>0</v>
      </c>
      <c r="BE956" s="475">
        <v>0</v>
      </c>
      <c r="BF956" s="475">
        <v>0</v>
      </c>
      <c r="BG956" s="475">
        <v>2000</v>
      </c>
      <c r="BH956" s="476">
        <v>52339</v>
      </c>
      <c r="BI956" s="467"/>
      <c r="BJ956" s="468"/>
    </row>
    <row r="957" spans="1:62">
      <c r="A957" s="469">
        <v>46023</v>
      </c>
      <c r="B957" s="469" t="s">
        <v>747</v>
      </c>
      <c r="C957" s="508"/>
      <c r="D957" s="470" t="s">
        <v>749</v>
      </c>
      <c r="E957" s="471">
        <v>2155</v>
      </c>
      <c r="F957" s="470" t="s">
        <v>1308</v>
      </c>
      <c r="G957" s="470" t="s">
        <v>751</v>
      </c>
      <c r="H957" s="470"/>
      <c r="I957" s="470" t="s">
        <v>1286</v>
      </c>
      <c r="J957" s="472" t="s">
        <v>1309</v>
      </c>
      <c r="K957" s="470" t="s">
        <v>1310</v>
      </c>
      <c r="L957" s="470" t="s">
        <v>1311</v>
      </c>
      <c r="M957" s="470" t="s">
        <v>1311</v>
      </c>
      <c r="N957" s="470" t="s">
        <v>756</v>
      </c>
      <c r="O957" s="472" t="s">
        <v>757</v>
      </c>
      <c r="P957" s="472" t="s">
        <v>738</v>
      </c>
      <c r="Q957" s="472" t="s">
        <v>758</v>
      </c>
      <c r="R957" s="472" t="s">
        <v>12</v>
      </c>
      <c r="S957" s="472" t="s">
        <v>12</v>
      </c>
      <c r="T957" s="472" t="s">
        <v>1312</v>
      </c>
      <c r="U957" s="470" t="s">
        <v>1313</v>
      </c>
      <c r="V957" s="470" t="s">
        <v>761</v>
      </c>
      <c r="W957" s="470" t="s">
        <v>898</v>
      </c>
      <c r="X957" s="470">
        <v>31</v>
      </c>
      <c r="Y957" s="470">
        <v>0</v>
      </c>
      <c r="Z957" s="470">
        <v>0</v>
      </c>
      <c r="AA957" s="470">
        <v>31</v>
      </c>
      <c r="AB957" s="470">
        <v>31</v>
      </c>
      <c r="AC957" s="473">
        <v>53200</v>
      </c>
      <c r="AD957" s="473">
        <v>53200</v>
      </c>
      <c r="AE957" s="473">
        <v>23940</v>
      </c>
      <c r="AF957" s="473">
        <v>9576</v>
      </c>
      <c r="AG957" s="473">
        <v>1600</v>
      </c>
      <c r="AH957" s="473">
        <v>200</v>
      </c>
      <c r="AI957" s="473">
        <v>1250</v>
      </c>
      <c r="AJ957" s="473">
        <v>1994</v>
      </c>
      <c r="AK957" s="473">
        <v>4788</v>
      </c>
      <c r="AL957" s="473">
        <v>3591</v>
      </c>
      <c r="AM957" s="473">
        <v>239</v>
      </c>
      <c r="AN957" s="473">
        <v>838</v>
      </c>
      <c r="AO957" s="473">
        <v>479</v>
      </c>
      <c r="AP957" s="473">
        <v>120</v>
      </c>
      <c r="AQ957" s="473">
        <v>1800</v>
      </c>
      <c r="AR957" s="473">
        <v>2785</v>
      </c>
      <c r="AS957" s="473">
        <v>0</v>
      </c>
      <c r="AT957" s="473">
        <v>200</v>
      </c>
      <c r="AU957" s="473">
        <v>967.5</v>
      </c>
      <c r="AV957" s="473">
        <v>54367.5</v>
      </c>
      <c r="AW957" s="474">
        <v>53400</v>
      </c>
      <c r="AX957" s="473">
        <v>0</v>
      </c>
      <c r="AY957" s="473">
        <v>0</v>
      </c>
      <c r="AZ957" s="475">
        <v>0</v>
      </c>
      <c r="BA957" s="475">
        <v>200</v>
      </c>
      <c r="BB957" s="475">
        <v>1800</v>
      </c>
      <c r="BC957" s="475">
        <v>0</v>
      </c>
      <c r="BD957" s="475">
        <v>0</v>
      </c>
      <c r="BE957" s="475">
        <v>0</v>
      </c>
      <c r="BF957" s="475">
        <v>0</v>
      </c>
      <c r="BG957" s="475">
        <v>2000</v>
      </c>
      <c r="BH957" s="476">
        <v>52368</v>
      </c>
      <c r="BI957" s="467"/>
      <c r="BJ957" s="468"/>
    </row>
    <row r="958" spans="1:62">
      <c r="A958" s="469">
        <v>46023</v>
      </c>
      <c r="B958" s="469" t="s">
        <v>747</v>
      </c>
      <c r="C958" s="508"/>
      <c r="D958" s="470" t="s">
        <v>749</v>
      </c>
      <c r="E958" s="471">
        <v>2232</v>
      </c>
      <c r="F958" s="470" t="s">
        <v>1372</v>
      </c>
      <c r="G958" s="470" t="s">
        <v>751</v>
      </c>
      <c r="H958" s="470"/>
      <c r="I958" s="470" t="s">
        <v>1348</v>
      </c>
      <c r="J958" s="472" t="s">
        <v>1373</v>
      </c>
      <c r="K958" s="470" t="s">
        <v>1374</v>
      </c>
      <c r="L958" s="470" t="s">
        <v>1375</v>
      </c>
      <c r="M958" s="470" t="s">
        <v>1375</v>
      </c>
      <c r="N958" s="470" t="s">
        <v>756</v>
      </c>
      <c r="O958" s="472" t="s">
        <v>757</v>
      </c>
      <c r="P958" s="472" t="s">
        <v>738</v>
      </c>
      <c r="Q958" s="472" t="s">
        <v>758</v>
      </c>
      <c r="R958" s="472" t="s">
        <v>12</v>
      </c>
      <c r="S958" s="472" t="s">
        <v>12</v>
      </c>
      <c r="T958" s="472" t="s">
        <v>1376</v>
      </c>
      <c r="U958" s="470" t="s">
        <v>1546</v>
      </c>
      <c r="V958" s="470" t="s">
        <v>761</v>
      </c>
      <c r="W958" s="470" t="s">
        <v>859</v>
      </c>
      <c r="X958" s="470">
        <v>31</v>
      </c>
      <c r="Y958" s="470">
        <v>0</v>
      </c>
      <c r="Z958" s="470">
        <v>0</v>
      </c>
      <c r="AA958" s="470">
        <v>31</v>
      </c>
      <c r="AB958" s="470">
        <v>31</v>
      </c>
      <c r="AC958" s="473">
        <v>89867</v>
      </c>
      <c r="AD958" s="473">
        <v>89867</v>
      </c>
      <c r="AE958" s="473">
        <v>40440</v>
      </c>
      <c r="AF958" s="473">
        <v>16176</v>
      </c>
      <c r="AG958" s="473">
        <v>1600</v>
      </c>
      <c r="AH958" s="473">
        <v>200</v>
      </c>
      <c r="AI958" s="473">
        <v>1250</v>
      </c>
      <c r="AJ958" s="473">
        <v>3369</v>
      </c>
      <c r="AK958" s="473">
        <v>8088</v>
      </c>
      <c r="AL958" s="473">
        <v>6066</v>
      </c>
      <c r="AM958" s="473">
        <v>404</v>
      </c>
      <c r="AN958" s="473">
        <v>1415</v>
      </c>
      <c r="AO958" s="473">
        <v>809</v>
      </c>
      <c r="AP958" s="473">
        <v>202</v>
      </c>
      <c r="AQ958" s="473">
        <v>1800</v>
      </c>
      <c r="AR958" s="473">
        <v>8048</v>
      </c>
      <c r="AS958" s="473">
        <v>0</v>
      </c>
      <c r="AT958" s="473">
        <v>0</v>
      </c>
      <c r="AU958" s="473"/>
      <c r="AV958" s="473">
        <v>89867</v>
      </c>
      <c r="AW958" s="474">
        <v>89867</v>
      </c>
      <c r="AX958" s="473">
        <v>0</v>
      </c>
      <c r="AY958" s="473">
        <v>0</v>
      </c>
      <c r="AZ958" s="475">
        <v>0</v>
      </c>
      <c r="BA958" s="475">
        <v>200</v>
      </c>
      <c r="BB958" s="475">
        <v>1800</v>
      </c>
      <c r="BC958" s="475">
        <v>0</v>
      </c>
      <c r="BD958" s="475">
        <v>0</v>
      </c>
      <c r="BE958" s="475">
        <v>0</v>
      </c>
      <c r="BF958" s="475">
        <v>0</v>
      </c>
      <c r="BG958" s="475">
        <v>2000</v>
      </c>
      <c r="BH958" s="476">
        <v>87867</v>
      </c>
      <c r="BI958" s="467"/>
      <c r="BJ958" s="468"/>
    </row>
    <row r="959" spans="1:62">
      <c r="A959" s="469">
        <v>46023</v>
      </c>
      <c r="B959" s="469" t="s">
        <v>747</v>
      </c>
      <c r="C959" s="508"/>
      <c r="D959" s="470" t="s">
        <v>749</v>
      </c>
      <c r="E959" s="471">
        <v>2147</v>
      </c>
      <c r="F959" s="470" t="s">
        <v>1314</v>
      </c>
      <c r="G959" s="470" t="s">
        <v>812</v>
      </c>
      <c r="H959" s="470"/>
      <c r="I959" s="470" t="s">
        <v>1286</v>
      </c>
      <c r="J959" s="472" t="s">
        <v>1315</v>
      </c>
      <c r="K959" s="470" t="s">
        <v>1316</v>
      </c>
      <c r="L959" s="470" t="s">
        <v>1317</v>
      </c>
      <c r="M959" s="470" t="s">
        <v>1317</v>
      </c>
      <c r="N959" s="470" t="s">
        <v>833</v>
      </c>
      <c r="O959" s="472" t="s">
        <v>757</v>
      </c>
      <c r="P959" s="472" t="s">
        <v>738</v>
      </c>
      <c r="Q959" s="472" t="s">
        <v>758</v>
      </c>
      <c r="R959" s="472" t="s">
        <v>12</v>
      </c>
      <c r="S959" s="472" t="s">
        <v>12</v>
      </c>
      <c r="T959" s="472" t="s">
        <v>1318</v>
      </c>
      <c r="U959" s="470" t="s">
        <v>1319</v>
      </c>
      <c r="V959" s="470" t="s">
        <v>761</v>
      </c>
      <c r="W959" s="470" t="s">
        <v>898</v>
      </c>
      <c r="X959" s="470">
        <v>31</v>
      </c>
      <c r="Y959" s="470">
        <v>0</v>
      </c>
      <c r="Z959" s="470">
        <v>0</v>
      </c>
      <c r="AA959" s="470">
        <v>31</v>
      </c>
      <c r="AB959" s="470">
        <v>31</v>
      </c>
      <c r="AC959" s="473">
        <v>28380</v>
      </c>
      <c r="AD959" s="473">
        <v>28380</v>
      </c>
      <c r="AE959" s="473">
        <v>12771</v>
      </c>
      <c r="AF959" s="473">
        <v>5108</v>
      </c>
      <c r="AG959" s="473">
        <v>1600</v>
      </c>
      <c r="AH959" s="473">
        <v>200</v>
      </c>
      <c r="AI959" s="473">
        <v>1250</v>
      </c>
      <c r="AJ959" s="473">
        <v>0</v>
      </c>
      <c r="AK959" s="473">
        <v>0</v>
      </c>
      <c r="AL959" s="473">
        <v>0</v>
      </c>
      <c r="AM959" s="473">
        <v>0</v>
      </c>
      <c r="AN959" s="473">
        <v>0</v>
      </c>
      <c r="AO959" s="473">
        <v>0</v>
      </c>
      <c r="AP959" s="473">
        <v>0</v>
      </c>
      <c r="AQ959" s="473">
        <v>1533</v>
      </c>
      <c r="AR959" s="473">
        <v>5918</v>
      </c>
      <c r="AS959" s="473">
        <v>0</v>
      </c>
      <c r="AT959" s="473">
        <v>0</v>
      </c>
      <c r="AU959" s="473">
        <v>154</v>
      </c>
      <c r="AV959" s="473">
        <v>28534</v>
      </c>
      <c r="AW959" s="474">
        <v>28380</v>
      </c>
      <c r="AX959" s="473">
        <v>0</v>
      </c>
      <c r="AY959" s="473">
        <v>0</v>
      </c>
      <c r="AZ959" s="475">
        <v>0</v>
      </c>
      <c r="BA959" s="475">
        <v>200</v>
      </c>
      <c r="BB959" s="475">
        <v>1533</v>
      </c>
      <c r="BC959" s="475">
        <v>0</v>
      </c>
      <c r="BD959" s="475">
        <v>0</v>
      </c>
      <c r="BE959" s="475">
        <v>0</v>
      </c>
      <c r="BF959" s="475">
        <v>0</v>
      </c>
      <c r="BG959" s="475">
        <v>1733</v>
      </c>
      <c r="BH959" s="476">
        <v>26801</v>
      </c>
      <c r="BI959" s="467"/>
      <c r="BJ959" s="468"/>
    </row>
    <row r="960" spans="1:62">
      <c r="A960" s="469">
        <v>46023</v>
      </c>
      <c r="B960" s="469" t="s">
        <v>747</v>
      </c>
      <c r="C960" s="508"/>
      <c r="D960" s="470" t="s">
        <v>749</v>
      </c>
      <c r="E960" s="471">
        <v>2278</v>
      </c>
      <c r="F960" s="470" t="s">
        <v>1498</v>
      </c>
      <c r="G960" s="470" t="s">
        <v>812</v>
      </c>
      <c r="H960" s="470"/>
      <c r="I960" s="470" t="s">
        <v>1426</v>
      </c>
      <c r="J960" s="472" t="s">
        <v>1499</v>
      </c>
      <c r="K960" s="470" t="s">
        <v>1500</v>
      </c>
      <c r="L960" s="470" t="s">
        <v>824</v>
      </c>
      <c r="M960" s="470" t="s">
        <v>824</v>
      </c>
      <c r="N960" s="470" t="s">
        <v>1275</v>
      </c>
      <c r="O960" s="472" t="s">
        <v>1276</v>
      </c>
      <c r="P960" s="472" t="s">
        <v>738</v>
      </c>
      <c r="Q960" s="472" t="s">
        <v>758</v>
      </c>
      <c r="R960" s="472" t="s">
        <v>12</v>
      </c>
      <c r="S960" s="472" t="s">
        <v>12</v>
      </c>
      <c r="T960" s="472" t="s">
        <v>1501</v>
      </c>
      <c r="U960" s="470" t="s">
        <v>1502</v>
      </c>
      <c r="V960" s="470" t="s">
        <v>761</v>
      </c>
      <c r="W960" s="470" t="s">
        <v>1361</v>
      </c>
      <c r="X960" s="470">
        <v>31</v>
      </c>
      <c r="Y960" s="470">
        <v>0</v>
      </c>
      <c r="Z960" s="470">
        <v>0</v>
      </c>
      <c r="AA960" s="470">
        <v>31</v>
      </c>
      <c r="AB960" s="470">
        <v>31</v>
      </c>
      <c r="AC960" s="473">
        <v>44033</v>
      </c>
      <c r="AD960" s="473">
        <v>44033</v>
      </c>
      <c r="AE960" s="473">
        <v>19815</v>
      </c>
      <c r="AF960" s="473">
        <v>7926</v>
      </c>
      <c r="AG960" s="473">
        <v>1600</v>
      </c>
      <c r="AH960" s="473">
        <v>200</v>
      </c>
      <c r="AI960" s="473">
        <v>1250</v>
      </c>
      <c r="AJ960" s="473">
        <v>1651</v>
      </c>
      <c r="AK960" s="473">
        <v>3963</v>
      </c>
      <c r="AL960" s="473">
        <v>2972</v>
      </c>
      <c r="AM960" s="473">
        <v>198</v>
      </c>
      <c r="AN960" s="473">
        <v>694</v>
      </c>
      <c r="AO960" s="473">
        <v>396</v>
      </c>
      <c r="AP960" s="473">
        <v>99</v>
      </c>
      <c r="AQ960" s="473">
        <v>1800</v>
      </c>
      <c r="AR960" s="473">
        <v>1469</v>
      </c>
      <c r="AS960" s="473">
        <v>0</v>
      </c>
      <c r="AT960" s="473">
        <v>0</v>
      </c>
      <c r="AU960" s="473"/>
      <c r="AV960" s="473">
        <v>44033</v>
      </c>
      <c r="AW960" s="474">
        <v>44033</v>
      </c>
      <c r="AX960" s="473">
        <v>0</v>
      </c>
      <c r="AY960" s="473">
        <v>0</v>
      </c>
      <c r="AZ960" s="475">
        <v>0</v>
      </c>
      <c r="BA960" s="475">
        <v>200</v>
      </c>
      <c r="BB960" s="475">
        <v>1800</v>
      </c>
      <c r="BC960" s="475">
        <v>0</v>
      </c>
      <c r="BD960" s="475">
        <v>0</v>
      </c>
      <c r="BE960" s="475">
        <v>0</v>
      </c>
      <c r="BF960" s="475">
        <v>0</v>
      </c>
      <c r="BG960" s="475">
        <v>2000</v>
      </c>
      <c r="BH960" s="476">
        <v>42033</v>
      </c>
      <c r="BI960" s="467"/>
      <c r="BJ960" s="468"/>
    </row>
    <row r="961" spans="1:62">
      <c r="A961" s="469">
        <v>46023</v>
      </c>
      <c r="B961" s="469" t="s">
        <v>747</v>
      </c>
      <c r="C961" s="508"/>
      <c r="D961" s="470" t="s">
        <v>749</v>
      </c>
      <c r="E961" s="471">
        <v>1263</v>
      </c>
      <c r="F961" s="470" t="s">
        <v>1141</v>
      </c>
      <c r="G961" s="470" t="s">
        <v>751</v>
      </c>
      <c r="H961" s="470"/>
      <c r="I961" s="470" t="s">
        <v>1142</v>
      </c>
      <c r="J961" s="472" t="s">
        <v>1143</v>
      </c>
      <c r="K961" s="470" t="s">
        <v>1144</v>
      </c>
      <c r="L961" s="470" t="s">
        <v>1305</v>
      </c>
      <c r="M961" s="470" t="s">
        <v>1305</v>
      </c>
      <c r="N961" s="470" t="s">
        <v>756</v>
      </c>
      <c r="O961" s="472" t="s">
        <v>757</v>
      </c>
      <c r="P961" s="472" t="s">
        <v>738</v>
      </c>
      <c r="Q961" s="472" t="s">
        <v>758</v>
      </c>
      <c r="R961" s="472" t="s">
        <v>12</v>
      </c>
      <c r="S961" s="472" t="s">
        <v>12</v>
      </c>
      <c r="T961" s="472" t="s">
        <v>1147</v>
      </c>
      <c r="U961" s="470" t="s">
        <v>1148</v>
      </c>
      <c r="V961" s="470" t="s">
        <v>761</v>
      </c>
      <c r="W961" s="470" t="s">
        <v>859</v>
      </c>
      <c r="X961" s="470">
        <v>31</v>
      </c>
      <c r="Y961" s="470">
        <v>0</v>
      </c>
      <c r="Z961" s="470">
        <v>0</v>
      </c>
      <c r="AA961" s="470">
        <v>31</v>
      </c>
      <c r="AB961" s="470">
        <v>31</v>
      </c>
      <c r="AC961" s="473">
        <v>55900</v>
      </c>
      <c r="AD961" s="473">
        <v>55900</v>
      </c>
      <c r="AE961" s="473">
        <v>25155</v>
      </c>
      <c r="AF961" s="473">
        <v>10062</v>
      </c>
      <c r="AG961" s="473">
        <v>1600</v>
      </c>
      <c r="AH961" s="473">
        <v>200</v>
      </c>
      <c r="AI961" s="473">
        <v>1250</v>
      </c>
      <c r="AJ961" s="473">
        <v>2095</v>
      </c>
      <c r="AK961" s="473">
        <v>5031</v>
      </c>
      <c r="AL961" s="473">
        <v>3773</v>
      </c>
      <c r="AM961" s="473">
        <v>252</v>
      </c>
      <c r="AN961" s="473">
        <v>880</v>
      </c>
      <c r="AO961" s="473">
        <v>503</v>
      </c>
      <c r="AP961" s="473">
        <v>126</v>
      </c>
      <c r="AQ961" s="473">
        <v>1800</v>
      </c>
      <c r="AR961" s="473">
        <v>3173</v>
      </c>
      <c r="AS961" s="473">
        <v>0</v>
      </c>
      <c r="AT961" s="473">
        <v>0</v>
      </c>
      <c r="AU961" s="473">
        <v>355.5</v>
      </c>
      <c r="AV961" s="473">
        <v>56255.5</v>
      </c>
      <c r="AW961" s="474">
        <v>55900</v>
      </c>
      <c r="AX961" s="473">
        <v>0</v>
      </c>
      <c r="AY961" s="473">
        <v>0</v>
      </c>
      <c r="AZ961" s="475">
        <v>0</v>
      </c>
      <c r="BA961" s="475">
        <v>200</v>
      </c>
      <c r="BB961" s="475">
        <v>1800</v>
      </c>
      <c r="BC961" s="475">
        <v>0</v>
      </c>
      <c r="BD961" s="475">
        <v>0</v>
      </c>
      <c r="BE961" s="475">
        <v>0</v>
      </c>
      <c r="BF961" s="475">
        <v>0</v>
      </c>
      <c r="BG961" s="475">
        <v>2000</v>
      </c>
      <c r="BH961" s="476">
        <v>54256</v>
      </c>
      <c r="BI961" s="467"/>
      <c r="BJ961" s="468"/>
    </row>
    <row r="962" spans="1:62">
      <c r="A962" s="469">
        <v>46023</v>
      </c>
      <c r="B962" s="469" t="s">
        <v>747</v>
      </c>
      <c r="C962" s="508"/>
      <c r="D962" s="470" t="s">
        <v>749</v>
      </c>
      <c r="E962" s="471">
        <v>2218</v>
      </c>
      <c r="F962" s="470" t="s">
        <v>1380</v>
      </c>
      <c r="G962" s="470" t="s">
        <v>751</v>
      </c>
      <c r="H962" s="470"/>
      <c r="I962" s="470" t="s">
        <v>1340</v>
      </c>
      <c r="J962" s="472" t="s">
        <v>1381</v>
      </c>
      <c r="K962" s="470" t="s">
        <v>1382</v>
      </c>
      <c r="L962" s="470" t="s">
        <v>1383</v>
      </c>
      <c r="M962" s="470" t="s">
        <v>903</v>
      </c>
      <c r="N962" s="470" t="s">
        <v>1384</v>
      </c>
      <c r="O962" s="472" t="s">
        <v>757</v>
      </c>
      <c r="P962" s="472" t="s">
        <v>738</v>
      </c>
      <c r="Q962" s="472" t="s">
        <v>758</v>
      </c>
      <c r="R962" s="472" t="s">
        <v>12</v>
      </c>
      <c r="S962" s="472" t="s">
        <v>12</v>
      </c>
      <c r="T962" s="472" t="s">
        <v>1385</v>
      </c>
      <c r="U962" s="470" t="s">
        <v>1386</v>
      </c>
      <c r="V962" s="470" t="s">
        <v>761</v>
      </c>
      <c r="W962" s="470" t="s">
        <v>1387</v>
      </c>
      <c r="X962" s="470">
        <v>31</v>
      </c>
      <c r="Y962" s="470">
        <v>0</v>
      </c>
      <c r="Z962" s="470">
        <v>0</v>
      </c>
      <c r="AA962" s="470">
        <v>31</v>
      </c>
      <c r="AB962" s="470">
        <v>31</v>
      </c>
      <c r="AC962" s="473">
        <v>53200</v>
      </c>
      <c r="AD962" s="473">
        <v>53200</v>
      </c>
      <c r="AE962" s="473">
        <v>23940</v>
      </c>
      <c r="AF962" s="473">
        <v>9576</v>
      </c>
      <c r="AG962" s="473">
        <v>1600</v>
      </c>
      <c r="AH962" s="473">
        <v>200</v>
      </c>
      <c r="AI962" s="473">
        <v>1250</v>
      </c>
      <c r="AJ962" s="473">
        <v>1994</v>
      </c>
      <c r="AK962" s="473">
        <v>4788</v>
      </c>
      <c r="AL962" s="473">
        <v>3591</v>
      </c>
      <c r="AM962" s="473">
        <v>239</v>
      </c>
      <c r="AN962" s="473">
        <v>838</v>
      </c>
      <c r="AO962" s="473">
        <v>479</v>
      </c>
      <c r="AP962" s="473">
        <v>120</v>
      </c>
      <c r="AQ962" s="473">
        <v>1800</v>
      </c>
      <c r="AR962" s="473">
        <v>2785</v>
      </c>
      <c r="AS962" s="473">
        <v>0</v>
      </c>
      <c r="AT962" s="473">
        <v>0</v>
      </c>
      <c r="AU962" s="473">
        <v>5354</v>
      </c>
      <c r="AV962" s="473">
        <v>58554</v>
      </c>
      <c r="AW962" s="474">
        <v>53200</v>
      </c>
      <c r="AX962" s="473">
        <v>0</v>
      </c>
      <c r="AY962" s="473">
        <v>0</v>
      </c>
      <c r="AZ962" s="475">
        <v>0</v>
      </c>
      <c r="BA962" s="475">
        <v>200</v>
      </c>
      <c r="BB962" s="475">
        <v>1800</v>
      </c>
      <c r="BC962" s="475">
        <v>0</v>
      </c>
      <c r="BD962" s="475">
        <v>0</v>
      </c>
      <c r="BE962" s="475">
        <v>0</v>
      </c>
      <c r="BF962" s="475">
        <v>0</v>
      </c>
      <c r="BG962" s="475">
        <v>2000</v>
      </c>
      <c r="BH962" s="476">
        <v>56554</v>
      </c>
      <c r="BI962" s="467"/>
      <c r="BJ962" s="468"/>
    </row>
    <row r="963" spans="1:62">
      <c r="A963" s="469">
        <v>46023</v>
      </c>
      <c r="B963" s="469" t="s">
        <v>747</v>
      </c>
      <c r="C963" s="508"/>
      <c r="D963" s="470" t="s">
        <v>749</v>
      </c>
      <c r="E963" s="471">
        <v>1758</v>
      </c>
      <c r="F963" s="470" t="s">
        <v>1149</v>
      </c>
      <c r="G963" s="470" t="s">
        <v>751</v>
      </c>
      <c r="H963" s="470"/>
      <c r="I963" s="470" t="s">
        <v>1150</v>
      </c>
      <c r="J963" s="472" t="s">
        <v>1151</v>
      </c>
      <c r="K963" s="470" t="s">
        <v>1152</v>
      </c>
      <c r="L963" s="470" t="s">
        <v>856</v>
      </c>
      <c r="M963" s="470" t="s">
        <v>856</v>
      </c>
      <c r="N963" s="470" t="s">
        <v>756</v>
      </c>
      <c r="O963" s="472" t="s">
        <v>757</v>
      </c>
      <c r="P963" s="472" t="s">
        <v>738</v>
      </c>
      <c r="Q963" s="472" t="s">
        <v>758</v>
      </c>
      <c r="R963" s="472" t="s">
        <v>12</v>
      </c>
      <c r="S963" s="472" t="s">
        <v>12</v>
      </c>
      <c r="T963" s="472" t="s">
        <v>1153</v>
      </c>
      <c r="U963" s="470" t="s">
        <v>1154</v>
      </c>
      <c r="V963" s="470" t="s">
        <v>761</v>
      </c>
      <c r="W963" s="470" t="s">
        <v>1155</v>
      </c>
      <c r="X963" s="470">
        <v>31</v>
      </c>
      <c r="Y963" s="470">
        <v>0</v>
      </c>
      <c r="Z963" s="470">
        <v>0</v>
      </c>
      <c r="AA963" s="470">
        <v>31</v>
      </c>
      <c r="AB963" s="470">
        <v>31</v>
      </c>
      <c r="AC963" s="473">
        <v>68220</v>
      </c>
      <c r="AD963" s="473">
        <v>68220</v>
      </c>
      <c r="AE963" s="473">
        <v>30699</v>
      </c>
      <c r="AF963" s="473">
        <v>12280</v>
      </c>
      <c r="AG963" s="473">
        <v>1600</v>
      </c>
      <c r="AH963" s="473">
        <v>200</v>
      </c>
      <c r="AI963" s="473">
        <v>1250</v>
      </c>
      <c r="AJ963" s="473">
        <v>2557</v>
      </c>
      <c r="AK963" s="473">
        <v>6140</v>
      </c>
      <c r="AL963" s="473">
        <v>4605</v>
      </c>
      <c r="AM963" s="473">
        <v>307</v>
      </c>
      <c r="AN963" s="473">
        <v>1074</v>
      </c>
      <c r="AO963" s="473">
        <v>614</v>
      </c>
      <c r="AP963" s="473">
        <v>154</v>
      </c>
      <c r="AQ963" s="473">
        <v>1800</v>
      </c>
      <c r="AR963" s="473">
        <v>4940</v>
      </c>
      <c r="AS963" s="473">
        <v>0</v>
      </c>
      <c r="AT963" s="473">
        <v>0</v>
      </c>
      <c r="AU963" s="473">
        <v>2849</v>
      </c>
      <c r="AV963" s="473">
        <v>71069</v>
      </c>
      <c r="AW963" s="474">
        <v>68220</v>
      </c>
      <c r="AX963" s="473">
        <v>0</v>
      </c>
      <c r="AY963" s="473">
        <v>0</v>
      </c>
      <c r="AZ963" s="475">
        <v>0</v>
      </c>
      <c r="BA963" s="475">
        <v>200</v>
      </c>
      <c r="BB963" s="475">
        <v>1800</v>
      </c>
      <c r="BC963" s="475">
        <v>0</v>
      </c>
      <c r="BD963" s="475">
        <v>0</v>
      </c>
      <c r="BE963" s="475">
        <v>0</v>
      </c>
      <c r="BF963" s="475">
        <v>0</v>
      </c>
      <c r="BG963" s="475">
        <v>2000</v>
      </c>
      <c r="BH963" s="476">
        <v>69069</v>
      </c>
      <c r="BI963" s="467"/>
      <c r="BJ963" s="468"/>
    </row>
    <row r="964" spans="1:62">
      <c r="A964" s="469">
        <v>46023</v>
      </c>
      <c r="B964" s="469" t="s">
        <v>747</v>
      </c>
      <c r="C964" s="508"/>
      <c r="D964" s="470" t="s">
        <v>749</v>
      </c>
      <c r="E964" s="471">
        <v>1624</v>
      </c>
      <c r="F964" s="470" t="s">
        <v>1156</v>
      </c>
      <c r="G964" s="470" t="s">
        <v>751</v>
      </c>
      <c r="H964" s="470"/>
      <c r="I964" s="470" t="s">
        <v>1157</v>
      </c>
      <c r="J964" s="472" t="s">
        <v>1158</v>
      </c>
      <c r="K964" s="470" t="s">
        <v>1159</v>
      </c>
      <c r="L964" s="470" t="s">
        <v>987</v>
      </c>
      <c r="M964" s="470" t="s">
        <v>987</v>
      </c>
      <c r="N964" s="470" t="s">
        <v>756</v>
      </c>
      <c r="O964" s="472" t="s">
        <v>757</v>
      </c>
      <c r="P964" s="472" t="s">
        <v>738</v>
      </c>
      <c r="Q964" s="472" t="s">
        <v>758</v>
      </c>
      <c r="R964" s="472" t="s">
        <v>12</v>
      </c>
      <c r="S964" s="472" t="s">
        <v>12</v>
      </c>
      <c r="T964" s="472" t="s">
        <v>1160</v>
      </c>
      <c r="U964" s="470" t="s">
        <v>1161</v>
      </c>
      <c r="V964" s="470" t="s">
        <v>761</v>
      </c>
      <c r="W964" s="470" t="s">
        <v>898</v>
      </c>
      <c r="X964" s="470">
        <v>31</v>
      </c>
      <c r="Y964" s="470">
        <v>0</v>
      </c>
      <c r="Z964" s="470">
        <v>0</v>
      </c>
      <c r="AA964" s="470">
        <v>31</v>
      </c>
      <c r="AB964" s="470">
        <v>31</v>
      </c>
      <c r="AC964" s="473">
        <v>42042</v>
      </c>
      <c r="AD964" s="473">
        <v>42042</v>
      </c>
      <c r="AE964" s="473">
        <v>18919</v>
      </c>
      <c r="AF964" s="473">
        <v>7568</v>
      </c>
      <c r="AG964" s="473">
        <v>1600</v>
      </c>
      <c r="AH964" s="473">
        <v>200</v>
      </c>
      <c r="AI964" s="473">
        <v>1250</v>
      </c>
      <c r="AJ964" s="473">
        <v>1576</v>
      </c>
      <c r="AK964" s="473">
        <v>3784</v>
      </c>
      <c r="AL964" s="473">
        <v>2838</v>
      </c>
      <c r="AM964" s="473">
        <v>189</v>
      </c>
      <c r="AN964" s="473">
        <v>662</v>
      </c>
      <c r="AO964" s="473">
        <v>378</v>
      </c>
      <c r="AP964" s="473">
        <v>95</v>
      </c>
      <c r="AQ964" s="473">
        <v>1800</v>
      </c>
      <c r="AR964" s="473">
        <v>1183</v>
      </c>
      <c r="AS964" s="473">
        <v>0</v>
      </c>
      <c r="AT964" s="473">
        <v>0</v>
      </c>
      <c r="AU964" s="473"/>
      <c r="AV964" s="473">
        <v>42042</v>
      </c>
      <c r="AW964" s="474">
        <v>42042</v>
      </c>
      <c r="AX964" s="473">
        <v>0</v>
      </c>
      <c r="AY964" s="473">
        <v>0</v>
      </c>
      <c r="AZ964" s="475">
        <v>0</v>
      </c>
      <c r="BA964" s="475">
        <v>200</v>
      </c>
      <c r="BB964" s="475">
        <v>1800</v>
      </c>
      <c r="BC964" s="475">
        <v>0</v>
      </c>
      <c r="BD964" s="475">
        <v>0</v>
      </c>
      <c r="BE964" s="475">
        <v>0</v>
      </c>
      <c r="BF964" s="475">
        <v>0</v>
      </c>
      <c r="BG964" s="475">
        <v>2000</v>
      </c>
      <c r="BH964" s="476">
        <v>40042</v>
      </c>
      <c r="BI964" s="467"/>
      <c r="BJ964" s="468"/>
    </row>
    <row r="965" spans="1:62">
      <c r="A965" s="469">
        <v>46023</v>
      </c>
      <c r="B965" s="469" t="s">
        <v>747</v>
      </c>
      <c r="C965" s="508"/>
      <c r="D965" s="470" t="s">
        <v>749</v>
      </c>
      <c r="E965" s="471">
        <v>1738</v>
      </c>
      <c r="F965" s="470" t="s">
        <v>1162</v>
      </c>
      <c r="G965" s="470" t="s">
        <v>751</v>
      </c>
      <c r="H965" s="470"/>
      <c r="I965" s="470" t="s">
        <v>938</v>
      </c>
      <c r="J965" s="472" t="s">
        <v>1163</v>
      </c>
      <c r="K965" s="470" t="s">
        <v>1164</v>
      </c>
      <c r="L965" s="470" t="s">
        <v>1165</v>
      </c>
      <c r="M965" s="470" t="s">
        <v>1165</v>
      </c>
      <c r="N965" s="470" t="s">
        <v>756</v>
      </c>
      <c r="O965" s="472" t="s">
        <v>757</v>
      </c>
      <c r="P965" s="472" t="s">
        <v>738</v>
      </c>
      <c r="Q965" s="472" t="s">
        <v>758</v>
      </c>
      <c r="R965" s="472" t="s">
        <v>12</v>
      </c>
      <c r="S965" s="472" t="s">
        <v>12</v>
      </c>
      <c r="T965" s="472" t="s">
        <v>1166</v>
      </c>
      <c r="U965" s="470" t="s">
        <v>1167</v>
      </c>
      <c r="V965" s="470" t="s">
        <v>761</v>
      </c>
      <c r="W965" s="470" t="s">
        <v>762</v>
      </c>
      <c r="X965" s="470">
        <v>31</v>
      </c>
      <c r="Y965" s="470">
        <v>0</v>
      </c>
      <c r="Z965" s="470">
        <v>0</v>
      </c>
      <c r="AA965" s="470">
        <v>31</v>
      </c>
      <c r="AB965" s="470">
        <v>31</v>
      </c>
      <c r="AC965" s="473">
        <v>35983</v>
      </c>
      <c r="AD965" s="473">
        <v>35983</v>
      </c>
      <c r="AE965" s="473">
        <v>16192</v>
      </c>
      <c r="AF965" s="473">
        <v>6477</v>
      </c>
      <c r="AG965" s="473">
        <v>1600</v>
      </c>
      <c r="AH965" s="473">
        <v>200</v>
      </c>
      <c r="AI965" s="473">
        <v>1250</v>
      </c>
      <c r="AJ965" s="473">
        <v>0</v>
      </c>
      <c r="AK965" s="473">
        <v>0</v>
      </c>
      <c r="AL965" s="473">
        <v>0</v>
      </c>
      <c r="AM965" s="473">
        <v>0</v>
      </c>
      <c r="AN965" s="473">
        <v>0</v>
      </c>
      <c r="AO965" s="473">
        <v>0</v>
      </c>
      <c r="AP965" s="473">
        <v>0</v>
      </c>
      <c r="AQ965" s="473">
        <v>1800</v>
      </c>
      <c r="AR965" s="473">
        <v>8464</v>
      </c>
      <c r="AS965" s="473">
        <v>0</v>
      </c>
      <c r="AT965" s="473">
        <v>0</v>
      </c>
      <c r="AU965" s="473"/>
      <c r="AV965" s="473">
        <v>35983</v>
      </c>
      <c r="AW965" s="474">
        <v>35983</v>
      </c>
      <c r="AX965" s="473">
        <v>0</v>
      </c>
      <c r="AY965" s="473">
        <v>0</v>
      </c>
      <c r="AZ965" s="475">
        <v>0</v>
      </c>
      <c r="BA965" s="475">
        <v>200</v>
      </c>
      <c r="BB965" s="475">
        <v>1800</v>
      </c>
      <c r="BC965" s="475">
        <v>0</v>
      </c>
      <c r="BD965" s="475">
        <v>0</v>
      </c>
      <c r="BE965" s="475">
        <v>0</v>
      </c>
      <c r="BF965" s="475">
        <v>0</v>
      </c>
      <c r="BG965" s="475">
        <v>2000</v>
      </c>
      <c r="BH965" s="476">
        <v>33983</v>
      </c>
      <c r="BI965" s="467"/>
      <c r="BJ965" s="468"/>
    </row>
    <row r="966" spans="1:62">
      <c r="A966" s="469">
        <v>46023</v>
      </c>
      <c r="B966" s="469" t="s">
        <v>747</v>
      </c>
      <c r="C966" s="508"/>
      <c r="D966" s="470" t="s">
        <v>749</v>
      </c>
      <c r="E966" s="471">
        <v>2175</v>
      </c>
      <c r="F966" s="470" t="s">
        <v>1320</v>
      </c>
      <c r="G966" s="470" t="s">
        <v>812</v>
      </c>
      <c r="H966" s="470"/>
      <c r="I966" s="470" t="s">
        <v>1321</v>
      </c>
      <c r="J966" s="472" t="s">
        <v>1322</v>
      </c>
      <c r="K966" s="470" t="s">
        <v>1323</v>
      </c>
      <c r="L966" s="470" t="s">
        <v>1324</v>
      </c>
      <c r="M966" s="470" t="s">
        <v>1293</v>
      </c>
      <c r="N966" s="470" t="s">
        <v>756</v>
      </c>
      <c r="O966" s="472" t="s">
        <v>792</v>
      </c>
      <c r="P966" s="472" t="s">
        <v>738</v>
      </c>
      <c r="Q966" s="472" t="s">
        <v>758</v>
      </c>
      <c r="R966" s="472" t="s">
        <v>12</v>
      </c>
      <c r="S966" s="472" t="s">
        <v>12</v>
      </c>
      <c r="T966" s="472" t="s">
        <v>1325</v>
      </c>
      <c r="U966" s="470" t="s">
        <v>1326</v>
      </c>
      <c r="V966" s="470" t="s">
        <v>761</v>
      </c>
      <c r="W966" s="470" t="s">
        <v>1327</v>
      </c>
      <c r="X966" s="470">
        <v>31</v>
      </c>
      <c r="Y966" s="470">
        <v>0</v>
      </c>
      <c r="Z966" s="470">
        <v>0</v>
      </c>
      <c r="AA966" s="470">
        <v>31</v>
      </c>
      <c r="AB966" s="470">
        <v>31</v>
      </c>
      <c r="AC966" s="473">
        <v>137785</v>
      </c>
      <c r="AD966" s="473">
        <v>137785</v>
      </c>
      <c r="AE966" s="473">
        <v>62003</v>
      </c>
      <c r="AF966" s="473">
        <v>24801</v>
      </c>
      <c r="AG966" s="473">
        <v>1600</v>
      </c>
      <c r="AH966" s="473">
        <v>200</v>
      </c>
      <c r="AI966" s="473">
        <v>1250</v>
      </c>
      <c r="AJ966" s="473">
        <v>5165</v>
      </c>
      <c r="AK966" s="473">
        <v>12401</v>
      </c>
      <c r="AL966" s="473">
        <v>9300</v>
      </c>
      <c r="AM966" s="473">
        <v>620</v>
      </c>
      <c r="AN966" s="473">
        <v>2170</v>
      </c>
      <c r="AO966" s="473">
        <v>1240</v>
      </c>
      <c r="AP966" s="473">
        <v>310</v>
      </c>
      <c r="AQ966" s="473">
        <v>1800</v>
      </c>
      <c r="AR966" s="473">
        <v>14925</v>
      </c>
      <c r="AS966" s="473">
        <v>0</v>
      </c>
      <c r="AT966" s="473">
        <v>0</v>
      </c>
      <c r="AU966" s="473"/>
      <c r="AV966" s="473">
        <v>137785</v>
      </c>
      <c r="AW966" s="474">
        <v>137785</v>
      </c>
      <c r="AX966" s="473">
        <v>0</v>
      </c>
      <c r="AY966" s="473">
        <v>0</v>
      </c>
      <c r="AZ966" s="475">
        <v>0</v>
      </c>
      <c r="BA966" s="475">
        <v>200</v>
      </c>
      <c r="BB966" s="475">
        <v>1800</v>
      </c>
      <c r="BC966" s="475">
        <v>0</v>
      </c>
      <c r="BD966" s="475">
        <v>0</v>
      </c>
      <c r="BE966" s="475">
        <v>0</v>
      </c>
      <c r="BF966" s="475">
        <v>0</v>
      </c>
      <c r="BG966" s="475">
        <v>2000</v>
      </c>
      <c r="BH966" s="476">
        <v>135785</v>
      </c>
      <c r="BI966" s="467"/>
      <c r="BJ966" s="468"/>
    </row>
    <row r="967" spans="1:62">
      <c r="A967" s="469">
        <v>46023</v>
      </c>
      <c r="B967" s="469" t="s">
        <v>747</v>
      </c>
      <c r="C967" s="508"/>
      <c r="D967" s="470" t="s">
        <v>749</v>
      </c>
      <c r="E967" s="471">
        <v>1589</v>
      </c>
      <c r="F967" s="470" t="s">
        <v>1175</v>
      </c>
      <c r="G967" s="470" t="s">
        <v>751</v>
      </c>
      <c r="H967" s="470"/>
      <c r="I967" s="470" t="s">
        <v>1176</v>
      </c>
      <c r="J967" s="472" t="s">
        <v>1177</v>
      </c>
      <c r="K967" s="470" t="s">
        <v>1178</v>
      </c>
      <c r="L967" s="470" t="s">
        <v>755</v>
      </c>
      <c r="M967" s="470" t="s">
        <v>755</v>
      </c>
      <c r="N967" s="470" t="s">
        <v>756</v>
      </c>
      <c r="O967" s="472" t="s">
        <v>757</v>
      </c>
      <c r="P967" s="472" t="s">
        <v>738</v>
      </c>
      <c r="Q967" s="472" t="s">
        <v>758</v>
      </c>
      <c r="R967" s="472" t="s">
        <v>12</v>
      </c>
      <c r="S967" s="472" t="s">
        <v>12</v>
      </c>
      <c r="T967" s="472" t="s">
        <v>1179</v>
      </c>
      <c r="U967" s="470" t="s">
        <v>1180</v>
      </c>
      <c r="V967" s="470" t="s">
        <v>761</v>
      </c>
      <c r="W967" s="470" t="s">
        <v>762</v>
      </c>
      <c r="X967" s="470">
        <v>31</v>
      </c>
      <c r="Y967" s="470">
        <v>0</v>
      </c>
      <c r="Z967" s="470">
        <v>0</v>
      </c>
      <c r="AA967" s="470">
        <v>31</v>
      </c>
      <c r="AB967" s="470">
        <v>31</v>
      </c>
      <c r="AC967" s="473">
        <v>34250</v>
      </c>
      <c r="AD967" s="473">
        <v>34250</v>
      </c>
      <c r="AE967" s="473">
        <v>15413</v>
      </c>
      <c r="AF967" s="473">
        <v>6165</v>
      </c>
      <c r="AG967" s="473">
        <v>1600</v>
      </c>
      <c r="AH967" s="473">
        <v>200</v>
      </c>
      <c r="AI967" s="473">
        <v>1250</v>
      </c>
      <c r="AJ967" s="473">
        <v>0</v>
      </c>
      <c r="AK967" s="473">
        <v>0</v>
      </c>
      <c r="AL967" s="473">
        <v>0</v>
      </c>
      <c r="AM967" s="473">
        <v>0</v>
      </c>
      <c r="AN967" s="473">
        <v>0</v>
      </c>
      <c r="AO967" s="473">
        <v>0</v>
      </c>
      <c r="AP967" s="473">
        <v>0</v>
      </c>
      <c r="AQ967" s="473">
        <v>1800</v>
      </c>
      <c r="AR967" s="473">
        <v>7822</v>
      </c>
      <c r="AS967" s="473">
        <v>0</v>
      </c>
      <c r="AT967" s="473">
        <v>0</v>
      </c>
      <c r="AU967" s="473"/>
      <c r="AV967" s="473">
        <v>34250</v>
      </c>
      <c r="AW967" s="474">
        <v>34250</v>
      </c>
      <c r="AX967" s="473">
        <v>0</v>
      </c>
      <c r="AY967" s="473">
        <v>0</v>
      </c>
      <c r="AZ967" s="475">
        <v>0</v>
      </c>
      <c r="BA967" s="475">
        <v>200</v>
      </c>
      <c r="BB967" s="475">
        <v>1800</v>
      </c>
      <c r="BC967" s="475">
        <v>0</v>
      </c>
      <c r="BD967" s="475">
        <v>0</v>
      </c>
      <c r="BE967" s="475">
        <v>0</v>
      </c>
      <c r="BF967" s="475">
        <v>0</v>
      </c>
      <c r="BG967" s="475">
        <v>2000</v>
      </c>
      <c r="BH967" s="476">
        <v>32250</v>
      </c>
      <c r="BI967" s="467"/>
      <c r="BJ967" s="468"/>
    </row>
    <row r="968" spans="1:62">
      <c r="A968" s="469">
        <v>46023</v>
      </c>
      <c r="B968" s="469" t="s">
        <v>747</v>
      </c>
      <c r="C968" s="508"/>
      <c r="D968" s="470" t="s">
        <v>749</v>
      </c>
      <c r="E968" s="471">
        <v>2069</v>
      </c>
      <c r="F968" s="470" t="s">
        <v>1181</v>
      </c>
      <c r="G968" s="470" t="s">
        <v>751</v>
      </c>
      <c r="H968" s="470"/>
      <c r="I968" s="470" t="s">
        <v>1182</v>
      </c>
      <c r="J968" s="472" t="s">
        <v>1183</v>
      </c>
      <c r="K968" s="470" t="s">
        <v>1184</v>
      </c>
      <c r="L968" s="470" t="s">
        <v>767</v>
      </c>
      <c r="M968" s="470" t="s">
        <v>767</v>
      </c>
      <c r="N968" s="470" t="s">
        <v>756</v>
      </c>
      <c r="O968" s="472" t="s">
        <v>792</v>
      </c>
      <c r="P968" s="472" t="s">
        <v>738</v>
      </c>
      <c r="Q968" s="472" t="s">
        <v>758</v>
      </c>
      <c r="R968" s="472" t="s">
        <v>12</v>
      </c>
      <c r="S968" s="472" t="s">
        <v>12</v>
      </c>
      <c r="T968" s="472" t="s">
        <v>1185</v>
      </c>
      <c r="U968" s="470" t="s">
        <v>1186</v>
      </c>
      <c r="V968" s="470" t="s">
        <v>761</v>
      </c>
      <c r="W968" s="470" t="s">
        <v>1187</v>
      </c>
      <c r="X968" s="470">
        <v>31</v>
      </c>
      <c r="Y968" s="470">
        <v>0</v>
      </c>
      <c r="Z968" s="470">
        <v>0</v>
      </c>
      <c r="AA968" s="470">
        <v>31</v>
      </c>
      <c r="AB968" s="470">
        <v>31</v>
      </c>
      <c r="AC968" s="473">
        <v>70000</v>
      </c>
      <c r="AD968" s="473">
        <v>70000</v>
      </c>
      <c r="AE968" s="473">
        <v>31500</v>
      </c>
      <c r="AF968" s="473">
        <v>12600</v>
      </c>
      <c r="AG968" s="473">
        <v>1600</v>
      </c>
      <c r="AH968" s="473">
        <v>200</v>
      </c>
      <c r="AI968" s="473">
        <v>1250</v>
      </c>
      <c r="AJ968" s="473">
        <v>2624</v>
      </c>
      <c r="AK968" s="473">
        <v>6300</v>
      </c>
      <c r="AL968" s="473">
        <v>4725</v>
      </c>
      <c r="AM968" s="473">
        <v>315</v>
      </c>
      <c r="AN968" s="473">
        <v>1103</v>
      </c>
      <c r="AO968" s="473">
        <v>630</v>
      </c>
      <c r="AP968" s="473">
        <v>158</v>
      </c>
      <c r="AQ968" s="473">
        <v>1800</v>
      </c>
      <c r="AR968" s="473">
        <v>5195</v>
      </c>
      <c r="AS968" s="473">
        <v>0</v>
      </c>
      <c r="AT968" s="473">
        <v>0</v>
      </c>
      <c r="AU968" s="473"/>
      <c r="AV968" s="473">
        <v>70000</v>
      </c>
      <c r="AW968" s="474">
        <v>70000</v>
      </c>
      <c r="AX968" s="473">
        <v>0</v>
      </c>
      <c r="AY968" s="473">
        <v>0</v>
      </c>
      <c r="AZ968" s="475">
        <v>0</v>
      </c>
      <c r="BA968" s="475">
        <v>200</v>
      </c>
      <c r="BB968" s="475">
        <v>1800</v>
      </c>
      <c r="BC968" s="475">
        <v>0</v>
      </c>
      <c r="BD968" s="475">
        <v>0</v>
      </c>
      <c r="BE968" s="475">
        <v>0</v>
      </c>
      <c r="BF968" s="475">
        <v>0</v>
      </c>
      <c r="BG968" s="475">
        <v>2000</v>
      </c>
      <c r="BH968" s="476">
        <v>68000</v>
      </c>
      <c r="BI968" s="467"/>
      <c r="BJ968" s="468"/>
    </row>
    <row r="969" spans="1:62">
      <c r="A969" s="469">
        <v>46023</v>
      </c>
      <c r="B969" s="469" t="s">
        <v>747</v>
      </c>
      <c r="C969" s="508"/>
      <c r="D969" s="470" t="s">
        <v>749</v>
      </c>
      <c r="E969" s="471">
        <v>2015</v>
      </c>
      <c r="F969" s="470" t="s">
        <v>1202</v>
      </c>
      <c r="G969" s="470" t="s">
        <v>751</v>
      </c>
      <c r="H969" s="470"/>
      <c r="I969" s="470" t="s">
        <v>847</v>
      </c>
      <c r="J969" s="472" t="s">
        <v>1203</v>
      </c>
      <c r="K969" s="470" t="s">
        <v>1204</v>
      </c>
      <c r="L969" s="470" t="s">
        <v>824</v>
      </c>
      <c r="M969" s="470" t="s">
        <v>824</v>
      </c>
      <c r="N969" s="470" t="s">
        <v>1275</v>
      </c>
      <c r="O969" s="472" t="s">
        <v>1276</v>
      </c>
      <c r="P969" s="472" t="s">
        <v>738</v>
      </c>
      <c r="Q969" s="472" t="s">
        <v>758</v>
      </c>
      <c r="R969" s="472" t="s">
        <v>12</v>
      </c>
      <c r="S969" s="472" t="s">
        <v>12</v>
      </c>
      <c r="T969" s="472" t="s">
        <v>1205</v>
      </c>
      <c r="U969" s="470" t="s">
        <v>1206</v>
      </c>
      <c r="V969" s="470" t="s">
        <v>761</v>
      </c>
      <c r="W969" s="470" t="s">
        <v>762</v>
      </c>
      <c r="X969" s="470">
        <v>31</v>
      </c>
      <c r="Y969" s="470">
        <v>0</v>
      </c>
      <c r="Z969" s="470">
        <v>0</v>
      </c>
      <c r="AA969" s="470">
        <v>31</v>
      </c>
      <c r="AB969" s="470">
        <v>31</v>
      </c>
      <c r="AC969" s="473">
        <v>56533</v>
      </c>
      <c r="AD969" s="473">
        <v>56533</v>
      </c>
      <c r="AE969" s="473">
        <v>25440</v>
      </c>
      <c r="AF969" s="473">
        <v>10176</v>
      </c>
      <c r="AG969" s="473">
        <v>1600</v>
      </c>
      <c r="AH969" s="473">
        <v>200</v>
      </c>
      <c r="AI969" s="473">
        <v>1250</v>
      </c>
      <c r="AJ969" s="473">
        <v>2119</v>
      </c>
      <c r="AK969" s="473">
        <v>5088</v>
      </c>
      <c r="AL969" s="473">
        <v>3816</v>
      </c>
      <c r="AM969" s="473">
        <v>254</v>
      </c>
      <c r="AN969" s="473">
        <v>890</v>
      </c>
      <c r="AO969" s="473">
        <v>509</v>
      </c>
      <c r="AP969" s="473">
        <v>127</v>
      </c>
      <c r="AQ969" s="473">
        <v>1800</v>
      </c>
      <c r="AR969" s="473">
        <v>3264</v>
      </c>
      <c r="AS969" s="473">
        <v>0</v>
      </c>
      <c r="AT969" s="473">
        <v>0</v>
      </c>
      <c r="AU969" s="473">
        <v>3399</v>
      </c>
      <c r="AV969" s="473">
        <v>59932</v>
      </c>
      <c r="AW969" s="474">
        <v>56533</v>
      </c>
      <c r="AX969" s="473">
        <v>0</v>
      </c>
      <c r="AY969" s="473">
        <v>0</v>
      </c>
      <c r="AZ969" s="475">
        <v>0</v>
      </c>
      <c r="BA969" s="475">
        <v>200</v>
      </c>
      <c r="BB969" s="475">
        <v>1800</v>
      </c>
      <c r="BC969" s="475">
        <v>0</v>
      </c>
      <c r="BD969" s="475">
        <v>0</v>
      </c>
      <c r="BE969" s="475">
        <v>0</v>
      </c>
      <c r="BF969" s="475">
        <v>0</v>
      </c>
      <c r="BG969" s="475">
        <v>2000</v>
      </c>
      <c r="BH969" s="476">
        <v>57932</v>
      </c>
      <c r="BI969" s="467"/>
      <c r="BJ969" s="468"/>
    </row>
    <row r="970" spans="1:62">
      <c r="A970" s="469">
        <v>46023</v>
      </c>
      <c r="B970" s="469" t="s">
        <v>747</v>
      </c>
      <c r="C970" s="508"/>
      <c r="D970" s="470" t="s">
        <v>749</v>
      </c>
      <c r="E970" s="471">
        <v>1166</v>
      </c>
      <c r="F970" s="470" t="s">
        <v>1207</v>
      </c>
      <c r="G970" s="470" t="s">
        <v>751</v>
      </c>
      <c r="H970" s="470"/>
      <c r="I970" s="470" t="s">
        <v>1208</v>
      </c>
      <c r="J970" s="472" t="s">
        <v>1209</v>
      </c>
      <c r="K970" s="470" t="s">
        <v>1210</v>
      </c>
      <c r="L970" s="470" t="s">
        <v>1329</v>
      </c>
      <c r="M970" s="470" t="s">
        <v>1330</v>
      </c>
      <c r="N970" s="470" t="s">
        <v>756</v>
      </c>
      <c r="O970" s="472" t="s">
        <v>757</v>
      </c>
      <c r="P970" s="472" t="s">
        <v>738</v>
      </c>
      <c r="Q970" s="472" t="s">
        <v>758</v>
      </c>
      <c r="R970" s="472" t="s">
        <v>12</v>
      </c>
      <c r="S970" s="472" t="s">
        <v>12</v>
      </c>
      <c r="T970" s="472" t="s">
        <v>1213</v>
      </c>
      <c r="U970" s="470" t="s">
        <v>1214</v>
      </c>
      <c r="V970" s="470" t="s">
        <v>761</v>
      </c>
      <c r="W970" s="470" t="s">
        <v>859</v>
      </c>
      <c r="X970" s="470">
        <v>31</v>
      </c>
      <c r="Y970" s="470">
        <v>0</v>
      </c>
      <c r="Z970" s="470">
        <v>0</v>
      </c>
      <c r="AA970" s="470">
        <v>31</v>
      </c>
      <c r="AB970" s="470">
        <v>31</v>
      </c>
      <c r="AC970" s="473">
        <v>59983</v>
      </c>
      <c r="AD970" s="473">
        <v>59983</v>
      </c>
      <c r="AE970" s="473">
        <v>26992</v>
      </c>
      <c r="AF970" s="473">
        <v>10797</v>
      </c>
      <c r="AG970" s="473">
        <v>1600</v>
      </c>
      <c r="AH970" s="473">
        <v>200</v>
      </c>
      <c r="AI970" s="473">
        <v>1250</v>
      </c>
      <c r="AJ970" s="473">
        <v>2248</v>
      </c>
      <c r="AK970" s="473">
        <v>5398</v>
      </c>
      <c r="AL970" s="473">
        <v>4049</v>
      </c>
      <c r="AM970" s="473">
        <v>270</v>
      </c>
      <c r="AN970" s="473">
        <v>945</v>
      </c>
      <c r="AO970" s="473">
        <v>540</v>
      </c>
      <c r="AP970" s="473">
        <v>135</v>
      </c>
      <c r="AQ970" s="473">
        <v>1800</v>
      </c>
      <c r="AR970" s="473">
        <v>3759</v>
      </c>
      <c r="AS970" s="473">
        <v>0</v>
      </c>
      <c r="AT970" s="473">
        <v>600</v>
      </c>
      <c r="AU970" s="473">
        <v>1008</v>
      </c>
      <c r="AV970" s="473">
        <v>61591</v>
      </c>
      <c r="AW970" s="474">
        <v>60583</v>
      </c>
      <c r="AX970" s="473">
        <v>0</v>
      </c>
      <c r="AY970" s="473">
        <v>0</v>
      </c>
      <c r="AZ970" s="475">
        <v>0</v>
      </c>
      <c r="BA970" s="475">
        <v>200</v>
      </c>
      <c r="BB970" s="475">
        <v>1800</v>
      </c>
      <c r="BC970" s="475">
        <v>0</v>
      </c>
      <c r="BD970" s="475">
        <v>0</v>
      </c>
      <c r="BE970" s="475">
        <v>0</v>
      </c>
      <c r="BF970" s="475">
        <v>0</v>
      </c>
      <c r="BG970" s="475">
        <v>2000</v>
      </c>
      <c r="BH970" s="476">
        <v>59591</v>
      </c>
      <c r="BI970" s="467"/>
      <c r="BJ970" s="468"/>
    </row>
    <row r="971" spans="1:62">
      <c r="A971" s="469">
        <v>46023</v>
      </c>
      <c r="B971" s="469" t="s">
        <v>747</v>
      </c>
      <c r="C971" s="508"/>
      <c r="D971" s="470" t="s">
        <v>749</v>
      </c>
      <c r="E971" s="471">
        <v>247</v>
      </c>
      <c r="F971" s="470" t="s">
        <v>1215</v>
      </c>
      <c r="G971" s="470" t="s">
        <v>751</v>
      </c>
      <c r="H971" s="470"/>
      <c r="I971" s="470" t="s">
        <v>1216</v>
      </c>
      <c r="J971" s="472" t="s">
        <v>1217</v>
      </c>
      <c r="K971" s="470" t="s">
        <v>1218</v>
      </c>
      <c r="L971" s="470" t="s">
        <v>894</v>
      </c>
      <c r="M971" s="470" t="s">
        <v>1027</v>
      </c>
      <c r="N971" s="470" t="s">
        <v>756</v>
      </c>
      <c r="O971" s="472" t="s">
        <v>757</v>
      </c>
      <c r="P971" s="472" t="s">
        <v>738</v>
      </c>
      <c r="Q971" s="472" t="s">
        <v>758</v>
      </c>
      <c r="R971" s="472" t="s">
        <v>12</v>
      </c>
      <c r="S971" s="472" t="s">
        <v>12</v>
      </c>
      <c r="T971" s="472" t="s">
        <v>1219</v>
      </c>
      <c r="U971" s="470" t="s">
        <v>1220</v>
      </c>
      <c r="V971" s="470" t="s">
        <v>761</v>
      </c>
      <c r="W971" s="470" t="s">
        <v>960</v>
      </c>
      <c r="X971" s="470">
        <v>31</v>
      </c>
      <c r="Y971" s="470">
        <v>0</v>
      </c>
      <c r="Z971" s="470">
        <v>0</v>
      </c>
      <c r="AA971" s="470">
        <v>31</v>
      </c>
      <c r="AB971" s="470">
        <v>31</v>
      </c>
      <c r="AC971" s="473">
        <v>34308</v>
      </c>
      <c r="AD971" s="473">
        <v>34308</v>
      </c>
      <c r="AE971" s="473">
        <v>15439</v>
      </c>
      <c r="AF971" s="473">
        <v>6176</v>
      </c>
      <c r="AG971" s="473">
        <v>1600</v>
      </c>
      <c r="AH971" s="473">
        <v>200</v>
      </c>
      <c r="AI971" s="473">
        <v>1250</v>
      </c>
      <c r="AJ971" s="473">
        <v>0</v>
      </c>
      <c r="AK971" s="473">
        <v>0</v>
      </c>
      <c r="AL971" s="473">
        <v>0</v>
      </c>
      <c r="AM971" s="473">
        <v>0</v>
      </c>
      <c r="AN971" s="473">
        <v>0</v>
      </c>
      <c r="AO971" s="473">
        <v>0</v>
      </c>
      <c r="AP971" s="473">
        <v>0</v>
      </c>
      <c r="AQ971" s="473">
        <v>1800</v>
      </c>
      <c r="AR971" s="473">
        <v>7843</v>
      </c>
      <c r="AS971" s="473">
        <v>0</v>
      </c>
      <c r="AT971" s="473">
        <v>0</v>
      </c>
      <c r="AU971" s="473">
        <v>4581</v>
      </c>
      <c r="AV971" s="473">
        <v>38889</v>
      </c>
      <c r="AW971" s="474">
        <v>34308</v>
      </c>
      <c r="AX971" s="473">
        <v>0</v>
      </c>
      <c r="AY971" s="473">
        <v>0</v>
      </c>
      <c r="AZ971" s="475">
        <v>0</v>
      </c>
      <c r="BA971" s="475">
        <v>200</v>
      </c>
      <c r="BB971" s="475">
        <v>1800</v>
      </c>
      <c r="BC971" s="475">
        <v>0</v>
      </c>
      <c r="BD971" s="475">
        <v>0</v>
      </c>
      <c r="BE971" s="475">
        <v>0</v>
      </c>
      <c r="BF971" s="475">
        <v>0</v>
      </c>
      <c r="BG971" s="475">
        <v>2000</v>
      </c>
      <c r="BH971" s="476">
        <v>36889</v>
      </c>
      <c r="BI971" s="467"/>
      <c r="BJ971" s="468"/>
    </row>
    <row r="972" spans="1:62">
      <c r="A972" s="469">
        <v>46023</v>
      </c>
      <c r="B972" s="469" t="s">
        <v>747</v>
      </c>
      <c r="C972" s="508"/>
      <c r="D972" s="470" t="s">
        <v>749</v>
      </c>
      <c r="E972" s="471">
        <v>1237</v>
      </c>
      <c r="F972" s="470" t="s">
        <v>1221</v>
      </c>
      <c r="G972" s="470" t="s">
        <v>751</v>
      </c>
      <c r="H972" s="470"/>
      <c r="I972" s="470" t="s">
        <v>1222</v>
      </c>
      <c r="J972" s="472" t="s">
        <v>1223</v>
      </c>
      <c r="K972" s="470" t="s">
        <v>1224</v>
      </c>
      <c r="L972" s="470" t="s">
        <v>800</v>
      </c>
      <c r="M972" s="470" t="s">
        <v>801</v>
      </c>
      <c r="N972" s="470" t="s">
        <v>756</v>
      </c>
      <c r="O972" s="472" t="s">
        <v>757</v>
      </c>
      <c r="P972" s="472" t="s">
        <v>738</v>
      </c>
      <c r="Q972" s="472" t="s">
        <v>758</v>
      </c>
      <c r="R972" s="472" t="s">
        <v>12</v>
      </c>
      <c r="S972" s="472" t="s">
        <v>12</v>
      </c>
      <c r="T972" s="472" t="s">
        <v>1225</v>
      </c>
      <c r="U972" s="470" t="s">
        <v>1226</v>
      </c>
      <c r="V972" s="470" t="s">
        <v>761</v>
      </c>
      <c r="W972" s="470" t="s">
        <v>762</v>
      </c>
      <c r="X972" s="470">
        <v>31</v>
      </c>
      <c r="Y972" s="470">
        <v>0</v>
      </c>
      <c r="Z972" s="470">
        <v>3</v>
      </c>
      <c r="AA972" s="470">
        <v>28</v>
      </c>
      <c r="AB972" s="470">
        <v>28</v>
      </c>
      <c r="AC972" s="473">
        <v>31644</v>
      </c>
      <c r="AD972" s="473">
        <v>31644</v>
      </c>
      <c r="AE972" s="473">
        <v>12862</v>
      </c>
      <c r="AF972" s="473">
        <v>5145</v>
      </c>
      <c r="AG972" s="473">
        <v>1445</v>
      </c>
      <c r="AH972" s="473">
        <v>181</v>
      </c>
      <c r="AI972" s="473">
        <v>1129</v>
      </c>
      <c r="AJ972" s="473">
        <v>0</v>
      </c>
      <c r="AK972" s="473">
        <v>0</v>
      </c>
      <c r="AL972" s="473">
        <v>0</v>
      </c>
      <c r="AM972" s="473">
        <v>0</v>
      </c>
      <c r="AN972" s="473">
        <v>0</v>
      </c>
      <c r="AO972" s="473">
        <v>0</v>
      </c>
      <c r="AP972" s="473">
        <v>0</v>
      </c>
      <c r="AQ972" s="473">
        <v>1543</v>
      </c>
      <c r="AR972" s="473">
        <v>6277</v>
      </c>
      <c r="AS972" s="473">
        <v>0</v>
      </c>
      <c r="AT972" s="473">
        <v>0</v>
      </c>
      <c r="AU972" s="473"/>
      <c r="AV972" s="473">
        <v>28582</v>
      </c>
      <c r="AW972" s="474">
        <v>28582</v>
      </c>
      <c r="AX972" s="473">
        <v>0</v>
      </c>
      <c r="AY972" s="473">
        <v>0</v>
      </c>
      <c r="AZ972" s="475">
        <v>0</v>
      </c>
      <c r="BA972" s="475">
        <v>200</v>
      </c>
      <c r="BB972" s="475">
        <v>1543</v>
      </c>
      <c r="BC972" s="475">
        <v>0</v>
      </c>
      <c r="BD972" s="475">
        <v>0</v>
      </c>
      <c r="BE972" s="475">
        <v>0</v>
      </c>
      <c r="BF972" s="475">
        <v>0</v>
      </c>
      <c r="BG972" s="475">
        <v>1743</v>
      </c>
      <c r="BH972" s="476">
        <v>26839</v>
      </c>
      <c r="BI972" s="467"/>
      <c r="BJ972" s="468"/>
    </row>
    <row r="973" spans="1:62">
      <c r="A973" s="469">
        <v>46023</v>
      </c>
      <c r="B973" s="469" t="s">
        <v>747</v>
      </c>
      <c r="C973" s="508"/>
      <c r="D973" s="470" t="s">
        <v>749</v>
      </c>
      <c r="E973" s="471">
        <v>1941</v>
      </c>
      <c r="F973" s="470" t="s">
        <v>1227</v>
      </c>
      <c r="G973" s="470" t="s">
        <v>751</v>
      </c>
      <c r="H973" s="470"/>
      <c r="I973" s="470" t="s">
        <v>1228</v>
      </c>
      <c r="J973" s="472" t="s">
        <v>1229</v>
      </c>
      <c r="K973" s="470" t="s">
        <v>1230</v>
      </c>
      <c r="L973" s="470" t="s">
        <v>1165</v>
      </c>
      <c r="M973" s="470" t="s">
        <v>1165</v>
      </c>
      <c r="N973" s="470" t="s">
        <v>756</v>
      </c>
      <c r="O973" s="472" t="s">
        <v>757</v>
      </c>
      <c r="P973" s="472" t="s">
        <v>738</v>
      </c>
      <c r="Q973" s="472" t="s">
        <v>758</v>
      </c>
      <c r="R973" s="472" t="s">
        <v>12</v>
      </c>
      <c r="S973" s="472" t="s">
        <v>12</v>
      </c>
      <c r="T973" s="472" t="s">
        <v>1231</v>
      </c>
      <c r="U973" s="470" t="s">
        <v>1232</v>
      </c>
      <c r="V973" s="470" t="s">
        <v>761</v>
      </c>
      <c r="W973" s="470" t="s">
        <v>907</v>
      </c>
      <c r="X973" s="470">
        <v>31</v>
      </c>
      <c r="Y973" s="470">
        <v>0</v>
      </c>
      <c r="Z973" s="470">
        <v>1</v>
      </c>
      <c r="AA973" s="470">
        <v>16</v>
      </c>
      <c r="AB973" s="470">
        <v>16</v>
      </c>
      <c r="AC973" s="473">
        <v>43800</v>
      </c>
      <c r="AD973" s="473">
        <v>43800</v>
      </c>
      <c r="AE973" s="473">
        <v>10173</v>
      </c>
      <c r="AF973" s="473">
        <v>4069</v>
      </c>
      <c r="AG973" s="473">
        <v>826</v>
      </c>
      <c r="AH973" s="473">
        <v>194</v>
      </c>
      <c r="AI973" s="473">
        <v>645</v>
      </c>
      <c r="AJ973" s="473">
        <v>847</v>
      </c>
      <c r="AK973" s="473">
        <v>2035</v>
      </c>
      <c r="AL973" s="473">
        <v>1526</v>
      </c>
      <c r="AM973" s="473">
        <v>102</v>
      </c>
      <c r="AN973" s="473">
        <v>356</v>
      </c>
      <c r="AO973" s="473">
        <v>203</v>
      </c>
      <c r="AP973" s="473">
        <v>51</v>
      </c>
      <c r="AQ973" s="473">
        <v>1221</v>
      </c>
      <c r="AR973" s="473">
        <v>358</v>
      </c>
      <c r="AS973" s="473">
        <v>0</v>
      </c>
      <c r="AT973" s="473">
        <v>0</v>
      </c>
      <c r="AU973" s="473"/>
      <c r="AV973" s="473">
        <v>22606</v>
      </c>
      <c r="AW973" s="474">
        <v>22606</v>
      </c>
      <c r="AX973" s="473">
        <v>0</v>
      </c>
      <c r="AY973" s="473">
        <v>0</v>
      </c>
      <c r="AZ973" s="475">
        <v>0</v>
      </c>
      <c r="BA973" s="475">
        <v>200</v>
      </c>
      <c r="BB973" s="475">
        <v>1221</v>
      </c>
      <c r="BC973" s="475">
        <v>0</v>
      </c>
      <c r="BD973" s="475">
        <v>0</v>
      </c>
      <c r="BE973" s="475">
        <v>0</v>
      </c>
      <c r="BF973" s="475">
        <v>0</v>
      </c>
      <c r="BG973" s="475">
        <v>1421</v>
      </c>
      <c r="BH973" s="476">
        <v>21185</v>
      </c>
      <c r="BI973" s="467"/>
      <c r="BJ973" s="468"/>
    </row>
    <row r="974" spans="1:62">
      <c r="A974" s="469">
        <v>46023</v>
      </c>
      <c r="B974" s="469" t="s">
        <v>747</v>
      </c>
      <c r="C974" s="508"/>
      <c r="D974" s="470" t="s">
        <v>749</v>
      </c>
      <c r="E974" s="471">
        <v>1950</v>
      </c>
      <c r="F974" s="470" t="s">
        <v>1233</v>
      </c>
      <c r="G974" s="470" t="s">
        <v>751</v>
      </c>
      <c r="H974" s="470"/>
      <c r="I974" s="470" t="s">
        <v>1234</v>
      </c>
      <c r="J974" s="472" t="s">
        <v>1235</v>
      </c>
      <c r="K974" s="470" t="s">
        <v>1236</v>
      </c>
      <c r="L974" s="470" t="s">
        <v>800</v>
      </c>
      <c r="M974" s="470" t="s">
        <v>800</v>
      </c>
      <c r="N974" s="470" t="s">
        <v>756</v>
      </c>
      <c r="O974" s="472" t="s">
        <v>1043</v>
      </c>
      <c r="P974" s="472" t="s">
        <v>738</v>
      </c>
      <c r="Q974" s="472" t="s">
        <v>758</v>
      </c>
      <c r="R974" s="472" t="s">
        <v>12</v>
      </c>
      <c r="S974" s="472" t="s">
        <v>12</v>
      </c>
      <c r="T974" s="472" t="s">
        <v>1237</v>
      </c>
      <c r="U974" s="470" t="s">
        <v>1238</v>
      </c>
      <c r="V974" s="470" t="s">
        <v>836</v>
      </c>
      <c r="W974" s="470" t="s">
        <v>1239</v>
      </c>
      <c r="X974" s="470">
        <v>31</v>
      </c>
      <c r="Y974" s="470">
        <v>0</v>
      </c>
      <c r="Z974" s="470">
        <v>0</v>
      </c>
      <c r="AA974" s="470">
        <v>31</v>
      </c>
      <c r="AB974" s="470">
        <v>31</v>
      </c>
      <c r="AC974" s="473">
        <v>35283</v>
      </c>
      <c r="AD974" s="473">
        <v>35283</v>
      </c>
      <c r="AE974" s="473">
        <v>15877</v>
      </c>
      <c r="AF974" s="473">
        <v>6351</v>
      </c>
      <c r="AG974" s="473">
        <v>1600</v>
      </c>
      <c r="AH974" s="473">
        <v>200</v>
      </c>
      <c r="AI974" s="473">
        <v>1250</v>
      </c>
      <c r="AJ974" s="473">
        <v>0</v>
      </c>
      <c r="AK974" s="473">
        <v>0</v>
      </c>
      <c r="AL974" s="473">
        <v>0</v>
      </c>
      <c r="AM974" s="473">
        <v>0</v>
      </c>
      <c r="AN974" s="473">
        <v>0</v>
      </c>
      <c r="AO974" s="473">
        <v>0</v>
      </c>
      <c r="AP974" s="473">
        <v>0</v>
      </c>
      <c r="AQ974" s="473">
        <v>1800</v>
      </c>
      <c r="AR974" s="473">
        <v>8205</v>
      </c>
      <c r="AS974" s="473">
        <v>0</v>
      </c>
      <c r="AT974" s="473">
        <v>0</v>
      </c>
      <c r="AU974" s="473"/>
      <c r="AV974" s="473">
        <v>35283</v>
      </c>
      <c r="AW974" s="474">
        <v>35283</v>
      </c>
      <c r="AX974" s="473">
        <v>0</v>
      </c>
      <c r="AY974" s="473">
        <v>0</v>
      </c>
      <c r="AZ974" s="475">
        <v>0</v>
      </c>
      <c r="BA974" s="475">
        <v>200</v>
      </c>
      <c r="BB974" s="475">
        <v>1800</v>
      </c>
      <c r="BC974" s="475">
        <v>0</v>
      </c>
      <c r="BD974" s="475">
        <v>0</v>
      </c>
      <c r="BE974" s="475">
        <v>0</v>
      </c>
      <c r="BF974" s="475">
        <v>0</v>
      </c>
      <c r="BG974" s="475">
        <v>2000</v>
      </c>
      <c r="BH974" s="476">
        <v>33283</v>
      </c>
      <c r="BI974" s="467"/>
      <c r="BJ974" s="468"/>
    </row>
    <row r="975" spans="1:62">
      <c r="A975" s="469">
        <v>46023</v>
      </c>
      <c r="B975" s="469" t="s">
        <v>747</v>
      </c>
      <c r="C975" s="508"/>
      <c r="D975" s="470" t="s">
        <v>749</v>
      </c>
      <c r="E975" s="471">
        <v>1370</v>
      </c>
      <c r="F975" s="470" t="s">
        <v>1240</v>
      </c>
      <c r="G975" s="470" t="s">
        <v>751</v>
      </c>
      <c r="H975" s="470"/>
      <c r="I975" s="470" t="s">
        <v>1241</v>
      </c>
      <c r="J975" s="472" t="s">
        <v>1242</v>
      </c>
      <c r="K975" s="470" t="s">
        <v>1243</v>
      </c>
      <c r="L975" s="470" t="s">
        <v>979</v>
      </c>
      <c r="M975" s="470" t="s">
        <v>979</v>
      </c>
      <c r="N975" s="470" t="s">
        <v>833</v>
      </c>
      <c r="O975" s="472" t="s">
        <v>757</v>
      </c>
      <c r="P975" s="472" t="s">
        <v>738</v>
      </c>
      <c r="Q975" s="472" t="s">
        <v>758</v>
      </c>
      <c r="R975" s="472" t="s">
        <v>12</v>
      </c>
      <c r="S975" s="472" t="s">
        <v>12</v>
      </c>
      <c r="T975" s="472" t="s">
        <v>1245</v>
      </c>
      <c r="U975" s="470" t="s">
        <v>1246</v>
      </c>
      <c r="V975" s="470" t="s">
        <v>761</v>
      </c>
      <c r="W975" s="470" t="s">
        <v>762</v>
      </c>
      <c r="X975" s="470">
        <v>31</v>
      </c>
      <c r="Y975" s="470">
        <v>0</v>
      </c>
      <c r="Z975" s="470">
        <v>0</v>
      </c>
      <c r="AA975" s="470">
        <v>31</v>
      </c>
      <c r="AB975" s="470">
        <v>31</v>
      </c>
      <c r="AC975" s="473">
        <v>33000</v>
      </c>
      <c r="AD975" s="473">
        <v>33000</v>
      </c>
      <c r="AE975" s="473">
        <v>14850</v>
      </c>
      <c r="AF975" s="473">
        <v>5940</v>
      </c>
      <c r="AG975" s="473">
        <v>1600</v>
      </c>
      <c r="AH975" s="473">
        <v>200</v>
      </c>
      <c r="AI975" s="473">
        <v>1250</v>
      </c>
      <c r="AJ975" s="473">
        <v>0</v>
      </c>
      <c r="AK975" s="473">
        <v>0</v>
      </c>
      <c r="AL975" s="473">
        <v>0</v>
      </c>
      <c r="AM975" s="473">
        <v>0</v>
      </c>
      <c r="AN975" s="473">
        <v>0</v>
      </c>
      <c r="AO975" s="473">
        <v>0</v>
      </c>
      <c r="AP975" s="473">
        <v>0</v>
      </c>
      <c r="AQ975" s="473">
        <v>1782</v>
      </c>
      <c r="AR975" s="473">
        <v>7378</v>
      </c>
      <c r="AS975" s="473">
        <v>0</v>
      </c>
      <c r="AT975" s="473">
        <v>0</v>
      </c>
      <c r="AU975" s="473"/>
      <c r="AV975" s="473">
        <v>33000</v>
      </c>
      <c r="AW975" s="474">
        <v>33000</v>
      </c>
      <c r="AX975" s="473">
        <v>0</v>
      </c>
      <c r="AY975" s="473">
        <v>0</v>
      </c>
      <c r="AZ975" s="475">
        <v>0</v>
      </c>
      <c r="BA975" s="475">
        <v>200</v>
      </c>
      <c r="BB975" s="475">
        <v>1782</v>
      </c>
      <c r="BC975" s="475">
        <v>0</v>
      </c>
      <c r="BD975" s="475">
        <v>0</v>
      </c>
      <c r="BE975" s="475">
        <v>0</v>
      </c>
      <c r="BF975" s="475">
        <v>0</v>
      </c>
      <c r="BG975" s="475">
        <v>1982</v>
      </c>
      <c r="BH975" s="476">
        <v>31018</v>
      </c>
      <c r="BI975" s="467"/>
      <c r="BJ975" s="468"/>
    </row>
    <row r="976" spans="1:62">
      <c r="A976" s="469">
        <v>46023</v>
      </c>
      <c r="B976" s="469" t="s">
        <v>747</v>
      </c>
      <c r="C976" s="508"/>
      <c r="D976" s="470" t="s">
        <v>749</v>
      </c>
      <c r="E976" s="471">
        <v>2049</v>
      </c>
      <c r="F976" s="470" t="s">
        <v>1247</v>
      </c>
      <c r="G976" s="470" t="s">
        <v>751</v>
      </c>
      <c r="H976" s="470"/>
      <c r="I976" s="470" t="s">
        <v>1248</v>
      </c>
      <c r="J976" s="472" t="s">
        <v>1249</v>
      </c>
      <c r="K976" s="470" t="s">
        <v>1250</v>
      </c>
      <c r="L976" s="470" t="s">
        <v>824</v>
      </c>
      <c r="M976" s="470" t="s">
        <v>824</v>
      </c>
      <c r="N976" s="470" t="s">
        <v>756</v>
      </c>
      <c r="O976" s="472" t="s">
        <v>1276</v>
      </c>
      <c r="P976" s="472" t="s">
        <v>738</v>
      </c>
      <c r="Q976" s="472" t="s">
        <v>758</v>
      </c>
      <c r="R976" s="472" t="s">
        <v>12</v>
      </c>
      <c r="S976" s="472" t="s">
        <v>12</v>
      </c>
      <c r="T976" s="472" t="s">
        <v>1251</v>
      </c>
      <c r="U976" s="470" t="s">
        <v>1252</v>
      </c>
      <c r="V976" s="470" t="s">
        <v>761</v>
      </c>
      <c r="W976" s="470" t="s">
        <v>859</v>
      </c>
      <c r="X976" s="470">
        <v>31</v>
      </c>
      <c r="Y976" s="470">
        <v>0</v>
      </c>
      <c r="Z976" s="470">
        <v>1</v>
      </c>
      <c r="AA976" s="470">
        <v>30</v>
      </c>
      <c r="AB976" s="470">
        <v>30</v>
      </c>
      <c r="AC976" s="473">
        <v>27713</v>
      </c>
      <c r="AD976" s="473">
        <v>27713</v>
      </c>
      <c r="AE976" s="473">
        <v>12069</v>
      </c>
      <c r="AF976" s="473">
        <v>4828</v>
      </c>
      <c r="AG976" s="473">
        <v>1548</v>
      </c>
      <c r="AH976" s="473">
        <v>194</v>
      </c>
      <c r="AI976" s="473">
        <v>1210</v>
      </c>
      <c r="AJ976" s="473">
        <v>0</v>
      </c>
      <c r="AK976" s="473">
        <v>0</v>
      </c>
      <c r="AL976" s="473">
        <v>0</v>
      </c>
      <c r="AM976" s="473">
        <v>0</v>
      </c>
      <c r="AN976" s="473">
        <v>0</v>
      </c>
      <c r="AO976" s="473">
        <v>0</v>
      </c>
      <c r="AP976" s="473">
        <v>0</v>
      </c>
      <c r="AQ976" s="473">
        <v>1448</v>
      </c>
      <c r="AR976" s="473">
        <v>5522</v>
      </c>
      <c r="AS976" s="473">
        <v>0</v>
      </c>
      <c r="AT976" s="473">
        <v>0</v>
      </c>
      <c r="AU976" s="473">
        <v>341</v>
      </c>
      <c r="AV976" s="473">
        <v>27160</v>
      </c>
      <c r="AW976" s="474">
        <v>26819</v>
      </c>
      <c r="AX976" s="473">
        <v>0</v>
      </c>
      <c r="AY976" s="473">
        <v>0</v>
      </c>
      <c r="AZ976" s="475">
        <v>0</v>
      </c>
      <c r="BA976" s="475">
        <v>200</v>
      </c>
      <c r="BB976" s="475">
        <v>1448</v>
      </c>
      <c r="BC976" s="475">
        <v>0</v>
      </c>
      <c r="BD976" s="475">
        <v>0</v>
      </c>
      <c r="BE976" s="475">
        <v>0</v>
      </c>
      <c r="BF976" s="475">
        <v>0</v>
      </c>
      <c r="BG976" s="475">
        <v>1648</v>
      </c>
      <c r="BH976" s="476">
        <v>25512</v>
      </c>
      <c r="BI976" s="467"/>
      <c r="BJ976" s="468"/>
    </row>
    <row r="977" spans="1:62">
      <c r="A977" s="469">
        <v>46023</v>
      </c>
      <c r="B977" s="469" t="s">
        <v>747</v>
      </c>
      <c r="C977" s="508"/>
      <c r="D977" s="470" t="s">
        <v>749</v>
      </c>
      <c r="E977" s="471">
        <v>1121</v>
      </c>
      <c r="F977" s="470" t="s">
        <v>1253</v>
      </c>
      <c r="G977" s="470" t="s">
        <v>751</v>
      </c>
      <c r="H977" s="470"/>
      <c r="I977" s="470" t="s">
        <v>1254</v>
      </c>
      <c r="J977" s="472" t="s">
        <v>1255</v>
      </c>
      <c r="K977" s="470" t="s">
        <v>1256</v>
      </c>
      <c r="L977" s="470" t="s">
        <v>942</v>
      </c>
      <c r="M977" s="470" t="s">
        <v>942</v>
      </c>
      <c r="N977" s="470" t="s">
        <v>1275</v>
      </c>
      <c r="O977" s="472" t="s">
        <v>792</v>
      </c>
      <c r="P977" s="472" t="s">
        <v>738</v>
      </c>
      <c r="Q977" s="472" t="s">
        <v>758</v>
      </c>
      <c r="R977" s="472" t="s">
        <v>12</v>
      </c>
      <c r="S977" s="472" t="s">
        <v>12</v>
      </c>
      <c r="T977" s="472" t="s">
        <v>1257</v>
      </c>
      <c r="U977" s="470" t="s">
        <v>1258</v>
      </c>
      <c r="V977" s="470" t="s">
        <v>761</v>
      </c>
      <c r="W977" s="470" t="s">
        <v>1259</v>
      </c>
      <c r="X977" s="470">
        <v>31</v>
      </c>
      <c r="Y977" s="470">
        <v>0</v>
      </c>
      <c r="Z977" s="470">
        <v>0</v>
      </c>
      <c r="AA977" s="470">
        <v>31</v>
      </c>
      <c r="AB977" s="470">
        <v>31</v>
      </c>
      <c r="AC977" s="473">
        <v>206500</v>
      </c>
      <c r="AD977" s="473">
        <v>206500</v>
      </c>
      <c r="AE977" s="473">
        <v>92925</v>
      </c>
      <c r="AF977" s="473">
        <v>37170</v>
      </c>
      <c r="AG977" s="473">
        <v>1600</v>
      </c>
      <c r="AH977" s="473">
        <v>200</v>
      </c>
      <c r="AI977" s="473">
        <v>1250</v>
      </c>
      <c r="AJ977" s="473">
        <v>7741</v>
      </c>
      <c r="AK977" s="473">
        <v>18585</v>
      </c>
      <c r="AL977" s="473">
        <v>13939</v>
      </c>
      <c r="AM977" s="473">
        <v>929</v>
      </c>
      <c r="AN977" s="473">
        <v>3252</v>
      </c>
      <c r="AO977" s="473">
        <v>1859</v>
      </c>
      <c r="AP977" s="473">
        <v>465</v>
      </c>
      <c r="AQ977" s="473">
        <v>1800</v>
      </c>
      <c r="AR977" s="473">
        <v>24785</v>
      </c>
      <c r="AS977" s="473">
        <v>0</v>
      </c>
      <c r="AT977" s="473">
        <v>0</v>
      </c>
      <c r="AU977" s="473">
        <v>18192</v>
      </c>
      <c r="AV977" s="473">
        <v>224692</v>
      </c>
      <c r="AW977" s="474">
        <v>206500</v>
      </c>
      <c r="AX977" s="473">
        <v>0</v>
      </c>
      <c r="AY977" s="473">
        <v>0</v>
      </c>
      <c r="AZ977" s="475">
        <v>44254</v>
      </c>
      <c r="BA977" s="475">
        <v>200</v>
      </c>
      <c r="BB977" s="475">
        <v>1800</v>
      </c>
      <c r="BC977" s="475">
        <v>0</v>
      </c>
      <c r="BD977" s="475">
        <v>0</v>
      </c>
      <c r="BE977" s="475">
        <v>0</v>
      </c>
      <c r="BF977" s="475">
        <v>0</v>
      </c>
      <c r="BG977" s="475">
        <v>46254</v>
      </c>
      <c r="BH977" s="476">
        <v>178438</v>
      </c>
      <c r="BI977" s="467"/>
      <c r="BJ977" s="468"/>
    </row>
    <row r="978" spans="1:62">
      <c r="A978" s="469">
        <v>46023</v>
      </c>
      <c r="B978" s="469" t="s">
        <v>747</v>
      </c>
      <c r="C978" s="508"/>
      <c r="D978" s="470" t="s">
        <v>749</v>
      </c>
      <c r="E978" s="471">
        <v>2264</v>
      </c>
      <c r="F978" s="470" t="s">
        <v>1503</v>
      </c>
      <c r="G978" s="470" t="s">
        <v>751</v>
      </c>
      <c r="H978" s="470"/>
      <c r="I978" s="470" t="s">
        <v>1477</v>
      </c>
      <c r="J978" s="472" t="s">
        <v>1504</v>
      </c>
      <c r="K978" s="470" t="s">
        <v>1505</v>
      </c>
      <c r="L978" s="470" t="s">
        <v>1123</v>
      </c>
      <c r="M978" s="470" t="s">
        <v>1124</v>
      </c>
      <c r="N978" s="470" t="s">
        <v>1108</v>
      </c>
      <c r="O978" s="472" t="s">
        <v>757</v>
      </c>
      <c r="P978" s="472" t="s">
        <v>738</v>
      </c>
      <c r="Q978" s="472" t="s">
        <v>758</v>
      </c>
      <c r="R978" s="472" t="s">
        <v>12</v>
      </c>
      <c r="S978" s="472" t="s">
        <v>12</v>
      </c>
      <c r="T978" s="472" t="s">
        <v>1506</v>
      </c>
      <c r="U978" s="470" t="s">
        <v>1507</v>
      </c>
      <c r="V978" s="470" t="s">
        <v>761</v>
      </c>
      <c r="W978" s="470" t="s">
        <v>1361</v>
      </c>
      <c r="X978" s="470">
        <v>31</v>
      </c>
      <c r="Y978" s="470">
        <v>0</v>
      </c>
      <c r="Z978" s="470">
        <v>6.5</v>
      </c>
      <c r="AA978" s="470">
        <v>24.5</v>
      </c>
      <c r="AB978" s="470">
        <v>24.5</v>
      </c>
      <c r="AC978" s="473">
        <v>54867</v>
      </c>
      <c r="AD978" s="473">
        <v>54867</v>
      </c>
      <c r="AE978" s="473">
        <v>19513</v>
      </c>
      <c r="AF978" s="473">
        <v>7805</v>
      </c>
      <c r="AG978" s="473">
        <v>1265</v>
      </c>
      <c r="AH978" s="473">
        <v>158</v>
      </c>
      <c r="AI978" s="473">
        <v>988</v>
      </c>
      <c r="AJ978" s="473">
        <v>1625</v>
      </c>
      <c r="AK978" s="473">
        <v>3903</v>
      </c>
      <c r="AL978" s="473">
        <v>2927</v>
      </c>
      <c r="AM978" s="473">
        <v>195</v>
      </c>
      <c r="AN978" s="473">
        <v>683</v>
      </c>
      <c r="AO978" s="473">
        <v>390</v>
      </c>
      <c r="AP978" s="473">
        <v>98</v>
      </c>
      <c r="AQ978" s="473">
        <v>1800</v>
      </c>
      <c r="AR978" s="473">
        <v>2013</v>
      </c>
      <c r="AS978" s="473">
        <v>0</v>
      </c>
      <c r="AT978" s="473">
        <v>0</v>
      </c>
      <c r="AU978" s="473"/>
      <c r="AV978" s="473">
        <v>43363</v>
      </c>
      <c r="AW978" s="474">
        <v>43363</v>
      </c>
      <c r="AX978" s="473">
        <v>0</v>
      </c>
      <c r="AY978" s="473">
        <v>0</v>
      </c>
      <c r="AZ978" s="475">
        <v>0</v>
      </c>
      <c r="BA978" s="475">
        <v>200</v>
      </c>
      <c r="BB978" s="475">
        <v>1800</v>
      </c>
      <c r="BC978" s="475">
        <v>0</v>
      </c>
      <c r="BD978" s="475">
        <v>0</v>
      </c>
      <c r="BE978" s="475">
        <v>0</v>
      </c>
      <c r="BF978" s="475">
        <v>0</v>
      </c>
      <c r="BG978" s="475">
        <v>2000</v>
      </c>
      <c r="BH978" s="476">
        <v>41363</v>
      </c>
      <c r="BI978" s="467"/>
      <c r="BJ978" s="468"/>
    </row>
    <row r="979" spans="1:62">
      <c r="A979" s="469">
        <v>46023</v>
      </c>
      <c r="B979" s="469" t="s">
        <v>747</v>
      </c>
      <c r="C979" s="508"/>
      <c r="D979" s="470" t="s">
        <v>749</v>
      </c>
      <c r="E979" s="471">
        <v>1496</v>
      </c>
      <c r="F979" s="470" t="s">
        <v>1260</v>
      </c>
      <c r="G979" s="470" t="s">
        <v>751</v>
      </c>
      <c r="H979" s="470"/>
      <c r="I979" s="470" t="s">
        <v>1261</v>
      </c>
      <c r="J979" s="472" t="s">
        <v>1262</v>
      </c>
      <c r="K979" s="470" t="s">
        <v>1263</v>
      </c>
      <c r="L979" s="470" t="s">
        <v>856</v>
      </c>
      <c r="M979" s="470" t="s">
        <v>856</v>
      </c>
      <c r="N979" s="470" t="s">
        <v>756</v>
      </c>
      <c r="O979" s="472" t="s">
        <v>757</v>
      </c>
      <c r="P979" s="472" t="s">
        <v>738</v>
      </c>
      <c r="Q979" s="472" t="s">
        <v>758</v>
      </c>
      <c r="R979" s="472" t="s">
        <v>12</v>
      </c>
      <c r="S979" s="472" t="s">
        <v>12</v>
      </c>
      <c r="T979" s="472" t="s">
        <v>1264</v>
      </c>
      <c r="U979" s="470" t="s">
        <v>1265</v>
      </c>
      <c r="V979" s="470" t="s">
        <v>761</v>
      </c>
      <c r="W979" s="470" t="s">
        <v>876</v>
      </c>
      <c r="X979" s="470">
        <v>31</v>
      </c>
      <c r="Y979" s="470">
        <v>0</v>
      </c>
      <c r="Z979" s="470">
        <v>0.5</v>
      </c>
      <c r="AA979" s="470">
        <v>30.5</v>
      </c>
      <c r="AB979" s="470">
        <v>30.5</v>
      </c>
      <c r="AC979" s="473">
        <v>55383</v>
      </c>
      <c r="AD979" s="473">
        <v>55383</v>
      </c>
      <c r="AE979" s="473">
        <v>24521</v>
      </c>
      <c r="AF979" s="473">
        <v>9808</v>
      </c>
      <c r="AG979" s="473">
        <v>1574</v>
      </c>
      <c r="AH979" s="473">
        <v>197</v>
      </c>
      <c r="AI979" s="473">
        <v>1230</v>
      </c>
      <c r="AJ979" s="473">
        <v>2043</v>
      </c>
      <c r="AK979" s="473">
        <v>4904</v>
      </c>
      <c r="AL979" s="473">
        <v>3678</v>
      </c>
      <c r="AM979" s="473">
        <v>245</v>
      </c>
      <c r="AN979" s="473">
        <v>858</v>
      </c>
      <c r="AO979" s="473">
        <v>490</v>
      </c>
      <c r="AP979" s="473">
        <v>123</v>
      </c>
      <c r="AQ979" s="473">
        <v>1800</v>
      </c>
      <c r="AR979" s="473">
        <v>3019</v>
      </c>
      <c r="AS979" s="473">
        <v>0</v>
      </c>
      <c r="AT979" s="473">
        <v>0</v>
      </c>
      <c r="AU979" s="473"/>
      <c r="AV979" s="473">
        <v>54490</v>
      </c>
      <c r="AW979" s="474">
        <v>54490</v>
      </c>
      <c r="AX979" s="473">
        <v>0</v>
      </c>
      <c r="AY979" s="473">
        <v>0</v>
      </c>
      <c r="AZ979" s="475">
        <v>0</v>
      </c>
      <c r="BA979" s="475">
        <v>200</v>
      </c>
      <c r="BB979" s="475">
        <v>1800</v>
      </c>
      <c r="BC979" s="475">
        <v>0</v>
      </c>
      <c r="BD979" s="475">
        <v>0</v>
      </c>
      <c r="BE979" s="475">
        <v>0</v>
      </c>
      <c r="BF979" s="475">
        <v>0</v>
      </c>
      <c r="BG979" s="475">
        <v>2000</v>
      </c>
      <c r="BH979" s="476">
        <v>52490</v>
      </c>
      <c r="BI979" s="467"/>
      <c r="BJ979" s="468"/>
    </row>
    <row r="980" spans="1:62">
      <c r="A980" s="469">
        <v>46023</v>
      </c>
      <c r="B980" s="469" t="s">
        <v>747</v>
      </c>
      <c r="C980" s="508"/>
      <c r="D980" s="470" t="s">
        <v>749</v>
      </c>
      <c r="E980" s="471">
        <v>734</v>
      </c>
      <c r="F980" s="470" t="s">
        <v>1537</v>
      </c>
      <c r="G980" s="470" t="s">
        <v>812</v>
      </c>
      <c r="H980" s="470"/>
      <c r="I980" s="470" t="s">
        <v>931</v>
      </c>
      <c r="J980" s="472" t="s">
        <v>1538</v>
      </c>
      <c r="K980" s="470" t="s">
        <v>1539</v>
      </c>
      <c r="L980" s="470" t="s">
        <v>1540</v>
      </c>
      <c r="M980" s="470" t="s">
        <v>1541</v>
      </c>
      <c r="N980" s="470" t="s">
        <v>904</v>
      </c>
      <c r="O980" s="472" t="s">
        <v>757</v>
      </c>
      <c r="P980" s="472" t="s">
        <v>738</v>
      </c>
      <c r="Q980" s="472" t="s">
        <v>758</v>
      </c>
      <c r="R980" s="472" t="s">
        <v>12</v>
      </c>
      <c r="S980" s="472" t="s">
        <v>12</v>
      </c>
      <c r="T980" s="472" t="s">
        <v>1542</v>
      </c>
      <c r="U980" s="470" t="s">
        <v>1543</v>
      </c>
      <c r="V980" s="470" t="s">
        <v>761</v>
      </c>
      <c r="W980" s="470" t="s">
        <v>762</v>
      </c>
      <c r="X980" s="470">
        <v>31</v>
      </c>
      <c r="Y980" s="470">
        <v>0</v>
      </c>
      <c r="Z980" s="470">
        <v>0</v>
      </c>
      <c r="AA980" s="470">
        <v>31</v>
      </c>
      <c r="AB980" s="470">
        <v>31</v>
      </c>
      <c r="AC980" s="473">
        <v>103609</v>
      </c>
      <c r="AD980" s="473">
        <v>103609</v>
      </c>
      <c r="AE980" s="473">
        <v>46624</v>
      </c>
      <c r="AF980" s="473">
        <v>18650</v>
      </c>
      <c r="AG980" s="473">
        <v>1600</v>
      </c>
      <c r="AH980" s="473">
        <v>200</v>
      </c>
      <c r="AI980" s="473">
        <v>1250</v>
      </c>
      <c r="AJ980" s="473">
        <v>3884</v>
      </c>
      <c r="AK980" s="473">
        <v>9325</v>
      </c>
      <c r="AL980" s="473">
        <v>6994</v>
      </c>
      <c r="AM980" s="473">
        <v>466</v>
      </c>
      <c r="AN980" s="473">
        <v>1632</v>
      </c>
      <c r="AO980" s="473">
        <v>932</v>
      </c>
      <c r="AP980" s="473">
        <v>233</v>
      </c>
      <c r="AQ980" s="473">
        <v>1800</v>
      </c>
      <c r="AR980" s="473">
        <v>10019</v>
      </c>
      <c r="AS980" s="473">
        <v>0</v>
      </c>
      <c r="AT980" s="473">
        <v>0</v>
      </c>
      <c r="AU980" s="473"/>
      <c r="AV980" s="473">
        <v>103609</v>
      </c>
      <c r="AW980" s="474">
        <v>103609</v>
      </c>
      <c r="AX980" s="473">
        <v>0</v>
      </c>
      <c r="AY980" s="473">
        <v>0</v>
      </c>
      <c r="AZ980" s="475">
        <v>0</v>
      </c>
      <c r="BA980" s="475">
        <v>200</v>
      </c>
      <c r="BB980" s="475">
        <v>1800</v>
      </c>
      <c r="BC980" s="475">
        <v>0</v>
      </c>
      <c r="BD980" s="475">
        <v>0</v>
      </c>
      <c r="BE980" s="475">
        <v>0</v>
      </c>
      <c r="BF980" s="475">
        <v>0</v>
      </c>
      <c r="BG980" s="475">
        <v>2000</v>
      </c>
      <c r="BH980" s="476">
        <v>101609</v>
      </c>
      <c r="BI980" s="467"/>
      <c r="BJ980" s="468"/>
    </row>
    <row r="981" spans="1:62">
      <c r="A981" s="469">
        <v>46054</v>
      </c>
      <c r="B981" s="469" t="s">
        <v>747</v>
      </c>
      <c r="C981" s="508"/>
      <c r="D981" s="470" t="s">
        <v>749</v>
      </c>
      <c r="E981" s="471">
        <v>2163</v>
      </c>
      <c r="F981" s="470" t="s">
        <v>1267</v>
      </c>
      <c r="G981" s="470" t="s">
        <v>751</v>
      </c>
      <c r="H981" s="470" t="s">
        <v>12</v>
      </c>
      <c r="I981" s="470" t="s">
        <v>1268</v>
      </c>
      <c r="J981" s="472" t="s">
        <v>1269</v>
      </c>
      <c r="K981" s="470" t="s">
        <v>1270</v>
      </c>
      <c r="L981" s="470" t="s">
        <v>1271</v>
      </c>
      <c r="M981" s="470" t="s">
        <v>942</v>
      </c>
      <c r="N981" s="470" t="s">
        <v>756</v>
      </c>
      <c r="O981" s="472" t="s">
        <v>1272</v>
      </c>
      <c r="P981" s="472" t="s">
        <v>738</v>
      </c>
      <c r="Q981" s="472" t="s">
        <v>758</v>
      </c>
      <c r="R981" s="472" t="s">
        <v>12</v>
      </c>
      <c r="S981" s="472" t="s">
        <v>12</v>
      </c>
      <c r="T981" s="472" t="s">
        <v>1273</v>
      </c>
      <c r="U981" s="470" t="s">
        <v>1274</v>
      </c>
      <c r="V981" s="470" t="s">
        <v>761</v>
      </c>
      <c r="W981" s="470" t="s">
        <v>1111</v>
      </c>
      <c r="X981" s="470">
        <v>28</v>
      </c>
      <c r="Y981" s="470">
        <v>0</v>
      </c>
      <c r="Z981" s="470">
        <v>1</v>
      </c>
      <c r="AA981" s="470">
        <v>27</v>
      </c>
      <c r="AB981" s="470">
        <v>27</v>
      </c>
      <c r="AC981" s="473">
        <v>235700</v>
      </c>
      <c r="AD981" s="473">
        <v>235700</v>
      </c>
      <c r="AE981" s="473">
        <v>102277</v>
      </c>
      <c r="AF981" s="473">
        <v>40911</v>
      </c>
      <c r="AG981" s="473">
        <v>1543</v>
      </c>
      <c r="AH981" s="473">
        <v>193</v>
      </c>
      <c r="AI981" s="473">
        <v>1205</v>
      </c>
      <c r="AJ981" s="473">
        <v>8520</v>
      </c>
      <c r="AK981" s="473">
        <v>20455</v>
      </c>
      <c r="AL981" s="473">
        <v>15342</v>
      </c>
      <c r="AM981" s="473">
        <v>1023</v>
      </c>
      <c r="AN981" s="473">
        <v>3580</v>
      </c>
      <c r="AO981" s="473">
        <v>2046</v>
      </c>
      <c r="AP981" s="473">
        <v>511</v>
      </c>
      <c r="AQ981" s="473">
        <v>1800</v>
      </c>
      <c r="AR981" s="473">
        <v>27876</v>
      </c>
      <c r="AS981" s="473">
        <v>0</v>
      </c>
      <c r="AT981" s="473">
        <v>0</v>
      </c>
      <c r="AU981" s="473">
        <v>2399</v>
      </c>
      <c r="AV981" s="473">
        <v>229681</v>
      </c>
      <c r="AW981" s="474">
        <v>227282</v>
      </c>
      <c r="AX981" s="473"/>
      <c r="AY981" s="473">
        <v>0</v>
      </c>
      <c r="AZ981" s="475">
        <v>19708</v>
      </c>
      <c r="BA981" s="475">
        <v>300</v>
      </c>
      <c r="BB981" s="475">
        <v>1800</v>
      </c>
      <c r="BC981" s="475">
        <v>0</v>
      </c>
      <c r="BD981" s="475">
        <v>0</v>
      </c>
      <c r="BE981" s="475">
        <v>0</v>
      </c>
      <c r="BF981" s="475">
        <v>0</v>
      </c>
      <c r="BG981" s="475">
        <v>21808</v>
      </c>
      <c r="BH981" s="476">
        <v>207873</v>
      </c>
      <c r="BI981" s="467"/>
      <c r="BJ981" s="468"/>
    </row>
    <row r="982" spans="1:62">
      <c r="A982" s="469">
        <v>46054</v>
      </c>
      <c r="B982" s="469" t="s">
        <v>747</v>
      </c>
      <c r="C982" s="508"/>
      <c r="D982" s="470" t="s">
        <v>749</v>
      </c>
      <c r="E982" s="471">
        <v>2020</v>
      </c>
      <c r="F982" s="470" t="s">
        <v>772</v>
      </c>
      <c r="G982" s="470" t="s">
        <v>751</v>
      </c>
      <c r="H982" s="470" t="s">
        <v>12</v>
      </c>
      <c r="I982" s="470" t="s">
        <v>773</v>
      </c>
      <c r="J982" s="472" t="s">
        <v>774</v>
      </c>
      <c r="K982" s="470" t="s">
        <v>775</v>
      </c>
      <c r="L982" s="470" t="s">
        <v>776</v>
      </c>
      <c r="M982" s="470" t="s">
        <v>776</v>
      </c>
      <c r="N982" s="470" t="s">
        <v>777</v>
      </c>
      <c r="O982" s="472" t="s">
        <v>757</v>
      </c>
      <c r="P982" s="472" t="s">
        <v>738</v>
      </c>
      <c r="Q982" s="472" t="s">
        <v>758</v>
      </c>
      <c r="R982" s="472" t="s">
        <v>12</v>
      </c>
      <c r="S982" s="472" t="s">
        <v>12</v>
      </c>
      <c r="T982" s="472" t="s">
        <v>778</v>
      </c>
      <c r="U982" s="470" t="s">
        <v>779</v>
      </c>
      <c r="V982" s="470" t="s">
        <v>761</v>
      </c>
      <c r="W982" s="470" t="s">
        <v>762</v>
      </c>
      <c r="X982" s="470">
        <v>28</v>
      </c>
      <c r="Y982" s="470">
        <v>0</v>
      </c>
      <c r="Z982" s="470">
        <v>0</v>
      </c>
      <c r="AA982" s="470">
        <v>28</v>
      </c>
      <c r="AB982" s="470">
        <v>28</v>
      </c>
      <c r="AC982" s="473">
        <v>68450</v>
      </c>
      <c r="AD982" s="473">
        <v>68450</v>
      </c>
      <c r="AE982" s="473">
        <v>30803</v>
      </c>
      <c r="AF982" s="473">
        <v>12321</v>
      </c>
      <c r="AG982" s="473">
        <v>1600</v>
      </c>
      <c r="AH982" s="473">
        <v>200</v>
      </c>
      <c r="AI982" s="473">
        <v>1250</v>
      </c>
      <c r="AJ982" s="473">
        <v>2566</v>
      </c>
      <c r="AK982" s="473">
        <v>6161</v>
      </c>
      <c r="AL982" s="473">
        <v>4620</v>
      </c>
      <c r="AM982" s="473">
        <v>308</v>
      </c>
      <c r="AN982" s="473">
        <v>1078</v>
      </c>
      <c r="AO982" s="473">
        <v>616</v>
      </c>
      <c r="AP982" s="473">
        <v>154</v>
      </c>
      <c r="AQ982" s="473">
        <v>1800</v>
      </c>
      <c r="AR982" s="473">
        <v>4973</v>
      </c>
      <c r="AS982" s="473">
        <v>0</v>
      </c>
      <c r="AT982" s="473">
        <v>0</v>
      </c>
      <c r="AU982" s="473">
        <v>1900</v>
      </c>
      <c r="AV982" s="473">
        <v>70350</v>
      </c>
      <c r="AW982" s="474">
        <v>68450</v>
      </c>
      <c r="AX982" s="473"/>
      <c r="AY982" s="473">
        <v>0</v>
      </c>
      <c r="AZ982" s="475">
        <v>0</v>
      </c>
      <c r="BA982" s="475">
        <v>300</v>
      </c>
      <c r="BB982" s="475">
        <v>1800</v>
      </c>
      <c r="BC982" s="475">
        <v>0</v>
      </c>
      <c r="BD982" s="475">
        <v>0</v>
      </c>
      <c r="BE982" s="475">
        <v>0</v>
      </c>
      <c r="BF982" s="475">
        <v>0</v>
      </c>
      <c r="BG982" s="475">
        <v>2100</v>
      </c>
      <c r="BH982" s="476">
        <v>68250</v>
      </c>
      <c r="BI982" s="467"/>
      <c r="BJ982" s="468"/>
    </row>
    <row r="983" spans="1:62">
      <c r="A983" s="469">
        <v>46054</v>
      </c>
      <c r="B983" s="469" t="s">
        <v>747</v>
      </c>
      <c r="C983" s="508"/>
      <c r="D983" s="470" t="s">
        <v>749</v>
      </c>
      <c r="E983" s="471">
        <v>2307</v>
      </c>
      <c r="F983" s="470" t="s">
        <v>1508</v>
      </c>
      <c r="G983" s="470" t="s">
        <v>751</v>
      </c>
      <c r="H983" s="470" t="s">
        <v>12</v>
      </c>
      <c r="I983" s="470" t="s">
        <v>1509</v>
      </c>
      <c r="J983" s="472" t="s">
        <v>1510</v>
      </c>
      <c r="K983" s="470" t="s">
        <v>1511</v>
      </c>
      <c r="L983" s="470" t="s">
        <v>971</v>
      </c>
      <c r="M983" s="470" t="s">
        <v>1512</v>
      </c>
      <c r="N983" s="470" t="s">
        <v>1275</v>
      </c>
      <c r="O983" s="472" t="s">
        <v>792</v>
      </c>
      <c r="P983" s="472" t="s">
        <v>738</v>
      </c>
      <c r="Q983" s="472" t="s">
        <v>758</v>
      </c>
      <c r="R983" s="472" t="s">
        <v>12</v>
      </c>
      <c r="S983" s="472" t="s">
        <v>12</v>
      </c>
      <c r="T983" s="472" t="s">
        <v>1513</v>
      </c>
      <c r="U983" s="470" t="s">
        <v>1514</v>
      </c>
      <c r="V983" s="470" t="s">
        <v>761</v>
      </c>
      <c r="W983" s="470" t="s">
        <v>1101</v>
      </c>
      <c r="X983" s="470">
        <v>28</v>
      </c>
      <c r="Y983" s="470">
        <v>0</v>
      </c>
      <c r="Z983" s="470">
        <v>0</v>
      </c>
      <c r="AA983" s="470">
        <v>28</v>
      </c>
      <c r="AB983" s="470">
        <v>28</v>
      </c>
      <c r="AC983" s="473">
        <v>148200</v>
      </c>
      <c r="AD983" s="473">
        <v>148200</v>
      </c>
      <c r="AE983" s="473">
        <v>66690</v>
      </c>
      <c r="AF983" s="473">
        <v>26676</v>
      </c>
      <c r="AG983" s="473">
        <v>1600</v>
      </c>
      <c r="AH983" s="473">
        <v>200</v>
      </c>
      <c r="AI983" s="473">
        <v>1250</v>
      </c>
      <c r="AJ983" s="473">
        <v>5555</v>
      </c>
      <c r="AK983" s="473">
        <v>13338</v>
      </c>
      <c r="AL983" s="473">
        <v>10004</v>
      </c>
      <c r="AM983" s="473">
        <v>667</v>
      </c>
      <c r="AN983" s="473">
        <v>2334</v>
      </c>
      <c r="AO983" s="473">
        <v>1334</v>
      </c>
      <c r="AP983" s="473">
        <v>333</v>
      </c>
      <c r="AQ983" s="473">
        <v>1800</v>
      </c>
      <c r="AR983" s="473">
        <v>16419</v>
      </c>
      <c r="AS983" s="473">
        <v>0</v>
      </c>
      <c r="AT983" s="473">
        <v>4781</v>
      </c>
      <c r="AU983" s="473">
        <v>10145</v>
      </c>
      <c r="AV983" s="473">
        <v>163126</v>
      </c>
      <c r="AW983" s="474">
        <v>152981</v>
      </c>
      <c r="AX983" s="473"/>
      <c r="AY983" s="473">
        <v>0</v>
      </c>
      <c r="AZ983" s="475">
        <v>0</v>
      </c>
      <c r="BA983" s="475">
        <v>300</v>
      </c>
      <c r="BB983" s="475">
        <v>1800</v>
      </c>
      <c r="BC983" s="475">
        <v>0</v>
      </c>
      <c r="BD983" s="475">
        <v>0</v>
      </c>
      <c r="BE983" s="475">
        <v>0</v>
      </c>
      <c r="BF983" s="475">
        <v>0</v>
      </c>
      <c r="BG983" s="475">
        <v>2100</v>
      </c>
      <c r="BH983" s="476">
        <v>161026</v>
      </c>
      <c r="BI983" s="467"/>
      <c r="BJ983" s="468"/>
    </row>
    <row r="984" spans="1:62">
      <c r="A984" s="469">
        <v>46054</v>
      </c>
      <c r="B984" s="469" t="s">
        <v>747</v>
      </c>
      <c r="C984" s="508"/>
      <c r="D984" s="470" t="s">
        <v>749</v>
      </c>
      <c r="E984" s="471">
        <v>2072</v>
      </c>
      <c r="F984" s="470" t="s">
        <v>787</v>
      </c>
      <c r="G984" s="470" t="s">
        <v>751</v>
      </c>
      <c r="H984" s="470" t="s">
        <v>12</v>
      </c>
      <c r="I984" s="470" t="s">
        <v>788</v>
      </c>
      <c r="J984" s="472" t="s">
        <v>789</v>
      </c>
      <c r="K984" s="470" t="s">
        <v>790</v>
      </c>
      <c r="L984" s="470" t="s">
        <v>791</v>
      </c>
      <c r="M984" s="470" t="s">
        <v>791</v>
      </c>
      <c r="N984" s="470" t="s">
        <v>756</v>
      </c>
      <c r="O984" s="472" t="s">
        <v>792</v>
      </c>
      <c r="P984" s="472" t="s">
        <v>738</v>
      </c>
      <c r="Q984" s="472" t="s">
        <v>758</v>
      </c>
      <c r="R984" s="472" t="s">
        <v>12</v>
      </c>
      <c r="S984" s="472" t="s">
        <v>12</v>
      </c>
      <c r="T984" s="472" t="s">
        <v>793</v>
      </c>
      <c r="U984" s="470" t="s">
        <v>794</v>
      </c>
      <c r="V984" s="470" t="s">
        <v>761</v>
      </c>
      <c r="W984" s="470" t="s">
        <v>795</v>
      </c>
      <c r="X984" s="470">
        <v>28</v>
      </c>
      <c r="Y984" s="470">
        <v>0</v>
      </c>
      <c r="Z984" s="470">
        <v>1</v>
      </c>
      <c r="AA984" s="470">
        <v>27</v>
      </c>
      <c r="AB984" s="470">
        <v>27</v>
      </c>
      <c r="AC984" s="473">
        <v>123200</v>
      </c>
      <c r="AD984" s="473">
        <v>123200</v>
      </c>
      <c r="AE984" s="473">
        <v>53460</v>
      </c>
      <c r="AF984" s="473">
        <v>21384</v>
      </c>
      <c r="AG984" s="473">
        <v>1543</v>
      </c>
      <c r="AH984" s="473">
        <v>193</v>
      </c>
      <c r="AI984" s="473">
        <v>1205</v>
      </c>
      <c r="AJ984" s="473">
        <v>4453</v>
      </c>
      <c r="AK984" s="473">
        <v>10692</v>
      </c>
      <c r="AL984" s="473">
        <v>8019</v>
      </c>
      <c r="AM984" s="473">
        <v>535</v>
      </c>
      <c r="AN984" s="473">
        <v>1871</v>
      </c>
      <c r="AO984" s="473">
        <v>1069</v>
      </c>
      <c r="AP984" s="473">
        <v>267</v>
      </c>
      <c r="AQ984" s="473">
        <v>1800</v>
      </c>
      <c r="AR984" s="473">
        <v>12309</v>
      </c>
      <c r="AS984" s="473">
        <v>0</v>
      </c>
      <c r="AT984" s="473">
        <v>0</v>
      </c>
      <c r="AU984" s="473">
        <v>0</v>
      </c>
      <c r="AV984" s="473">
        <v>118800</v>
      </c>
      <c r="AW984" s="474">
        <v>118800</v>
      </c>
      <c r="AX984" s="473"/>
      <c r="AY984" s="473">
        <v>0</v>
      </c>
      <c r="AZ984" s="475">
        <v>5018</v>
      </c>
      <c r="BA984" s="475">
        <v>300</v>
      </c>
      <c r="BB984" s="475">
        <v>1800</v>
      </c>
      <c r="BC984" s="475">
        <v>0</v>
      </c>
      <c r="BD984" s="475">
        <v>0</v>
      </c>
      <c r="BE984" s="475">
        <v>0</v>
      </c>
      <c r="BF984" s="475">
        <v>0</v>
      </c>
      <c r="BG984" s="475">
        <v>7118</v>
      </c>
      <c r="BH984" s="476">
        <v>111682</v>
      </c>
      <c r="BI984" s="467"/>
      <c r="BJ984" s="468"/>
    </row>
    <row r="985" spans="1:62">
      <c r="A985" s="469">
        <v>46054</v>
      </c>
      <c r="B985" s="469" t="s">
        <v>747</v>
      </c>
      <c r="C985" s="508"/>
      <c r="D985" s="470" t="s">
        <v>749</v>
      </c>
      <c r="E985" s="471">
        <v>1440</v>
      </c>
      <c r="F985" s="470" t="s">
        <v>796</v>
      </c>
      <c r="G985" s="470" t="s">
        <v>751</v>
      </c>
      <c r="H985" s="470" t="s">
        <v>12</v>
      </c>
      <c r="I985" s="470" t="s">
        <v>797</v>
      </c>
      <c r="J985" s="472" t="s">
        <v>798</v>
      </c>
      <c r="K985" s="470" t="s">
        <v>799</v>
      </c>
      <c r="L985" s="470" t="s">
        <v>800</v>
      </c>
      <c r="M985" s="470" t="s">
        <v>801</v>
      </c>
      <c r="N985" s="470" t="s">
        <v>756</v>
      </c>
      <c r="O985" s="472" t="s">
        <v>757</v>
      </c>
      <c r="P985" s="472" t="s">
        <v>738</v>
      </c>
      <c r="Q985" s="472" t="s">
        <v>758</v>
      </c>
      <c r="R985" s="472" t="s">
        <v>12</v>
      </c>
      <c r="S985" s="472" t="s">
        <v>12</v>
      </c>
      <c r="T985" s="472" t="s">
        <v>802</v>
      </c>
      <c r="U985" s="470" t="s">
        <v>803</v>
      </c>
      <c r="V985" s="470" t="s">
        <v>761</v>
      </c>
      <c r="W985" s="470" t="s">
        <v>762</v>
      </c>
      <c r="X985" s="470">
        <v>28</v>
      </c>
      <c r="Y985" s="470">
        <v>0</v>
      </c>
      <c r="Z985" s="470">
        <v>0</v>
      </c>
      <c r="AA985" s="470">
        <v>28</v>
      </c>
      <c r="AB985" s="470">
        <v>28</v>
      </c>
      <c r="AC985" s="473">
        <v>38617</v>
      </c>
      <c r="AD985" s="473">
        <v>38617</v>
      </c>
      <c r="AE985" s="473">
        <v>17378</v>
      </c>
      <c r="AF985" s="473">
        <v>6951</v>
      </c>
      <c r="AG985" s="473">
        <v>1600</v>
      </c>
      <c r="AH985" s="473">
        <v>200</v>
      </c>
      <c r="AI985" s="473">
        <v>1250</v>
      </c>
      <c r="AJ985" s="473">
        <v>0</v>
      </c>
      <c r="AK985" s="473">
        <v>0</v>
      </c>
      <c r="AL985" s="473">
        <v>0</v>
      </c>
      <c r="AM985" s="473">
        <v>0</v>
      </c>
      <c r="AN985" s="473">
        <v>0</v>
      </c>
      <c r="AO985" s="473">
        <v>0</v>
      </c>
      <c r="AP985" s="473">
        <v>0</v>
      </c>
      <c r="AQ985" s="473">
        <v>1800</v>
      </c>
      <c r="AR985" s="473">
        <v>9438</v>
      </c>
      <c r="AS985" s="473">
        <v>0</v>
      </c>
      <c r="AT985" s="473">
        <v>0</v>
      </c>
      <c r="AU985" s="473"/>
      <c r="AV985" s="473">
        <v>38617</v>
      </c>
      <c r="AW985" s="474">
        <v>38617</v>
      </c>
      <c r="AX985" s="473"/>
      <c r="AY985" s="473">
        <v>0</v>
      </c>
      <c r="AZ985" s="475">
        <v>0</v>
      </c>
      <c r="BA985" s="475">
        <v>300</v>
      </c>
      <c r="BB985" s="475">
        <v>1800</v>
      </c>
      <c r="BC985" s="475">
        <v>0</v>
      </c>
      <c r="BD985" s="475">
        <v>0</v>
      </c>
      <c r="BE985" s="475">
        <v>0</v>
      </c>
      <c r="BF985" s="475">
        <v>0</v>
      </c>
      <c r="BG985" s="475">
        <v>2100</v>
      </c>
      <c r="BH985" s="476">
        <v>36517</v>
      </c>
      <c r="BI985" s="467"/>
      <c r="BJ985" s="468"/>
    </row>
    <row r="986" spans="1:62">
      <c r="A986" s="469">
        <v>46054</v>
      </c>
      <c r="B986" s="469" t="s">
        <v>747</v>
      </c>
      <c r="C986" s="508"/>
      <c r="D986" s="470" t="s">
        <v>749</v>
      </c>
      <c r="E986" s="471">
        <v>2275</v>
      </c>
      <c r="F986" s="470" t="s">
        <v>1425</v>
      </c>
      <c r="G986" s="470" t="s">
        <v>812</v>
      </c>
      <c r="H986" s="470" t="s">
        <v>12</v>
      </c>
      <c r="I986" s="470" t="s">
        <v>1426</v>
      </c>
      <c r="J986" s="472" t="s">
        <v>1427</v>
      </c>
      <c r="K986" s="470" t="s">
        <v>1428</v>
      </c>
      <c r="L986" s="470" t="s">
        <v>824</v>
      </c>
      <c r="M986" s="470" t="s">
        <v>824</v>
      </c>
      <c r="N986" s="470" t="s">
        <v>1275</v>
      </c>
      <c r="O986" s="472" t="s">
        <v>1276</v>
      </c>
      <c r="P986" s="472" t="s">
        <v>738</v>
      </c>
      <c r="Q986" s="472" t="s">
        <v>758</v>
      </c>
      <c r="R986" s="472" t="s">
        <v>12</v>
      </c>
      <c r="S986" s="472" t="s">
        <v>12</v>
      </c>
      <c r="T986" s="472" t="s">
        <v>1429</v>
      </c>
      <c r="U986" s="470" t="s">
        <v>1430</v>
      </c>
      <c r="V986" s="470" t="s">
        <v>761</v>
      </c>
      <c r="W986" s="470" t="s">
        <v>1361</v>
      </c>
      <c r="X986" s="470">
        <v>28</v>
      </c>
      <c r="Y986" s="470">
        <v>0</v>
      </c>
      <c r="Z986" s="470">
        <v>0.5</v>
      </c>
      <c r="AA986" s="470">
        <v>27.5</v>
      </c>
      <c r="AB986" s="470">
        <v>27.5</v>
      </c>
      <c r="AC986" s="473">
        <v>44033</v>
      </c>
      <c r="AD986" s="473">
        <v>44033</v>
      </c>
      <c r="AE986" s="473">
        <v>19461</v>
      </c>
      <c r="AF986" s="473">
        <v>7784</v>
      </c>
      <c r="AG986" s="473">
        <v>1571</v>
      </c>
      <c r="AH986" s="473">
        <v>196</v>
      </c>
      <c r="AI986" s="473">
        <v>1228</v>
      </c>
      <c r="AJ986" s="473">
        <v>1621</v>
      </c>
      <c r="AK986" s="473">
        <v>3892</v>
      </c>
      <c r="AL986" s="473">
        <v>2919</v>
      </c>
      <c r="AM986" s="473">
        <v>195</v>
      </c>
      <c r="AN986" s="473">
        <v>681</v>
      </c>
      <c r="AO986" s="473">
        <v>389</v>
      </c>
      <c r="AP986" s="473">
        <v>97</v>
      </c>
      <c r="AQ986" s="473">
        <v>1800</v>
      </c>
      <c r="AR986" s="473">
        <v>1413</v>
      </c>
      <c r="AS986" s="473">
        <v>0</v>
      </c>
      <c r="AT986" s="473">
        <v>0</v>
      </c>
      <c r="AU986" s="473"/>
      <c r="AV986" s="473">
        <v>43247</v>
      </c>
      <c r="AW986" s="474">
        <v>43247</v>
      </c>
      <c r="AX986" s="473"/>
      <c r="AY986" s="473">
        <v>0</v>
      </c>
      <c r="AZ986" s="475">
        <v>0</v>
      </c>
      <c r="BA986" s="475">
        <v>300</v>
      </c>
      <c r="BB986" s="475">
        <v>1800</v>
      </c>
      <c r="BC986" s="475">
        <v>0</v>
      </c>
      <c r="BD986" s="475">
        <v>0</v>
      </c>
      <c r="BE986" s="475">
        <v>0</v>
      </c>
      <c r="BF986" s="475">
        <v>0</v>
      </c>
      <c r="BG986" s="475">
        <v>2100</v>
      </c>
      <c r="BH986" s="476">
        <v>41147</v>
      </c>
      <c r="BI986" s="467"/>
      <c r="BJ986" s="468"/>
    </row>
    <row r="987" spans="1:62">
      <c r="A987" s="469">
        <v>46054</v>
      </c>
      <c r="B987" s="469" t="s">
        <v>747</v>
      </c>
      <c r="C987" s="508"/>
      <c r="D987" s="470" t="s">
        <v>749</v>
      </c>
      <c r="E987" s="471">
        <v>2291</v>
      </c>
      <c r="F987" s="470" t="s">
        <v>1515</v>
      </c>
      <c r="G987" s="470" t="s">
        <v>751</v>
      </c>
      <c r="H987" s="470" t="s">
        <v>12</v>
      </c>
      <c r="I987" s="470" t="s">
        <v>1516</v>
      </c>
      <c r="J987" s="472" t="s">
        <v>1517</v>
      </c>
      <c r="K987" s="470" t="s">
        <v>1518</v>
      </c>
      <c r="L987" s="470" t="s">
        <v>1519</v>
      </c>
      <c r="M987" s="470" t="s">
        <v>1305</v>
      </c>
      <c r="N987" s="470" t="s">
        <v>777</v>
      </c>
      <c r="O987" s="472" t="s">
        <v>757</v>
      </c>
      <c r="P987" s="472" t="s">
        <v>738</v>
      </c>
      <c r="Q987" s="472" t="s">
        <v>758</v>
      </c>
      <c r="R987" s="472" t="s">
        <v>12</v>
      </c>
      <c r="S987" s="472" t="s">
        <v>12</v>
      </c>
      <c r="T987" s="472" t="s">
        <v>1520</v>
      </c>
      <c r="U987" s="470" t="s">
        <v>1521</v>
      </c>
      <c r="V987" s="470" t="s">
        <v>761</v>
      </c>
      <c r="W987" s="470" t="s">
        <v>762</v>
      </c>
      <c r="X987" s="470">
        <v>28</v>
      </c>
      <c r="Y987" s="470">
        <v>0</v>
      </c>
      <c r="Z987" s="470">
        <v>0</v>
      </c>
      <c r="AA987" s="470">
        <v>28</v>
      </c>
      <c r="AB987" s="470">
        <v>28</v>
      </c>
      <c r="AC987" s="473">
        <v>85700</v>
      </c>
      <c r="AD987" s="473">
        <v>85700</v>
      </c>
      <c r="AE987" s="473">
        <v>38565</v>
      </c>
      <c r="AF987" s="473">
        <v>15426</v>
      </c>
      <c r="AG987" s="473">
        <v>1600</v>
      </c>
      <c r="AH987" s="473">
        <v>200</v>
      </c>
      <c r="AI987" s="473">
        <v>1250</v>
      </c>
      <c r="AJ987" s="473">
        <v>3212</v>
      </c>
      <c r="AK987" s="473">
        <v>7713</v>
      </c>
      <c r="AL987" s="473">
        <v>5785</v>
      </c>
      <c r="AM987" s="473">
        <v>386</v>
      </c>
      <c r="AN987" s="473">
        <v>1350</v>
      </c>
      <c r="AO987" s="473">
        <v>771</v>
      </c>
      <c r="AP987" s="473">
        <v>193</v>
      </c>
      <c r="AQ987" s="473">
        <v>1800</v>
      </c>
      <c r="AR987" s="473">
        <v>7449</v>
      </c>
      <c r="AS987" s="473">
        <v>0</v>
      </c>
      <c r="AT987" s="473">
        <v>0</v>
      </c>
      <c r="AU987" s="473"/>
      <c r="AV987" s="473">
        <v>85700</v>
      </c>
      <c r="AW987" s="474">
        <v>85700</v>
      </c>
      <c r="AX987" s="473"/>
      <c r="AY987" s="473">
        <v>0</v>
      </c>
      <c r="AZ987" s="475">
        <v>0</v>
      </c>
      <c r="BA987" s="475">
        <v>300</v>
      </c>
      <c r="BB987" s="475">
        <v>1800</v>
      </c>
      <c r="BC987" s="475">
        <v>0</v>
      </c>
      <c r="BD987" s="475">
        <v>0</v>
      </c>
      <c r="BE987" s="475">
        <v>0</v>
      </c>
      <c r="BF987" s="475">
        <v>0</v>
      </c>
      <c r="BG987" s="475">
        <v>2100</v>
      </c>
      <c r="BH987" s="476">
        <v>83600</v>
      </c>
      <c r="BI987" s="467"/>
      <c r="BJ987" s="468"/>
    </row>
    <row r="988" spans="1:62">
      <c r="A988" s="469">
        <v>46054</v>
      </c>
      <c r="B988" s="469" t="s">
        <v>747</v>
      </c>
      <c r="C988" s="508"/>
      <c r="D988" s="470" t="s">
        <v>749</v>
      </c>
      <c r="E988" s="471">
        <v>2271</v>
      </c>
      <c r="F988" s="470" t="s">
        <v>1431</v>
      </c>
      <c r="G988" s="470" t="s">
        <v>751</v>
      </c>
      <c r="H988" s="470" t="s">
        <v>12</v>
      </c>
      <c r="I988" s="470" t="s">
        <v>1426</v>
      </c>
      <c r="J988" s="472" t="s">
        <v>1432</v>
      </c>
      <c r="K988" s="470" t="s">
        <v>1433</v>
      </c>
      <c r="L988" s="470" t="s">
        <v>824</v>
      </c>
      <c r="M988" s="470" t="s">
        <v>824</v>
      </c>
      <c r="N988" s="470" t="s">
        <v>1275</v>
      </c>
      <c r="O988" s="472" t="s">
        <v>1276</v>
      </c>
      <c r="P988" s="472" t="s">
        <v>738</v>
      </c>
      <c r="Q988" s="472" t="s">
        <v>758</v>
      </c>
      <c r="R988" s="472" t="s">
        <v>12</v>
      </c>
      <c r="S988" s="472" t="s">
        <v>12</v>
      </c>
      <c r="T988" s="472" t="s">
        <v>1434</v>
      </c>
      <c r="U988" s="470" t="s">
        <v>1435</v>
      </c>
      <c r="V988" s="470" t="s">
        <v>761</v>
      </c>
      <c r="W988" s="470" t="s">
        <v>1361</v>
      </c>
      <c r="X988" s="470">
        <v>28</v>
      </c>
      <c r="Y988" s="470">
        <v>0</v>
      </c>
      <c r="Z988" s="470">
        <v>1</v>
      </c>
      <c r="AA988" s="470">
        <v>27</v>
      </c>
      <c r="AB988" s="470">
        <v>27</v>
      </c>
      <c r="AC988" s="473">
        <v>44033</v>
      </c>
      <c r="AD988" s="473">
        <v>44033</v>
      </c>
      <c r="AE988" s="473">
        <v>19107</v>
      </c>
      <c r="AF988" s="473">
        <v>7643</v>
      </c>
      <c r="AG988" s="473">
        <v>1543</v>
      </c>
      <c r="AH988" s="473">
        <v>193</v>
      </c>
      <c r="AI988" s="473">
        <v>1205</v>
      </c>
      <c r="AJ988" s="473">
        <v>1592</v>
      </c>
      <c r="AK988" s="473">
        <v>3821</v>
      </c>
      <c r="AL988" s="473">
        <v>2866</v>
      </c>
      <c r="AM988" s="473">
        <v>191</v>
      </c>
      <c r="AN988" s="473">
        <v>669</v>
      </c>
      <c r="AO988" s="473">
        <v>382</v>
      </c>
      <c r="AP988" s="473">
        <v>96</v>
      </c>
      <c r="AQ988" s="473">
        <v>1800</v>
      </c>
      <c r="AR988" s="473">
        <v>1352</v>
      </c>
      <c r="AS988" s="473">
        <v>0</v>
      </c>
      <c r="AT988" s="473">
        <v>0</v>
      </c>
      <c r="AU988" s="473">
        <v>1575</v>
      </c>
      <c r="AV988" s="473">
        <v>44035</v>
      </c>
      <c r="AW988" s="474">
        <v>42460</v>
      </c>
      <c r="AX988" s="473"/>
      <c r="AY988" s="473">
        <v>0</v>
      </c>
      <c r="AZ988" s="475">
        <v>0</v>
      </c>
      <c r="BA988" s="475">
        <v>300</v>
      </c>
      <c r="BB988" s="475">
        <v>1800</v>
      </c>
      <c r="BC988" s="475">
        <v>0</v>
      </c>
      <c r="BD988" s="475">
        <v>0</v>
      </c>
      <c r="BE988" s="475">
        <v>0</v>
      </c>
      <c r="BF988" s="475">
        <v>0</v>
      </c>
      <c r="BG988" s="475">
        <v>2100</v>
      </c>
      <c r="BH988" s="476">
        <v>41935</v>
      </c>
      <c r="BI988" s="467"/>
      <c r="BJ988" s="468"/>
    </row>
    <row r="989" spans="1:62">
      <c r="A989" s="469">
        <v>46054</v>
      </c>
      <c r="B989" s="469" t="s">
        <v>747</v>
      </c>
      <c r="C989" s="508"/>
      <c r="D989" s="470" t="s">
        <v>749</v>
      </c>
      <c r="E989" s="471">
        <v>2247</v>
      </c>
      <c r="F989" s="470" t="s">
        <v>1388</v>
      </c>
      <c r="G989" s="470" t="s">
        <v>751</v>
      </c>
      <c r="H989" s="470" t="s">
        <v>12</v>
      </c>
      <c r="I989" s="470" t="s">
        <v>1389</v>
      </c>
      <c r="J989" s="472" t="s">
        <v>1390</v>
      </c>
      <c r="K989" s="470" t="s">
        <v>1391</v>
      </c>
      <c r="L989" s="470" t="s">
        <v>1293</v>
      </c>
      <c r="M989" s="470" t="s">
        <v>1293</v>
      </c>
      <c r="N989" s="470" t="s">
        <v>756</v>
      </c>
      <c r="O989" s="472" t="s">
        <v>757</v>
      </c>
      <c r="P989" s="472" t="s">
        <v>738</v>
      </c>
      <c r="Q989" s="472" t="s">
        <v>758</v>
      </c>
      <c r="R989" s="472" t="s">
        <v>12</v>
      </c>
      <c r="S989" s="472" t="s">
        <v>12</v>
      </c>
      <c r="T989" s="472" t="s">
        <v>1392</v>
      </c>
      <c r="U989" s="470" t="s">
        <v>1393</v>
      </c>
      <c r="V989" s="470" t="s">
        <v>761</v>
      </c>
      <c r="W989" s="470" t="s">
        <v>1394</v>
      </c>
      <c r="X989" s="470">
        <v>28</v>
      </c>
      <c r="Y989" s="470">
        <v>0</v>
      </c>
      <c r="Z989" s="470">
        <v>1</v>
      </c>
      <c r="AA989" s="470">
        <v>27</v>
      </c>
      <c r="AB989" s="470">
        <v>27</v>
      </c>
      <c r="AC989" s="473">
        <v>88200</v>
      </c>
      <c r="AD989" s="473">
        <v>88200</v>
      </c>
      <c r="AE989" s="473">
        <v>38273</v>
      </c>
      <c r="AF989" s="473">
        <v>15309</v>
      </c>
      <c r="AG989" s="473">
        <v>1543</v>
      </c>
      <c r="AH989" s="473">
        <v>193</v>
      </c>
      <c r="AI989" s="473">
        <v>1205</v>
      </c>
      <c r="AJ989" s="473">
        <v>3188</v>
      </c>
      <c r="AK989" s="473">
        <v>7655</v>
      </c>
      <c r="AL989" s="473">
        <v>5741</v>
      </c>
      <c r="AM989" s="473">
        <v>383</v>
      </c>
      <c r="AN989" s="473">
        <v>1340</v>
      </c>
      <c r="AO989" s="473">
        <v>765</v>
      </c>
      <c r="AP989" s="473">
        <v>191</v>
      </c>
      <c r="AQ989" s="473">
        <v>1800</v>
      </c>
      <c r="AR989" s="473">
        <v>7464</v>
      </c>
      <c r="AS989" s="473">
        <v>0</v>
      </c>
      <c r="AT989" s="473">
        <v>800</v>
      </c>
      <c r="AU989" s="473"/>
      <c r="AV989" s="473">
        <v>85850</v>
      </c>
      <c r="AW989" s="474">
        <v>85850</v>
      </c>
      <c r="AX989" s="473"/>
      <c r="AY989" s="473">
        <v>0</v>
      </c>
      <c r="AZ989" s="475">
        <v>0</v>
      </c>
      <c r="BA989" s="475">
        <v>300</v>
      </c>
      <c r="BB989" s="475">
        <v>1800</v>
      </c>
      <c r="BC989" s="475">
        <v>0</v>
      </c>
      <c r="BD989" s="475">
        <v>0</v>
      </c>
      <c r="BE989" s="475">
        <v>0</v>
      </c>
      <c r="BF989" s="475">
        <v>0</v>
      </c>
      <c r="BG989" s="475">
        <v>2100</v>
      </c>
      <c r="BH989" s="476">
        <v>83750</v>
      </c>
      <c r="BI989" s="467"/>
      <c r="BJ989" s="468"/>
    </row>
    <row r="990" spans="1:62">
      <c r="A990" s="469">
        <v>46054</v>
      </c>
      <c r="B990" s="469" t="s">
        <v>747</v>
      </c>
      <c r="C990" s="508"/>
      <c r="D990" s="470" t="s">
        <v>749</v>
      </c>
      <c r="E990" s="471">
        <v>1599</v>
      </c>
      <c r="F990" s="470" t="s">
        <v>820</v>
      </c>
      <c r="G990" s="470" t="s">
        <v>751</v>
      </c>
      <c r="H990" s="470" t="s">
        <v>12</v>
      </c>
      <c r="I990" s="470" t="s">
        <v>821</v>
      </c>
      <c r="J990" s="472" t="s">
        <v>822</v>
      </c>
      <c r="K990" s="470" t="s">
        <v>823</v>
      </c>
      <c r="L990" s="470" t="s">
        <v>1345</v>
      </c>
      <c r="M990" s="470" t="s">
        <v>1345</v>
      </c>
      <c r="N990" s="470" t="s">
        <v>1275</v>
      </c>
      <c r="O990" s="472" t="s">
        <v>757</v>
      </c>
      <c r="P990" s="472" t="s">
        <v>738</v>
      </c>
      <c r="Q990" s="472" t="s">
        <v>758</v>
      </c>
      <c r="R990" s="472" t="s">
        <v>12</v>
      </c>
      <c r="S990" s="472" t="s">
        <v>12</v>
      </c>
      <c r="T990" s="472" t="s">
        <v>825</v>
      </c>
      <c r="U990" s="470" t="s">
        <v>826</v>
      </c>
      <c r="V990" s="470" t="s">
        <v>761</v>
      </c>
      <c r="W990" s="470" t="s">
        <v>827</v>
      </c>
      <c r="X990" s="470">
        <v>28</v>
      </c>
      <c r="Y990" s="470">
        <v>0</v>
      </c>
      <c r="Z990" s="470">
        <v>0</v>
      </c>
      <c r="AA990" s="470">
        <v>28</v>
      </c>
      <c r="AB990" s="470">
        <v>28</v>
      </c>
      <c r="AC990" s="473">
        <v>51640</v>
      </c>
      <c r="AD990" s="473">
        <v>51640</v>
      </c>
      <c r="AE990" s="473">
        <v>23238</v>
      </c>
      <c r="AF990" s="473">
        <v>9295</v>
      </c>
      <c r="AG990" s="473">
        <v>1600</v>
      </c>
      <c r="AH990" s="473">
        <v>200</v>
      </c>
      <c r="AI990" s="473">
        <v>1250</v>
      </c>
      <c r="AJ990" s="473">
        <v>1936</v>
      </c>
      <c r="AK990" s="473">
        <v>4648</v>
      </c>
      <c r="AL990" s="473">
        <v>3486</v>
      </c>
      <c r="AM990" s="473">
        <v>232</v>
      </c>
      <c r="AN990" s="473">
        <v>813</v>
      </c>
      <c r="AO990" s="473">
        <v>465</v>
      </c>
      <c r="AP990" s="473">
        <v>116</v>
      </c>
      <c r="AQ990" s="473">
        <v>1800</v>
      </c>
      <c r="AR990" s="473">
        <v>2561</v>
      </c>
      <c r="AS990" s="473">
        <v>0</v>
      </c>
      <c r="AT990" s="473">
        <v>0</v>
      </c>
      <c r="AU990" s="473">
        <v>4062</v>
      </c>
      <c r="AV990" s="473">
        <v>55702</v>
      </c>
      <c r="AW990" s="474">
        <v>51640</v>
      </c>
      <c r="AX990" s="473"/>
      <c r="AY990" s="473">
        <v>0</v>
      </c>
      <c r="AZ990" s="475">
        <v>0</v>
      </c>
      <c r="BA990" s="475">
        <v>300</v>
      </c>
      <c r="BB990" s="475">
        <v>1800</v>
      </c>
      <c r="BC990" s="475">
        <v>0</v>
      </c>
      <c r="BD990" s="475">
        <v>0</v>
      </c>
      <c r="BE990" s="475">
        <v>0</v>
      </c>
      <c r="BF990" s="475">
        <v>0</v>
      </c>
      <c r="BG990" s="475">
        <v>2100</v>
      </c>
      <c r="BH990" s="476">
        <v>53602</v>
      </c>
      <c r="BI990" s="467"/>
      <c r="BJ990" s="468"/>
    </row>
    <row r="991" spans="1:62">
      <c r="A991" s="469">
        <v>46054</v>
      </c>
      <c r="B991" s="469" t="s">
        <v>747</v>
      </c>
      <c r="C991" s="508"/>
      <c r="D991" s="470" t="s">
        <v>749</v>
      </c>
      <c r="E991" s="471">
        <v>1180</v>
      </c>
      <c r="F991" s="470" t="s">
        <v>828</v>
      </c>
      <c r="G991" s="470" t="s">
        <v>751</v>
      </c>
      <c r="H991" s="470" t="s">
        <v>12</v>
      </c>
      <c r="I991" s="470" t="s">
        <v>829</v>
      </c>
      <c r="J991" s="472" t="s">
        <v>830</v>
      </c>
      <c r="K991" s="470" t="s">
        <v>831</v>
      </c>
      <c r="L991" s="470" t="s">
        <v>832</v>
      </c>
      <c r="M991" s="470" t="s">
        <v>832</v>
      </c>
      <c r="N991" s="470" t="s">
        <v>833</v>
      </c>
      <c r="O991" s="472" t="s">
        <v>757</v>
      </c>
      <c r="P991" s="472" t="s">
        <v>738</v>
      </c>
      <c r="Q991" s="472" t="s">
        <v>758</v>
      </c>
      <c r="R991" s="472" t="s">
        <v>12</v>
      </c>
      <c r="S991" s="472" t="s">
        <v>12</v>
      </c>
      <c r="T991" s="472" t="s">
        <v>834</v>
      </c>
      <c r="U991" s="470" t="s">
        <v>835</v>
      </c>
      <c r="V991" s="470" t="s">
        <v>836</v>
      </c>
      <c r="W991" s="470" t="s">
        <v>837</v>
      </c>
      <c r="X991" s="470">
        <v>28</v>
      </c>
      <c r="Y991" s="470">
        <v>0</v>
      </c>
      <c r="Z991" s="470">
        <v>0</v>
      </c>
      <c r="AA991" s="470">
        <v>28</v>
      </c>
      <c r="AB991" s="470">
        <v>28</v>
      </c>
      <c r="AC991" s="473">
        <v>28042</v>
      </c>
      <c r="AD991" s="473">
        <v>28042</v>
      </c>
      <c r="AE991" s="473">
        <v>12619</v>
      </c>
      <c r="AF991" s="473">
        <v>5048</v>
      </c>
      <c r="AG991" s="473">
        <v>1600</v>
      </c>
      <c r="AH991" s="473">
        <v>200</v>
      </c>
      <c r="AI991" s="473">
        <v>1250</v>
      </c>
      <c r="AJ991" s="473">
        <v>0</v>
      </c>
      <c r="AK991" s="473">
        <v>0</v>
      </c>
      <c r="AL991" s="473">
        <v>0</v>
      </c>
      <c r="AM991" s="473">
        <v>0</v>
      </c>
      <c r="AN991" s="473">
        <v>0</v>
      </c>
      <c r="AO991" s="473">
        <v>0</v>
      </c>
      <c r="AP991" s="473">
        <v>0</v>
      </c>
      <c r="AQ991" s="473">
        <v>1514</v>
      </c>
      <c r="AR991" s="473">
        <v>5811</v>
      </c>
      <c r="AS991" s="473">
        <v>0</v>
      </c>
      <c r="AT991" s="473">
        <v>0</v>
      </c>
      <c r="AU991" s="473">
        <v>122</v>
      </c>
      <c r="AV991" s="473">
        <v>28164</v>
      </c>
      <c r="AW991" s="474">
        <v>28042</v>
      </c>
      <c r="AX991" s="473"/>
      <c r="AY991" s="473">
        <v>0</v>
      </c>
      <c r="AZ991" s="475">
        <v>0</v>
      </c>
      <c r="BA991" s="475">
        <v>300</v>
      </c>
      <c r="BB991" s="475">
        <v>1514</v>
      </c>
      <c r="BC991" s="475">
        <v>0</v>
      </c>
      <c r="BD991" s="475">
        <v>0</v>
      </c>
      <c r="BE991" s="475">
        <v>0</v>
      </c>
      <c r="BF991" s="475">
        <v>0</v>
      </c>
      <c r="BG991" s="475">
        <v>1814</v>
      </c>
      <c r="BH991" s="476">
        <v>26350</v>
      </c>
      <c r="BI991" s="467"/>
      <c r="BJ991" s="468"/>
    </row>
    <row r="992" spans="1:62">
      <c r="A992" s="469">
        <v>46054</v>
      </c>
      <c r="B992" s="469" t="s">
        <v>747</v>
      </c>
      <c r="C992" s="508"/>
      <c r="D992" s="470" t="s">
        <v>749</v>
      </c>
      <c r="E992" s="471">
        <v>48</v>
      </c>
      <c r="F992" s="470" t="s">
        <v>838</v>
      </c>
      <c r="G992" s="470" t="s">
        <v>751</v>
      </c>
      <c r="H992" s="470" t="s">
        <v>12</v>
      </c>
      <c r="I992" s="470" t="s">
        <v>839</v>
      </c>
      <c r="J992" s="472" t="s">
        <v>840</v>
      </c>
      <c r="K992" s="470" t="s">
        <v>841</v>
      </c>
      <c r="L992" s="470" t="s">
        <v>842</v>
      </c>
      <c r="M992" s="470" t="s">
        <v>842</v>
      </c>
      <c r="N992" s="470" t="s">
        <v>1275</v>
      </c>
      <c r="O992" s="472" t="s">
        <v>792</v>
      </c>
      <c r="P992" s="472" t="s">
        <v>738</v>
      </c>
      <c r="Q992" s="472" t="s">
        <v>758</v>
      </c>
      <c r="R992" s="472" t="s">
        <v>12</v>
      </c>
      <c r="S992" s="472" t="s">
        <v>12</v>
      </c>
      <c r="T992" s="472" t="s">
        <v>843</v>
      </c>
      <c r="U992" s="470" t="s">
        <v>844</v>
      </c>
      <c r="V992" s="470" t="s">
        <v>761</v>
      </c>
      <c r="W992" s="470" t="s">
        <v>845</v>
      </c>
      <c r="X992" s="470">
        <v>28</v>
      </c>
      <c r="Y992" s="470">
        <v>0</v>
      </c>
      <c r="Z992" s="470">
        <v>0</v>
      </c>
      <c r="AA992" s="470">
        <v>28</v>
      </c>
      <c r="AB992" s="470">
        <v>28</v>
      </c>
      <c r="AC992" s="473">
        <v>107967</v>
      </c>
      <c r="AD992" s="473">
        <v>107967</v>
      </c>
      <c r="AE992" s="473">
        <v>48585</v>
      </c>
      <c r="AF992" s="473">
        <v>19434</v>
      </c>
      <c r="AG992" s="473">
        <v>1600</v>
      </c>
      <c r="AH992" s="473">
        <v>200</v>
      </c>
      <c r="AI992" s="473">
        <v>1250</v>
      </c>
      <c r="AJ992" s="473">
        <v>4047</v>
      </c>
      <c r="AK992" s="473">
        <v>9717</v>
      </c>
      <c r="AL992" s="473">
        <v>7288</v>
      </c>
      <c r="AM992" s="473">
        <v>486</v>
      </c>
      <c r="AN992" s="473">
        <v>1700</v>
      </c>
      <c r="AO992" s="473">
        <v>972</v>
      </c>
      <c r="AP992" s="473">
        <v>243</v>
      </c>
      <c r="AQ992" s="473">
        <v>1800</v>
      </c>
      <c r="AR992" s="473">
        <v>10645</v>
      </c>
      <c r="AS992" s="473">
        <v>0</v>
      </c>
      <c r="AT992" s="473">
        <v>0</v>
      </c>
      <c r="AU992" s="473"/>
      <c r="AV992" s="473">
        <v>107967</v>
      </c>
      <c r="AW992" s="474">
        <v>107967</v>
      </c>
      <c r="AX992" s="473"/>
      <c r="AY992" s="473">
        <v>0</v>
      </c>
      <c r="AZ992" s="475">
        <v>15226</v>
      </c>
      <c r="BA992" s="475">
        <v>300</v>
      </c>
      <c r="BB992" s="475">
        <v>1800</v>
      </c>
      <c r="BC992" s="475">
        <v>0</v>
      </c>
      <c r="BD992" s="475">
        <v>0</v>
      </c>
      <c r="BE992" s="475">
        <v>0</v>
      </c>
      <c r="BF992" s="475">
        <v>15000</v>
      </c>
      <c r="BG992" s="475">
        <v>32326</v>
      </c>
      <c r="BH992" s="476">
        <v>75641</v>
      </c>
      <c r="BI992" s="467"/>
      <c r="BJ992" s="468"/>
    </row>
    <row r="993" spans="1:62">
      <c r="A993" s="469">
        <v>46054</v>
      </c>
      <c r="B993" s="469" t="s">
        <v>747</v>
      </c>
      <c r="C993" s="508"/>
      <c r="D993" s="470" t="s">
        <v>749</v>
      </c>
      <c r="E993" s="471">
        <v>2246</v>
      </c>
      <c r="F993" s="470" t="s">
        <v>1395</v>
      </c>
      <c r="G993" s="470" t="s">
        <v>751</v>
      </c>
      <c r="H993" s="470" t="s">
        <v>12</v>
      </c>
      <c r="I993" s="470" t="s">
        <v>1396</v>
      </c>
      <c r="J993" s="472" t="s">
        <v>1397</v>
      </c>
      <c r="K993" s="470" t="s">
        <v>1398</v>
      </c>
      <c r="L993" s="470" t="s">
        <v>1399</v>
      </c>
      <c r="M993" s="470" t="s">
        <v>1292</v>
      </c>
      <c r="N993" s="470" t="s">
        <v>756</v>
      </c>
      <c r="O993" s="472" t="s">
        <v>792</v>
      </c>
      <c r="P993" s="472" t="s">
        <v>738</v>
      </c>
      <c r="Q993" s="472" t="s">
        <v>758</v>
      </c>
      <c r="R993" s="472" t="s">
        <v>12</v>
      </c>
      <c r="S993" s="472" t="s">
        <v>12</v>
      </c>
      <c r="T993" s="472" t="s">
        <v>1400</v>
      </c>
      <c r="U993" s="470" t="s">
        <v>1401</v>
      </c>
      <c r="V993" s="470" t="s">
        <v>761</v>
      </c>
      <c r="W993" s="470" t="s">
        <v>1387</v>
      </c>
      <c r="X993" s="470">
        <v>28</v>
      </c>
      <c r="Y993" s="470">
        <v>0</v>
      </c>
      <c r="Z993" s="470">
        <v>3</v>
      </c>
      <c r="AA993" s="470">
        <v>25</v>
      </c>
      <c r="AB993" s="470">
        <v>25</v>
      </c>
      <c r="AC993" s="473">
        <v>123200</v>
      </c>
      <c r="AD993" s="473">
        <v>123200</v>
      </c>
      <c r="AE993" s="473">
        <v>49500</v>
      </c>
      <c r="AF993" s="473">
        <v>19800</v>
      </c>
      <c r="AG993" s="473">
        <v>1429</v>
      </c>
      <c r="AH993" s="473">
        <v>179</v>
      </c>
      <c r="AI993" s="473">
        <v>1116</v>
      </c>
      <c r="AJ993" s="473">
        <v>4123</v>
      </c>
      <c r="AK993" s="473">
        <v>9900</v>
      </c>
      <c r="AL993" s="473">
        <v>7425</v>
      </c>
      <c r="AM993" s="473">
        <v>495</v>
      </c>
      <c r="AN993" s="473">
        <v>1733</v>
      </c>
      <c r="AO993" s="473">
        <v>990</v>
      </c>
      <c r="AP993" s="473">
        <v>248</v>
      </c>
      <c r="AQ993" s="473">
        <v>1800</v>
      </c>
      <c r="AR993" s="473">
        <v>11262</v>
      </c>
      <c r="AS993" s="473">
        <v>0</v>
      </c>
      <c r="AT993" s="473">
        <v>0</v>
      </c>
      <c r="AU993" s="473"/>
      <c r="AV993" s="473">
        <v>110000</v>
      </c>
      <c r="AW993" s="474">
        <v>110000</v>
      </c>
      <c r="AX993" s="473"/>
      <c r="AY993" s="473">
        <v>0</v>
      </c>
      <c r="AZ993" s="475">
        <v>0</v>
      </c>
      <c r="BA993" s="475">
        <v>300</v>
      </c>
      <c r="BB993" s="475">
        <v>1800</v>
      </c>
      <c r="BC993" s="475">
        <v>0</v>
      </c>
      <c r="BD993" s="475">
        <v>0</v>
      </c>
      <c r="BE993" s="475">
        <v>0</v>
      </c>
      <c r="BF993" s="475">
        <v>0</v>
      </c>
      <c r="BG993" s="475">
        <v>2100</v>
      </c>
      <c r="BH993" s="476">
        <v>107900</v>
      </c>
      <c r="BI993" s="467"/>
      <c r="BJ993" s="468"/>
    </row>
    <row r="994" spans="1:62">
      <c r="A994" s="469">
        <v>46054</v>
      </c>
      <c r="B994" s="469" t="s">
        <v>747</v>
      </c>
      <c r="C994" s="508"/>
      <c r="D994" s="470" t="s">
        <v>749</v>
      </c>
      <c r="E994" s="471">
        <v>2276</v>
      </c>
      <c r="F994" s="470" t="s">
        <v>1436</v>
      </c>
      <c r="G994" s="470" t="s">
        <v>812</v>
      </c>
      <c r="H994" s="470" t="s">
        <v>12</v>
      </c>
      <c r="I994" s="470" t="s">
        <v>1426</v>
      </c>
      <c r="J994" s="472" t="s">
        <v>1437</v>
      </c>
      <c r="K994" s="470" t="s">
        <v>1438</v>
      </c>
      <c r="L994" s="470" t="s">
        <v>824</v>
      </c>
      <c r="M994" s="470" t="s">
        <v>824</v>
      </c>
      <c r="N994" s="470" t="s">
        <v>1275</v>
      </c>
      <c r="O994" s="472" t="s">
        <v>1276</v>
      </c>
      <c r="P994" s="472" t="s">
        <v>738</v>
      </c>
      <c r="Q994" s="472" t="s">
        <v>758</v>
      </c>
      <c r="R994" s="472" t="s">
        <v>12</v>
      </c>
      <c r="S994" s="472" t="s">
        <v>12</v>
      </c>
      <c r="T994" s="472" t="s">
        <v>1439</v>
      </c>
      <c r="U994" s="470" t="s">
        <v>1440</v>
      </c>
      <c r="V994" s="470" t="s">
        <v>761</v>
      </c>
      <c r="W994" s="470" t="s">
        <v>1361</v>
      </c>
      <c r="X994" s="470">
        <v>28</v>
      </c>
      <c r="Y994" s="470">
        <v>0</v>
      </c>
      <c r="Z994" s="470">
        <v>0</v>
      </c>
      <c r="AA994" s="470">
        <v>28</v>
      </c>
      <c r="AB994" s="470">
        <v>28</v>
      </c>
      <c r="AC994" s="473">
        <v>44033</v>
      </c>
      <c r="AD994" s="473">
        <v>44033</v>
      </c>
      <c r="AE994" s="473">
        <v>19815</v>
      </c>
      <c r="AF994" s="473">
        <v>7926</v>
      </c>
      <c r="AG994" s="473">
        <v>1600</v>
      </c>
      <c r="AH994" s="473">
        <v>200</v>
      </c>
      <c r="AI994" s="473">
        <v>1250</v>
      </c>
      <c r="AJ994" s="473">
        <v>1651</v>
      </c>
      <c r="AK994" s="473">
        <v>3963</v>
      </c>
      <c r="AL994" s="473">
        <v>2972</v>
      </c>
      <c r="AM994" s="473">
        <v>198</v>
      </c>
      <c r="AN994" s="473">
        <v>694</v>
      </c>
      <c r="AO994" s="473">
        <v>396</v>
      </c>
      <c r="AP994" s="473">
        <v>99</v>
      </c>
      <c r="AQ994" s="473">
        <v>1800</v>
      </c>
      <c r="AR994" s="473">
        <v>1469</v>
      </c>
      <c r="AS994" s="473">
        <v>0</v>
      </c>
      <c r="AT994" s="473">
        <v>0</v>
      </c>
      <c r="AU994" s="473"/>
      <c r="AV994" s="473">
        <v>44033</v>
      </c>
      <c r="AW994" s="474">
        <v>44033</v>
      </c>
      <c r="AX994" s="473"/>
      <c r="AY994" s="473">
        <v>0</v>
      </c>
      <c r="AZ994" s="475">
        <v>0</v>
      </c>
      <c r="BA994" s="475">
        <v>300</v>
      </c>
      <c r="BB994" s="475">
        <v>1800</v>
      </c>
      <c r="BC994" s="475">
        <v>0</v>
      </c>
      <c r="BD994" s="475">
        <v>0</v>
      </c>
      <c r="BE994" s="475">
        <v>0</v>
      </c>
      <c r="BF994" s="475">
        <v>0</v>
      </c>
      <c r="BG994" s="475">
        <v>2100</v>
      </c>
      <c r="BH994" s="476">
        <v>41933</v>
      </c>
      <c r="BI994" s="467"/>
      <c r="BJ994" s="468"/>
    </row>
    <row r="995" spans="1:62">
      <c r="A995" s="469">
        <v>46054</v>
      </c>
      <c r="B995" s="469" t="s">
        <v>747</v>
      </c>
      <c r="C995" s="508"/>
      <c r="D995" s="470" t="s">
        <v>749</v>
      </c>
      <c r="E995" s="471">
        <v>2017</v>
      </c>
      <c r="F995" s="470" t="s">
        <v>846</v>
      </c>
      <c r="G995" s="470" t="s">
        <v>751</v>
      </c>
      <c r="H995" s="470" t="s">
        <v>12</v>
      </c>
      <c r="I995" s="470" t="s">
        <v>847</v>
      </c>
      <c r="J995" s="472" t="s">
        <v>848</v>
      </c>
      <c r="K995" s="470" t="s">
        <v>849</v>
      </c>
      <c r="L995" s="470" t="s">
        <v>1345</v>
      </c>
      <c r="M995" s="470" t="s">
        <v>1345</v>
      </c>
      <c r="N995" s="470" t="s">
        <v>1275</v>
      </c>
      <c r="O995" s="472" t="s">
        <v>757</v>
      </c>
      <c r="P995" s="472" t="s">
        <v>738</v>
      </c>
      <c r="Q995" s="472" t="s">
        <v>758</v>
      </c>
      <c r="R995" s="472" t="s">
        <v>12</v>
      </c>
      <c r="S995" s="472" t="s">
        <v>12</v>
      </c>
      <c r="T995" s="472" t="s">
        <v>850</v>
      </c>
      <c r="U995" s="470" t="s">
        <v>851</v>
      </c>
      <c r="V995" s="470" t="s">
        <v>761</v>
      </c>
      <c r="W995" s="470" t="s">
        <v>762</v>
      </c>
      <c r="X995" s="470">
        <v>28</v>
      </c>
      <c r="Y995" s="470">
        <v>0</v>
      </c>
      <c r="Z995" s="470">
        <v>0</v>
      </c>
      <c r="AA995" s="470">
        <v>28</v>
      </c>
      <c r="AB995" s="470">
        <v>28</v>
      </c>
      <c r="AC995" s="473">
        <v>56533</v>
      </c>
      <c r="AD995" s="473">
        <v>56533</v>
      </c>
      <c r="AE995" s="473">
        <v>25440</v>
      </c>
      <c r="AF995" s="473">
        <v>10176</v>
      </c>
      <c r="AG995" s="473">
        <v>1600</v>
      </c>
      <c r="AH995" s="473">
        <v>200</v>
      </c>
      <c r="AI995" s="473">
        <v>1250</v>
      </c>
      <c r="AJ995" s="473">
        <v>2119</v>
      </c>
      <c r="AK995" s="473">
        <v>5088</v>
      </c>
      <c r="AL995" s="473">
        <v>3816</v>
      </c>
      <c r="AM995" s="473">
        <v>254</v>
      </c>
      <c r="AN995" s="473">
        <v>890</v>
      </c>
      <c r="AO995" s="473">
        <v>509</v>
      </c>
      <c r="AP995" s="473">
        <v>127</v>
      </c>
      <c r="AQ995" s="473">
        <v>1800</v>
      </c>
      <c r="AR995" s="473">
        <v>3264</v>
      </c>
      <c r="AS995" s="473">
        <v>0</v>
      </c>
      <c r="AT995" s="473">
        <v>0</v>
      </c>
      <c r="AU995" s="473">
        <v>667</v>
      </c>
      <c r="AV995" s="473">
        <v>57200</v>
      </c>
      <c r="AW995" s="474">
        <v>56533</v>
      </c>
      <c r="AX995" s="473"/>
      <c r="AY995" s="473">
        <v>0</v>
      </c>
      <c r="AZ995" s="475">
        <v>0</v>
      </c>
      <c r="BA995" s="475">
        <v>300</v>
      </c>
      <c r="BB995" s="475">
        <v>1800</v>
      </c>
      <c r="BC995" s="475">
        <v>0</v>
      </c>
      <c r="BD995" s="475">
        <v>0</v>
      </c>
      <c r="BE995" s="475">
        <v>0</v>
      </c>
      <c r="BF995" s="475">
        <v>0</v>
      </c>
      <c r="BG995" s="475">
        <v>2100</v>
      </c>
      <c r="BH995" s="476">
        <v>55100</v>
      </c>
      <c r="BI995" s="467"/>
      <c r="BJ995" s="468"/>
    </row>
    <row r="996" spans="1:62">
      <c r="A996" s="469">
        <v>46054</v>
      </c>
      <c r="B996" s="469" t="s">
        <v>747</v>
      </c>
      <c r="C996" s="508"/>
      <c r="D996" s="470" t="s">
        <v>749</v>
      </c>
      <c r="E996" s="471">
        <v>1914</v>
      </c>
      <c r="F996" s="470" t="s">
        <v>852</v>
      </c>
      <c r="G996" s="470" t="s">
        <v>751</v>
      </c>
      <c r="H996" s="470" t="s">
        <v>12</v>
      </c>
      <c r="I996" s="470" t="s">
        <v>853</v>
      </c>
      <c r="J996" s="472" t="s">
        <v>854</v>
      </c>
      <c r="K996" s="470" t="s">
        <v>855</v>
      </c>
      <c r="L996" s="470" t="s">
        <v>856</v>
      </c>
      <c r="M996" s="470" t="s">
        <v>856</v>
      </c>
      <c r="N996" s="470" t="s">
        <v>756</v>
      </c>
      <c r="O996" s="472" t="s">
        <v>757</v>
      </c>
      <c r="P996" s="472" t="s">
        <v>738</v>
      </c>
      <c r="Q996" s="472" t="s">
        <v>758</v>
      </c>
      <c r="R996" s="472" t="s">
        <v>12</v>
      </c>
      <c r="S996" s="472" t="s">
        <v>12</v>
      </c>
      <c r="T996" s="472" t="s">
        <v>857</v>
      </c>
      <c r="U996" s="470" t="s">
        <v>858</v>
      </c>
      <c r="V996" s="470" t="s">
        <v>761</v>
      </c>
      <c r="W996" s="470" t="s">
        <v>859</v>
      </c>
      <c r="X996" s="470">
        <v>28</v>
      </c>
      <c r="Y996" s="470">
        <v>0</v>
      </c>
      <c r="Z996" s="470">
        <v>1</v>
      </c>
      <c r="AA996" s="470">
        <v>0</v>
      </c>
      <c r="AB996" s="470">
        <v>0</v>
      </c>
      <c r="AC996" s="473">
        <v>74033</v>
      </c>
      <c r="AD996" s="473">
        <v>74033</v>
      </c>
      <c r="AE996" s="473">
        <v>0</v>
      </c>
      <c r="AF996" s="473">
        <v>0</v>
      </c>
      <c r="AG996" s="473">
        <v>0</v>
      </c>
      <c r="AH996" s="473">
        <v>193</v>
      </c>
      <c r="AI996" s="473">
        <v>0</v>
      </c>
      <c r="AJ996" s="473">
        <v>0</v>
      </c>
      <c r="AK996" s="473">
        <v>0</v>
      </c>
      <c r="AL996" s="473">
        <v>0</v>
      </c>
      <c r="AM996" s="473">
        <v>0</v>
      </c>
      <c r="AN996" s="473">
        <v>0</v>
      </c>
      <c r="AO996" s="473">
        <v>0</v>
      </c>
      <c r="AP996" s="473">
        <v>0</v>
      </c>
      <c r="AQ996" s="473">
        <v>0</v>
      </c>
      <c r="AR996" s="473">
        <v>-193</v>
      </c>
      <c r="AS996" s="473">
        <v>0</v>
      </c>
      <c r="AT996" s="473">
        <v>0</v>
      </c>
      <c r="AU996" s="473"/>
      <c r="AV996" s="473">
        <v>0</v>
      </c>
      <c r="AW996" s="474">
        <v>0</v>
      </c>
      <c r="AX996" s="473"/>
      <c r="AY996" s="473">
        <v>0</v>
      </c>
      <c r="AZ996" s="475">
        <v>0</v>
      </c>
      <c r="BA996" s="475">
        <v>0</v>
      </c>
      <c r="BB996" s="475">
        <v>0</v>
      </c>
      <c r="BC996" s="475">
        <v>0</v>
      </c>
      <c r="BD996" s="475">
        <v>0</v>
      </c>
      <c r="BE996" s="475">
        <v>0</v>
      </c>
      <c r="BF996" s="475">
        <v>0</v>
      </c>
      <c r="BG996" s="475">
        <v>0</v>
      </c>
      <c r="BH996" s="476">
        <v>0</v>
      </c>
      <c r="BI996" s="467"/>
      <c r="BJ996" s="468"/>
    </row>
    <row r="997" spans="1:62">
      <c r="A997" s="469">
        <v>46054</v>
      </c>
      <c r="B997" s="469" t="s">
        <v>747</v>
      </c>
      <c r="C997" s="508"/>
      <c r="D997" s="470" t="s">
        <v>749</v>
      </c>
      <c r="E997" s="471">
        <v>2186</v>
      </c>
      <c r="F997" s="470" t="s">
        <v>1277</v>
      </c>
      <c r="G997" s="470" t="s">
        <v>751</v>
      </c>
      <c r="H997" s="470" t="s">
        <v>12</v>
      </c>
      <c r="I997" s="470" t="s">
        <v>1278</v>
      </c>
      <c r="J997" s="472" t="s">
        <v>1279</v>
      </c>
      <c r="K997" s="470" t="s">
        <v>1280</v>
      </c>
      <c r="L997" s="470" t="s">
        <v>980</v>
      </c>
      <c r="M997" s="470" t="s">
        <v>980</v>
      </c>
      <c r="N997" s="470" t="s">
        <v>1275</v>
      </c>
      <c r="O997" s="472" t="s">
        <v>757</v>
      </c>
      <c r="P997" s="472" t="s">
        <v>738</v>
      </c>
      <c r="Q997" s="472" t="s">
        <v>758</v>
      </c>
      <c r="R997" s="472" t="s">
        <v>12</v>
      </c>
      <c r="S997" s="472" t="s">
        <v>12</v>
      </c>
      <c r="T997" s="472" t="s">
        <v>1281</v>
      </c>
      <c r="U997" s="470" t="s">
        <v>1282</v>
      </c>
      <c r="V997" s="470" t="s">
        <v>761</v>
      </c>
      <c r="W997" s="470" t="s">
        <v>762</v>
      </c>
      <c r="X997" s="470">
        <v>28</v>
      </c>
      <c r="Y997" s="470">
        <v>0</v>
      </c>
      <c r="Z997" s="470">
        <v>3</v>
      </c>
      <c r="AA997" s="470">
        <v>25</v>
      </c>
      <c r="AB997" s="470">
        <v>25</v>
      </c>
      <c r="AC997" s="473">
        <v>63200</v>
      </c>
      <c r="AD997" s="473">
        <v>63200</v>
      </c>
      <c r="AE997" s="473">
        <v>25393</v>
      </c>
      <c r="AF997" s="473">
        <v>10157</v>
      </c>
      <c r="AG997" s="473">
        <v>1429</v>
      </c>
      <c r="AH997" s="473">
        <v>179</v>
      </c>
      <c r="AI997" s="473">
        <v>1116</v>
      </c>
      <c r="AJ997" s="473">
        <v>2115</v>
      </c>
      <c r="AK997" s="473">
        <v>5079</v>
      </c>
      <c r="AL997" s="473">
        <v>3809</v>
      </c>
      <c r="AM997" s="473">
        <v>254</v>
      </c>
      <c r="AN997" s="473">
        <v>889</v>
      </c>
      <c r="AO997" s="473">
        <v>508</v>
      </c>
      <c r="AP997" s="473">
        <v>127</v>
      </c>
      <c r="AQ997" s="473">
        <v>1800</v>
      </c>
      <c r="AR997" s="473">
        <v>3574</v>
      </c>
      <c r="AS997" s="473">
        <v>0</v>
      </c>
      <c r="AT997" s="473">
        <v>0</v>
      </c>
      <c r="AU997" s="473"/>
      <c r="AV997" s="473">
        <v>56429</v>
      </c>
      <c r="AW997" s="474">
        <v>56429</v>
      </c>
      <c r="AX997" s="473"/>
      <c r="AY997" s="473">
        <v>0</v>
      </c>
      <c r="AZ997" s="475">
        <v>0</v>
      </c>
      <c r="BA997" s="475">
        <v>300</v>
      </c>
      <c r="BB997" s="475">
        <v>1800</v>
      </c>
      <c r="BC997" s="475">
        <v>0</v>
      </c>
      <c r="BD997" s="475">
        <v>0</v>
      </c>
      <c r="BE997" s="475">
        <v>0</v>
      </c>
      <c r="BF997" s="475">
        <v>0</v>
      </c>
      <c r="BG997" s="475">
        <v>2100</v>
      </c>
      <c r="BH997" s="476">
        <v>54329</v>
      </c>
      <c r="BI997" s="467"/>
      <c r="BJ997" s="468"/>
    </row>
    <row r="998" spans="1:62">
      <c r="A998" s="469">
        <v>46054</v>
      </c>
      <c r="B998" s="469" t="s">
        <v>747</v>
      </c>
      <c r="C998" s="508"/>
      <c r="D998" s="470" t="s">
        <v>749</v>
      </c>
      <c r="E998" s="471">
        <v>1209</v>
      </c>
      <c r="F998" s="470" t="s">
        <v>868</v>
      </c>
      <c r="G998" s="470" t="s">
        <v>751</v>
      </c>
      <c r="H998" s="470" t="s">
        <v>12</v>
      </c>
      <c r="I998" s="470" t="s">
        <v>869</v>
      </c>
      <c r="J998" s="472" t="s">
        <v>870</v>
      </c>
      <c r="K998" s="470" t="s">
        <v>871</v>
      </c>
      <c r="L998" s="470" t="s">
        <v>873</v>
      </c>
      <c r="M998" s="470" t="s">
        <v>873</v>
      </c>
      <c r="N998" s="470" t="s">
        <v>833</v>
      </c>
      <c r="O998" s="472" t="s">
        <v>757</v>
      </c>
      <c r="P998" s="472" t="s">
        <v>738</v>
      </c>
      <c r="Q998" s="472" t="s">
        <v>758</v>
      </c>
      <c r="R998" s="472" t="s">
        <v>12</v>
      </c>
      <c r="S998" s="472" t="s">
        <v>12</v>
      </c>
      <c r="T998" s="472" t="s">
        <v>874</v>
      </c>
      <c r="U998" s="470" t="s">
        <v>875</v>
      </c>
      <c r="V998" s="470" t="s">
        <v>761</v>
      </c>
      <c r="W998" s="470" t="s">
        <v>876</v>
      </c>
      <c r="X998" s="470">
        <v>28</v>
      </c>
      <c r="Y998" s="470">
        <v>0</v>
      </c>
      <c r="Z998" s="470">
        <v>1</v>
      </c>
      <c r="AA998" s="470">
        <v>27</v>
      </c>
      <c r="AB998" s="470">
        <v>27</v>
      </c>
      <c r="AC998" s="473">
        <v>83333</v>
      </c>
      <c r="AD998" s="473">
        <v>83333</v>
      </c>
      <c r="AE998" s="473">
        <v>36161</v>
      </c>
      <c r="AF998" s="473">
        <v>14464</v>
      </c>
      <c r="AG998" s="473">
        <v>1543</v>
      </c>
      <c r="AH998" s="473">
        <v>193</v>
      </c>
      <c r="AI998" s="473">
        <v>1205</v>
      </c>
      <c r="AJ998" s="473">
        <v>3012</v>
      </c>
      <c r="AK998" s="473">
        <v>7232</v>
      </c>
      <c r="AL998" s="473">
        <v>5424</v>
      </c>
      <c r="AM998" s="473">
        <v>362</v>
      </c>
      <c r="AN998" s="473">
        <v>1266</v>
      </c>
      <c r="AO998" s="473">
        <v>723</v>
      </c>
      <c r="AP998" s="473">
        <v>181</v>
      </c>
      <c r="AQ998" s="473">
        <v>1800</v>
      </c>
      <c r="AR998" s="473">
        <v>6791</v>
      </c>
      <c r="AS998" s="473">
        <v>0</v>
      </c>
      <c r="AT998" s="473">
        <v>0</v>
      </c>
      <c r="AU998" s="473">
        <v>155</v>
      </c>
      <c r="AV998" s="473">
        <v>80512</v>
      </c>
      <c r="AW998" s="474">
        <v>80357</v>
      </c>
      <c r="AX998" s="473"/>
      <c r="AY998" s="473">
        <v>0</v>
      </c>
      <c r="AZ998" s="475">
        <v>0</v>
      </c>
      <c r="BA998" s="475">
        <v>300</v>
      </c>
      <c r="BB998" s="475">
        <v>1800</v>
      </c>
      <c r="BC998" s="475">
        <v>0</v>
      </c>
      <c r="BD998" s="475">
        <v>0</v>
      </c>
      <c r="BE998" s="475">
        <v>0</v>
      </c>
      <c r="BF998" s="475">
        <v>0</v>
      </c>
      <c r="BG998" s="475">
        <v>2100</v>
      </c>
      <c r="BH998" s="476">
        <v>78412</v>
      </c>
      <c r="BI998" s="467"/>
      <c r="BJ998" s="468"/>
    </row>
    <row r="999" spans="1:62">
      <c r="A999" s="469">
        <v>46054</v>
      </c>
      <c r="B999" s="469" t="s">
        <v>747</v>
      </c>
      <c r="C999" s="508"/>
      <c r="D999" s="470" t="s">
        <v>749</v>
      </c>
      <c r="E999" s="471">
        <v>1517</v>
      </c>
      <c r="F999" s="470" t="s">
        <v>877</v>
      </c>
      <c r="G999" s="470" t="s">
        <v>751</v>
      </c>
      <c r="H999" s="470" t="s">
        <v>12</v>
      </c>
      <c r="I999" s="470" t="s">
        <v>878</v>
      </c>
      <c r="J999" s="472" t="s">
        <v>879</v>
      </c>
      <c r="K999" s="470" t="s">
        <v>880</v>
      </c>
      <c r="L999" s="470" t="s">
        <v>881</v>
      </c>
      <c r="M999" s="470" t="s">
        <v>881</v>
      </c>
      <c r="N999" s="470" t="s">
        <v>833</v>
      </c>
      <c r="O999" s="472" t="s">
        <v>757</v>
      </c>
      <c r="P999" s="472" t="s">
        <v>738</v>
      </c>
      <c r="Q999" s="472" t="s">
        <v>758</v>
      </c>
      <c r="R999" s="472" t="s">
        <v>12</v>
      </c>
      <c r="S999" s="472" t="s">
        <v>12</v>
      </c>
      <c r="T999" s="472" t="s">
        <v>882</v>
      </c>
      <c r="U999" s="470" t="s">
        <v>883</v>
      </c>
      <c r="V999" s="470" t="s">
        <v>761</v>
      </c>
      <c r="W999" s="470" t="s">
        <v>859</v>
      </c>
      <c r="X999" s="470">
        <v>28</v>
      </c>
      <c r="Y999" s="470">
        <v>0</v>
      </c>
      <c r="Z999" s="470">
        <v>0</v>
      </c>
      <c r="AA999" s="470">
        <v>28</v>
      </c>
      <c r="AB999" s="470">
        <v>28</v>
      </c>
      <c r="AC999" s="473">
        <v>47190</v>
      </c>
      <c r="AD999" s="473">
        <v>47190</v>
      </c>
      <c r="AE999" s="473">
        <v>21236</v>
      </c>
      <c r="AF999" s="473">
        <v>8494</v>
      </c>
      <c r="AG999" s="473">
        <v>1600</v>
      </c>
      <c r="AH999" s="473">
        <v>200</v>
      </c>
      <c r="AI999" s="473">
        <v>1250</v>
      </c>
      <c r="AJ999" s="473">
        <v>1769</v>
      </c>
      <c r="AK999" s="473">
        <v>4247</v>
      </c>
      <c r="AL999" s="473">
        <v>3185</v>
      </c>
      <c r="AM999" s="473">
        <v>212</v>
      </c>
      <c r="AN999" s="473">
        <v>743</v>
      </c>
      <c r="AO999" s="473">
        <v>425</v>
      </c>
      <c r="AP999" s="473">
        <v>106</v>
      </c>
      <c r="AQ999" s="473">
        <v>1800</v>
      </c>
      <c r="AR999" s="473">
        <v>1923</v>
      </c>
      <c r="AS999" s="473">
        <v>0</v>
      </c>
      <c r="AT999" s="473">
        <v>0</v>
      </c>
      <c r="AU999" s="473">
        <v>286</v>
      </c>
      <c r="AV999" s="473">
        <v>47476</v>
      </c>
      <c r="AW999" s="474">
        <v>47190</v>
      </c>
      <c r="AX999" s="473"/>
      <c r="AY999" s="473">
        <v>0</v>
      </c>
      <c r="AZ999" s="475">
        <v>0</v>
      </c>
      <c r="BA999" s="475">
        <v>300</v>
      </c>
      <c r="BB999" s="475">
        <v>1800</v>
      </c>
      <c r="BC999" s="475">
        <v>0</v>
      </c>
      <c r="BD999" s="475">
        <v>0</v>
      </c>
      <c r="BE999" s="475">
        <v>0</v>
      </c>
      <c r="BF999" s="475">
        <v>0</v>
      </c>
      <c r="BG999" s="475">
        <v>2100</v>
      </c>
      <c r="BH999" s="476">
        <v>45376</v>
      </c>
      <c r="BI999" s="467"/>
      <c r="BJ999" s="468"/>
    </row>
    <row r="1000" spans="1:62">
      <c r="A1000" s="469">
        <v>46054</v>
      </c>
      <c r="B1000" s="469" t="s">
        <v>747</v>
      </c>
      <c r="C1000" s="508"/>
      <c r="D1000" s="470" t="s">
        <v>749</v>
      </c>
      <c r="E1000" s="471">
        <v>1202</v>
      </c>
      <c r="F1000" s="470" t="s">
        <v>884</v>
      </c>
      <c r="G1000" s="470" t="s">
        <v>751</v>
      </c>
      <c r="H1000" s="470" t="s">
        <v>12</v>
      </c>
      <c r="I1000" s="470" t="s">
        <v>885</v>
      </c>
      <c r="J1000" s="472" t="s">
        <v>886</v>
      </c>
      <c r="K1000" s="470" t="s">
        <v>887</v>
      </c>
      <c r="L1000" s="470" t="s">
        <v>1346</v>
      </c>
      <c r="M1000" s="470" t="s">
        <v>1346</v>
      </c>
      <c r="N1000" s="470" t="s">
        <v>1275</v>
      </c>
      <c r="O1000" s="472" t="s">
        <v>757</v>
      </c>
      <c r="P1000" s="472" t="s">
        <v>738</v>
      </c>
      <c r="Q1000" s="472" t="s">
        <v>758</v>
      </c>
      <c r="R1000" s="472" t="s">
        <v>12</v>
      </c>
      <c r="S1000" s="472" t="s">
        <v>12</v>
      </c>
      <c r="T1000" s="472" t="s">
        <v>888</v>
      </c>
      <c r="U1000" s="470" t="s">
        <v>889</v>
      </c>
      <c r="V1000" s="470" t="s">
        <v>761</v>
      </c>
      <c r="W1000" s="470" t="s">
        <v>762</v>
      </c>
      <c r="X1000" s="470">
        <v>28</v>
      </c>
      <c r="Y1000" s="470">
        <v>0</v>
      </c>
      <c r="Z1000" s="470">
        <v>0</v>
      </c>
      <c r="AA1000" s="470">
        <v>28</v>
      </c>
      <c r="AB1000" s="470">
        <v>28</v>
      </c>
      <c r="AC1000" s="473">
        <v>98333</v>
      </c>
      <c r="AD1000" s="473">
        <v>98333</v>
      </c>
      <c r="AE1000" s="473">
        <v>44250</v>
      </c>
      <c r="AF1000" s="473">
        <v>17700</v>
      </c>
      <c r="AG1000" s="473">
        <v>1600</v>
      </c>
      <c r="AH1000" s="473">
        <v>200</v>
      </c>
      <c r="AI1000" s="473">
        <v>1250</v>
      </c>
      <c r="AJ1000" s="473">
        <v>3686</v>
      </c>
      <c r="AK1000" s="473">
        <v>8850</v>
      </c>
      <c r="AL1000" s="473">
        <v>6638</v>
      </c>
      <c r="AM1000" s="473">
        <v>443</v>
      </c>
      <c r="AN1000" s="473">
        <v>1549</v>
      </c>
      <c r="AO1000" s="473">
        <v>885</v>
      </c>
      <c r="AP1000" s="473">
        <v>221</v>
      </c>
      <c r="AQ1000" s="473">
        <v>1800</v>
      </c>
      <c r="AR1000" s="473">
        <v>9261</v>
      </c>
      <c r="AS1000" s="473">
        <v>0</v>
      </c>
      <c r="AT1000" s="473">
        <v>0</v>
      </c>
      <c r="AU1000" s="473">
        <v>5164</v>
      </c>
      <c r="AV1000" s="473">
        <v>103497</v>
      </c>
      <c r="AW1000" s="474">
        <v>98333</v>
      </c>
      <c r="AX1000" s="473"/>
      <c r="AY1000" s="473">
        <v>0</v>
      </c>
      <c r="AZ1000" s="475">
        <v>3143</v>
      </c>
      <c r="BA1000" s="475">
        <v>300</v>
      </c>
      <c r="BB1000" s="475">
        <v>1800</v>
      </c>
      <c r="BC1000" s="475">
        <v>0</v>
      </c>
      <c r="BD1000" s="475">
        <v>0</v>
      </c>
      <c r="BE1000" s="475">
        <v>0</v>
      </c>
      <c r="BF1000" s="475">
        <v>0</v>
      </c>
      <c r="BG1000" s="475">
        <v>5243</v>
      </c>
      <c r="BH1000" s="476">
        <v>98254</v>
      </c>
      <c r="BI1000" s="467"/>
      <c r="BJ1000" s="468"/>
    </row>
    <row r="1001" spans="1:62">
      <c r="A1001" s="469">
        <v>46054</v>
      </c>
      <c r="B1001" s="469" t="s">
        <v>747</v>
      </c>
      <c r="C1001" s="508"/>
      <c r="D1001" s="470" t="s">
        <v>749</v>
      </c>
      <c r="E1001" s="471">
        <v>2234</v>
      </c>
      <c r="F1001" s="470" t="s">
        <v>1347</v>
      </c>
      <c r="G1001" s="470" t="s">
        <v>751</v>
      </c>
      <c r="H1001" s="470" t="s">
        <v>12</v>
      </c>
      <c r="I1001" s="470" t="s">
        <v>1348</v>
      </c>
      <c r="J1001" s="472" t="s">
        <v>1349</v>
      </c>
      <c r="K1001" s="470" t="s">
        <v>1350</v>
      </c>
      <c r="L1001" s="470" t="s">
        <v>1351</v>
      </c>
      <c r="M1001" s="470" t="s">
        <v>1351</v>
      </c>
      <c r="N1001" s="470" t="s">
        <v>833</v>
      </c>
      <c r="O1001" s="472" t="s">
        <v>757</v>
      </c>
      <c r="P1001" s="472" t="s">
        <v>738</v>
      </c>
      <c r="Q1001" s="472" t="s">
        <v>758</v>
      </c>
      <c r="R1001" s="472" t="s">
        <v>12</v>
      </c>
      <c r="S1001" s="472" t="s">
        <v>12</v>
      </c>
      <c r="T1001" s="472" t="s">
        <v>1352</v>
      </c>
      <c r="U1001" s="470" t="s">
        <v>1353</v>
      </c>
      <c r="V1001" s="470" t="s">
        <v>761</v>
      </c>
      <c r="W1001" s="470" t="s">
        <v>1354</v>
      </c>
      <c r="X1001" s="470">
        <v>28</v>
      </c>
      <c r="Y1001" s="470">
        <v>0</v>
      </c>
      <c r="Z1001" s="470">
        <v>0</v>
      </c>
      <c r="AA1001" s="470">
        <v>28</v>
      </c>
      <c r="AB1001" s="470">
        <v>28</v>
      </c>
      <c r="AC1001" s="473">
        <v>52200</v>
      </c>
      <c r="AD1001" s="473">
        <v>52200</v>
      </c>
      <c r="AE1001" s="473">
        <v>23490</v>
      </c>
      <c r="AF1001" s="473">
        <v>9396</v>
      </c>
      <c r="AG1001" s="473">
        <v>1600</v>
      </c>
      <c r="AH1001" s="473">
        <v>200</v>
      </c>
      <c r="AI1001" s="473">
        <v>1250</v>
      </c>
      <c r="AJ1001" s="473">
        <v>1957</v>
      </c>
      <c r="AK1001" s="473">
        <v>4698</v>
      </c>
      <c r="AL1001" s="473">
        <v>3524</v>
      </c>
      <c r="AM1001" s="473">
        <v>235</v>
      </c>
      <c r="AN1001" s="473">
        <v>822</v>
      </c>
      <c r="AO1001" s="473">
        <v>470</v>
      </c>
      <c r="AP1001" s="473">
        <v>117</v>
      </c>
      <c r="AQ1001" s="473">
        <v>1800</v>
      </c>
      <c r="AR1001" s="473">
        <v>2641</v>
      </c>
      <c r="AS1001" s="473">
        <v>0</v>
      </c>
      <c r="AT1001" s="473">
        <v>0</v>
      </c>
      <c r="AU1001" s="473"/>
      <c r="AV1001" s="473">
        <v>52200</v>
      </c>
      <c r="AW1001" s="474">
        <v>52200</v>
      </c>
      <c r="AX1001" s="473"/>
      <c r="AY1001" s="473">
        <v>0</v>
      </c>
      <c r="AZ1001" s="475">
        <v>0</v>
      </c>
      <c r="BA1001" s="475">
        <v>300</v>
      </c>
      <c r="BB1001" s="475">
        <v>1800</v>
      </c>
      <c r="BC1001" s="475">
        <v>0</v>
      </c>
      <c r="BD1001" s="475">
        <v>0</v>
      </c>
      <c r="BE1001" s="475">
        <v>0</v>
      </c>
      <c r="BF1001" s="475">
        <v>0</v>
      </c>
      <c r="BG1001" s="475">
        <v>2100</v>
      </c>
      <c r="BH1001" s="476">
        <v>50100</v>
      </c>
      <c r="BI1001" s="467"/>
      <c r="BJ1001" s="468"/>
    </row>
    <row r="1002" spans="1:62">
      <c r="A1002" s="469">
        <v>46054</v>
      </c>
      <c r="B1002" s="469" t="s">
        <v>747</v>
      </c>
      <c r="C1002" s="508"/>
      <c r="D1002" s="470" t="s">
        <v>749</v>
      </c>
      <c r="E1002" s="471">
        <v>2273</v>
      </c>
      <c r="F1002" s="470" t="s">
        <v>1441</v>
      </c>
      <c r="G1002" s="470" t="s">
        <v>751</v>
      </c>
      <c r="H1002" s="470" t="s">
        <v>12</v>
      </c>
      <c r="I1002" s="470" t="s">
        <v>1426</v>
      </c>
      <c r="J1002" s="472" t="s">
        <v>1442</v>
      </c>
      <c r="K1002" s="470" t="s">
        <v>1443</v>
      </c>
      <c r="L1002" s="470" t="s">
        <v>824</v>
      </c>
      <c r="M1002" s="470" t="s">
        <v>824</v>
      </c>
      <c r="N1002" s="470" t="s">
        <v>1275</v>
      </c>
      <c r="O1002" s="472" t="s">
        <v>1276</v>
      </c>
      <c r="P1002" s="472" t="s">
        <v>738</v>
      </c>
      <c r="Q1002" s="472" t="s">
        <v>758</v>
      </c>
      <c r="R1002" s="472" t="s">
        <v>12</v>
      </c>
      <c r="S1002" s="472" t="s">
        <v>12</v>
      </c>
      <c r="T1002" s="472" t="s">
        <v>1444</v>
      </c>
      <c r="U1002" s="470" t="s">
        <v>1445</v>
      </c>
      <c r="V1002" s="470" t="s">
        <v>761</v>
      </c>
      <c r="W1002" s="470" t="s">
        <v>1361</v>
      </c>
      <c r="X1002" s="470">
        <v>28</v>
      </c>
      <c r="Y1002" s="470">
        <v>0</v>
      </c>
      <c r="Z1002" s="470">
        <v>0</v>
      </c>
      <c r="AA1002" s="470">
        <v>28</v>
      </c>
      <c r="AB1002" s="470">
        <v>28</v>
      </c>
      <c r="AC1002" s="473">
        <v>44033</v>
      </c>
      <c r="AD1002" s="473">
        <v>44033</v>
      </c>
      <c r="AE1002" s="473">
        <v>19815</v>
      </c>
      <c r="AF1002" s="473">
        <v>7926</v>
      </c>
      <c r="AG1002" s="473">
        <v>1600</v>
      </c>
      <c r="AH1002" s="473">
        <v>200</v>
      </c>
      <c r="AI1002" s="473">
        <v>1250</v>
      </c>
      <c r="AJ1002" s="473">
        <v>1651</v>
      </c>
      <c r="AK1002" s="473">
        <v>3963</v>
      </c>
      <c r="AL1002" s="473">
        <v>2972</v>
      </c>
      <c r="AM1002" s="473">
        <v>198</v>
      </c>
      <c r="AN1002" s="473">
        <v>694</v>
      </c>
      <c r="AO1002" s="473">
        <v>396</v>
      </c>
      <c r="AP1002" s="473">
        <v>99</v>
      </c>
      <c r="AQ1002" s="473">
        <v>1800</v>
      </c>
      <c r="AR1002" s="473">
        <v>1469</v>
      </c>
      <c r="AS1002" s="473">
        <v>0</v>
      </c>
      <c r="AT1002" s="473">
        <v>0</v>
      </c>
      <c r="AU1002" s="473">
        <v>2473</v>
      </c>
      <c r="AV1002" s="473">
        <v>46506</v>
      </c>
      <c r="AW1002" s="474">
        <v>44033</v>
      </c>
      <c r="AX1002" s="473"/>
      <c r="AY1002" s="473">
        <v>0</v>
      </c>
      <c r="AZ1002" s="475">
        <v>0</v>
      </c>
      <c r="BA1002" s="475">
        <v>300</v>
      </c>
      <c r="BB1002" s="475">
        <v>1800</v>
      </c>
      <c r="BC1002" s="475">
        <v>0</v>
      </c>
      <c r="BD1002" s="475">
        <v>0</v>
      </c>
      <c r="BE1002" s="475">
        <v>0</v>
      </c>
      <c r="BF1002" s="475">
        <v>0</v>
      </c>
      <c r="BG1002" s="475">
        <v>2100</v>
      </c>
      <c r="BH1002" s="476">
        <v>44406</v>
      </c>
      <c r="BI1002" s="467"/>
      <c r="BJ1002" s="468"/>
    </row>
    <row r="1003" spans="1:62">
      <c r="A1003" s="469">
        <v>46054</v>
      </c>
      <c r="B1003" s="469" t="s">
        <v>747</v>
      </c>
      <c r="C1003" s="508"/>
      <c r="D1003" s="470" t="s">
        <v>749</v>
      </c>
      <c r="E1003" s="471">
        <v>748</v>
      </c>
      <c r="F1003" s="470" t="s">
        <v>899</v>
      </c>
      <c r="G1003" s="470" t="s">
        <v>751</v>
      </c>
      <c r="H1003" s="470" t="s">
        <v>12</v>
      </c>
      <c r="I1003" s="470" t="s">
        <v>900</v>
      </c>
      <c r="J1003" s="472" t="s">
        <v>901</v>
      </c>
      <c r="K1003" s="470" t="s">
        <v>902</v>
      </c>
      <c r="L1003" s="470" t="s">
        <v>1283</v>
      </c>
      <c r="M1003" s="470" t="s">
        <v>1284</v>
      </c>
      <c r="N1003" s="470" t="s">
        <v>904</v>
      </c>
      <c r="O1003" s="472" t="s">
        <v>757</v>
      </c>
      <c r="P1003" s="472" t="s">
        <v>738</v>
      </c>
      <c r="Q1003" s="472" t="s">
        <v>758</v>
      </c>
      <c r="R1003" s="472" t="s">
        <v>12</v>
      </c>
      <c r="S1003" s="472" t="s">
        <v>12</v>
      </c>
      <c r="T1003" s="472" t="s">
        <v>905</v>
      </c>
      <c r="U1003" s="470" t="s">
        <v>906</v>
      </c>
      <c r="V1003" s="470" t="s">
        <v>761</v>
      </c>
      <c r="W1003" s="470" t="s">
        <v>907</v>
      </c>
      <c r="X1003" s="470">
        <v>28</v>
      </c>
      <c r="Y1003" s="470">
        <v>0</v>
      </c>
      <c r="Z1003" s="470">
        <v>0</v>
      </c>
      <c r="AA1003" s="470">
        <v>28</v>
      </c>
      <c r="AB1003" s="470">
        <v>28</v>
      </c>
      <c r="AC1003" s="473">
        <v>62333</v>
      </c>
      <c r="AD1003" s="473">
        <v>62333</v>
      </c>
      <c r="AE1003" s="473">
        <v>28050</v>
      </c>
      <c r="AF1003" s="473">
        <v>11220</v>
      </c>
      <c r="AG1003" s="473">
        <v>1600</v>
      </c>
      <c r="AH1003" s="473">
        <v>200</v>
      </c>
      <c r="AI1003" s="473">
        <v>1250</v>
      </c>
      <c r="AJ1003" s="473">
        <v>2337</v>
      </c>
      <c r="AK1003" s="473">
        <v>5610</v>
      </c>
      <c r="AL1003" s="473">
        <v>4208</v>
      </c>
      <c r="AM1003" s="473">
        <v>281</v>
      </c>
      <c r="AN1003" s="473">
        <v>982</v>
      </c>
      <c r="AO1003" s="473">
        <v>561</v>
      </c>
      <c r="AP1003" s="473">
        <v>140</v>
      </c>
      <c r="AQ1003" s="473">
        <v>1800</v>
      </c>
      <c r="AR1003" s="473">
        <v>4094</v>
      </c>
      <c r="AS1003" s="473">
        <v>0</v>
      </c>
      <c r="AT1003" s="473">
        <v>0</v>
      </c>
      <c r="AU1003" s="473">
        <v>3254</v>
      </c>
      <c r="AV1003" s="473">
        <v>65587</v>
      </c>
      <c r="AW1003" s="474">
        <v>62333</v>
      </c>
      <c r="AX1003" s="473"/>
      <c r="AY1003" s="473">
        <v>0</v>
      </c>
      <c r="AZ1003" s="475">
        <v>0</v>
      </c>
      <c r="BA1003" s="475">
        <v>300</v>
      </c>
      <c r="BB1003" s="475">
        <v>1800</v>
      </c>
      <c r="BC1003" s="475">
        <v>0</v>
      </c>
      <c r="BD1003" s="475">
        <v>0</v>
      </c>
      <c r="BE1003" s="475">
        <v>0</v>
      </c>
      <c r="BF1003" s="475">
        <v>31667</v>
      </c>
      <c r="BG1003" s="475">
        <v>33767</v>
      </c>
      <c r="BH1003" s="476">
        <v>31820</v>
      </c>
      <c r="BI1003" s="467"/>
      <c r="BJ1003" s="468"/>
    </row>
    <row r="1004" spans="1:62">
      <c r="A1004" s="469">
        <v>46054</v>
      </c>
      <c r="B1004" s="469" t="s">
        <v>747</v>
      </c>
      <c r="C1004" s="508"/>
      <c r="D1004" s="470" t="s">
        <v>749</v>
      </c>
      <c r="E1004" s="471">
        <v>2214</v>
      </c>
      <c r="F1004" s="470" t="s">
        <v>1355</v>
      </c>
      <c r="G1004" s="470" t="s">
        <v>751</v>
      </c>
      <c r="H1004" s="470" t="s">
        <v>12</v>
      </c>
      <c r="I1004" s="470" t="s">
        <v>1340</v>
      </c>
      <c r="J1004" s="472" t="s">
        <v>1356</v>
      </c>
      <c r="K1004" s="470" t="s">
        <v>1357</v>
      </c>
      <c r="L1004" s="470" t="s">
        <v>1358</v>
      </c>
      <c r="M1004" s="470" t="s">
        <v>1358</v>
      </c>
      <c r="N1004" s="470" t="s">
        <v>1108</v>
      </c>
      <c r="O1004" s="472" t="s">
        <v>757</v>
      </c>
      <c r="P1004" s="472" t="s">
        <v>738</v>
      </c>
      <c r="Q1004" s="472" t="s">
        <v>758</v>
      </c>
      <c r="R1004" s="472" t="s">
        <v>12</v>
      </c>
      <c r="S1004" s="472" t="s">
        <v>12</v>
      </c>
      <c r="T1004" s="472" t="s">
        <v>1359</v>
      </c>
      <c r="U1004" s="470" t="s">
        <v>1360</v>
      </c>
      <c r="V1004" s="470" t="s">
        <v>761</v>
      </c>
      <c r="W1004" s="470" t="s">
        <v>1361</v>
      </c>
      <c r="X1004" s="470">
        <v>28</v>
      </c>
      <c r="Y1004" s="470">
        <v>0</v>
      </c>
      <c r="Z1004" s="470">
        <v>0</v>
      </c>
      <c r="AA1004" s="470">
        <v>28</v>
      </c>
      <c r="AB1004" s="470">
        <v>28</v>
      </c>
      <c r="AC1004" s="473">
        <v>54867</v>
      </c>
      <c r="AD1004" s="473">
        <v>54867</v>
      </c>
      <c r="AE1004" s="473">
        <v>24690</v>
      </c>
      <c r="AF1004" s="473">
        <v>9876</v>
      </c>
      <c r="AG1004" s="473">
        <v>1600</v>
      </c>
      <c r="AH1004" s="473">
        <v>200</v>
      </c>
      <c r="AI1004" s="473">
        <v>1250</v>
      </c>
      <c r="AJ1004" s="473">
        <v>2057</v>
      </c>
      <c r="AK1004" s="473">
        <v>4938</v>
      </c>
      <c r="AL1004" s="473">
        <v>3704</v>
      </c>
      <c r="AM1004" s="473">
        <v>247</v>
      </c>
      <c r="AN1004" s="473">
        <v>864</v>
      </c>
      <c r="AO1004" s="473">
        <v>494</v>
      </c>
      <c r="AP1004" s="473">
        <v>123</v>
      </c>
      <c r="AQ1004" s="473">
        <v>1800</v>
      </c>
      <c r="AR1004" s="473">
        <v>3024</v>
      </c>
      <c r="AS1004" s="473">
        <v>0</v>
      </c>
      <c r="AT1004" s="473">
        <v>0</v>
      </c>
      <c r="AU1004" s="473"/>
      <c r="AV1004" s="473">
        <v>54867</v>
      </c>
      <c r="AW1004" s="474">
        <v>54867</v>
      </c>
      <c r="AX1004" s="473"/>
      <c r="AY1004" s="473">
        <v>0</v>
      </c>
      <c r="AZ1004" s="475">
        <v>0</v>
      </c>
      <c r="BA1004" s="475">
        <v>300</v>
      </c>
      <c r="BB1004" s="475">
        <v>1800</v>
      </c>
      <c r="BC1004" s="475">
        <v>0</v>
      </c>
      <c r="BD1004" s="475">
        <v>0</v>
      </c>
      <c r="BE1004" s="475">
        <v>0</v>
      </c>
      <c r="BF1004" s="475">
        <v>0</v>
      </c>
      <c r="BG1004" s="475">
        <v>2100</v>
      </c>
      <c r="BH1004" s="476">
        <v>52767</v>
      </c>
      <c r="BI1004" s="467"/>
      <c r="BJ1004" s="468"/>
    </row>
    <row r="1005" spans="1:62">
      <c r="A1005" s="469">
        <v>46054</v>
      </c>
      <c r="B1005" s="469" t="s">
        <v>747</v>
      </c>
      <c r="C1005" s="508"/>
      <c r="D1005" s="470" t="s">
        <v>749</v>
      </c>
      <c r="E1005" s="471">
        <v>2239</v>
      </c>
      <c r="F1005" s="470" t="s">
        <v>1402</v>
      </c>
      <c r="G1005" s="470" t="s">
        <v>812</v>
      </c>
      <c r="H1005" s="470" t="s">
        <v>12</v>
      </c>
      <c r="I1005" s="470" t="s">
        <v>1389</v>
      </c>
      <c r="J1005" s="472" t="s">
        <v>1403</v>
      </c>
      <c r="K1005" s="470" t="s">
        <v>1404</v>
      </c>
      <c r="L1005" s="470" t="s">
        <v>872</v>
      </c>
      <c r="M1005" s="470" t="s">
        <v>872</v>
      </c>
      <c r="N1005" s="470" t="s">
        <v>833</v>
      </c>
      <c r="O1005" s="472" t="s">
        <v>757</v>
      </c>
      <c r="P1005" s="472" t="s">
        <v>738</v>
      </c>
      <c r="Q1005" s="472" t="s">
        <v>758</v>
      </c>
      <c r="R1005" s="472" t="s">
        <v>12</v>
      </c>
      <c r="S1005" s="472" t="s">
        <v>12</v>
      </c>
      <c r="T1005" s="472" t="s">
        <v>1405</v>
      </c>
      <c r="U1005" s="470" t="s">
        <v>1406</v>
      </c>
      <c r="V1005" s="470" t="s">
        <v>761</v>
      </c>
      <c r="W1005" s="470" t="s">
        <v>859</v>
      </c>
      <c r="X1005" s="470">
        <v>28</v>
      </c>
      <c r="Y1005" s="470">
        <v>0</v>
      </c>
      <c r="Z1005" s="470">
        <v>0</v>
      </c>
      <c r="AA1005" s="470">
        <v>28</v>
      </c>
      <c r="AB1005" s="470">
        <v>28</v>
      </c>
      <c r="AC1005" s="473">
        <v>89867</v>
      </c>
      <c r="AD1005" s="473">
        <v>89867</v>
      </c>
      <c r="AE1005" s="473">
        <v>40440</v>
      </c>
      <c r="AF1005" s="473">
        <v>16176</v>
      </c>
      <c r="AG1005" s="473">
        <v>1600</v>
      </c>
      <c r="AH1005" s="473">
        <v>200</v>
      </c>
      <c r="AI1005" s="473">
        <v>1250</v>
      </c>
      <c r="AJ1005" s="473">
        <v>3369</v>
      </c>
      <c r="AK1005" s="473">
        <v>8088</v>
      </c>
      <c r="AL1005" s="473">
        <v>6066</v>
      </c>
      <c r="AM1005" s="473">
        <v>404</v>
      </c>
      <c r="AN1005" s="473">
        <v>1415</v>
      </c>
      <c r="AO1005" s="473">
        <v>809</v>
      </c>
      <c r="AP1005" s="473">
        <v>202</v>
      </c>
      <c r="AQ1005" s="473">
        <v>1800</v>
      </c>
      <c r="AR1005" s="473">
        <v>8048</v>
      </c>
      <c r="AS1005" s="473">
        <v>0</v>
      </c>
      <c r="AT1005" s="473">
        <v>0</v>
      </c>
      <c r="AU1005" s="473">
        <v>2474</v>
      </c>
      <c r="AV1005" s="473">
        <v>92341</v>
      </c>
      <c r="AW1005" s="474">
        <v>89867</v>
      </c>
      <c r="AX1005" s="473"/>
      <c r="AY1005" s="473">
        <v>0</v>
      </c>
      <c r="AZ1005" s="475">
        <v>0</v>
      </c>
      <c r="BA1005" s="475">
        <v>300</v>
      </c>
      <c r="BB1005" s="475">
        <v>1800</v>
      </c>
      <c r="BC1005" s="475">
        <v>0</v>
      </c>
      <c r="BD1005" s="475">
        <v>0</v>
      </c>
      <c r="BE1005" s="475">
        <v>0</v>
      </c>
      <c r="BF1005" s="475">
        <v>0</v>
      </c>
      <c r="BG1005" s="475">
        <v>2100</v>
      </c>
      <c r="BH1005" s="476">
        <v>90241</v>
      </c>
      <c r="BI1005" s="467"/>
      <c r="BJ1005" s="468"/>
    </row>
    <row r="1006" spans="1:62">
      <c r="A1006" s="469">
        <v>46054</v>
      </c>
      <c r="B1006" s="469" t="s">
        <v>747</v>
      </c>
      <c r="C1006" s="508"/>
      <c r="D1006" s="470" t="s">
        <v>749</v>
      </c>
      <c r="E1006" s="471">
        <v>2152</v>
      </c>
      <c r="F1006" s="470" t="s">
        <v>1285</v>
      </c>
      <c r="G1006" s="470" t="s">
        <v>751</v>
      </c>
      <c r="H1006" s="470" t="s">
        <v>12</v>
      </c>
      <c r="I1006" s="470" t="s">
        <v>1286</v>
      </c>
      <c r="J1006" s="472" t="s">
        <v>1287</v>
      </c>
      <c r="K1006" s="470" t="s">
        <v>1288</v>
      </c>
      <c r="L1006" s="470" t="s">
        <v>1165</v>
      </c>
      <c r="M1006" s="470" t="s">
        <v>1165</v>
      </c>
      <c r="N1006" s="470" t="s">
        <v>756</v>
      </c>
      <c r="O1006" s="472" t="s">
        <v>757</v>
      </c>
      <c r="P1006" s="472" t="s">
        <v>738</v>
      </c>
      <c r="Q1006" s="472" t="s">
        <v>758</v>
      </c>
      <c r="R1006" s="472" t="s">
        <v>12</v>
      </c>
      <c r="S1006" s="472" t="s">
        <v>12</v>
      </c>
      <c r="T1006" s="472" t="s">
        <v>1289</v>
      </c>
      <c r="U1006" s="470" t="s">
        <v>1290</v>
      </c>
      <c r="V1006" s="470" t="s">
        <v>761</v>
      </c>
      <c r="W1006" s="470" t="s">
        <v>898</v>
      </c>
      <c r="X1006" s="470">
        <v>28</v>
      </c>
      <c r="Y1006" s="470">
        <v>0</v>
      </c>
      <c r="Z1006" s="470">
        <v>0</v>
      </c>
      <c r="AA1006" s="470">
        <v>28</v>
      </c>
      <c r="AB1006" s="470">
        <v>28</v>
      </c>
      <c r="AC1006" s="473">
        <v>32760</v>
      </c>
      <c r="AD1006" s="473">
        <v>32760</v>
      </c>
      <c r="AE1006" s="473">
        <v>14742</v>
      </c>
      <c r="AF1006" s="473">
        <v>5897</v>
      </c>
      <c r="AG1006" s="473">
        <v>1600</v>
      </c>
      <c r="AH1006" s="473">
        <v>200</v>
      </c>
      <c r="AI1006" s="473">
        <v>1250</v>
      </c>
      <c r="AJ1006" s="473">
        <v>0</v>
      </c>
      <c r="AK1006" s="473">
        <v>0</v>
      </c>
      <c r="AL1006" s="473">
        <v>0</v>
      </c>
      <c r="AM1006" s="473">
        <v>0</v>
      </c>
      <c r="AN1006" s="473">
        <v>0</v>
      </c>
      <c r="AO1006" s="473">
        <v>0</v>
      </c>
      <c r="AP1006" s="473">
        <v>0</v>
      </c>
      <c r="AQ1006" s="473">
        <v>1769</v>
      </c>
      <c r="AR1006" s="473">
        <v>7302</v>
      </c>
      <c r="AS1006" s="473">
        <v>0</v>
      </c>
      <c r="AT1006" s="473">
        <v>0</v>
      </c>
      <c r="AU1006" s="473"/>
      <c r="AV1006" s="473">
        <v>32760</v>
      </c>
      <c r="AW1006" s="474">
        <v>32760</v>
      </c>
      <c r="AX1006" s="473"/>
      <c r="AY1006" s="473">
        <v>0</v>
      </c>
      <c r="AZ1006" s="475">
        <v>0</v>
      </c>
      <c r="BA1006" s="475">
        <v>300</v>
      </c>
      <c r="BB1006" s="475">
        <v>1769</v>
      </c>
      <c r="BC1006" s="475">
        <v>0</v>
      </c>
      <c r="BD1006" s="475">
        <v>0</v>
      </c>
      <c r="BE1006" s="475">
        <v>0</v>
      </c>
      <c r="BF1006" s="475">
        <v>0</v>
      </c>
      <c r="BG1006" s="475">
        <v>2069</v>
      </c>
      <c r="BH1006" s="476">
        <v>30691</v>
      </c>
      <c r="BI1006" s="467"/>
      <c r="BJ1006" s="468"/>
    </row>
    <row r="1007" spans="1:62">
      <c r="A1007" s="469">
        <v>46054</v>
      </c>
      <c r="B1007" s="469" t="s">
        <v>747</v>
      </c>
      <c r="C1007" s="508"/>
      <c r="D1007" s="470" t="s">
        <v>749</v>
      </c>
      <c r="E1007" s="471">
        <v>2281</v>
      </c>
      <c r="F1007" s="470" t="s">
        <v>1446</v>
      </c>
      <c r="G1007" s="470" t="s">
        <v>812</v>
      </c>
      <c r="H1007" s="470" t="s">
        <v>12</v>
      </c>
      <c r="I1007" s="470" t="s">
        <v>1447</v>
      </c>
      <c r="J1007" s="472" t="s">
        <v>1448</v>
      </c>
      <c r="K1007" s="470" t="s">
        <v>1449</v>
      </c>
      <c r="L1007" s="470" t="s">
        <v>1345</v>
      </c>
      <c r="M1007" s="470" t="s">
        <v>1345</v>
      </c>
      <c r="N1007" s="470" t="s">
        <v>1275</v>
      </c>
      <c r="O1007" s="472" t="s">
        <v>757</v>
      </c>
      <c r="P1007" s="472" t="s">
        <v>738</v>
      </c>
      <c r="Q1007" s="472" t="s">
        <v>758</v>
      </c>
      <c r="R1007" s="472" t="s">
        <v>12</v>
      </c>
      <c r="S1007" s="472" t="s">
        <v>12</v>
      </c>
      <c r="T1007" s="472" t="s">
        <v>1450</v>
      </c>
      <c r="U1007" s="470" t="s">
        <v>1451</v>
      </c>
      <c r="V1007" s="470" t="s">
        <v>761</v>
      </c>
      <c r="W1007" s="470" t="s">
        <v>1452</v>
      </c>
      <c r="X1007" s="470">
        <v>28</v>
      </c>
      <c r="Y1007" s="470">
        <v>0</v>
      </c>
      <c r="Z1007" s="470">
        <v>0</v>
      </c>
      <c r="AA1007" s="470">
        <v>28</v>
      </c>
      <c r="AB1007" s="470">
        <v>28</v>
      </c>
      <c r="AC1007" s="473">
        <v>81533</v>
      </c>
      <c r="AD1007" s="473">
        <v>81533</v>
      </c>
      <c r="AE1007" s="473">
        <v>36690</v>
      </c>
      <c r="AF1007" s="473">
        <v>14676</v>
      </c>
      <c r="AG1007" s="473">
        <v>1600</v>
      </c>
      <c r="AH1007" s="473">
        <v>200</v>
      </c>
      <c r="AI1007" s="473">
        <v>1250</v>
      </c>
      <c r="AJ1007" s="473">
        <v>3056</v>
      </c>
      <c r="AK1007" s="473">
        <v>7338</v>
      </c>
      <c r="AL1007" s="473">
        <v>5504</v>
      </c>
      <c r="AM1007" s="473">
        <v>367</v>
      </c>
      <c r="AN1007" s="473">
        <v>1284</v>
      </c>
      <c r="AO1007" s="473">
        <v>734</v>
      </c>
      <c r="AP1007" s="473">
        <v>183</v>
      </c>
      <c r="AQ1007" s="473">
        <v>1800</v>
      </c>
      <c r="AR1007" s="473">
        <v>6851</v>
      </c>
      <c r="AS1007" s="473">
        <v>0</v>
      </c>
      <c r="AT1007" s="473">
        <v>0</v>
      </c>
      <c r="AU1007" s="473"/>
      <c r="AV1007" s="473">
        <v>81533</v>
      </c>
      <c r="AW1007" s="474">
        <v>81533</v>
      </c>
      <c r="AX1007" s="473"/>
      <c r="AY1007" s="473">
        <v>0</v>
      </c>
      <c r="AZ1007" s="475">
        <v>0</v>
      </c>
      <c r="BA1007" s="475">
        <v>300</v>
      </c>
      <c r="BB1007" s="475">
        <v>1800</v>
      </c>
      <c r="BC1007" s="475">
        <v>0</v>
      </c>
      <c r="BD1007" s="475">
        <v>0</v>
      </c>
      <c r="BE1007" s="475">
        <v>0</v>
      </c>
      <c r="BF1007" s="475">
        <v>0</v>
      </c>
      <c r="BG1007" s="475">
        <v>2100</v>
      </c>
      <c r="BH1007" s="476">
        <v>79433</v>
      </c>
      <c r="BI1007" s="467"/>
      <c r="BJ1007" s="468"/>
    </row>
    <row r="1008" spans="1:62">
      <c r="A1008" s="469">
        <v>46054</v>
      </c>
      <c r="B1008" s="469" t="s">
        <v>747</v>
      </c>
      <c r="C1008" s="508"/>
      <c r="D1008" s="470" t="s">
        <v>749</v>
      </c>
      <c r="E1008" s="471">
        <v>1875</v>
      </c>
      <c r="F1008" s="470" t="s">
        <v>908</v>
      </c>
      <c r="G1008" s="470" t="s">
        <v>751</v>
      </c>
      <c r="H1008" s="470" t="s">
        <v>12</v>
      </c>
      <c r="I1008" s="470" t="s">
        <v>909</v>
      </c>
      <c r="J1008" s="472" t="s">
        <v>910</v>
      </c>
      <c r="K1008" s="470" t="s">
        <v>911</v>
      </c>
      <c r="L1008" s="470" t="s">
        <v>1338</v>
      </c>
      <c r="M1008" s="470" t="s">
        <v>776</v>
      </c>
      <c r="N1008" s="470" t="s">
        <v>1275</v>
      </c>
      <c r="O1008" s="472" t="s">
        <v>757</v>
      </c>
      <c r="P1008" s="472" t="s">
        <v>738</v>
      </c>
      <c r="Q1008" s="472" t="s">
        <v>758</v>
      </c>
      <c r="R1008" s="472" t="s">
        <v>12</v>
      </c>
      <c r="S1008" s="472" t="s">
        <v>12</v>
      </c>
      <c r="T1008" s="472" t="s">
        <v>912</v>
      </c>
      <c r="U1008" s="470" t="s">
        <v>913</v>
      </c>
      <c r="V1008" s="470" t="s">
        <v>761</v>
      </c>
      <c r="W1008" s="470" t="s">
        <v>859</v>
      </c>
      <c r="X1008" s="470">
        <v>28</v>
      </c>
      <c r="Y1008" s="470">
        <v>0</v>
      </c>
      <c r="Z1008" s="470">
        <v>1</v>
      </c>
      <c r="AA1008" s="470">
        <v>27</v>
      </c>
      <c r="AB1008" s="470">
        <v>27</v>
      </c>
      <c r="AC1008" s="473">
        <v>65840</v>
      </c>
      <c r="AD1008" s="473">
        <v>65840</v>
      </c>
      <c r="AE1008" s="473">
        <v>28570</v>
      </c>
      <c r="AF1008" s="473">
        <v>11428</v>
      </c>
      <c r="AG1008" s="473">
        <v>1543</v>
      </c>
      <c r="AH1008" s="473">
        <v>193</v>
      </c>
      <c r="AI1008" s="473">
        <v>1205</v>
      </c>
      <c r="AJ1008" s="473">
        <v>2380</v>
      </c>
      <c r="AK1008" s="473">
        <v>5714</v>
      </c>
      <c r="AL1008" s="473">
        <v>4286</v>
      </c>
      <c r="AM1008" s="473">
        <v>286</v>
      </c>
      <c r="AN1008" s="473">
        <v>1000</v>
      </c>
      <c r="AO1008" s="473">
        <v>571</v>
      </c>
      <c r="AP1008" s="473">
        <v>143</v>
      </c>
      <c r="AQ1008" s="473">
        <v>1800</v>
      </c>
      <c r="AR1008" s="473">
        <v>4370</v>
      </c>
      <c r="AS1008" s="473">
        <v>0</v>
      </c>
      <c r="AT1008" s="473">
        <v>0</v>
      </c>
      <c r="AU1008" s="473">
        <v>3083</v>
      </c>
      <c r="AV1008" s="473">
        <v>66572</v>
      </c>
      <c r="AW1008" s="474">
        <v>63489</v>
      </c>
      <c r="AX1008" s="473"/>
      <c r="AY1008" s="473">
        <v>0</v>
      </c>
      <c r="AZ1008" s="475">
        <v>0</v>
      </c>
      <c r="BA1008" s="475">
        <v>300</v>
      </c>
      <c r="BB1008" s="475">
        <v>1800</v>
      </c>
      <c r="BC1008" s="475">
        <v>0</v>
      </c>
      <c r="BD1008" s="475">
        <v>0</v>
      </c>
      <c r="BE1008" s="475">
        <v>0</v>
      </c>
      <c r="BF1008" s="475">
        <v>0</v>
      </c>
      <c r="BG1008" s="475">
        <v>2100</v>
      </c>
      <c r="BH1008" s="476">
        <v>64472</v>
      </c>
      <c r="BI1008" s="467"/>
      <c r="BJ1008" s="468"/>
    </row>
    <row r="1009" spans="1:62">
      <c r="A1009" s="469">
        <v>46054</v>
      </c>
      <c r="B1009" s="469" t="s">
        <v>747</v>
      </c>
      <c r="C1009" s="508"/>
      <c r="D1009" s="470" t="s">
        <v>749</v>
      </c>
      <c r="E1009" s="471">
        <v>1135</v>
      </c>
      <c r="F1009" s="470" t="s">
        <v>914</v>
      </c>
      <c r="G1009" s="470" t="s">
        <v>751</v>
      </c>
      <c r="H1009" s="470" t="s">
        <v>12</v>
      </c>
      <c r="I1009" s="470" t="s">
        <v>915</v>
      </c>
      <c r="J1009" s="472" t="s">
        <v>916</v>
      </c>
      <c r="K1009" s="470" t="s">
        <v>917</v>
      </c>
      <c r="L1009" s="470" t="s">
        <v>942</v>
      </c>
      <c r="M1009" s="470" t="s">
        <v>942</v>
      </c>
      <c r="N1009" s="470" t="s">
        <v>1275</v>
      </c>
      <c r="O1009" s="472" t="s">
        <v>792</v>
      </c>
      <c r="P1009" s="472" t="s">
        <v>738</v>
      </c>
      <c r="Q1009" s="472" t="s">
        <v>758</v>
      </c>
      <c r="R1009" s="472" t="s">
        <v>12</v>
      </c>
      <c r="S1009" s="472" t="s">
        <v>12</v>
      </c>
      <c r="T1009" s="472" t="s">
        <v>919</v>
      </c>
      <c r="U1009" s="470" t="s">
        <v>920</v>
      </c>
      <c r="V1009" s="470" t="s">
        <v>761</v>
      </c>
      <c r="W1009" s="470" t="s">
        <v>921</v>
      </c>
      <c r="X1009" s="470">
        <v>28</v>
      </c>
      <c r="Y1009" s="470">
        <v>0</v>
      </c>
      <c r="Z1009" s="470">
        <v>2</v>
      </c>
      <c r="AA1009" s="470">
        <v>26</v>
      </c>
      <c r="AB1009" s="470">
        <v>26</v>
      </c>
      <c r="AC1009" s="473">
        <v>169400</v>
      </c>
      <c r="AD1009" s="473">
        <v>169400</v>
      </c>
      <c r="AE1009" s="473">
        <v>70785</v>
      </c>
      <c r="AF1009" s="473">
        <v>28314</v>
      </c>
      <c r="AG1009" s="473">
        <v>1486</v>
      </c>
      <c r="AH1009" s="473">
        <v>186</v>
      </c>
      <c r="AI1009" s="473">
        <v>1161</v>
      </c>
      <c r="AJ1009" s="473">
        <v>5896</v>
      </c>
      <c r="AK1009" s="473">
        <v>14157</v>
      </c>
      <c r="AL1009" s="473">
        <v>10618</v>
      </c>
      <c r="AM1009" s="473">
        <v>708</v>
      </c>
      <c r="AN1009" s="473">
        <v>2477</v>
      </c>
      <c r="AO1009" s="473">
        <v>1416</v>
      </c>
      <c r="AP1009" s="473">
        <v>354</v>
      </c>
      <c r="AQ1009" s="473">
        <v>1800</v>
      </c>
      <c r="AR1009" s="473">
        <v>17942</v>
      </c>
      <c r="AS1009" s="473">
        <v>0</v>
      </c>
      <c r="AT1009" s="473">
        <v>0</v>
      </c>
      <c r="AU1009" s="473">
        <v>7879</v>
      </c>
      <c r="AV1009" s="473">
        <v>165179</v>
      </c>
      <c r="AW1009" s="474">
        <v>157300</v>
      </c>
      <c r="AX1009" s="473"/>
      <c r="AY1009" s="473">
        <v>0</v>
      </c>
      <c r="AZ1009" s="475">
        <v>15012</v>
      </c>
      <c r="BA1009" s="475">
        <v>300</v>
      </c>
      <c r="BB1009" s="475">
        <v>1800</v>
      </c>
      <c r="BC1009" s="475">
        <v>0</v>
      </c>
      <c r="BD1009" s="475">
        <v>0</v>
      </c>
      <c r="BE1009" s="475">
        <v>0</v>
      </c>
      <c r="BF1009" s="475">
        <v>0</v>
      </c>
      <c r="BG1009" s="475">
        <v>17112</v>
      </c>
      <c r="BH1009" s="476">
        <v>148067</v>
      </c>
      <c r="BI1009" s="467"/>
      <c r="BJ1009" s="468"/>
    </row>
    <row r="1010" spans="1:62">
      <c r="A1010" s="469">
        <v>46054</v>
      </c>
      <c r="B1010" s="469" t="s">
        <v>747</v>
      </c>
      <c r="C1010" s="508"/>
      <c r="D1010" s="470" t="s">
        <v>749</v>
      </c>
      <c r="E1010" s="471">
        <v>2272</v>
      </c>
      <c r="F1010" s="470" t="s">
        <v>1453</v>
      </c>
      <c r="G1010" s="470" t="s">
        <v>812</v>
      </c>
      <c r="H1010" s="470" t="s">
        <v>12</v>
      </c>
      <c r="I1010" s="470" t="s">
        <v>1426</v>
      </c>
      <c r="J1010" s="472" t="s">
        <v>1454</v>
      </c>
      <c r="K1010" s="470" t="s">
        <v>1455</v>
      </c>
      <c r="L1010" s="470" t="s">
        <v>824</v>
      </c>
      <c r="M1010" s="470" t="s">
        <v>824</v>
      </c>
      <c r="N1010" s="470" t="s">
        <v>1275</v>
      </c>
      <c r="O1010" s="472" t="s">
        <v>1276</v>
      </c>
      <c r="P1010" s="472" t="s">
        <v>738</v>
      </c>
      <c r="Q1010" s="472" t="s">
        <v>758</v>
      </c>
      <c r="R1010" s="472" t="s">
        <v>12</v>
      </c>
      <c r="S1010" s="472" t="s">
        <v>12</v>
      </c>
      <c r="T1010" s="472" t="s">
        <v>1456</v>
      </c>
      <c r="U1010" s="470" t="s">
        <v>1457</v>
      </c>
      <c r="V1010" s="470" t="s">
        <v>761</v>
      </c>
      <c r="W1010" s="470" t="s">
        <v>1458</v>
      </c>
      <c r="X1010" s="470">
        <v>28</v>
      </c>
      <c r="Y1010" s="470">
        <v>0</v>
      </c>
      <c r="Z1010" s="470">
        <v>0</v>
      </c>
      <c r="AA1010" s="470">
        <v>28</v>
      </c>
      <c r="AB1010" s="470">
        <v>28</v>
      </c>
      <c r="AC1010" s="473">
        <v>44033</v>
      </c>
      <c r="AD1010" s="473">
        <v>44033</v>
      </c>
      <c r="AE1010" s="473">
        <v>19815</v>
      </c>
      <c r="AF1010" s="473">
        <v>7926</v>
      </c>
      <c r="AG1010" s="473">
        <v>1600</v>
      </c>
      <c r="AH1010" s="473">
        <v>200</v>
      </c>
      <c r="AI1010" s="473">
        <v>1250</v>
      </c>
      <c r="AJ1010" s="473">
        <v>1651</v>
      </c>
      <c r="AK1010" s="473">
        <v>3963</v>
      </c>
      <c r="AL1010" s="473">
        <v>2972</v>
      </c>
      <c r="AM1010" s="473">
        <v>198</v>
      </c>
      <c r="AN1010" s="473">
        <v>694</v>
      </c>
      <c r="AO1010" s="473">
        <v>396</v>
      </c>
      <c r="AP1010" s="473">
        <v>99</v>
      </c>
      <c r="AQ1010" s="473">
        <v>1800</v>
      </c>
      <c r="AR1010" s="473">
        <v>1469</v>
      </c>
      <c r="AS1010" s="473">
        <v>0</v>
      </c>
      <c r="AT1010" s="473">
        <v>0</v>
      </c>
      <c r="AU1010" s="473">
        <v>937</v>
      </c>
      <c r="AV1010" s="473">
        <v>44970</v>
      </c>
      <c r="AW1010" s="474">
        <v>44033</v>
      </c>
      <c r="AX1010" s="473"/>
      <c r="AY1010" s="473">
        <v>0</v>
      </c>
      <c r="AZ1010" s="475">
        <v>0</v>
      </c>
      <c r="BA1010" s="475">
        <v>300</v>
      </c>
      <c r="BB1010" s="475">
        <v>1800</v>
      </c>
      <c r="BC1010" s="475">
        <v>0</v>
      </c>
      <c r="BD1010" s="475">
        <v>0</v>
      </c>
      <c r="BE1010" s="475">
        <v>0</v>
      </c>
      <c r="BF1010" s="475">
        <v>0</v>
      </c>
      <c r="BG1010" s="475">
        <v>2100</v>
      </c>
      <c r="BH1010" s="476">
        <v>42870</v>
      </c>
      <c r="BI1010" s="467"/>
      <c r="BJ1010" s="468"/>
    </row>
    <row r="1011" spans="1:62">
      <c r="A1011" s="469">
        <v>46054</v>
      </c>
      <c r="B1011" s="469" t="s">
        <v>747</v>
      </c>
      <c r="C1011" s="508"/>
      <c r="D1011" s="470" t="s">
        <v>749</v>
      </c>
      <c r="E1011" s="471">
        <v>726</v>
      </c>
      <c r="F1011" s="470" t="s">
        <v>930</v>
      </c>
      <c r="G1011" s="470" t="s">
        <v>812</v>
      </c>
      <c r="H1011" s="470" t="s">
        <v>12</v>
      </c>
      <c r="I1011" s="470" t="s">
        <v>931</v>
      </c>
      <c r="J1011" s="472" t="s">
        <v>932</v>
      </c>
      <c r="K1011" s="470" t="s">
        <v>933</v>
      </c>
      <c r="L1011" s="470" t="s">
        <v>934</v>
      </c>
      <c r="M1011" s="470" t="s">
        <v>934</v>
      </c>
      <c r="N1011" s="470" t="s">
        <v>1075</v>
      </c>
      <c r="O1011" s="472" t="s">
        <v>757</v>
      </c>
      <c r="P1011" s="472" t="s">
        <v>738</v>
      </c>
      <c r="Q1011" s="472" t="s">
        <v>758</v>
      </c>
      <c r="R1011" s="472" t="s">
        <v>12</v>
      </c>
      <c r="S1011" s="472" t="s">
        <v>12</v>
      </c>
      <c r="T1011" s="472" t="s">
        <v>935</v>
      </c>
      <c r="U1011" s="470" t="s">
        <v>936</v>
      </c>
      <c r="V1011" s="470" t="s">
        <v>761</v>
      </c>
      <c r="W1011" s="470" t="s">
        <v>762</v>
      </c>
      <c r="X1011" s="470">
        <v>28</v>
      </c>
      <c r="Y1011" s="470">
        <v>0</v>
      </c>
      <c r="Z1011" s="470">
        <v>0</v>
      </c>
      <c r="AA1011" s="470">
        <v>28</v>
      </c>
      <c r="AB1011" s="470">
        <v>28</v>
      </c>
      <c r="AC1011" s="473">
        <v>27904</v>
      </c>
      <c r="AD1011" s="473">
        <v>27904</v>
      </c>
      <c r="AE1011" s="473">
        <v>12557</v>
      </c>
      <c r="AF1011" s="473">
        <v>5023</v>
      </c>
      <c r="AG1011" s="473">
        <v>1600</v>
      </c>
      <c r="AH1011" s="473">
        <v>200</v>
      </c>
      <c r="AI1011" s="473">
        <v>1250</v>
      </c>
      <c r="AJ1011" s="473">
        <v>0</v>
      </c>
      <c r="AK1011" s="473">
        <v>0</v>
      </c>
      <c r="AL1011" s="473">
        <v>0</v>
      </c>
      <c r="AM1011" s="473">
        <v>0</v>
      </c>
      <c r="AN1011" s="473">
        <v>0</v>
      </c>
      <c r="AO1011" s="473">
        <v>0</v>
      </c>
      <c r="AP1011" s="473">
        <v>0</v>
      </c>
      <c r="AQ1011" s="473">
        <v>1507</v>
      </c>
      <c r="AR1011" s="473">
        <v>5767</v>
      </c>
      <c r="AS1011" s="473">
        <v>0</v>
      </c>
      <c r="AT1011" s="473">
        <v>0</v>
      </c>
      <c r="AU1011" s="473"/>
      <c r="AV1011" s="473">
        <v>27904</v>
      </c>
      <c r="AW1011" s="474">
        <v>27904</v>
      </c>
      <c r="AX1011" s="473"/>
      <c r="AY1011" s="473">
        <v>0</v>
      </c>
      <c r="AZ1011" s="475">
        <v>0</v>
      </c>
      <c r="BA1011" s="475">
        <v>300</v>
      </c>
      <c r="BB1011" s="475">
        <v>1507</v>
      </c>
      <c r="BC1011" s="475">
        <v>0</v>
      </c>
      <c r="BD1011" s="475">
        <v>0</v>
      </c>
      <c r="BE1011" s="475">
        <v>0</v>
      </c>
      <c r="BF1011" s="475">
        <v>0</v>
      </c>
      <c r="BG1011" s="475">
        <v>1807</v>
      </c>
      <c r="BH1011" s="476">
        <v>26097</v>
      </c>
      <c r="BI1011" s="467"/>
      <c r="BJ1011" s="468"/>
    </row>
    <row r="1012" spans="1:62">
      <c r="A1012" s="469">
        <v>46054</v>
      </c>
      <c r="B1012" s="469" t="s">
        <v>747</v>
      </c>
      <c r="C1012" s="508"/>
      <c r="D1012" s="470" t="s">
        <v>749</v>
      </c>
      <c r="E1012" s="471">
        <v>1722</v>
      </c>
      <c r="F1012" s="470" t="s">
        <v>937</v>
      </c>
      <c r="G1012" s="470" t="s">
        <v>751</v>
      </c>
      <c r="H1012" s="470" t="s">
        <v>12</v>
      </c>
      <c r="I1012" s="470" t="s">
        <v>938</v>
      </c>
      <c r="J1012" s="472" t="s">
        <v>939</v>
      </c>
      <c r="K1012" s="470" t="s">
        <v>940</v>
      </c>
      <c r="L1012" s="470" t="s">
        <v>941</v>
      </c>
      <c r="M1012" s="470" t="s">
        <v>941</v>
      </c>
      <c r="N1012" s="470" t="s">
        <v>756</v>
      </c>
      <c r="O1012" s="472" t="s">
        <v>943</v>
      </c>
      <c r="P1012" s="472" t="s">
        <v>738</v>
      </c>
      <c r="Q1012" s="472" t="s">
        <v>758</v>
      </c>
      <c r="R1012" s="472" t="s">
        <v>12</v>
      </c>
      <c r="S1012" s="472" t="s">
        <v>12</v>
      </c>
      <c r="T1012" s="472" t="s">
        <v>944</v>
      </c>
      <c r="U1012" s="470" t="s">
        <v>945</v>
      </c>
      <c r="V1012" s="470" t="s">
        <v>761</v>
      </c>
      <c r="W1012" s="470" t="s">
        <v>946</v>
      </c>
      <c r="X1012" s="470">
        <v>28</v>
      </c>
      <c r="Y1012" s="470">
        <v>0</v>
      </c>
      <c r="Z1012" s="470">
        <v>0</v>
      </c>
      <c r="AA1012" s="470">
        <v>28</v>
      </c>
      <c r="AB1012" s="470">
        <v>28</v>
      </c>
      <c r="AC1012" s="473">
        <v>434795</v>
      </c>
      <c r="AD1012" s="473">
        <v>434795</v>
      </c>
      <c r="AE1012" s="473">
        <v>195658</v>
      </c>
      <c r="AF1012" s="473">
        <v>78263</v>
      </c>
      <c r="AG1012" s="473">
        <v>1600</v>
      </c>
      <c r="AH1012" s="473">
        <v>200</v>
      </c>
      <c r="AI1012" s="473">
        <v>1250</v>
      </c>
      <c r="AJ1012" s="473">
        <v>16298</v>
      </c>
      <c r="AK1012" s="473">
        <v>39132</v>
      </c>
      <c r="AL1012" s="473">
        <v>29349</v>
      </c>
      <c r="AM1012" s="473">
        <v>1957</v>
      </c>
      <c r="AN1012" s="473">
        <v>6848</v>
      </c>
      <c r="AO1012" s="473">
        <v>3913</v>
      </c>
      <c r="AP1012" s="473">
        <v>978</v>
      </c>
      <c r="AQ1012" s="473">
        <v>1800</v>
      </c>
      <c r="AR1012" s="473">
        <v>57549</v>
      </c>
      <c r="AS1012" s="473">
        <v>0</v>
      </c>
      <c r="AT1012" s="473">
        <v>0</v>
      </c>
      <c r="AU1012" s="473"/>
      <c r="AV1012" s="473">
        <v>434795</v>
      </c>
      <c r="AW1012" s="474">
        <v>434795</v>
      </c>
      <c r="AX1012" s="473"/>
      <c r="AY1012" s="473">
        <v>0</v>
      </c>
      <c r="AZ1012" s="475">
        <v>93999</v>
      </c>
      <c r="BA1012" s="475">
        <v>300</v>
      </c>
      <c r="BB1012" s="475">
        <v>1800</v>
      </c>
      <c r="BC1012" s="475">
        <v>0</v>
      </c>
      <c r="BD1012" s="475">
        <v>0</v>
      </c>
      <c r="BE1012" s="475">
        <v>0</v>
      </c>
      <c r="BF1012" s="475">
        <v>0</v>
      </c>
      <c r="BG1012" s="475">
        <v>96099</v>
      </c>
      <c r="BH1012" s="476">
        <v>338696</v>
      </c>
      <c r="BI1012" s="467"/>
      <c r="BJ1012" s="468"/>
    </row>
    <row r="1013" spans="1:62">
      <c r="A1013" s="469">
        <v>46054</v>
      </c>
      <c r="B1013" s="469" t="s">
        <v>747</v>
      </c>
      <c r="C1013" s="508"/>
      <c r="D1013" s="470" t="s">
        <v>749</v>
      </c>
      <c r="E1013" s="471">
        <v>2241</v>
      </c>
      <c r="F1013" s="470" t="s">
        <v>1407</v>
      </c>
      <c r="G1013" s="470" t="s">
        <v>812</v>
      </c>
      <c r="H1013" s="470" t="s">
        <v>12</v>
      </c>
      <c r="I1013" s="470" t="s">
        <v>1408</v>
      </c>
      <c r="J1013" s="472" t="s">
        <v>1409</v>
      </c>
      <c r="K1013" s="470" t="s">
        <v>1410</v>
      </c>
      <c r="L1013" s="470" t="s">
        <v>1411</v>
      </c>
      <c r="M1013" s="470" t="s">
        <v>1411</v>
      </c>
      <c r="N1013" s="470" t="s">
        <v>1275</v>
      </c>
      <c r="O1013" s="472" t="s">
        <v>757</v>
      </c>
      <c r="P1013" s="472" t="s">
        <v>738</v>
      </c>
      <c r="Q1013" s="472" t="s">
        <v>758</v>
      </c>
      <c r="R1013" s="472" t="s">
        <v>12</v>
      </c>
      <c r="S1013" s="472" t="s">
        <v>12</v>
      </c>
      <c r="T1013" s="472" t="s">
        <v>1412</v>
      </c>
      <c r="U1013" s="470" t="s">
        <v>1413</v>
      </c>
      <c r="V1013" s="470" t="s">
        <v>761</v>
      </c>
      <c r="W1013" s="470" t="s">
        <v>1414</v>
      </c>
      <c r="X1013" s="470">
        <v>28</v>
      </c>
      <c r="Y1013" s="470">
        <v>0</v>
      </c>
      <c r="Z1013" s="470">
        <v>0</v>
      </c>
      <c r="AA1013" s="470">
        <v>28</v>
      </c>
      <c r="AB1013" s="470">
        <v>28</v>
      </c>
      <c r="AC1013" s="473">
        <v>47367</v>
      </c>
      <c r="AD1013" s="473">
        <v>47367</v>
      </c>
      <c r="AE1013" s="473">
        <v>21315</v>
      </c>
      <c r="AF1013" s="473">
        <v>8526</v>
      </c>
      <c r="AG1013" s="473">
        <v>1600</v>
      </c>
      <c r="AH1013" s="473">
        <v>200</v>
      </c>
      <c r="AI1013" s="473">
        <v>1250</v>
      </c>
      <c r="AJ1013" s="473">
        <v>1776</v>
      </c>
      <c r="AK1013" s="473">
        <v>4263</v>
      </c>
      <c r="AL1013" s="473">
        <v>3197</v>
      </c>
      <c r="AM1013" s="473">
        <v>213</v>
      </c>
      <c r="AN1013" s="473">
        <v>746</v>
      </c>
      <c r="AO1013" s="473">
        <v>426</v>
      </c>
      <c r="AP1013" s="473">
        <v>107</v>
      </c>
      <c r="AQ1013" s="473">
        <v>1800</v>
      </c>
      <c r="AR1013" s="473">
        <v>1948</v>
      </c>
      <c r="AS1013" s="473">
        <v>0</v>
      </c>
      <c r="AT1013" s="473">
        <v>0</v>
      </c>
      <c r="AU1013" s="473"/>
      <c r="AV1013" s="473">
        <v>47367</v>
      </c>
      <c r="AW1013" s="474">
        <v>47367</v>
      </c>
      <c r="AX1013" s="473"/>
      <c r="AY1013" s="473">
        <v>0</v>
      </c>
      <c r="AZ1013" s="475">
        <v>0</v>
      </c>
      <c r="BA1013" s="475">
        <v>300</v>
      </c>
      <c r="BB1013" s="475">
        <v>1800</v>
      </c>
      <c r="BC1013" s="475">
        <v>0</v>
      </c>
      <c r="BD1013" s="475">
        <v>0</v>
      </c>
      <c r="BE1013" s="475">
        <v>0</v>
      </c>
      <c r="BF1013" s="475">
        <v>0</v>
      </c>
      <c r="BG1013" s="475">
        <v>2100</v>
      </c>
      <c r="BH1013" s="476">
        <v>45267</v>
      </c>
      <c r="BI1013" s="467"/>
      <c r="BJ1013" s="468"/>
    </row>
    <row r="1014" spans="1:62">
      <c r="A1014" s="469">
        <v>46054</v>
      </c>
      <c r="B1014" s="469" t="s">
        <v>747</v>
      </c>
      <c r="C1014" s="508"/>
      <c r="D1014" s="470" t="s">
        <v>749</v>
      </c>
      <c r="E1014" s="471">
        <v>382</v>
      </c>
      <c r="F1014" s="470" t="s">
        <v>953</v>
      </c>
      <c r="G1014" s="470" t="s">
        <v>751</v>
      </c>
      <c r="H1014" s="470" t="s">
        <v>12</v>
      </c>
      <c r="I1014" s="470" t="s">
        <v>954</v>
      </c>
      <c r="J1014" s="472" t="s">
        <v>955</v>
      </c>
      <c r="K1014" s="470" t="s">
        <v>956</v>
      </c>
      <c r="L1014" s="470" t="s">
        <v>1305</v>
      </c>
      <c r="M1014" s="470" t="s">
        <v>1305</v>
      </c>
      <c r="N1014" s="470" t="s">
        <v>833</v>
      </c>
      <c r="O1014" s="472" t="s">
        <v>757</v>
      </c>
      <c r="P1014" s="472" t="s">
        <v>738</v>
      </c>
      <c r="Q1014" s="472" t="s">
        <v>758</v>
      </c>
      <c r="R1014" s="472" t="s">
        <v>12</v>
      </c>
      <c r="S1014" s="472" t="s">
        <v>12</v>
      </c>
      <c r="T1014" s="472" t="s">
        <v>958</v>
      </c>
      <c r="U1014" s="470" t="s">
        <v>959</v>
      </c>
      <c r="V1014" s="470" t="s">
        <v>761</v>
      </c>
      <c r="W1014" s="470" t="s">
        <v>960</v>
      </c>
      <c r="X1014" s="470">
        <v>28</v>
      </c>
      <c r="Y1014" s="470">
        <v>0</v>
      </c>
      <c r="Z1014" s="470">
        <v>0.5</v>
      </c>
      <c r="AA1014" s="470">
        <v>27.5</v>
      </c>
      <c r="AB1014" s="470">
        <v>27.5</v>
      </c>
      <c r="AC1014" s="473">
        <v>36950</v>
      </c>
      <c r="AD1014" s="473">
        <v>36950</v>
      </c>
      <c r="AE1014" s="473">
        <v>16331</v>
      </c>
      <c r="AF1014" s="473">
        <v>6532</v>
      </c>
      <c r="AG1014" s="473">
        <v>1571</v>
      </c>
      <c r="AH1014" s="473">
        <v>196</v>
      </c>
      <c r="AI1014" s="473">
        <v>1228</v>
      </c>
      <c r="AJ1014" s="473">
        <v>0</v>
      </c>
      <c r="AK1014" s="473">
        <v>0</v>
      </c>
      <c r="AL1014" s="473">
        <v>0</v>
      </c>
      <c r="AM1014" s="473">
        <v>0</v>
      </c>
      <c r="AN1014" s="473">
        <v>0</v>
      </c>
      <c r="AO1014" s="473">
        <v>0</v>
      </c>
      <c r="AP1014" s="473">
        <v>0</v>
      </c>
      <c r="AQ1014" s="473">
        <v>1800</v>
      </c>
      <c r="AR1014" s="473">
        <v>8632</v>
      </c>
      <c r="AS1014" s="473">
        <v>0</v>
      </c>
      <c r="AT1014" s="473">
        <v>0</v>
      </c>
      <c r="AU1014" s="473">
        <v>5511</v>
      </c>
      <c r="AV1014" s="473">
        <v>41801</v>
      </c>
      <c r="AW1014" s="474">
        <v>36290</v>
      </c>
      <c r="AX1014" s="473"/>
      <c r="AY1014" s="473">
        <v>0</v>
      </c>
      <c r="AZ1014" s="475">
        <v>0</v>
      </c>
      <c r="BA1014" s="475">
        <v>300</v>
      </c>
      <c r="BB1014" s="475">
        <v>1800</v>
      </c>
      <c r="BC1014" s="475">
        <v>0</v>
      </c>
      <c r="BD1014" s="475">
        <v>0</v>
      </c>
      <c r="BE1014" s="475">
        <v>0</v>
      </c>
      <c r="BF1014" s="475">
        <v>0</v>
      </c>
      <c r="BG1014" s="475">
        <v>2100</v>
      </c>
      <c r="BH1014" s="476">
        <v>39701</v>
      </c>
      <c r="BI1014" s="467"/>
      <c r="BJ1014" s="468"/>
    </row>
    <row r="1015" spans="1:62">
      <c r="A1015" s="469">
        <v>46054</v>
      </c>
      <c r="B1015" s="469" t="s">
        <v>747</v>
      </c>
      <c r="C1015" s="508"/>
      <c r="D1015" s="470" t="s">
        <v>749</v>
      </c>
      <c r="E1015" s="471">
        <v>511</v>
      </c>
      <c r="F1015" s="470" t="s">
        <v>961</v>
      </c>
      <c r="G1015" s="470" t="s">
        <v>751</v>
      </c>
      <c r="H1015" s="470" t="s">
        <v>12</v>
      </c>
      <c r="I1015" s="470" t="s">
        <v>962</v>
      </c>
      <c r="J1015" s="472" t="s">
        <v>963</v>
      </c>
      <c r="K1015" s="470" t="s">
        <v>964</v>
      </c>
      <c r="L1015" s="470" t="s">
        <v>776</v>
      </c>
      <c r="M1015" s="470" t="s">
        <v>776</v>
      </c>
      <c r="N1015" s="470" t="s">
        <v>1075</v>
      </c>
      <c r="O1015" s="472" t="s">
        <v>757</v>
      </c>
      <c r="P1015" s="472" t="s">
        <v>738</v>
      </c>
      <c r="Q1015" s="472" t="s">
        <v>758</v>
      </c>
      <c r="R1015" s="472" t="s">
        <v>12</v>
      </c>
      <c r="S1015" s="472" t="s">
        <v>12</v>
      </c>
      <c r="T1015" s="472" t="s">
        <v>965</v>
      </c>
      <c r="U1015" s="470" t="s">
        <v>966</v>
      </c>
      <c r="V1015" s="470" t="s">
        <v>761</v>
      </c>
      <c r="W1015" s="470" t="s">
        <v>845</v>
      </c>
      <c r="X1015" s="470">
        <v>28</v>
      </c>
      <c r="Y1015" s="470">
        <v>0</v>
      </c>
      <c r="Z1015" s="470">
        <v>0</v>
      </c>
      <c r="AA1015" s="470">
        <v>28</v>
      </c>
      <c r="AB1015" s="470">
        <v>28</v>
      </c>
      <c r="AC1015" s="473">
        <v>43308</v>
      </c>
      <c r="AD1015" s="473">
        <v>43308</v>
      </c>
      <c r="AE1015" s="473">
        <v>19489</v>
      </c>
      <c r="AF1015" s="473">
        <v>7796</v>
      </c>
      <c r="AG1015" s="473">
        <v>1600</v>
      </c>
      <c r="AH1015" s="473">
        <v>200</v>
      </c>
      <c r="AI1015" s="473">
        <v>1250</v>
      </c>
      <c r="AJ1015" s="473">
        <v>1623</v>
      </c>
      <c r="AK1015" s="473">
        <v>3898</v>
      </c>
      <c r="AL1015" s="473">
        <v>2923</v>
      </c>
      <c r="AM1015" s="473">
        <v>195</v>
      </c>
      <c r="AN1015" s="473">
        <v>682</v>
      </c>
      <c r="AO1015" s="473">
        <v>390</v>
      </c>
      <c r="AP1015" s="473">
        <v>97</v>
      </c>
      <c r="AQ1015" s="473">
        <v>1800</v>
      </c>
      <c r="AR1015" s="473">
        <v>1365</v>
      </c>
      <c r="AS1015" s="473">
        <v>0</v>
      </c>
      <c r="AT1015" s="473">
        <v>0</v>
      </c>
      <c r="AU1015" s="473">
        <v>2696</v>
      </c>
      <c r="AV1015" s="473">
        <v>46004</v>
      </c>
      <c r="AW1015" s="474">
        <v>43308</v>
      </c>
      <c r="AX1015" s="473"/>
      <c r="AY1015" s="473">
        <v>0</v>
      </c>
      <c r="AZ1015" s="475">
        <v>0</v>
      </c>
      <c r="BA1015" s="475">
        <v>300</v>
      </c>
      <c r="BB1015" s="475">
        <v>1800</v>
      </c>
      <c r="BC1015" s="475">
        <v>0</v>
      </c>
      <c r="BD1015" s="475">
        <v>0</v>
      </c>
      <c r="BE1015" s="475">
        <v>0</v>
      </c>
      <c r="BF1015" s="475">
        <v>0</v>
      </c>
      <c r="BG1015" s="475">
        <v>2100</v>
      </c>
      <c r="BH1015" s="476">
        <v>43904</v>
      </c>
      <c r="BI1015" s="467"/>
      <c r="BJ1015" s="468"/>
    </row>
    <row r="1016" spans="1:62">
      <c r="A1016" s="469">
        <v>46054</v>
      </c>
      <c r="B1016" s="469" t="s">
        <v>747</v>
      </c>
      <c r="C1016" s="508"/>
      <c r="D1016" s="470" t="s">
        <v>749</v>
      </c>
      <c r="E1016" s="471">
        <v>2062</v>
      </c>
      <c r="F1016" s="470" t="s">
        <v>967</v>
      </c>
      <c r="G1016" s="470" t="s">
        <v>751</v>
      </c>
      <c r="H1016" s="470" t="s">
        <v>12</v>
      </c>
      <c r="I1016" s="470" t="s">
        <v>968</v>
      </c>
      <c r="J1016" s="472" t="s">
        <v>969</v>
      </c>
      <c r="K1016" s="470" t="s">
        <v>970</v>
      </c>
      <c r="L1016" s="470" t="s">
        <v>971</v>
      </c>
      <c r="M1016" s="470" t="s">
        <v>971</v>
      </c>
      <c r="N1016" s="470" t="s">
        <v>756</v>
      </c>
      <c r="O1016" s="472" t="s">
        <v>792</v>
      </c>
      <c r="P1016" s="472" t="s">
        <v>738</v>
      </c>
      <c r="Q1016" s="472" t="s">
        <v>758</v>
      </c>
      <c r="R1016" s="472" t="s">
        <v>12</v>
      </c>
      <c r="S1016" s="472" t="s">
        <v>12</v>
      </c>
      <c r="T1016" s="472" t="s">
        <v>972</v>
      </c>
      <c r="U1016" s="470" t="s">
        <v>1362</v>
      </c>
      <c r="V1016" s="470" t="s">
        <v>761</v>
      </c>
      <c r="W1016" s="470" t="s">
        <v>974</v>
      </c>
      <c r="X1016" s="470">
        <v>28</v>
      </c>
      <c r="Y1016" s="470">
        <v>0</v>
      </c>
      <c r="Z1016" s="470">
        <v>0</v>
      </c>
      <c r="AA1016" s="470">
        <v>28</v>
      </c>
      <c r="AB1016" s="470">
        <v>28</v>
      </c>
      <c r="AC1016" s="473">
        <v>181533</v>
      </c>
      <c r="AD1016" s="473">
        <v>181533</v>
      </c>
      <c r="AE1016" s="473">
        <v>81690</v>
      </c>
      <c r="AF1016" s="473">
        <v>32676</v>
      </c>
      <c r="AG1016" s="473">
        <v>1600</v>
      </c>
      <c r="AH1016" s="473">
        <v>200</v>
      </c>
      <c r="AI1016" s="473">
        <v>1250</v>
      </c>
      <c r="AJ1016" s="473">
        <v>6805</v>
      </c>
      <c r="AK1016" s="473">
        <v>16338</v>
      </c>
      <c r="AL1016" s="473">
        <v>12254</v>
      </c>
      <c r="AM1016" s="473">
        <v>817</v>
      </c>
      <c r="AN1016" s="473">
        <v>2859</v>
      </c>
      <c r="AO1016" s="473">
        <v>1634</v>
      </c>
      <c r="AP1016" s="473">
        <v>408</v>
      </c>
      <c r="AQ1016" s="473">
        <v>1800</v>
      </c>
      <c r="AR1016" s="473">
        <v>21202</v>
      </c>
      <c r="AS1016" s="473">
        <v>0</v>
      </c>
      <c r="AT1016" s="473">
        <v>0</v>
      </c>
      <c r="AU1016" s="473">
        <v>787</v>
      </c>
      <c r="AV1016" s="473">
        <v>182320</v>
      </c>
      <c r="AW1016" s="474">
        <v>181533</v>
      </c>
      <c r="AX1016" s="473"/>
      <c r="AY1016" s="473">
        <v>0</v>
      </c>
      <c r="AZ1016" s="475">
        <v>14863</v>
      </c>
      <c r="BA1016" s="475">
        <v>300</v>
      </c>
      <c r="BB1016" s="475">
        <v>1800</v>
      </c>
      <c r="BC1016" s="475">
        <v>0</v>
      </c>
      <c r="BD1016" s="475">
        <v>0</v>
      </c>
      <c r="BE1016" s="475">
        <v>0</v>
      </c>
      <c r="BF1016" s="475">
        <v>0</v>
      </c>
      <c r="BG1016" s="475">
        <v>16963</v>
      </c>
      <c r="BH1016" s="476">
        <v>165357</v>
      </c>
      <c r="BI1016" s="467"/>
      <c r="BJ1016" s="468"/>
    </row>
    <row r="1017" spans="1:62">
      <c r="A1017" s="469">
        <v>46054</v>
      </c>
      <c r="B1017" s="469" t="s">
        <v>747</v>
      </c>
      <c r="C1017" s="508"/>
      <c r="D1017" s="470" t="s">
        <v>749</v>
      </c>
      <c r="E1017" s="471">
        <v>2300</v>
      </c>
      <c r="F1017" s="470" t="s">
        <v>1522</v>
      </c>
      <c r="G1017" s="470" t="s">
        <v>751</v>
      </c>
      <c r="H1017" s="470" t="s">
        <v>12</v>
      </c>
      <c r="I1017" s="470" t="s">
        <v>1523</v>
      </c>
      <c r="J1017" s="472" t="s">
        <v>1524</v>
      </c>
      <c r="K1017" s="470" t="s">
        <v>1525</v>
      </c>
      <c r="L1017" s="470" t="s">
        <v>971</v>
      </c>
      <c r="M1017" s="470" t="s">
        <v>1512</v>
      </c>
      <c r="N1017" s="470" t="s">
        <v>1275</v>
      </c>
      <c r="O1017" s="472" t="s">
        <v>792</v>
      </c>
      <c r="P1017" s="472" t="s">
        <v>738</v>
      </c>
      <c r="Q1017" s="472" t="s">
        <v>758</v>
      </c>
      <c r="R1017" s="472" t="s">
        <v>12</v>
      </c>
      <c r="S1017" s="472" t="s">
        <v>12</v>
      </c>
      <c r="T1017" s="472" t="s">
        <v>1526</v>
      </c>
      <c r="U1017" s="470" t="s">
        <v>1527</v>
      </c>
      <c r="V1017" s="470" t="s">
        <v>761</v>
      </c>
      <c r="W1017" s="470" t="s">
        <v>845</v>
      </c>
      <c r="X1017" s="470">
        <v>28</v>
      </c>
      <c r="Y1017" s="470">
        <v>0</v>
      </c>
      <c r="Z1017" s="470">
        <v>0</v>
      </c>
      <c r="AA1017" s="470">
        <v>28</v>
      </c>
      <c r="AB1017" s="470">
        <v>28</v>
      </c>
      <c r="AC1017" s="473">
        <v>142367</v>
      </c>
      <c r="AD1017" s="473">
        <v>142367</v>
      </c>
      <c r="AE1017" s="473">
        <v>64065</v>
      </c>
      <c r="AF1017" s="473">
        <v>25626</v>
      </c>
      <c r="AG1017" s="473">
        <v>1600</v>
      </c>
      <c r="AH1017" s="473">
        <v>200</v>
      </c>
      <c r="AI1017" s="473">
        <v>1250</v>
      </c>
      <c r="AJ1017" s="473">
        <v>5337</v>
      </c>
      <c r="AK1017" s="473">
        <v>12813</v>
      </c>
      <c r="AL1017" s="473">
        <v>9610</v>
      </c>
      <c r="AM1017" s="473">
        <v>641</v>
      </c>
      <c r="AN1017" s="473">
        <v>2242</v>
      </c>
      <c r="AO1017" s="473">
        <v>1281</v>
      </c>
      <c r="AP1017" s="473">
        <v>320</v>
      </c>
      <c r="AQ1017" s="473">
        <v>1800</v>
      </c>
      <c r="AR1017" s="473">
        <v>15582</v>
      </c>
      <c r="AS1017" s="473">
        <v>0</v>
      </c>
      <c r="AT1017" s="473">
        <v>0</v>
      </c>
      <c r="AU1017" s="473">
        <v>2618</v>
      </c>
      <c r="AV1017" s="473">
        <v>144985</v>
      </c>
      <c r="AW1017" s="474">
        <v>142367</v>
      </c>
      <c r="AX1017" s="473"/>
      <c r="AY1017" s="473">
        <v>0</v>
      </c>
      <c r="AZ1017" s="475">
        <v>0</v>
      </c>
      <c r="BA1017" s="475">
        <v>300</v>
      </c>
      <c r="BB1017" s="475">
        <v>1800</v>
      </c>
      <c r="BC1017" s="475">
        <v>0</v>
      </c>
      <c r="BD1017" s="475">
        <v>0</v>
      </c>
      <c r="BE1017" s="475">
        <v>0</v>
      </c>
      <c r="BF1017" s="475">
        <v>0</v>
      </c>
      <c r="BG1017" s="475">
        <v>2100</v>
      </c>
      <c r="BH1017" s="476">
        <v>142885</v>
      </c>
      <c r="BI1017" s="467"/>
      <c r="BJ1017" s="468"/>
    </row>
    <row r="1018" spans="1:62">
      <c r="A1018" s="469">
        <v>46054</v>
      </c>
      <c r="B1018" s="469" t="s">
        <v>747</v>
      </c>
      <c r="C1018" s="508"/>
      <c r="D1018" s="470" t="s">
        <v>749</v>
      </c>
      <c r="E1018" s="471">
        <v>2282</v>
      </c>
      <c r="F1018" s="470" t="s">
        <v>1459</v>
      </c>
      <c r="G1018" s="470" t="s">
        <v>812</v>
      </c>
      <c r="H1018" s="470" t="s">
        <v>12</v>
      </c>
      <c r="I1018" s="470" t="s">
        <v>1447</v>
      </c>
      <c r="J1018" s="472" t="s">
        <v>1460</v>
      </c>
      <c r="K1018" s="470" t="s">
        <v>1461</v>
      </c>
      <c r="L1018" s="470" t="s">
        <v>1345</v>
      </c>
      <c r="M1018" s="470" t="s">
        <v>994</v>
      </c>
      <c r="N1018" s="470" t="s">
        <v>1275</v>
      </c>
      <c r="O1018" s="472" t="s">
        <v>757</v>
      </c>
      <c r="P1018" s="472" t="s">
        <v>738</v>
      </c>
      <c r="Q1018" s="472" t="s">
        <v>758</v>
      </c>
      <c r="R1018" s="472" t="s">
        <v>12</v>
      </c>
      <c r="S1018" s="472" t="s">
        <v>12</v>
      </c>
      <c r="T1018" s="472" t="s">
        <v>1462</v>
      </c>
      <c r="U1018" s="470" t="s">
        <v>1463</v>
      </c>
      <c r="V1018" s="470" t="s">
        <v>761</v>
      </c>
      <c r="W1018" s="470" t="s">
        <v>1464</v>
      </c>
      <c r="X1018" s="470">
        <v>28</v>
      </c>
      <c r="Y1018" s="470">
        <v>0</v>
      </c>
      <c r="Z1018" s="470">
        <v>0</v>
      </c>
      <c r="AA1018" s="470">
        <v>28</v>
      </c>
      <c r="AB1018" s="470">
        <v>28</v>
      </c>
      <c r="AC1018" s="473">
        <v>76500</v>
      </c>
      <c r="AD1018" s="473">
        <v>76500</v>
      </c>
      <c r="AE1018" s="473">
        <v>34425</v>
      </c>
      <c r="AF1018" s="473">
        <v>13770</v>
      </c>
      <c r="AG1018" s="473">
        <v>1600</v>
      </c>
      <c r="AH1018" s="473">
        <v>200</v>
      </c>
      <c r="AI1018" s="473">
        <v>1250</v>
      </c>
      <c r="AJ1018" s="473">
        <v>2868</v>
      </c>
      <c r="AK1018" s="473">
        <v>6885</v>
      </c>
      <c r="AL1018" s="473">
        <v>5164</v>
      </c>
      <c r="AM1018" s="473">
        <v>344</v>
      </c>
      <c r="AN1018" s="473">
        <v>1205</v>
      </c>
      <c r="AO1018" s="473">
        <v>689</v>
      </c>
      <c r="AP1018" s="473">
        <v>172</v>
      </c>
      <c r="AQ1018" s="473">
        <v>1800</v>
      </c>
      <c r="AR1018" s="473">
        <v>6128</v>
      </c>
      <c r="AS1018" s="473">
        <v>0</v>
      </c>
      <c r="AT1018" s="473">
        <v>0</v>
      </c>
      <c r="AU1018" s="473"/>
      <c r="AV1018" s="473">
        <v>76500</v>
      </c>
      <c r="AW1018" s="474">
        <v>76500</v>
      </c>
      <c r="AX1018" s="473"/>
      <c r="AY1018" s="473">
        <v>0</v>
      </c>
      <c r="AZ1018" s="475">
        <v>0</v>
      </c>
      <c r="BA1018" s="475">
        <v>300</v>
      </c>
      <c r="BB1018" s="475">
        <v>1800</v>
      </c>
      <c r="BC1018" s="475">
        <v>0</v>
      </c>
      <c r="BD1018" s="475">
        <v>0</v>
      </c>
      <c r="BE1018" s="475">
        <v>0</v>
      </c>
      <c r="BF1018" s="475">
        <v>0</v>
      </c>
      <c r="BG1018" s="475">
        <v>2100</v>
      </c>
      <c r="BH1018" s="476">
        <v>74400</v>
      </c>
      <c r="BI1018" s="467"/>
      <c r="BJ1018" s="468"/>
    </row>
    <row r="1019" spans="1:62">
      <c r="A1019" s="469">
        <v>46054</v>
      </c>
      <c r="B1019" s="469" t="s">
        <v>747</v>
      </c>
      <c r="C1019" s="508"/>
      <c r="D1019" s="470" t="s">
        <v>749</v>
      </c>
      <c r="E1019" s="471">
        <v>1092</v>
      </c>
      <c r="F1019" s="470" t="s">
        <v>975</v>
      </c>
      <c r="G1019" s="470" t="s">
        <v>751</v>
      </c>
      <c r="H1019" s="470" t="s">
        <v>12</v>
      </c>
      <c r="I1019" s="470" t="s">
        <v>976</v>
      </c>
      <c r="J1019" s="472" t="s">
        <v>977</v>
      </c>
      <c r="K1019" s="470" t="s">
        <v>978</v>
      </c>
      <c r="L1019" s="470" t="s">
        <v>1345</v>
      </c>
      <c r="M1019" s="470" t="s">
        <v>1345</v>
      </c>
      <c r="N1019" s="470" t="s">
        <v>1275</v>
      </c>
      <c r="O1019" s="472" t="s">
        <v>757</v>
      </c>
      <c r="P1019" s="472" t="s">
        <v>738</v>
      </c>
      <c r="Q1019" s="472" t="s">
        <v>758</v>
      </c>
      <c r="R1019" s="472" t="s">
        <v>12</v>
      </c>
      <c r="S1019" s="472" t="s">
        <v>12</v>
      </c>
      <c r="T1019" s="472" t="s">
        <v>981</v>
      </c>
      <c r="U1019" s="470" t="s">
        <v>982</v>
      </c>
      <c r="V1019" s="470" t="s">
        <v>761</v>
      </c>
      <c r="W1019" s="470" t="s">
        <v>762</v>
      </c>
      <c r="X1019" s="470">
        <v>28</v>
      </c>
      <c r="Y1019" s="470">
        <v>0</v>
      </c>
      <c r="Z1019" s="470">
        <v>1</v>
      </c>
      <c r="AA1019" s="470">
        <v>27</v>
      </c>
      <c r="AB1019" s="470">
        <v>27</v>
      </c>
      <c r="AC1019" s="473">
        <v>71927</v>
      </c>
      <c r="AD1019" s="473">
        <v>71927</v>
      </c>
      <c r="AE1019" s="473">
        <v>31211</v>
      </c>
      <c r="AF1019" s="473">
        <v>12484</v>
      </c>
      <c r="AG1019" s="473">
        <v>1543</v>
      </c>
      <c r="AH1019" s="473">
        <v>193</v>
      </c>
      <c r="AI1019" s="473">
        <v>1205</v>
      </c>
      <c r="AJ1019" s="473">
        <v>2600</v>
      </c>
      <c r="AK1019" s="473">
        <v>6242</v>
      </c>
      <c r="AL1019" s="473">
        <v>4682</v>
      </c>
      <c r="AM1019" s="473">
        <v>312</v>
      </c>
      <c r="AN1019" s="473">
        <v>1092</v>
      </c>
      <c r="AO1019" s="473">
        <v>624</v>
      </c>
      <c r="AP1019" s="473">
        <v>156</v>
      </c>
      <c r="AQ1019" s="473">
        <v>1800</v>
      </c>
      <c r="AR1019" s="473">
        <v>5214</v>
      </c>
      <c r="AS1019" s="473">
        <v>0</v>
      </c>
      <c r="AT1019" s="473">
        <v>0</v>
      </c>
      <c r="AU1019" s="473">
        <v>1419</v>
      </c>
      <c r="AV1019" s="473">
        <v>70777</v>
      </c>
      <c r="AW1019" s="474">
        <v>69358</v>
      </c>
      <c r="AX1019" s="473"/>
      <c r="AY1019" s="473">
        <v>0</v>
      </c>
      <c r="AZ1019" s="475">
        <v>0</v>
      </c>
      <c r="BA1019" s="475">
        <v>300</v>
      </c>
      <c r="BB1019" s="475">
        <v>1800</v>
      </c>
      <c r="BC1019" s="475">
        <v>0</v>
      </c>
      <c r="BD1019" s="475">
        <v>0</v>
      </c>
      <c r="BE1019" s="475">
        <v>0</v>
      </c>
      <c r="BF1019" s="475">
        <v>0</v>
      </c>
      <c r="BG1019" s="475">
        <v>2100</v>
      </c>
      <c r="BH1019" s="476">
        <v>68677</v>
      </c>
      <c r="BI1019" s="467"/>
      <c r="BJ1019" s="468"/>
    </row>
    <row r="1020" spans="1:62">
      <c r="A1020" s="469">
        <v>46054</v>
      </c>
      <c r="B1020" s="469" t="s">
        <v>747</v>
      </c>
      <c r="C1020" s="508"/>
      <c r="D1020" s="470" t="s">
        <v>749</v>
      </c>
      <c r="E1020" s="471">
        <v>1506</v>
      </c>
      <c r="F1020" s="470" t="s">
        <v>983</v>
      </c>
      <c r="G1020" s="470" t="s">
        <v>751</v>
      </c>
      <c r="H1020" s="470" t="s">
        <v>12</v>
      </c>
      <c r="I1020" s="470" t="s">
        <v>984</v>
      </c>
      <c r="J1020" s="472" t="s">
        <v>985</v>
      </c>
      <c r="K1020" s="470" t="s">
        <v>986</v>
      </c>
      <c r="L1020" s="470" t="s">
        <v>987</v>
      </c>
      <c r="M1020" s="470" t="s">
        <v>987</v>
      </c>
      <c r="N1020" s="470" t="s">
        <v>756</v>
      </c>
      <c r="O1020" s="472" t="s">
        <v>757</v>
      </c>
      <c r="P1020" s="472" t="s">
        <v>738</v>
      </c>
      <c r="Q1020" s="472" t="s">
        <v>758</v>
      </c>
      <c r="R1020" s="472" t="s">
        <v>12</v>
      </c>
      <c r="S1020" s="472" t="s">
        <v>12</v>
      </c>
      <c r="T1020" s="472" t="s">
        <v>988</v>
      </c>
      <c r="U1020" s="470" t="s">
        <v>989</v>
      </c>
      <c r="V1020" s="470" t="s">
        <v>761</v>
      </c>
      <c r="W1020" s="470" t="s">
        <v>762</v>
      </c>
      <c r="X1020" s="470">
        <v>28</v>
      </c>
      <c r="Y1020" s="470">
        <v>0</v>
      </c>
      <c r="Z1020" s="470">
        <v>0.5</v>
      </c>
      <c r="AA1020" s="470">
        <v>27.5</v>
      </c>
      <c r="AB1020" s="470">
        <v>27.5</v>
      </c>
      <c r="AC1020" s="473">
        <v>49575</v>
      </c>
      <c r="AD1020" s="473">
        <v>49575</v>
      </c>
      <c r="AE1020" s="473">
        <v>21911</v>
      </c>
      <c r="AF1020" s="473">
        <v>8764</v>
      </c>
      <c r="AG1020" s="473">
        <v>1571</v>
      </c>
      <c r="AH1020" s="473">
        <v>196</v>
      </c>
      <c r="AI1020" s="473">
        <v>1228</v>
      </c>
      <c r="AJ1020" s="473">
        <v>1825</v>
      </c>
      <c r="AK1020" s="473">
        <v>4382</v>
      </c>
      <c r="AL1020" s="473">
        <v>3287</v>
      </c>
      <c r="AM1020" s="473">
        <v>219</v>
      </c>
      <c r="AN1020" s="473">
        <v>767</v>
      </c>
      <c r="AO1020" s="473">
        <v>438</v>
      </c>
      <c r="AP1020" s="473">
        <v>110</v>
      </c>
      <c r="AQ1020" s="473">
        <v>1800</v>
      </c>
      <c r="AR1020" s="473">
        <v>2192</v>
      </c>
      <c r="AS1020" s="473">
        <v>0</v>
      </c>
      <c r="AT1020" s="473">
        <v>0</v>
      </c>
      <c r="AU1020" s="473"/>
      <c r="AV1020" s="473">
        <v>48690</v>
      </c>
      <c r="AW1020" s="474">
        <v>48690</v>
      </c>
      <c r="AX1020" s="473"/>
      <c r="AY1020" s="473">
        <v>0</v>
      </c>
      <c r="AZ1020" s="475">
        <v>0</v>
      </c>
      <c r="BA1020" s="475">
        <v>300</v>
      </c>
      <c r="BB1020" s="475">
        <v>1800</v>
      </c>
      <c r="BC1020" s="475">
        <v>0</v>
      </c>
      <c r="BD1020" s="475">
        <v>0</v>
      </c>
      <c r="BE1020" s="475">
        <v>0</v>
      </c>
      <c r="BF1020" s="475">
        <v>0</v>
      </c>
      <c r="BG1020" s="475">
        <v>2100</v>
      </c>
      <c r="BH1020" s="476">
        <v>46590</v>
      </c>
      <c r="BI1020" s="467"/>
      <c r="BJ1020" s="468"/>
    </row>
    <row r="1021" spans="1:62">
      <c r="A1021" s="469">
        <v>46054</v>
      </c>
      <c r="B1021" s="469" t="s">
        <v>747</v>
      </c>
      <c r="C1021" s="508"/>
      <c r="D1021" s="470" t="s">
        <v>749</v>
      </c>
      <c r="E1021" s="471">
        <v>1700</v>
      </c>
      <c r="F1021" s="470" t="s">
        <v>990</v>
      </c>
      <c r="G1021" s="470" t="s">
        <v>751</v>
      </c>
      <c r="H1021" s="470" t="s">
        <v>12</v>
      </c>
      <c r="I1021" s="470" t="s">
        <v>991</v>
      </c>
      <c r="J1021" s="472" t="s">
        <v>992</v>
      </c>
      <c r="K1021" s="470" t="s">
        <v>993</v>
      </c>
      <c r="L1021" s="470" t="s">
        <v>1345</v>
      </c>
      <c r="M1021" s="470" t="s">
        <v>1345</v>
      </c>
      <c r="N1021" s="470" t="s">
        <v>1275</v>
      </c>
      <c r="O1021" s="472" t="s">
        <v>757</v>
      </c>
      <c r="P1021" s="472" t="s">
        <v>738</v>
      </c>
      <c r="Q1021" s="472" t="s">
        <v>758</v>
      </c>
      <c r="R1021" s="472" t="s">
        <v>12</v>
      </c>
      <c r="S1021" s="472" t="s">
        <v>12</v>
      </c>
      <c r="T1021" s="472" t="s">
        <v>995</v>
      </c>
      <c r="U1021" s="470" t="s">
        <v>996</v>
      </c>
      <c r="V1021" s="470" t="s">
        <v>761</v>
      </c>
      <c r="W1021" s="470" t="s">
        <v>859</v>
      </c>
      <c r="X1021" s="470">
        <v>28</v>
      </c>
      <c r="Y1021" s="470">
        <v>0</v>
      </c>
      <c r="Z1021" s="470">
        <v>0</v>
      </c>
      <c r="AA1021" s="470">
        <v>28</v>
      </c>
      <c r="AB1021" s="470">
        <v>28</v>
      </c>
      <c r="AC1021" s="473">
        <v>79907</v>
      </c>
      <c r="AD1021" s="473">
        <v>79907</v>
      </c>
      <c r="AE1021" s="473">
        <v>35958</v>
      </c>
      <c r="AF1021" s="473">
        <v>14383</v>
      </c>
      <c r="AG1021" s="473">
        <v>1600</v>
      </c>
      <c r="AH1021" s="473">
        <v>200</v>
      </c>
      <c r="AI1021" s="473">
        <v>1250</v>
      </c>
      <c r="AJ1021" s="473">
        <v>2995</v>
      </c>
      <c r="AK1021" s="473">
        <v>7192</v>
      </c>
      <c r="AL1021" s="473">
        <v>5394</v>
      </c>
      <c r="AM1021" s="473">
        <v>360</v>
      </c>
      <c r="AN1021" s="473">
        <v>1259</v>
      </c>
      <c r="AO1021" s="473">
        <v>719</v>
      </c>
      <c r="AP1021" s="473">
        <v>180</v>
      </c>
      <c r="AQ1021" s="473">
        <v>1800</v>
      </c>
      <c r="AR1021" s="473">
        <v>6617</v>
      </c>
      <c r="AS1021" s="473">
        <v>0</v>
      </c>
      <c r="AT1021" s="473">
        <v>0</v>
      </c>
      <c r="AU1021" s="473">
        <v>1819</v>
      </c>
      <c r="AV1021" s="473">
        <v>81726</v>
      </c>
      <c r="AW1021" s="474">
        <v>79907</v>
      </c>
      <c r="AX1021" s="473"/>
      <c r="AY1021" s="473">
        <v>0</v>
      </c>
      <c r="AZ1021" s="475">
        <v>0</v>
      </c>
      <c r="BA1021" s="475">
        <v>300</v>
      </c>
      <c r="BB1021" s="475">
        <v>1800</v>
      </c>
      <c r="BC1021" s="475">
        <v>0</v>
      </c>
      <c r="BD1021" s="475">
        <v>0</v>
      </c>
      <c r="BE1021" s="475">
        <v>0</v>
      </c>
      <c r="BF1021" s="475">
        <v>0</v>
      </c>
      <c r="BG1021" s="475">
        <v>2100</v>
      </c>
      <c r="BH1021" s="476">
        <v>79626</v>
      </c>
      <c r="BI1021" s="467"/>
      <c r="BJ1021" s="468"/>
    </row>
    <row r="1022" spans="1:62">
      <c r="A1022" s="469">
        <v>46054</v>
      </c>
      <c r="B1022" s="469" t="s">
        <v>747</v>
      </c>
      <c r="C1022" s="508"/>
      <c r="D1022" s="470" t="s">
        <v>749</v>
      </c>
      <c r="E1022" s="471">
        <v>2270</v>
      </c>
      <c r="F1022" s="470" t="s">
        <v>1465</v>
      </c>
      <c r="G1022" s="470" t="s">
        <v>751</v>
      </c>
      <c r="H1022" s="470" t="s">
        <v>12</v>
      </c>
      <c r="I1022" s="470" t="s">
        <v>1426</v>
      </c>
      <c r="J1022" s="472" t="s">
        <v>1466</v>
      </c>
      <c r="K1022" s="470" t="s">
        <v>1467</v>
      </c>
      <c r="L1022" s="470" t="s">
        <v>824</v>
      </c>
      <c r="M1022" s="470" t="s">
        <v>824</v>
      </c>
      <c r="N1022" s="470" t="s">
        <v>1275</v>
      </c>
      <c r="O1022" s="472" t="s">
        <v>1276</v>
      </c>
      <c r="P1022" s="472" t="s">
        <v>738</v>
      </c>
      <c r="Q1022" s="472" t="s">
        <v>758</v>
      </c>
      <c r="R1022" s="472" t="s">
        <v>12</v>
      </c>
      <c r="S1022" s="472" t="s">
        <v>12</v>
      </c>
      <c r="T1022" s="472" t="s">
        <v>1468</v>
      </c>
      <c r="U1022" s="470" t="s">
        <v>1469</v>
      </c>
      <c r="V1022" s="470" t="s">
        <v>761</v>
      </c>
      <c r="W1022" s="470" t="s">
        <v>1361</v>
      </c>
      <c r="X1022" s="470">
        <v>28</v>
      </c>
      <c r="Y1022" s="470">
        <v>0</v>
      </c>
      <c r="Z1022" s="470">
        <v>0</v>
      </c>
      <c r="AA1022" s="470">
        <v>28</v>
      </c>
      <c r="AB1022" s="470">
        <v>28</v>
      </c>
      <c r="AC1022" s="473">
        <v>44033</v>
      </c>
      <c r="AD1022" s="473">
        <v>44033</v>
      </c>
      <c r="AE1022" s="473">
        <v>19815</v>
      </c>
      <c r="AF1022" s="473">
        <v>7926</v>
      </c>
      <c r="AG1022" s="473">
        <v>1600</v>
      </c>
      <c r="AH1022" s="473">
        <v>200</v>
      </c>
      <c r="AI1022" s="473">
        <v>1250</v>
      </c>
      <c r="AJ1022" s="473">
        <v>1651</v>
      </c>
      <c r="AK1022" s="473">
        <v>3963</v>
      </c>
      <c r="AL1022" s="473">
        <v>2972</v>
      </c>
      <c r="AM1022" s="473">
        <v>198</v>
      </c>
      <c r="AN1022" s="473">
        <v>694</v>
      </c>
      <c r="AO1022" s="473">
        <v>396</v>
      </c>
      <c r="AP1022" s="473">
        <v>99</v>
      </c>
      <c r="AQ1022" s="473">
        <v>1800</v>
      </c>
      <c r="AR1022" s="473">
        <v>1469</v>
      </c>
      <c r="AS1022" s="473">
        <v>0</v>
      </c>
      <c r="AT1022" s="473">
        <v>0</v>
      </c>
      <c r="AU1022" s="473"/>
      <c r="AV1022" s="473">
        <v>44033</v>
      </c>
      <c r="AW1022" s="474">
        <v>44033</v>
      </c>
      <c r="AX1022" s="473"/>
      <c r="AY1022" s="473">
        <v>0</v>
      </c>
      <c r="AZ1022" s="475">
        <v>0</v>
      </c>
      <c r="BA1022" s="475">
        <v>300</v>
      </c>
      <c r="BB1022" s="475">
        <v>1800</v>
      </c>
      <c r="BC1022" s="475">
        <v>0</v>
      </c>
      <c r="BD1022" s="475">
        <v>0</v>
      </c>
      <c r="BE1022" s="475">
        <v>0</v>
      </c>
      <c r="BF1022" s="475">
        <v>0</v>
      </c>
      <c r="BG1022" s="475">
        <v>2100</v>
      </c>
      <c r="BH1022" s="476">
        <v>41933</v>
      </c>
      <c r="BI1022" s="467"/>
      <c r="BJ1022" s="468"/>
    </row>
    <row r="1023" spans="1:62">
      <c r="A1023" s="469">
        <v>46054</v>
      </c>
      <c r="B1023" s="469" t="s">
        <v>747</v>
      </c>
      <c r="C1023" s="508"/>
      <c r="D1023" s="470" t="s">
        <v>749</v>
      </c>
      <c r="E1023" s="471">
        <v>2289</v>
      </c>
      <c r="F1023" s="470" t="s">
        <v>1528</v>
      </c>
      <c r="G1023" s="470" t="s">
        <v>812</v>
      </c>
      <c r="H1023" s="470" t="s">
        <v>12</v>
      </c>
      <c r="I1023" s="470" t="s">
        <v>1529</v>
      </c>
      <c r="J1023" s="472" t="s">
        <v>1530</v>
      </c>
      <c r="K1023" s="470" t="s">
        <v>1531</v>
      </c>
      <c r="L1023" s="470" t="s">
        <v>1123</v>
      </c>
      <c r="M1023" s="470" t="s">
        <v>1124</v>
      </c>
      <c r="N1023" s="470" t="s">
        <v>1108</v>
      </c>
      <c r="O1023" s="472" t="s">
        <v>757</v>
      </c>
      <c r="P1023" s="472" t="s">
        <v>738</v>
      </c>
      <c r="Q1023" s="472" t="s">
        <v>758</v>
      </c>
      <c r="R1023" s="472" t="s">
        <v>12</v>
      </c>
      <c r="S1023" s="472" t="s">
        <v>12</v>
      </c>
      <c r="T1023" s="472" t="s">
        <v>1532</v>
      </c>
      <c r="U1023" s="470" t="s">
        <v>1533</v>
      </c>
      <c r="V1023" s="470" t="s">
        <v>761</v>
      </c>
      <c r="W1023" s="470" t="s">
        <v>1534</v>
      </c>
      <c r="X1023" s="470">
        <v>28</v>
      </c>
      <c r="Y1023" s="470">
        <v>0</v>
      </c>
      <c r="Z1023" s="470">
        <v>0</v>
      </c>
      <c r="AA1023" s="470">
        <v>28</v>
      </c>
      <c r="AB1023" s="470">
        <v>28</v>
      </c>
      <c r="AC1023" s="473">
        <v>52200</v>
      </c>
      <c r="AD1023" s="473">
        <v>52200</v>
      </c>
      <c r="AE1023" s="473">
        <v>23490</v>
      </c>
      <c r="AF1023" s="473">
        <v>9396</v>
      </c>
      <c r="AG1023" s="473">
        <v>1600</v>
      </c>
      <c r="AH1023" s="473">
        <v>200</v>
      </c>
      <c r="AI1023" s="473">
        <v>1250</v>
      </c>
      <c r="AJ1023" s="473">
        <v>1957</v>
      </c>
      <c r="AK1023" s="473">
        <v>4698</v>
      </c>
      <c r="AL1023" s="473">
        <v>3524</v>
      </c>
      <c r="AM1023" s="473">
        <v>235</v>
      </c>
      <c r="AN1023" s="473">
        <v>822</v>
      </c>
      <c r="AO1023" s="473">
        <v>470</v>
      </c>
      <c r="AP1023" s="473">
        <v>117</v>
      </c>
      <c r="AQ1023" s="473">
        <v>1800</v>
      </c>
      <c r="AR1023" s="473">
        <v>2641</v>
      </c>
      <c r="AS1023" s="473">
        <v>0</v>
      </c>
      <c r="AT1023" s="473">
        <v>0</v>
      </c>
      <c r="AU1023" s="473"/>
      <c r="AV1023" s="473">
        <v>52200</v>
      </c>
      <c r="AW1023" s="474">
        <v>52200</v>
      </c>
      <c r="AX1023" s="473"/>
      <c r="AY1023" s="473">
        <v>0</v>
      </c>
      <c r="AZ1023" s="475">
        <v>0</v>
      </c>
      <c r="BA1023" s="475">
        <v>300</v>
      </c>
      <c r="BB1023" s="475">
        <v>1800</v>
      </c>
      <c r="BC1023" s="475">
        <v>0</v>
      </c>
      <c r="BD1023" s="475">
        <v>0</v>
      </c>
      <c r="BE1023" s="475">
        <v>0</v>
      </c>
      <c r="BF1023" s="475">
        <v>0</v>
      </c>
      <c r="BG1023" s="475">
        <v>2100</v>
      </c>
      <c r="BH1023" s="476">
        <v>50100</v>
      </c>
      <c r="BI1023" s="467"/>
      <c r="BJ1023" s="468"/>
    </row>
    <row r="1024" spans="1:62">
      <c r="A1024" s="469">
        <v>46054</v>
      </c>
      <c r="B1024" s="469" t="s">
        <v>747</v>
      </c>
      <c r="C1024" s="508"/>
      <c r="D1024" s="470" t="s">
        <v>749</v>
      </c>
      <c r="E1024" s="471">
        <v>737</v>
      </c>
      <c r="F1024" s="470" t="s">
        <v>1545</v>
      </c>
      <c r="G1024" s="470" t="s">
        <v>751</v>
      </c>
      <c r="H1024" s="470" t="s">
        <v>12</v>
      </c>
      <c r="I1024" s="470" t="s">
        <v>1024</v>
      </c>
      <c r="J1024" s="472" t="s">
        <v>1025</v>
      </c>
      <c r="K1024" s="470" t="s">
        <v>1026</v>
      </c>
      <c r="L1024" s="470" t="s">
        <v>979</v>
      </c>
      <c r="M1024" s="470" t="s">
        <v>979</v>
      </c>
      <c r="N1024" s="470" t="s">
        <v>833</v>
      </c>
      <c r="O1024" s="472" t="s">
        <v>757</v>
      </c>
      <c r="P1024" s="472" t="s">
        <v>738</v>
      </c>
      <c r="Q1024" s="472" t="s">
        <v>758</v>
      </c>
      <c r="R1024" s="472" t="s">
        <v>12</v>
      </c>
      <c r="S1024" s="472" t="s">
        <v>12</v>
      </c>
      <c r="T1024" s="472" t="s">
        <v>1029</v>
      </c>
      <c r="U1024" s="470" t="s">
        <v>1030</v>
      </c>
      <c r="V1024" s="470" t="s">
        <v>761</v>
      </c>
      <c r="W1024" s="470" t="s">
        <v>762</v>
      </c>
      <c r="X1024" s="470">
        <v>28</v>
      </c>
      <c r="Y1024" s="470">
        <v>0</v>
      </c>
      <c r="Z1024" s="470">
        <v>0</v>
      </c>
      <c r="AA1024" s="470">
        <v>28</v>
      </c>
      <c r="AB1024" s="470">
        <v>28</v>
      </c>
      <c r="AC1024" s="473">
        <v>22933</v>
      </c>
      <c r="AD1024" s="473">
        <v>22933</v>
      </c>
      <c r="AE1024" s="473">
        <v>10320</v>
      </c>
      <c r="AF1024" s="473">
        <v>4128</v>
      </c>
      <c r="AG1024" s="473">
        <v>1600</v>
      </c>
      <c r="AH1024" s="473">
        <v>200</v>
      </c>
      <c r="AI1024" s="473">
        <v>1250</v>
      </c>
      <c r="AJ1024" s="473">
        <v>0</v>
      </c>
      <c r="AK1024" s="473">
        <v>0</v>
      </c>
      <c r="AL1024" s="473">
        <v>0</v>
      </c>
      <c r="AM1024" s="473">
        <v>0</v>
      </c>
      <c r="AN1024" s="473">
        <v>0</v>
      </c>
      <c r="AO1024" s="473">
        <v>0</v>
      </c>
      <c r="AP1024" s="473">
        <v>0</v>
      </c>
      <c r="AQ1024" s="473">
        <v>1238</v>
      </c>
      <c r="AR1024" s="473">
        <v>4197</v>
      </c>
      <c r="AS1024" s="473">
        <v>0</v>
      </c>
      <c r="AT1024" s="473">
        <v>740</v>
      </c>
      <c r="AU1024" s="473">
        <v>3400</v>
      </c>
      <c r="AV1024" s="473">
        <v>27073</v>
      </c>
      <c r="AW1024" s="474">
        <v>23673</v>
      </c>
      <c r="AX1024" s="473"/>
      <c r="AY1024" s="473">
        <v>0</v>
      </c>
      <c r="AZ1024" s="475">
        <v>0</v>
      </c>
      <c r="BA1024" s="475">
        <v>300</v>
      </c>
      <c r="BB1024" s="475">
        <v>1238</v>
      </c>
      <c r="BC1024" s="475">
        <v>0</v>
      </c>
      <c r="BD1024" s="475">
        <v>0</v>
      </c>
      <c r="BE1024" s="475">
        <v>0</v>
      </c>
      <c r="BF1024" s="475">
        <v>0</v>
      </c>
      <c r="BG1024" s="475">
        <v>1538</v>
      </c>
      <c r="BH1024" s="476">
        <v>25535</v>
      </c>
      <c r="BI1024" s="467"/>
      <c r="BJ1024" s="468"/>
    </row>
    <row r="1025" spans="1:62">
      <c r="A1025" s="469">
        <v>46054</v>
      </c>
      <c r="B1025" s="469" t="s">
        <v>747</v>
      </c>
      <c r="C1025" s="508"/>
      <c r="D1025" s="470" t="s">
        <v>749</v>
      </c>
      <c r="E1025" s="471">
        <v>649</v>
      </c>
      <c r="F1025" s="470" t="s">
        <v>1031</v>
      </c>
      <c r="G1025" s="470" t="s">
        <v>812</v>
      </c>
      <c r="H1025" s="470" t="s">
        <v>12</v>
      </c>
      <c r="I1025" s="470" t="s">
        <v>1032</v>
      </c>
      <c r="J1025" s="472" t="s">
        <v>1033</v>
      </c>
      <c r="K1025" s="470" t="s">
        <v>1034</v>
      </c>
      <c r="L1025" s="470" t="s">
        <v>1535</v>
      </c>
      <c r="M1025" s="470" t="s">
        <v>942</v>
      </c>
      <c r="N1025" s="470" t="s">
        <v>833</v>
      </c>
      <c r="O1025" s="472" t="s">
        <v>792</v>
      </c>
      <c r="P1025" s="472" t="s">
        <v>738</v>
      </c>
      <c r="Q1025" s="472" t="s">
        <v>758</v>
      </c>
      <c r="R1025" s="472" t="s">
        <v>12</v>
      </c>
      <c r="S1025" s="472" t="s">
        <v>12</v>
      </c>
      <c r="T1025" s="472" t="s">
        <v>1036</v>
      </c>
      <c r="U1025" s="470" t="s">
        <v>1037</v>
      </c>
      <c r="V1025" s="470" t="s">
        <v>761</v>
      </c>
      <c r="W1025" s="470" t="s">
        <v>762</v>
      </c>
      <c r="X1025" s="470">
        <v>28</v>
      </c>
      <c r="Y1025" s="470">
        <v>0</v>
      </c>
      <c r="Z1025" s="470">
        <v>1</v>
      </c>
      <c r="AA1025" s="470">
        <v>27</v>
      </c>
      <c r="AB1025" s="470">
        <v>27</v>
      </c>
      <c r="AC1025" s="473">
        <v>183333</v>
      </c>
      <c r="AD1025" s="473">
        <v>183333</v>
      </c>
      <c r="AE1025" s="473">
        <v>79553</v>
      </c>
      <c r="AF1025" s="473">
        <v>31821</v>
      </c>
      <c r="AG1025" s="473">
        <v>1543</v>
      </c>
      <c r="AH1025" s="473">
        <v>193</v>
      </c>
      <c r="AI1025" s="473">
        <v>1205</v>
      </c>
      <c r="AJ1025" s="473">
        <v>6627</v>
      </c>
      <c r="AK1025" s="473">
        <v>15911</v>
      </c>
      <c r="AL1025" s="473">
        <v>11933</v>
      </c>
      <c r="AM1025" s="473">
        <v>796</v>
      </c>
      <c r="AN1025" s="473">
        <v>2784</v>
      </c>
      <c r="AO1025" s="473">
        <v>1591</v>
      </c>
      <c r="AP1025" s="473">
        <v>398</v>
      </c>
      <c r="AQ1025" s="473">
        <v>1800</v>
      </c>
      <c r="AR1025" s="473">
        <v>20630</v>
      </c>
      <c r="AS1025" s="473">
        <v>0</v>
      </c>
      <c r="AT1025" s="473">
        <v>0</v>
      </c>
      <c r="AU1025" s="473"/>
      <c r="AV1025" s="473">
        <v>184627</v>
      </c>
      <c r="AW1025" s="474">
        <v>184627</v>
      </c>
      <c r="AX1025" s="473"/>
      <c r="AY1025" s="473">
        <v>0</v>
      </c>
      <c r="AZ1025" s="475">
        <v>24745</v>
      </c>
      <c r="BA1025" s="475">
        <v>300</v>
      </c>
      <c r="BB1025" s="475">
        <v>1800</v>
      </c>
      <c r="BC1025" s="475">
        <v>0</v>
      </c>
      <c r="BD1025" s="475">
        <v>0</v>
      </c>
      <c r="BE1025" s="475">
        <v>0</v>
      </c>
      <c r="BF1025" s="475">
        <v>0</v>
      </c>
      <c r="BG1025" s="475">
        <v>26845</v>
      </c>
      <c r="BH1025" s="476">
        <v>157782</v>
      </c>
      <c r="BI1025" s="467"/>
      <c r="BJ1025" s="468"/>
    </row>
    <row r="1026" spans="1:62">
      <c r="A1026" s="469">
        <v>46054</v>
      </c>
      <c r="B1026" s="469" t="s">
        <v>747</v>
      </c>
      <c r="C1026" s="508"/>
      <c r="D1026" s="470" t="s">
        <v>749</v>
      </c>
      <c r="E1026" s="471">
        <v>1746</v>
      </c>
      <c r="F1026" s="470" t="s">
        <v>1038</v>
      </c>
      <c r="G1026" s="470" t="s">
        <v>751</v>
      </c>
      <c r="H1026" s="470" t="s">
        <v>12</v>
      </c>
      <c r="I1026" s="470" t="s">
        <v>1039</v>
      </c>
      <c r="J1026" s="472" t="s">
        <v>1040</v>
      </c>
      <c r="K1026" s="470" t="s">
        <v>1041</v>
      </c>
      <c r="L1026" s="470" t="s">
        <v>1042</v>
      </c>
      <c r="M1026" s="470" t="s">
        <v>1042</v>
      </c>
      <c r="N1026" s="470" t="s">
        <v>833</v>
      </c>
      <c r="O1026" s="472" t="s">
        <v>1043</v>
      </c>
      <c r="P1026" s="472" t="s">
        <v>738</v>
      </c>
      <c r="Q1026" s="472" t="s">
        <v>758</v>
      </c>
      <c r="R1026" s="472" t="s">
        <v>12</v>
      </c>
      <c r="S1026" s="472" t="s">
        <v>12</v>
      </c>
      <c r="T1026" s="472" t="s">
        <v>1044</v>
      </c>
      <c r="U1026" s="470" t="s">
        <v>1045</v>
      </c>
      <c r="V1026" s="470" t="s">
        <v>761</v>
      </c>
      <c r="W1026" s="470" t="s">
        <v>762</v>
      </c>
      <c r="X1026" s="470">
        <v>28</v>
      </c>
      <c r="Y1026" s="470">
        <v>0</v>
      </c>
      <c r="Z1026" s="470">
        <v>0</v>
      </c>
      <c r="AA1026" s="470">
        <v>28</v>
      </c>
      <c r="AB1026" s="470">
        <v>28</v>
      </c>
      <c r="AC1026" s="473">
        <v>28500</v>
      </c>
      <c r="AD1026" s="473">
        <v>28500</v>
      </c>
      <c r="AE1026" s="473">
        <v>12825</v>
      </c>
      <c r="AF1026" s="473">
        <v>5130</v>
      </c>
      <c r="AG1026" s="473">
        <v>1600</v>
      </c>
      <c r="AH1026" s="473">
        <v>200</v>
      </c>
      <c r="AI1026" s="473">
        <v>1250</v>
      </c>
      <c r="AJ1026" s="473">
        <v>0</v>
      </c>
      <c r="AK1026" s="473">
        <v>0</v>
      </c>
      <c r="AL1026" s="473">
        <v>0</v>
      </c>
      <c r="AM1026" s="473">
        <v>0</v>
      </c>
      <c r="AN1026" s="473">
        <v>0</v>
      </c>
      <c r="AO1026" s="473">
        <v>0</v>
      </c>
      <c r="AP1026" s="473">
        <v>0</v>
      </c>
      <c r="AQ1026" s="473">
        <v>1539</v>
      </c>
      <c r="AR1026" s="473">
        <v>5956</v>
      </c>
      <c r="AS1026" s="473">
        <v>0</v>
      </c>
      <c r="AT1026" s="473">
        <v>0</v>
      </c>
      <c r="AU1026" s="473">
        <v>3086</v>
      </c>
      <c r="AV1026" s="473">
        <v>31586</v>
      </c>
      <c r="AW1026" s="474">
        <v>28500</v>
      </c>
      <c r="AX1026" s="473"/>
      <c r="AY1026" s="473">
        <v>0</v>
      </c>
      <c r="AZ1026" s="475">
        <v>0</v>
      </c>
      <c r="BA1026" s="475">
        <v>300</v>
      </c>
      <c r="BB1026" s="475">
        <v>1539</v>
      </c>
      <c r="BC1026" s="475">
        <v>0</v>
      </c>
      <c r="BD1026" s="475">
        <v>0</v>
      </c>
      <c r="BE1026" s="475">
        <v>0</v>
      </c>
      <c r="BF1026" s="475">
        <v>0</v>
      </c>
      <c r="BG1026" s="475">
        <v>1839</v>
      </c>
      <c r="BH1026" s="476">
        <v>29747</v>
      </c>
      <c r="BI1026" s="467"/>
      <c r="BJ1026" s="468"/>
    </row>
    <row r="1027" spans="1:62">
      <c r="A1027" s="469">
        <v>46054</v>
      </c>
      <c r="B1027" s="469" t="s">
        <v>747</v>
      </c>
      <c r="C1027" s="508"/>
      <c r="D1027" s="470" t="s">
        <v>749</v>
      </c>
      <c r="E1027" s="471">
        <v>2252</v>
      </c>
      <c r="F1027" s="470" t="s">
        <v>1415</v>
      </c>
      <c r="G1027" s="470" t="s">
        <v>751</v>
      </c>
      <c r="H1027" s="470" t="s">
        <v>12</v>
      </c>
      <c r="I1027" s="470" t="s">
        <v>1416</v>
      </c>
      <c r="J1027" s="472" t="s">
        <v>1417</v>
      </c>
      <c r="K1027" s="470" t="s">
        <v>1418</v>
      </c>
      <c r="L1027" s="470" t="s">
        <v>1419</v>
      </c>
      <c r="M1027" s="470" t="s">
        <v>1124</v>
      </c>
      <c r="N1027" s="470" t="s">
        <v>1108</v>
      </c>
      <c r="O1027" s="472" t="s">
        <v>757</v>
      </c>
      <c r="P1027" s="472" t="s">
        <v>738</v>
      </c>
      <c r="Q1027" s="472" t="s">
        <v>758</v>
      </c>
      <c r="R1027" s="472" t="s">
        <v>12</v>
      </c>
      <c r="S1027" s="472" t="s">
        <v>12</v>
      </c>
      <c r="T1027" s="472" t="s">
        <v>1420</v>
      </c>
      <c r="U1027" s="470" t="s">
        <v>1421</v>
      </c>
      <c r="V1027" s="470" t="s">
        <v>761</v>
      </c>
      <c r="W1027" s="470" t="s">
        <v>1422</v>
      </c>
      <c r="X1027" s="470">
        <v>28</v>
      </c>
      <c r="Y1027" s="470">
        <v>0</v>
      </c>
      <c r="Z1027" s="470">
        <v>0</v>
      </c>
      <c r="AA1027" s="470">
        <v>28</v>
      </c>
      <c r="AB1027" s="470">
        <v>28</v>
      </c>
      <c r="AC1027" s="473">
        <v>52200</v>
      </c>
      <c r="AD1027" s="473">
        <v>52200</v>
      </c>
      <c r="AE1027" s="473">
        <v>23490</v>
      </c>
      <c r="AF1027" s="473">
        <v>9396</v>
      </c>
      <c r="AG1027" s="473">
        <v>1600</v>
      </c>
      <c r="AH1027" s="473">
        <v>200</v>
      </c>
      <c r="AI1027" s="473">
        <v>1250</v>
      </c>
      <c r="AJ1027" s="473">
        <v>1957</v>
      </c>
      <c r="AK1027" s="473">
        <v>4698</v>
      </c>
      <c r="AL1027" s="473">
        <v>3524</v>
      </c>
      <c r="AM1027" s="473">
        <v>235</v>
      </c>
      <c r="AN1027" s="473">
        <v>822</v>
      </c>
      <c r="AO1027" s="473">
        <v>470</v>
      </c>
      <c r="AP1027" s="473">
        <v>117</v>
      </c>
      <c r="AQ1027" s="473">
        <v>1800</v>
      </c>
      <c r="AR1027" s="473">
        <v>2641</v>
      </c>
      <c r="AS1027" s="473">
        <v>0</v>
      </c>
      <c r="AT1027" s="473">
        <v>0</v>
      </c>
      <c r="AU1027" s="473"/>
      <c r="AV1027" s="473">
        <v>52200</v>
      </c>
      <c r="AW1027" s="474">
        <v>52200</v>
      </c>
      <c r="AX1027" s="473"/>
      <c r="AY1027" s="473">
        <v>0</v>
      </c>
      <c r="AZ1027" s="475">
        <v>0</v>
      </c>
      <c r="BA1027" s="475">
        <v>300</v>
      </c>
      <c r="BB1027" s="475">
        <v>1800</v>
      </c>
      <c r="BC1027" s="475">
        <v>0</v>
      </c>
      <c r="BD1027" s="475">
        <v>0</v>
      </c>
      <c r="BE1027" s="475">
        <v>0</v>
      </c>
      <c r="BF1027" s="475">
        <v>0</v>
      </c>
      <c r="BG1027" s="475">
        <v>2100</v>
      </c>
      <c r="BH1027" s="476">
        <v>50100</v>
      </c>
      <c r="BI1027" s="467"/>
      <c r="BJ1027" s="468"/>
    </row>
    <row r="1028" spans="1:62">
      <c r="A1028" s="469">
        <v>46054</v>
      </c>
      <c r="B1028" s="469" t="s">
        <v>747</v>
      </c>
      <c r="C1028" s="508"/>
      <c r="D1028" s="470" t="s">
        <v>749</v>
      </c>
      <c r="E1028" s="471">
        <v>1771</v>
      </c>
      <c r="F1028" s="470" t="s">
        <v>1046</v>
      </c>
      <c r="G1028" s="470" t="s">
        <v>751</v>
      </c>
      <c r="H1028" s="470" t="s">
        <v>12</v>
      </c>
      <c r="I1028" s="470" t="s">
        <v>781</v>
      </c>
      <c r="J1028" s="472" t="s">
        <v>1047</v>
      </c>
      <c r="K1028" s="470" t="s">
        <v>1048</v>
      </c>
      <c r="L1028" s="470" t="s">
        <v>1338</v>
      </c>
      <c r="M1028" s="470" t="s">
        <v>1338</v>
      </c>
      <c r="N1028" s="470" t="s">
        <v>1275</v>
      </c>
      <c r="O1028" s="472" t="s">
        <v>757</v>
      </c>
      <c r="P1028" s="472" t="s">
        <v>738</v>
      </c>
      <c r="Q1028" s="472" t="s">
        <v>758</v>
      </c>
      <c r="R1028" s="472" t="s">
        <v>12</v>
      </c>
      <c r="S1028" s="472" t="s">
        <v>12</v>
      </c>
      <c r="T1028" s="472" t="s">
        <v>1049</v>
      </c>
      <c r="U1028" s="470" t="s">
        <v>1050</v>
      </c>
      <c r="V1028" s="470" t="s">
        <v>761</v>
      </c>
      <c r="W1028" s="470" t="s">
        <v>795</v>
      </c>
      <c r="X1028" s="470">
        <v>28</v>
      </c>
      <c r="Y1028" s="470">
        <v>0</v>
      </c>
      <c r="Z1028" s="470">
        <v>0</v>
      </c>
      <c r="AA1028" s="470">
        <v>28</v>
      </c>
      <c r="AB1028" s="470">
        <v>28</v>
      </c>
      <c r="AC1028" s="473">
        <v>92504</v>
      </c>
      <c r="AD1028" s="473">
        <v>92504</v>
      </c>
      <c r="AE1028" s="473">
        <v>41627</v>
      </c>
      <c r="AF1028" s="473">
        <v>16651</v>
      </c>
      <c r="AG1028" s="473">
        <v>1600</v>
      </c>
      <c r="AH1028" s="473">
        <v>200</v>
      </c>
      <c r="AI1028" s="473">
        <v>1250</v>
      </c>
      <c r="AJ1028" s="473">
        <v>3468</v>
      </c>
      <c r="AK1028" s="473">
        <v>8325</v>
      </c>
      <c r="AL1028" s="473">
        <v>6244</v>
      </c>
      <c r="AM1028" s="473">
        <v>416</v>
      </c>
      <c r="AN1028" s="473">
        <v>1457</v>
      </c>
      <c r="AO1028" s="473">
        <v>833</v>
      </c>
      <c r="AP1028" s="473">
        <v>208</v>
      </c>
      <c r="AQ1028" s="473">
        <v>1800</v>
      </c>
      <c r="AR1028" s="473">
        <v>8425</v>
      </c>
      <c r="AS1028" s="473">
        <v>0</v>
      </c>
      <c r="AT1028" s="473">
        <v>0</v>
      </c>
      <c r="AU1028" s="473">
        <v>213</v>
      </c>
      <c r="AV1028" s="473">
        <v>92717</v>
      </c>
      <c r="AW1028" s="474">
        <v>92504</v>
      </c>
      <c r="AX1028" s="473"/>
      <c r="AY1028" s="473">
        <v>0</v>
      </c>
      <c r="AZ1028" s="475">
        <v>0</v>
      </c>
      <c r="BA1028" s="475">
        <v>300</v>
      </c>
      <c r="BB1028" s="475">
        <v>1800</v>
      </c>
      <c r="BC1028" s="475">
        <v>0</v>
      </c>
      <c r="BD1028" s="475">
        <v>0</v>
      </c>
      <c r="BE1028" s="475">
        <v>0</v>
      </c>
      <c r="BF1028" s="475">
        <v>0</v>
      </c>
      <c r="BG1028" s="475">
        <v>2100</v>
      </c>
      <c r="BH1028" s="476">
        <v>90617</v>
      </c>
      <c r="BI1028" s="467"/>
      <c r="BJ1028" s="468"/>
    </row>
    <row r="1029" spans="1:62">
      <c r="A1029" s="469">
        <v>46054</v>
      </c>
      <c r="B1029" s="469" t="s">
        <v>747</v>
      </c>
      <c r="C1029" s="508"/>
      <c r="D1029" s="470" t="s">
        <v>749</v>
      </c>
      <c r="E1029" s="471">
        <v>1445</v>
      </c>
      <c r="F1029" s="470" t="s">
        <v>1057</v>
      </c>
      <c r="G1029" s="470" t="s">
        <v>751</v>
      </c>
      <c r="H1029" s="470" t="s">
        <v>12</v>
      </c>
      <c r="I1029" s="470" t="s">
        <v>1058</v>
      </c>
      <c r="J1029" s="472" t="s">
        <v>1059</v>
      </c>
      <c r="K1029" s="470" t="s">
        <v>1060</v>
      </c>
      <c r="L1029" s="470" t="s">
        <v>800</v>
      </c>
      <c r="M1029" s="470" t="s">
        <v>801</v>
      </c>
      <c r="N1029" s="470" t="s">
        <v>756</v>
      </c>
      <c r="O1029" s="472" t="s">
        <v>757</v>
      </c>
      <c r="P1029" s="472" t="s">
        <v>738</v>
      </c>
      <c r="Q1029" s="472" t="s">
        <v>758</v>
      </c>
      <c r="R1029" s="472" t="s">
        <v>12</v>
      </c>
      <c r="S1029" s="472" t="s">
        <v>12</v>
      </c>
      <c r="T1029" s="472" t="s">
        <v>1061</v>
      </c>
      <c r="U1029" s="470" t="s">
        <v>1062</v>
      </c>
      <c r="V1029" s="470" t="s">
        <v>761</v>
      </c>
      <c r="W1029" s="470" t="s">
        <v>1063</v>
      </c>
      <c r="X1029" s="470">
        <v>28</v>
      </c>
      <c r="Y1029" s="470">
        <v>0</v>
      </c>
      <c r="Z1029" s="470">
        <v>0</v>
      </c>
      <c r="AA1029" s="470">
        <v>28</v>
      </c>
      <c r="AB1029" s="470">
        <v>28</v>
      </c>
      <c r="AC1029" s="473">
        <v>50225</v>
      </c>
      <c r="AD1029" s="473">
        <v>50225</v>
      </c>
      <c r="AE1029" s="473">
        <v>22601</v>
      </c>
      <c r="AF1029" s="473">
        <v>9040</v>
      </c>
      <c r="AG1029" s="473">
        <v>1600</v>
      </c>
      <c r="AH1029" s="473">
        <v>200</v>
      </c>
      <c r="AI1029" s="473">
        <v>1250</v>
      </c>
      <c r="AJ1029" s="473">
        <v>1883</v>
      </c>
      <c r="AK1029" s="473">
        <v>4520</v>
      </c>
      <c r="AL1029" s="473">
        <v>3390</v>
      </c>
      <c r="AM1029" s="473">
        <v>226</v>
      </c>
      <c r="AN1029" s="473">
        <v>791</v>
      </c>
      <c r="AO1029" s="473">
        <v>452</v>
      </c>
      <c r="AP1029" s="473">
        <v>113</v>
      </c>
      <c r="AQ1029" s="473">
        <v>1800</v>
      </c>
      <c r="AR1029" s="473">
        <v>2359</v>
      </c>
      <c r="AS1029" s="473">
        <v>0</v>
      </c>
      <c r="AT1029" s="473">
        <v>0</v>
      </c>
      <c r="AU1029" s="473"/>
      <c r="AV1029" s="473">
        <v>50225</v>
      </c>
      <c r="AW1029" s="474">
        <v>50225</v>
      </c>
      <c r="AX1029" s="473"/>
      <c r="AY1029" s="473">
        <v>0</v>
      </c>
      <c r="AZ1029" s="475">
        <v>0</v>
      </c>
      <c r="BA1029" s="475">
        <v>300</v>
      </c>
      <c r="BB1029" s="475">
        <v>1800</v>
      </c>
      <c r="BC1029" s="475">
        <v>0</v>
      </c>
      <c r="BD1029" s="475">
        <v>0</v>
      </c>
      <c r="BE1029" s="475">
        <v>0</v>
      </c>
      <c r="BF1029" s="475">
        <v>0</v>
      </c>
      <c r="BG1029" s="475">
        <v>2100</v>
      </c>
      <c r="BH1029" s="476">
        <v>48125</v>
      </c>
      <c r="BI1029" s="467"/>
      <c r="BJ1029" s="468"/>
    </row>
    <row r="1030" spans="1:62">
      <c r="A1030" s="469">
        <v>46054</v>
      </c>
      <c r="B1030" s="469" t="s">
        <v>747</v>
      </c>
      <c r="C1030" s="508"/>
      <c r="D1030" s="470" t="s">
        <v>749</v>
      </c>
      <c r="E1030" s="471">
        <v>1932</v>
      </c>
      <c r="F1030" s="470" t="s">
        <v>1064</v>
      </c>
      <c r="G1030" s="470" t="s">
        <v>751</v>
      </c>
      <c r="H1030" s="470" t="s">
        <v>12</v>
      </c>
      <c r="I1030" s="470" t="s">
        <v>1065</v>
      </c>
      <c r="J1030" s="472" t="s">
        <v>1066</v>
      </c>
      <c r="K1030" s="470" t="s">
        <v>1067</v>
      </c>
      <c r="L1030" s="470" t="s">
        <v>1068</v>
      </c>
      <c r="M1030" s="470" t="s">
        <v>1068</v>
      </c>
      <c r="N1030" s="470" t="s">
        <v>756</v>
      </c>
      <c r="O1030" s="472" t="s">
        <v>757</v>
      </c>
      <c r="P1030" s="472" t="s">
        <v>738</v>
      </c>
      <c r="Q1030" s="472" t="s">
        <v>758</v>
      </c>
      <c r="R1030" s="472" t="s">
        <v>12</v>
      </c>
      <c r="S1030" s="472" t="s">
        <v>12</v>
      </c>
      <c r="T1030" s="472" t="s">
        <v>1069</v>
      </c>
      <c r="U1030" s="470" t="s">
        <v>1070</v>
      </c>
      <c r="V1030" s="470" t="s">
        <v>761</v>
      </c>
      <c r="W1030" s="470" t="s">
        <v>859</v>
      </c>
      <c r="X1030" s="470">
        <v>28</v>
      </c>
      <c r="Y1030" s="470">
        <v>0</v>
      </c>
      <c r="Z1030" s="470">
        <v>2</v>
      </c>
      <c r="AA1030" s="470">
        <v>26</v>
      </c>
      <c r="AB1030" s="470">
        <v>26</v>
      </c>
      <c r="AC1030" s="473">
        <v>30700</v>
      </c>
      <c r="AD1030" s="473">
        <v>30700</v>
      </c>
      <c r="AE1030" s="473">
        <v>12828</v>
      </c>
      <c r="AF1030" s="473">
        <v>5131</v>
      </c>
      <c r="AG1030" s="473">
        <v>1486</v>
      </c>
      <c r="AH1030" s="473">
        <v>186</v>
      </c>
      <c r="AI1030" s="473">
        <v>1161</v>
      </c>
      <c r="AJ1030" s="473">
        <v>0</v>
      </c>
      <c r="AK1030" s="473">
        <v>0</v>
      </c>
      <c r="AL1030" s="473">
        <v>0</v>
      </c>
      <c r="AM1030" s="473">
        <v>0</v>
      </c>
      <c r="AN1030" s="473">
        <v>0</v>
      </c>
      <c r="AO1030" s="473">
        <v>0</v>
      </c>
      <c r="AP1030" s="473">
        <v>0</v>
      </c>
      <c r="AQ1030" s="473">
        <v>1539</v>
      </c>
      <c r="AR1030" s="473">
        <v>6176</v>
      </c>
      <c r="AS1030" s="473">
        <v>0</v>
      </c>
      <c r="AT1030" s="473">
        <v>0</v>
      </c>
      <c r="AU1030" s="473"/>
      <c r="AV1030" s="473">
        <v>28507</v>
      </c>
      <c r="AW1030" s="474">
        <v>28507</v>
      </c>
      <c r="AX1030" s="473"/>
      <c r="AY1030" s="473">
        <v>0</v>
      </c>
      <c r="AZ1030" s="475">
        <v>0</v>
      </c>
      <c r="BA1030" s="475">
        <v>300</v>
      </c>
      <c r="BB1030" s="475">
        <v>1539</v>
      </c>
      <c r="BC1030" s="475">
        <v>0</v>
      </c>
      <c r="BD1030" s="475">
        <v>0</v>
      </c>
      <c r="BE1030" s="475">
        <v>0</v>
      </c>
      <c r="BF1030" s="475">
        <v>0</v>
      </c>
      <c r="BG1030" s="475">
        <v>1839</v>
      </c>
      <c r="BH1030" s="476">
        <v>26668</v>
      </c>
      <c r="BI1030" s="467"/>
      <c r="BJ1030" s="468"/>
    </row>
    <row r="1031" spans="1:62">
      <c r="A1031" s="469">
        <v>46054</v>
      </c>
      <c r="B1031" s="469" t="s">
        <v>747</v>
      </c>
      <c r="C1031" s="508"/>
      <c r="D1031" s="470" t="s">
        <v>749</v>
      </c>
      <c r="E1031" s="471">
        <v>2014</v>
      </c>
      <c r="F1031" s="470" t="s">
        <v>1071</v>
      </c>
      <c r="G1031" s="470" t="s">
        <v>751</v>
      </c>
      <c r="H1031" s="470" t="s">
        <v>12</v>
      </c>
      <c r="I1031" s="470" t="s">
        <v>847</v>
      </c>
      <c r="J1031" s="472" t="s">
        <v>1072</v>
      </c>
      <c r="K1031" s="470" t="s">
        <v>1073</v>
      </c>
      <c r="L1031" s="470" t="s">
        <v>1074</v>
      </c>
      <c r="M1031" s="470" t="s">
        <v>1074</v>
      </c>
      <c r="N1031" s="470" t="s">
        <v>833</v>
      </c>
      <c r="O1031" s="472" t="s">
        <v>757</v>
      </c>
      <c r="P1031" s="472" t="s">
        <v>738</v>
      </c>
      <c r="Q1031" s="472" t="s">
        <v>758</v>
      </c>
      <c r="R1031" s="472" t="s">
        <v>12</v>
      </c>
      <c r="S1031" s="472" t="s">
        <v>12</v>
      </c>
      <c r="T1031" s="472" t="s">
        <v>1076</v>
      </c>
      <c r="U1031" s="470" t="s">
        <v>1077</v>
      </c>
      <c r="V1031" s="470" t="s">
        <v>761</v>
      </c>
      <c r="W1031" s="470" t="s">
        <v>762</v>
      </c>
      <c r="X1031" s="470">
        <v>28</v>
      </c>
      <c r="Y1031" s="470">
        <v>0</v>
      </c>
      <c r="Z1031" s="470">
        <v>1</v>
      </c>
      <c r="AA1031" s="470">
        <v>27</v>
      </c>
      <c r="AB1031" s="470">
        <v>27</v>
      </c>
      <c r="AC1031" s="473">
        <v>32033</v>
      </c>
      <c r="AD1031" s="473">
        <v>32033</v>
      </c>
      <c r="AE1031" s="473">
        <v>13900</v>
      </c>
      <c r="AF1031" s="473">
        <v>5560</v>
      </c>
      <c r="AG1031" s="473">
        <v>1543</v>
      </c>
      <c r="AH1031" s="473">
        <v>193</v>
      </c>
      <c r="AI1031" s="473">
        <v>1205</v>
      </c>
      <c r="AJ1031" s="473">
        <v>0</v>
      </c>
      <c r="AK1031" s="473">
        <v>0</v>
      </c>
      <c r="AL1031" s="473">
        <v>0</v>
      </c>
      <c r="AM1031" s="473">
        <v>0</v>
      </c>
      <c r="AN1031" s="473">
        <v>0</v>
      </c>
      <c r="AO1031" s="473">
        <v>0</v>
      </c>
      <c r="AP1031" s="473">
        <v>0</v>
      </c>
      <c r="AQ1031" s="473">
        <v>1668</v>
      </c>
      <c r="AR1031" s="473">
        <v>6820</v>
      </c>
      <c r="AS1031" s="473">
        <v>0</v>
      </c>
      <c r="AT1031" s="473">
        <v>0</v>
      </c>
      <c r="AU1031" s="473">
        <v>4343</v>
      </c>
      <c r="AV1031" s="473">
        <v>35232</v>
      </c>
      <c r="AW1031" s="474">
        <v>30889</v>
      </c>
      <c r="AX1031" s="473"/>
      <c r="AY1031" s="473">
        <v>0</v>
      </c>
      <c r="AZ1031" s="475">
        <v>0</v>
      </c>
      <c r="BA1031" s="475">
        <v>300</v>
      </c>
      <c r="BB1031" s="475">
        <v>1668</v>
      </c>
      <c r="BC1031" s="475">
        <v>0</v>
      </c>
      <c r="BD1031" s="475">
        <v>0</v>
      </c>
      <c r="BE1031" s="475">
        <v>0</v>
      </c>
      <c r="BF1031" s="475">
        <v>0</v>
      </c>
      <c r="BG1031" s="475">
        <v>1968</v>
      </c>
      <c r="BH1031" s="476">
        <v>33264</v>
      </c>
      <c r="BI1031" s="467"/>
      <c r="BJ1031" s="468"/>
    </row>
    <row r="1032" spans="1:62">
      <c r="A1032" s="469">
        <v>46054</v>
      </c>
      <c r="B1032" s="469" t="s">
        <v>747</v>
      </c>
      <c r="C1032" s="508"/>
      <c r="D1032" s="470" t="s">
        <v>749</v>
      </c>
      <c r="E1032" s="471">
        <v>2190</v>
      </c>
      <c r="F1032" s="470" t="s">
        <v>1294</v>
      </c>
      <c r="G1032" s="470" t="s">
        <v>751</v>
      </c>
      <c r="H1032" s="470" t="s">
        <v>12</v>
      </c>
      <c r="I1032" s="470" t="s">
        <v>1295</v>
      </c>
      <c r="J1032" s="472" t="s">
        <v>1296</v>
      </c>
      <c r="K1032" s="470" t="s">
        <v>1297</v>
      </c>
      <c r="L1032" s="470" t="s">
        <v>1298</v>
      </c>
      <c r="M1032" s="470" t="s">
        <v>1298</v>
      </c>
      <c r="N1032" s="470" t="s">
        <v>1075</v>
      </c>
      <c r="O1032" s="472" t="s">
        <v>757</v>
      </c>
      <c r="P1032" s="472" t="s">
        <v>738</v>
      </c>
      <c r="Q1032" s="472" t="s">
        <v>758</v>
      </c>
      <c r="R1032" s="472" t="s">
        <v>12</v>
      </c>
      <c r="S1032" s="472" t="s">
        <v>12</v>
      </c>
      <c r="T1032" s="472" t="s">
        <v>1299</v>
      </c>
      <c r="U1032" s="470" t="s">
        <v>1300</v>
      </c>
      <c r="V1032" s="470" t="s">
        <v>761</v>
      </c>
      <c r="W1032" s="470" t="s">
        <v>1301</v>
      </c>
      <c r="X1032" s="470">
        <v>28</v>
      </c>
      <c r="Y1032" s="470">
        <v>0</v>
      </c>
      <c r="Z1032" s="470">
        <v>0</v>
      </c>
      <c r="AA1032" s="470">
        <v>28</v>
      </c>
      <c r="AB1032" s="470">
        <v>28</v>
      </c>
      <c r="AC1032" s="473">
        <v>24438</v>
      </c>
      <c r="AD1032" s="473">
        <v>24438</v>
      </c>
      <c r="AE1032" s="473">
        <v>10997</v>
      </c>
      <c r="AF1032" s="473">
        <v>4399</v>
      </c>
      <c r="AG1032" s="473">
        <v>1600</v>
      </c>
      <c r="AH1032" s="473">
        <v>200</v>
      </c>
      <c r="AI1032" s="473">
        <v>1250</v>
      </c>
      <c r="AJ1032" s="473">
        <v>0</v>
      </c>
      <c r="AK1032" s="473">
        <v>0</v>
      </c>
      <c r="AL1032" s="473">
        <v>0</v>
      </c>
      <c r="AM1032" s="473">
        <v>0</v>
      </c>
      <c r="AN1032" s="473">
        <v>0</v>
      </c>
      <c r="AO1032" s="473">
        <v>0</v>
      </c>
      <c r="AP1032" s="473">
        <v>0</v>
      </c>
      <c r="AQ1032" s="473">
        <v>1320</v>
      </c>
      <c r="AR1032" s="473">
        <v>4672</v>
      </c>
      <c r="AS1032" s="473">
        <v>0</v>
      </c>
      <c r="AT1032" s="473">
        <v>0</v>
      </c>
      <c r="AU1032" s="473">
        <v>11174</v>
      </c>
      <c r="AV1032" s="473">
        <v>35612</v>
      </c>
      <c r="AW1032" s="474">
        <v>24438</v>
      </c>
      <c r="AX1032" s="473"/>
      <c r="AY1032" s="473">
        <v>0</v>
      </c>
      <c r="AZ1032" s="475">
        <v>0</v>
      </c>
      <c r="BA1032" s="475">
        <v>300</v>
      </c>
      <c r="BB1032" s="475">
        <v>1320</v>
      </c>
      <c r="BC1032" s="475">
        <v>0</v>
      </c>
      <c r="BD1032" s="475">
        <v>0</v>
      </c>
      <c r="BE1032" s="475">
        <v>0</v>
      </c>
      <c r="BF1032" s="475">
        <v>0</v>
      </c>
      <c r="BG1032" s="475">
        <v>1620</v>
      </c>
      <c r="BH1032" s="476">
        <v>33992</v>
      </c>
      <c r="BI1032" s="467"/>
      <c r="BJ1032" s="468"/>
    </row>
    <row r="1033" spans="1:62">
      <c r="A1033" s="469">
        <v>46054</v>
      </c>
      <c r="B1033" s="469" t="s">
        <v>747</v>
      </c>
      <c r="C1033" s="508"/>
      <c r="D1033" s="470" t="s">
        <v>749</v>
      </c>
      <c r="E1033" s="471">
        <v>1480</v>
      </c>
      <c r="F1033" s="470" t="s">
        <v>1078</v>
      </c>
      <c r="G1033" s="470" t="s">
        <v>751</v>
      </c>
      <c r="H1033" s="470" t="s">
        <v>12</v>
      </c>
      <c r="I1033" s="470" t="s">
        <v>1079</v>
      </c>
      <c r="J1033" s="472" t="s">
        <v>1080</v>
      </c>
      <c r="K1033" s="470" t="s">
        <v>1081</v>
      </c>
      <c r="L1033" s="470" t="s">
        <v>767</v>
      </c>
      <c r="M1033" s="470" t="s">
        <v>767</v>
      </c>
      <c r="N1033" s="470" t="s">
        <v>756</v>
      </c>
      <c r="O1033" s="472" t="s">
        <v>757</v>
      </c>
      <c r="P1033" s="472" t="s">
        <v>738</v>
      </c>
      <c r="Q1033" s="472" t="s">
        <v>758</v>
      </c>
      <c r="R1033" s="472" t="s">
        <v>12</v>
      </c>
      <c r="S1033" s="472" t="s">
        <v>12</v>
      </c>
      <c r="T1033" s="472" t="s">
        <v>1082</v>
      </c>
      <c r="U1033" s="470" t="s">
        <v>1083</v>
      </c>
      <c r="V1033" s="470" t="s">
        <v>761</v>
      </c>
      <c r="W1033" s="470" t="s">
        <v>1084</v>
      </c>
      <c r="X1033" s="470">
        <v>28</v>
      </c>
      <c r="Y1033" s="470">
        <v>0</v>
      </c>
      <c r="Z1033" s="470">
        <v>0.5</v>
      </c>
      <c r="AA1033" s="470">
        <v>27.5</v>
      </c>
      <c r="AB1033" s="470">
        <v>27.5</v>
      </c>
      <c r="AC1033" s="473">
        <v>72817</v>
      </c>
      <c r="AD1033" s="473">
        <v>72817</v>
      </c>
      <c r="AE1033" s="473">
        <v>32183</v>
      </c>
      <c r="AF1033" s="473">
        <v>12873</v>
      </c>
      <c r="AG1033" s="473">
        <v>1571</v>
      </c>
      <c r="AH1033" s="473">
        <v>196</v>
      </c>
      <c r="AI1033" s="473">
        <v>1228</v>
      </c>
      <c r="AJ1033" s="473">
        <v>2681</v>
      </c>
      <c r="AK1033" s="473">
        <v>6437</v>
      </c>
      <c r="AL1033" s="473">
        <v>4827</v>
      </c>
      <c r="AM1033" s="473">
        <v>322</v>
      </c>
      <c r="AN1033" s="473">
        <v>1126</v>
      </c>
      <c r="AO1033" s="473">
        <v>644</v>
      </c>
      <c r="AP1033" s="473">
        <v>161</v>
      </c>
      <c r="AQ1033" s="473">
        <v>1800</v>
      </c>
      <c r="AR1033" s="473">
        <v>5468</v>
      </c>
      <c r="AS1033" s="473">
        <v>0</v>
      </c>
      <c r="AT1033" s="473">
        <v>1400</v>
      </c>
      <c r="AU1033" s="473"/>
      <c r="AV1033" s="473">
        <v>72917</v>
      </c>
      <c r="AW1033" s="474">
        <v>72917</v>
      </c>
      <c r="AX1033" s="473"/>
      <c r="AY1033" s="473">
        <v>0</v>
      </c>
      <c r="AZ1033" s="475">
        <v>0</v>
      </c>
      <c r="BA1033" s="475">
        <v>300</v>
      </c>
      <c r="BB1033" s="475">
        <v>1800</v>
      </c>
      <c r="BC1033" s="475">
        <v>0</v>
      </c>
      <c r="BD1033" s="475">
        <v>0</v>
      </c>
      <c r="BE1033" s="475">
        <v>0</v>
      </c>
      <c r="BF1033" s="475">
        <v>0</v>
      </c>
      <c r="BG1033" s="475">
        <v>2100</v>
      </c>
      <c r="BH1033" s="476">
        <v>70817</v>
      </c>
      <c r="BI1033" s="467"/>
      <c r="BJ1033" s="468"/>
    </row>
    <row r="1034" spans="1:62">
      <c r="A1034" s="469">
        <v>46054</v>
      </c>
      <c r="B1034" s="469" t="s">
        <v>747</v>
      </c>
      <c r="C1034" s="508"/>
      <c r="D1034" s="470" t="s">
        <v>749</v>
      </c>
      <c r="E1034" s="471">
        <v>405</v>
      </c>
      <c r="F1034" s="470" t="s">
        <v>1085</v>
      </c>
      <c r="G1034" s="470" t="s">
        <v>751</v>
      </c>
      <c r="H1034" s="470" t="s">
        <v>12</v>
      </c>
      <c r="I1034" s="470" t="s">
        <v>954</v>
      </c>
      <c r="J1034" s="472" t="s">
        <v>1086</v>
      </c>
      <c r="K1034" s="470" t="s">
        <v>1087</v>
      </c>
      <c r="L1034" s="470" t="s">
        <v>832</v>
      </c>
      <c r="M1034" s="470" t="s">
        <v>832</v>
      </c>
      <c r="N1034" s="470" t="s">
        <v>833</v>
      </c>
      <c r="O1034" s="472" t="s">
        <v>757</v>
      </c>
      <c r="P1034" s="472" t="s">
        <v>738</v>
      </c>
      <c r="Q1034" s="472" t="s">
        <v>758</v>
      </c>
      <c r="R1034" s="472" t="s">
        <v>12</v>
      </c>
      <c r="S1034" s="472" t="s">
        <v>12</v>
      </c>
      <c r="T1034" s="472" t="s">
        <v>1088</v>
      </c>
      <c r="U1034" s="470" t="s">
        <v>1089</v>
      </c>
      <c r="V1034" s="470" t="s">
        <v>761</v>
      </c>
      <c r="W1034" s="470" t="s">
        <v>762</v>
      </c>
      <c r="X1034" s="470">
        <v>28</v>
      </c>
      <c r="Y1034" s="470">
        <v>0</v>
      </c>
      <c r="Z1034" s="470">
        <v>2</v>
      </c>
      <c r="AA1034" s="470">
        <v>26</v>
      </c>
      <c r="AB1034" s="470">
        <v>26</v>
      </c>
      <c r="AC1034" s="473">
        <v>33167</v>
      </c>
      <c r="AD1034" s="473">
        <v>33167</v>
      </c>
      <c r="AE1034" s="473">
        <v>13859</v>
      </c>
      <c r="AF1034" s="473">
        <v>5544</v>
      </c>
      <c r="AG1034" s="473">
        <v>1486</v>
      </c>
      <c r="AH1034" s="473">
        <v>186</v>
      </c>
      <c r="AI1034" s="473">
        <v>1161</v>
      </c>
      <c r="AJ1034" s="473">
        <v>0</v>
      </c>
      <c r="AK1034" s="473">
        <v>0</v>
      </c>
      <c r="AL1034" s="473">
        <v>0</v>
      </c>
      <c r="AM1034" s="473">
        <v>0</v>
      </c>
      <c r="AN1034" s="473">
        <v>0</v>
      </c>
      <c r="AO1034" s="473">
        <v>0</v>
      </c>
      <c r="AP1034" s="473">
        <v>0</v>
      </c>
      <c r="AQ1034" s="473">
        <v>1663</v>
      </c>
      <c r="AR1034" s="473">
        <v>6899</v>
      </c>
      <c r="AS1034" s="473">
        <v>0</v>
      </c>
      <c r="AT1034" s="473">
        <v>0</v>
      </c>
      <c r="AU1034" s="473">
        <v>366</v>
      </c>
      <c r="AV1034" s="473">
        <v>31164</v>
      </c>
      <c r="AW1034" s="474">
        <v>30798</v>
      </c>
      <c r="AX1034" s="473"/>
      <c r="AY1034" s="473">
        <v>0</v>
      </c>
      <c r="AZ1034" s="475">
        <v>0</v>
      </c>
      <c r="BA1034" s="475">
        <v>300</v>
      </c>
      <c r="BB1034" s="475">
        <v>1663</v>
      </c>
      <c r="BC1034" s="475">
        <v>0</v>
      </c>
      <c r="BD1034" s="475">
        <v>0</v>
      </c>
      <c r="BE1034" s="475">
        <v>0</v>
      </c>
      <c r="BF1034" s="475">
        <v>0</v>
      </c>
      <c r="BG1034" s="475">
        <v>1963</v>
      </c>
      <c r="BH1034" s="476">
        <v>29201</v>
      </c>
      <c r="BI1034" s="467"/>
      <c r="BJ1034" s="468"/>
    </row>
    <row r="1035" spans="1:62">
      <c r="A1035" s="469">
        <v>46054</v>
      </c>
      <c r="B1035" s="469" t="s">
        <v>747</v>
      </c>
      <c r="C1035" s="508"/>
      <c r="D1035" s="470" t="s">
        <v>749</v>
      </c>
      <c r="E1035" s="471">
        <v>1916</v>
      </c>
      <c r="F1035" s="470" t="s">
        <v>1090</v>
      </c>
      <c r="G1035" s="470" t="s">
        <v>751</v>
      </c>
      <c r="H1035" s="470" t="s">
        <v>12</v>
      </c>
      <c r="I1035" s="470" t="s">
        <v>853</v>
      </c>
      <c r="J1035" s="472" t="s">
        <v>1091</v>
      </c>
      <c r="K1035" s="470" t="s">
        <v>1092</v>
      </c>
      <c r="L1035" s="470" t="s">
        <v>776</v>
      </c>
      <c r="M1035" s="470" t="s">
        <v>776</v>
      </c>
      <c r="N1035" s="470" t="s">
        <v>777</v>
      </c>
      <c r="O1035" s="472" t="s">
        <v>757</v>
      </c>
      <c r="P1035" s="472" t="s">
        <v>738</v>
      </c>
      <c r="Q1035" s="472" t="s">
        <v>758</v>
      </c>
      <c r="R1035" s="472" t="s">
        <v>12</v>
      </c>
      <c r="S1035" s="472" t="s">
        <v>12</v>
      </c>
      <c r="T1035" s="472" t="s">
        <v>1093</v>
      </c>
      <c r="U1035" s="470" t="s">
        <v>1094</v>
      </c>
      <c r="V1035" s="470" t="s">
        <v>761</v>
      </c>
      <c r="W1035" s="470" t="s">
        <v>1095</v>
      </c>
      <c r="X1035" s="470">
        <v>28</v>
      </c>
      <c r="Y1035" s="470">
        <v>0</v>
      </c>
      <c r="Z1035" s="470">
        <v>0</v>
      </c>
      <c r="AA1035" s="470">
        <v>28</v>
      </c>
      <c r="AB1035" s="470">
        <v>28</v>
      </c>
      <c r="AC1035" s="473">
        <v>94033</v>
      </c>
      <c r="AD1035" s="473">
        <v>94033</v>
      </c>
      <c r="AE1035" s="473">
        <v>42315</v>
      </c>
      <c r="AF1035" s="473">
        <v>16926</v>
      </c>
      <c r="AG1035" s="473">
        <v>1600</v>
      </c>
      <c r="AH1035" s="473">
        <v>200</v>
      </c>
      <c r="AI1035" s="473">
        <v>1250</v>
      </c>
      <c r="AJ1035" s="473">
        <v>3525</v>
      </c>
      <c r="AK1035" s="473">
        <v>8463</v>
      </c>
      <c r="AL1035" s="473">
        <v>6347</v>
      </c>
      <c r="AM1035" s="473">
        <v>423</v>
      </c>
      <c r="AN1035" s="473">
        <v>1481</v>
      </c>
      <c r="AO1035" s="473">
        <v>846</v>
      </c>
      <c r="AP1035" s="473">
        <v>212</v>
      </c>
      <c r="AQ1035" s="473">
        <v>1800</v>
      </c>
      <c r="AR1035" s="473">
        <v>8645</v>
      </c>
      <c r="AS1035" s="473">
        <v>0</v>
      </c>
      <c r="AT1035" s="473">
        <v>0</v>
      </c>
      <c r="AU1035" s="473">
        <v>820</v>
      </c>
      <c r="AV1035" s="473">
        <v>94853</v>
      </c>
      <c r="AW1035" s="474">
        <v>94033</v>
      </c>
      <c r="AX1035" s="473"/>
      <c r="AY1035" s="473">
        <v>0</v>
      </c>
      <c r="AZ1035" s="475">
        <v>0</v>
      </c>
      <c r="BA1035" s="475">
        <v>300</v>
      </c>
      <c r="BB1035" s="475">
        <v>1800</v>
      </c>
      <c r="BC1035" s="475">
        <v>0</v>
      </c>
      <c r="BD1035" s="475">
        <v>0</v>
      </c>
      <c r="BE1035" s="475">
        <v>0</v>
      </c>
      <c r="BF1035" s="475">
        <v>0</v>
      </c>
      <c r="BG1035" s="475">
        <v>2100</v>
      </c>
      <c r="BH1035" s="476">
        <v>92753</v>
      </c>
      <c r="BI1035" s="467"/>
      <c r="BJ1035" s="468"/>
    </row>
    <row r="1036" spans="1:62">
      <c r="A1036" s="469">
        <v>46054</v>
      </c>
      <c r="B1036" s="469" t="s">
        <v>747</v>
      </c>
      <c r="C1036" s="508"/>
      <c r="D1036" s="470" t="s">
        <v>749</v>
      </c>
      <c r="E1036" s="471">
        <v>1093</v>
      </c>
      <c r="F1036" s="470" t="s">
        <v>1096</v>
      </c>
      <c r="G1036" s="470" t="s">
        <v>751</v>
      </c>
      <c r="H1036" s="470" t="s">
        <v>12</v>
      </c>
      <c r="I1036" s="470" t="s">
        <v>976</v>
      </c>
      <c r="J1036" s="472" t="s">
        <v>1097</v>
      </c>
      <c r="K1036" s="470" t="s">
        <v>1098</v>
      </c>
      <c r="L1036" s="470" t="s">
        <v>1292</v>
      </c>
      <c r="M1036" s="470" t="s">
        <v>1292</v>
      </c>
      <c r="N1036" s="470" t="s">
        <v>1275</v>
      </c>
      <c r="O1036" s="472" t="s">
        <v>792</v>
      </c>
      <c r="P1036" s="472" t="s">
        <v>738</v>
      </c>
      <c r="Q1036" s="472" t="s">
        <v>758</v>
      </c>
      <c r="R1036" s="472" t="s">
        <v>12</v>
      </c>
      <c r="S1036" s="472" t="s">
        <v>12</v>
      </c>
      <c r="T1036" s="472" t="s">
        <v>1099</v>
      </c>
      <c r="U1036" s="470" t="s">
        <v>1100</v>
      </c>
      <c r="V1036" s="470" t="s">
        <v>761</v>
      </c>
      <c r="W1036" s="470" t="s">
        <v>1101</v>
      </c>
      <c r="X1036" s="470">
        <v>28</v>
      </c>
      <c r="Y1036" s="470">
        <v>0</v>
      </c>
      <c r="Z1036" s="470">
        <v>0</v>
      </c>
      <c r="AA1036" s="470">
        <v>10</v>
      </c>
      <c r="AB1036" s="470">
        <v>10</v>
      </c>
      <c r="AC1036" s="473">
        <v>96667</v>
      </c>
      <c r="AD1036" s="473">
        <v>96667</v>
      </c>
      <c r="AE1036" s="473">
        <v>15536</v>
      </c>
      <c r="AF1036" s="473">
        <v>6214</v>
      </c>
      <c r="AG1036" s="473">
        <v>571</v>
      </c>
      <c r="AH1036" s="473">
        <v>200</v>
      </c>
      <c r="AI1036" s="473">
        <v>446</v>
      </c>
      <c r="AJ1036" s="473">
        <v>1294</v>
      </c>
      <c r="AK1036" s="473">
        <v>3107</v>
      </c>
      <c r="AL1036" s="473">
        <v>2330</v>
      </c>
      <c r="AM1036" s="473">
        <v>155</v>
      </c>
      <c r="AN1036" s="473">
        <v>544</v>
      </c>
      <c r="AO1036" s="473">
        <v>311</v>
      </c>
      <c r="AP1036" s="473">
        <v>78</v>
      </c>
      <c r="AQ1036" s="473">
        <v>1800</v>
      </c>
      <c r="AR1036" s="473">
        <v>1938</v>
      </c>
      <c r="AS1036" s="473">
        <v>0</v>
      </c>
      <c r="AT1036" s="473">
        <v>0</v>
      </c>
      <c r="AU1036" s="473">
        <v>3396</v>
      </c>
      <c r="AV1036" s="473">
        <v>37920</v>
      </c>
      <c r="AW1036" s="474">
        <v>34524</v>
      </c>
      <c r="AX1036" s="473"/>
      <c r="AY1036" s="473">
        <v>0</v>
      </c>
      <c r="AZ1036" s="475">
        <v>16281</v>
      </c>
      <c r="BA1036" s="475">
        <v>300</v>
      </c>
      <c r="BB1036" s="475">
        <v>1800</v>
      </c>
      <c r="BC1036" s="475">
        <v>0</v>
      </c>
      <c r="BD1036" s="475">
        <v>0</v>
      </c>
      <c r="BE1036" s="475">
        <v>0</v>
      </c>
      <c r="BF1036" s="475">
        <v>0</v>
      </c>
      <c r="BG1036" s="475">
        <v>18381</v>
      </c>
      <c r="BH1036" s="476">
        <v>19539</v>
      </c>
      <c r="BI1036" s="467"/>
      <c r="BJ1036" s="468"/>
    </row>
    <row r="1037" spans="1:62">
      <c r="A1037" s="469">
        <v>46054</v>
      </c>
      <c r="B1037" s="469" t="s">
        <v>747</v>
      </c>
      <c r="C1037" s="508"/>
      <c r="D1037" s="470" t="s">
        <v>749</v>
      </c>
      <c r="E1037" s="471">
        <v>2287</v>
      </c>
      <c r="F1037" s="470" t="s">
        <v>1470</v>
      </c>
      <c r="G1037" s="470" t="s">
        <v>751</v>
      </c>
      <c r="H1037" s="470" t="s">
        <v>12</v>
      </c>
      <c r="I1037" s="470" t="s">
        <v>1471</v>
      </c>
      <c r="J1037" s="472" t="s">
        <v>1472</v>
      </c>
      <c r="K1037" s="470" t="s">
        <v>1473</v>
      </c>
      <c r="L1037" s="470" t="s">
        <v>1305</v>
      </c>
      <c r="M1037" s="470" t="s">
        <v>1305</v>
      </c>
      <c r="N1037" s="470" t="s">
        <v>1275</v>
      </c>
      <c r="O1037" s="472" t="s">
        <v>757</v>
      </c>
      <c r="P1037" s="472" t="s">
        <v>738</v>
      </c>
      <c r="Q1037" s="472" t="s">
        <v>758</v>
      </c>
      <c r="R1037" s="472" t="s">
        <v>12</v>
      </c>
      <c r="S1037" s="472" t="s">
        <v>12</v>
      </c>
      <c r="T1037" s="472" t="s">
        <v>1474</v>
      </c>
      <c r="U1037" s="470" t="s">
        <v>1475</v>
      </c>
      <c r="V1037" s="470" t="s">
        <v>761</v>
      </c>
      <c r="W1037" s="470" t="s">
        <v>1387</v>
      </c>
      <c r="X1037" s="470">
        <v>28</v>
      </c>
      <c r="Y1037" s="470">
        <v>0</v>
      </c>
      <c r="Z1037" s="470">
        <v>0</v>
      </c>
      <c r="AA1037" s="470">
        <v>28</v>
      </c>
      <c r="AB1037" s="470">
        <v>28</v>
      </c>
      <c r="AC1037" s="473">
        <v>66200</v>
      </c>
      <c r="AD1037" s="473">
        <v>66200</v>
      </c>
      <c r="AE1037" s="473">
        <v>29790</v>
      </c>
      <c r="AF1037" s="473">
        <v>11916</v>
      </c>
      <c r="AG1037" s="473">
        <v>1600</v>
      </c>
      <c r="AH1037" s="473">
        <v>200</v>
      </c>
      <c r="AI1037" s="473">
        <v>1250</v>
      </c>
      <c r="AJ1037" s="473">
        <v>2482</v>
      </c>
      <c r="AK1037" s="473">
        <v>5958</v>
      </c>
      <c r="AL1037" s="473">
        <v>4469</v>
      </c>
      <c r="AM1037" s="473">
        <v>298</v>
      </c>
      <c r="AN1037" s="473">
        <v>1043</v>
      </c>
      <c r="AO1037" s="473">
        <v>596</v>
      </c>
      <c r="AP1037" s="473">
        <v>149</v>
      </c>
      <c r="AQ1037" s="473">
        <v>1800</v>
      </c>
      <c r="AR1037" s="473">
        <v>4649</v>
      </c>
      <c r="AS1037" s="473">
        <v>0</v>
      </c>
      <c r="AT1037" s="473">
        <v>0</v>
      </c>
      <c r="AU1037" s="473">
        <v>3442</v>
      </c>
      <c r="AV1037" s="473">
        <v>69642</v>
      </c>
      <c r="AW1037" s="474">
        <v>66200</v>
      </c>
      <c r="AX1037" s="473"/>
      <c r="AY1037" s="473">
        <v>0</v>
      </c>
      <c r="AZ1037" s="475">
        <v>0</v>
      </c>
      <c r="BA1037" s="475">
        <v>300</v>
      </c>
      <c r="BB1037" s="475">
        <v>1800</v>
      </c>
      <c r="BC1037" s="475">
        <v>0</v>
      </c>
      <c r="BD1037" s="475">
        <v>0</v>
      </c>
      <c r="BE1037" s="475">
        <v>0</v>
      </c>
      <c r="BF1037" s="475">
        <v>0</v>
      </c>
      <c r="BG1037" s="475">
        <v>2100</v>
      </c>
      <c r="BH1037" s="476">
        <v>67542</v>
      </c>
      <c r="BI1037" s="467"/>
      <c r="BJ1037" s="468"/>
    </row>
    <row r="1038" spans="1:62">
      <c r="A1038" s="469">
        <v>46054</v>
      </c>
      <c r="B1038" s="469" t="s">
        <v>747</v>
      </c>
      <c r="C1038" s="508"/>
      <c r="D1038" s="470" t="s">
        <v>749</v>
      </c>
      <c r="E1038" s="471">
        <v>2261</v>
      </c>
      <c r="F1038" s="470" t="s">
        <v>1476</v>
      </c>
      <c r="G1038" s="470" t="s">
        <v>751</v>
      </c>
      <c r="H1038" s="470" t="s">
        <v>12</v>
      </c>
      <c r="I1038" s="470" t="s">
        <v>1477</v>
      </c>
      <c r="J1038" s="472" t="s">
        <v>1478</v>
      </c>
      <c r="K1038" s="470" t="s">
        <v>1479</v>
      </c>
      <c r="L1038" s="470" t="s">
        <v>1192</v>
      </c>
      <c r="M1038" s="470" t="s">
        <v>1328</v>
      </c>
      <c r="N1038" s="470" t="s">
        <v>833</v>
      </c>
      <c r="O1038" s="472" t="s">
        <v>1043</v>
      </c>
      <c r="P1038" s="472" t="s">
        <v>738</v>
      </c>
      <c r="Q1038" s="472" t="s">
        <v>758</v>
      </c>
      <c r="R1038" s="472" t="s">
        <v>12</v>
      </c>
      <c r="S1038" s="472" t="s">
        <v>12</v>
      </c>
      <c r="T1038" s="472" t="s">
        <v>1480</v>
      </c>
      <c r="U1038" s="470" t="s">
        <v>1481</v>
      </c>
      <c r="V1038" s="470" t="s">
        <v>761</v>
      </c>
      <c r="W1038" s="470" t="s">
        <v>876</v>
      </c>
      <c r="X1038" s="470">
        <v>28</v>
      </c>
      <c r="Y1038" s="470">
        <v>0</v>
      </c>
      <c r="Z1038" s="470">
        <v>0</v>
      </c>
      <c r="AA1038" s="470">
        <v>28</v>
      </c>
      <c r="AB1038" s="470">
        <v>28</v>
      </c>
      <c r="AC1038" s="473">
        <v>27519</v>
      </c>
      <c r="AD1038" s="473">
        <v>27519</v>
      </c>
      <c r="AE1038" s="473">
        <v>12384</v>
      </c>
      <c r="AF1038" s="473">
        <v>4954</v>
      </c>
      <c r="AG1038" s="473">
        <v>1600</v>
      </c>
      <c r="AH1038" s="473">
        <v>200</v>
      </c>
      <c r="AI1038" s="473">
        <v>1250</v>
      </c>
      <c r="AJ1038" s="473">
        <v>0</v>
      </c>
      <c r="AK1038" s="473">
        <v>0</v>
      </c>
      <c r="AL1038" s="473">
        <v>0</v>
      </c>
      <c r="AM1038" s="473">
        <v>0</v>
      </c>
      <c r="AN1038" s="473">
        <v>0</v>
      </c>
      <c r="AO1038" s="473">
        <v>0</v>
      </c>
      <c r="AP1038" s="473">
        <v>0</v>
      </c>
      <c r="AQ1038" s="473">
        <v>1486</v>
      </c>
      <c r="AR1038" s="473">
        <v>5645</v>
      </c>
      <c r="AS1038" s="473">
        <v>0</v>
      </c>
      <c r="AT1038" s="473">
        <v>238</v>
      </c>
      <c r="AU1038" s="473"/>
      <c r="AV1038" s="473">
        <v>27757</v>
      </c>
      <c r="AW1038" s="474">
        <v>27757</v>
      </c>
      <c r="AX1038" s="473"/>
      <c r="AY1038" s="473">
        <v>0</v>
      </c>
      <c r="AZ1038" s="475">
        <v>0</v>
      </c>
      <c r="BA1038" s="475">
        <v>300</v>
      </c>
      <c r="BB1038" s="475">
        <v>1486</v>
      </c>
      <c r="BC1038" s="475">
        <v>0</v>
      </c>
      <c r="BD1038" s="475">
        <v>0</v>
      </c>
      <c r="BE1038" s="475">
        <v>0</v>
      </c>
      <c r="BF1038" s="475">
        <v>0</v>
      </c>
      <c r="BG1038" s="475">
        <v>1786</v>
      </c>
      <c r="BH1038" s="476">
        <v>25971</v>
      </c>
      <c r="BI1038" s="467"/>
      <c r="BJ1038" s="468"/>
    </row>
    <row r="1039" spans="1:62">
      <c r="A1039" s="469">
        <v>46054</v>
      </c>
      <c r="B1039" s="469" t="s">
        <v>747</v>
      </c>
      <c r="C1039" s="508"/>
      <c r="D1039" s="470" t="s">
        <v>749</v>
      </c>
      <c r="E1039" s="471">
        <v>2279</v>
      </c>
      <c r="F1039" s="470" t="s">
        <v>1482</v>
      </c>
      <c r="G1039" s="470" t="s">
        <v>751</v>
      </c>
      <c r="H1039" s="470" t="s">
        <v>12</v>
      </c>
      <c r="I1039" s="470" t="s">
        <v>1426</v>
      </c>
      <c r="J1039" s="472" t="s">
        <v>1483</v>
      </c>
      <c r="K1039" s="470" t="s">
        <v>1484</v>
      </c>
      <c r="L1039" s="470" t="s">
        <v>824</v>
      </c>
      <c r="M1039" s="470" t="s">
        <v>824</v>
      </c>
      <c r="N1039" s="470" t="s">
        <v>1275</v>
      </c>
      <c r="O1039" s="472" t="s">
        <v>1276</v>
      </c>
      <c r="P1039" s="472" t="s">
        <v>738</v>
      </c>
      <c r="Q1039" s="472" t="s">
        <v>758</v>
      </c>
      <c r="R1039" s="472" t="s">
        <v>12</v>
      </c>
      <c r="S1039" s="472" t="s">
        <v>12</v>
      </c>
      <c r="T1039" s="472" t="s">
        <v>1485</v>
      </c>
      <c r="U1039" s="470" t="s">
        <v>1486</v>
      </c>
      <c r="V1039" s="470" t="s">
        <v>761</v>
      </c>
      <c r="W1039" s="470" t="s">
        <v>1361</v>
      </c>
      <c r="X1039" s="470">
        <v>28</v>
      </c>
      <c r="Y1039" s="470">
        <v>0</v>
      </c>
      <c r="Z1039" s="470">
        <v>0</v>
      </c>
      <c r="AA1039" s="470">
        <v>28</v>
      </c>
      <c r="AB1039" s="470">
        <v>28</v>
      </c>
      <c r="AC1039" s="473">
        <v>44033</v>
      </c>
      <c r="AD1039" s="473">
        <v>44033</v>
      </c>
      <c r="AE1039" s="473">
        <v>19815</v>
      </c>
      <c r="AF1039" s="473">
        <v>7926</v>
      </c>
      <c r="AG1039" s="473">
        <v>1600</v>
      </c>
      <c r="AH1039" s="473">
        <v>200</v>
      </c>
      <c r="AI1039" s="473">
        <v>1250</v>
      </c>
      <c r="AJ1039" s="473">
        <v>1651</v>
      </c>
      <c r="AK1039" s="473">
        <v>3963</v>
      </c>
      <c r="AL1039" s="473">
        <v>2972</v>
      </c>
      <c r="AM1039" s="473">
        <v>198</v>
      </c>
      <c r="AN1039" s="473">
        <v>694</v>
      </c>
      <c r="AO1039" s="473">
        <v>396</v>
      </c>
      <c r="AP1039" s="473">
        <v>99</v>
      </c>
      <c r="AQ1039" s="473">
        <v>1800</v>
      </c>
      <c r="AR1039" s="473">
        <v>1469</v>
      </c>
      <c r="AS1039" s="473">
        <v>0</v>
      </c>
      <c r="AT1039" s="473">
        <v>0</v>
      </c>
      <c r="AU1039" s="473">
        <v>1634</v>
      </c>
      <c r="AV1039" s="473">
        <v>45667</v>
      </c>
      <c r="AW1039" s="474">
        <v>44033</v>
      </c>
      <c r="AX1039" s="473"/>
      <c r="AY1039" s="473">
        <v>0</v>
      </c>
      <c r="AZ1039" s="475">
        <v>0</v>
      </c>
      <c r="BA1039" s="475">
        <v>300</v>
      </c>
      <c r="BB1039" s="475">
        <v>1800</v>
      </c>
      <c r="BC1039" s="475">
        <v>0</v>
      </c>
      <c r="BD1039" s="475">
        <v>0</v>
      </c>
      <c r="BE1039" s="475">
        <v>0</v>
      </c>
      <c r="BF1039" s="475">
        <v>0</v>
      </c>
      <c r="BG1039" s="475">
        <v>2100</v>
      </c>
      <c r="BH1039" s="476">
        <v>43567</v>
      </c>
      <c r="BI1039" s="467"/>
      <c r="BJ1039" s="468"/>
    </row>
    <row r="1040" spans="1:62">
      <c r="A1040" s="469">
        <v>46054</v>
      </c>
      <c r="B1040" s="469" t="s">
        <v>747</v>
      </c>
      <c r="C1040" s="508"/>
      <c r="D1040" s="470" t="s">
        <v>749</v>
      </c>
      <c r="E1040" s="471">
        <v>2274</v>
      </c>
      <c r="F1040" s="470" t="s">
        <v>1487</v>
      </c>
      <c r="G1040" s="470" t="s">
        <v>812</v>
      </c>
      <c r="H1040" s="470" t="s">
        <v>12</v>
      </c>
      <c r="I1040" s="470" t="s">
        <v>1426</v>
      </c>
      <c r="J1040" s="472" t="s">
        <v>1488</v>
      </c>
      <c r="K1040" s="470" t="s">
        <v>1489</v>
      </c>
      <c r="L1040" s="470" t="s">
        <v>824</v>
      </c>
      <c r="M1040" s="470" t="s">
        <v>824</v>
      </c>
      <c r="N1040" s="470" t="s">
        <v>1275</v>
      </c>
      <c r="O1040" s="472" t="s">
        <v>1276</v>
      </c>
      <c r="P1040" s="472" t="s">
        <v>738</v>
      </c>
      <c r="Q1040" s="472" t="s">
        <v>758</v>
      </c>
      <c r="R1040" s="472" t="s">
        <v>12</v>
      </c>
      <c r="S1040" s="472" t="s">
        <v>12</v>
      </c>
      <c r="T1040" s="472" t="s">
        <v>1490</v>
      </c>
      <c r="U1040" s="470" t="s">
        <v>1491</v>
      </c>
      <c r="V1040" s="470" t="s">
        <v>761</v>
      </c>
      <c r="W1040" s="470" t="s">
        <v>1361</v>
      </c>
      <c r="X1040" s="470">
        <v>28</v>
      </c>
      <c r="Y1040" s="470">
        <v>0</v>
      </c>
      <c r="Z1040" s="470">
        <v>0.5</v>
      </c>
      <c r="AA1040" s="470">
        <v>27.5</v>
      </c>
      <c r="AB1040" s="470">
        <v>27.5</v>
      </c>
      <c r="AC1040" s="473">
        <v>44033</v>
      </c>
      <c r="AD1040" s="473">
        <v>44033</v>
      </c>
      <c r="AE1040" s="473">
        <v>19461</v>
      </c>
      <c r="AF1040" s="473">
        <v>7784</v>
      </c>
      <c r="AG1040" s="473">
        <v>1571</v>
      </c>
      <c r="AH1040" s="473">
        <v>196</v>
      </c>
      <c r="AI1040" s="473">
        <v>1228</v>
      </c>
      <c r="AJ1040" s="473">
        <v>1621</v>
      </c>
      <c r="AK1040" s="473">
        <v>3892</v>
      </c>
      <c r="AL1040" s="473">
        <v>2919</v>
      </c>
      <c r="AM1040" s="473">
        <v>195</v>
      </c>
      <c r="AN1040" s="473">
        <v>681</v>
      </c>
      <c r="AO1040" s="473">
        <v>389</v>
      </c>
      <c r="AP1040" s="473">
        <v>97</v>
      </c>
      <c r="AQ1040" s="473">
        <v>1800</v>
      </c>
      <c r="AR1040" s="473">
        <v>1413</v>
      </c>
      <c r="AS1040" s="473">
        <v>0</v>
      </c>
      <c r="AT1040" s="473">
        <v>0</v>
      </c>
      <c r="AU1040" s="473">
        <v>158</v>
      </c>
      <c r="AV1040" s="473">
        <v>43405</v>
      </c>
      <c r="AW1040" s="474">
        <v>43247</v>
      </c>
      <c r="AX1040" s="473"/>
      <c r="AY1040" s="473">
        <v>0</v>
      </c>
      <c r="AZ1040" s="475">
        <v>0</v>
      </c>
      <c r="BA1040" s="475">
        <v>300</v>
      </c>
      <c r="BB1040" s="475">
        <v>1800</v>
      </c>
      <c r="BC1040" s="475">
        <v>0</v>
      </c>
      <c r="BD1040" s="475">
        <v>0</v>
      </c>
      <c r="BE1040" s="475">
        <v>0</v>
      </c>
      <c r="BF1040" s="475">
        <v>0</v>
      </c>
      <c r="BG1040" s="475">
        <v>2100</v>
      </c>
      <c r="BH1040" s="476">
        <v>41305</v>
      </c>
      <c r="BI1040" s="467"/>
      <c r="BJ1040" s="468"/>
    </row>
    <row r="1041" spans="1:62">
      <c r="A1041" s="469">
        <v>46054</v>
      </c>
      <c r="B1041" s="469" t="s">
        <v>747</v>
      </c>
      <c r="C1041" s="508"/>
      <c r="D1041" s="470" t="s">
        <v>749</v>
      </c>
      <c r="E1041" s="471">
        <v>2277</v>
      </c>
      <c r="F1041" s="470" t="s">
        <v>1492</v>
      </c>
      <c r="G1041" s="470" t="s">
        <v>751</v>
      </c>
      <c r="H1041" s="470" t="s">
        <v>12</v>
      </c>
      <c r="I1041" s="470" t="s">
        <v>1426</v>
      </c>
      <c r="J1041" s="472" t="s">
        <v>1493</v>
      </c>
      <c r="K1041" s="470" t="s">
        <v>1494</v>
      </c>
      <c r="L1041" s="470" t="s">
        <v>824</v>
      </c>
      <c r="M1041" s="470" t="s">
        <v>824</v>
      </c>
      <c r="N1041" s="470" t="s">
        <v>1275</v>
      </c>
      <c r="O1041" s="472" t="s">
        <v>1276</v>
      </c>
      <c r="P1041" s="472" t="s">
        <v>738</v>
      </c>
      <c r="Q1041" s="472" t="s">
        <v>758</v>
      </c>
      <c r="R1041" s="472" t="s">
        <v>12</v>
      </c>
      <c r="S1041" s="472" t="s">
        <v>12</v>
      </c>
      <c r="T1041" s="472" t="s">
        <v>1495</v>
      </c>
      <c r="U1041" s="470" t="s">
        <v>1496</v>
      </c>
      <c r="V1041" s="470" t="s">
        <v>761</v>
      </c>
      <c r="W1041" s="470" t="s">
        <v>1361</v>
      </c>
      <c r="X1041" s="470">
        <v>28</v>
      </c>
      <c r="Y1041" s="470">
        <v>0</v>
      </c>
      <c r="Z1041" s="470">
        <v>4</v>
      </c>
      <c r="AA1041" s="470">
        <v>24</v>
      </c>
      <c r="AB1041" s="470">
        <v>24</v>
      </c>
      <c r="AC1041" s="473">
        <v>44033</v>
      </c>
      <c r="AD1041" s="473">
        <v>44033</v>
      </c>
      <c r="AE1041" s="473">
        <v>16984</v>
      </c>
      <c r="AF1041" s="473">
        <v>6794</v>
      </c>
      <c r="AG1041" s="473">
        <v>1371</v>
      </c>
      <c r="AH1041" s="473">
        <v>171</v>
      </c>
      <c r="AI1041" s="473">
        <v>1071</v>
      </c>
      <c r="AJ1041" s="473">
        <v>1415</v>
      </c>
      <c r="AK1041" s="473">
        <v>3397</v>
      </c>
      <c r="AL1041" s="473">
        <v>2548</v>
      </c>
      <c r="AM1041" s="473">
        <v>170</v>
      </c>
      <c r="AN1041" s="473">
        <v>594</v>
      </c>
      <c r="AO1041" s="473">
        <v>340</v>
      </c>
      <c r="AP1041" s="473">
        <v>85</v>
      </c>
      <c r="AQ1041" s="473">
        <v>1800</v>
      </c>
      <c r="AR1041" s="473">
        <v>1003</v>
      </c>
      <c r="AS1041" s="473">
        <v>0</v>
      </c>
      <c r="AT1041" s="473">
        <v>0</v>
      </c>
      <c r="AU1041" s="473">
        <v>1610</v>
      </c>
      <c r="AV1041" s="473">
        <v>39353</v>
      </c>
      <c r="AW1041" s="474">
        <v>37743</v>
      </c>
      <c r="AX1041" s="473"/>
      <c r="AY1041" s="473">
        <v>0</v>
      </c>
      <c r="AZ1041" s="475">
        <v>0</v>
      </c>
      <c r="BA1041" s="475">
        <v>300</v>
      </c>
      <c r="BB1041" s="475">
        <v>1800</v>
      </c>
      <c r="BC1041" s="475">
        <v>0</v>
      </c>
      <c r="BD1041" s="475">
        <v>0</v>
      </c>
      <c r="BE1041" s="475">
        <v>0</v>
      </c>
      <c r="BF1041" s="475">
        <v>0</v>
      </c>
      <c r="BG1041" s="475">
        <v>2100</v>
      </c>
      <c r="BH1041" s="476">
        <v>37253</v>
      </c>
      <c r="BI1041" s="467"/>
      <c r="BJ1041" s="468"/>
    </row>
    <row r="1042" spans="1:62">
      <c r="A1042" s="469">
        <v>46054</v>
      </c>
      <c r="B1042" s="469" t="s">
        <v>747</v>
      </c>
      <c r="C1042" s="508"/>
      <c r="D1042" s="470" t="s">
        <v>749</v>
      </c>
      <c r="E1042" s="471">
        <v>2156</v>
      </c>
      <c r="F1042" s="470" t="s">
        <v>1302</v>
      </c>
      <c r="G1042" s="470" t="s">
        <v>751</v>
      </c>
      <c r="H1042" s="470" t="s">
        <v>12</v>
      </c>
      <c r="I1042" s="470" t="s">
        <v>1286</v>
      </c>
      <c r="J1042" s="472" t="s">
        <v>1303</v>
      </c>
      <c r="K1042" s="470" t="s">
        <v>1304</v>
      </c>
      <c r="L1042" s="470" t="s">
        <v>1305</v>
      </c>
      <c r="M1042" s="470" t="s">
        <v>1305</v>
      </c>
      <c r="N1042" s="470" t="s">
        <v>756</v>
      </c>
      <c r="O1042" s="472" t="s">
        <v>792</v>
      </c>
      <c r="P1042" s="472" t="s">
        <v>738</v>
      </c>
      <c r="Q1042" s="472" t="s">
        <v>758</v>
      </c>
      <c r="R1042" s="472" t="s">
        <v>12</v>
      </c>
      <c r="S1042" s="472" t="s">
        <v>12</v>
      </c>
      <c r="T1042" s="472" t="s">
        <v>1306</v>
      </c>
      <c r="U1042" s="470" t="s">
        <v>1307</v>
      </c>
      <c r="V1042" s="470" t="s">
        <v>761</v>
      </c>
      <c r="W1042" s="470" t="s">
        <v>898</v>
      </c>
      <c r="X1042" s="470">
        <v>28</v>
      </c>
      <c r="Y1042" s="470">
        <v>0</v>
      </c>
      <c r="Z1042" s="470">
        <v>3</v>
      </c>
      <c r="AA1042" s="470">
        <v>25</v>
      </c>
      <c r="AB1042" s="470">
        <v>25</v>
      </c>
      <c r="AC1042" s="473">
        <v>67200</v>
      </c>
      <c r="AD1042" s="473">
        <v>67200</v>
      </c>
      <c r="AE1042" s="473">
        <v>27000</v>
      </c>
      <c r="AF1042" s="473">
        <v>10800</v>
      </c>
      <c r="AG1042" s="473">
        <v>1429</v>
      </c>
      <c r="AH1042" s="473">
        <v>179</v>
      </c>
      <c r="AI1042" s="473">
        <v>1116</v>
      </c>
      <c r="AJ1042" s="473">
        <v>2249</v>
      </c>
      <c r="AK1042" s="473">
        <v>5400</v>
      </c>
      <c r="AL1042" s="473">
        <v>4050</v>
      </c>
      <c r="AM1042" s="473">
        <v>270</v>
      </c>
      <c r="AN1042" s="473">
        <v>945</v>
      </c>
      <c r="AO1042" s="473">
        <v>540</v>
      </c>
      <c r="AP1042" s="473">
        <v>135</v>
      </c>
      <c r="AQ1042" s="473">
        <v>1800</v>
      </c>
      <c r="AR1042" s="473">
        <v>4087</v>
      </c>
      <c r="AS1042" s="473">
        <v>0</v>
      </c>
      <c r="AT1042" s="473">
        <v>0</v>
      </c>
      <c r="AU1042" s="473">
        <v>700</v>
      </c>
      <c r="AV1042" s="473">
        <v>60700</v>
      </c>
      <c r="AW1042" s="474">
        <v>60000</v>
      </c>
      <c r="AX1042" s="473"/>
      <c r="AY1042" s="473">
        <v>0</v>
      </c>
      <c r="AZ1042" s="475">
        <v>0</v>
      </c>
      <c r="BA1042" s="475">
        <v>300</v>
      </c>
      <c r="BB1042" s="475">
        <v>1800</v>
      </c>
      <c r="BC1042" s="475">
        <v>0</v>
      </c>
      <c r="BD1042" s="475">
        <v>0</v>
      </c>
      <c r="BE1042" s="475">
        <v>0</v>
      </c>
      <c r="BF1042" s="475">
        <v>0</v>
      </c>
      <c r="BG1042" s="475">
        <v>2100</v>
      </c>
      <c r="BH1042" s="476">
        <v>58600</v>
      </c>
      <c r="BI1042" s="467"/>
      <c r="BJ1042" s="468"/>
    </row>
    <row r="1043" spans="1:62">
      <c r="A1043" s="469">
        <v>46054</v>
      </c>
      <c r="B1043" s="469" t="s">
        <v>747</v>
      </c>
      <c r="C1043" s="508"/>
      <c r="D1043" s="470" t="s">
        <v>749</v>
      </c>
      <c r="E1043" s="471">
        <v>413</v>
      </c>
      <c r="F1043" s="470" t="s">
        <v>1112</v>
      </c>
      <c r="G1043" s="470" t="s">
        <v>751</v>
      </c>
      <c r="H1043" s="470" t="s">
        <v>12</v>
      </c>
      <c r="I1043" s="470" t="s">
        <v>1113</v>
      </c>
      <c r="J1043" s="472" t="s">
        <v>1114</v>
      </c>
      <c r="K1043" s="470" t="s">
        <v>1115</v>
      </c>
      <c r="L1043" s="470" t="s">
        <v>856</v>
      </c>
      <c r="M1043" s="470" t="s">
        <v>856</v>
      </c>
      <c r="N1043" s="470" t="s">
        <v>756</v>
      </c>
      <c r="O1043" s="472" t="s">
        <v>757</v>
      </c>
      <c r="P1043" s="472" t="s">
        <v>738</v>
      </c>
      <c r="Q1043" s="472" t="s">
        <v>758</v>
      </c>
      <c r="R1043" s="472" t="s">
        <v>12</v>
      </c>
      <c r="S1043" s="472" t="s">
        <v>12</v>
      </c>
      <c r="T1043" s="472" t="s">
        <v>1117</v>
      </c>
      <c r="U1043" s="470" t="s">
        <v>1118</v>
      </c>
      <c r="V1043" s="470" t="s">
        <v>761</v>
      </c>
      <c r="W1043" s="470" t="s">
        <v>762</v>
      </c>
      <c r="X1043" s="470">
        <v>28</v>
      </c>
      <c r="Y1043" s="470">
        <v>0</v>
      </c>
      <c r="Z1043" s="470">
        <v>0</v>
      </c>
      <c r="AA1043" s="470">
        <v>28</v>
      </c>
      <c r="AB1043" s="470">
        <v>28</v>
      </c>
      <c r="AC1043" s="473">
        <v>52975</v>
      </c>
      <c r="AD1043" s="473">
        <v>52975</v>
      </c>
      <c r="AE1043" s="473">
        <v>23839</v>
      </c>
      <c r="AF1043" s="473">
        <v>9536</v>
      </c>
      <c r="AG1043" s="473">
        <v>1600</v>
      </c>
      <c r="AH1043" s="473">
        <v>200</v>
      </c>
      <c r="AI1043" s="473">
        <v>1250</v>
      </c>
      <c r="AJ1043" s="473">
        <v>1986</v>
      </c>
      <c r="AK1043" s="473">
        <v>4768</v>
      </c>
      <c r="AL1043" s="473">
        <v>3576</v>
      </c>
      <c r="AM1043" s="473">
        <v>238</v>
      </c>
      <c r="AN1043" s="473">
        <v>834</v>
      </c>
      <c r="AO1043" s="473">
        <v>477</v>
      </c>
      <c r="AP1043" s="473">
        <v>119</v>
      </c>
      <c r="AQ1043" s="473">
        <v>1800</v>
      </c>
      <c r="AR1043" s="473">
        <v>2752</v>
      </c>
      <c r="AS1043" s="473">
        <v>0</v>
      </c>
      <c r="AT1043" s="473">
        <v>0</v>
      </c>
      <c r="AU1043" s="473"/>
      <c r="AV1043" s="473">
        <v>52975</v>
      </c>
      <c r="AW1043" s="474">
        <v>52975</v>
      </c>
      <c r="AX1043" s="473"/>
      <c r="AY1043" s="473">
        <v>0</v>
      </c>
      <c r="AZ1043" s="475">
        <v>0</v>
      </c>
      <c r="BA1043" s="475">
        <v>300</v>
      </c>
      <c r="BB1043" s="475">
        <v>1800</v>
      </c>
      <c r="BC1043" s="475">
        <v>0</v>
      </c>
      <c r="BD1043" s="475">
        <v>0</v>
      </c>
      <c r="BE1043" s="475">
        <v>0</v>
      </c>
      <c r="BF1043" s="475">
        <v>0</v>
      </c>
      <c r="BG1043" s="475">
        <v>2100</v>
      </c>
      <c r="BH1043" s="476">
        <v>50875</v>
      </c>
      <c r="BI1043" s="467"/>
      <c r="BJ1043" s="468"/>
    </row>
    <row r="1044" spans="1:62">
      <c r="A1044" s="469">
        <v>46054</v>
      </c>
      <c r="B1044" s="469" t="s">
        <v>747</v>
      </c>
      <c r="C1044" s="508"/>
      <c r="D1044" s="470" t="s">
        <v>749</v>
      </c>
      <c r="E1044" s="471">
        <v>1389</v>
      </c>
      <c r="F1044" s="470" t="s">
        <v>1119</v>
      </c>
      <c r="G1044" s="470" t="s">
        <v>751</v>
      </c>
      <c r="H1044" s="470" t="s">
        <v>12</v>
      </c>
      <c r="I1044" s="470" t="s">
        <v>1120</v>
      </c>
      <c r="J1044" s="472" t="s">
        <v>1121</v>
      </c>
      <c r="K1044" s="470" t="s">
        <v>1122</v>
      </c>
      <c r="L1044" s="470" t="s">
        <v>1123</v>
      </c>
      <c r="M1044" s="470" t="s">
        <v>1124</v>
      </c>
      <c r="N1044" s="470" t="s">
        <v>1108</v>
      </c>
      <c r="O1044" s="472" t="s">
        <v>757</v>
      </c>
      <c r="P1044" s="472" t="s">
        <v>738</v>
      </c>
      <c r="Q1044" s="472" t="s">
        <v>758</v>
      </c>
      <c r="R1044" s="472" t="s">
        <v>12</v>
      </c>
      <c r="S1044" s="472" t="s">
        <v>12</v>
      </c>
      <c r="T1044" s="472" t="s">
        <v>1125</v>
      </c>
      <c r="U1044" s="470" t="s">
        <v>1126</v>
      </c>
      <c r="V1044" s="470" t="s">
        <v>761</v>
      </c>
      <c r="W1044" s="470" t="s">
        <v>762</v>
      </c>
      <c r="X1044" s="470">
        <v>28</v>
      </c>
      <c r="Y1044" s="470">
        <v>0</v>
      </c>
      <c r="Z1044" s="470">
        <v>0.5</v>
      </c>
      <c r="AA1044" s="470">
        <v>27.5</v>
      </c>
      <c r="AB1044" s="470">
        <v>27.5</v>
      </c>
      <c r="AC1044" s="473">
        <v>60807</v>
      </c>
      <c r="AD1044" s="473">
        <v>60807</v>
      </c>
      <c r="AE1044" s="473">
        <v>26874</v>
      </c>
      <c r="AF1044" s="473">
        <v>10750</v>
      </c>
      <c r="AG1044" s="473">
        <v>1571</v>
      </c>
      <c r="AH1044" s="473">
        <v>196</v>
      </c>
      <c r="AI1044" s="473">
        <v>1228</v>
      </c>
      <c r="AJ1044" s="473">
        <v>2239</v>
      </c>
      <c r="AK1044" s="473">
        <v>5375</v>
      </c>
      <c r="AL1044" s="473">
        <v>4031</v>
      </c>
      <c r="AM1044" s="473">
        <v>269</v>
      </c>
      <c r="AN1044" s="473">
        <v>941</v>
      </c>
      <c r="AO1044" s="473">
        <v>537</v>
      </c>
      <c r="AP1044" s="473">
        <v>134</v>
      </c>
      <c r="AQ1044" s="473">
        <v>1800</v>
      </c>
      <c r="AR1044" s="473">
        <v>3776</v>
      </c>
      <c r="AS1044" s="473">
        <v>0</v>
      </c>
      <c r="AT1044" s="473">
        <v>0</v>
      </c>
      <c r="AU1044" s="473"/>
      <c r="AV1044" s="473">
        <v>59721</v>
      </c>
      <c r="AW1044" s="474">
        <v>59721</v>
      </c>
      <c r="AX1044" s="473"/>
      <c r="AY1044" s="473">
        <v>0</v>
      </c>
      <c r="AZ1044" s="475">
        <v>0</v>
      </c>
      <c r="BA1044" s="475">
        <v>300</v>
      </c>
      <c r="BB1044" s="475">
        <v>1800</v>
      </c>
      <c r="BC1044" s="475">
        <v>0</v>
      </c>
      <c r="BD1044" s="475">
        <v>0</v>
      </c>
      <c r="BE1044" s="475">
        <v>0</v>
      </c>
      <c r="BF1044" s="475">
        <v>10000</v>
      </c>
      <c r="BG1044" s="475">
        <v>12100</v>
      </c>
      <c r="BH1044" s="476">
        <v>47621</v>
      </c>
      <c r="BI1044" s="467"/>
      <c r="BJ1044" s="468"/>
    </row>
    <row r="1045" spans="1:62">
      <c r="A1045" s="469">
        <v>46054</v>
      </c>
      <c r="B1045" s="469" t="s">
        <v>747</v>
      </c>
      <c r="C1045" s="508"/>
      <c r="D1045" s="470" t="s">
        <v>749</v>
      </c>
      <c r="E1045" s="471">
        <v>1535</v>
      </c>
      <c r="F1045" s="470" t="s">
        <v>1127</v>
      </c>
      <c r="G1045" s="470" t="s">
        <v>751</v>
      </c>
      <c r="H1045" s="470" t="s">
        <v>12</v>
      </c>
      <c r="I1045" s="470" t="s">
        <v>1128</v>
      </c>
      <c r="J1045" s="472" t="s">
        <v>1129</v>
      </c>
      <c r="K1045" s="470" t="s">
        <v>1130</v>
      </c>
      <c r="L1045" s="470" t="s">
        <v>1131</v>
      </c>
      <c r="M1045" s="470" t="s">
        <v>1131</v>
      </c>
      <c r="N1045" s="470" t="s">
        <v>756</v>
      </c>
      <c r="O1045" s="472" t="s">
        <v>792</v>
      </c>
      <c r="P1045" s="472" t="s">
        <v>738</v>
      </c>
      <c r="Q1045" s="472" t="s">
        <v>758</v>
      </c>
      <c r="R1045" s="472" t="s">
        <v>12</v>
      </c>
      <c r="S1045" s="472" t="s">
        <v>12</v>
      </c>
      <c r="T1045" s="472" t="s">
        <v>1132</v>
      </c>
      <c r="U1045" s="470" t="s">
        <v>1133</v>
      </c>
      <c r="V1045" s="470" t="s">
        <v>761</v>
      </c>
      <c r="W1045" s="470" t="s">
        <v>1134</v>
      </c>
      <c r="X1045" s="470">
        <v>28</v>
      </c>
      <c r="Y1045" s="470">
        <v>0</v>
      </c>
      <c r="Z1045" s="470">
        <v>1.5</v>
      </c>
      <c r="AA1045" s="470">
        <v>26.5</v>
      </c>
      <c r="AB1045" s="470">
        <v>26.5</v>
      </c>
      <c r="AC1045" s="473">
        <v>95900</v>
      </c>
      <c r="AD1045" s="473">
        <v>95900</v>
      </c>
      <c r="AE1045" s="473">
        <v>40843</v>
      </c>
      <c r="AF1045" s="473">
        <v>16337</v>
      </c>
      <c r="AG1045" s="473">
        <v>1514</v>
      </c>
      <c r="AH1045" s="473">
        <v>189</v>
      </c>
      <c r="AI1045" s="473">
        <v>1183</v>
      </c>
      <c r="AJ1045" s="473">
        <v>3402</v>
      </c>
      <c r="AK1045" s="473">
        <v>8169</v>
      </c>
      <c r="AL1045" s="473">
        <v>6126</v>
      </c>
      <c r="AM1045" s="473">
        <v>408</v>
      </c>
      <c r="AN1045" s="473">
        <v>1430</v>
      </c>
      <c r="AO1045" s="473">
        <v>817</v>
      </c>
      <c r="AP1045" s="473">
        <v>204</v>
      </c>
      <c r="AQ1045" s="473">
        <v>1800</v>
      </c>
      <c r="AR1045" s="473">
        <v>8341</v>
      </c>
      <c r="AS1045" s="473">
        <v>0</v>
      </c>
      <c r="AT1045" s="473">
        <v>0</v>
      </c>
      <c r="AU1045" s="473"/>
      <c r="AV1045" s="473">
        <v>90763</v>
      </c>
      <c r="AW1045" s="474">
        <v>90763</v>
      </c>
      <c r="AX1045" s="473"/>
      <c r="AY1045" s="473">
        <v>0</v>
      </c>
      <c r="AZ1045" s="475">
        <v>0</v>
      </c>
      <c r="BA1045" s="475">
        <v>300</v>
      </c>
      <c r="BB1045" s="475">
        <v>1800</v>
      </c>
      <c r="BC1045" s="475">
        <v>0</v>
      </c>
      <c r="BD1045" s="475">
        <v>0</v>
      </c>
      <c r="BE1045" s="475">
        <v>0</v>
      </c>
      <c r="BF1045" s="475">
        <v>0</v>
      </c>
      <c r="BG1045" s="475">
        <v>2100</v>
      </c>
      <c r="BH1045" s="476">
        <v>88663</v>
      </c>
      <c r="BI1045" s="467"/>
      <c r="BJ1045" s="468"/>
    </row>
    <row r="1046" spans="1:62">
      <c r="A1046" s="469">
        <v>46054</v>
      </c>
      <c r="B1046" s="469" t="s">
        <v>747</v>
      </c>
      <c r="C1046" s="508"/>
      <c r="D1046" s="470" t="s">
        <v>749</v>
      </c>
      <c r="E1046" s="471">
        <v>1409</v>
      </c>
      <c r="F1046" s="470" t="s">
        <v>1135</v>
      </c>
      <c r="G1046" s="470" t="s">
        <v>751</v>
      </c>
      <c r="H1046" s="470" t="s">
        <v>12</v>
      </c>
      <c r="I1046" s="470" t="s">
        <v>1136</v>
      </c>
      <c r="J1046" s="472" t="s">
        <v>1137</v>
      </c>
      <c r="K1046" s="470" t="s">
        <v>1138</v>
      </c>
      <c r="L1046" s="470" t="s">
        <v>856</v>
      </c>
      <c r="M1046" s="470" t="s">
        <v>856</v>
      </c>
      <c r="N1046" s="470" t="s">
        <v>756</v>
      </c>
      <c r="O1046" s="472" t="s">
        <v>757</v>
      </c>
      <c r="P1046" s="472" t="s">
        <v>738</v>
      </c>
      <c r="Q1046" s="472" t="s">
        <v>758</v>
      </c>
      <c r="R1046" s="472" t="s">
        <v>12</v>
      </c>
      <c r="S1046" s="472" t="s">
        <v>12</v>
      </c>
      <c r="T1046" s="472" t="s">
        <v>1139</v>
      </c>
      <c r="U1046" s="470" t="s">
        <v>1140</v>
      </c>
      <c r="V1046" s="470" t="s">
        <v>761</v>
      </c>
      <c r="W1046" s="470" t="s">
        <v>1111</v>
      </c>
      <c r="X1046" s="470">
        <v>28</v>
      </c>
      <c r="Y1046" s="470">
        <v>0</v>
      </c>
      <c r="Z1046" s="470">
        <v>0.5</v>
      </c>
      <c r="AA1046" s="470">
        <v>27.5</v>
      </c>
      <c r="AB1046" s="470">
        <v>27.5</v>
      </c>
      <c r="AC1046" s="473">
        <v>71417</v>
      </c>
      <c r="AD1046" s="473">
        <v>71417</v>
      </c>
      <c r="AE1046" s="473">
        <v>31564</v>
      </c>
      <c r="AF1046" s="473">
        <v>12626</v>
      </c>
      <c r="AG1046" s="473">
        <v>1571</v>
      </c>
      <c r="AH1046" s="473">
        <v>196</v>
      </c>
      <c r="AI1046" s="473">
        <v>1228</v>
      </c>
      <c r="AJ1046" s="473">
        <v>2629</v>
      </c>
      <c r="AK1046" s="473">
        <v>6313</v>
      </c>
      <c r="AL1046" s="473">
        <v>4735</v>
      </c>
      <c r="AM1046" s="473">
        <v>316</v>
      </c>
      <c r="AN1046" s="473">
        <v>1105</v>
      </c>
      <c r="AO1046" s="473">
        <v>631</v>
      </c>
      <c r="AP1046" s="473">
        <v>158</v>
      </c>
      <c r="AQ1046" s="473">
        <v>1800</v>
      </c>
      <c r="AR1046" s="473">
        <v>5270</v>
      </c>
      <c r="AS1046" s="473">
        <v>0</v>
      </c>
      <c r="AT1046" s="473">
        <v>200</v>
      </c>
      <c r="AU1046" s="473"/>
      <c r="AV1046" s="473">
        <v>70342</v>
      </c>
      <c r="AW1046" s="474">
        <v>70342</v>
      </c>
      <c r="AX1046" s="473"/>
      <c r="AY1046" s="473">
        <v>0</v>
      </c>
      <c r="AZ1046" s="475">
        <v>0</v>
      </c>
      <c r="BA1046" s="475">
        <v>300</v>
      </c>
      <c r="BB1046" s="475">
        <v>1800</v>
      </c>
      <c r="BC1046" s="475">
        <v>0</v>
      </c>
      <c r="BD1046" s="475">
        <v>0</v>
      </c>
      <c r="BE1046" s="475">
        <v>0</v>
      </c>
      <c r="BF1046" s="475">
        <v>0</v>
      </c>
      <c r="BG1046" s="475">
        <v>2100</v>
      </c>
      <c r="BH1046" s="476">
        <v>68242</v>
      </c>
      <c r="BI1046" s="467"/>
      <c r="BJ1046" s="468"/>
    </row>
    <row r="1047" spans="1:62">
      <c r="A1047" s="469">
        <v>46054</v>
      </c>
      <c r="B1047" s="469" t="s">
        <v>747</v>
      </c>
      <c r="C1047" s="508"/>
      <c r="D1047" s="470" t="s">
        <v>749</v>
      </c>
      <c r="E1047" s="471">
        <v>2155</v>
      </c>
      <c r="F1047" s="470" t="s">
        <v>1308</v>
      </c>
      <c r="G1047" s="470" t="s">
        <v>751</v>
      </c>
      <c r="H1047" s="470" t="s">
        <v>12</v>
      </c>
      <c r="I1047" s="470" t="s">
        <v>1286</v>
      </c>
      <c r="J1047" s="472" t="s">
        <v>1309</v>
      </c>
      <c r="K1047" s="470" t="s">
        <v>1310</v>
      </c>
      <c r="L1047" s="470" t="s">
        <v>1311</v>
      </c>
      <c r="M1047" s="470" t="s">
        <v>1311</v>
      </c>
      <c r="N1047" s="470" t="s">
        <v>756</v>
      </c>
      <c r="O1047" s="472" t="s">
        <v>757</v>
      </c>
      <c r="P1047" s="472" t="s">
        <v>738</v>
      </c>
      <c r="Q1047" s="472" t="s">
        <v>758</v>
      </c>
      <c r="R1047" s="472" t="s">
        <v>12</v>
      </c>
      <c r="S1047" s="472" t="s">
        <v>12</v>
      </c>
      <c r="T1047" s="472" t="s">
        <v>1312</v>
      </c>
      <c r="U1047" s="470" t="s">
        <v>1313</v>
      </c>
      <c r="V1047" s="470" t="s">
        <v>761</v>
      </c>
      <c r="W1047" s="470" t="s">
        <v>898</v>
      </c>
      <c r="X1047" s="470">
        <v>28</v>
      </c>
      <c r="Y1047" s="470">
        <v>0</v>
      </c>
      <c r="Z1047" s="470">
        <v>0</v>
      </c>
      <c r="AA1047" s="470">
        <v>28</v>
      </c>
      <c r="AB1047" s="470">
        <v>28</v>
      </c>
      <c r="AC1047" s="473">
        <v>53200</v>
      </c>
      <c r="AD1047" s="473">
        <v>53200</v>
      </c>
      <c r="AE1047" s="473">
        <v>23940</v>
      </c>
      <c r="AF1047" s="473">
        <v>9576</v>
      </c>
      <c r="AG1047" s="473">
        <v>1600</v>
      </c>
      <c r="AH1047" s="473">
        <v>200</v>
      </c>
      <c r="AI1047" s="473">
        <v>1250</v>
      </c>
      <c r="AJ1047" s="473">
        <v>1994</v>
      </c>
      <c r="AK1047" s="473">
        <v>4788</v>
      </c>
      <c r="AL1047" s="473">
        <v>3591</v>
      </c>
      <c r="AM1047" s="473">
        <v>239</v>
      </c>
      <c r="AN1047" s="473">
        <v>838</v>
      </c>
      <c r="AO1047" s="473">
        <v>479</v>
      </c>
      <c r="AP1047" s="473">
        <v>120</v>
      </c>
      <c r="AQ1047" s="473">
        <v>1800</v>
      </c>
      <c r="AR1047" s="473">
        <v>2785</v>
      </c>
      <c r="AS1047" s="473">
        <v>0</v>
      </c>
      <c r="AT1047" s="473">
        <v>0</v>
      </c>
      <c r="AU1047" s="473">
        <v>540</v>
      </c>
      <c r="AV1047" s="473">
        <v>53740</v>
      </c>
      <c r="AW1047" s="474">
        <v>53200</v>
      </c>
      <c r="AX1047" s="473"/>
      <c r="AY1047" s="473">
        <v>0</v>
      </c>
      <c r="AZ1047" s="475">
        <v>0</v>
      </c>
      <c r="BA1047" s="475">
        <v>300</v>
      </c>
      <c r="BB1047" s="475">
        <v>1800</v>
      </c>
      <c r="BC1047" s="475">
        <v>0</v>
      </c>
      <c r="BD1047" s="475">
        <v>0</v>
      </c>
      <c r="BE1047" s="475">
        <v>0</v>
      </c>
      <c r="BF1047" s="475">
        <v>0</v>
      </c>
      <c r="BG1047" s="475">
        <v>2100</v>
      </c>
      <c r="BH1047" s="476">
        <v>51640</v>
      </c>
      <c r="BI1047" s="467"/>
      <c r="BJ1047" s="468"/>
    </row>
    <row r="1048" spans="1:62">
      <c r="A1048" s="469">
        <v>46054</v>
      </c>
      <c r="B1048" s="469" t="s">
        <v>747</v>
      </c>
      <c r="C1048" s="508"/>
      <c r="D1048" s="470" t="s">
        <v>749</v>
      </c>
      <c r="E1048" s="471">
        <v>2232</v>
      </c>
      <c r="F1048" s="470" t="s">
        <v>1372</v>
      </c>
      <c r="G1048" s="470" t="s">
        <v>751</v>
      </c>
      <c r="H1048" s="470" t="s">
        <v>12</v>
      </c>
      <c r="I1048" s="470" t="s">
        <v>1348</v>
      </c>
      <c r="J1048" s="472" t="s">
        <v>1373</v>
      </c>
      <c r="K1048" s="470" t="s">
        <v>1374</v>
      </c>
      <c r="L1048" s="470" t="s">
        <v>1375</v>
      </c>
      <c r="M1048" s="470" t="s">
        <v>1375</v>
      </c>
      <c r="N1048" s="470" t="s">
        <v>756</v>
      </c>
      <c r="O1048" s="472" t="s">
        <v>757</v>
      </c>
      <c r="P1048" s="472" t="s">
        <v>738</v>
      </c>
      <c r="Q1048" s="472" t="s">
        <v>758</v>
      </c>
      <c r="R1048" s="472" t="s">
        <v>12</v>
      </c>
      <c r="S1048" s="472" t="s">
        <v>12</v>
      </c>
      <c r="T1048" s="472" t="s">
        <v>1376</v>
      </c>
      <c r="U1048" s="470" t="s">
        <v>1546</v>
      </c>
      <c r="V1048" s="470" t="s">
        <v>761</v>
      </c>
      <c r="W1048" s="470" t="s">
        <v>859</v>
      </c>
      <c r="X1048" s="470">
        <v>28</v>
      </c>
      <c r="Y1048" s="470">
        <v>0</v>
      </c>
      <c r="Z1048" s="470">
        <v>2</v>
      </c>
      <c r="AA1048" s="470">
        <v>26</v>
      </c>
      <c r="AB1048" s="470">
        <v>26</v>
      </c>
      <c r="AC1048" s="473">
        <v>89867</v>
      </c>
      <c r="AD1048" s="473">
        <v>89867</v>
      </c>
      <c r="AE1048" s="473">
        <v>37552</v>
      </c>
      <c r="AF1048" s="473">
        <v>15021</v>
      </c>
      <c r="AG1048" s="473">
        <v>1486</v>
      </c>
      <c r="AH1048" s="473">
        <v>186</v>
      </c>
      <c r="AI1048" s="473">
        <v>1161</v>
      </c>
      <c r="AJ1048" s="473">
        <v>3128</v>
      </c>
      <c r="AK1048" s="473">
        <v>7510</v>
      </c>
      <c r="AL1048" s="473">
        <v>5633</v>
      </c>
      <c r="AM1048" s="473">
        <v>376</v>
      </c>
      <c r="AN1048" s="473">
        <v>1314</v>
      </c>
      <c r="AO1048" s="473">
        <v>751</v>
      </c>
      <c r="AP1048" s="473">
        <v>188</v>
      </c>
      <c r="AQ1048" s="473">
        <v>1800</v>
      </c>
      <c r="AR1048" s="473">
        <v>7342</v>
      </c>
      <c r="AS1048" s="473">
        <v>0</v>
      </c>
      <c r="AT1048" s="473">
        <v>0</v>
      </c>
      <c r="AU1048" s="473"/>
      <c r="AV1048" s="473">
        <v>83448</v>
      </c>
      <c r="AW1048" s="474">
        <v>83448</v>
      </c>
      <c r="AX1048" s="473"/>
      <c r="AY1048" s="473">
        <v>0</v>
      </c>
      <c r="AZ1048" s="475">
        <v>0</v>
      </c>
      <c r="BA1048" s="475">
        <v>300</v>
      </c>
      <c r="BB1048" s="475">
        <v>1800</v>
      </c>
      <c r="BC1048" s="475">
        <v>0</v>
      </c>
      <c r="BD1048" s="475">
        <v>0</v>
      </c>
      <c r="BE1048" s="475">
        <v>0</v>
      </c>
      <c r="BF1048" s="475">
        <v>0</v>
      </c>
      <c r="BG1048" s="475">
        <v>2100</v>
      </c>
      <c r="BH1048" s="476">
        <v>81348</v>
      </c>
      <c r="BI1048" s="467"/>
      <c r="BJ1048" s="468"/>
    </row>
    <row r="1049" spans="1:62">
      <c r="A1049" s="469">
        <v>46054</v>
      </c>
      <c r="B1049" s="469" t="s">
        <v>747</v>
      </c>
      <c r="C1049" s="508"/>
      <c r="D1049" s="470" t="s">
        <v>749</v>
      </c>
      <c r="E1049" s="471">
        <v>2147</v>
      </c>
      <c r="F1049" s="470" t="s">
        <v>1314</v>
      </c>
      <c r="G1049" s="470" t="s">
        <v>812</v>
      </c>
      <c r="H1049" s="470" t="s">
        <v>12</v>
      </c>
      <c r="I1049" s="470" t="s">
        <v>1286</v>
      </c>
      <c r="J1049" s="472" t="s">
        <v>1315</v>
      </c>
      <c r="K1049" s="470" t="s">
        <v>1316</v>
      </c>
      <c r="L1049" s="470" t="s">
        <v>1317</v>
      </c>
      <c r="M1049" s="470" t="s">
        <v>1317</v>
      </c>
      <c r="N1049" s="470" t="s">
        <v>833</v>
      </c>
      <c r="O1049" s="472" t="s">
        <v>757</v>
      </c>
      <c r="P1049" s="472" t="s">
        <v>738</v>
      </c>
      <c r="Q1049" s="472" t="s">
        <v>758</v>
      </c>
      <c r="R1049" s="472" t="s">
        <v>12</v>
      </c>
      <c r="S1049" s="472" t="s">
        <v>12</v>
      </c>
      <c r="T1049" s="472" t="s">
        <v>1318</v>
      </c>
      <c r="U1049" s="470" t="s">
        <v>1319</v>
      </c>
      <c r="V1049" s="470" t="s">
        <v>761</v>
      </c>
      <c r="W1049" s="470" t="s">
        <v>898</v>
      </c>
      <c r="X1049" s="470">
        <v>28</v>
      </c>
      <c r="Y1049" s="470">
        <v>0</v>
      </c>
      <c r="Z1049" s="470">
        <v>0</v>
      </c>
      <c r="AA1049" s="470">
        <v>28</v>
      </c>
      <c r="AB1049" s="470">
        <v>28</v>
      </c>
      <c r="AC1049" s="473">
        <v>28380</v>
      </c>
      <c r="AD1049" s="473">
        <v>28380</v>
      </c>
      <c r="AE1049" s="473">
        <v>12771</v>
      </c>
      <c r="AF1049" s="473">
        <v>5108</v>
      </c>
      <c r="AG1049" s="473">
        <v>1600</v>
      </c>
      <c r="AH1049" s="473">
        <v>200</v>
      </c>
      <c r="AI1049" s="473">
        <v>1250</v>
      </c>
      <c r="AJ1049" s="473">
        <v>0</v>
      </c>
      <c r="AK1049" s="473">
        <v>0</v>
      </c>
      <c r="AL1049" s="473">
        <v>0</v>
      </c>
      <c r="AM1049" s="473">
        <v>0</v>
      </c>
      <c r="AN1049" s="473">
        <v>0</v>
      </c>
      <c r="AO1049" s="473">
        <v>0</v>
      </c>
      <c r="AP1049" s="473">
        <v>0</v>
      </c>
      <c r="AQ1049" s="473">
        <v>1533</v>
      </c>
      <c r="AR1049" s="473">
        <v>5918</v>
      </c>
      <c r="AS1049" s="473">
        <v>0</v>
      </c>
      <c r="AT1049" s="473">
        <v>0</v>
      </c>
      <c r="AU1049" s="473"/>
      <c r="AV1049" s="473">
        <v>28380</v>
      </c>
      <c r="AW1049" s="474">
        <v>28380</v>
      </c>
      <c r="AX1049" s="473"/>
      <c r="AY1049" s="473">
        <v>0</v>
      </c>
      <c r="AZ1049" s="475">
        <v>0</v>
      </c>
      <c r="BA1049" s="475">
        <v>300</v>
      </c>
      <c r="BB1049" s="475">
        <v>1533</v>
      </c>
      <c r="BC1049" s="475">
        <v>0</v>
      </c>
      <c r="BD1049" s="475">
        <v>0</v>
      </c>
      <c r="BE1049" s="475">
        <v>0</v>
      </c>
      <c r="BF1049" s="475">
        <v>0</v>
      </c>
      <c r="BG1049" s="475">
        <v>1833</v>
      </c>
      <c r="BH1049" s="476">
        <v>26547</v>
      </c>
      <c r="BI1049" s="467"/>
      <c r="BJ1049" s="468"/>
    </row>
    <row r="1050" spans="1:62">
      <c r="A1050" s="469">
        <v>46054</v>
      </c>
      <c r="B1050" s="469" t="s">
        <v>747</v>
      </c>
      <c r="C1050" s="508"/>
      <c r="D1050" s="470" t="s">
        <v>749</v>
      </c>
      <c r="E1050" s="471">
        <v>2278</v>
      </c>
      <c r="F1050" s="470" t="s">
        <v>1498</v>
      </c>
      <c r="G1050" s="470" t="s">
        <v>812</v>
      </c>
      <c r="H1050" s="470" t="s">
        <v>12</v>
      </c>
      <c r="I1050" s="470" t="s">
        <v>1426</v>
      </c>
      <c r="J1050" s="472" t="s">
        <v>1499</v>
      </c>
      <c r="K1050" s="470" t="s">
        <v>1500</v>
      </c>
      <c r="L1050" s="470" t="s">
        <v>824</v>
      </c>
      <c r="M1050" s="470" t="s">
        <v>824</v>
      </c>
      <c r="N1050" s="470" t="s">
        <v>1275</v>
      </c>
      <c r="O1050" s="472" t="s">
        <v>1276</v>
      </c>
      <c r="P1050" s="472" t="s">
        <v>738</v>
      </c>
      <c r="Q1050" s="472" t="s">
        <v>758</v>
      </c>
      <c r="R1050" s="472" t="s">
        <v>12</v>
      </c>
      <c r="S1050" s="472" t="s">
        <v>12</v>
      </c>
      <c r="T1050" s="472" t="s">
        <v>1501</v>
      </c>
      <c r="U1050" s="470" t="s">
        <v>1502</v>
      </c>
      <c r="V1050" s="470" t="s">
        <v>761</v>
      </c>
      <c r="W1050" s="470" t="s">
        <v>1361</v>
      </c>
      <c r="X1050" s="470">
        <v>28</v>
      </c>
      <c r="Y1050" s="470">
        <v>0</v>
      </c>
      <c r="Z1050" s="470">
        <v>0</v>
      </c>
      <c r="AA1050" s="470">
        <v>28</v>
      </c>
      <c r="AB1050" s="470">
        <v>28</v>
      </c>
      <c r="AC1050" s="473">
        <v>44033</v>
      </c>
      <c r="AD1050" s="473">
        <v>44033</v>
      </c>
      <c r="AE1050" s="473">
        <v>19815</v>
      </c>
      <c r="AF1050" s="473">
        <v>7926</v>
      </c>
      <c r="AG1050" s="473">
        <v>1600</v>
      </c>
      <c r="AH1050" s="473">
        <v>200</v>
      </c>
      <c r="AI1050" s="473">
        <v>1250</v>
      </c>
      <c r="AJ1050" s="473">
        <v>1651</v>
      </c>
      <c r="AK1050" s="473">
        <v>3963</v>
      </c>
      <c r="AL1050" s="473">
        <v>2972</v>
      </c>
      <c r="AM1050" s="473">
        <v>198</v>
      </c>
      <c r="AN1050" s="473">
        <v>694</v>
      </c>
      <c r="AO1050" s="473">
        <v>396</v>
      </c>
      <c r="AP1050" s="473">
        <v>99</v>
      </c>
      <c r="AQ1050" s="473">
        <v>1800</v>
      </c>
      <c r="AR1050" s="473">
        <v>1469</v>
      </c>
      <c r="AS1050" s="473">
        <v>0</v>
      </c>
      <c r="AT1050" s="473">
        <v>0</v>
      </c>
      <c r="AU1050" s="473"/>
      <c r="AV1050" s="473">
        <v>44033</v>
      </c>
      <c r="AW1050" s="474">
        <v>44033</v>
      </c>
      <c r="AX1050" s="473"/>
      <c r="AY1050" s="473">
        <v>0</v>
      </c>
      <c r="AZ1050" s="475">
        <v>0</v>
      </c>
      <c r="BA1050" s="475">
        <v>300</v>
      </c>
      <c r="BB1050" s="475">
        <v>1800</v>
      </c>
      <c r="BC1050" s="475">
        <v>0</v>
      </c>
      <c r="BD1050" s="475">
        <v>0</v>
      </c>
      <c r="BE1050" s="475">
        <v>0</v>
      </c>
      <c r="BF1050" s="475">
        <v>0</v>
      </c>
      <c r="BG1050" s="475">
        <v>2100</v>
      </c>
      <c r="BH1050" s="476">
        <v>41933</v>
      </c>
      <c r="BI1050" s="467"/>
      <c r="BJ1050" s="468"/>
    </row>
    <row r="1051" spans="1:62">
      <c r="A1051" s="469">
        <v>46054</v>
      </c>
      <c r="B1051" s="469" t="s">
        <v>747</v>
      </c>
      <c r="C1051" s="508"/>
      <c r="D1051" s="470" t="s">
        <v>749</v>
      </c>
      <c r="E1051" s="471">
        <v>1263</v>
      </c>
      <c r="F1051" s="470" t="s">
        <v>1141</v>
      </c>
      <c r="G1051" s="470" t="s">
        <v>751</v>
      </c>
      <c r="H1051" s="470" t="s">
        <v>12</v>
      </c>
      <c r="I1051" s="470" t="s">
        <v>1142</v>
      </c>
      <c r="J1051" s="472" t="s">
        <v>1143</v>
      </c>
      <c r="K1051" s="470" t="s">
        <v>1144</v>
      </c>
      <c r="L1051" s="470" t="s">
        <v>1305</v>
      </c>
      <c r="M1051" s="470" t="s">
        <v>1305</v>
      </c>
      <c r="N1051" s="470" t="s">
        <v>756</v>
      </c>
      <c r="O1051" s="472" t="s">
        <v>757</v>
      </c>
      <c r="P1051" s="472" t="s">
        <v>738</v>
      </c>
      <c r="Q1051" s="472" t="s">
        <v>758</v>
      </c>
      <c r="R1051" s="472" t="s">
        <v>12</v>
      </c>
      <c r="S1051" s="472" t="s">
        <v>12</v>
      </c>
      <c r="T1051" s="472" t="s">
        <v>1147</v>
      </c>
      <c r="U1051" s="470" t="s">
        <v>1148</v>
      </c>
      <c r="V1051" s="470" t="s">
        <v>761</v>
      </c>
      <c r="W1051" s="470" t="s">
        <v>859</v>
      </c>
      <c r="X1051" s="470">
        <v>28</v>
      </c>
      <c r="Y1051" s="470">
        <v>0</v>
      </c>
      <c r="Z1051" s="470">
        <v>0</v>
      </c>
      <c r="AA1051" s="470">
        <v>28</v>
      </c>
      <c r="AB1051" s="470">
        <v>28</v>
      </c>
      <c r="AC1051" s="473">
        <v>55900</v>
      </c>
      <c r="AD1051" s="473">
        <v>55900</v>
      </c>
      <c r="AE1051" s="473">
        <v>25155</v>
      </c>
      <c r="AF1051" s="473">
        <v>10062</v>
      </c>
      <c r="AG1051" s="473">
        <v>1600</v>
      </c>
      <c r="AH1051" s="473">
        <v>200</v>
      </c>
      <c r="AI1051" s="473">
        <v>1250</v>
      </c>
      <c r="AJ1051" s="473">
        <v>2095</v>
      </c>
      <c r="AK1051" s="473">
        <v>5031</v>
      </c>
      <c r="AL1051" s="473">
        <v>3773</v>
      </c>
      <c r="AM1051" s="473">
        <v>252</v>
      </c>
      <c r="AN1051" s="473">
        <v>880</v>
      </c>
      <c r="AO1051" s="473">
        <v>503</v>
      </c>
      <c r="AP1051" s="473">
        <v>126</v>
      </c>
      <c r="AQ1051" s="473">
        <v>1800</v>
      </c>
      <c r="AR1051" s="473">
        <v>3173</v>
      </c>
      <c r="AS1051" s="473">
        <v>0</v>
      </c>
      <c r="AT1051" s="473">
        <v>0</v>
      </c>
      <c r="AU1051" s="473"/>
      <c r="AV1051" s="473">
        <v>55900</v>
      </c>
      <c r="AW1051" s="474">
        <v>55900</v>
      </c>
      <c r="AX1051" s="473"/>
      <c r="AY1051" s="473">
        <v>0</v>
      </c>
      <c r="AZ1051" s="475">
        <v>0</v>
      </c>
      <c r="BA1051" s="475">
        <v>300</v>
      </c>
      <c r="BB1051" s="475">
        <v>1800</v>
      </c>
      <c r="BC1051" s="475">
        <v>0</v>
      </c>
      <c r="BD1051" s="475">
        <v>0</v>
      </c>
      <c r="BE1051" s="475">
        <v>0</v>
      </c>
      <c r="BF1051" s="475">
        <v>0</v>
      </c>
      <c r="BG1051" s="475">
        <v>2100</v>
      </c>
      <c r="BH1051" s="476">
        <v>53800</v>
      </c>
      <c r="BI1051" s="467"/>
      <c r="BJ1051" s="468"/>
    </row>
    <row r="1052" spans="1:62">
      <c r="A1052" s="469">
        <v>46054</v>
      </c>
      <c r="B1052" s="469" t="s">
        <v>747</v>
      </c>
      <c r="C1052" s="508"/>
      <c r="D1052" s="470" t="s">
        <v>749</v>
      </c>
      <c r="E1052" s="471">
        <v>2218</v>
      </c>
      <c r="F1052" s="470" t="s">
        <v>1380</v>
      </c>
      <c r="G1052" s="470" t="s">
        <v>751</v>
      </c>
      <c r="H1052" s="470" t="s">
        <v>12</v>
      </c>
      <c r="I1052" s="470" t="s">
        <v>1340</v>
      </c>
      <c r="J1052" s="472" t="s">
        <v>1381</v>
      </c>
      <c r="K1052" s="470" t="s">
        <v>1382</v>
      </c>
      <c r="L1052" s="470" t="s">
        <v>1383</v>
      </c>
      <c r="M1052" s="470" t="s">
        <v>903</v>
      </c>
      <c r="N1052" s="470" t="s">
        <v>1384</v>
      </c>
      <c r="O1052" s="472" t="s">
        <v>757</v>
      </c>
      <c r="P1052" s="472" t="s">
        <v>738</v>
      </c>
      <c r="Q1052" s="472" t="s">
        <v>758</v>
      </c>
      <c r="R1052" s="472" t="s">
        <v>12</v>
      </c>
      <c r="S1052" s="472" t="s">
        <v>12</v>
      </c>
      <c r="T1052" s="472" t="s">
        <v>1385</v>
      </c>
      <c r="U1052" s="470" t="s">
        <v>1386</v>
      </c>
      <c r="V1052" s="470" t="s">
        <v>761</v>
      </c>
      <c r="W1052" s="470" t="s">
        <v>1387</v>
      </c>
      <c r="X1052" s="470">
        <v>28</v>
      </c>
      <c r="Y1052" s="470">
        <v>0</v>
      </c>
      <c r="Z1052" s="470">
        <v>0</v>
      </c>
      <c r="AA1052" s="470">
        <v>28</v>
      </c>
      <c r="AB1052" s="470">
        <v>28</v>
      </c>
      <c r="AC1052" s="473">
        <v>53200</v>
      </c>
      <c r="AD1052" s="473">
        <v>53200</v>
      </c>
      <c r="AE1052" s="473">
        <v>23940</v>
      </c>
      <c r="AF1052" s="473">
        <v>9576</v>
      </c>
      <c r="AG1052" s="473">
        <v>1600</v>
      </c>
      <c r="AH1052" s="473">
        <v>200</v>
      </c>
      <c r="AI1052" s="473">
        <v>1250</v>
      </c>
      <c r="AJ1052" s="473">
        <v>1994</v>
      </c>
      <c r="AK1052" s="473">
        <v>4788</v>
      </c>
      <c r="AL1052" s="473">
        <v>3591</v>
      </c>
      <c r="AM1052" s="473">
        <v>239</v>
      </c>
      <c r="AN1052" s="473">
        <v>838</v>
      </c>
      <c r="AO1052" s="473">
        <v>479</v>
      </c>
      <c r="AP1052" s="473">
        <v>120</v>
      </c>
      <c r="AQ1052" s="473">
        <v>1800</v>
      </c>
      <c r="AR1052" s="473">
        <v>2785</v>
      </c>
      <c r="AS1052" s="473">
        <v>0</v>
      </c>
      <c r="AT1052" s="473">
        <v>0</v>
      </c>
      <c r="AU1052" s="473">
        <v>4605</v>
      </c>
      <c r="AV1052" s="473">
        <v>57805</v>
      </c>
      <c r="AW1052" s="474">
        <v>53200</v>
      </c>
      <c r="AX1052" s="473"/>
      <c r="AY1052" s="473">
        <v>0</v>
      </c>
      <c r="AZ1052" s="475">
        <v>0</v>
      </c>
      <c r="BA1052" s="475">
        <v>300</v>
      </c>
      <c r="BB1052" s="475">
        <v>1800</v>
      </c>
      <c r="BC1052" s="475">
        <v>0</v>
      </c>
      <c r="BD1052" s="475">
        <v>0</v>
      </c>
      <c r="BE1052" s="475">
        <v>0</v>
      </c>
      <c r="BF1052" s="475">
        <v>0</v>
      </c>
      <c r="BG1052" s="475">
        <v>2100</v>
      </c>
      <c r="BH1052" s="476">
        <v>55705</v>
      </c>
      <c r="BI1052" s="467"/>
      <c r="BJ1052" s="468"/>
    </row>
    <row r="1053" spans="1:62">
      <c r="A1053" s="469">
        <v>46054</v>
      </c>
      <c r="B1053" s="469" t="s">
        <v>747</v>
      </c>
      <c r="C1053" s="508"/>
      <c r="D1053" s="470" t="s">
        <v>749</v>
      </c>
      <c r="E1053" s="471">
        <v>1758</v>
      </c>
      <c r="F1053" s="470" t="s">
        <v>1149</v>
      </c>
      <c r="G1053" s="470" t="s">
        <v>751</v>
      </c>
      <c r="H1053" s="470" t="s">
        <v>12</v>
      </c>
      <c r="I1053" s="470" t="s">
        <v>1150</v>
      </c>
      <c r="J1053" s="472" t="s">
        <v>1151</v>
      </c>
      <c r="K1053" s="470" t="s">
        <v>1152</v>
      </c>
      <c r="L1053" s="470" t="s">
        <v>856</v>
      </c>
      <c r="M1053" s="470" t="s">
        <v>856</v>
      </c>
      <c r="N1053" s="470" t="s">
        <v>756</v>
      </c>
      <c r="O1053" s="472" t="s">
        <v>757</v>
      </c>
      <c r="P1053" s="472" t="s">
        <v>738</v>
      </c>
      <c r="Q1053" s="472" t="s">
        <v>758</v>
      </c>
      <c r="R1053" s="472" t="s">
        <v>12</v>
      </c>
      <c r="S1053" s="472" t="s">
        <v>12</v>
      </c>
      <c r="T1053" s="472" t="s">
        <v>1153</v>
      </c>
      <c r="U1053" s="470" t="s">
        <v>1154</v>
      </c>
      <c r="V1053" s="470" t="s">
        <v>761</v>
      </c>
      <c r="W1053" s="470" t="s">
        <v>1155</v>
      </c>
      <c r="X1053" s="470">
        <v>28</v>
      </c>
      <c r="Y1053" s="470">
        <v>0</v>
      </c>
      <c r="Z1053" s="470">
        <v>0</v>
      </c>
      <c r="AA1053" s="470">
        <v>28</v>
      </c>
      <c r="AB1053" s="470">
        <v>28</v>
      </c>
      <c r="AC1053" s="473">
        <v>68220</v>
      </c>
      <c r="AD1053" s="473">
        <v>68220</v>
      </c>
      <c r="AE1053" s="473">
        <v>30699</v>
      </c>
      <c r="AF1053" s="473">
        <v>12280</v>
      </c>
      <c r="AG1053" s="473">
        <v>1600</v>
      </c>
      <c r="AH1053" s="473">
        <v>200</v>
      </c>
      <c r="AI1053" s="473">
        <v>1250</v>
      </c>
      <c r="AJ1053" s="473">
        <v>2557</v>
      </c>
      <c r="AK1053" s="473">
        <v>6140</v>
      </c>
      <c r="AL1053" s="473">
        <v>4605</v>
      </c>
      <c r="AM1053" s="473">
        <v>307</v>
      </c>
      <c r="AN1053" s="473">
        <v>1074</v>
      </c>
      <c r="AO1053" s="473">
        <v>614</v>
      </c>
      <c r="AP1053" s="473">
        <v>154</v>
      </c>
      <c r="AQ1053" s="473">
        <v>1800</v>
      </c>
      <c r="AR1053" s="473">
        <v>4940</v>
      </c>
      <c r="AS1053" s="473">
        <v>0</v>
      </c>
      <c r="AT1053" s="473">
        <v>0</v>
      </c>
      <c r="AU1053" s="473">
        <v>1117</v>
      </c>
      <c r="AV1053" s="473">
        <v>69337</v>
      </c>
      <c r="AW1053" s="474">
        <v>68220</v>
      </c>
      <c r="AX1053" s="473"/>
      <c r="AY1053" s="473">
        <v>0</v>
      </c>
      <c r="AZ1053" s="475">
        <v>0</v>
      </c>
      <c r="BA1053" s="475">
        <v>300</v>
      </c>
      <c r="BB1053" s="475">
        <v>1800</v>
      </c>
      <c r="BC1053" s="475">
        <v>0</v>
      </c>
      <c r="BD1053" s="475">
        <v>0</v>
      </c>
      <c r="BE1053" s="475">
        <v>0</v>
      </c>
      <c r="BF1053" s="475">
        <v>0</v>
      </c>
      <c r="BG1053" s="475">
        <v>2100</v>
      </c>
      <c r="BH1053" s="476">
        <v>67237</v>
      </c>
      <c r="BI1053" s="467"/>
      <c r="BJ1053" s="468"/>
    </row>
    <row r="1054" spans="1:62">
      <c r="A1054" s="469">
        <v>46054</v>
      </c>
      <c r="B1054" s="469" t="s">
        <v>747</v>
      </c>
      <c r="C1054" s="508"/>
      <c r="D1054" s="470" t="s">
        <v>749</v>
      </c>
      <c r="E1054" s="471">
        <v>1624</v>
      </c>
      <c r="F1054" s="470" t="s">
        <v>1156</v>
      </c>
      <c r="G1054" s="470" t="s">
        <v>751</v>
      </c>
      <c r="H1054" s="470" t="s">
        <v>12</v>
      </c>
      <c r="I1054" s="470" t="s">
        <v>1157</v>
      </c>
      <c r="J1054" s="472" t="s">
        <v>1158</v>
      </c>
      <c r="K1054" s="470" t="s">
        <v>1159</v>
      </c>
      <c r="L1054" s="470" t="s">
        <v>987</v>
      </c>
      <c r="M1054" s="470" t="s">
        <v>987</v>
      </c>
      <c r="N1054" s="470" t="s">
        <v>756</v>
      </c>
      <c r="O1054" s="472" t="s">
        <v>757</v>
      </c>
      <c r="P1054" s="472" t="s">
        <v>738</v>
      </c>
      <c r="Q1054" s="472" t="s">
        <v>758</v>
      </c>
      <c r="R1054" s="472" t="s">
        <v>12</v>
      </c>
      <c r="S1054" s="472" t="s">
        <v>12</v>
      </c>
      <c r="T1054" s="472" t="s">
        <v>1160</v>
      </c>
      <c r="U1054" s="470" t="s">
        <v>1161</v>
      </c>
      <c r="V1054" s="470" t="s">
        <v>761</v>
      </c>
      <c r="W1054" s="470" t="s">
        <v>898</v>
      </c>
      <c r="X1054" s="470">
        <v>28</v>
      </c>
      <c r="Y1054" s="470">
        <v>0</v>
      </c>
      <c r="Z1054" s="470">
        <v>0</v>
      </c>
      <c r="AA1054" s="470">
        <v>28</v>
      </c>
      <c r="AB1054" s="470">
        <v>28</v>
      </c>
      <c r="AC1054" s="473">
        <v>42042</v>
      </c>
      <c r="AD1054" s="473">
        <v>42042</v>
      </c>
      <c r="AE1054" s="473">
        <v>18919</v>
      </c>
      <c r="AF1054" s="473">
        <v>7568</v>
      </c>
      <c r="AG1054" s="473">
        <v>1600</v>
      </c>
      <c r="AH1054" s="473">
        <v>200</v>
      </c>
      <c r="AI1054" s="473">
        <v>1250</v>
      </c>
      <c r="AJ1054" s="473">
        <v>1576</v>
      </c>
      <c r="AK1054" s="473">
        <v>3784</v>
      </c>
      <c r="AL1054" s="473">
        <v>2838</v>
      </c>
      <c r="AM1054" s="473">
        <v>189</v>
      </c>
      <c r="AN1054" s="473">
        <v>662</v>
      </c>
      <c r="AO1054" s="473">
        <v>378</v>
      </c>
      <c r="AP1054" s="473">
        <v>95</v>
      </c>
      <c r="AQ1054" s="473">
        <v>1800</v>
      </c>
      <c r="AR1054" s="473">
        <v>1183</v>
      </c>
      <c r="AS1054" s="473">
        <v>0</v>
      </c>
      <c r="AT1054" s="473">
        <v>600</v>
      </c>
      <c r="AU1054" s="473"/>
      <c r="AV1054" s="473">
        <v>42642</v>
      </c>
      <c r="AW1054" s="474">
        <v>42642</v>
      </c>
      <c r="AX1054" s="473"/>
      <c r="AY1054" s="473">
        <v>0</v>
      </c>
      <c r="AZ1054" s="475">
        <v>0</v>
      </c>
      <c r="BA1054" s="475">
        <v>300</v>
      </c>
      <c r="BB1054" s="475">
        <v>1800</v>
      </c>
      <c r="BC1054" s="475">
        <v>0</v>
      </c>
      <c r="BD1054" s="475">
        <v>0</v>
      </c>
      <c r="BE1054" s="475">
        <v>0</v>
      </c>
      <c r="BF1054" s="475">
        <v>0</v>
      </c>
      <c r="BG1054" s="475">
        <v>2100</v>
      </c>
      <c r="BH1054" s="476">
        <v>40542</v>
      </c>
      <c r="BI1054" s="467"/>
      <c r="BJ1054" s="468"/>
    </row>
    <row r="1055" spans="1:62">
      <c r="A1055" s="469">
        <v>46054</v>
      </c>
      <c r="B1055" s="469" t="s">
        <v>747</v>
      </c>
      <c r="C1055" s="508"/>
      <c r="D1055" s="470" t="s">
        <v>749</v>
      </c>
      <c r="E1055" s="471">
        <v>1738</v>
      </c>
      <c r="F1055" s="470" t="s">
        <v>1162</v>
      </c>
      <c r="G1055" s="470" t="s">
        <v>751</v>
      </c>
      <c r="H1055" s="470" t="s">
        <v>12</v>
      </c>
      <c r="I1055" s="470" t="s">
        <v>938</v>
      </c>
      <c r="J1055" s="472" t="s">
        <v>1163</v>
      </c>
      <c r="K1055" s="470" t="s">
        <v>1164</v>
      </c>
      <c r="L1055" s="470" t="s">
        <v>1165</v>
      </c>
      <c r="M1055" s="470" t="s">
        <v>1165</v>
      </c>
      <c r="N1055" s="470" t="s">
        <v>756</v>
      </c>
      <c r="O1055" s="472" t="s">
        <v>757</v>
      </c>
      <c r="P1055" s="472" t="s">
        <v>738</v>
      </c>
      <c r="Q1055" s="472" t="s">
        <v>758</v>
      </c>
      <c r="R1055" s="472" t="s">
        <v>12</v>
      </c>
      <c r="S1055" s="472" t="s">
        <v>12</v>
      </c>
      <c r="T1055" s="472" t="s">
        <v>1166</v>
      </c>
      <c r="U1055" s="470" t="s">
        <v>1167</v>
      </c>
      <c r="V1055" s="470" t="s">
        <v>761</v>
      </c>
      <c r="W1055" s="470" t="s">
        <v>762</v>
      </c>
      <c r="X1055" s="470">
        <v>28</v>
      </c>
      <c r="Y1055" s="470">
        <v>0</v>
      </c>
      <c r="Z1055" s="470">
        <v>0</v>
      </c>
      <c r="AA1055" s="470">
        <v>28</v>
      </c>
      <c r="AB1055" s="470">
        <v>28</v>
      </c>
      <c r="AC1055" s="473">
        <v>35983</v>
      </c>
      <c r="AD1055" s="473">
        <v>35983</v>
      </c>
      <c r="AE1055" s="473">
        <v>16192</v>
      </c>
      <c r="AF1055" s="473">
        <v>6477</v>
      </c>
      <c r="AG1055" s="473">
        <v>1600</v>
      </c>
      <c r="AH1055" s="473">
        <v>200</v>
      </c>
      <c r="AI1055" s="473">
        <v>1250</v>
      </c>
      <c r="AJ1055" s="473">
        <v>0</v>
      </c>
      <c r="AK1055" s="473">
        <v>0</v>
      </c>
      <c r="AL1055" s="473">
        <v>0</v>
      </c>
      <c r="AM1055" s="473">
        <v>0</v>
      </c>
      <c r="AN1055" s="473">
        <v>0</v>
      </c>
      <c r="AO1055" s="473">
        <v>0</v>
      </c>
      <c r="AP1055" s="473">
        <v>0</v>
      </c>
      <c r="AQ1055" s="473">
        <v>1800</v>
      </c>
      <c r="AR1055" s="473">
        <v>8464</v>
      </c>
      <c r="AS1055" s="473">
        <v>0</v>
      </c>
      <c r="AT1055" s="473">
        <v>400</v>
      </c>
      <c r="AU1055" s="473"/>
      <c r="AV1055" s="473">
        <v>36383</v>
      </c>
      <c r="AW1055" s="474">
        <v>36383</v>
      </c>
      <c r="AX1055" s="473"/>
      <c r="AY1055" s="473">
        <v>0</v>
      </c>
      <c r="AZ1055" s="475">
        <v>0</v>
      </c>
      <c r="BA1055" s="475">
        <v>300</v>
      </c>
      <c r="BB1055" s="475">
        <v>1800</v>
      </c>
      <c r="BC1055" s="475">
        <v>0</v>
      </c>
      <c r="BD1055" s="475">
        <v>0</v>
      </c>
      <c r="BE1055" s="475">
        <v>0</v>
      </c>
      <c r="BF1055" s="475">
        <v>0</v>
      </c>
      <c r="BG1055" s="475">
        <v>2100</v>
      </c>
      <c r="BH1055" s="476">
        <v>34283</v>
      </c>
      <c r="BI1055" s="467"/>
      <c r="BJ1055" s="468"/>
    </row>
    <row r="1056" spans="1:62">
      <c r="A1056" s="469">
        <v>46054</v>
      </c>
      <c r="B1056" s="469" t="s">
        <v>747</v>
      </c>
      <c r="C1056" s="508"/>
      <c r="D1056" s="470" t="s">
        <v>749</v>
      </c>
      <c r="E1056" s="471">
        <v>2175</v>
      </c>
      <c r="F1056" s="470" t="s">
        <v>1320</v>
      </c>
      <c r="G1056" s="470" t="s">
        <v>812</v>
      </c>
      <c r="H1056" s="470" t="s">
        <v>12</v>
      </c>
      <c r="I1056" s="470" t="s">
        <v>1321</v>
      </c>
      <c r="J1056" s="472" t="s">
        <v>1322</v>
      </c>
      <c r="K1056" s="470" t="s">
        <v>1323</v>
      </c>
      <c r="L1056" s="470" t="s">
        <v>1324</v>
      </c>
      <c r="M1056" s="470" t="s">
        <v>1293</v>
      </c>
      <c r="N1056" s="470" t="s">
        <v>756</v>
      </c>
      <c r="O1056" s="472" t="s">
        <v>792</v>
      </c>
      <c r="P1056" s="472" t="s">
        <v>738</v>
      </c>
      <c r="Q1056" s="472" t="s">
        <v>758</v>
      </c>
      <c r="R1056" s="472" t="s">
        <v>12</v>
      </c>
      <c r="S1056" s="472" t="s">
        <v>12</v>
      </c>
      <c r="T1056" s="472" t="s">
        <v>1325</v>
      </c>
      <c r="U1056" s="470" t="s">
        <v>1326</v>
      </c>
      <c r="V1056" s="470" t="s">
        <v>761</v>
      </c>
      <c r="W1056" s="470" t="s">
        <v>1327</v>
      </c>
      <c r="X1056" s="470">
        <v>28</v>
      </c>
      <c r="Y1056" s="470">
        <v>0</v>
      </c>
      <c r="Z1056" s="470">
        <v>0.5</v>
      </c>
      <c r="AA1056" s="470">
        <v>27.5</v>
      </c>
      <c r="AB1056" s="470">
        <v>27.5</v>
      </c>
      <c r="AC1056" s="473">
        <v>137785</v>
      </c>
      <c r="AD1056" s="473">
        <v>137785</v>
      </c>
      <c r="AE1056" s="473">
        <v>60896</v>
      </c>
      <c r="AF1056" s="473">
        <v>24358</v>
      </c>
      <c r="AG1056" s="473">
        <v>1571</v>
      </c>
      <c r="AH1056" s="473">
        <v>196</v>
      </c>
      <c r="AI1056" s="473">
        <v>1228</v>
      </c>
      <c r="AJ1056" s="473">
        <v>5073</v>
      </c>
      <c r="AK1056" s="473">
        <v>12179</v>
      </c>
      <c r="AL1056" s="473">
        <v>9134</v>
      </c>
      <c r="AM1056" s="473">
        <v>609</v>
      </c>
      <c r="AN1056" s="473">
        <v>2131</v>
      </c>
      <c r="AO1056" s="473">
        <v>1218</v>
      </c>
      <c r="AP1056" s="473">
        <v>304</v>
      </c>
      <c r="AQ1056" s="473">
        <v>1800</v>
      </c>
      <c r="AR1056" s="473">
        <v>14628</v>
      </c>
      <c r="AS1056" s="473">
        <v>0</v>
      </c>
      <c r="AT1056" s="473">
        <v>0</v>
      </c>
      <c r="AU1056" s="473"/>
      <c r="AV1056" s="473">
        <v>135325</v>
      </c>
      <c r="AW1056" s="474">
        <v>135325</v>
      </c>
      <c r="AX1056" s="473"/>
      <c r="AY1056" s="473">
        <v>0</v>
      </c>
      <c r="AZ1056" s="475">
        <v>0</v>
      </c>
      <c r="BA1056" s="475">
        <v>300</v>
      </c>
      <c r="BB1056" s="475">
        <v>1800</v>
      </c>
      <c r="BC1056" s="475">
        <v>0</v>
      </c>
      <c r="BD1056" s="475">
        <v>0</v>
      </c>
      <c r="BE1056" s="475">
        <v>0</v>
      </c>
      <c r="BF1056" s="475">
        <v>0</v>
      </c>
      <c r="BG1056" s="475">
        <v>2100</v>
      </c>
      <c r="BH1056" s="476">
        <v>133225</v>
      </c>
      <c r="BI1056" s="467"/>
      <c r="BJ1056" s="468"/>
    </row>
    <row r="1057" spans="1:62">
      <c r="A1057" s="469">
        <v>46054</v>
      </c>
      <c r="B1057" s="469" t="s">
        <v>747</v>
      </c>
      <c r="C1057" s="508"/>
      <c r="D1057" s="470" t="s">
        <v>749</v>
      </c>
      <c r="E1057" s="471">
        <v>1589</v>
      </c>
      <c r="F1057" s="470" t="s">
        <v>1175</v>
      </c>
      <c r="G1057" s="470" t="s">
        <v>751</v>
      </c>
      <c r="H1057" s="470" t="s">
        <v>12</v>
      </c>
      <c r="I1057" s="470" t="s">
        <v>1176</v>
      </c>
      <c r="J1057" s="472" t="s">
        <v>1177</v>
      </c>
      <c r="K1057" s="470" t="s">
        <v>1178</v>
      </c>
      <c r="L1057" s="470" t="s">
        <v>755</v>
      </c>
      <c r="M1057" s="470" t="s">
        <v>755</v>
      </c>
      <c r="N1057" s="470" t="s">
        <v>756</v>
      </c>
      <c r="O1057" s="472" t="s">
        <v>757</v>
      </c>
      <c r="P1057" s="472" t="s">
        <v>738</v>
      </c>
      <c r="Q1057" s="472" t="s">
        <v>758</v>
      </c>
      <c r="R1057" s="472" t="s">
        <v>12</v>
      </c>
      <c r="S1057" s="472" t="s">
        <v>12</v>
      </c>
      <c r="T1057" s="472" t="s">
        <v>1179</v>
      </c>
      <c r="U1057" s="470" t="s">
        <v>1180</v>
      </c>
      <c r="V1057" s="470" t="s">
        <v>761</v>
      </c>
      <c r="W1057" s="470" t="s">
        <v>762</v>
      </c>
      <c r="X1057" s="470">
        <v>28</v>
      </c>
      <c r="Y1057" s="470">
        <v>0</v>
      </c>
      <c r="Z1057" s="470">
        <v>0</v>
      </c>
      <c r="AA1057" s="470">
        <v>28</v>
      </c>
      <c r="AB1057" s="470">
        <v>28</v>
      </c>
      <c r="AC1057" s="473">
        <v>34250</v>
      </c>
      <c r="AD1057" s="473">
        <v>34250</v>
      </c>
      <c r="AE1057" s="473">
        <v>15413</v>
      </c>
      <c r="AF1057" s="473">
        <v>6165</v>
      </c>
      <c r="AG1057" s="473">
        <v>1600</v>
      </c>
      <c r="AH1057" s="473">
        <v>200</v>
      </c>
      <c r="AI1057" s="473">
        <v>1250</v>
      </c>
      <c r="AJ1057" s="473">
        <v>0</v>
      </c>
      <c r="AK1057" s="473">
        <v>0</v>
      </c>
      <c r="AL1057" s="473">
        <v>0</v>
      </c>
      <c r="AM1057" s="473">
        <v>0</v>
      </c>
      <c r="AN1057" s="473">
        <v>0</v>
      </c>
      <c r="AO1057" s="473">
        <v>0</v>
      </c>
      <c r="AP1057" s="473">
        <v>0</v>
      </c>
      <c r="AQ1057" s="473">
        <v>1800</v>
      </c>
      <c r="AR1057" s="473">
        <v>7822</v>
      </c>
      <c r="AS1057" s="473">
        <v>0</v>
      </c>
      <c r="AT1057" s="473">
        <v>0</v>
      </c>
      <c r="AU1057" s="473"/>
      <c r="AV1057" s="473">
        <v>34250</v>
      </c>
      <c r="AW1057" s="474">
        <v>34250</v>
      </c>
      <c r="AX1057" s="473"/>
      <c r="AY1057" s="473">
        <v>0</v>
      </c>
      <c r="AZ1057" s="475">
        <v>0</v>
      </c>
      <c r="BA1057" s="475">
        <v>300</v>
      </c>
      <c r="BB1057" s="475">
        <v>1800</v>
      </c>
      <c r="BC1057" s="475">
        <v>0</v>
      </c>
      <c r="BD1057" s="475">
        <v>0</v>
      </c>
      <c r="BE1057" s="475">
        <v>0</v>
      </c>
      <c r="BF1057" s="475">
        <v>0</v>
      </c>
      <c r="BG1057" s="475">
        <v>2100</v>
      </c>
      <c r="BH1057" s="476">
        <v>32150</v>
      </c>
      <c r="BI1057" s="467"/>
      <c r="BJ1057" s="468"/>
    </row>
    <row r="1058" spans="1:62">
      <c r="A1058" s="469">
        <v>46054</v>
      </c>
      <c r="B1058" s="469" t="s">
        <v>747</v>
      </c>
      <c r="C1058" s="508"/>
      <c r="D1058" s="470" t="s">
        <v>749</v>
      </c>
      <c r="E1058" s="471">
        <v>2069</v>
      </c>
      <c r="F1058" s="470" t="s">
        <v>1181</v>
      </c>
      <c r="G1058" s="470" t="s">
        <v>751</v>
      </c>
      <c r="H1058" s="470" t="s">
        <v>12</v>
      </c>
      <c r="I1058" s="470" t="s">
        <v>1182</v>
      </c>
      <c r="J1058" s="472" t="s">
        <v>1183</v>
      </c>
      <c r="K1058" s="470" t="s">
        <v>1184</v>
      </c>
      <c r="L1058" s="470" t="s">
        <v>767</v>
      </c>
      <c r="M1058" s="470" t="s">
        <v>767</v>
      </c>
      <c r="N1058" s="470" t="s">
        <v>756</v>
      </c>
      <c r="O1058" s="472" t="s">
        <v>792</v>
      </c>
      <c r="P1058" s="472" t="s">
        <v>738</v>
      </c>
      <c r="Q1058" s="472" t="s">
        <v>758</v>
      </c>
      <c r="R1058" s="472" t="s">
        <v>12</v>
      </c>
      <c r="S1058" s="472" t="s">
        <v>12</v>
      </c>
      <c r="T1058" s="472" t="s">
        <v>1185</v>
      </c>
      <c r="U1058" s="470" t="s">
        <v>1186</v>
      </c>
      <c r="V1058" s="470" t="s">
        <v>761</v>
      </c>
      <c r="W1058" s="470" t="s">
        <v>1187</v>
      </c>
      <c r="X1058" s="470">
        <v>28</v>
      </c>
      <c r="Y1058" s="470">
        <v>0</v>
      </c>
      <c r="Z1058" s="470">
        <v>0</v>
      </c>
      <c r="AA1058" s="470">
        <v>28</v>
      </c>
      <c r="AB1058" s="470">
        <v>28</v>
      </c>
      <c r="AC1058" s="473">
        <v>70000</v>
      </c>
      <c r="AD1058" s="473">
        <v>70000</v>
      </c>
      <c r="AE1058" s="473">
        <v>31500</v>
      </c>
      <c r="AF1058" s="473">
        <v>12600</v>
      </c>
      <c r="AG1058" s="473">
        <v>1600</v>
      </c>
      <c r="AH1058" s="473">
        <v>200</v>
      </c>
      <c r="AI1058" s="473">
        <v>1250</v>
      </c>
      <c r="AJ1058" s="473">
        <v>2624</v>
      </c>
      <c r="AK1058" s="473">
        <v>6300</v>
      </c>
      <c r="AL1058" s="473">
        <v>4725</v>
      </c>
      <c r="AM1058" s="473">
        <v>315</v>
      </c>
      <c r="AN1058" s="473">
        <v>1103</v>
      </c>
      <c r="AO1058" s="473">
        <v>630</v>
      </c>
      <c r="AP1058" s="473">
        <v>158</v>
      </c>
      <c r="AQ1058" s="473">
        <v>1800</v>
      </c>
      <c r="AR1058" s="473">
        <v>5195</v>
      </c>
      <c r="AS1058" s="473">
        <v>0</v>
      </c>
      <c r="AT1058" s="473">
        <v>200</v>
      </c>
      <c r="AU1058" s="473"/>
      <c r="AV1058" s="473">
        <v>70200</v>
      </c>
      <c r="AW1058" s="474">
        <v>70200</v>
      </c>
      <c r="AX1058" s="473"/>
      <c r="AY1058" s="473">
        <v>0</v>
      </c>
      <c r="AZ1058" s="475">
        <v>0</v>
      </c>
      <c r="BA1058" s="475">
        <v>300</v>
      </c>
      <c r="BB1058" s="475">
        <v>1800</v>
      </c>
      <c r="BC1058" s="475">
        <v>0</v>
      </c>
      <c r="BD1058" s="475">
        <v>0</v>
      </c>
      <c r="BE1058" s="475">
        <v>0</v>
      </c>
      <c r="BF1058" s="475">
        <v>0</v>
      </c>
      <c r="BG1058" s="475">
        <v>2100</v>
      </c>
      <c r="BH1058" s="476">
        <v>68100</v>
      </c>
      <c r="BI1058" s="467"/>
      <c r="BJ1058" s="468"/>
    </row>
    <row r="1059" spans="1:62">
      <c r="A1059" s="469">
        <v>46054</v>
      </c>
      <c r="B1059" s="469" t="s">
        <v>747</v>
      </c>
      <c r="C1059" s="508"/>
      <c r="D1059" s="470" t="s">
        <v>749</v>
      </c>
      <c r="E1059" s="471">
        <v>2015</v>
      </c>
      <c r="F1059" s="470" t="s">
        <v>1202</v>
      </c>
      <c r="G1059" s="470" t="s">
        <v>751</v>
      </c>
      <c r="H1059" s="470" t="s">
        <v>12</v>
      </c>
      <c r="I1059" s="470" t="s">
        <v>847</v>
      </c>
      <c r="J1059" s="472" t="s">
        <v>1203</v>
      </c>
      <c r="K1059" s="470" t="s">
        <v>1204</v>
      </c>
      <c r="L1059" s="470" t="s">
        <v>1345</v>
      </c>
      <c r="M1059" s="470" t="s">
        <v>1345</v>
      </c>
      <c r="N1059" s="470" t="s">
        <v>1275</v>
      </c>
      <c r="O1059" s="472" t="s">
        <v>757</v>
      </c>
      <c r="P1059" s="472" t="s">
        <v>738</v>
      </c>
      <c r="Q1059" s="472" t="s">
        <v>758</v>
      </c>
      <c r="R1059" s="472" t="s">
        <v>12</v>
      </c>
      <c r="S1059" s="472" t="s">
        <v>12</v>
      </c>
      <c r="T1059" s="472" t="s">
        <v>1205</v>
      </c>
      <c r="U1059" s="470" t="s">
        <v>1206</v>
      </c>
      <c r="V1059" s="470" t="s">
        <v>761</v>
      </c>
      <c r="W1059" s="470" t="s">
        <v>762</v>
      </c>
      <c r="X1059" s="470">
        <v>28</v>
      </c>
      <c r="Y1059" s="470">
        <v>0</v>
      </c>
      <c r="Z1059" s="470">
        <v>0</v>
      </c>
      <c r="AA1059" s="470">
        <v>28</v>
      </c>
      <c r="AB1059" s="470">
        <v>28</v>
      </c>
      <c r="AC1059" s="473">
        <v>56533</v>
      </c>
      <c r="AD1059" s="473">
        <v>56533</v>
      </c>
      <c r="AE1059" s="473">
        <v>25440</v>
      </c>
      <c r="AF1059" s="473">
        <v>10176</v>
      </c>
      <c r="AG1059" s="473">
        <v>1600</v>
      </c>
      <c r="AH1059" s="473">
        <v>200</v>
      </c>
      <c r="AI1059" s="473">
        <v>1250</v>
      </c>
      <c r="AJ1059" s="473">
        <v>2119</v>
      </c>
      <c r="AK1059" s="473">
        <v>5088</v>
      </c>
      <c r="AL1059" s="473">
        <v>3816</v>
      </c>
      <c r="AM1059" s="473">
        <v>254</v>
      </c>
      <c r="AN1059" s="473">
        <v>890</v>
      </c>
      <c r="AO1059" s="473">
        <v>509</v>
      </c>
      <c r="AP1059" s="473">
        <v>127</v>
      </c>
      <c r="AQ1059" s="473">
        <v>1800</v>
      </c>
      <c r="AR1059" s="473">
        <v>3264</v>
      </c>
      <c r="AS1059" s="473">
        <v>0</v>
      </c>
      <c r="AT1059" s="473">
        <v>0</v>
      </c>
      <c r="AU1059" s="473">
        <v>4796</v>
      </c>
      <c r="AV1059" s="473">
        <v>61329</v>
      </c>
      <c r="AW1059" s="474">
        <v>56533</v>
      </c>
      <c r="AX1059" s="473"/>
      <c r="AY1059" s="473">
        <v>0</v>
      </c>
      <c r="AZ1059" s="475">
        <v>0</v>
      </c>
      <c r="BA1059" s="475">
        <v>300</v>
      </c>
      <c r="BB1059" s="475">
        <v>1800</v>
      </c>
      <c r="BC1059" s="475">
        <v>0</v>
      </c>
      <c r="BD1059" s="475">
        <v>0</v>
      </c>
      <c r="BE1059" s="475">
        <v>0</v>
      </c>
      <c r="BF1059" s="475">
        <v>0</v>
      </c>
      <c r="BG1059" s="475">
        <v>2100</v>
      </c>
      <c r="BH1059" s="476">
        <v>59229</v>
      </c>
      <c r="BI1059" s="467"/>
      <c r="BJ1059" s="468"/>
    </row>
    <row r="1060" spans="1:62">
      <c r="A1060" s="469">
        <v>46054</v>
      </c>
      <c r="B1060" s="469" t="s">
        <v>747</v>
      </c>
      <c r="C1060" s="508"/>
      <c r="D1060" s="470" t="s">
        <v>749</v>
      </c>
      <c r="E1060" s="471">
        <v>1166</v>
      </c>
      <c r="F1060" s="470" t="s">
        <v>1207</v>
      </c>
      <c r="G1060" s="470" t="s">
        <v>751</v>
      </c>
      <c r="H1060" s="470" t="s">
        <v>12</v>
      </c>
      <c r="I1060" s="470" t="s">
        <v>1208</v>
      </c>
      <c r="J1060" s="472" t="s">
        <v>1209</v>
      </c>
      <c r="K1060" s="470" t="s">
        <v>1210</v>
      </c>
      <c r="L1060" s="470" t="s">
        <v>1329</v>
      </c>
      <c r="M1060" s="470" t="s">
        <v>1330</v>
      </c>
      <c r="N1060" s="470" t="s">
        <v>756</v>
      </c>
      <c r="O1060" s="472" t="s">
        <v>757</v>
      </c>
      <c r="P1060" s="472" t="s">
        <v>738</v>
      </c>
      <c r="Q1060" s="472" t="s">
        <v>758</v>
      </c>
      <c r="R1060" s="472" t="s">
        <v>12</v>
      </c>
      <c r="S1060" s="472" t="s">
        <v>12</v>
      </c>
      <c r="T1060" s="472" t="s">
        <v>1213</v>
      </c>
      <c r="U1060" s="470" t="s">
        <v>1214</v>
      </c>
      <c r="V1060" s="470" t="s">
        <v>761</v>
      </c>
      <c r="W1060" s="470" t="s">
        <v>859</v>
      </c>
      <c r="X1060" s="470">
        <v>28</v>
      </c>
      <c r="Y1060" s="470">
        <v>0</v>
      </c>
      <c r="Z1060" s="470">
        <v>3</v>
      </c>
      <c r="AA1060" s="470">
        <v>25</v>
      </c>
      <c r="AB1060" s="470">
        <v>25</v>
      </c>
      <c r="AC1060" s="473">
        <v>59983</v>
      </c>
      <c r="AD1060" s="473">
        <v>59983</v>
      </c>
      <c r="AE1060" s="473">
        <v>24100</v>
      </c>
      <c r="AF1060" s="473">
        <v>9640</v>
      </c>
      <c r="AG1060" s="473">
        <v>1429</v>
      </c>
      <c r="AH1060" s="473">
        <v>179</v>
      </c>
      <c r="AI1060" s="473">
        <v>1116</v>
      </c>
      <c r="AJ1060" s="473">
        <v>2008</v>
      </c>
      <c r="AK1060" s="473">
        <v>4820</v>
      </c>
      <c r="AL1060" s="473">
        <v>3615</v>
      </c>
      <c r="AM1060" s="473">
        <v>241</v>
      </c>
      <c r="AN1060" s="473">
        <v>844</v>
      </c>
      <c r="AO1060" s="473">
        <v>482</v>
      </c>
      <c r="AP1060" s="473">
        <v>121</v>
      </c>
      <c r="AQ1060" s="473">
        <v>1800</v>
      </c>
      <c r="AR1060" s="473">
        <v>3161</v>
      </c>
      <c r="AS1060" s="473">
        <v>0</v>
      </c>
      <c r="AT1060" s="473">
        <v>400</v>
      </c>
      <c r="AU1060" s="473"/>
      <c r="AV1060" s="473">
        <v>53956</v>
      </c>
      <c r="AW1060" s="474">
        <v>53956</v>
      </c>
      <c r="AX1060" s="473"/>
      <c r="AY1060" s="473">
        <v>0</v>
      </c>
      <c r="AZ1060" s="475">
        <v>0</v>
      </c>
      <c r="BA1060" s="475">
        <v>300</v>
      </c>
      <c r="BB1060" s="475">
        <v>1800</v>
      </c>
      <c r="BC1060" s="475">
        <v>0</v>
      </c>
      <c r="BD1060" s="475">
        <v>0</v>
      </c>
      <c r="BE1060" s="475">
        <v>0</v>
      </c>
      <c r="BF1060" s="475">
        <v>0</v>
      </c>
      <c r="BG1060" s="475">
        <v>2100</v>
      </c>
      <c r="BH1060" s="476">
        <v>51856</v>
      </c>
      <c r="BI1060" s="467"/>
      <c r="BJ1060" s="468"/>
    </row>
    <row r="1061" spans="1:62">
      <c r="A1061" s="469">
        <v>46054</v>
      </c>
      <c r="B1061" s="469" t="s">
        <v>747</v>
      </c>
      <c r="C1061" s="508"/>
      <c r="D1061" s="470" t="s">
        <v>749</v>
      </c>
      <c r="E1061" s="471">
        <v>247</v>
      </c>
      <c r="F1061" s="470" t="s">
        <v>1215</v>
      </c>
      <c r="G1061" s="470" t="s">
        <v>751</v>
      </c>
      <c r="H1061" s="470" t="s">
        <v>12</v>
      </c>
      <c r="I1061" s="470" t="s">
        <v>1216</v>
      </c>
      <c r="J1061" s="472" t="s">
        <v>1217</v>
      </c>
      <c r="K1061" s="470" t="s">
        <v>1218</v>
      </c>
      <c r="L1061" s="470" t="s">
        <v>894</v>
      </c>
      <c r="M1061" s="470" t="s">
        <v>1027</v>
      </c>
      <c r="N1061" s="470" t="s">
        <v>756</v>
      </c>
      <c r="O1061" s="472" t="s">
        <v>757</v>
      </c>
      <c r="P1061" s="472" t="s">
        <v>738</v>
      </c>
      <c r="Q1061" s="472" t="s">
        <v>758</v>
      </c>
      <c r="R1061" s="472" t="s">
        <v>12</v>
      </c>
      <c r="S1061" s="472" t="s">
        <v>12</v>
      </c>
      <c r="T1061" s="472" t="s">
        <v>1219</v>
      </c>
      <c r="U1061" s="470" t="s">
        <v>1220</v>
      </c>
      <c r="V1061" s="470" t="s">
        <v>761</v>
      </c>
      <c r="W1061" s="470" t="s">
        <v>960</v>
      </c>
      <c r="X1061" s="470">
        <v>28</v>
      </c>
      <c r="Y1061" s="470">
        <v>0</v>
      </c>
      <c r="Z1061" s="470">
        <v>0</v>
      </c>
      <c r="AA1061" s="470">
        <v>28</v>
      </c>
      <c r="AB1061" s="470">
        <v>28</v>
      </c>
      <c r="AC1061" s="473">
        <v>34308</v>
      </c>
      <c r="AD1061" s="473">
        <v>34308</v>
      </c>
      <c r="AE1061" s="473">
        <v>15439</v>
      </c>
      <c r="AF1061" s="473">
        <v>6176</v>
      </c>
      <c r="AG1061" s="473">
        <v>1600</v>
      </c>
      <c r="AH1061" s="473">
        <v>200</v>
      </c>
      <c r="AI1061" s="473">
        <v>1250</v>
      </c>
      <c r="AJ1061" s="473">
        <v>0</v>
      </c>
      <c r="AK1061" s="473">
        <v>0</v>
      </c>
      <c r="AL1061" s="473">
        <v>0</v>
      </c>
      <c r="AM1061" s="473">
        <v>0</v>
      </c>
      <c r="AN1061" s="473">
        <v>0</v>
      </c>
      <c r="AO1061" s="473">
        <v>0</v>
      </c>
      <c r="AP1061" s="473">
        <v>0</v>
      </c>
      <c r="AQ1061" s="473">
        <v>1800</v>
      </c>
      <c r="AR1061" s="473">
        <v>7843</v>
      </c>
      <c r="AS1061" s="473">
        <v>0</v>
      </c>
      <c r="AT1061" s="473">
        <v>400</v>
      </c>
      <c r="AU1061" s="473">
        <v>4815</v>
      </c>
      <c r="AV1061" s="473">
        <v>39523</v>
      </c>
      <c r="AW1061" s="474">
        <v>34708</v>
      </c>
      <c r="AX1061" s="473"/>
      <c r="AY1061" s="473">
        <v>0</v>
      </c>
      <c r="AZ1061" s="475">
        <v>0</v>
      </c>
      <c r="BA1061" s="475">
        <v>300</v>
      </c>
      <c r="BB1061" s="475">
        <v>1800</v>
      </c>
      <c r="BC1061" s="475">
        <v>0</v>
      </c>
      <c r="BD1061" s="475">
        <v>0</v>
      </c>
      <c r="BE1061" s="475">
        <v>0</v>
      </c>
      <c r="BF1061" s="475">
        <v>0</v>
      </c>
      <c r="BG1061" s="475">
        <v>2100</v>
      </c>
      <c r="BH1061" s="476">
        <v>37423</v>
      </c>
      <c r="BI1061" s="467"/>
      <c r="BJ1061" s="468"/>
    </row>
    <row r="1062" spans="1:62">
      <c r="A1062" s="469">
        <v>46054</v>
      </c>
      <c r="B1062" s="469" t="s">
        <v>747</v>
      </c>
      <c r="C1062" s="508"/>
      <c r="D1062" s="470" t="s">
        <v>749</v>
      </c>
      <c r="E1062" s="471">
        <v>1237</v>
      </c>
      <c r="F1062" s="470" t="s">
        <v>1221</v>
      </c>
      <c r="G1062" s="470" t="s">
        <v>751</v>
      </c>
      <c r="H1062" s="470" t="s">
        <v>12</v>
      </c>
      <c r="I1062" s="470" t="s">
        <v>1222</v>
      </c>
      <c r="J1062" s="472" t="s">
        <v>1223</v>
      </c>
      <c r="K1062" s="470" t="s">
        <v>1224</v>
      </c>
      <c r="L1062" s="470" t="s">
        <v>800</v>
      </c>
      <c r="M1062" s="470" t="s">
        <v>801</v>
      </c>
      <c r="N1062" s="470" t="s">
        <v>756</v>
      </c>
      <c r="O1062" s="472" t="s">
        <v>757</v>
      </c>
      <c r="P1062" s="472" t="s">
        <v>738</v>
      </c>
      <c r="Q1062" s="472" t="s">
        <v>758</v>
      </c>
      <c r="R1062" s="472" t="s">
        <v>12</v>
      </c>
      <c r="S1062" s="472" t="s">
        <v>12</v>
      </c>
      <c r="T1062" s="472" t="s">
        <v>1225</v>
      </c>
      <c r="U1062" s="470" t="s">
        <v>1226</v>
      </c>
      <c r="V1062" s="470" t="s">
        <v>761</v>
      </c>
      <c r="W1062" s="470" t="s">
        <v>762</v>
      </c>
      <c r="X1062" s="470">
        <v>28</v>
      </c>
      <c r="Y1062" s="470">
        <v>0</v>
      </c>
      <c r="Z1062" s="470">
        <v>6</v>
      </c>
      <c r="AA1062" s="470">
        <v>22</v>
      </c>
      <c r="AB1062" s="470">
        <v>22</v>
      </c>
      <c r="AC1062" s="473">
        <v>31644</v>
      </c>
      <c r="AD1062" s="473">
        <v>31644</v>
      </c>
      <c r="AE1062" s="473">
        <v>11188</v>
      </c>
      <c r="AF1062" s="473">
        <v>4475</v>
      </c>
      <c r="AG1062" s="473">
        <v>1257</v>
      </c>
      <c r="AH1062" s="473">
        <v>157</v>
      </c>
      <c r="AI1062" s="473">
        <v>982</v>
      </c>
      <c r="AJ1062" s="473">
        <v>0</v>
      </c>
      <c r="AK1062" s="473">
        <v>0</v>
      </c>
      <c r="AL1062" s="473">
        <v>0</v>
      </c>
      <c r="AM1062" s="473">
        <v>0</v>
      </c>
      <c r="AN1062" s="473">
        <v>0</v>
      </c>
      <c r="AO1062" s="473">
        <v>0</v>
      </c>
      <c r="AP1062" s="473">
        <v>0</v>
      </c>
      <c r="AQ1062" s="473">
        <v>1343</v>
      </c>
      <c r="AR1062" s="473">
        <v>5461</v>
      </c>
      <c r="AS1062" s="473">
        <v>0</v>
      </c>
      <c r="AT1062" s="473">
        <v>0</v>
      </c>
      <c r="AU1062" s="473"/>
      <c r="AV1062" s="473">
        <v>24863</v>
      </c>
      <c r="AW1062" s="474">
        <v>24863</v>
      </c>
      <c r="AX1062" s="473"/>
      <c r="AY1062" s="473">
        <v>0</v>
      </c>
      <c r="AZ1062" s="475">
        <v>0</v>
      </c>
      <c r="BA1062" s="475">
        <v>300</v>
      </c>
      <c r="BB1062" s="475">
        <v>1343</v>
      </c>
      <c r="BC1062" s="475">
        <v>0</v>
      </c>
      <c r="BD1062" s="475">
        <v>0</v>
      </c>
      <c r="BE1062" s="475">
        <v>0</v>
      </c>
      <c r="BF1062" s="475">
        <v>0</v>
      </c>
      <c r="BG1062" s="475">
        <v>1643</v>
      </c>
      <c r="BH1062" s="476">
        <v>23220</v>
      </c>
      <c r="BI1062" s="467"/>
      <c r="BJ1062" s="468"/>
    </row>
    <row r="1063" spans="1:62">
      <c r="A1063" s="469">
        <v>46054</v>
      </c>
      <c r="B1063" s="469" t="s">
        <v>747</v>
      </c>
      <c r="C1063" s="508"/>
      <c r="D1063" s="470" t="s">
        <v>749</v>
      </c>
      <c r="E1063" s="471">
        <v>1950</v>
      </c>
      <c r="F1063" s="470" t="s">
        <v>1233</v>
      </c>
      <c r="G1063" s="470" t="s">
        <v>751</v>
      </c>
      <c r="H1063" s="470" t="s">
        <v>12</v>
      </c>
      <c r="I1063" s="470" t="s">
        <v>1234</v>
      </c>
      <c r="J1063" s="472" t="s">
        <v>1235</v>
      </c>
      <c r="K1063" s="470" t="s">
        <v>1236</v>
      </c>
      <c r="L1063" s="470" t="s">
        <v>800</v>
      </c>
      <c r="M1063" s="470" t="s">
        <v>800</v>
      </c>
      <c r="N1063" s="470" t="s">
        <v>756</v>
      </c>
      <c r="O1063" s="472" t="s">
        <v>1043</v>
      </c>
      <c r="P1063" s="472" t="s">
        <v>738</v>
      </c>
      <c r="Q1063" s="472" t="s">
        <v>758</v>
      </c>
      <c r="R1063" s="472" t="s">
        <v>12</v>
      </c>
      <c r="S1063" s="472" t="s">
        <v>12</v>
      </c>
      <c r="T1063" s="472" t="s">
        <v>1237</v>
      </c>
      <c r="U1063" s="470" t="s">
        <v>1238</v>
      </c>
      <c r="V1063" s="470" t="s">
        <v>836</v>
      </c>
      <c r="W1063" s="470" t="s">
        <v>1239</v>
      </c>
      <c r="X1063" s="470">
        <v>28</v>
      </c>
      <c r="Y1063" s="470">
        <v>0</v>
      </c>
      <c r="Z1063" s="470">
        <v>0</v>
      </c>
      <c r="AA1063" s="470">
        <v>28</v>
      </c>
      <c r="AB1063" s="470">
        <v>28</v>
      </c>
      <c r="AC1063" s="473">
        <v>35283</v>
      </c>
      <c r="AD1063" s="473">
        <v>35283</v>
      </c>
      <c r="AE1063" s="473">
        <v>15877</v>
      </c>
      <c r="AF1063" s="473">
        <v>6351</v>
      </c>
      <c r="AG1063" s="473">
        <v>1600</v>
      </c>
      <c r="AH1063" s="473">
        <v>200</v>
      </c>
      <c r="AI1063" s="473">
        <v>1250</v>
      </c>
      <c r="AJ1063" s="473">
        <v>0</v>
      </c>
      <c r="AK1063" s="473">
        <v>0</v>
      </c>
      <c r="AL1063" s="473">
        <v>0</v>
      </c>
      <c r="AM1063" s="473">
        <v>0</v>
      </c>
      <c r="AN1063" s="473">
        <v>0</v>
      </c>
      <c r="AO1063" s="473">
        <v>0</v>
      </c>
      <c r="AP1063" s="473">
        <v>0</v>
      </c>
      <c r="AQ1063" s="473">
        <v>1800</v>
      </c>
      <c r="AR1063" s="473">
        <v>8205</v>
      </c>
      <c r="AS1063" s="473">
        <v>0</v>
      </c>
      <c r="AT1063" s="473">
        <v>0</v>
      </c>
      <c r="AU1063" s="473">
        <v>1072</v>
      </c>
      <c r="AV1063" s="473">
        <v>36355</v>
      </c>
      <c r="AW1063" s="474">
        <v>35283</v>
      </c>
      <c r="AX1063" s="473"/>
      <c r="AY1063" s="473">
        <v>0</v>
      </c>
      <c r="AZ1063" s="475">
        <v>0</v>
      </c>
      <c r="BA1063" s="475">
        <v>300</v>
      </c>
      <c r="BB1063" s="475">
        <v>1800</v>
      </c>
      <c r="BC1063" s="475">
        <v>0</v>
      </c>
      <c r="BD1063" s="475">
        <v>0</v>
      </c>
      <c r="BE1063" s="475">
        <v>0</v>
      </c>
      <c r="BF1063" s="475">
        <v>0</v>
      </c>
      <c r="BG1063" s="475">
        <v>2100</v>
      </c>
      <c r="BH1063" s="476">
        <v>34255</v>
      </c>
      <c r="BI1063" s="467"/>
      <c r="BJ1063" s="468"/>
    </row>
    <row r="1064" spans="1:62">
      <c r="A1064" s="469">
        <v>46054</v>
      </c>
      <c r="B1064" s="469" t="s">
        <v>747</v>
      </c>
      <c r="C1064" s="508"/>
      <c r="D1064" s="470" t="s">
        <v>749</v>
      </c>
      <c r="E1064" s="471">
        <v>1370</v>
      </c>
      <c r="F1064" s="470" t="s">
        <v>1240</v>
      </c>
      <c r="G1064" s="470" t="s">
        <v>751</v>
      </c>
      <c r="H1064" s="470" t="s">
        <v>12</v>
      </c>
      <c r="I1064" s="470" t="s">
        <v>1241</v>
      </c>
      <c r="J1064" s="472" t="s">
        <v>1242</v>
      </c>
      <c r="K1064" s="470" t="s">
        <v>1243</v>
      </c>
      <c r="L1064" s="470" t="s">
        <v>979</v>
      </c>
      <c r="M1064" s="470" t="s">
        <v>979</v>
      </c>
      <c r="N1064" s="470" t="s">
        <v>833</v>
      </c>
      <c r="O1064" s="472" t="s">
        <v>757</v>
      </c>
      <c r="P1064" s="472" t="s">
        <v>738</v>
      </c>
      <c r="Q1064" s="472" t="s">
        <v>758</v>
      </c>
      <c r="R1064" s="472" t="s">
        <v>12</v>
      </c>
      <c r="S1064" s="472" t="s">
        <v>12</v>
      </c>
      <c r="T1064" s="472" t="s">
        <v>1245</v>
      </c>
      <c r="U1064" s="470" t="s">
        <v>1246</v>
      </c>
      <c r="V1064" s="470" t="s">
        <v>761</v>
      </c>
      <c r="W1064" s="470" t="s">
        <v>762</v>
      </c>
      <c r="X1064" s="470">
        <v>28</v>
      </c>
      <c r="Y1064" s="470">
        <v>0</v>
      </c>
      <c r="Z1064" s="470">
        <v>0</v>
      </c>
      <c r="AA1064" s="470">
        <v>28</v>
      </c>
      <c r="AB1064" s="470">
        <v>28</v>
      </c>
      <c r="AC1064" s="473">
        <v>33000</v>
      </c>
      <c r="AD1064" s="473">
        <v>33000</v>
      </c>
      <c r="AE1064" s="473">
        <v>14850</v>
      </c>
      <c r="AF1064" s="473">
        <v>5940</v>
      </c>
      <c r="AG1064" s="473">
        <v>1600</v>
      </c>
      <c r="AH1064" s="473">
        <v>200</v>
      </c>
      <c r="AI1064" s="473">
        <v>1250</v>
      </c>
      <c r="AJ1064" s="473">
        <v>0</v>
      </c>
      <c r="AK1064" s="473">
        <v>0</v>
      </c>
      <c r="AL1064" s="473">
        <v>0</v>
      </c>
      <c r="AM1064" s="473">
        <v>0</v>
      </c>
      <c r="AN1064" s="473">
        <v>0</v>
      </c>
      <c r="AO1064" s="473">
        <v>0</v>
      </c>
      <c r="AP1064" s="473">
        <v>0</v>
      </c>
      <c r="AQ1064" s="473">
        <v>1782</v>
      </c>
      <c r="AR1064" s="473">
        <v>7378</v>
      </c>
      <c r="AS1064" s="473">
        <v>0</v>
      </c>
      <c r="AT1064" s="473">
        <v>0</v>
      </c>
      <c r="AU1064" s="473"/>
      <c r="AV1064" s="473">
        <v>33000</v>
      </c>
      <c r="AW1064" s="474">
        <v>33000</v>
      </c>
      <c r="AX1064" s="473"/>
      <c r="AY1064" s="473">
        <v>0</v>
      </c>
      <c r="AZ1064" s="475">
        <v>0</v>
      </c>
      <c r="BA1064" s="475">
        <v>300</v>
      </c>
      <c r="BB1064" s="475">
        <v>1782</v>
      </c>
      <c r="BC1064" s="475">
        <v>0</v>
      </c>
      <c r="BD1064" s="475">
        <v>0</v>
      </c>
      <c r="BE1064" s="475">
        <v>0</v>
      </c>
      <c r="BF1064" s="475">
        <v>0</v>
      </c>
      <c r="BG1064" s="475">
        <v>2082</v>
      </c>
      <c r="BH1064" s="476">
        <v>30918</v>
      </c>
      <c r="BI1064" s="467"/>
      <c r="BJ1064" s="468"/>
    </row>
    <row r="1065" spans="1:62">
      <c r="A1065" s="469">
        <v>46054</v>
      </c>
      <c r="B1065" s="469" t="s">
        <v>747</v>
      </c>
      <c r="C1065" s="508"/>
      <c r="D1065" s="470" t="s">
        <v>749</v>
      </c>
      <c r="E1065" s="471">
        <v>2049</v>
      </c>
      <c r="F1065" s="470" t="s">
        <v>1247</v>
      </c>
      <c r="G1065" s="470" t="s">
        <v>751</v>
      </c>
      <c r="H1065" s="470" t="s">
        <v>12</v>
      </c>
      <c r="I1065" s="470" t="s">
        <v>1248</v>
      </c>
      <c r="J1065" s="472" t="s">
        <v>1249</v>
      </c>
      <c r="K1065" s="470" t="s">
        <v>1250</v>
      </c>
      <c r="L1065" s="470" t="s">
        <v>824</v>
      </c>
      <c r="M1065" s="470" t="s">
        <v>824</v>
      </c>
      <c r="N1065" s="470" t="s">
        <v>756</v>
      </c>
      <c r="O1065" s="472" t="s">
        <v>1276</v>
      </c>
      <c r="P1065" s="472" t="s">
        <v>738</v>
      </c>
      <c r="Q1065" s="472" t="s">
        <v>758</v>
      </c>
      <c r="R1065" s="472" t="s">
        <v>12</v>
      </c>
      <c r="S1065" s="472" t="s">
        <v>12</v>
      </c>
      <c r="T1065" s="472" t="s">
        <v>1251</v>
      </c>
      <c r="U1065" s="470" t="s">
        <v>1252</v>
      </c>
      <c r="V1065" s="470" t="s">
        <v>761</v>
      </c>
      <c r="W1065" s="470" t="s">
        <v>859</v>
      </c>
      <c r="X1065" s="470">
        <v>28</v>
      </c>
      <c r="Y1065" s="470">
        <v>0</v>
      </c>
      <c r="Z1065" s="470">
        <v>0.5</v>
      </c>
      <c r="AA1065" s="470">
        <v>27.5</v>
      </c>
      <c r="AB1065" s="470">
        <v>27.5</v>
      </c>
      <c r="AC1065" s="473">
        <v>27713</v>
      </c>
      <c r="AD1065" s="473">
        <v>27713</v>
      </c>
      <c r="AE1065" s="473">
        <v>12248</v>
      </c>
      <c r="AF1065" s="473">
        <v>4899</v>
      </c>
      <c r="AG1065" s="473">
        <v>1571</v>
      </c>
      <c r="AH1065" s="473">
        <v>196</v>
      </c>
      <c r="AI1065" s="473">
        <v>1228</v>
      </c>
      <c r="AJ1065" s="473">
        <v>0</v>
      </c>
      <c r="AK1065" s="473">
        <v>0</v>
      </c>
      <c r="AL1065" s="473">
        <v>0</v>
      </c>
      <c r="AM1065" s="473">
        <v>0</v>
      </c>
      <c r="AN1065" s="473">
        <v>0</v>
      </c>
      <c r="AO1065" s="473">
        <v>0</v>
      </c>
      <c r="AP1065" s="473">
        <v>0</v>
      </c>
      <c r="AQ1065" s="473">
        <v>1470</v>
      </c>
      <c r="AR1065" s="473">
        <v>5606</v>
      </c>
      <c r="AS1065" s="473">
        <v>0</v>
      </c>
      <c r="AT1065" s="473">
        <v>0</v>
      </c>
      <c r="AU1065" s="473"/>
      <c r="AV1065" s="473">
        <v>27218</v>
      </c>
      <c r="AW1065" s="474">
        <v>27218</v>
      </c>
      <c r="AX1065" s="473"/>
      <c r="AY1065" s="473">
        <v>0</v>
      </c>
      <c r="AZ1065" s="475">
        <v>0</v>
      </c>
      <c r="BA1065" s="475">
        <v>300</v>
      </c>
      <c r="BB1065" s="475">
        <v>1470</v>
      </c>
      <c r="BC1065" s="475">
        <v>0</v>
      </c>
      <c r="BD1065" s="475">
        <v>0</v>
      </c>
      <c r="BE1065" s="475">
        <v>0</v>
      </c>
      <c r="BF1065" s="475">
        <v>0</v>
      </c>
      <c r="BG1065" s="475">
        <v>1770</v>
      </c>
      <c r="BH1065" s="476">
        <v>25448</v>
      </c>
      <c r="BI1065" s="467"/>
      <c r="BJ1065" s="468"/>
    </row>
    <row r="1066" spans="1:62">
      <c r="A1066" s="469">
        <v>46054</v>
      </c>
      <c r="B1066" s="469" t="s">
        <v>747</v>
      </c>
      <c r="C1066" s="508"/>
      <c r="D1066" s="470" t="s">
        <v>749</v>
      </c>
      <c r="E1066" s="471">
        <v>1121</v>
      </c>
      <c r="F1066" s="470" t="s">
        <v>1253</v>
      </c>
      <c r="G1066" s="470" t="s">
        <v>751</v>
      </c>
      <c r="H1066" s="470" t="s">
        <v>12</v>
      </c>
      <c r="I1066" s="470" t="s">
        <v>1254</v>
      </c>
      <c r="J1066" s="472" t="s">
        <v>1255</v>
      </c>
      <c r="K1066" s="470" t="s">
        <v>1256</v>
      </c>
      <c r="L1066" s="470" t="s">
        <v>942</v>
      </c>
      <c r="M1066" s="470" t="s">
        <v>942</v>
      </c>
      <c r="N1066" s="470" t="s">
        <v>1275</v>
      </c>
      <c r="O1066" s="472" t="s">
        <v>792</v>
      </c>
      <c r="P1066" s="472" t="s">
        <v>738</v>
      </c>
      <c r="Q1066" s="472" t="s">
        <v>758</v>
      </c>
      <c r="R1066" s="472" t="s">
        <v>12</v>
      </c>
      <c r="S1066" s="472" t="s">
        <v>12</v>
      </c>
      <c r="T1066" s="472" t="s">
        <v>1257</v>
      </c>
      <c r="U1066" s="470" t="s">
        <v>1258</v>
      </c>
      <c r="V1066" s="470" t="s">
        <v>761</v>
      </c>
      <c r="W1066" s="470" t="s">
        <v>1259</v>
      </c>
      <c r="X1066" s="470">
        <v>28</v>
      </c>
      <c r="Y1066" s="470">
        <v>0</v>
      </c>
      <c r="Z1066" s="470">
        <v>1</v>
      </c>
      <c r="AA1066" s="470">
        <v>27</v>
      </c>
      <c r="AB1066" s="470">
        <v>27</v>
      </c>
      <c r="AC1066" s="473">
        <v>206500</v>
      </c>
      <c r="AD1066" s="473">
        <v>206500</v>
      </c>
      <c r="AE1066" s="473">
        <v>89606</v>
      </c>
      <c r="AF1066" s="473">
        <v>35842</v>
      </c>
      <c r="AG1066" s="473">
        <v>1543</v>
      </c>
      <c r="AH1066" s="473">
        <v>193</v>
      </c>
      <c r="AI1066" s="473">
        <v>1205</v>
      </c>
      <c r="AJ1066" s="473">
        <v>7464</v>
      </c>
      <c r="AK1066" s="473">
        <v>17921</v>
      </c>
      <c r="AL1066" s="473">
        <v>13441</v>
      </c>
      <c r="AM1066" s="473">
        <v>896</v>
      </c>
      <c r="AN1066" s="473">
        <v>3136</v>
      </c>
      <c r="AO1066" s="473">
        <v>1792</v>
      </c>
      <c r="AP1066" s="473">
        <v>448</v>
      </c>
      <c r="AQ1066" s="473">
        <v>1800</v>
      </c>
      <c r="AR1066" s="473">
        <v>23838</v>
      </c>
      <c r="AS1066" s="473">
        <v>0</v>
      </c>
      <c r="AT1066" s="473">
        <v>0</v>
      </c>
      <c r="AU1066" s="473">
        <v>16521</v>
      </c>
      <c r="AV1066" s="473">
        <v>215646</v>
      </c>
      <c r="AW1066" s="474">
        <v>199125</v>
      </c>
      <c r="AX1066" s="473"/>
      <c r="AY1066" s="473">
        <v>0</v>
      </c>
      <c r="AZ1066" s="475">
        <v>21255</v>
      </c>
      <c r="BA1066" s="475">
        <v>300</v>
      </c>
      <c r="BB1066" s="475">
        <v>1800</v>
      </c>
      <c r="BC1066" s="475">
        <v>0</v>
      </c>
      <c r="BD1066" s="475">
        <v>0</v>
      </c>
      <c r="BE1066" s="475">
        <v>0</v>
      </c>
      <c r="BF1066" s="475">
        <v>0</v>
      </c>
      <c r="BG1066" s="475">
        <v>23355</v>
      </c>
      <c r="BH1066" s="476">
        <v>192291</v>
      </c>
      <c r="BI1066" s="467"/>
      <c r="BJ1066" s="468"/>
    </row>
    <row r="1067" spans="1:62">
      <c r="A1067" s="469">
        <v>46054</v>
      </c>
      <c r="B1067" s="469" t="s">
        <v>747</v>
      </c>
      <c r="C1067" s="508"/>
      <c r="D1067" s="470" t="s">
        <v>749</v>
      </c>
      <c r="E1067" s="471">
        <v>2264</v>
      </c>
      <c r="F1067" s="470" t="s">
        <v>1503</v>
      </c>
      <c r="G1067" s="470" t="s">
        <v>751</v>
      </c>
      <c r="H1067" s="470" t="s">
        <v>12</v>
      </c>
      <c r="I1067" s="470" t="s">
        <v>1477</v>
      </c>
      <c r="J1067" s="472" t="s">
        <v>1504</v>
      </c>
      <c r="K1067" s="470" t="s">
        <v>1505</v>
      </c>
      <c r="L1067" s="470" t="s">
        <v>1123</v>
      </c>
      <c r="M1067" s="470" t="s">
        <v>1124</v>
      </c>
      <c r="N1067" s="470" t="s">
        <v>1108</v>
      </c>
      <c r="O1067" s="472" t="s">
        <v>757</v>
      </c>
      <c r="P1067" s="472" t="s">
        <v>738</v>
      </c>
      <c r="Q1067" s="472" t="s">
        <v>758</v>
      </c>
      <c r="R1067" s="472" t="s">
        <v>12</v>
      </c>
      <c r="S1067" s="472" t="s">
        <v>12</v>
      </c>
      <c r="T1067" s="472" t="s">
        <v>1506</v>
      </c>
      <c r="U1067" s="470" t="s">
        <v>1507</v>
      </c>
      <c r="V1067" s="470" t="s">
        <v>761</v>
      </c>
      <c r="W1067" s="470" t="s">
        <v>1361</v>
      </c>
      <c r="X1067" s="470">
        <v>28</v>
      </c>
      <c r="Y1067" s="470">
        <v>0</v>
      </c>
      <c r="Z1067" s="470">
        <v>1</v>
      </c>
      <c r="AA1067" s="470">
        <v>27</v>
      </c>
      <c r="AB1067" s="470">
        <v>27</v>
      </c>
      <c r="AC1067" s="473">
        <v>54867</v>
      </c>
      <c r="AD1067" s="473">
        <v>54867</v>
      </c>
      <c r="AE1067" s="473">
        <v>23808</v>
      </c>
      <c r="AF1067" s="473">
        <v>9523</v>
      </c>
      <c r="AG1067" s="473">
        <v>1543</v>
      </c>
      <c r="AH1067" s="473">
        <v>193</v>
      </c>
      <c r="AI1067" s="473">
        <v>1205</v>
      </c>
      <c r="AJ1067" s="473">
        <v>1983</v>
      </c>
      <c r="AK1067" s="473">
        <v>4762</v>
      </c>
      <c r="AL1067" s="473">
        <v>3571</v>
      </c>
      <c r="AM1067" s="473">
        <v>238</v>
      </c>
      <c r="AN1067" s="473">
        <v>833</v>
      </c>
      <c r="AO1067" s="473">
        <v>476</v>
      </c>
      <c r="AP1067" s="473">
        <v>119</v>
      </c>
      <c r="AQ1067" s="473">
        <v>1800</v>
      </c>
      <c r="AR1067" s="473">
        <v>2853</v>
      </c>
      <c r="AS1067" s="473">
        <v>0</v>
      </c>
      <c r="AT1067" s="473">
        <v>0</v>
      </c>
      <c r="AU1067" s="473"/>
      <c r="AV1067" s="473">
        <v>52907</v>
      </c>
      <c r="AW1067" s="474">
        <v>52907</v>
      </c>
      <c r="AX1067" s="473"/>
      <c r="AY1067" s="473">
        <v>0</v>
      </c>
      <c r="AZ1067" s="475">
        <v>0</v>
      </c>
      <c r="BA1067" s="475">
        <v>300</v>
      </c>
      <c r="BB1067" s="475">
        <v>1800</v>
      </c>
      <c r="BC1067" s="475">
        <v>0</v>
      </c>
      <c r="BD1067" s="475">
        <v>0</v>
      </c>
      <c r="BE1067" s="475">
        <v>0</v>
      </c>
      <c r="BF1067" s="475">
        <v>0</v>
      </c>
      <c r="BG1067" s="475">
        <v>2100</v>
      </c>
      <c r="BH1067" s="476">
        <v>50807</v>
      </c>
      <c r="BI1067" s="467"/>
      <c r="BJ1067" s="468"/>
    </row>
    <row r="1068" spans="1:62">
      <c r="A1068" s="469">
        <v>46054</v>
      </c>
      <c r="B1068" s="469" t="s">
        <v>747</v>
      </c>
      <c r="C1068" s="508"/>
      <c r="D1068" s="470" t="s">
        <v>749</v>
      </c>
      <c r="E1068" s="471">
        <v>1496</v>
      </c>
      <c r="F1068" s="470" t="s">
        <v>1260</v>
      </c>
      <c r="G1068" s="470" t="s">
        <v>751</v>
      </c>
      <c r="H1068" s="470" t="s">
        <v>12</v>
      </c>
      <c r="I1068" s="470" t="s">
        <v>1261</v>
      </c>
      <c r="J1068" s="472" t="s">
        <v>1262</v>
      </c>
      <c r="K1068" s="470" t="s">
        <v>1263</v>
      </c>
      <c r="L1068" s="470" t="s">
        <v>856</v>
      </c>
      <c r="M1068" s="470" t="s">
        <v>856</v>
      </c>
      <c r="N1068" s="470" t="s">
        <v>756</v>
      </c>
      <c r="O1068" s="472" t="s">
        <v>757</v>
      </c>
      <c r="P1068" s="472" t="s">
        <v>738</v>
      </c>
      <c r="Q1068" s="472" t="s">
        <v>758</v>
      </c>
      <c r="R1068" s="472" t="s">
        <v>12</v>
      </c>
      <c r="S1068" s="472" t="s">
        <v>12</v>
      </c>
      <c r="T1068" s="472" t="s">
        <v>1264</v>
      </c>
      <c r="U1068" s="470" t="s">
        <v>1265</v>
      </c>
      <c r="V1068" s="470" t="s">
        <v>761</v>
      </c>
      <c r="W1068" s="470" t="s">
        <v>876</v>
      </c>
      <c r="X1068" s="470">
        <v>28</v>
      </c>
      <c r="Y1068" s="470">
        <v>0</v>
      </c>
      <c r="Z1068" s="470">
        <v>0</v>
      </c>
      <c r="AA1068" s="470">
        <v>28</v>
      </c>
      <c r="AB1068" s="470">
        <v>28</v>
      </c>
      <c r="AC1068" s="473">
        <v>55383</v>
      </c>
      <c r="AD1068" s="473">
        <v>55383</v>
      </c>
      <c r="AE1068" s="473">
        <v>24922</v>
      </c>
      <c r="AF1068" s="473">
        <v>9969</v>
      </c>
      <c r="AG1068" s="473">
        <v>1600</v>
      </c>
      <c r="AH1068" s="473">
        <v>200</v>
      </c>
      <c r="AI1068" s="473">
        <v>1250</v>
      </c>
      <c r="AJ1068" s="473">
        <v>2076</v>
      </c>
      <c r="AK1068" s="473">
        <v>4984</v>
      </c>
      <c r="AL1068" s="473">
        <v>3738</v>
      </c>
      <c r="AM1068" s="473">
        <v>249</v>
      </c>
      <c r="AN1068" s="473">
        <v>872</v>
      </c>
      <c r="AO1068" s="473">
        <v>498</v>
      </c>
      <c r="AP1068" s="473">
        <v>125</v>
      </c>
      <c r="AQ1068" s="473">
        <v>1800</v>
      </c>
      <c r="AR1068" s="473">
        <v>3100</v>
      </c>
      <c r="AS1068" s="473">
        <v>0</v>
      </c>
      <c r="AT1068" s="473">
        <v>0</v>
      </c>
      <c r="AU1068" s="473"/>
      <c r="AV1068" s="473">
        <v>55383</v>
      </c>
      <c r="AW1068" s="474">
        <v>55383</v>
      </c>
      <c r="AX1068" s="473"/>
      <c r="AY1068" s="473">
        <v>0</v>
      </c>
      <c r="AZ1068" s="475">
        <v>0</v>
      </c>
      <c r="BA1068" s="475">
        <v>300</v>
      </c>
      <c r="BB1068" s="475">
        <v>1800</v>
      </c>
      <c r="BC1068" s="475">
        <v>0</v>
      </c>
      <c r="BD1068" s="475">
        <v>0</v>
      </c>
      <c r="BE1068" s="475">
        <v>0</v>
      </c>
      <c r="BF1068" s="475">
        <v>0</v>
      </c>
      <c r="BG1068" s="475">
        <v>2100</v>
      </c>
      <c r="BH1068" s="476">
        <v>53283</v>
      </c>
      <c r="BI1068" s="467"/>
      <c r="BJ1068" s="468"/>
    </row>
    <row r="1069" spans="1:62">
      <c r="A1069" s="469">
        <v>46054</v>
      </c>
      <c r="B1069" s="469" t="s">
        <v>747</v>
      </c>
      <c r="C1069" s="508"/>
      <c r="D1069" s="470" t="s">
        <v>749</v>
      </c>
      <c r="E1069" s="471">
        <v>734</v>
      </c>
      <c r="F1069" s="470" t="s">
        <v>1537</v>
      </c>
      <c r="G1069" s="470" t="s">
        <v>812</v>
      </c>
      <c r="H1069" s="470" t="s">
        <v>12</v>
      </c>
      <c r="I1069" s="470" t="s">
        <v>931</v>
      </c>
      <c r="J1069" s="472" t="s">
        <v>1538</v>
      </c>
      <c r="K1069" s="470" t="s">
        <v>1539</v>
      </c>
      <c r="L1069" s="470" t="s">
        <v>1540</v>
      </c>
      <c r="M1069" s="470" t="s">
        <v>1541</v>
      </c>
      <c r="N1069" s="470" t="s">
        <v>904</v>
      </c>
      <c r="O1069" s="472" t="s">
        <v>757</v>
      </c>
      <c r="P1069" s="472" t="s">
        <v>738</v>
      </c>
      <c r="Q1069" s="472" t="s">
        <v>758</v>
      </c>
      <c r="R1069" s="472" t="s">
        <v>12</v>
      </c>
      <c r="S1069" s="472" t="s">
        <v>12</v>
      </c>
      <c r="T1069" s="472" t="s">
        <v>1542</v>
      </c>
      <c r="U1069" s="470" t="s">
        <v>1543</v>
      </c>
      <c r="V1069" s="470" t="s">
        <v>761</v>
      </c>
      <c r="W1069" s="470" t="s">
        <v>762</v>
      </c>
      <c r="X1069" s="470">
        <v>28</v>
      </c>
      <c r="Y1069" s="470">
        <v>0</v>
      </c>
      <c r="Z1069" s="470">
        <v>0</v>
      </c>
      <c r="AA1069" s="470">
        <v>28</v>
      </c>
      <c r="AB1069" s="470">
        <v>28</v>
      </c>
      <c r="AC1069" s="473">
        <v>103609</v>
      </c>
      <c r="AD1069" s="473">
        <v>103609</v>
      </c>
      <c r="AE1069" s="473">
        <v>46624</v>
      </c>
      <c r="AF1069" s="473">
        <v>18650</v>
      </c>
      <c r="AG1069" s="473">
        <v>1600</v>
      </c>
      <c r="AH1069" s="473">
        <v>200</v>
      </c>
      <c r="AI1069" s="473">
        <v>1250</v>
      </c>
      <c r="AJ1069" s="473">
        <v>3884</v>
      </c>
      <c r="AK1069" s="473">
        <v>9325</v>
      </c>
      <c r="AL1069" s="473">
        <v>6994</v>
      </c>
      <c r="AM1069" s="473">
        <v>466</v>
      </c>
      <c r="AN1069" s="473">
        <v>1632</v>
      </c>
      <c r="AO1069" s="473">
        <v>932</v>
      </c>
      <c r="AP1069" s="473">
        <v>233</v>
      </c>
      <c r="AQ1069" s="473">
        <v>1800</v>
      </c>
      <c r="AR1069" s="473">
        <v>10019</v>
      </c>
      <c r="AS1069" s="473">
        <v>0</v>
      </c>
      <c r="AT1069" s="473">
        <v>0</v>
      </c>
      <c r="AU1069" s="473"/>
      <c r="AV1069" s="473">
        <v>103609</v>
      </c>
      <c r="AW1069" s="474">
        <v>103609</v>
      </c>
      <c r="AX1069" s="473"/>
      <c r="AY1069" s="473">
        <v>0</v>
      </c>
      <c r="AZ1069" s="475">
        <v>0</v>
      </c>
      <c r="BA1069" s="475">
        <v>300</v>
      </c>
      <c r="BB1069" s="475">
        <v>1800</v>
      </c>
      <c r="BC1069" s="475">
        <v>0</v>
      </c>
      <c r="BD1069" s="475">
        <v>0</v>
      </c>
      <c r="BE1069" s="475">
        <v>0</v>
      </c>
      <c r="BF1069" s="475">
        <v>0</v>
      </c>
      <c r="BG1069" s="475">
        <v>2100</v>
      </c>
      <c r="BH1069" s="476">
        <v>101509</v>
      </c>
      <c r="BI1069" s="467"/>
      <c r="BJ1069" s="468"/>
    </row>
    <row r="1070" spans="1:62">
      <c r="A1070" s="469">
        <v>45809</v>
      </c>
      <c r="B1070" s="469" t="s">
        <v>747</v>
      </c>
      <c r="C1070" s="508" t="s">
        <v>748</v>
      </c>
      <c r="D1070" s="470" t="s">
        <v>749</v>
      </c>
      <c r="E1070" s="471">
        <v>1488</v>
      </c>
      <c r="F1070" s="470" t="s">
        <v>750</v>
      </c>
      <c r="G1070" s="470" t="s">
        <v>751</v>
      </c>
      <c r="H1070" s="470"/>
      <c r="I1070" s="470" t="s">
        <v>752</v>
      </c>
      <c r="J1070" s="472" t="s">
        <v>753</v>
      </c>
      <c r="K1070" s="470" t="s">
        <v>754</v>
      </c>
      <c r="L1070" s="470" t="s">
        <v>755</v>
      </c>
      <c r="M1070" s="470" t="s">
        <v>755</v>
      </c>
      <c r="N1070" s="470" t="s">
        <v>756</v>
      </c>
      <c r="O1070" s="472"/>
      <c r="P1070" s="472"/>
      <c r="Q1070" s="472"/>
      <c r="R1070" s="472"/>
      <c r="S1070" s="472"/>
      <c r="T1070" s="472"/>
      <c r="U1070" s="470"/>
      <c r="V1070" s="470"/>
      <c r="W1070" s="470"/>
      <c r="X1070" s="470"/>
      <c r="Y1070" s="470"/>
      <c r="Z1070" s="470"/>
      <c r="AA1070" s="470"/>
      <c r="AB1070" s="470"/>
      <c r="AC1070" s="473"/>
      <c r="AD1070" s="473"/>
      <c r="AE1070" s="473"/>
      <c r="AF1070" s="473"/>
      <c r="AG1070" s="473"/>
      <c r="AH1070" s="473"/>
      <c r="AI1070" s="473"/>
      <c r="AJ1070" s="473"/>
      <c r="AK1070" s="473"/>
      <c r="AL1070" s="473"/>
      <c r="AM1070" s="473"/>
      <c r="AN1070" s="473"/>
      <c r="AO1070" s="473"/>
      <c r="AP1070" s="473"/>
      <c r="AQ1070" s="473"/>
      <c r="AR1070" s="473"/>
      <c r="AS1070" s="473"/>
      <c r="AT1070" s="473"/>
      <c r="AU1070" s="473"/>
      <c r="AV1070" s="473"/>
      <c r="AW1070" s="474">
        <v>1989</v>
      </c>
      <c r="AX1070" s="473"/>
      <c r="AY1070" s="473"/>
      <c r="AZ1070" s="475"/>
      <c r="BA1070" s="475"/>
      <c r="BB1070" s="475"/>
      <c r="BC1070" s="475"/>
      <c r="BD1070" s="475"/>
      <c r="BE1070" s="475"/>
      <c r="BF1070" s="475"/>
      <c r="BG1070" s="475"/>
      <c r="BH1070" s="476">
        <v>1989</v>
      </c>
      <c r="BI1070" s="467"/>
      <c r="BJ1070" s="468" t="s">
        <v>1547</v>
      </c>
    </row>
    <row r="1071" spans="1:62">
      <c r="A1071" s="469">
        <v>45809</v>
      </c>
      <c r="B1071" s="469" t="s">
        <v>747</v>
      </c>
      <c r="C1071" s="508" t="s">
        <v>748</v>
      </c>
      <c r="D1071" s="470" t="s">
        <v>749</v>
      </c>
      <c r="E1071" s="471">
        <v>1237</v>
      </c>
      <c r="F1071" s="470" t="s">
        <v>1221</v>
      </c>
      <c r="G1071" s="470" t="s">
        <v>751</v>
      </c>
      <c r="H1071" s="470"/>
      <c r="I1071" s="470" t="s">
        <v>1222</v>
      </c>
      <c r="J1071" s="472" t="s">
        <v>1223</v>
      </c>
      <c r="K1071" s="470" t="s">
        <v>1224</v>
      </c>
      <c r="L1071" s="470" t="s">
        <v>800</v>
      </c>
      <c r="M1071" s="470" t="s">
        <v>801</v>
      </c>
      <c r="N1071" s="470" t="s">
        <v>756</v>
      </c>
      <c r="O1071" s="472"/>
      <c r="P1071" s="472"/>
      <c r="Q1071" s="472"/>
      <c r="R1071" s="472"/>
      <c r="S1071" s="472"/>
      <c r="T1071" s="472"/>
      <c r="U1071" s="470"/>
      <c r="V1071" s="470"/>
      <c r="W1071" s="470"/>
      <c r="X1071" s="470"/>
      <c r="Y1071" s="470"/>
      <c r="Z1071" s="470"/>
      <c r="AA1071" s="470"/>
      <c r="AB1071" s="470"/>
      <c r="AC1071" s="473"/>
      <c r="AD1071" s="473"/>
      <c r="AE1071" s="473"/>
      <c r="AF1071" s="473"/>
      <c r="AG1071" s="473"/>
      <c r="AH1071" s="473"/>
      <c r="AI1071" s="473"/>
      <c r="AJ1071" s="473"/>
      <c r="AK1071" s="473"/>
      <c r="AL1071" s="473"/>
      <c r="AM1071" s="473"/>
      <c r="AN1071" s="473"/>
      <c r="AO1071" s="473"/>
      <c r="AP1071" s="473"/>
      <c r="AQ1071" s="473"/>
      <c r="AR1071" s="473"/>
      <c r="AS1071" s="473"/>
      <c r="AT1071" s="473"/>
      <c r="AU1071" s="473"/>
      <c r="AV1071" s="473"/>
      <c r="AW1071" s="474">
        <v>1644</v>
      </c>
      <c r="AX1071" s="473"/>
      <c r="AY1071" s="473"/>
      <c r="AZ1071" s="475"/>
      <c r="BA1071" s="475"/>
      <c r="BB1071" s="475"/>
      <c r="BC1071" s="475"/>
      <c r="BD1071" s="475"/>
      <c r="BE1071" s="475"/>
      <c r="BF1071" s="475"/>
      <c r="BG1071" s="475"/>
      <c r="BH1071" s="476">
        <v>1644</v>
      </c>
      <c r="BI1071" s="467"/>
      <c r="BJ1071" s="468" t="s">
        <v>1547</v>
      </c>
    </row>
    <row r="1072" spans="1:62">
      <c r="A1072" s="469">
        <v>45809</v>
      </c>
      <c r="B1072" s="469" t="s">
        <v>747</v>
      </c>
      <c r="C1072" s="508" t="s">
        <v>748</v>
      </c>
      <c r="D1072" s="470" t="s">
        <v>749</v>
      </c>
      <c r="E1072" s="471">
        <v>1445</v>
      </c>
      <c r="F1072" s="470" t="s">
        <v>1057</v>
      </c>
      <c r="G1072" s="470" t="s">
        <v>751</v>
      </c>
      <c r="H1072" s="470"/>
      <c r="I1072" s="470" t="s">
        <v>1058</v>
      </c>
      <c r="J1072" s="472" t="s">
        <v>1059</v>
      </c>
      <c r="K1072" s="470" t="s">
        <v>1060</v>
      </c>
      <c r="L1072" s="470" t="s">
        <v>800</v>
      </c>
      <c r="M1072" s="470" t="s">
        <v>801</v>
      </c>
      <c r="N1072" s="470" t="s">
        <v>756</v>
      </c>
      <c r="O1072" s="472"/>
      <c r="P1072" s="472"/>
      <c r="Q1072" s="472"/>
      <c r="R1072" s="472"/>
      <c r="S1072" s="472"/>
      <c r="T1072" s="472"/>
      <c r="U1072" s="470"/>
      <c r="V1072" s="470"/>
      <c r="W1072" s="470"/>
      <c r="X1072" s="470"/>
      <c r="Y1072" s="470"/>
      <c r="Z1072" s="470"/>
      <c r="AA1072" s="470"/>
      <c r="AB1072" s="470"/>
      <c r="AC1072" s="473"/>
      <c r="AD1072" s="473"/>
      <c r="AE1072" s="473"/>
      <c r="AF1072" s="473"/>
      <c r="AG1072" s="473"/>
      <c r="AH1072" s="473"/>
      <c r="AI1072" s="473"/>
      <c r="AJ1072" s="473"/>
      <c r="AK1072" s="473"/>
      <c r="AL1072" s="473"/>
      <c r="AM1072" s="473"/>
      <c r="AN1072" s="473"/>
      <c r="AO1072" s="473"/>
      <c r="AP1072" s="473"/>
      <c r="AQ1072" s="473"/>
      <c r="AR1072" s="473"/>
      <c r="AS1072" s="473"/>
      <c r="AT1072" s="473"/>
      <c r="AU1072" s="473"/>
      <c r="AV1072" s="473"/>
      <c r="AW1072" s="474">
        <v>9905</v>
      </c>
      <c r="AX1072" s="473"/>
      <c r="AY1072" s="473"/>
      <c r="AZ1072" s="475"/>
      <c r="BA1072" s="475"/>
      <c r="BB1072" s="475"/>
      <c r="BC1072" s="475"/>
      <c r="BD1072" s="475"/>
      <c r="BE1072" s="475"/>
      <c r="BF1072" s="475"/>
      <c r="BG1072" s="475"/>
      <c r="BH1072" s="476">
        <v>9905</v>
      </c>
      <c r="BI1072" s="467"/>
      <c r="BJ1072" s="468" t="s">
        <v>1547</v>
      </c>
    </row>
    <row r="1073" spans="1:62">
      <c r="A1073" s="469">
        <v>45931</v>
      </c>
      <c r="B1073" s="469" t="s">
        <v>1423</v>
      </c>
      <c r="C1073" s="508" t="s">
        <v>748</v>
      </c>
      <c r="D1073" s="470" t="s">
        <v>749</v>
      </c>
      <c r="E1073" s="471">
        <v>1370</v>
      </c>
      <c r="F1073" s="470" t="s">
        <v>1240</v>
      </c>
      <c r="G1073" s="470" t="s">
        <v>751</v>
      </c>
      <c r="H1073" s="470"/>
      <c r="I1073" s="470" t="s">
        <v>1241</v>
      </c>
      <c r="J1073" s="472" t="s">
        <v>1242</v>
      </c>
      <c r="K1073" s="470" t="s">
        <v>1243</v>
      </c>
      <c r="L1073" s="470" t="s">
        <v>979</v>
      </c>
      <c r="M1073" s="470" t="s">
        <v>979</v>
      </c>
      <c r="N1073" s="470" t="s">
        <v>833</v>
      </c>
      <c r="O1073" s="472"/>
      <c r="P1073" s="472"/>
      <c r="Q1073" s="472"/>
      <c r="R1073" s="472"/>
      <c r="S1073" s="472"/>
      <c r="T1073" s="472"/>
      <c r="U1073" s="470"/>
      <c r="V1073" s="470"/>
      <c r="W1073" s="470"/>
      <c r="X1073" s="470"/>
      <c r="Y1073" s="470"/>
      <c r="Z1073" s="470"/>
      <c r="AA1073" s="470"/>
      <c r="AB1073" s="470"/>
      <c r="AC1073" s="473"/>
      <c r="AD1073" s="473"/>
      <c r="AE1073" s="473"/>
      <c r="AF1073" s="473"/>
      <c r="AG1073" s="473"/>
      <c r="AH1073" s="473"/>
      <c r="AI1073" s="473"/>
      <c r="AJ1073" s="473"/>
      <c r="AK1073" s="473"/>
      <c r="AL1073" s="473"/>
      <c r="AM1073" s="473"/>
      <c r="AN1073" s="473"/>
      <c r="AO1073" s="473"/>
      <c r="AP1073" s="473"/>
      <c r="AQ1073" s="473"/>
      <c r="AR1073" s="473"/>
      <c r="AS1073" s="473"/>
      <c r="AT1073" s="473"/>
      <c r="AU1073" s="473"/>
      <c r="AV1073" s="473"/>
      <c r="AW1073" s="474">
        <v>33000</v>
      </c>
      <c r="AX1073" s="473"/>
      <c r="AY1073" s="473"/>
      <c r="AZ1073" s="475"/>
      <c r="BA1073" s="475"/>
      <c r="BB1073" s="475"/>
      <c r="BC1073" s="475"/>
      <c r="BD1073" s="475"/>
      <c r="BE1073" s="475"/>
      <c r="BF1073" s="475"/>
      <c r="BG1073" s="475"/>
      <c r="BH1073" s="476">
        <v>33000</v>
      </c>
      <c r="BI1073" s="467"/>
      <c r="BJ1073" s="468" t="s">
        <v>1547</v>
      </c>
    </row>
    <row r="1074" spans="1:62">
      <c r="A1074" s="469">
        <v>45931</v>
      </c>
      <c r="B1074" s="469" t="s">
        <v>1423</v>
      </c>
      <c r="C1074" s="508" t="s">
        <v>748</v>
      </c>
      <c r="D1074" s="470" t="s">
        <v>749</v>
      </c>
      <c r="E1074" s="471">
        <v>1746</v>
      </c>
      <c r="F1074" s="470" t="s">
        <v>1038</v>
      </c>
      <c r="G1074" s="470" t="s">
        <v>751</v>
      </c>
      <c r="H1074" s="470"/>
      <c r="I1074" s="470" t="s">
        <v>1039</v>
      </c>
      <c r="J1074" s="472" t="s">
        <v>1040</v>
      </c>
      <c r="K1074" s="470" t="s">
        <v>1041</v>
      </c>
      <c r="L1074" s="470" t="s">
        <v>1042</v>
      </c>
      <c r="M1074" s="470" t="s">
        <v>1042</v>
      </c>
      <c r="N1074" s="470" t="s">
        <v>833</v>
      </c>
      <c r="O1074" s="472"/>
      <c r="P1074" s="472"/>
      <c r="Q1074" s="472"/>
      <c r="R1074" s="472"/>
      <c r="S1074" s="472"/>
      <c r="T1074" s="472"/>
      <c r="U1074" s="470"/>
      <c r="V1074" s="470"/>
      <c r="W1074" s="470"/>
      <c r="X1074" s="470"/>
      <c r="Y1074" s="470"/>
      <c r="Z1074" s="470"/>
      <c r="AA1074" s="470"/>
      <c r="AB1074" s="470"/>
      <c r="AC1074" s="473"/>
      <c r="AD1074" s="473"/>
      <c r="AE1074" s="473"/>
      <c r="AF1074" s="473"/>
      <c r="AG1074" s="473"/>
      <c r="AH1074" s="473"/>
      <c r="AI1074" s="473"/>
      <c r="AJ1074" s="473"/>
      <c r="AK1074" s="473"/>
      <c r="AL1074" s="473"/>
      <c r="AM1074" s="473"/>
      <c r="AN1074" s="473"/>
      <c r="AO1074" s="473"/>
      <c r="AP1074" s="473"/>
      <c r="AQ1074" s="473"/>
      <c r="AR1074" s="473"/>
      <c r="AS1074" s="473"/>
      <c r="AT1074" s="473"/>
      <c r="AU1074" s="473"/>
      <c r="AV1074" s="473"/>
      <c r="AW1074" s="474">
        <v>38000</v>
      </c>
      <c r="AX1074" s="473"/>
      <c r="AY1074" s="473"/>
      <c r="AZ1074" s="475"/>
      <c r="BA1074" s="475"/>
      <c r="BB1074" s="475"/>
      <c r="BC1074" s="475"/>
      <c r="BD1074" s="475"/>
      <c r="BE1074" s="475"/>
      <c r="BF1074" s="475"/>
      <c r="BG1074" s="475"/>
      <c r="BH1074" s="476">
        <v>38000</v>
      </c>
      <c r="BI1074" s="467"/>
      <c r="BJ1074" s="468" t="s">
        <v>1547</v>
      </c>
    </row>
    <row r="1075" spans="1:62">
      <c r="A1075" s="469">
        <v>45931</v>
      </c>
      <c r="B1075" s="469" t="s">
        <v>1423</v>
      </c>
      <c r="C1075" s="508" t="s">
        <v>748</v>
      </c>
      <c r="D1075" s="470" t="s">
        <v>749</v>
      </c>
      <c r="E1075" s="471">
        <v>1950</v>
      </c>
      <c r="F1075" s="470" t="s">
        <v>1233</v>
      </c>
      <c r="G1075" s="470" t="s">
        <v>751</v>
      </c>
      <c r="H1075" s="470"/>
      <c r="I1075" s="470" t="s">
        <v>1234</v>
      </c>
      <c r="J1075" s="472" t="s">
        <v>1235</v>
      </c>
      <c r="K1075" s="470" t="s">
        <v>1236</v>
      </c>
      <c r="L1075" s="470" t="s">
        <v>800</v>
      </c>
      <c r="M1075" s="470" t="s">
        <v>800</v>
      </c>
      <c r="N1075" s="470" t="s">
        <v>756</v>
      </c>
      <c r="O1075" s="472"/>
      <c r="P1075" s="472"/>
      <c r="Q1075" s="472"/>
      <c r="R1075" s="472"/>
      <c r="S1075" s="472"/>
      <c r="T1075" s="472"/>
      <c r="U1075" s="470"/>
      <c r="V1075" s="470"/>
      <c r="W1075" s="470"/>
      <c r="X1075" s="470"/>
      <c r="Y1075" s="470"/>
      <c r="Z1075" s="470"/>
      <c r="AA1075" s="470"/>
      <c r="AB1075" s="470"/>
      <c r="AC1075" s="473"/>
      <c r="AD1075" s="473"/>
      <c r="AE1075" s="473"/>
      <c r="AF1075" s="473"/>
      <c r="AG1075" s="473"/>
      <c r="AH1075" s="473"/>
      <c r="AI1075" s="473"/>
      <c r="AJ1075" s="473"/>
      <c r="AK1075" s="473"/>
      <c r="AL1075" s="473"/>
      <c r="AM1075" s="473"/>
      <c r="AN1075" s="473"/>
      <c r="AO1075" s="473"/>
      <c r="AP1075" s="473"/>
      <c r="AQ1075" s="473"/>
      <c r="AR1075" s="473"/>
      <c r="AS1075" s="473"/>
      <c r="AT1075" s="473"/>
      <c r="AU1075" s="473"/>
      <c r="AV1075" s="473"/>
      <c r="AW1075" s="474">
        <v>29403</v>
      </c>
      <c r="AX1075" s="473"/>
      <c r="AY1075" s="473"/>
      <c r="AZ1075" s="475"/>
      <c r="BA1075" s="475"/>
      <c r="BB1075" s="475"/>
      <c r="BC1075" s="475"/>
      <c r="BD1075" s="475"/>
      <c r="BE1075" s="475"/>
      <c r="BF1075" s="475"/>
      <c r="BG1075" s="475"/>
      <c r="BH1075" s="476">
        <v>29403</v>
      </c>
      <c r="BI1075" s="467"/>
      <c r="BJ1075" s="468" t="s">
        <v>1547</v>
      </c>
    </row>
    <row r="1076" spans="1:62">
      <c r="A1076" s="469">
        <v>45931</v>
      </c>
      <c r="B1076" s="469" t="s">
        <v>1423</v>
      </c>
      <c r="C1076" s="508" t="s">
        <v>748</v>
      </c>
      <c r="D1076" s="470" t="s">
        <v>749</v>
      </c>
      <c r="E1076" s="471">
        <v>241</v>
      </c>
      <c r="F1076" s="470" t="s">
        <v>763</v>
      </c>
      <c r="G1076" s="470" t="s">
        <v>751</v>
      </c>
      <c r="H1076" s="470"/>
      <c r="I1076" s="470" t="s">
        <v>764</v>
      </c>
      <c r="J1076" s="472" t="s">
        <v>765</v>
      </c>
      <c r="K1076" s="470" t="s">
        <v>766</v>
      </c>
      <c r="L1076" s="470" t="s">
        <v>767</v>
      </c>
      <c r="M1076" s="470" t="s">
        <v>1266</v>
      </c>
      <c r="N1076" s="470" t="s">
        <v>756</v>
      </c>
      <c r="O1076" s="472"/>
      <c r="P1076" s="472"/>
      <c r="Q1076" s="472"/>
      <c r="R1076" s="472"/>
      <c r="S1076" s="472"/>
      <c r="T1076" s="472"/>
      <c r="U1076" s="470"/>
      <c r="V1076" s="470"/>
      <c r="W1076" s="470"/>
      <c r="X1076" s="470"/>
      <c r="Y1076" s="470"/>
      <c r="Z1076" s="470"/>
      <c r="AA1076" s="470"/>
      <c r="AB1076" s="470"/>
      <c r="AC1076" s="473"/>
      <c r="AD1076" s="473"/>
      <c r="AE1076" s="473"/>
      <c r="AF1076" s="473"/>
      <c r="AG1076" s="473"/>
      <c r="AH1076" s="473"/>
      <c r="AI1076" s="473"/>
      <c r="AJ1076" s="473"/>
      <c r="AK1076" s="473"/>
      <c r="AL1076" s="473"/>
      <c r="AM1076" s="473"/>
      <c r="AN1076" s="473"/>
      <c r="AO1076" s="473"/>
      <c r="AP1076" s="473"/>
      <c r="AQ1076" s="473"/>
      <c r="AR1076" s="473"/>
      <c r="AS1076" s="473"/>
      <c r="AT1076" s="473"/>
      <c r="AU1076" s="473"/>
      <c r="AV1076" s="473"/>
      <c r="AW1076" s="474">
        <v>50400</v>
      </c>
      <c r="AX1076" s="473"/>
      <c r="AY1076" s="473"/>
      <c r="AZ1076" s="475"/>
      <c r="BA1076" s="475"/>
      <c r="BB1076" s="475"/>
      <c r="BC1076" s="475"/>
      <c r="BD1076" s="475"/>
      <c r="BE1076" s="475"/>
      <c r="BF1076" s="475"/>
      <c r="BG1076" s="475"/>
      <c r="BH1076" s="476">
        <v>50400</v>
      </c>
      <c r="BI1076" s="467"/>
      <c r="BJ1076" s="468" t="s">
        <v>1547</v>
      </c>
    </row>
    <row r="1077" spans="1:62">
      <c r="A1077" s="469">
        <v>45931</v>
      </c>
      <c r="B1077" s="469" t="s">
        <v>1423</v>
      </c>
      <c r="C1077" s="508" t="s">
        <v>748</v>
      </c>
      <c r="D1077" s="470" t="s">
        <v>749</v>
      </c>
      <c r="E1077" s="471">
        <v>1409</v>
      </c>
      <c r="F1077" s="470" t="s">
        <v>1135</v>
      </c>
      <c r="G1077" s="470" t="s">
        <v>751</v>
      </c>
      <c r="H1077" s="470"/>
      <c r="I1077" s="470" t="s">
        <v>1136</v>
      </c>
      <c r="J1077" s="472" t="s">
        <v>1137</v>
      </c>
      <c r="K1077" s="470" t="s">
        <v>1138</v>
      </c>
      <c r="L1077" s="470" t="s">
        <v>856</v>
      </c>
      <c r="M1077" s="470" t="s">
        <v>856</v>
      </c>
      <c r="N1077" s="470" t="s">
        <v>756</v>
      </c>
      <c r="O1077" s="472"/>
      <c r="P1077" s="472"/>
      <c r="Q1077" s="472"/>
      <c r="R1077" s="472"/>
      <c r="S1077" s="472"/>
      <c r="T1077" s="472"/>
      <c r="U1077" s="470"/>
      <c r="V1077" s="470"/>
      <c r="W1077" s="470"/>
      <c r="X1077" s="470"/>
      <c r="Y1077" s="470"/>
      <c r="Z1077" s="470"/>
      <c r="AA1077" s="470"/>
      <c r="AB1077" s="470"/>
      <c r="AC1077" s="473"/>
      <c r="AD1077" s="473"/>
      <c r="AE1077" s="473"/>
      <c r="AF1077" s="473"/>
      <c r="AG1077" s="473"/>
      <c r="AH1077" s="473"/>
      <c r="AI1077" s="473"/>
      <c r="AJ1077" s="473"/>
      <c r="AK1077" s="473"/>
      <c r="AL1077" s="473"/>
      <c r="AM1077" s="473"/>
      <c r="AN1077" s="473"/>
      <c r="AO1077" s="473"/>
      <c r="AP1077" s="473"/>
      <c r="AQ1077" s="473"/>
      <c r="AR1077" s="473"/>
      <c r="AS1077" s="473"/>
      <c r="AT1077" s="473"/>
      <c r="AU1077" s="473"/>
      <c r="AV1077" s="473"/>
      <c r="AW1077" s="474">
        <v>14200</v>
      </c>
      <c r="AX1077" s="473"/>
      <c r="AY1077" s="473"/>
      <c r="AZ1077" s="475"/>
      <c r="BA1077" s="475"/>
      <c r="BB1077" s="475"/>
      <c r="BC1077" s="475"/>
      <c r="BD1077" s="475"/>
      <c r="BE1077" s="475"/>
      <c r="BF1077" s="475"/>
      <c r="BG1077" s="475"/>
      <c r="BH1077" s="476">
        <v>14200</v>
      </c>
      <c r="BI1077" s="467"/>
      <c r="BJ1077" s="468" t="s">
        <v>1547</v>
      </c>
    </row>
    <row r="1078" spans="1:62">
      <c r="A1078" s="469">
        <v>45931</v>
      </c>
      <c r="B1078" s="469" t="s">
        <v>1423</v>
      </c>
      <c r="C1078" s="508" t="s">
        <v>748</v>
      </c>
      <c r="D1078" s="470" t="s">
        <v>749</v>
      </c>
      <c r="E1078" s="471">
        <v>1440</v>
      </c>
      <c r="F1078" s="470" t="s">
        <v>796</v>
      </c>
      <c r="G1078" s="470" t="s">
        <v>751</v>
      </c>
      <c r="H1078" s="470"/>
      <c r="I1078" s="470" t="s">
        <v>797</v>
      </c>
      <c r="J1078" s="472" t="s">
        <v>798</v>
      </c>
      <c r="K1078" s="470" t="s">
        <v>799</v>
      </c>
      <c r="L1078" s="470" t="s">
        <v>800</v>
      </c>
      <c r="M1078" s="470" t="s">
        <v>801</v>
      </c>
      <c r="N1078" s="470" t="s">
        <v>756</v>
      </c>
      <c r="O1078" s="472"/>
      <c r="P1078" s="472"/>
      <c r="Q1078" s="472"/>
      <c r="R1078" s="472"/>
      <c r="S1078" s="472"/>
      <c r="T1078" s="472"/>
      <c r="U1078" s="470"/>
      <c r="V1078" s="470"/>
      <c r="W1078" s="470"/>
      <c r="X1078" s="470"/>
      <c r="Y1078" s="470"/>
      <c r="Z1078" s="470"/>
      <c r="AA1078" s="470"/>
      <c r="AB1078" s="470"/>
      <c r="AC1078" s="473"/>
      <c r="AD1078" s="473"/>
      <c r="AE1078" s="473"/>
      <c r="AF1078" s="473"/>
      <c r="AG1078" s="473"/>
      <c r="AH1078" s="473"/>
      <c r="AI1078" s="473"/>
      <c r="AJ1078" s="473"/>
      <c r="AK1078" s="473"/>
      <c r="AL1078" s="473"/>
      <c r="AM1078" s="473"/>
      <c r="AN1078" s="473"/>
      <c r="AO1078" s="473"/>
      <c r="AP1078" s="473"/>
      <c r="AQ1078" s="473"/>
      <c r="AR1078" s="473"/>
      <c r="AS1078" s="473"/>
      <c r="AT1078" s="473"/>
      <c r="AU1078" s="473"/>
      <c r="AV1078" s="473"/>
      <c r="AW1078" s="474">
        <v>10900</v>
      </c>
      <c r="AX1078" s="473"/>
      <c r="AY1078" s="473"/>
      <c r="AZ1078" s="475"/>
      <c r="BA1078" s="475"/>
      <c r="BB1078" s="475"/>
      <c r="BC1078" s="475"/>
      <c r="BD1078" s="475"/>
      <c r="BE1078" s="475"/>
      <c r="BF1078" s="475"/>
      <c r="BG1078" s="475"/>
      <c r="BH1078" s="476">
        <v>10900</v>
      </c>
      <c r="BI1078" s="467"/>
      <c r="BJ1078" s="468" t="s">
        <v>1547</v>
      </c>
    </row>
    <row r="1079" spans="1:62">
      <c r="A1079" s="469">
        <v>45931</v>
      </c>
      <c r="B1079" s="469" t="s">
        <v>1423</v>
      </c>
      <c r="C1079" s="508" t="s">
        <v>748</v>
      </c>
      <c r="D1079" s="470" t="s">
        <v>749</v>
      </c>
      <c r="E1079" s="471">
        <v>1445</v>
      </c>
      <c r="F1079" s="470" t="s">
        <v>1057</v>
      </c>
      <c r="G1079" s="470" t="s">
        <v>751</v>
      </c>
      <c r="H1079" s="470"/>
      <c r="I1079" s="470" t="s">
        <v>1058</v>
      </c>
      <c r="J1079" s="472" t="s">
        <v>1059</v>
      </c>
      <c r="K1079" s="470" t="s">
        <v>1060</v>
      </c>
      <c r="L1079" s="470" t="s">
        <v>800</v>
      </c>
      <c r="M1079" s="470" t="s">
        <v>801</v>
      </c>
      <c r="N1079" s="470" t="s">
        <v>756</v>
      </c>
      <c r="O1079" s="472"/>
      <c r="P1079" s="472"/>
      <c r="Q1079" s="472"/>
      <c r="R1079" s="472"/>
      <c r="S1079" s="472"/>
      <c r="T1079" s="472"/>
      <c r="U1079" s="470"/>
      <c r="V1079" s="470"/>
      <c r="W1079" s="470"/>
      <c r="X1079" s="470"/>
      <c r="Y1079" s="470"/>
      <c r="Z1079" s="470"/>
      <c r="AA1079" s="470"/>
      <c r="AB1079" s="470"/>
      <c r="AC1079" s="473"/>
      <c r="AD1079" s="473"/>
      <c r="AE1079" s="473"/>
      <c r="AF1079" s="473"/>
      <c r="AG1079" s="473"/>
      <c r="AH1079" s="473"/>
      <c r="AI1079" s="473"/>
      <c r="AJ1079" s="473"/>
      <c r="AK1079" s="473"/>
      <c r="AL1079" s="473"/>
      <c r="AM1079" s="473"/>
      <c r="AN1079" s="473"/>
      <c r="AO1079" s="473"/>
      <c r="AP1079" s="473"/>
      <c r="AQ1079" s="473"/>
      <c r="AR1079" s="473"/>
      <c r="AS1079" s="473"/>
      <c r="AT1079" s="473"/>
      <c r="AU1079" s="473"/>
      <c r="AV1079" s="473"/>
      <c r="AW1079" s="474">
        <v>23200</v>
      </c>
      <c r="AX1079" s="473"/>
      <c r="AY1079" s="473"/>
      <c r="AZ1079" s="475"/>
      <c r="BA1079" s="475"/>
      <c r="BB1079" s="475"/>
      <c r="BC1079" s="475"/>
      <c r="BD1079" s="475"/>
      <c r="BE1079" s="475"/>
      <c r="BF1079" s="475"/>
      <c r="BG1079" s="475"/>
      <c r="BH1079" s="476">
        <v>23200</v>
      </c>
      <c r="BI1079" s="467"/>
      <c r="BJ1079" s="468" t="s">
        <v>1547</v>
      </c>
    </row>
    <row r="1080" spans="1:62">
      <c r="A1080" s="469">
        <v>45931</v>
      </c>
      <c r="B1080" s="469" t="s">
        <v>1423</v>
      </c>
      <c r="C1080" s="508" t="s">
        <v>748</v>
      </c>
      <c r="D1080" s="470" t="s">
        <v>749</v>
      </c>
      <c r="E1080" s="471">
        <v>1480</v>
      </c>
      <c r="F1080" s="470" t="s">
        <v>1078</v>
      </c>
      <c r="G1080" s="470" t="s">
        <v>751</v>
      </c>
      <c r="H1080" s="470"/>
      <c r="I1080" s="470" t="s">
        <v>1079</v>
      </c>
      <c r="J1080" s="472" t="s">
        <v>1080</v>
      </c>
      <c r="K1080" s="470" t="s">
        <v>1081</v>
      </c>
      <c r="L1080" s="470" t="s">
        <v>767</v>
      </c>
      <c r="M1080" s="470" t="s">
        <v>767</v>
      </c>
      <c r="N1080" s="470" t="s">
        <v>756</v>
      </c>
      <c r="O1080" s="472"/>
      <c r="P1080" s="472"/>
      <c r="Q1080" s="472"/>
      <c r="R1080" s="472"/>
      <c r="S1080" s="472"/>
      <c r="T1080" s="472"/>
      <c r="U1080" s="470"/>
      <c r="V1080" s="470"/>
      <c r="W1080" s="470"/>
      <c r="X1080" s="470"/>
      <c r="Y1080" s="470"/>
      <c r="Z1080" s="470"/>
      <c r="AA1080" s="470"/>
      <c r="AB1080" s="470"/>
      <c r="AC1080" s="473"/>
      <c r="AD1080" s="473"/>
      <c r="AE1080" s="473"/>
      <c r="AF1080" s="473"/>
      <c r="AG1080" s="473"/>
      <c r="AH1080" s="473"/>
      <c r="AI1080" s="473"/>
      <c r="AJ1080" s="473"/>
      <c r="AK1080" s="473"/>
      <c r="AL1080" s="473"/>
      <c r="AM1080" s="473"/>
      <c r="AN1080" s="473"/>
      <c r="AO1080" s="473"/>
      <c r="AP1080" s="473"/>
      <c r="AQ1080" s="473"/>
      <c r="AR1080" s="473"/>
      <c r="AS1080" s="473"/>
      <c r="AT1080" s="473"/>
      <c r="AU1080" s="473"/>
      <c r="AV1080" s="473"/>
      <c r="AW1080" s="474">
        <v>23000</v>
      </c>
      <c r="AX1080" s="473"/>
      <c r="AY1080" s="473"/>
      <c r="AZ1080" s="475"/>
      <c r="BA1080" s="475"/>
      <c r="BB1080" s="475"/>
      <c r="BC1080" s="475"/>
      <c r="BD1080" s="475"/>
      <c r="BE1080" s="475"/>
      <c r="BF1080" s="475"/>
      <c r="BG1080" s="475"/>
      <c r="BH1080" s="476">
        <v>23000</v>
      </c>
      <c r="BI1080" s="467"/>
      <c r="BJ1080" s="468" t="s">
        <v>1547</v>
      </c>
    </row>
    <row r="1081" spans="1:62">
      <c r="A1081" s="469">
        <v>45931</v>
      </c>
      <c r="B1081" s="469" t="s">
        <v>1423</v>
      </c>
      <c r="C1081" s="508" t="s">
        <v>748</v>
      </c>
      <c r="D1081" s="470" t="s">
        <v>749</v>
      </c>
      <c r="E1081" s="471">
        <v>1488</v>
      </c>
      <c r="F1081" s="470" t="s">
        <v>750</v>
      </c>
      <c r="G1081" s="470" t="s">
        <v>751</v>
      </c>
      <c r="H1081" s="470"/>
      <c r="I1081" s="470" t="s">
        <v>752</v>
      </c>
      <c r="J1081" s="472" t="s">
        <v>753</v>
      </c>
      <c r="K1081" s="470" t="s">
        <v>754</v>
      </c>
      <c r="L1081" s="470" t="s">
        <v>755</v>
      </c>
      <c r="M1081" s="470" t="s">
        <v>755</v>
      </c>
      <c r="N1081" s="470" t="s">
        <v>756</v>
      </c>
      <c r="O1081" s="472"/>
      <c r="P1081" s="472"/>
      <c r="Q1081" s="472"/>
      <c r="R1081" s="472"/>
      <c r="S1081" s="472"/>
      <c r="T1081" s="472"/>
      <c r="U1081" s="470"/>
      <c r="V1081" s="470"/>
      <c r="W1081" s="470"/>
      <c r="X1081" s="470"/>
      <c r="Y1081" s="470"/>
      <c r="Z1081" s="470"/>
      <c r="AA1081" s="470"/>
      <c r="AB1081" s="470"/>
      <c r="AC1081" s="473"/>
      <c r="AD1081" s="473"/>
      <c r="AE1081" s="473"/>
      <c r="AF1081" s="473"/>
      <c r="AG1081" s="473"/>
      <c r="AH1081" s="473"/>
      <c r="AI1081" s="473"/>
      <c r="AJ1081" s="473"/>
      <c r="AK1081" s="473"/>
      <c r="AL1081" s="473"/>
      <c r="AM1081" s="473"/>
      <c r="AN1081" s="473"/>
      <c r="AO1081" s="473"/>
      <c r="AP1081" s="473"/>
      <c r="AQ1081" s="473"/>
      <c r="AR1081" s="473"/>
      <c r="AS1081" s="473"/>
      <c r="AT1081" s="473"/>
      <c r="AU1081" s="473"/>
      <c r="AV1081" s="473"/>
      <c r="AW1081" s="474">
        <v>5300</v>
      </c>
      <c r="AX1081" s="473"/>
      <c r="AY1081" s="473"/>
      <c r="AZ1081" s="475"/>
      <c r="BA1081" s="475"/>
      <c r="BB1081" s="475"/>
      <c r="BC1081" s="475"/>
      <c r="BD1081" s="475"/>
      <c r="BE1081" s="475"/>
      <c r="BF1081" s="475"/>
      <c r="BG1081" s="475"/>
      <c r="BH1081" s="476">
        <v>5300</v>
      </c>
      <c r="BI1081" s="467"/>
      <c r="BJ1081" s="468" t="s">
        <v>1547</v>
      </c>
    </row>
    <row r="1082" spans="1:62">
      <c r="A1082" s="469">
        <v>45931</v>
      </c>
      <c r="B1082" s="469" t="s">
        <v>1423</v>
      </c>
      <c r="C1082" s="508" t="s">
        <v>748</v>
      </c>
      <c r="D1082" s="470" t="s">
        <v>749</v>
      </c>
      <c r="E1082" s="471">
        <v>1496</v>
      </c>
      <c r="F1082" s="470" t="s">
        <v>1260</v>
      </c>
      <c r="G1082" s="470" t="s">
        <v>751</v>
      </c>
      <c r="H1082" s="470"/>
      <c r="I1082" s="470" t="s">
        <v>1261</v>
      </c>
      <c r="J1082" s="472" t="s">
        <v>1262</v>
      </c>
      <c r="K1082" s="470" t="s">
        <v>1263</v>
      </c>
      <c r="L1082" s="470" t="s">
        <v>856</v>
      </c>
      <c r="M1082" s="470" t="s">
        <v>856</v>
      </c>
      <c r="N1082" s="470" t="s">
        <v>756</v>
      </c>
      <c r="O1082" s="472"/>
      <c r="P1082" s="472"/>
      <c r="Q1082" s="472"/>
      <c r="R1082" s="472"/>
      <c r="S1082" s="472"/>
      <c r="T1082" s="472"/>
      <c r="U1082" s="470"/>
      <c r="V1082" s="470"/>
      <c r="W1082" s="470"/>
      <c r="X1082" s="470"/>
      <c r="Y1082" s="470"/>
      <c r="Z1082" s="470"/>
      <c r="AA1082" s="470"/>
      <c r="AB1082" s="470"/>
      <c r="AC1082" s="473"/>
      <c r="AD1082" s="473"/>
      <c r="AE1082" s="473"/>
      <c r="AF1082" s="473"/>
      <c r="AG1082" s="473"/>
      <c r="AH1082" s="473"/>
      <c r="AI1082" s="473"/>
      <c r="AJ1082" s="473"/>
      <c r="AK1082" s="473"/>
      <c r="AL1082" s="473"/>
      <c r="AM1082" s="473"/>
      <c r="AN1082" s="473"/>
      <c r="AO1082" s="473"/>
      <c r="AP1082" s="473"/>
      <c r="AQ1082" s="473"/>
      <c r="AR1082" s="473"/>
      <c r="AS1082" s="473"/>
      <c r="AT1082" s="473"/>
      <c r="AU1082" s="473"/>
      <c r="AV1082" s="473"/>
      <c r="AW1082" s="474">
        <v>25800</v>
      </c>
      <c r="AX1082" s="473"/>
      <c r="AY1082" s="473"/>
      <c r="AZ1082" s="475"/>
      <c r="BA1082" s="475"/>
      <c r="BB1082" s="475"/>
      <c r="BC1082" s="475"/>
      <c r="BD1082" s="475"/>
      <c r="BE1082" s="475"/>
      <c r="BF1082" s="475"/>
      <c r="BG1082" s="475"/>
      <c r="BH1082" s="476">
        <v>25800</v>
      </c>
      <c r="BI1082" s="467"/>
      <c r="BJ1082" s="468" t="s">
        <v>1547</v>
      </c>
    </row>
    <row r="1083" spans="1:62">
      <c r="A1083" s="469">
        <v>45931</v>
      </c>
      <c r="B1083" s="469" t="s">
        <v>1423</v>
      </c>
      <c r="C1083" s="508" t="s">
        <v>748</v>
      </c>
      <c r="D1083" s="470" t="s">
        <v>749</v>
      </c>
      <c r="E1083" s="471">
        <v>1506</v>
      </c>
      <c r="F1083" s="470" t="s">
        <v>983</v>
      </c>
      <c r="G1083" s="470" t="s">
        <v>751</v>
      </c>
      <c r="H1083" s="470"/>
      <c r="I1083" s="470" t="s">
        <v>984</v>
      </c>
      <c r="J1083" s="472" t="s">
        <v>985</v>
      </c>
      <c r="K1083" s="470" t="s">
        <v>986</v>
      </c>
      <c r="L1083" s="470" t="s">
        <v>987</v>
      </c>
      <c r="M1083" s="470" t="s">
        <v>987</v>
      </c>
      <c r="N1083" s="470" t="s">
        <v>756</v>
      </c>
      <c r="O1083" s="472"/>
      <c r="P1083" s="472"/>
      <c r="Q1083" s="472"/>
      <c r="R1083" s="472"/>
      <c r="S1083" s="472"/>
      <c r="T1083" s="472"/>
      <c r="U1083" s="470"/>
      <c r="V1083" s="470"/>
      <c r="W1083" s="470"/>
      <c r="X1083" s="470"/>
      <c r="Y1083" s="470"/>
      <c r="Z1083" s="470"/>
      <c r="AA1083" s="470"/>
      <c r="AB1083" s="470"/>
      <c r="AC1083" s="473"/>
      <c r="AD1083" s="473"/>
      <c r="AE1083" s="473"/>
      <c r="AF1083" s="473"/>
      <c r="AG1083" s="473"/>
      <c r="AH1083" s="473"/>
      <c r="AI1083" s="473"/>
      <c r="AJ1083" s="473"/>
      <c r="AK1083" s="473"/>
      <c r="AL1083" s="473"/>
      <c r="AM1083" s="473"/>
      <c r="AN1083" s="473"/>
      <c r="AO1083" s="473"/>
      <c r="AP1083" s="473"/>
      <c r="AQ1083" s="473"/>
      <c r="AR1083" s="473"/>
      <c r="AS1083" s="473"/>
      <c r="AT1083" s="473"/>
      <c r="AU1083" s="473"/>
      <c r="AV1083" s="473"/>
      <c r="AW1083" s="474">
        <v>9600</v>
      </c>
      <c r="AX1083" s="473"/>
      <c r="AY1083" s="473"/>
      <c r="AZ1083" s="475"/>
      <c r="BA1083" s="475"/>
      <c r="BB1083" s="475"/>
      <c r="BC1083" s="475"/>
      <c r="BD1083" s="475"/>
      <c r="BE1083" s="475"/>
      <c r="BF1083" s="475"/>
      <c r="BG1083" s="475"/>
      <c r="BH1083" s="476">
        <v>9600</v>
      </c>
      <c r="BI1083" s="467"/>
      <c r="BJ1083" s="468" t="s">
        <v>1547</v>
      </c>
    </row>
    <row r="1084" spans="1:62">
      <c r="A1084" s="469">
        <v>45931</v>
      </c>
      <c r="B1084" s="469" t="s">
        <v>1423</v>
      </c>
      <c r="C1084" s="508" t="s">
        <v>748</v>
      </c>
      <c r="D1084" s="470" t="s">
        <v>749</v>
      </c>
      <c r="E1084" s="471">
        <v>1535</v>
      </c>
      <c r="F1084" s="470" t="s">
        <v>1127</v>
      </c>
      <c r="G1084" s="470" t="s">
        <v>751</v>
      </c>
      <c r="H1084" s="470"/>
      <c r="I1084" s="470" t="s">
        <v>1128</v>
      </c>
      <c r="J1084" s="472" t="s">
        <v>1129</v>
      </c>
      <c r="K1084" s="470" t="s">
        <v>1130</v>
      </c>
      <c r="L1084" s="470" t="s">
        <v>1131</v>
      </c>
      <c r="M1084" s="470" t="s">
        <v>1131</v>
      </c>
      <c r="N1084" s="470" t="s">
        <v>756</v>
      </c>
      <c r="O1084" s="472"/>
      <c r="P1084" s="472"/>
      <c r="Q1084" s="472"/>
      <c r="R1084" s="472"/>
      <c r="S1084" s="472"/>
      <c r="T1084" s="472"/>
      <c r="U1084" s="470"/>
      <c r="V1084" s="470"/>
      <c r="W1084" s="470"/>
      <c r="X1084" s="470"/>
      <c r="Y1084" s="470"/>
      <c r="Z1084" s="470"/>
      <c r="AA1084" s="470"/>
      <c r="AB1084" s="470"/>
      <c r="AC1084" s="473"/>
      <c r="AD1084" s="473"/>
      <c r="AE1084" s="473"/>
      <c r="AF1084" s="473"/>
      <c r="AG1084" s="473"/>
      <c r="AH1084" s="473"/>
      <c r="AI1084" s="473"/>
      <c r="AJ1084" s="473"/>
      <c r="AK1084" s="473"/>
      <c r="AL1084" s="473"/>
      <c r="AM1084" s="473"/>
      <c r="AN1084" s="473"/>
      <c r="AO1084" s="473"/>
      <c r="AP1084" s="473"/>
      <c r="AQ1084" s="473"/>
      <c r="AR1084" s="473"/>
      <c r="AS1084" s="473"/>
      <c r="AT1084" s="473"/>
      <c r="AU1084" s="473"/>
      <c r="AV1084" s="473"/>
      <c r="AW1084" s="474">
        <v>19900</v>
      </c>
      <c r="AX1084" s="473"/>
      <c r="AY1084" s="473"/>
      <c r="AZ1084" s="475"/>
      <c r="BA1084" s="475"/>
      <c r="BB1084" s="475"/>
      <c r="BC1084" s="475"/>
      <c r="BD1084" s="475"/>
      <c r="BE1084" s="475"/>
      <c r="BF1084" s="475"/>
      <c r="BG1084" s="475"/>
      <c r="BH1084" s="476">
        <v>19900</v>
      </c>
      <c r="BI1084" s="467"/>
      <c r="BJ1084" s="468" t="s">
        <v>1547</v>
      </c>
    </row>
    <row r="1085" spans="1:62">
      <c r="A1085" s="469">
        <v>45931</v>
      </c>
      <c r="B1085" s="469" t="s">
        <v>1423</v>
      </c>
      <c r="C1085" s="508" t="s">
        <v>748</v>
      </c>
      <c r="D1085" s="470" t="s">
        <v>749</v>
      </c>
      <c r="E1085" s="471">
        <v>1589</v>
      </c>
      <c r="F1085" s="470" t="s">
        <v>1175</v>
      </c>
      <c r="G1085" s="470" t="s">
        <v>751</v>
      </c>
      <c r="H1085" s="470"/>
      <c r="I1085" s="470" t="s">
        <v>1176</v>
      </c>
      <c r="J1085" s="472" t="s">
        <v>1177</v>
      </c>
      <c r="K1085" s="470" t="s">
        <v>1178</v>
      </c>
      <c r="L1085" s="470" t="s">
        <v>755</v>
      </c>
      <c r="M1085" s="470" t="s">
        <v>755</v>
      </c>
      <c r="N1085" s="470" t="s">
        <v>756</v>
      </c>
      <c r="O1085" s="472"/>
      <c r="P1085" s="472"/>
      <c r="Q1085" s="472"/>
      <c r="R1085" s="472"/>
      <c r="S1085" s="472"/>
      <c r="T1085" s="472"/>
      <c r="U1085" s="470"/>
      <c r="V1085" s="470"/>
      <c r="W1085" s="470"/>
      <c r="X1085" s="470"/>
      <c r="Y1085" s="470"/>
      <c r="Z1085" s="470"/>
      <c r="AA1085" s="470"/>
      <c r="AB1085" s="470"/>
      <c r="AC1085" s="473"/>
      <c r="AD1085" s="473"/>
      <c r="AE1085" s="473"/>
      <c r="AF1085" s="473"/>
      <c r="AG1085" s="473"/>
      <c r="AH1085" s="473"/>
      <c r="AI1085" s="473"/>
      <c r="AJ1085" s="473"/>
      <c r="AK1085" s="473"/>
      <c r="AL1085" s="473"/>
      <c r="AM1085" s="473"/>
      <c r="AN1085" s="473"/>
      <c r="AO1085" s="473"/>
      <c r="AP1085" s="473"/>
      <c r="AQ1085" s="473"/>
      <c r="AR1085" s="473"/>
      <c r="AS1085" s="473"/>
      <c r="AT1085" s="473"/>
      <c r="AU1085" s="473"/>
      <c r="AV1085" s="473"/>
      <c r="AW1085" s="474">
        <v>8600</v>
      </c>
      <c r="AX1085" s="473"/>
      <c r="AY1085" s="473"/>
      <c r="AZ1085" s="475"/>
      <c r="BA1085" s="475"/>
      <c r="BB1085" s="475"/>
      <c r="BC1085" s="475"/>
      <c r="BD1085" s="475"/>
      <c r="BE1085" s="475"/>
      <c r="BF1085" s="475"/>
      <c r="BG1085" s="475"/>
      <c r="BH1085" s="476">
        <v>8600</v>
      </c>
      <c r="BI1085" s="467"/>
      <c r="BJ1085" s="468" t="s">
        <v>1547</v>
      </c>
    </row>
    <row r="1086" spans="1:62">
      <c r="A1086" s="469">
        <v>46082</v>
      </c>
      <c r="B1086" s="469" t="s">
        <v>747</v>
      </c>
      <c r="C1086" s="508"/>
      <c r="D1086" s="470" t="s">
        <v>749</v>
      </c>
      <c r="E1086" s="471">
        <v>2163</v>
      </c>
      <c r="F1086" s="470" t="s">
        <v>1267</v>
      </c>
      <c r="G1086" s="470" t="s">
        <v>751</v>
      </c>
      <c r="H1086" s="470"/>
      <c r="I1086" s="470" t="s">
        <v>1268</v>
      </c>
      <c r="J1086" s="472" t="s">
        <v>1269</v>
      </c>
      <c r="K1086" s="470" t="s">
        <v>1270</v>
      </c>
      <c r="L1086" s="470" t="s">
        <v>1271</v>
      </c>
      <c r="M1086" s="470" t="s">
        <v>942</v>
      </c>
      <c r="N1086" s="470" t="s">
        <v>756</v>
      </c>
      <c r="O1086" s="472" t="s">
        <v>1272</v>
      </c>
      <c r="P1086" s="472" t="s">
        <v>738</v>
      </c>
      <c r="Q1086" s="472" t="s">
        <v>758</v>
      </c>
      <c r="R1086" s="472" t="s">
        <v>12</v>
      </c>
      <c r="S1086" s="472" t="s">
        <v>12</v>
      </c>
      <c r="T1086" s="472" t="s">
        <v>1273</v>
      </c>
      <c r="U1086" s="470" t="s">
        <v>1274</v>
      </c>
      <c r="V1086" s="470" t="s">
        <v>761</v>
      </c>
      <c r="W1086" s="470" t="s">
        <v>1111</v>
      </c>
      <c r="X1086" s="470">
        <v>31</v>
      </c>
      <c r="Y1086" s="470">
        <v>0</v>
      </c>
      <c r="Z1086" s="470">
        <v>0</v>
      </c>
      <c r="AA1086" s="470">
        <v>31</v>
      </c>
      <c r="AB1086" s="470">
        <v>31</v>
      </c>
      <c r="AC1086" s="473">
        <v>235700</v>
      </c>
      <c r="AD1086" s="473">
        <v>235700</v>
      </c>
      <c r="AE1086" s="473">
        <v>106065</v>
      </c>
      <c r="AF1086" s="473">
        <v>42426</v>
      </c>
      <c r="AG1086" s="473">
        <v>1600</v>
      </c>
      <c r="AH1086" s="473">
        <v>200</v>
      </c>
      <c r="AI1086" s="473">
        <v>1250</v>
      </c>
      <c r="AJ1086" s="473">
        <v>8835</v>
      </c>
      <c r="AK1086" s="473">
        <v>21213</v>
      </c>
      <c r="AL1086" s="473">
        <v>15910</v>
      </c>
      <c r="AM1086" s="473">
        <v>1061</v>
      </c>
      <c r="AN1086" s="473">
        <v>3712</v>
      </c>
      <c r="AO1086" s="473">
        <v>2121</v>
      </c>
      <c r="AP1086" s="473">
        <v>530</v>
      </c>
      <c r="AQ1086" s="473">
        <v>1800</v>
      </c>
      <c r="AR1086" s="473">
        <v>28977</v>
      </c>
      <c r="AS1086" s="473">
        <v>0</v>
      </c>
      <c r="AT1086" s="473">
        <v>0</v>
      </c>
      <c r="AU1086" s="473">
        <v>1422</v>
      </c>
      <c r="AV1086" s="473">
        <v>237122</v>
      </c>
      <c r="AW1086" s="474">
        <v>235700</v>
      </c>
      <c r="AX1086" s="473">
        <v>0</v>
      </c>
      <c r="AY1086" s="473">
        <v>0</v>
      </c>
      <c r="AZ1086" s="475">
        <v>19538</v>
      </c>
      <c r="BA1086" s="475">
        <v>200</v>
      </c>
      <c r="BB1086" s="475">
        <v>1800</v>
      </c>
      <c r="BC1086" s="475">
        <v>0</v>
      </c>
      <c r="BD1086" s="475">
        <v>0</v>
      </c>
      <c r="BE1086" s="475">
        <v>0</v>
      </c>
      <c r="BF1086" s="475">
        <v>0</v>
      </c>
      <c r="BG1086" s="475">
        <v>21538</v>
      </c>
      <c r="BH1086" s="476">
        <v>215584</v>
      </c>
      <c r="BI1086" s="467"/>
      <c r="BJ1086" s="468"/>
    </row>
    <row r="1087" spans="1:62">
      <c r="A1087" s="469">
        <v>46082</v>
      </c>
      <c r="B1087" s="469" t="s">
        <v>747</v>
      </c>
      <c r="C1087" s="508"/>
      <c r="D1087" s="470" t="s">
        <v>749</v>
      </c>
      <c r="E1087" s="471">
        <v>2020</v>
      </c>
      <c r="F1087" s="470" t="s">
        <v>772</v>
      </c>
      <c r="G1087" s="470" t="s">
        <v>751</v>
      </c>
      <c r="H1087" s="470"/>
      <c r="I1087" s="470" t="s">
        <v>773</v>
      </c>
      <c r="J1087" s="472" t="s">
        <v>774</v>
      </c>
      <c r="K1087" s="470" t="s">
        <v>775</v>
      </c>
      <c r="L1087" s="470" t="s">
        <v>776</v>
      </c>
      <c r="M1087" s="470" t="s">
        <v>776</v>
      </c>
      <c r="N1087" s="470" t="s">
        <v>777</v>
      </c>
      <c r="O1087" s="472" t="s">
        <v>757</v>
      </c>
      <c r="P1087" s="472" t="s">
        <v>738</v>
      </c>
      <c r="Q1087" s="472" t="s">
        <v>758</v>
      </c>
      <c r="R1087" s="472" t="s">
        <v>12</v>
      </c>
      <c r="S1087" s="472" t="s">
        <v>12</v>
      </c>
      <c r="T1087" s="472" t="s">
        <v>778</v>
      </c>
      <c r="U1087" s="470" t="s">
        <v>779</v>
      </c>
      <c r="V1087" s="470" t="s">
        <v>761</v>
      </c>
      <c r="W1087" s="470" t="s">
        <v>762</v>
      </c>
      <c r="X1087" s="470">
        <v>31</v>
      </c>
      <c r="Y1087" s="470">
        <v>0</v>
      </c>
      <c r="Z1087" s="470">
        <v>0</v>
      </c>
      <c r="AA1087" s="470">
        <v>31</v>
      </c>
      <c r="AB1087" s="470">
        <v>31</v>
      </c>
      <c r="AC1087" s="473">
        <v>68450</v>
      </c>
      <c r="AD1087" s="473">
        <v>68450</v>
      </c>
      <c r="AE1087" s="473">
        <v>30803</v>
      </c>
      <c r="AF1087" s="473">
        <v>12321</v>
      </c>
      <c r="AG1087" s="473">
        <v>1600</v>
      </c>
      <c r="AH1087" s="473">
        <v>200</v>
      </c>
      <c r="AI1087" s="473">
        <v>1250</v>
      </c>
      <c r="AJ1087" s="473">
        <v>2566</v>
      </c>
      <c r="AK1087" s="473">
        <v>6161</v>
      </c>
      <c r="AL1087" s="473">
        <v>4620</v>
      </c>
      <c r="AM1087" s="473">
        <v>308</v>
      </c>
      <c r="AN1087" s="473">
        <v>1078</v>
      </c>
      <c r="AO1087" s="473">
        <v>616</v>
      </c>
      <c r="AP1087" s="473">
        <v>154</v>
      </c>
      <c r="AQ1087" s="473">
        <v>1800</v>
      </c>
      <c r="AR1087" s="473">
        <v>4973</v>
      </c>
      <c r="AS1087" s="473">
        <v>0</v>
      </c>
      <c r="AT1087" s="473">
        <v>0</v>
      </c>
      <c r="AU1087" s="473">
        <v>1357</v>
      </c>
      <c r="AV1087" s="473">
        <v>69807</v>
      </c>
      <c r="AW1087" s="474">
        <v>68450</v>
      </c>
      <c r="AX1087" s="473">
        <v>0</v>
      </c>
      <c r="AY1087" s="473">
        <v>0</v>
      </c>
      <c r="AZ1087" s="475">
        <v>0</v>
      </c>
      <c r="BA1087" s="475">
        <v>200</v>
      </c>
      <c r="BB1087" s="475">
        <v>1800</v>
      </c>
      <c r="BC1087" s="475">
        <v>0</v>
      </c>
      <c r="BD1087" s="475">
        <v>0</v>
      </c>
      <c r="BE1087" s="475">
        <v>0</v>
      </c>
      <c r="BF1087" s="475">
        <v>0</v>
      </c>
      <c r="BG1087" s="475">
        <v>2000</v>
      </c>
      <c r="BH1087" s="476">
        <v>67807</v>
      </c>
      <c r="BI1087" s="467"/>
      <c r="BJ1087" s="468"/>
    </row>
    <row r="1088" spans="1:62">
      <c r="A1088" s="469">
        <v>46082</v>
      </c>
      <c r="B1088" s="469" t="s">
        <v>747</v>
      </c>
      <c r="C1088" s="508"/>
      <c r="D1088" s="470" t="s">
        <v>749</v>
      </c>
      <c r="E1088" s="471">
        <v>2307</v>
      </c>
      <c r="F1088" s="470" t="s">
        <v>1508</v>
      </c>
      <c r="G1088" s="470" t="s">
        <v>751</v>
      </c>
      <c r="H1088" s="470"/>
      <c r="I1088" s="470" t="s">
        <v>1509</v>
      </c>
      <c r="J1088" s="472" t="s">
        <v>1510</v>
      </c>
      <c r="K1088" s="470" t="s">
        <v>1511</v>
      </c>
      <c r="L1088" s="470" t="s">
        <v>971</v>
      </c>
      <c r="M1088" s="470" t="s">
        <v>1512</v>
      </c>
      <c r="N1088" s="470" t="s">
        <v>1275</v>
      </c>
      <c r="O1088" s="472" t="s">
        <v>792</v>
      </c>
      <c r="P1088" s="472" t="s">
        <v>738</v>
      </c>
      <c r="Q1088" s="472" t="s">
        <v>758</v>
      </c>
      <c r="R1088" s="472" t="s">
        <v>12</v>
      </c>
      <c r="S1088" s="472" t="s">
        <v>12</v>
      </c>
      <c r="T1088" s="472" t="s">
        <v>1513</v>
      </c>
      <c r="U1088" s="470" t="s">
        <v>1514</v>
      </c>
      <c r="V1088" s="470" t="s">
        <v>761</v>
      </c>
      <c r="W1088" s="470" t="s">
        <v>1101</v>
      </c>
      <c r="X1088" s="470">
        <v>31</v>
      </c>
      <c r="Y1088" s="470">
        <v>0</v>
      </c>
      <c r="Z1088" s="470">
        <v>1</v>
      </c>
      <c r="AA1088" s="470">
        <v>30</v>
      </c>
      <c r="AB1088" s="470">
        <v>30</v>
      </c>
      <c r="AC1088" s="473">
        <v>148200</v>
      </c>
      <c r="AD1088" s="473">
        <v>148200</v>
      </c>
      <c r="AE1088" s="473">
        <v>64539</v>
      </c>
      <c r="AF1088" s="473">
        <v>25816</v>
      </c>
      <c r="AG1088" s="473">
        <v>1548</v>
      </c>
      <c r="AH1088" s="473">
        <v>194</v>
      </c>
      <c r="AI1088" s="473">
        <v>1210</v>
      </c>
      <c r="AJ1088" s="473">
        <v>5376</v>
      </c>
      <c r="AK1088" s="473">
        <v>12908</v>
      </c>
      <c r="AL1088" s="473">
        <v>9681</v>
      </c>
      <c r="AM1088" s="473">
        <v>645</v>
      </c>
      <c r="AN1088" s="473">
        <v>2259</v>
      </c>
      <c r="AO1088" s="473">
        <v>1291</v>
      </c>
      <c r="AP1088" s="473">
        <v>323</v>
      </c>
      <c r="AQ1088" s="473">
        <v>1800</v>
      </c>
      <c r="AR1088" s="473">
        <v>15829</v>
      </c>
      <c r="AS1088" s="473">
        <v>0</v>
      </c>
      <c r="AT1088" s="473">
        <v>0</v>
      </c>
      <c r="AU1088" s="473">
        <v>11445</v>
      </c>
      <c r="AV1088" s="473">
        <v>154864</v>
      </c>
      <c r="AW1088" s="474">
        <v>143419</v>
      </c>
      <c r="AX1088" s="473">
        <v>0</v>
      </c>
      <c r="AY1088" s="473">
        <v>0</v>
      </c>
      <c r="AZ1088" s="475">
        <v>0</v>
      </c>
      <c r="BA1088" s="475">
        <v>200</v>
      </c>
      <c r="BB1088" s="475">
        <v>1800</v>
      </c>
      <c r="BC1088" s="475">
        <v>0</v>
      </c>
      <c r="BD1088" s="475">
        <v>0</v>
      </c>
      <c r="BE1088" s="475">
        <v>0</v>
      </c>
      <c r="BF1088" s="475">
        <v>0</v>
      </c>
      <c r="BG1088" s="475">
        <v>2000</v>
      </c>
      <c r="BH1088" s="476">
        <v>152864</v>
      </c>
      <c r="BI1088" s="467"/>
      <c r="BJ1088" s="468"/>
    </row>
    <row r="1089" spans="1:62">
      <c r="A1089" s="469">
        <v>46082</v>
      </c>
      <c r="B1089" s="469" t="s">
        <v>747</v>
      </c>
      <c r="C1089" s="508"/>
      <c r="D1089" s="470" t="s">
        <v>749</v>
      </c>
      <c r="E1089" s="471">
        <v>2072</v>
      </c>
      <c r="F1089" s="470" t="s">
        <v>787</v>
      </c>
      <c r="G1089" s="470" t="s">
        <v>751</v>
      </c>
      <c r="H1089" s="470"/>
      <c r="I1089" s="470" t="s">
        <v>788</v>
      </c>
      <c r="J1089" s="472" t="s">
        <v>789</v>
      </c>
      <c r="K1089" s="470" t="s">
        <v>790</v>
      </c>
      <c r="L1089" s="470" t="s">
        <v>791</v>
      </c>
      <c r="M1089" s="470" t="s">
        <v>791</v>
      </c>
      <c r="N1089" s="470" t="s">
        <v>756</v>
      </c>
      <c r="O1089" s="472" t="s">
        <v>792</v>
      </c>
      <c r="P1089" s="472" t="s">
        <v>738</v>
      </c>
      <c r="Q1089" s="472" t="s">
        <v>758</v>
      </c>
      <c r="R1089" s="472" t="s">
        <v>12</v>
      </c>
      <c r="S1089" s="472" t="s">
        <v>12</v>
      </c>
      <c r="T1089" s="472" t="s">
        <v>793</v>
      </c>
      <c r="U1089" s="470" t="s">
        <v>794</v>
      </c>
      <c r="V1089" s="470" t="s">
        <v>761</v>
      </c>
      <c r="W1089" s="470" t="s">
        <v>795</v>
      </c>
      <c r="X1089" s="470">
        <v>31</v>
      </c>
      <c r="Y1089" s="470">
        <v>0</v>
      </c>
      <c r="Z1089" s="470">
        <v>0</v>
      </c>
      <c r="AA1089" s="470">
        <v>18</v>
      </c>
      <c r="AB1089" s="470">
        <v>18</v>
      </c>
      <c r="AC1089" s="473">
        <v>123200</v>
      </c>
      <c r="AD1089" s="473">
        <v>123200</v>
      </c>
      <c r="AE1089" s="473">
        <v>32191</v>
      </c>
      <c r="AF1089" s="473">
        <v>12876</v>
      </c>
      <c r="AG1089" s="473">
        <v>929</v>
      </c>
      <c r="AH1089" s="473">
        <v>200</v>
      </c>
      <c r="AI1089" s="473">
        <v>726</v>
      </c>
      <c r="AJ1089" s="473">
        <v>2682</v>
      </c>
      <c r="AK1089" s="473">
        <v>6438</v>
      </c>
      <c r="AL1089" s="473">
        <v>4829</v>
      </c>
      <c r="AM1089" s="473">
        <v>322</v>
      </c>
      <c r="AN1089" s="473">
        <v>1127</v>
      </c>
      <c r="AO1089" s="473">
        <v>644</v>
      </c>
      <c r="AP1089" s="473">
        <v>161</v>
      </c>
      <c r="AQ1089" s="473">
        <v>1800</v>
      </c>
      <c r="AR1089" s="473">
        <v>6610</v>
      </c>
      <c r="AS1089" s="473">
        <v>0</v>
      </c>
      <c r="AT1089" s="473">
        <v>0</v>
      </c>
      <c r="AU1089" s="473"/>
      <c r="AV1089" s="473">
        <v>71535</v>
      </c>
      <c r="AW1089" s="474">
        <v>71535</v>
      </c>
      <c r="AX1089" s="473">
        <v>0</v>
      </c>
      <c r="AY1089" s="473">
        <v>0</v>
      </c>
      <c r="AZ1089" s="475">
        <v>0</v>
      </c>
      <c r="BA1089" s="475">
        <v>200</v>
      </c>
      <c r="BB1089" s="475">
        <v>1800</v>
      </c>
      <c r="BC1089" s="475">
        <v>0</v>
      </c>
      <c r="BD1089" s="475">
        <v>0</v>
      </c>
      <c r="BE1089" s="475">
        <v>0</v>
      </c>
      <c r="BF1089" s="475">
        <v>0</v>
      </c>
      <c r="BG1089" s="475">
        <v>2000</v>
      </c>
      <c r="BH1089" s="476">
        <v>69535</v>
      </c>
      <c r="BI1089" s="467"/>
      <c r="BJ1089" s="468"/>
    </row>
    <row r="1090" spans="1:62">
      <c r="A1090" s="469">
        <v>46082</v>
      </c>
      <c r="B1090" s="469" t="s">
        <v>747</v>
      </c>
      <c r="C1090" s="508"/>
      <c r="D1090" s="470" t="s">
        <v>749</v>
      </c>
      <c r="E1090" s="471">
        <v>1440</v>
      </c>
      <c r="F1090" s="470" t="s">
        <v>796</v>
      </c>
      <c r="G1090" s="470" t="s">
        <v>751</v>
      </c>
      <c r="H1090" s="470"/>
      <c r="I1090" s="470" t="s">
        <v>797</v>
      </c>
      <c r="J1090" s="472" t="s">
        <v>798</v>
      </c>
      <c r="K1090" s="470" t="s">
        <v>799</v>
      </c>
      <c r="L1090" s="470" t="s">
        <v>800</v>
      </c>
      <c r="M1090" s="470" t="s">
        <v>801</v>
      </c>
      <c r="N1090" s="470" t="s">
        <v>756</v>
      </c>
      <c r="O1090" s="472" t="s">
        <v>757</v>
      </c>
      <c r="P1090" s="472" t="s">
        <v>738</v>
      </c>
      <c r="Q1090" s="472" t="s">
        <v>758</v>
      </c>
      <c r="R1090" s="472" t="s">
        <v>12</v>
      </c>
      <c r="S1090" s="472" t="s">
        <v>12</v>
      </c>
      <c r="T1090" s="472" t="s">
        <v>802</v>
      </c>
      <c r="U1090" s="470" t="s">
        <v>803</v>
      </c>
      <c r="V1090" s="470" t="s">
        <v>761</v>
      </c>
      <c r="W1090" s="470" t="s">
        <v>762</v>
      </c>
      <c r="X1090" s="470">
        <v>31</v>
      </c>
      <c r="Y1090" s="470">
        <v>0</v>
      </c>
      <c r="Z1090" s="470">
        <v>0</v>
      </c>
      <c r="AA1090" s="470">
        <v>31</v>
      </c>
      <c r="AB1090" s="470">
        <v>31</v>
      </c>
      <c r="AC1090" s="473">
        <v>38617</v>
      </c>
      <c r="AD1090" s="473">
        <v>38617</v>
      </c>
      <c r="AE1090" s="473">
        <v>17378</v>
      </c>
      <c r="AF1090" s="473">
        <v>6951</v>
      </c>
      <c r="AG1090" s="473">
        <v>1600</v>
      </c>
      <c r="AH1090" s="473">
        <v>200</v>
      </c>
      <c r="AI1090" s="473">
        <v>1250</v>
      </c>
      <c r="AJ1090" s="473">
        <v>0</v>
      </c>
      <c r="AK1090" s="473">
        <v>0</v>
      </c>
      <c r="AL1090" s="473">
        <v>0</v>
      </c>
      <c r="AM1090" s="473">
        <v>0</v>
      </c>
      <c r="AN1090" s="473">
        <v>0</v>
      </c>
      <c r="AO1090" s="473">
        <v>0</v>
      </c>
      <c r="AP1090" s="473">
        <v>0</v>
      </c>
      <c r="AQ1090" s="473">
        <v>1800</v>
      </c>
      <c r="AR1090" s="473">
        <v>9438</v>
      </c>
      <c r="AS1090" s="473">
        <v>0</v>
      </c>
      <c r="AT1090" s="473">
        <v>200</v>
      </c>
      <c r="AU1090" s="473"/>
      <c r="AV1090" s="473">
        <v>38817</v>
      </c>
      <c r="AW1090" s="474">
        <v>38817</v>
      </c>
      <c r="AX1090" s="473">
        <v>0</v>
      </c>
      <c r="AY1090" s="473">
        <v>0</v>
      </c>
      <c r="AZ1090" s="475">
        <v>0</v>
      </c>
      <c r="BA1090" s="475">
        <v>200</v>
      </c>
      <c r="BB1090" s="475">
        <v>1800</v>
      </c>
      <c r="BC1090" s="475">
        <v>0</v>
      </c>
      <c r="BD1090" s="475">
        <v>0</v>
      </c>
      <c r="BE1090" s="475">
        <v>0</v>
      </c>
      <c r="BF1090" s="475">
        <v>0</v>
      </c>
      <c r="BG1090" s="475">
        <v>2000</v>
      </c>
      <c r="BH1090" s="476">
        <v>36817</v>
      </c>
      <c r="BI1090" s="467"/>
      <c r="BJ1090" s="468"/>
    </row>
    <row r="1091" spans="1:62">
      <c r="A1091" s="469">
        <v>46082</v>
      </c>
      <c r="B1091" s="469" t="s">
        <v>747</v>
      </c>
      <c r="C1091" s="508"/>
      <c r="D1091" s="470" t="s">
        <v>749</v>
      </c>
      <c r="E1091" s="471">
        <v>2275</v>
      </c>
      <c r="F1091" s="470" t="s">
        <v>1425</v>
      </c>
      <c r="G1091" s="470" t="s">
        <v>812</v>
      </c>
      <c r="H1091" s="470"/>
      <c r="I1091" s="470" t="s">
        <v>1426</v>
      </c>
      <c r="J1091" s="472" t="s">
        <v>1427</v>
      </c>
      <c r="K1091" s="470" t="s">
        <v>1428</v>
      </c>
      <c r="L1091" s="470" t="s">
        <v>824</v>
      </c>
      <c r="M1091" s="470" t="s">
        <v>824</v>
      </c>
      <c r="N1091" s="470" t="s">
        <v>1275</v>
      </c>
      <c r="O1091" s="472" t="s">
        <v>1276</v>
      </c>
      <c r="P1091" s="472" t="s">
        <v>738</v>
      </c>
      <c r="Q1091" s="472" t="s">
        <v>758</v>
      </c>
      <c r="R1091" s="472" t="s">
        <v>12</v>
      </c>
      <c r="S1091" s="472" t="s">
        <v>12</v>
      </c>
      <c r="T1091" s="472" t="s">
        <v>1429</v>
      </c>
      <c r="U1091" s="470" t="s">
        <v>1430</v>
      </c>
      <c r="V1091" s="470" t="s">
        <v>761</v>
      </c>
      <c r="W1091" s="470" t="s">
        <v>1361</v>
      </c>
      <c r="X1091" s="470">
        <v>31</v>
      </c>
      <c r="Y1091" s="470">
        <v>0</v>
      </c>
      <c r="Z1091" s="470">
        <v>2</v>
      </c>
      <c r="AA1091" s="470">
        <v>29</v>
      </c>
      <c r="AB1091" s="470">
        <v>29</v>
      </c>
      <c r="AC1091" s="473">
        <v>44033</v>
      </c>
      <c r="AD1091" s="473">
        <v>44033</v>
      </c>
      <c r="AE1091" s="473">
        <v>18536</v>
      </c>
      <c r="AF1091" s="473">
        <v>7414</v>
      </c>
      <c r="AG1091" s="473">
        <v>1497</v>
      </c>
      <c r="AH1091" s="473">
        <v>187</v>
      </c>
      <c r="AI1091" s="473">
        <v>1169</v>
      </c>
      <c r="AJ1091" s="473">
        <v>1544</v>
      </c>
      <c r="AK1091" s="473">
        <v>3707</v>
      </c>
      <c r="AL1091" s="473">
        <v>2780</v>
      </c>
      <c r="AM1091" s="473">
        <v>185</v>
      </c>
      <c r="AN1091" s="473">
        <v>649</v>
      </c>
      <c r="AO1091" s="473">
        <v>371</v>
      </c>
      <c r="AP1091" s="473">
        <v>93</v>
      </c>
      <c r="AQ1091" s="473">
        <v>1800</v>
      </c>
      <c r="AR1091" s="473">
        <v>1260</v>
      </c>
      <c r="AS1091" s="473">
        <v>0</v>
      </c>
      <c r="AT1091" s="473">
        <v>0</v>
      </c>
      <c r="AU1091" s="473"/>
      <c r="AV1091" s="473">
        <v>41192</v>
      </c>
      <c r="AW1091" s="474">
        <v>41192</v>
      </c>
      <c r="AX1091" s="473">
        <v>0</v>
      </c>
      <c r="AY1091" s="473">
        <v>0</v>
      </c>
      <c r="AZ1091" s="475">
        <v>0</v>
      </c>
      <c r="BA1091" s="475">
        <v>200</v>
      </c>
      <c r="BB1091" s="475">
        <v>1800</v>
      </c>
      <c r="BC1091" s="475">
        <v>0</v>
      </c>
      <c r="BD1091" s="475">
        <v>0</v>
      </c>
      <c r="BE1091" s="475">
        <v>0</v>
      </c>
      <c r="BF1091" s="475">
        <v>0</v>
      </c>
      <c r="BG1091" s="475">
        <v>2000</v>
      </c>
      <c r="BH1091" s="476">
        <v>39192</v>
      </c>
      <c r="BI1091" s="467"/>
      <c r="BJ1091" s="468"/>
    </row>
    <row r="1092" spans="1:62">
      <c r="A1092" s="469">
        <v>46082</v>
      </c>
      <c r="B1092" s="469" t="s">
        <v>747</v>
      </c>
      <c r="C1092" s="508"/>
      <c r="D1092" s="470" t="s">
        <v>749</v>
      </c>
      <c r="E1092" s="471">
        <v>2291</v>
      </c>
      <c r="F1092" s="470" t="s">
        <v>1515</v>
      </c>
      <c r="G1092" s="470" t="s">
        <v>751</v>
      </c>
      <c r="H1092" s="470"/>
      <c r="I1092" s="470" t="s">
        <v>1516</v>
      </c>
      <c r="J1092" s="472" t="s">
        <v>1517</v>
      </c>
      <c r="K1092" s="470" t="s">
        <v>1518</v>
      </c>
      <c r="L1092" s="470" t="s">
        <v>1519</v>
      </c>
      <c r="M1092" s="470" t="s">
        <v>1305</v>
      </c>
      <c r="N1092" s="470" t="s">
        <v>777</v>
      </c>
      <c r="O1092" s="472" t="s">
        <v>757</v>
      </c>
      <c r="P1092" s="472" t="s">
        <v>738</v>
      </c>
      <c r="Q1092" s="472" t="s">
        <v>758</v>
      </c>
      <c r="R1092" s="472" t="s">
        <v>12</v>
      </c>
      <c r="S1092" s="472" t="s">
        <v>12</v>
      </c>
      <c r="T1092" s="472" t="s">
        <v>1520</v>
      </c>
      <c r="U1092" s="470" t="s">
        <v>1521</v>
      </c>
      <c r="V1092" s="470" t="s">
        <v>761</v>
      </c>
      <c r="W1092" s="470" t="s">
        <v>762</v>
      </c>
      <c r="X1092" s="470">
        <v>31</v>
      </c>
      <c r="Y1092" s="470">
        <v>0</v>
      </c>
      <c r="Z1092" s="470">
        <v>0</v>
      </c>
      <c r="AA1092" s="470">
        <v>31</v>
      </c>
      <c r="AB1092" s="470">
        <v>31</v>
      </c>
      <c r="AC1092" s="473">
        <v>85700</v>
      </c>
      <c r="AD1092" s="473">
        <v>85700</v>
      </c>
      <c r="AE1092" s="473">
        <v>38565</v>
      </c>
      <c r="AF1092" s="473">
        <v>15426</v>
      </c>
      <c r="AG1092" s="473">
        <v>1600</v>
      </c>
      <c r="AH1092" s="473">
        <v>200</v>
      </c>
      <c r="AI1092" s="473">
        <v>1250</v>
      </c>
      <c r="AJ1092" s="473">
        <v>3212</v>
      </c>
      <c r="AK1092" s="473">
        <v>7713</v>
      </c>
      <c r="AL1092" s="473">
        <v>5785</v>
      </c>
      <c r="AM1092" s="473">
        <v>386</v>
      </c>
      <c r="AN1092" s="473">
        <v>1350</v>
      </c>
      <c r="AO1092" s="473">
        <v>771</v>
      </c>
      <c r="AP1092" s="473">
        <v>193</v>
      </c>
      <c r="AQ1092" s="473">
        <v>1800</v>
      </c>
      <c r="AR1092" s="473">
        <v>7449</v>
      </c>
      <c r="AS1092" s="473">
        <v>0</v>
      </c>
      <c r="AT1092" s="473">
        <v>0</v>
      </c>
      <c r="AU1092" s="473"/>
      <c r="AV1092" s="473">
        <v>85700</v>
      </c>
      <c r="AW1092" s="474">
        <v>85700</v>
      </c>
      <c r="AX1092" s="473">
        <v>0</v>
      </c>
      <c r="AY1092" s="473">
        <v>0</v>
      </c>
      <c r="AZ1092" s="475">
        <v>0</v>
      </c>
      <c r="BA1092" s="475">
        <v>200</v>
      </c>
      <c r="BB1092" s="475">
        <v>1800</v>
      </c>
      <c r="BC1092" s="475">
        <v>0</v>
      </c>
      <c r="BD1092" s="475">
        <v>0</v>
      </c>
      <c r="BE1092" s="475">
        <v>0</v>
      </c>
      <c r="BF1092" s="475">
        <v>0</v>
      </c>
      <c r="BG1092" s="475">
        <v>2000</v>
      </c>
      <c r="BH1092" s="476">
        <v>83700</v>
      </c>
      <c r="BI1092" s="467"/>
      <c r="BJ1092" s="468"/>
    </row>
    <row r="1093" spans="1:62">
      <c r="A1093" s="469">
        <v>46082</v>
      </c>
      <c r="B1093" s="469" t="s">
        <v>747</v>
      </c>
      <c r="C1093" s="508"/>
      <c r="D1093" s="470" t="s">
        <v>749</v>
      </c>
      <c r="E1093" s="471">
        <v>2271</v>
      </c>
      <c r="F1093" s="470" t="s">
        <v>1431</v>
      </c>
      <c r="G1093" s="470" t="s">
        <v>751</v>
      </c>
      <c r="H1093" s="470"/>
      <c r="I1093" s="470" t="s">
        <v>1426</v>
      </c>
      <c r="J1093" s="472" t="s">
        <v>1432</v>
      </c>
      <c r="K1093" s="470" t="s">
        <v>1433</v>
      </c>
      <c r="L1093" s="470" t="s">
        <v>824</v>
      </c>
      <c r="M1093" s="470" t="s">
        <v>824</v>
      </c>
      <c r="N1093" s="470" t="s">
        <v>1275</v>
      </c>
      <c r="O1093" s="472" t="s">
        <v>1276</v>
      </c>
      <c r="P1093" s="472" t="s">
        <v>738</v>
      </c>
      <c r="Q1093" s="472" t="s">
        <v>758</v>
      </c>
      <c r="R1093" s="472" t="s">
        <v>12</v>
      </c>
      <c r="S1093" s="472" t="s">
        <v>12</v>
      </c>
      <c r="T1093" s="472" t="s">
        <v>1434</v>
      </c>
      <c r="U1093" s="470" t="s">
        <v>1435</v>
      </c>
      <c r="V1093" s="470" t="s">
        <v>761</v>
      </c>
      <c r="W1093" s="470" t="s">
        <v>1361</v>
      </c>
      <c r="X1093" s="470">
        <v>31</v>
      </c>
      <c r="Y1093" s="470">
        <v>0</v>
      </c>
      <c r="Z1093" s="470">
        <v>0</v>
      </c>
      <c r="AA1093" s="470">
        <v>31</v>
      </c>
      <c r="AB1093" s="470">
        <v>31</v>
      </c>
      <c r="AC1093" s="473">
        <v>44033</v>
      </c>
      <c r="AD1093" s="473">
        <v>44033</v>
      </c>
      <c r="AE1093" s="473">
        <v>19815</v>
      </c>
      <c r="AF1093" s="473">
        <v>7926</v>
      </c>
      <c r="AG1093" s="473">
        <v>1600</v>
      </c>
      <c r="AH1093" s="473">
        <v>200</v>
      </c>
      <c r="AI1093" s="473">
        <v>1250</v>
      </c>
      <c r="AJ1093" s="473">
        <v>1651</v>
      </c>
      <c r="AK1093" s="473">
        <v>3963</v>
      </c>
      <c r="AL1093" s="473">
        <v>2972</v>
      </c>
      <c r="AM1093" s="473">
        <v>198</v>
      </c>
      <c r="AN1093" s="473">
        <v>694</v>
      </c>
      <c r="AO1093" s="473">
        <v>396</v>
      </c>
      <c r="AP1093" s="473">
        <v>99</v>
      </c>
      <c r="AQ1093" s="473">
        <v>1800</v>
      </c>
      <c r="AR1093" s="473">
        <v>1469</v>
      </c>
      <c r="AS1093" s="473">
        <v>0</v>
      </c>
      <c r="AT1093" s="473">
        <v>0</v>
      </c>
      <c r="AU1093" s="473">
        <v>1913</v>
      </c>
      <c r="AV1093" s="473">
        <v>45946</v>
      </c>
      <c r="AW1093" s="474">
        <v>44033</v>
      </c>
      <c r="AX1093" s="473">
        <v>0</v>
      </c>
      <c r="AY1093" s="473">
        <v>0</v>
      </c>
      <c r="AZ1093" s="475">
        <v>0</v>
      </c>
      <c r="BA1093" s="475">
        <v>200</v>
      </c>
      <c r="BB1093" s="475">
        <v>1800</v>
      </c>
      <c r="BC1093" s="475">
        <v>0</v>
      </c>
      <c r="BD1093" s="475">
        <v>0</v>
      </c>
      <c r="BE1093" s="475">
        <v>0</v>
      </c>
      <c r="BF1093" s="475">
        <v>0</v>
      </c>
      <c r="BG1093" s="475">
        <v>2000</v>
      </c>
      <c r="BH1093" s="476">
        <v>43946</v>
      </c>
      <c r="BI1093" s="467"/>
      <c r="BJ1093" s="468"/>
    </row>
    <row r="1094" spans="1:62">
      <c r="A1094" s="469">
        <v>46082</v>
      </c>
      <c r="B1094" s="469" t="s">
        <v>747</v>
      </c>
      <c r="C1094" s="508"/>
      <c r="D1094" s="470" t="s">
        <v>749</v>
      </c>
      <c r="E1094" s="471">
        <v>2247</v>
      </c>
      <c r="F1094" s="470" t="s">
        <v>1388</v>
      </c>
      <c r="G1094" s="470" t="s">
        <v>751</v>
      </c>
      <c r="H1094" s="470"/>
      <c r="I1094" s="470" t="s">
        <v>1389</v>
      </c>
      <c r="J1094" s="472" t="s">
        <v>1390</v>
      </c>
      <c r="K1094" s="470" t="s">
        <v>1391</v>
      </c>
      <c r="L1094" s="470" t="s">
        <v>1293</v>
      </c>
      <c r="M1094" s="470" t="s">
        <v>1293</v>
      </c>
      <c r="N1094" s="470" t="s">
        <v>756</v>
      </c>
      <c r="O1094" s="472" t="s">
        <v>757</v>
      </c>
      <c r="P1094" s="472" t="s">
        <v>738</v>
      </c>
      <c r="Q1094" s="472" t="s">
        <v>758</v>
      </c>
      <c r="R1094" s="472" t="s">
        <v>12</v>
      </c>
      <c r="S1094" s="472" t="s">
        <v>12</v>
      </c>
      <c r="T1094" s="472" t="s">
        <v>1392</v>
      </c>
      <c r="U1094" s="470" t="s">
        <v>1393</v>
      </c>
      <c r="V1094" s="470" t="s">
        <v>761</v>
      </c>
      <c r="W1094" s="470" t="s">
        <v>1394</v>
      </c>
      <c r="X1094" s="470">
        <v>31</v>
      </c>
      <c r="Y1094" s="470">
        <v>0</v>
      </c>
      <c r="Z1094" s="470">
        <v>2</v>
      </c>
      <c r="AA1094" s="470">
        <v>29</v>
      </c>
      <c r="AB1094" s="470">
        <v>29</v>
      </c>
      <c r="AC1094" s="473">
        <v>88200</v>
      </c>
      <c r="AD1094" s="473">
        <v>88200</v>
      </c>
      <c r="AE1094" s="473">
        <v>37130</v>
      </c>
      <c r="AF1094" s="473">
        <v>14852</v>
      </c>
      <c r="AG1094" s="473">
        <v>1497</v>
      </c>
      <c r="AH1094" s="473">
        <v>187</v>
      </c>
      <c r="AI1094" s="473">
        <v>1169</v>
      </c>
      <c r="AJ1094" s="473">
        <v>3093</v>
      </c>
      <c r="AK1094" s="473">
        <v>7426</v>
      </c>
      <c r="AL1094" s="473">
        <v>5570</v>
      </c>
      <c r="AM1094" s="473">
        <v>371</v>
      </c>
      <c r="AN1094" s="473">
        <v>1300</v>
      </c>
      <c r="AO1094" s="473">
        <v>743</v>
      </c>
      <c r="AP1094" s="473">
        <v>186</v>
      </c>
      <c r="AQ1094" s="473">
        <v>1800</v>
      </c>
      <c r="AR1094" s="473">
        <v>7186</v>
      </c>
      <c r="AS1094" s="473">
        <v>0</v>
      </c>
      <c r="AT1094" s="473">
        <v>0</v>
      </c>
      <c r="AU1094" s="473"/>
      <c r="AV1094" s="473">
        <v>82510</v>
      </c>
      <c r="AW1094" s="474">
        <v>82510</v>
      </c>
      <c r="AX1094" s="473">
        <v>0</v>
      </c>
      <c r="AY1094" s="473">
        <v>0</v>
      </c>
      <c r="AZ1094" s="475">
        <v>0</v>
      </c>
      <c r="BA1094" s="475">
        <v>200</v>
      </c>
      <c r="BB1094" s="475">
        <v>1800</v>
      </c>
      <c r="BC1094" s="475">
        <v>0</v>
      </c>
      <c r="BD1094" s="475">
        <v>0</v>
      </c>
      <c r="BE1094" s="475">
        <v>0</v>
      </c>
      <c r="BF1094" s="475">
        <v>0</v>
      </c>
      <c r="BG1094" s="475">
        <v>2000</v>
      </c>
      <c r="BH1094" s="476">
        <v>80510</v>
      </c>
      <c r="BI1094" s="467"/>
      <c r="BJ1094" s="468"/>
    </row>
    <row r="1095" spans="1:62">
      <c r="A1095" s="469">
        <v>46082</v>
      </c>
      <c r="B1095" s="469" t="s">
        <v>747</v>
      </c>
      <c r="C1095" s="508"/>
      <c r="D1095" s="470" t="s">
        <v>749</v>
      </c>
      <c r="E1095" s="471">
        <v>1599</v>
      </c>
      <c r="F1095" s="470" t="s">
        <v>820</v>
      </c>
      <c r="G1095" s="470" t="s">
        <v>751</v>
      </c>
      <c r="H1095" s="470"/>
      <c r="I1095" s="470" t="s">
        <v>821</v>
      </c>
      <c r="J1095" s="472" t="s">
        <v>822</v>
      </c>
      <c r="K1095" s="470" t="s">
        <v>823</v>
      </c>
      <c r="L1095" s="470" t="s">
        <v>1345</v>
      </c>
      <c r="M1095" s="470" t="s">
        <v>1345</v>
      </c>
      <c r="N1095" s="470" t="s">
        <v>1275</v>
      </c>
      <c r="O1095" s="472" t="s">
        <v>757</v>
      </c>
      <c r="P1095" s="472" t="s">
        <v>738</v>
      </c>
      <c r="Q1095" s="472" t="s">
        <v>758</v>
      </c>
      <c r="R1095" s="472" t="s">
        <v>12</v>
      </c>
      <c r="S1095" s="472" t="s">
        <v>12</v>
      </c>
      <c r="T1095" s="472" t="s">
        <v>825</v>
      </c>
      <c r="U1095" s="470" t="s">
        <v>826</v>
      </c>
      <c r="V1095" s="470" t="s">
        <v>761</v>
      </c>
      <c r="W1095" s="470" t="s">
        <v>827</v>
      </c>
      <c r="X1095" s="470">
        <v>31</v>
      </c>
      <c r="Y1095" s="470">
        <v>0</v>
      </c>
      <c r="Z1095" s="470">
        <v>0</v>
      </c>
      <c r="AA1095" s="470">
        <v>31</v>
      </c>
      <c r="AB1095" s="470">
        <v>31</v>
      </c>
      <c r="AC1095" s="473">
        <v>51640</v>
      </c>
      <c r="AD1095" s="473">
        <v>51640</v>
      </c>
      <c r="AE1095" s="473">
        <v>23238</v>
      </c>
      <c r="AF1095" s="473">
        <v>9295</v>
      </c>
      <c r="AG1095" s="473">
        <v>1600</v>
      </c>
      <c r="AH1095" s="473">
        <v>200</v>
      </c>
      <c r="AI1095" s="473">
        <v>1250</v>
      </c>
      <c r="AJ1095" s="473">
        <v>1936</v>
      </c>
      <c r="AK1095" s="473">
        <v>4648</v>
      </c>
      <c r="AL1095" s="473">
        <v>3486</v>
      </c>
      <c r="AM1095" s="473">
        <v>232</v>
      </c>
      <c r="AN1095" s="473">
        <v>813</v>
      </c>
      <c r="AO1095" s="473">
        <v>465</v>
      </c>
      <c r="AP1095" s="473">
        <v>116</v>
      </c>
      <c r="AQ1095" s="473">
        <v>1800</v>
      </c>
      <c r="AR1095" s="473">
        <v>2561</v>
      </c>
      <c r="AS1095" s="473">
        <v>0</v>
      </c>
      <c r="AT1095" s="473">
        <v>0</v>
      </c>
      <c r="AU1095" s="473">
        <v>2787</v>
      </c>
      <c r="AV1095" s="473">
        <v>54427</v>
      </c>
      <c r="AW1095" s="474">
        <v>51640</v>
      </c>
      <c r="AX1095" s="473">
        <v>0</v>
      </c>
      <c r="AY1095" s="473">
        <v>0</v>
      </c>
      <c r="AZ1095" s="475">
        <v>0</v>
      </c>
      <c r="BA1095" s="475">
        <v>200</v>
      </c>
      <c r="BB1095" s="475">
        <v>1800</v>
      </c>
      <c r="BC1095" s="475">
        <v>0</v>
      </c>
      <c r="BD1095" s="475">
        <v>0</v>
      </c>
      <c r="BE1095" s="475">
        <v>0</v>
      </c>
      <c r="BF1095" s="475">
        <v>0</v>
      </c>
      <c r="BG1095" s="475">
        <v>2000</v>
      </c>
      <c r="BH1095" s="476">
        <v>52427</v>
      </c>
      <c r="BI1095" s="467"/>
      <c r="BJ1095" s="468"/>
    </row>
    <row r="1096" spans="1:62">
      <c r="A1096" s="469">
        <v>46082</v>
      </c>
      <c r="B1096" s="469" t="s">
        <v>747</v>
      </c>
      <c r="C1096" s="508"/>
      <c r="D1096" s="470" t="s">
        <v>749</v>
      </c>
      <c r="E1096" s="471">
        <v>1180</v>
      </c>
      <c r="F1096" s="470" t="s">
        <v>828</v>
      </c>
      <c r="G1096" s="470" t="s">
        <v>751</v>
      </c>
      <c r="H1096" s="470"/>
      <c r="I1096" s="470" t="s">
        <v>829</v>
      </c>
      <c r="J1096" s="472" t="s">
        <v>830</v>
      </c>
      <c r="K1096" s="470" t="s">
        <v>831</v>
      </c>
      <c r="L1096" s="470" t="s">
        <v>832</v>
      </c>
      <c r="M1096" s="470" t="s">
        <v>832</v>
      </c>
      <c r="N1096" s="470" t="s">
        <v>833</v>
      </c>
      <c r="O1096" s="472" t="s">
        <v>757</v>
      </c>
      <c r="P1096" s="472" t="s">
        <v>738</v>
      </c>
      <c r="Q1096" s="472" t="s">
        <v>758</v>
      </c>
      <c r="R1096" s="472" t="s">
        <v>12</v>
      </c>
      <c r="S1096" s="472" t="s">
        <v>12</v>
      </c>
      <c r="T1096" s="472" t="s">
        <v>834</v>
      </c>
      <c r="U1096" s="470" t="s">
        <v>835</v>
      </c>
      <c r="V1096" s="470" t="s">
        <v>836</v>
      </c>
      <c r="W1096" s="470" t="s">
        <v>837</v>
      </c>
      <c r="X1096" s="470">
        <v>31</v>
      </c>
      <c r="Y1096" s="470">
        <v>0</v>
      </c>
      <c r="Z1096" s="470">
        <v>0</v>
      </c>
      <c r="AA1096" s="470">
        <v>31</v>
      </c>
      <c r="AB1096" s="470">
        <v>31</v>
      </c>
      <c r="AC1096" s="473">
        <v>28042</v>
      </c>
      <c r="AD1096" s="473">
        <v>28042</v>
      </c>
      <c r="AE1096" s="473">
        <v>12619</v>
      </c>
      <c r="AF1096" s="473">
        <v>5048</v>
      </c>
      <c r="AG1096" s="473">
        <v>1600</v>
      </c>
      <c r="AH1096" s="473">
        <v>200</v>
      </c>
      <c r="AI1096" s="473">
        <v>1250</v>
      </c>
      <c r="AJ1096" s="473">
        <v>0</v>
      </c>
      <c r="AK1096" s="473">
        <v>0</v>
      </c>
      <c r="AL1096" s="473">
        <v>0</v>
      </c>
      <c r="AM1096" s="473">
        <v>0</v>
      </c>
      <c r="AN1096" s="473">
        <v>0</v>
      </c>
      <c r="AO1096" s="473">
        <v>0</v>
      </c>
      <c r="AP1096" s="473">
        <v>0</v>
      </c>
      <c r="AQ1096" s="473">
        <v>1514</v>
      </c>
      <c r="AR1096" s="473">
        <v>5811</v>
      </c>
      <c r="AS1096" s="473">
        <v>0</v>
      </c>
      <c r="AT1096" s="473">
        <v>0</v>
      </c>
      <c r="AU1096" s="473">
        <v>2858</v>
      </c>
      <c r="AV1096" s="473">
        <v>30900</v>
      </c>
      <c r="AW1096" s="474">
        <v>28042</v>
      </c>
      <c r="AX1096" s="473">
        <v>0</v>
      </c>
      <c r="AY1096" s="473">
        <v>0</v>
      </c>
      <c r="AZ1096" s="475">
        <v>0</v>
      </c>
      <c r="BA1096" s="475">
        <v>200</v>
      </c>
      <c r="BB1096" s="475">
        <v>1514</v>
      </c>
      <c r="BC1096" s="475">
        <v>0</v>
      </c>
      <c r="BD1096" s="475">
        <v>0</v>
      </c>
      <c r="BE1096" s="475">
        <v>0</v>
      </c>
      <c r="BF1096" s="475">
        <v>0</v>
      </c>
      <c r="BG1096" s="475">
        <v>1714</v>
      </c>
      <c r="BH1096" s="476">
        <v>29186</v>
      </c>
      <c r="BI1096" s="467"/>
      <c r="BJ1096" s="468"/>
    </row>
    <row r="1097" spans="1:62">
      <c r="A1097" s="469">
        <v>46082</v>
      </c>
      <c r="B1097" s="469" t="s">
        <v>747</v>
      </c>
      <c r="C1097" s="508"/>
      <c r="D1097" s="470" t="s">
        <v>749</v>
      </c>
      <c r="E1097" s="471">
        <v>48</v>
      </c>
      <c r="F1097" s="470" t="s">
        <v>838</v>
      </c>
      <c r="G1097" s="470" t="s">
        <v>751</v>
      </c>
      <c r="H1097" s="470"/>
      <c r="I1097" s="470" t="s">
        <v>839</v>
      </c>
      <c r="J1097" s="472" t="s">
        <v>840</v>
      </c>
      <c r="K1097" s="470" t="s">
        <v>841</v>
      </c>
      <c r="L1097" s="470" t="s">
        <v>842</v>
      </c>
      <c r="M1097" s="470" t="s">
        <v>842</v>
      </c>
      <c r="N1097" s="470" t="s">
        <v>1275</v>
      </c>
      <c r="O1097" s="472" t="s">
        <v>792</v>
      </c>
      <c r="P1097" s="472" t="s">
        <v>738</v>
      </c>
      <c r="Q1097" s="472" t="s">
        <v>758</v>
      </c>
      <c r="R1097" s="472" t="s">
        <v>12</v>
      </c>
      <c r="S1097" s="472" t="s">
        <v>12</v>
      </c>
      <c r="T1097" s="472" t="s">
        <v>843</v>
      </c>
      <c r="U1097" s="470" t="s">
        <v>844</v>
      </c>
      <c r="V1097" s="470" t="s">
        <v>761</v>
      </c>
      <c r="W1097" s="470" t="s">
        <v>845</v>
      </c>
      <c r="X1097" s="470">
        <v>31</v>
      </c>
      <c r="Y1097" s="470">
        <v>0</v>
      </c>
      <c r="Z1097" s="470">
        <v>0</v>
      </c>
      <c r="AA1097" s="470">
        <v>31</v>
      </c>
      <c r="AB1097" s="470">
        <v>31</v>
      </c>
      <c r="AC1097" s="473">
        <v>107967</v>
      </c>
      <c r="AD1097" s="473">
        <v>107967</v>
      </c>
      <c r="AE1097" s="473">
        <v>48585</v>
      </c>
      <c r="AF1097" s="473">
        <v>19434</v>
      </c>
      <c r="AG1097" s="473">
        <v>1600</v>
      </c>
      <c r="AH1097" s="473">
        <v>200</v>
      </c>
      <c r="AI1097" s="473">
        <v>1250</v>
      </c>
      <c r="AJ1097" s="473">
        <v>4047</v>
      </c>
      <c r="AK1097" s="473">
        <v>9717</v>
      </c>
      <c r="AL1097" s="473">
        <v>7288</v>
      </c>
      <c r="AM1097" s="473">
        <v>486</v>
      </c>
      <c r="AN1097" s="473">
        <v>1700</v>
      </c>
      <c r="AO1097" s="473">
        <v>972</v>
      </c>
      <c r="AP1097" s="473">
        <v>243</v>
      </c>
      <c r="AQ1097" s="473">
        <v>1800</v>
      </c>
      <c r="AR1097" s="473">
        <v>10645</v>
      </c>
      <c r="AS1097" s="473">
        <v>0</v>
      </c>
      <c r="AT1097" s="473">
        <v>0</v>
      </c>
      <c r="AU1097" s="473"/>
      <c r="AV1097" s="473">
        <v>107967</v>
      </c>
      <c r="AW1097" s="474">
        <v>107967</v>
      </c>
      <c r="AX1097" s="473">
        <v>0</v>
      </c>
      <c r="AY1097" s="473">
        <v>0</v>
      </c>
      <c r="AZ1097" s="475">
        <v>16855</v>
      </c>
      <c r="BA1097" s="475">
        <v>200</v>
      </c>
      <c r="BB1097" s="475">
        <v>1800</v>
      </c>
      <c r="BC1097" s="475">
        <v>0</v>
      </c>
      <c r="BD1097" s="475">
        <v>0</v>
      </c>
      <c r="BE1097" s="475">
        <v>0</v>
      </c>
      <c r="BF1097" s="475">
        <v>15000</v>
      </c>
      <c r="BG1097" s="475">
        <v>33855</v>
      </c>
      <c r="BH1097" s="476">
        <v>74112</v>
      </c>
      <c r="BI1097" s="467"/>
      <c r="BJ1097" s="468"/>
    </row>
    <row r="1098" spans="1:62">
      <c r="A1098" s="469">
        <v>46082</v>
      </c>
      <c r="B1098" s="469" t="s">
        <v>747</v>
      </c>
      <c r="C1098" s="508"/>
      <c r="D1098" s="470" t="s">
        <v>749</v>
      </c>
      <c r="E1098" s="471">
        <v>2246</v>
      </c>
      <c r="F1098" s="470" t="s">
        <v>1395</v>
      </c>
      <c r="G1098" s="470" t="s">
        <v>751</v>
      </c>
      <c r="H1098" s="470"/>
      <c r="I1098" s="470" t="s">
        <v>1396</v>
      </c>
      <c r="J1098" s="472" t="s">
        <v>1397</v>
      </c>
      <c r="K1098" s="470" t="s">
        <v>1398</v>
      </c>
      <c r="L1098" s="470" t="s">
        <v>1399</v>
      </c>
      <c r="M1098" s="470" t="s">
        <v>1292</v>
      </c>
      <c r="N1098" s="470" t="s">
        <v>756</v>
      </c>
      <c r="O1098" s="472" t="s">
        <v>792</v>
      </c>
      <c r="P1098" s="472" t="s">
        <v>738</v>
      </c>
      <c r="Q1098" s="472" t="s">
        <v>758</v>
      </c>
      <c r="R1098" s="472" t="s">
        <v>12</v>
      </c>
      <c r="S1098" s="472" t="s">
        <v>12</v>
      </c>
      <c r="T1098" s="472" t="s">
        <v>1400</v>
      </c>
      <c r="U1098" s="470" t="s">
        <v>1401</v>
      </c>
      <c r="V1098" s="470" t="s">
        <v>761</v>
      </c>
      <c r="W1098" s="470" t="s">
        <v>1387</v>
      </c>
      <c r="X1098" s="470">
        <v>31</v>
      </c>
      <c r="Y1098" s="470">
        <v>0</v>
      </c>
      <c r="Z1098" s="470">
        <v>3</v>
      </c>
      <c r="AA1098" s="470">
        <v>28</v>
      </c>
      <c r="AB1098" s="470">
        <v>28</v>
      </c>
      <c r="AC1098" s="473">
        <v>123200</v>
      </c>
      <c r="AD1098" s="473">
        <v>123200</v>
      </c>
      <c r="AE1098" s="473">
        <v>50075</v>
      </c>
      <c r="AF1098" s="473">
        <v>20030</v>
      </c>
      <c r="AG1098" s="473">
        <v>1445</v>
      </c>
      <c r="AH1098" s="473">
        <v>181</v>
      </c>
      <c r="AI1098" s="473">
        <v>1129</v>
      </c>
      <c r="AJ1098" s="473">
        <v>4171</v>
      </c>
      <c r="AK1098" s="473">
        <v>10015</v>
      </c>
      <c r="AL1098" s="473">
        <v>7511</v>
      </c>
      <c r="AM1098" s="473">
        <v>501</v>
      </c>
      <c r="AN1098" s="473">
        <v>1753</v>
      </c>
      <c r="AO1098" s="473">
        <v>1002</v>
      </c>
      <c r="AP1098" s="473">
        <v>250</v>
      </c>
      <c r="AQ1098" s="473">
        <v>1800</v>
      </c>
      <c r="AR1098" s="473">
        <v>11414</v>
      </c>
      <c r="AS1098" s="473">
        <v>0</v>
      </c>
      <c r="AT1098" s="473">
        <v>13200</v>
      </c>
      <c r="AU1098" s="473"/>
      <c r="AV1098" s="473">
        <v>124477</v>
      </c>
      <c r="AW1098" s="474">
        <v>124477</v>
      </c>
      <c r="AX1098" s="473">
        <v>0</v>
      </c>
      <c r="AY1098" s="473">
        <v>0</v>
      </c>
      <c r="AZ1098" s="475">
        <v>0</v>
      </c>
      <c r="BA1098" s="475">
        <v>200</v>
      </c>
      <c r="BB1098" s="475">
        <v>1800</v>
      </c>
      <c r="BC1098" s="475">
        <v>0</v>
      </c>
      <c r="BD1098" s="475">
        <v>0</v>
      </c>
      <c r="BE1098" s="475">
        <v>0</v>
      </c>
      <c r="BF1098" s="475">
        <v>0</v>
      </c>
      <c r="BG1098" s="475">
        <v>2000</v>
      </c>
      <c r="BH1098" s="476">
        <v>122477</v>
      </c>
      <c r="BI1098" s="467"/>
      <c r="BJ1098" s="468"/>
    </row>
    <row r="1099" spans="1:62">
      <c r="A1099" s="469">
        <v>46082</v>
      </c>
      <c r="B1099" s="469" t="s">
        <v>747</v>
      </c>
      <c r="C1099" s="508"/>
      <c r="D1099" s="470" t="s">
        <v>749</v>
      </c>
      <c r="E1099" s="471">
        <v>2276</v>
      </c>
      <c r="F1099" s="470" t="s">
        <v>1436</v>
      </c>
      <c r="G1099" s="470" t="s">
        <v>812</v>
      </c>
      <c r="H1099" s="470"/>
      <c r="I1099" s="470" t="s">
        <v>1426</v>
      </c>
      <c r="J1099" s="472" t="s">
        <v>1437</v>
      </c>
      <c r="K1099" s="470" t="s">
        <v>1438</v>
      </c>
      <c r="L1099" s="470" t="s">
        <v>824</v>
      </c>
      <c r="M1099" s="470" t="s">
        <v>824</v>
      </c>
      <c r="N1099" s="470" t="s">
        <v>1275</v>
      </c>
      <c r="O1099" s="472" t="s">
        <v>1276</v>
      </c>
      <c r="P1099" s="472" t="s">
        <v>738</v>
      </c>
      <c r="Q1099" s="472" t="s">
        <v>758</v>
      </c>
      <c r="R1099" s="472" t="s">
        <v>12</v>
      </c>
      <c r="S1099" s="472" t="s">
        <v>12</v>
      </c>
      <c r="T1099" s="472" t="s">
        <v>1439</v>
      </c>
      <c r="U1099" s="470" t="s">
        <v>1440</v>
      </c>
      <c r="V1099" s="470" t="s">
        <v>761</v>
      </c>
      <c r="W1099" s="470" t="s">
        <v>1361</v>
      </c>
      <c r="X1099" s="470">
        <v>31</v>
      </c>
      <c r="Y1099" s="470">
        <v>0</v>
      </c>
      <c r="Z1099" s="470">
        <v>1.5</v>
      </c>
      <c r="AA1099" s="470">
        <v>29.5</v>
      </c>
      <c r="AB1099" s="470">
        <v>29.5</v>
      </c>
      <c r="AC1099" s="473">
        <v>44033</v>
      </c>
      <c r="AD1099" s="473">
        <v>44033</v>
      </c>
      <c r="AE1099" s="473">
        <v>18856</v>
      </c>
      <c r="AF1099" s="473">
        <v>7542</v>
      </c>
      <c r="AG1099" s="473">
        <v>1523</v>
      </c>
      <c r="AH1099" s="473">
        <v>190</v>
      </c>
      <c r="AI1099" s="473">
        <v>1190</v>
      </c>
      <c r="AJ1099" s="473">
        <v>1571</v>
      </c>
      <c r="AK1099" s="473">
        <v>3771</v>
      </c>
      <c r="AL1099" s="473">
        <v>2828</v>
      </c>
      <c r="AM1099" s="473">
        <v>189</v>
      </c>
      <c r="AN1099" s="473">
        <v>660</v>
      </c>
      <c r="AO1099" s="473">
        <v>377</v>
      </c>
      <c r="AP1099" s="473">
        <v>94</v>
      </c>
      <c r="AQ1099" s="473">
        <v>1800</v>
      </c>
      <c r="AR1099" s="473">
        <v>1311</v>
      </c>
      <c r="AS1099" s="473">
        <v>0</v>
      </c>
      <c r="AT1099" s="473">
        <v>0</v>
      </c>
      <c r="AU1099" s="473"/>
      <c r="AV1099" s="473">
        <v>41902</v>
      </c>
      <c r="AW1099" s="474">
        <v>41902</v>
      </c>
      <c r="AX1099" s="473">
        <v>0</v>
      </c>
      <c r="AY1099" s="473">
        <v>0</v>
      </c>
      <c r="AZ1099" s="475">
        <v>0</v>
      </c>
      <c r="BA1099" s="475">
        <v>200</v>
      </c>
      <c r="BB1099" s="475">
        <v>1800</v>
      </c>
      <c r="BC1099" s="475">
        <v>0</v>
      </c>
      <c r="BD1099" s="475">
        <v>0</v>
      </c>
      <c r="BE1099" s="475">
        <v>0</v>
      </c>
      <c r="BF1099" s="475">
        <v>0</v>
      </c>
      <c r="BG1099" s="475">
        <v>2000</v>
      </c>
      <c r="BH1099" s="476">
        <v>39902</v>
      </c>
      <c r="BI1099" s="467"/>
      <c r="BJ1099" s="468"/>
    </row>
    <row r="1100" spans="1:62">
      <c r="A1100" s="469">
        <v>46082</v>
      </c>
      <c r="B1100" s="469" t="s">
        <v>747</v>
      </c>
      <c r="C1100" s="508"/>
      <c r="D1100" s="470" t="s">
        <v>749</v>
      </c>
      <c r="E1100" s="471">
        <v>2017</v>
      </c>
      <c r="F1100" s="470" t="s">
        <v>846</v>
      </c>
      <c r="G1100" s="470" t="s">
        <v>751</v>
      </c>
      <c r="H1100" s="470"/>
      <c r="I1100" s="470" t="s">
        <v>847</v>
      </c>
      <c r="J1100" s="472" t="s">
        <v>848</v>
      </c>
      <c r="K1100" s="470" t="s">
        <v>849</v>
      </c>
      <c r="L1100" s="470" t="s">
        <v>1345</v>
      </c>
      <c r="M1100" s="470" t="s">
        <v>1345</v>
      </c>
      <c r="N1100" s="470" t="s">
        <v>1275</v>
      </c>
      <c r="O1100" s="472" t="s">
        <v>757</v>
      </c>
      <c r="P1100" s="472" t="s">
        <v>738</v>
      </c>
      <c r="Q1100" s="472" t="s">
        <v>758</v>
      </c>
      <c r="R1100" s="472" t="s">
        <v>12</v>
      </c>
      <c r="S1100" s="472" t="s">
        <v>12</v>
      </c>
      <c r="T1100" s="472" t="s">
        <v>850</v>
      </c>
      <c r="U1100" s="470" t="s">
        <v>851</v>
      </c>
      <c r="V1100" s="470" t="s">
        <v>761</v>
      </c>
      <c r="W1100" s="470" t="s">
        <v>762</v>
      </c>
      <c r="X1100" s="470">
        <v>31</v>
      </c>
      <c r="Y1100" s="470">
        <v>0</v>
      </c>
      <c r="Z1100" s="470">
        <v>0</v>
      </c>
      <c r="AA1100" s="470">
        <v>31</v>
      </c>
      <c r="AB1100" s="470">
        <v>31</v>
      </c>
      <c r="AC1100" s="473">
        <v>56533</v>
      </c>
      <c r="AD1100" s="473">
        <v>56533</v>
      </c>
      <c r="AE1100" s="473">
        <v>25440</v>
      </c>
      <c r="AF1100" s="473">
        <v>10176</v>
      </c>
      <c r="AG1100" s="473">
        <v>1600</v>
      </c>
      <c r="AH1100" s="473">
        <v>200</v>
      </c>
      <c r="AI1100" s="473">
        <v>1250</v>
      </c>
      <c r="AJ1100" s="473">
        <v>2119</v>
      </c>
      <c r="AK1100" s="473">
        <v>5088</v>
      </c>
      <c r="AL1100" s="473">
        <v>3816</v>
      </c>
      <c r="AM1100" s="473">
        <v>254</v>
      </c>
      <c r="AN1100" s="473">
        <v>890</v>
      </c>
      <c r="AO1100" s="473">
        <v>509</v>
      </c>
      <c r="AP1100" s="473">
        <v>127</v>
      </c>
      <c r="AQ1100" s="473">
        <v>1800</v>
      </c>
      <c r="AR1100" s="473">
        <v>3264</v>
      </c>
      <c r="AS1100" s="473">
        <v>0</v>
      </c>
      <c r="AT1100" s="473">
        <v>0</v>
      </c>
      <c r="AU1100" s="473">
        <v>399</v>
      </c>
      <c r="AV1100" s="473">
        <v>56932</v>
      </c>
      <c r="AW1100" s="474">
        <v>56533</v>
      </c>
      <c r="AX1100" s="473">
        <v>0</v>
      </c>
      <c r="AY1100" s="473">
        <v>0</v>
      </c>
      <c r="AZ1100" s="475">
        <v>0</v>
      </c>
      <c r="BA1100" s="475">
        <v>200</v>
      </c>
      <c r="BB1100" s="475">
        <v>1800</v>
      </c>
      <c r="BC1100" s="475">
        <v>0</v>
      </c>
      <c r="BD1100" s="475">
        <v>0</v>
      </c>
      <c r="BE1100" s="475">
        <v>0</v>
      </c>
      <c r="BF1100" s="475">
        <v>0</v>
      </c>
      <c r="BG1100" s="475">
        <v>2000</v>
      </c>
      <c r="BH1100" s="476">
        <v>54932</v>
      </c>
      <c r="BI1100" s="467"/>
      <c r="BJ1100" s="468"/>
    </row>
    <row r="1101" spans="1:62">
      <c r="A1101" s="469">
        <v>46082</v>
      </c>
      <c r="B1101" s="469" t="s">
        <v>747</v>
      </c>
      <c r="C1101" s="508"/>
      <c r="D1101" s="470" t="s">
        <v>749</v>
      </c>
      <c r="E1101" s="471">
        <v>2186</v>
      </c>
      <c r="F1101" s="470" t="s">
        <v>1277</v>
      </c>
      <c r="G1101" s="470" t="s">
        <v>751</v>
      </c>
      <c r="H1101" s="470"/>
      <c r="I1101" s="470" t="s">
        <v>1278</v>
      </c>
      <c r="J1101" s="472" t="s">
        <v>1279</v>
      </c>
      <c r="K1101" s="470" t="s">
        <v>1280</v>
      </c>
      <c r="L1101" s="470" t="s">
        <v>980</v>
      </c>
      <c r="M1101" s="470" t="s">
        <v>980</v>
      </c>
      <c r="N1101" s="470" t="s">
        <v>1275</v>
      </c>
      <c r="O1101" s="472" t="s">
        <v>757</v>
      </c>
      <c r="P1101" s="472" t="s">
        <v>738</v>
      </c>
      <c r="Q1101" s="472" t="s">
        <v>758</v>
      </c>
      <c r="R1101" s="472" t="s">
        <v>12</v>
      </c>
      <c r="S1101" s="472" t="s">
        <v>12</v>
      </c>
      <c r="T1101" s="472" t="s">
        <v>1281</v>
      </c>
      <c r="U1101" s="470" t="s">
        <v>1282</v>
      </c>
      <c r="V1101" s="470" t="s">
        <v>761</v>
      </c>
      <c r="W1101" s="470" t="s">
        <v>762</v>
      </c>
      <c r="X1101" s="470">
        <v>31</v>
      </c>
      <c r="Y1101" s="470">
        <v>0</v>
      </c>
      <c r="Z1101" s="470">
        <v>2.5</v>
      </c>
      <c r="AA1101" s="470">
        <v>28.5</v>
      </c>
      <c r="AB1101" s="470">
        <v>28.5</v>
      </c>
      <c r="AC1101" s="473">
        <v>63200</v>
      </c>
      <c r="AD1101" s="473">
        <v>63200</v>
      </c>
      <c r="AE1101" s="473">
        <v>26146</v>
      </c>
      <c r="AF1101" s="473">
        <v>10458</v>
      </c>
      <c r="AG1101" s="473">
        <v>1471</v>
      </c>
      <c r="AH1101" s="473">
        <v>184</v>
      </c>
      <c r="AI1101" s="473">
        <v>1149</v>
      </c>
      <c r="AJ1101" s="473">
        <v>2178</v>
      </c>
      <c r="AK1101" s="473">
        <v>5229</v>
      </c>
      <c r="AL1101" s="473">
        <v>3922</v>
      </c>
      <c r="AM1101" s="473">
        <v>261</v>
      </c>
      <c r="AN1101" s="473">
        <v>915</v>
      </c>
      <c r="AO1101" s="473">
        <v>523</v>
      </c>
      <c r="AP1101" s="473">
        <v>131</v>
      </c>
      <c r="AQ1101" s="473">
        <v>1800</v>
      </c>
      <c r="AR1101" s="473">
        <v>3736</v>
      </c>
      <c r="AS1101" s="473">
        <v>0</v>
      </c>
      <c r="AT1101" s="473">
        <v>0</v>
      </c>
      <c r="AU1101" s="473"/>
      <c r="AV1101" s="473">
        <v>58103</v>
      </c>
      <c r="AW1101" s="474">
        <v>58103</v>
      </c>
      <c r="AX1101" s="473">
        <v>0</v>
      </c>
      <c r="AY1101" s="473">
        <v>0</v>
      </c>
      <c r="AZ1101" s="475">
        <v>0</v>
      </c>
      <c r="BA1101" s="475">
        <v>200</v>
      </c>
      <c r="BB1101" s="475">
        <v>1800</v>
      </c>
      <c r="BC1101" s="475">
        <v>0</v>
      </c>
      <c r="BD1101" s="475">
        <v>0</v>
      </c>
      <c r="BE1101" s="475">
        <v>0</v>
      </c>
      <c r="BF1101" s="475">
        <v>0</v>
      </c>
      <c r="BG1101" s="475">
        <v>2000</v>
      </c>
      <c r="BH1101" s="476">
        <v>56103</v>
      </c>
      <c r="BI1101" s="467"/>
      <c r="BJ1101" s="468"/>
    </row>
    <row r="1102" spans="1:62">
      <c r="A1102" s="469">
        <v>46082</v>
      </c>
      <c r="B1102" s="469" t="s">
        <v>747</v>
      </c>
      <c r="C1102" s="508"/>
      <c r="D1102" s="470" t="s">
        <v>749</v>
      </c>
      <c r="E1102" s="471">
        <v>1209</v>
      </c>
      <c r="F1102" s="470" t="s">
        <v>868</v>
      </c>
      <c r="G1102" s="470" t="s">
        <v>751</v>
      </c>
      <c r="H1102" s="470"/>
      <c r="I1102" s="470" t="s">
        <v>869</v>
      </c>
      <c r="J1102" s="472" t="s">
        <v>870</v>
      </c>
      <c r="K1102" s="470" t="s">
        <v>871</v>
      </c>
      <c r="L1102" s="470" t="s">
        <v>873</v>
      </c>
      <c r="M1102" s="470" t="s">
        <v>873</v>
      </c>
      <c r="N1102" s="470" t="s">
        <v>833</v>
      </c>
      <c r="O1102" s="472" t="s">
        <v>757</v>
      </c>
      <c r="P1102" s="472" t="s">
        <v>738</v>
      </c>
      <c r="Q1102" s="472" t="s">
        <v>758</v>
      </c>
      <c r="R1102" s="472" t="s">
        <v>12</v>
      </c>
      <c r="S1102" s="472" t="s">
        <v>12</v>
      </c>
      <c r="T1102" s="472" t="s">
        <v>874</v>
      </c>
      <c r="U1102" s="470" t="s">
        <v>875</v>
      </c>
      <c r="V1102" s="470" t="s">
        <v>761</v>
      </c>
      <c r="W1102" s="470" t="s">
        <v>876</v>
      </c>
      <c r="X1102" s="470">
        <v>31</v>
      </c>
      <c r="Y1102" s="470">
        <v>0</v>
      </c>
      <c r="Z1102" s="470">
        <v>0</v>
      </c>
      <c r="AA1102" s="470">
        <v>31</v>
      </c>
      <c r="AB1102" s="470">
        <v>31</v>
      </c>
      <c r="AC1102" s="473">
        <v>83333</v>
      </c>
      <c r="AD1102" s="473">
        <v>83333</v>
      </c>
      <c r="AE1102" s="473">
        <v>37500</v>
      </c>
      <c r="AF1102" s="473">
        <v>15000</v>
      </c>
      <c r="AG1102" s="473">
        <v>1600</v>
      </c>
      <c r="AH1102" s="473">
        <v>200</v>
      </c>
      <c r="AI1102" s="473">
        <v>1250</v>
      </c>
      <c r="AJ1102" s="473">
        <v>3124</v>
      </c>
      <c r="AK1102" s="473">
        <v>7500</v>
      </c>
      <c r="AL1102" s="473">
        <v>5625</v>
      </c>
      <c r="AM1102" s="473">
        <v>375</v>
      </c>
      <c r="AN1102" s="473">
        <v>1313</v>
      </c>
      <c r="AO1102" s="473">
        <v>750</v>
      </c>
      <c r="AP1102" s="473">
        <v>188</v>
      </c>
      <c r="AQ1102" s="473">
        <v>1800</v>
      </c>
      <c r="AR1102" s="473">
        <v>7108</v>
      </c>
      <c r="AS1102" s="473">
        <v>0</v>
      </c>
      <c r="AT1102" s="473">
        <v>0</v>
      </c>
      <c r="AU1102" s="473">
        <v>414</v>
      </c>
      <c r="AV1102" s="473">
        <v>83747</v>
      </c>
      <c r="AW1102" s="474">
        <v>83333</v>
      </c>
      <c r="AX1102" s="473">
        <v>0</v>
      </c>
      <c r="AY1102" s="473">
        <v>0</v>
      </c>
      <c r="AZ1102" s="475">
        <v>0</v>
      </c>
      <c r="BA1102" s="475">
        <v>200</v>
      </c>
      <c r="BB1102" s="475">
        <v>1800</v>
      </c>
      <c r="BC1102" s="475">
        <v>0</v>
      </c>
      <c r="BD1102" s="475">
        <v>0</v>
      </c>
      <c r="BE1102" s="475">
        <v>0</v>
      </c>
      <c r="BF1102" s="475">
        <v>0</v>
      </c>
      <c r="BG1102" s="475">
        <v>2000</v>
      </c>
      <c r="BH1102" s="476">
        <v>81747</v>
      </c>
      <c r="BI1102" s="467"/>
      <c r="BJ1102" s="468"/>
    </row>
    <row r="1103" spans="1:62">
      <c r="A1103" s="469">
        <v>46082</v>
      </c>
      <c r="B1103" s="469" t="s">
        <v>747</v>
      </c>
      <c r="C1103" s="508"/>
      <c r="D1103" s="470" t="s">
        <v>749</v>
      </c>
      <c r="E1103" s="471">
        <v>1517</v>
      </c>
      <c r="F1103" s="470" t="s">
        <v>877</v>
      </c>
      <c r="G1103" s="470" t="s">
        <v>751</v>
      </c>
      <c r="H1103" s="470"/>
      <c r="I1103" s="470" t="s">
        <v>878</v>
      </c>
      <c r="J1103" s="472" t="s">
        <v>879</v>
      </c>
      <c r="K1103" s="470" t="s">
        <v>880</v>
      </c>
      <c r="L1103" s="470" t="s">
        <v>881</v>
      </c>
      <c r="M1103" s="470" t="s">
        <v>881</v>
      </c>
      <c r="N1103" s="470" t="s">
        <v>833</v>
      </c>
      <c r="O1103" s="472" t="s">
        <v>757</v>
      </c>
      <c r="P1103" s="472" t="s">
        <v>738</v>
      </c>
      <c r="Q1103" s="472" t="s">
        <v>758</v>
      </c>
      <c r="R1103" s="472" t="s">
        <v>12</v>
      </c>
      <c r="S1103" s="472" t="s">
        <v>12</v>
      </c>
      <c r="T1103" s="472" t="s">
        <v>882</v>
      </c>
      <c r="U1103" s="470" t="s">
        <v>883</v>
      </c>
      <c r="V1103" s="470" t="s">
        <v>761</v>
      </c>
      <c r="W1103" s="470" t="s">
        <v>859</v>
      </c>
      <c r="X1103" s="470">
        <v>31</v>
      </c>
      <c r="Y1103" s="470">
        <v>0</v>
      </c>
      <c r="Z1103" s="470">
        <v>1.5</v>
      </c>
      <c r="AA1103" s="470">
        <v>29.5</v>
      </c>
      <c r="AB1103" s="470">
        <v>29.5</v>
      </c>
      <c r="AC1103" s="473">
        <v>47190</v>
      </c>
      <c r="AD1103" s="473">
        <v>47190</v>
      </c>
      <c r="AE1103" s="473">
        <v>20208</v>
      </c>
      <c r="AF1103" s="473">
        <v>8083</v>
      </c>
      <c r="AG1103" s="473">
        <v>1523</v>
      </c>
      <c r="AH1103" s="473">
        <v>190</v>
      </c>
      <c r="AI1103" s="473">
        <v>1190</v>
      </c>
      <c r="AJ1103" s="473">
        <v>1683</v>
      </c>
      <c r="AK1103" s="473">
        <v>4042</v>
      </c>
      <c r="AL1103" s="473">
        <v>3031</v>
      </c>
      <c r="AM1103" s="473">
        <v>202</v>
      </c>
      <c r="AN1103" s="473">
        <v>707</v>
      </c>
      <c r="AO1103" s="473">
        <v>404</v>
      </c>
      <c r="AP1103" s="473">
        <v>101</v>
      </c>
      <c r="AQ1103" s="473">
        <v>1800</v>
      </c>
      <c r="AR1103" s="473">
        <v>1743</v>
      </c>
      <c r="AS1103" s="473">
        <v>0</v>
      </c>
      <c r="AT1103" s="473">
        <v>0</v>
      </c>
      <c r="AU1103" s="473"/>
      <c r="AV1103" s="473">
        <v>44907</v>
      </c>
      <c r="AW1103" s="474">
        <v>44907</v>
      </c>
      <c r="AX1103" s="473">
        <v>0</v>
      </c>
      <c r="AY1103" s="473">
        <v>0</v>
      </c>
      <c r="AZ1103" s="475">
        <v>0</v>
      </c>
      <c r="BA1103" s="475">
        <v>200</v>
      </c>
      <c r="BB1103" s="475">
        <v>1800</v>
      </c>
      <c r="BC1103" s="475">
        <v>0</v>
      </c>
      <c r="BD1103" s="475">
        <v>0</v>
      </c>
      <c r="BE1103" s="475">
        <v>0</v>
      </c>
      <c r="BF1103" s="475">
        <v>0</v>
      </c>
      <c r="BG1103" s="475">
        <v>2000</v>
      </c>
      <c r="BH1103" s="476">
        <v>42907</v>
      </c>
      <c r="BI1103" s="467"/>
      <c r="BJ1103" s="468"/>
    </row>
    <row r="1104" spans="1:62">
      <c r="A1104" s="469">
        <v>46082</v>
      </c>
      <c r="B1104" s="469" t="s">
        <v>747</v>
      </c>
      <c r="C1104" s="508"/>
      <c r="D1104" s="470" t="s">
        <v>749</v>
      </c>
      <c r="E1104" s="471">
        <v>1202</v>
      </c>
      <c r="F1104" s="470" t="s">
        <v>884</v>
      </c>
      <c r="G1104" s="470" t="s">
        <v>751</v>
      </c>
      <c r="H1104" s="470"/>
      <c r="I1104" s="470" t="s">
        <v>885</v>
      </c>
      <c r="J1104" s="472" t="s">
        <v>886</v>
      </c>
      <c r="K1104" s="470" t="s">
        <v>887</v>
      </c>
      <c r="L1104" s="470" t="s">
        <v>1346</v>
      </c>
      <c r="M1104" s="470" t="s">
        <v>1346</v>
      </c>
      <c r="N1104" s="470" t="s">
        <v>1275</v>
      </c>
      <c r="O1104" s="472" t="s">
        <v>757</v>
      </c>
      <c r="P1104" s="472" t="s">
        <v>738</v>
      </c>
      <c r="Q1104" s="472" t="s">
        <v>758</v>
      </c>
      <c r="R1104" s="472" t="s">
        <v>12</v>
      </c>
      <c r="S1104" s="472" t="s">
        <v>12</v>
      </c>
      <c r="T1104" s="472" t="s">
        <v>888</v>
      </c>
      <c r="U1104" s="470" t="s">
        <v>889</v>
      </c>
      <c r="V1104" s="470" t="s">
        <v>761</v>
      </c>
      <c r="W1104" s="470" t="s">
        <v>762</v>
      </c>
      <c r="X1104" s="470">
        <v>31</v>
      </c>
      <c r="Y1104" s="470">
        <v>0</v>
      </c>
      <c r="Z1104" s="470">
        <v>0</v>
      </c>
      <c r="AA1104" s="470">
        <v>31</v>
      </c>
      <c r="AB1104" s="470">
        <v>31</v>
      </c>
      <c r="AC1104" s="473">
        <v>98333</v>
      </c>
      <c r="AD1104" s="473">
        <v>98333</v>
      </c>
      <c r="AE1104" s="473">
        <v>44250</v>
      </c>
      <c r="AF1104" s="473">
        <v>17700</v>
      </c>
      <c r="AG1104" s="473">
        <v>1600</v>
      </c>
      <c r="AH1104" s="473">
        <v>200</v>
      </c>
      <c r="AI1104" s="473">
        <v>1250</v>
      </c>
      <c r="AJ1104" s="473">
        <v>3686</v>
      </c>
      <c r="AK1104" s="473">
        <v>8850</v>
      </c>
      <c r="AL1104" s="473">
        <v>6638</v>
      </c>
      <c r="AM1104" s="473">
        <v>443</v>
      </c>
      <c r="AN1104" s="473">
        <v>1549</v>
      </c>
      <c r="AO1104" s="473">
        <v>885</v>
      </c>
      <c r="AP1104" s="473">
        <v>221</v>
      </c>
      <c r="AQ1104" s="473">
        <v>1800</v>
      </c>
      <c r="AR1104" s="473">
        <v>9261</v>
      </c>
      <c r="AS1104" s="473">
        <v>0</v>
      </c>
      <c r="AT1104" s="473">
        <v>0</v>
      </c>
      <c r="AU1104" s="473">
        <v>4186</v>
      </c>
      <c r="AV1104" s="473">
        <v>102519</v>
      </c>
      <c r="AW1104" s="474">
        <v>98333</v>
      </c>
      <c r="AX1104" s="473">
        <v>0</v>
      </c>
      <c r="AY1104" s="473">
        <v>0</v>
      </c>
      <c r="AZ1104" s="475">
        <v>0</v>
      </c>
      <c r="BA1104" s="475">
        <v>200</v>
      </c>
      <c r="BB1104" s="475">
        <v>1800</v>
      </c>
      <c r="BC1104" s="475">
        <v>0</v>
      </c>
      <c r="BD1104" s="475">
        <v>0</v>
      </c>
      <c r="BE1104" s="475">
        <v>0</v>
      </c>
      <c r="BF1104" s="475">
        <v>0</v>
      </c>
      <c r="BG1104" s="475">
        <v>2000</v>
      </c>
      <c r="BH1104" s="476">
        <v>100519</v>
      </c>
      <c r="BI1104" s="467"/>
      <c r="BJ1104" s="468"/>
    </row>
    <row r="1105" spans="1:62">
      <c r="A1105" s="469">
        <v>46082</v>
      </c>
      <c r="B1105" s="469" t="s">
        <v>747</v>
      </c>
      <c r="C1105" s="508"/>
      <c r="D1105" s="470" t="s">
        <v>749</v>
      </c>
      <c r="E1105" s="471">
        <v>2234</v>
      </c>
      <c r="F1105" s="470" t="s">
        <v>1347</v>
      </c>
      <c r="G1105" s="470" t="s">
        <v>751</v>
      </c>
      <c r="H1105" s="470"/>
      <c r="I1105" s="470" t="s">
        <v>1348</v>
      </c>
      <c r="J1105" s="472" t="s">
        <v>1349</v>
      </c>
      <c r="K1105" s="470" t="s">
        <v>1350</v>
      </c>
      <c r="L1105" s="470" t="s">
        <v>1351</v>
      </c>
      <c r="M1105" s="470" t="s">
        <v>1351</v>
      </c>
      <c r="N1105" s="470" t="s">
        <v>833</v>
      </c>
      <c r="O1105" s="472" t="s">
        <v>757</v>
      </c>
      <c r="P1105" s="472" t="s">
        <v>738</v>
      </c>
      <c r="Q1105" s="472" t="s">
        <v>758</v>
      </c>
      <c r="R1105" s="472" t="s">
        <v>12</v>
      </c>
      <c r="S1105" s="472" t="s">
        <v>12</v>
      </c>
      <c r="T1105" s="472" t="s">
        <v>1352</v>
      </c>
      <c r="U1105" s="470" t="s">
        <v>1353</v>
      </c>
      <c r="V1105" s="470" t="s">
        <v>761</v>
      </c>
      <c r="W1105" s="470" t="s">
        <v>1354</v>
      </c>
      <c r="X1105" s="470">
        <v>31</v>
      </c>
      <c r="Y1105" s="470">
        <v>0</v>
      </c>
      <c r="Z1105" s="470">
        <v>0.5</v>
      </c>
      <c r="AA1105" s="470">
        <v>30.5</v>
      </c>
      <c r="AB1105" s="470">
        <v>30.5</v>
      </c>
      <c r="AC1105" s="473">
        <v>52200</v>
      </c>
      <c r="AD1105" s="473">
        <v>52200</v>
      </c>
      <c r="AE1105" s="473">
        <v>23111</v>
      </c>
      <c r="AF1105" s="473">
        <v>9244</v>
      </c>
      <c r="AG1105" s="473">
        <v>1574</v>
      </c>
      <c r="AH1105" s="473">
        <v>197</v>
      </c>
      <c r="AI1105" s="473">
        <v>1230</v>
      </c>
      <c r="AJ1105" s="473">
        <v>1925</v>
      </c>
      <c r="AK1105" s="473">
        <v>4622</v>
      </c>
      <c r="AL1105" s="473">
        <v>3467</v>
      </c>
      <c r="AM1105" s="473">
        <v>231</v>
      </c>
      <c r="AN1105" s="473">
        <v>809</v>
      </c>
      <c r="AO1105" s="473">
        <v>462</v>
      </c>
      <c r="AP1105" s="473">
        <v>116</v>
      </c>
      <c r="AQ1105" s="473">
        <v>1800</v>
      </c>
      <c r="AR1105" s="473">
        <v>2570</v>
      </c>
      <c r="AS1105" s="473">
        <v>0</v>
      </c>
      <c r="AT1105" s="473">
        <v>0</v>
      </c>
      <c r="AU1105" s="473">
        <v>776</v>
      </c>
      <c r="AV1105" s="473">
        <v>52134</v>
      </c>
      <c r="AW1105" s="474">
        <v>51358</v>
      </c>
      <c r="AX1105" s="473">
        <v>0</v>
      </c>
      <c r="AY1105" s="473">
        <v>0</v>
      </c>
      <c r="AZ1105" s="475">
        <v>0</v>
      </c>
      <c r="BA1105" s="475">
        <v>200</v>
      </c>
      <c r="BB1105" s="475">
        <v>1800</v>
      </c>
      <c r="BC1105" s="475">
        <v>0</v>
      </c>
      <c r="BD1105" s="475">
        <v>0</v>
      </c>
      <c r="BE1105" s="475">
        <v>0</v>
      </c>
      <c r="BF1105" s="475">
        <v>0</v>
      </c>
      <c r="BG1105" s="475">
        <v>2000</v>
      </c>
      <c r="BH1105" s="476">
        <v>50134</v>
      </c>
      <c r="BI1105" s="467"/>
      <c r="BJ1105" s="468"/>
    </row>
    <row r="1106" spans="1:62">
      <c r="A1106" s="469">
        <v>46082</v>
      </c>
      <c r="B1106" s="469" t="s">
        <v>747</v>
      </c>
      <c r="C1106" s="508"/>
      <c r="D1106" s="470" t="s">
        <v>749</v>
      </c>
      <c r="E1106" s="471">
        <v>2273</v>
      </c>
      <c r="F1106" s="470" t="s">
        <v>1441</v>
      </c>
      <c r="G1106" s="470" t="s">
        <v>751</v>
      </c>
      <c r="H1106" s="470"/>
      <c r="I1106" s="470" t="s">
        <v>1426</v>
      </c>
      <c r="J1106" s="472" t="s">
        <v>1442</v>
      </c>
      <c r="K1106" s="470" t="s">
        <v>1443</v>
      </c>
      <c r="L1106" s="470" t="s">
        <v>824</v>
      </c>
      <c r="M1106" s="470" t="s">
        <v>824</v>
      </c>
      <c r="N1106" s="470" t="s">
        <v>1275</v>
      </c>
      <c r="O1106" s="472" t="s">
        <v>1276</v>
      </c>
      <c r="P1106" s="472" t="s">
        <v>738</v>
      </c>
      <c r="Q1106" s="472" t="s">
        <v>758</v>
      </c>
      <c r="R1106" s="472" t="s">
        <v>12</v>
      </c>
      <c r="S1106" s="472" t="s">
        <v>12</v>
      </c>
      <c r="T1106" s="472" t="s">
        <v>1444</v>
      </c>
      <c r="U1106" s="470" t="s">
        <v>1445</v>
      </c>
      <c r="V1106" s="470" t="s">
        <v>761</v>
      </c>
      <c r="W1106" s="470" t="s">
        <v>1361</v>
      </c>
      <c r="X1106" s="470">
        <v>31</v>
      </c>
      <c r="Y1106" s="470">
        <v>0</v>
      </c>
      <c r="Z1106" s="470">
        <v>0</v>
      </c>
      <c r="AA1106" s="470">
        <v>31</v>
      </c>
      <c r="AB1106" s="470">
        <v>31</v>
      </c>
      <c r="AC1106" s="473">
        <v>44033</v>
      </c>
      <c r="AD1106" s="473">
        <v>44033</v>
      </c>
      <c r="AE1106" s="473">
        <v>19815</v>
      </c>
      <c r="AF1106" s="473">
        <v>7926</v>
      </c>
      <c r="AG1106" s="473">
        <v>1600</v>
      </c>
      <c r="AH1106" s="473">
        <v>200</v>
      </c>
      <c r="AI1106" s="473">
        <v>1250</v>
      </c>
      <c r="AJ1106" s="473">
        <v>1651</v>
      </c>
      <c r="AK1106" s="473">
        <v>3963</v>
      </c>
      <c r="AL1106" s="473">
        <v>2972</v>
      </c>
      <c r="AM1106" s="473">
        <v>198</v>
      </c>
      <c r="AN1106" s="473">
        <v>694</v>
      </c>
      <c r="AO1106" s="473">
        <v>396</v>
      </c>
      <c r="AP1106" s="473">
        <v>99</v>
      </c>
      <c r="AQ1106" s="473">
        <v>1800</v>
      </c>
      <c r="AR1106" s="473">
        <v>1469</v>
      </c>
      <c r="AS1106" s="473">
        <v>0</v>
      </c>
      <c r="AT1106" s="473">
        <v>0</v>
      </c>
      <c r="AU1106" s="473">
        <v>1367</v>
      </c>
      <c r="AV1106" s="473">
        <v>45400</v>
      </c>
      <c r="AW1106" s="474">
        <v>44033</v>
      </c>
      <c r="AX1106" s="473">
        <v>0</v>
      </c>
      <c r="AY1106" s="473">
        <v>0</v>
      </c>
      <c r="AZ1106" s="475">
        <v>0</v>
      </c>
      <c r="BA1106" s="475">
        <v>200</v>
      </c>
      <c r="BB1106" s="475">
        <v>1800</v>
      </c>
      <c r="BC1106" s="475">
        <v>0</v>
      </c>
      <c r="BD1106" s="475">
        <v>0</v>
      </c>
      <c r="BE1106" s="475">
        <v>0</v>
      </c>
      <c r="BF1106" s="475">
        <v>0</v>
      </c>
      <c r="BG1106" s="475">
        <v>2000</v>
      </c>
      <c r="BH1106" s="476">
        <v>43400</v>
      </c>
      <c r="BI1106" s="467"/>
      <c r="BJ1106" s="468"/>
    </row>
    <row r="1107" spans="1:62">
      <c r="A1107" s="469">
        <v>46082</v>
      </c>
      <c r="B1107" s="469" t="s">
        <v>747</v>
      </c>
      <c r="C1107" s="508"/>
      <c r="D1107" s="470" t="s">
        <v>749</v>
      </c>
      <c r="E1107" s="471">
        <v>748</v>
      </c>
      <c r="F1107" s="470" t="s">
        <v>899</v>
      </c>
      <c r="G1107" s="470" t="s">
        <v>751</v>
      </c>
      <c r="H1107" s="470"/>
      <c r="I1107" s="470" t="s">
        <v>900</v>
      </c>
      <c r="J1107" s="472" t="s">
        <v>901</v>
      </c>
      <c r="K1107" s="470" t="s">
        <v>902</v>
      </c>
      <c r="L1107" s="470" t="s">
        <v>1283</v>
      </c>
      <c r="M1107" s="470" t="s">
        <v>1284</v>
      </c>
      <c r="N1107" s="470" t="s">
        <v>904</v>
      </c>
      <c r="O1107" s="472" t="s">
        <v>757</v>
      </c>
      <c r="P1107" s="472" t="s">
        <v>738</v>
      </c>
      <c r="Q1107" s="472" t="s">
        <v>758</v>
      </c>
      <c r="R1107" s="472" t="s">
        <v>12</v>
      </c>
      <c r="S1107" s="472" t="s">
        <v>12</v>
      </c>
      <c r="T1107" s="472" t="s">
        <v>905</v>
      </c>
      <c r="U1107" s="470" t="s">
        <v>906</v>
      </c>
      <c r="V1107" s="470" t="s">
        <v>761</v>
      </c>
      <c r="W1107" s="470" t="s">
        <v>907</v>
      </c>
      <c r="X1107" s="470">
        <v>31</v>
      </c>
      <c r="Y1107" s="470">
        <v>0</v>
      </c>
      <c r="Z1107" s="470">
        <v>0</v>
      </c>
      <c r="AA1107" s="470">
        <v>31</v>
      </c>
      <c r="AB1107" s="470">
        <v>31</v>
      </c>
      <c r="AC1107" s="473">
        <v>62333</v>
      </c>
      <c r="AD1107" s="473">
        <v>62333</v>
      </c>
      <c r="AE1107" s="473">
        <v>28050</v>
      </c>
      <c r="AF1107" s="473">
        <v>11220</v>
      </c>
      <c r="AG1107" s="473">
        <v>1600</v>
      </c>
      <c r="AH1107" s="473">
        <v>200</v>
      </c>
      <c r="AI1107" s="473">
        <v>1250</v>
      </c>
      <c r="AJ1107" s="473">
        <v>2337</v>
      </c>
      <c r="AK1107" s="473">
        <v>5610</v>
      </c>
      <c r="AL1107" s="473">
        <v>4208</v>
      </c>
      <c r="AM1107" s="473">
        <v>281</v>
      </c>
      <c r="AN1107" s="473">
        <v>982</v>
      </c>
      <c r="AO1107" s="473">
        <v>561</v>
      </c>
      <c r="AP1107" s="473">
        <v>140</v>
      </c>
      <c r="AQ1107" s="473">
        <v>1800</v>
      </c>
      <c r="AR1107" s="473">
        <v>4094</v>
      </c>
      <c r="AS1107" s="473">
        <v>0</v>
      </c>
      <c r="AT1107" s="473">
        <v>0</v>
      </c>
      <c r="AU1107" s="473">
        <v>1992</v>
      </c>
      <c r="AV1107" s="473">
        <v>64325</v>
      </c>
      <c r="AW1107" s="474">
        <v>62333</v>
      </c>
      <c r="AX1107" s="473">
        <v>0</v>
      </c>
      <c r="AY1107" s="473">
        <v>0</v>
      </c>
      <c r="AZ1107" s="475">
        <v>0</v>
      </c>
      <c r="BA1107" s="475">
        <v>200</v>
      </c>
      <c r="BB1107" s="475">
        <v>1800</v>
      </c>
      <c r="BC1107" s="475">
        <v>0</v>
      </c>
      <c r="BD1107" s="475">
        <v>0</v>
      </c>
      <c r="BE1107" s="475">
        <v>0</v>
      </c>
      <c r="BF1107" s="475">
        <v>15000</v>
      </c>
      <c r="BG1107" s="475">
        <v>17000</v>
      </c>
      <c r="BH1107" s="476">
        <v>47325</v>
      </c>
      <c r="BI1107" s="467"/>
      <c r="BJ1107" s="468"/>
    </row>
    <row r="1108" spans="1:62">
      <c r="A1108" s="469">
        <v>46082</v>
      </c>
      <c r="B1108" s="469" t="s">
        <v>747</v>
      </c>
      <c r="C1108" s="508"/>
      <c r="D1108" s="470" t="s">
        <v>749</v>
      </c>
      <c r="E1108" s="471">
        <v>2214</v>
      </c>
      <c r="F1108" s="470" t="s">
        <v>1355</v>
      </c>
      <c r="G1108" s="470" t="s">
        <v>751</v>
      </c>
      <c r="H1108" s="470"/>
      <c r="I1108" s="470" t="s">
        <v>1340</v>
      </c>
      <c r="J1108" s="472" t="s">
        <v>1356</v>
      </c>
      <c r="K1108" s="470" t="s">
        <v>1357</v>
      </c>
      <c r="L1108" s="470" t="s">
        <v>1358</v>
      </c>
      <c r="M1108" s="470" t="s">
        <v>1358</v>
      </c>
      <c r="N1108" s="470" t="s">
        <v>1108</v>
      </c>
      <c r="O1108" s="472" t="s">
        <v>757</v>
      </c>
      <c r="P1108" s="472" t="s">
        <v>738</v>
      </c>
      <c r="Q1108" s="472" t="s">
        <v>758</v>
      </c>
      <c r="R1108" s="472" t="s">
        <v>12</v>
      </c>
      <c r="S1108" s="472" t="s">
        <v>12</v>
      </c>
      <c r="T1108" s="472" t="s">
        <v>1359</v>
      </c>
      <c r="U1108" s="470" t="s">
        <v>1360</v>
      </c>
      <c r="V1108" s="470" t="s">
        <v>761</v>
      </c>
      <c r="W1108" s="470" t="s">
        <v>1361</v>
      </c>
      <c r="X1108" s="470">
        <v>31</v>
      </c>
      <c r="Y1108" s="470">
        <v>0</v>
      </c>
      <c r="Z1108" s="470">
        <v>0</v>
      </c>
      <c r="AA1108" s="470">
        <v>31</v>
      </c>
      <c r="AB1108" s="470">
        <v>31</v>
      </c>
      <c r="AC1108" s="473">
        <v>54867</v>
      </c>
      <c r="AD1108" s="473">
        <v>54867</v>
      </c>
      <c r="AE1108" s="473">
        <v>24690</v>
      </c>
      <c r="AF1108" s="473">
        <v>9876</v>
      </c>
      <c r="AG1108" s="473">
        <v>1600</v>
      </c>
      <c r="AH1108" s="473">
        <v>200</v>
      </c>
      <c r="AI1108" s="473">
        <v>1250</v>
      </c>
      <c r="AJ1108" s="473">
        <v>2057</v>
      </c>
      <c r="AK1108" s="473">
        <v>4938</v>
      </c>
      <c r="AL1108" s="473">
        <v>3704</v>
      </c>
      <c r="AM1108" s="473">
        <v>247</v>
      </c>
      <c r="AN1108" s="473">
        <v>864</v>
      </c>
      <c r="AO1108" s="473">
        <v>494</v>
      </c>
      <c r="AP1108" s="473">
        <v>123</v>
      </c>
      <c r="AQ1108" s="473">
        <v>1800</v>
      </c>
      <c r="AR1108" s="473">
        <v>3024</v>
      </c>
      <c r="AS1108" s="473">
        <v>0</v>
      </c>
      <c r="AT1108" s="473">
        <v>0</v>
      </c>
      <c r="AU1108" s="473"/>
      <c r="AV1108" s="473">
        <v>54867</v>
      </c>
      <c r="AW1108" s="474">
        <v>54867</v>
      </c>
      <c r="AX1108" s="473">
        <v>0</v>
      </c>
      <c r="AY1108" s="473">
        <v>0</v>
      </c>
      <c r="AZ1108" s="475">
        <v>0</v>
      </c>
      <c r="BA1108" s="475">
        <v>200</v>
      </c>
      <c r="BB1108" s="475">
        <v>1800</v>
      </c>
      <c r="BC1108" s="475">
        <v>0</v>
      </c>
      <c r="BD1108" s="475">
        <v>0</v>
      </c>
      <c r="BE1108" s="475">
        <v>0</v>
      </c>
      <c r="BF1108" s="475">
        <v>0</v>
      </c>
      <c r="BG1108" s="475">
        <v>2000</v>
      </c>
      <c r="BH1108" s="476">
        <v>52867</v>
      </c>
      <c r="BI1108" s="467"/>
      <c r="BJ1108" s="468"/>
    </row>
    <row r="1109" spans="1:62">
      <c r="A1109" s="469">
        <v>46082</v>
      </c>
      <c r="B1109" s="469" t="s">
        <v>747</v>
      </c>
      <c r="C1109" s="508"/>
      <c r="D1109" s="470" t="s">
        <v>749</v>
      </c>
      <c r="E1109" s="471">
        <v>2239</v>
      </c>
      <c r="F1109" s="470" t="s">
        <v>1402</v>
      </c>
      <c r="G1109" s="470" t="s">
        <v>812</v>
      </c>
      <c r="H1109" s="470"/>
      <c r="I1109" s="470" t="s">
        <v>1389</v>
      </c>
      <c r="J1109" s="472" t="s">
        <v>1403</v>
      </c>
      <c r="K1109" s="470" t="s">
        <v>1404</v>
      </c>
      <c r="L1109" s="470" t="s">
        <v>872</v>
      </c>
      <c r="M1109" s="470" t="s">
        <v>872</v>
      </c>
      <c r="N1109" s="470" t="s">
        <v>833</v>
      </c>
      <c r="O1109" s="472" t="s">
        <v>757</v>
      </c>
      <c r="P1109" s="472" t="s">
        <v>738</v>
      </c>
      <c r="Q1109" s="472" t="s">
        <v>758</v>
      </c>
      <c r="R1109" s="472" t="s">
        <v>12</v>
      </c>
      <c r="S1109" s="472" t="s">
        <v>12</v>
      </c>
      <c r="T1109" s="472" t="s">
        <v>1405</v>
      </c>
      <c r="U1109" s="470" t="s">
        <v>1406</v>
      </c>
      <c r="V1109" s="470" t="s">
        <v>761</v>
      </c>
      <c r="W1109" s="470" t="s">
        <v>859</v>
      </c>
      <c r="X1109" s="470">
        <v>31</v>
      </c>
      <c r="Y1109" s="470">
        <v>0</v>
      </c>
      <c r="Z1109" s="470">
        <v>0</v>
      </c>
      <c r="AA1109" s="470">
        <v>31</v>
      </c>
      <c r="AB1109" s="470">
        <v>31</v>
      </c>
      <c r="AC1109" s="473">
        <v>89867</v>
      </c>
      <c r="AD1109" s="473">
        <v>89867</v>
      </c>
      <c r="AE1109" s="473">
        <v>40440</v>
      </c>
      <c r="AF1109" s="473">
        <v>16176</v>
      </c>
      <c r="AG1109" s="473">
        <v>1600</v>
      </c>
      <c r="AH1109" s="473">
        <v>200</v>
      </c>
      <c r="AI1109" s="473">
        <v>1250</v>
      </c>
      <c r="AJ1109" s="473">
        <v>3369</v>
      </c>
      <c r="AK1109" s="473">
        <v>8088</v>
      </c>
      <c r="AL1109" s="473">
        <v>6066</v>
      </c>
      <c r="AM1109" s="473">
        <v>404</v>
      </c>
      <c r="AN1109" s="473">
        <v>1415</v>
      </c>
      <c r="AO1109" s="473">
        <v>809</v>
      </c>
      <c r="AP1109" s="473">
        <v>202</v>
      </c>
      <c r="AQ1109" s="473">
        <v>1800</v>
      </c>
      <c r="AR1109" s="473">
        <v>8048</v>
      </c>
      <c r="AS1109" s="473">
        <v>0</v>
      </c>
      <c r="AT1109" s="473">
        <v>6474</v>
      </c>
      <c r="AU1109" s="473">
        <v>2448</v>
      </c>
      <c r="AV1109" s="473">
        <v>98789</v>
      </c>
      <c r="AW1109" s="474">
        <v>96341</v>
      </c>
      <c r="AX1109" s="473">
        <v>0</v>
      </c>
      <c r="AY1109" s="473">
        <v>0</v>
      </c>
      <c r="AZ1109" s="475">
        <v>0</v>
      </c>
      <c r="BA1109" s="475">
        <v>200</v>
      </c>
      <c r="BB1109" s="475">
        <v>1800</v>
      </c>
      <c r="BC1109" s="475">
        <v>0</v>
      </c>
      <c r="BD1109" s="475">
        <v>0</v>
      </c>
      <c r="BE1109" s="475">
        <v>0</v>
      </c>
      <c r="BF1109" s="475">
        <v>0</v>
      </c>
      <c r="BG1109" s="475">
        <v>2000</v>
      </c>
      <c r="BH1109" s="476">
        <v>96789</v>
      </c>
      <c r="BI1109" s="467"/>
      <c r="BJ1109" s="468"/>
    </row>
    <row r="1110" spans="1:62">
      <c r="A1110" s="469">
        <v>46082</v>
      </c>
      <c r="B1110" s="469" t="s">
        <v>747</v>
      </c>
      <c r="C1110" s="508"/>
      <c r="D1110" s="470" t="s">
        <v>749</v>
      </c>
      <c r="E1110" s="471">
        <v>2152</v>
      </c>
      <c r="F1110" s="470" t="s">
        <v>1285</v>
      </c>
      <c r="G1110" s="470" t="s">
        <v>751</v>
      </c>
      <c r="H1110" s="470"/>
      <c r="I1110" s="470" t="s">
        <v>1286</v>
      </c>
      <c r="J1110" s="472" t="s">
        <v>1287</v>
      </c>
      <c r="K1110" s="470" t="s">
        <v>1288</v>
      </c>
      <c r="L1110" s="470" t="s">
        <v>1165</v>
      </c>
      <c r="M1110" s="470" t="s">
        <v>1165</v>
      </c>
      <c r="N1110" s="470" t="s">
        <v>756</v>
      </c>
      <c r="O1110" s="472" t="s">
        <v>757</v>
      </c>
      <c r="P1110" s="472" t="s">
        <v>738</v>
      </c>
      <c r="Q1110" s="472" t="s">
        <v>758</v>
      </c>
      <c r="R1110" s="472" t="s">
        <v>12</v>
      </c>
      <c r="S1110" s="472" t="s">
        <v>12</v>
      </c>
      <c r="T1110" s="472" t="s">
        <v>1289</v>
      </c>
      <c r="U1110" s="470" t="s">
        <v>1290</v>
      </c>
      <c r="V1110" s="470" t="s">
        <v>761</v>
      </c>
      <c r="W1110" s="470" t="s">
        <v>898</v>
      </c>
      <c r="X1110" s="470">
        <v>31</v>
      </c>
      <c r="Y1110" s="470">
        <v>0</v>
      </c>
      <c r="Z1110" s="470">
        <v>0</v>
      </c>
      <c r="AA1110" s="470">
        <v>31</v>
      </c>
      <c r="AB1110" s="470">
        <v>31</v>
      </c>
      <c r="AC1110" s="473">
        <v>32760</v>
      </c>
      <c r="AD1110" s="473">
        <v>32760</v>
      </c>
      <c r="AE1110" s="473">
        <v>14742</v>
      </c>
      <c r="AF1110" s="473">
        <v>5897</v>
      </c>
      <c r="AG1110" s="473">
        <v>1600</v>
      </c>
      <c r="AH1110" s="473">
        <v>200</v>
      </c>
      <c r="AI1110" s="473">
        <v>1250</v>
      </c>
      <c r="AJ1110" s="473">
        <v>0</v>
      </c>
      <c r="AK1110" s="473">
        <v>0</v>
      </c>
      <c r="AL1110" s="473">
        <v>0</v>
      </c>
      <c r="AM1110" s="473">
        <v>0</v>
      </c>
      <c r="AN1110" s="473">
        <v>0</v>
      </c>
      <c r="AO1110" s="473">
        <v>0</v>
      </c>
      <c r="AP1110" s="473">
        <v>0</v>
      </c>
      <c r="AQ1110" s="473">
        <v>1769</v>
      </c>
      <c r="AR1110" s="473">
        <v>7302</v>
      </c>
      <c r="AS1110" s="473">
        <v>0</v>
      </c>
      <c r="AT1110" s="473">
        <v>0</v>
      </c>
      <c r="AU1110" s="473"/>
      <c r="AV1110" s="473">
        <v>32760</v>
      </c>
      <c r="AW1110" s="474">
        <v>32760</v>
      </c>
      <c r="AX1110" s="473">
        <v>0</v>
      </c>
      <c r="AY1110" s="473">
        <v>0</v>
      </c>
      <c r="AZ1110" s="475">
        <v>0</v>
      </c>
      <c r="BA1110" s="475">
        <v>200</v>
      </c>
      <c r="BB1110" s="475">
        <v>1769</v>
      </c>
      <c r="BC1110" s="475">
        <v>0</v>
      </c>
      <c r="BD1110" s="475">
        <v>0</v>
      </c>
      <c r="BE1110" s="475">
        <v>0</v>
      </c>
      <c r="BF1110" s="475">
        <v>0</v>
      </c>
      <c r="BG1110" s="475">
        <v>1969</v>
      </c>
      <c r="BH1110" s="476">
        <v>30791</v>
      </c>
      <c r="BI1110" s="467"/>
      <c r="BJ1110" s="468"/>
    </row>
    <row r="1111" spans="1:62">
      <c r="A1111" s="469">
        <v>46082</v>
      </c>
      <c r="B1111" s="469" t="s">
        <v>747</v>
      </c>
      <c r="C1111" s="508"/>
      <c r="D1111" s="470" t="s">
        <v>749</v>
      </c>
      <c r="E1111" s="471">
        <v>1875</v>
      </c>
      <c r="F1111" s="470" t="s">
        <v>908</v>
      </c>
      <c r="G1111" s="470" t="s">
        <v>751</v>
      </c>
      <c r="H1111" s="470"/>
      <c r="I1111" s="470" t="s">
        <v>909</v>
      </c>
      <c r="J1111" s="472" t="s">
        <v>910</v>
      </c>
      <c r="K1111" s="470" t="s">
        <v>911</v>
      </c>
      <c r="L1111" s="470" t="s">
        <v>1338</v>
      </c>
      <c r="M1111" s="470" t="s">
        <v>776</v>
      </c>
      <c r="N1111" s="470" t="s">
        <v>1275</v>
      </c>
      <c r="O1111" s="472" t="s">
        <v>757</v>
      </c>
      <c r="P1111" s="472" t="s">
        <v>738</v>
      </c>
      <c r="Q1111" s="472" t="s">
        <v>758</v>
      </c>
      <c r="R1111" s="472" t="s">
        <v>12</v>
      </c>
      <c r="S1111" s="472" t="s">
        <v>12</v>
      </c>
      <c r="T1111" s="472" t="s">
        <v>912</v>
      </c>
      <c r="U1111" s="470" t="s">
        <v>913</v>
      </c>
      <c r="V1111" s="470" t="s">
        <v>761</v>
      </c>
      <c r="W1111" s="470" t="s">
        <v>859</v>
      </c>
      <c r="X1111" s="470">
        <v>31</v>
      </c>
      <c r="Y1111" s="470">
        <v>0</v>
      </c>
      <c r="Z1111" s="470">
        <v>0</v>
      </c>
      <c r="AA1111" s="470">
        <v>31</v>
      </c>
      <c r="AB1111" s="470">
        <v>31</v>
      </c>
      <c r="AC1111" s="473">
        <v>65840</v>
      </c>
      <c r="AD1111" s="473">
        <v>65840</v>
      </c>
      <c r="AE1111" s="473">
        <v>29628</v>
      </c>
      <c r="AF1111" s="473">
        <v>11851</v>
      </c>
      <c r="AG1111" s="473">
        <v>1600</v>
      </c>
      <c r="AH1111" s="473">
        <v>200</v>
      </c>
      <c r="AI1111" s="473">
        <v>1250</v>
      </c>
      <c r="AJ1111" s="473">
        <v>2468</v>
      </c>
      <c r="AK1111" s="473">
        <v>5926</v>
      </c>
      <c r="AL1111" s="473">
        <v>4444</v>
      </c>
      <c r="AM1111" s="473">
        <v>296</v>
      </c>
      <c r="AN1111" s="473">
        <v>1037</v>
      </c>
      <c r="AO1111" s="473">
        <v>593</v>
      </c>
      <c r="AP1111" s="473">
        <v>148</v>
      </c>
      <c r="AQ1111" s="473">
        <v>1800</v>
      </c>
      <c r="AR1111" s="473">
        <v>4599</v>
      </c>
      <c r="AS1111" s="473">
        <v>0</v>
      </c>
      <c r="AT1111" s="473">
        <v>2351</v>
      </c>
      <c r="AU1111" s="473">
        <v>2710</v>
      </c>
      <c r="AV1111" s="473">
        <v>70901</v>
      </c>
      <c r="AW1111" s="474">
        <v>68191</v>
      </c>
      <c r="AX1111" s="473">
        <v>0</v>
      </c>
      <c r="AY1111" s="473">
        <v>0</v>
      </c>
      <c r="AZ1111" s="475">
        <v>0</v>
      </c>
      <c r="BA1111" s="475">
        <v>200</v>
      </c>
      <c r="BB1111" s="475">
        <v>1800</v>
      </c>
      <c r="BC1111" s="475">
        <v>0</v>
      </c>
      <c r="BD1111" s="475">
        <v>0</v>
      </c>
      <c r="BE1111" s="475">
        <v>0</v>
      </c>
      <c r="BF1111" s="475">
        <v>0</v>
      </c>
      <c r="BG1111" s="475">
        <v>2000</v>
      </c>
      <c r="BH1111" s="476">
        <v>68901</v>
      </c>
      <c r="BI1111" s="467"/>
      <c r="BJ1111" s="468"/>
    </row>
    <row r="1112" spans="1:62">
      <c r="A1112" s="469">
        <v>46082</v>
      </c>
      <c r="B1112" s="469" t="s">
        <v>747</v>
      </c>
      <c r="C1112" s="508"/>
      <c r="D1112" s="470" t="s">
        <v>749</v>
      </c>
      <c r="E1112" s="471">
        <v>1135</v>
      </c>
      <c r="F1112" s="470" t="s">
        <v>914</v>
      </c>
      <c r="G1112" s="470" t="s">
        <v>751</v>
      </c>
      <c r="H1112" s="470"/>
      <c r="I1112" s="470" t="s">
        <v>915</v>
      </c>
      <c r="J1112" s="472" t="s">
        <v>916</v>
      </c>
      <c r="K1112" s="470" t="s">
        <v>917</v>
      </c>
      <c r="L1112" s="470" t="s">
        <v>942</v>
      </c>
      <c r="M1112" s="470" t="s">
        <v>942</v>
      </c>
      <c r="N1112" s="470" t="s">
        <v>1275</v>
      </c>
      <c r="O1112" s="472" t="s">
        <v>792</v>
      </c>
      <c r="P1112" s="472" t="s">
        <v>738</v>
      </c>
      <c r="Q1112" s="472" t="s">
        <v>758</v>
      </c>
      <c r="R1112" s="472" t="s">
        <v>12</v>
      </c>
      <c r="S1112" s="472" t="s">
        <v>12</v>
      </c>
      <c r="T1112" s="472" t="s">
        <v>919</v>
      </c>
      <c r="U1112" s="470" t="s">
        <v>920</v>
      </c>
      <c r="V1112" s="470" t="s">
        <v>761</v>
      </c>
      <c r="W1112" s="470" t="s">
        <v>921</v>
      </c>
      <c r="X1112" s="470">
        <v>31</v>
      </c>
      <c r="Y1112" s="470">
        <v>0</v>
      </c>
      <c r="Z1112" s="470">
        <v>0</v>
      </c>
      <c r="AA1112" s="470">
        <v>31</v>
      </c>
      <c r="AB1112" s="470">
        <v>31</v>
      </c>
      <c r="AC1112" s="473">
        <v>169400</v>
      </c>
      <c r="AD1112" s="473">
        <v>169400</v>
      </c>
      <c r="AE1112" s="473">
        <v>76230</v>
      </c>
      <c r="AF1112" s="473">
        <v>30492</v>
      </c>
      <c r="AG1112" s="473">
        <v>1600</v>
      </c>
      <c r="AH1112" s="473">
        <v>200</v>
      </c>
      <c r="AI1112" s="473">
        <v>1250</v>
      </c>
      <c r="AJ1112" s="473">
        <v>6350</v>
      </c>
      <c r="AK1112" s="473">
        <v>15246</v>
      </c>
      <c r="AL1112" s="473">
        <v>11435</v>
      </c>
      <c r="AM1112" s="473">
        <v>762</v>
      </c>
      <c r="AN1112" s="473">
        <v>2668</v>
      </c>
      <c r="AO1112" s="473">
        <v>1525</v>
      </c>
      <c r="AP1112" s="473">
        <v>381</v>
      </c>
      <c r="AQ1112" s="473">
        <v>1800</v>
      </c>
      <c r="AR1112" s="473">
        <v>19461</v>
      </c>
      <c r="AS1112" s="473">
        <v>0</v>
      </c>
      <c r="AT1112" s="473">
        <v>0</v>
      </c>
      <c r="AU1112" s="473">
        <v>8668</v>
      </c>
      <c r="AV1112" s="473">
        <v>178068</v>
      </c>
      <c r="AW1112" s="474">
        <v>169400</v>
      </c>
      <c r="AX1112" s="473">
        <v>0</v>
      </c>
      <c r="AY1112" s="473">
        <v>0</v>
      </c>
      <c r="AZ1112" s="475">
        <v>12155</v>
      </c>
      <c r="BA1112" s="475">
        <v>200</v>
      </c>
      <c r="BB1112" s="475">
        <v>1800</v>
      </c>
      <c r="BC1112" s="475">
        <v>0</v>
      </c>
      <c r="BD1112" s="475">
        <v>0</v>
      </c>
      <c r="BE1112" s="475">
        <v>0</v>
      </c>
      <c r="BF1112" s="475">
        <v>0</v>
      </c>
      <c r="BG1112" s="475">
        <v>14155</v>
      </c>
      <c r="BH1112" s="476">
        <v>163913</v>
      </c>
      <c r="BI1112" s="467"/>
      <c r="BJ1112" s="468"/>
    </row>
    <row r="1113" spans="1:62">
      <c r="A1113" s="469">
        <v>46082</v>
      </c>
      <c r="B1113" s="469" t="s">
        <v>747</v>
      </c>
      <c r="C1113" s="508"/>
      <c r="D1113" s="470" t="s">
        <v>749</v>
      </c>
      <c r="E1113" s="471">
        <v>2272</v>
      </c>
      <c r="F1113" s="470" t="s">
        <v>1453</v>
      </c>
      <c r="G1113" s="470" t="s">
        <v>812</v>
      </c>
      <c r="H1113" s="470"/>
      <c r="I1113" s="470" t="s">
        <v>1426</v>
      </c>
      <c r="J1113" s="472" t="s">
        <v>1454</v>
      </c>
      <c r="K1113" s="470" t="s">
        <v>1455</v>
      </c>
      <c r="L1113" s="470" t="s">
        <v>824</v>
      </c>
      <c r="M1113" s="470" t="s">
        <v>824</v>
      </c>
      <c r="N1113" s="470" t="s">
        <v>1275</v>
      </c>
      <c r="O1113" s="472" t="s">
        <v>1276</v>
      </c>
      <c r="P1113" s="472" t="s">
        <v>738</v>
      </c>
      <c r="Q1113" s="472" t="s">
        <v>758</v>
      </c>
      <c r="R1113" s="472" t="s">
        <v>12</v>
      </c>
      <c r="S1113" s="472" t="s">
        <v>12</v>
      </c>
      <c r="T1113" s="472" t="s">
        <v>1456</v>
      </c>
      <c r="U1113" s="470" t="s">
        <v>1457</v>
      </c>
      <c r="V1113" s="470" t="s">
        <v>761</v>
      </c>
      <c r="W1113" s="470" t="s">
        <v>1458</v>
      </c>
      <c r="X1113" s="470">
        <v>31</v>
      </c>
      <c r="Y1113" s="470">
        <v>0</v>
      </c>
      <c r="Z1113" s="470">
        <v>0.5</v>
      </c>
      <c r="AA1113" s="470">
        <v>30.5</v>
      </c>
      <c r="AB1113" s="470">
        <v>30.5</v>
      </c>
      <c r="AC1113" s="473">
        <v>44033</v>
      </c>
      <c r="AD1113" s="473">
        <v>44033</v>
      </c>
      <c r="AE1113" s="473">
        <v>19495</v>
      </c>
      <c r="AF1113" s="473">
        <v>7798</v>
      </c>
      <c r="AG1113" s="473">
        <v>1574</v>
      </c>
      <c r="AH1113" s="473">
        <v>197</v>
      </c>
      <c r="AI1113" s="473">
        <v>1230</v>
      </c>
      <c r="AJ1113" s="473">
        <v>1624</v>
      </c>
      <c r="AK1113" s="473">
        <v>3899</v>
      </c>
      <c r="AL1113" s="473">
        <v>2924</v>
      </c>
      <c r="AM1113" s="473">
        <v>195</v>
      </c>
      <c r="AN1113" s="473">
        <v>682</v>
      </c>
      <c r="AO1113" s="473">
        <v>390</v>
      </c>
      <c r="AP1113" s="473">
        <v>97</v>
      </c>
      <c r="AQ1113" s="473">
        <v>1800</v>
      </c>
      <c r="AR1113" s="473">
        <v>1418</v>
      </c>
      <c r="AS1113" s="473">
        <v>0</v>
      </c>
      <c r="AT1113" s="473">
        <v>0</v>
      </c>
      <c r="AU1113" s="473">
        <v>1479</v>
      </c>
      <c r="AV1113" s="473">
        <v>44802</v>
      </c>
      <c r="AW1113" s="474">
        <v>43323</v>
      </c>
      <c r="AX1113" s="473">
        <v>0</v>
      </c>
      <c r="AY1113" s="473">
        <v>0</v>
      </c>
      <c r="AZ1113" s="475">
        <v>0</v>
      </c>
      <c r="BA1113" s="475">
        <v>200</v>
      </c>
      <c r="BB1113" s="475">
        <v>1800</v>
      </c>
      <c r="BC1113" s="475">
        <v>0</v>
      </c>
      <c r="BD1113" s="475">
        <v>0</v>
      </c>
      <c r="BE1113" s="475">
        <v>0</v>
      </c>
      <c r="BF1113" s="475">
        <v>0</v>
      </c>
      <c r="BG1113" s="475">
        <v>2000</v>
      </c>
      <c r="BH1113" s="476">
        <v>42802</v>
      </c>
      <c r="BI1113" s="467"/>
      <c r="BJ1113" s="468"/>
    </row>
    <row r="1114" spans="1:62">
      <c r="A1114" s="469">
        <v>46082</v>
      </c>
      <c r="B1114" s="469" t="s">
        <v>747</v>
      </c>
      <c r="C1114" s="508"/>
      <c r="D1114" s="470" t="s">
        <v>749</v>
      </c>
      <c r="E1114" s="471">
        <v>726</v>
      </c>
      <c r="F1114" s="470" t="s">
        <v>930</v>
      </c>
      <c r="G1114" s="470" t="s">
        <v>812</v>
      </c>
      <c r="H1114" s="470"/>
      <c r="I1114" s="470" t="s">
        <v>931</v>
      </c>
      <c r="J1114" s="472" t="s">
        <v>932</v>
      </c>
      <c r="K1114" s="470" t="s">
        <v>933</v>
      </c>
      <c r="L1114" s="470" t="s">
        <v>934</v>
      </c>
      <c r="M1114" s="470" t="s">
        <v>934</v>
      </c>
      <c r="N1114" s="470" t="s">
        <v>1075</v>
      </c>
      <c r="O1114" s="472" t="s">
        <v>757</v>
      </c>
      <c r="P1114" s="472" t="s">
        <v>738</v>
      </c>
      <c r="Q1114" s="472" t="s">
        <v>758</v>
      </c>
      <c r="R1114" s="472" t="s">
        <v>12</v>
      </c>
      <c r="S1114" s="472" t="s">
        <v>12</v>
      </c>
      <c r="T1114" s="472" t="s">
        <v>935</v>
      </c>
      <c r="U1114" s="470" t="s">
        <v>936</v>
      </c>
      <c r="V1114" s="470" t="s">
        <v>761</v>
      </c>
      <c r="W1114" s="470" t="s">
        <v>762</v>
      </c>
      <c r="X1114" s="470">
        <v>31</v>
      </c>
      <c r="Y1114" s="470">
        <v>0</v>
      </c>
      <c r="Z1114" s="470">
        <v>0</v>
      </c>
      <c r="AA1114" s="470">
        <v>31</v>
      </c>
      <c r="AB1114" s="470">
        <v>31</v>
      </c>
      <c r="AC1114" s="473">
        <v>27904</v>
      </c>
      <c r="AD1114" s="473">
        <v>27904</v>
      </c>
      <c r="AE1114" s="473">
        <v>12557</v>
      </c>
      <c r="AF1114" s="473">
        <v>5023</v>
      </c>
      <c r="AG1114" s="473">
        <v>1600</v>
      </c>
      <c r="AH1114" s="473">
        <v>200</v>
      </c>
      <c r="AI1114" s="473">
        <v>1250</v>
      </c>
      <c r="AJ1114" s="473">
        <v>0</v>
      </c>
      <c r="AK1114" s="473">
        <v>0</v>
      </c>
      <c r="AL1114" s="473">
        <v>0</v>
      </c>
      <c r="AM1114" s="473">
        <v>0</v>
      </c>
      <c r="AN1114" s="473">
        <v>0</v>
      </c>
      <c r="AO1114" s="473">
        <v>0</v>
      </c>
      <c r="AP1114" s="473">
        <v>0</v>
      </c>
      <c r="AQ1114" s="473">
        <v>1507</v>
      </c>
      <c r="AR1114" s="473">
        <v>5767</v>
      </c>
      <c r="AS1114" s="473">
        <v>0</v>
      </c>
      <c r="AT1114" s="473">
        <v>0</v>
      </c>
      <c r="AU1114" s="473"/>
      <c r="AV1114" s="473">
        <v>27904</v>
      </c>
      <c r="AW1114" s="474">
        <v>27904</v>
      </c>
      <c r="AX1114" s="473">
        <v>0</v>
      </c>
      <c r="AY1114" s="473">
        <v>0</v>
      </c>
      <c r="AZ1114" s="475">
        <v>0</v>
      </c>
      <c r="BA1114" s="475">
        <v>200</v>
      </c>
      <c r="BB1114" s="475">
        <v>1507</v>
      </c>
      <c r="BC1114" s="475">
        <v>0</v>
      </c>
      <c r="BD1114" s="475">
        <v>0</v>
      </c>
      <c r="BE1114" s="475">
        <v>0</v>
      </c>
      <c r="BF1114" s="475">
        <v>0</v>
      </c>
      <c r="BG1114" s="475">
        <v>1707</v>
      </c>
      <c r="BH1114" s="476">
        <v>26197</v>
      </c>
      <c r="BI1114" s="467"/>
      <c r="BJ1114" s="468"/>
    </row>
    <row r="1115" spans="1:62">
      <c r="A1115" s="469">
        <v>46082</v>
      </c>
      <c r="B1115" s="469" t="s">
        <v>747</v>
      </c>
      <c r="C1115" s="508"/>
      <c r="D1115" s="470" t="s">
        <v>749</v>
      </c>
      <c r="E1115" s="471">
        <v>1722</v>
      </c>
      <c r="F1115" s="470" t="s">
        <v>937</v>
      </c>
      <c r="G1115" s="470" t="s">
        <v>751</v>
      </c>
      <c r="H1115" s="470"/>
      <c r="I1115" s="470" t="s">
        <v>938</v>
      </c>
      <c r="J1115" s="472" t="s">
        <v>939</v>
      </c>
      <c r="K1115" s="470" t="s">
        <v>940</v>
      </c>
      <c r="L1115" s="470" t="s">
        <v>941</v>
      </c>
      <c r="M1115" s="470" t="s">
        <v>941</v>
      </c>
      <c r="N1115" s="470" t="s">
        <v>756</v>
      </c>
      <c r="O1115" s="472" t="s">
        <v>943</v>
      </c>
      <c r="P1115" s="472" t="s">
        <v>738</v>
      </c>
      <c r="Q1115" s="472" t="s">
        <v>758</v>
      </c>
      <c r="R1115" s="472" t="s">
        <v>12</v>
      </c>
      <c r="S1115" s="472" t="s">
        <v>12</v>
      </c>
      <c r="T1115" s="472" t="s">
        <v>944</v>
      </c>
      <c r="U1115" s="470" t="s">
        <v>945</v>
      </c>
      <c r="V1115" s="470" t="s">
        <v>761</v>
      </c>
      <c r="W1115" s="470" t="s">
        <v>946</v>
      </c>
      <c r="X1115" s="470">
        <v>31</v>
      </c>
      <c r="Y1115" s="470">
        <v>0</v>
      </c>
      <c r="Z1115" s="470">
        <v>0</v>
      </c>
      <c r="AA1115" s="470">
        <v>31</v>
      </c>
      <c r="AB1115" s="470">
        <v>31</v>
      </c>
      <c r="AC1115" s="473">
        <v>434795</v>
      </c>
      <c r="AD1115" s="473">
        <v>434795</v>
      </c>
      <c r="AE1115" s="473">
        <v>195658</v>
      </c>
      <c r="AF1115" s="473">
        <v>78263</v>
      </c>
      <c r="AG1115" s="473">
        <v>1600</v>
      </c>
      <c r="AH1115" s="473">
        <v>200</v>
      </c>
      <c r="AI1115" s="473">
        <v>1250</v>
      </c>
      <c r="AJ1115" s="473">
        <v>16298</v>
      </c>
      <c r="AK1115" s="473">
        <v>39132</v>
      </c>
      <c r="AL1115" s="473">
        <v>29349</v>
      </c>
      <c r="AM1115" s="473">
        <v>1957</v>
      </c>
      <c r="AN1115" s="473">
        <v>6848</v>
      </c>
      <c r="AO1115" s="473">
        <v>3913</v>
      </c>
      <c r="AP1115" s="473">
        <v>978</v>
      </c>
      <c r="AQ1115" s="473">
        <v>1800</v>
      </c>
      <c r="AR1115" s="473">
        <v>57549</v>
      </c>
      <c r="AS1115" s="473">
        <v>0</v>
      </c>
      <c r="AT1115" s="473">
        <v>0</v>
      </c>
      <c r="AU1115" s="473">
        <v>3036</v>
      </c>
      <c r="AV1115" s="473">
        <v>437831</v>
      </c>
      <c r="AW1115" s="474">
        <v>434795</v>
      </c>
      <c r="AX1115" s="473">
        <v>0</v>
      </c>
      <c r="AY1115" s="473">
        <v>0</v>
      </c>
      <c r="AZ1115" s="475">
        <v>236998</v>
      </c>
      <c r="BA1115" s="475">
        <v>200</v>
      </c>
      <c r="BB1115" s="475">
        <v>1800</v>
      </c>
      <c r="BC1115" s="475">
        <v>0</v>
      </c>
      <c r="BD1115" s="475">
        <v>0</v>
      </c>
      <c r="BE1115" s="475">
        <v>0</v>
      </c>
      <c r="BF1115" s="475">
        <v>0</v>
      </c>
      <c r="BG1115" s="475">
        <v>238998</v>
      </c>
      <c r="BH1115" s="476">
        <v>195797</v>
      </c>
      <c r="BI1115" s="467"/>
      <c r="BJ1115" s="468"/>
    </row>
    <row r="1116" spans="1:62">
      <c r="A1116" s="469">
        <v>46082</v>
      </c>
      <c r="B1116" s="469" t="s">
        <v>747</v>
      </c>
      <c r="C1116" s="508"/>
      <c r="D1116" s="470" t="s">
        <v>749</v>
      </c>
      <c r="E1116" s="471">
        <v>2241</v>
      </c>
      <c r="F1116" s="470" t="s">
        <v>1407</v>
      </c>
      <c r="G1116" s="470" t="s">
        <v>812</v>
      </c>
      <c r="H1116" s="470"/>
      <c r="I1116" s="470" t="s">
        <v>1408</v>
      </c>
      <c r="J1116" s="472" t="s">
        <v>1409</v>
      </c>
      <c r="K1116" s="470" t="s">
        <v>1410</v>
      </c>
      <c r="L1116" s="470" t="s">
        <v>1411</v>
      </c>
      <c r="M1116" s="470" t="s">
        <v>1411</v>
      </c>
      <c r="N1116" s="470" t="s">
        <v>1275</v>
      </c>
      <c r="O1116" s="472" t="s">
        <v>757</v>
      </c>
      <c r="P1116" s="472" t="s">
        <v>738</v>
      </c>
      <c r="Q1116" s="472" t="s">
        <v>758</v>
      </c>
      <c r="R1116" s="472" t="s">
        <v>12</v>
      </c>
      <c r="S1116" s="472" t="s">
        <v>12</v>
      </c>
      <c r="T1116" s="472" t="s">
        <v>1412</v>
      </c>
      <c r="U1116" s="470" t="s">
        <v>1413</v>
      </c>
      <c r="V1116" s="470" t="s">
        <v>761</v>
      </c>
      <c r="W1116" s="470" t="s">
        <v>1414</v>
      </c>
      <c r="X1116" s="470">
        <v>31</v>
      </c>
      <c r="Y1116" s="470">
        <v>0</v>
      </c>
      <c r="Z1116" s="470">
        <v>0</v>
      </c>
      <c r="AA1116" s="470">
        <v>31</v>
      </c>
      <c r="AB1116" s="470">
        <v>31</v>
      </c>
      <c r="AC1116" s="473">
        <v>47367</v>
      </c>
      <c r="AD1116" s="473">
        <v>47367</v>
      </c>
      <c r="AE1116" s="473">
        <v>21315</v>
      </c>
      <c r="AF1116" s="473">
        <v>8526</v>
      </c>
      <c r="AG1116" s="473">
        <v>1600</v>
      </c>
      <c r="AH1116" s="473">
        <v>200</v>
      </c>
      <c r="AI1116" s="473">
        <v>1250</v>
      </c>
      <c r="AJ1116" s="473">
        <v>1776</v>
      </c>
      <c r="AK1116" s="473">
        <v>4263</v>
      </c>
      <c r="AL1116" s="473">
        <v>3197</v>
      </c>
      <c r="AM1116" s="473">
        <v>213</v>
      </c>
      <c r="AN1116" s="473">
        <v>746</v>
      </c>
      <c r="AO1116" s="473">
        <v>426</v>
      </c>
      <c r="AP1116" s="473">
        <v>107</v>
      </c>
      <c r="AQ1116" s="473">
        <v>1800</v>
      </c>
      <c r="AR1116" s="473">
        <v>1948</v>
      </c>
      <c r="AS1116" s="473">
        <v>0</v>
      </c>
      <c r="AT1116" s="473">
        <v>0</v>
      </c>
      <c r="AU1116" s="473"/>
      <c r="AV1116" s="473">
        <v>47367</v>
      </c>
      <c r="AW1116" s="474">
        <v>47367</v>
      </c>
      <c r="AX1116" s="473">
        <v>0</v>
      </c>
      <c r="AY1116" s="473">
        <v>0</v>
      </c>
      <c r="AZ1116" s="475">
        <v>0</v>
      </c>
      <c r="BA1116" s="475">
        <v>200</v>
      </c>
      <c r="BB1116" s="475">
        <v>1800</v>
      </c>
      <c r="BC1116" s="475">
        <v>0</v>
      </c>
      <c r="BD1116" s="475">
        <v>0</v>
      </c>
      <c r="BE1116" s="475">
        <v>0</v>
      </c>
      <c r="BF1116" s="475">
        <v>0</v>
      </c>
      <c r="BG1116" s="475">
        <v>2000</v>
      </c>
      <c r="BH1116" s="476">
        <v>45367</v>
      </c>
      <c r="BI1116" s="467"/>
      <c r="BJ1116" s="468"/>
    </row>
    <row r="1117" spans="1:62">
      <c r="A1117" s="469">
        <v>46082</v>
      </c>
      <c r="B1117" s="469" t="s">
        <v>747</v>
      </c>
      <c r="C1117" s="508"/>
      <c r="D1117" s="470" t="s">
        <v>749</v>
      </c>
      <c r="E1117" s="471">
        <v>382</v>
      </c>
      <c r="F1117" s="470" t="s">
        <v>953</v>
      </c>
      <c r="G1117" s="470" t="s">
        <v>751</v>
      </c>
      <c r="H1117" s="470"/>
      <c r="I1117" s="470" t="s">
        <v>954</v>
      </c>
      <c r="J1117" s="472" t="s">
        <v>955</v>
      </c>
      <c r="K1117" s="470" t="s">
        <v>956</v>
      </c>
      <c r="L1117" s="470" t="s">
        <v>1305</v>
      </c>
      <c r="M1117" s="470" t="s">
        <v>1305</v>
      </c>
      <c r="N1117" s="470" t="s">
        <v>833</v>
      </c>
      <c r="O1117" s="472" t="s">
        <v>757</v>
      </c>
      <c r="P1117" s="472" t="s">
        <v>738</v>
      </c>
      <c r="Q1117" s="472" t="s">
        <v>758</v>
      </c>
      <c r="R1117" s="472" t="s">
        <v>12</v>
      </c>
      <c r="S1117" s="472" t="s">
        <v>12</v>
      </c>
      <c r="T1117" s="472" t="s">
        <v>958</v>
      </c>
      <c r="U1117" s="470" t="s">
        <v>959</v>
      </c>
      <c r="V1117" s="470" t="s">
        <v>761</v>
      </c>
      <c r="W1117" s="470" t="s">
        <v>960</v>
      </c>
      <c r="X1117" s="470">
        <v>31</v>
      </c>
      <c r="Y1117" s="470">
        <v>0</v>
      </c>
      <c r="Z1117" s="470">
        <v>0</v>
      </c>
      <c r="AA1117" s="470">
        <v>31</v>
      </c>
      <c r="AB1117" s="470">
        <v>31</v>
      </c>
      <c r="AC1117" s="473">
        <v>36950</v>
      </c>
      <c r="AD1117" s="473">
        <v>36950</v>
      </c>
      <c r="AE1117" s="473">
        <v>16628</v>
      </c>
      <c r="AF1117" s="473">
        <v>6651</v>
      </c>
      <c r="AG1117" s="473">
        <v>1600</v>
      </c>
      <c r="AH1117" s="473">
        <v>200</v>
      </c>
      <c r="AI1117" s="473">
        <v>1250</v>
      </c>
      <c r="AJ1117" s="473">
        <v>0</v>
      </c>
      <c r="AK1117" s="473">
        <v>0</v>
      </c>
      <c r="AL1117" s="473">
        <v>0</v>
      </c>
      <c r="AM1117" s="473">
        <v>0</v>
      </c>
      <c r="AN1117" s="473">
        <v>0</v>
      </c>
      <c r="AO1117" s="473">
        <v>0</v>
      </c>
      <c r="AP1117" s="473">
        <v>0</v>
      </c>
      <c r="AQ1117" s="473">
        <v>1800</v>
      </c>
      <c r="AR1117" s="473">
        <v>8821</v>
      </c>
      <c r="AS1117" s="473">
        <v>0</v>
      </c>
      <c r="AT1117" s="473">
        <v>660</v>
      </c>
      <c r="AU1117" s="473">
        <v>6165</v>
      </c>
      <c r="AV1117" s="473">
        <v>43775</v>
      </c>
      <c r="AW1117" s="474">
        <v>37610</v>
      </c>
      <c r="AX1117" s="473">
        <v>0</v>
      </c>
      <c r="AY1117" s="473">
        <v>0</v>
      </c>
      <c r="AZ1117" s="475">
        <v>0</v>
      </c>
      <c r="BA1117" s="475">
        <v>200</v>
      </c>
      <c r="BB1117" s="475">
        <v>1800</v>
      </c>
      <c r="BC1117" s="475">
        <v>0</v>
      </c>
      <c r="BD1117" s="475">
        <v>0</v>
      </c>
      <c r="BE1117" s="475">
        <v>0</v>
      </c>
      <c r="BF1117" s="475">
        <v>0</v>
      </c>
      <c r="BG1117" s="475">
        <v>2000</v>
      </c>
      <c r="BH1117" s="476">
        <v>41775</v>
      </c>
      <c r="BI1117" s="467"/>
      <c r="BJ1117" s="468"/>
    </row>
    <row r="1118" spans="1:62">
      <c r="A1118" s="469">
        <v>46082</v>
      </c>
      <c r="B1118" s="469" t="s">
        <v>747</v>
      </c>
      <c r="C1118" s="508"/>
      <c r="D1118" s="470" t="s">
        <v>749</v>
      </c>
      <c r="E1118" s="471">
        <v>511</v>
      </c>
      <c r="F1118" s="470" t="s">
        <v>961</v>
      </c>
      <c r="G1118" s="470" t="s">
        <v>751</v>
      </c>
      <c r="H1118" s="470"/>
      <c r="I1118" s="470" t="s">
        <v>962</v>
      </c>
      <c r="J1118" s="472" t="s">
        <v>963</v>
      </c>
      <c r="K1118" s="470" t="s">
        <v>964</v>
      </c>
      <c r="L1118" s="470" t="s">
        <v>776</v>
      </c>
      <c r="M1118" s="470" t="s">
        <v>776</v>
      </c>
      <c r="N1118" s="470" t="s">
        <v>1075</v>
      </c>
      <c r="O1118" s="472" t="s">
        <v>757</v>
      </c>
      <c r="P1118" s="472" t="s">
        <v>738</v>
      </c>
      <c r="Q1118" s="472" t="s">
        <v>758</v>
      </c>
      <c r="R1118" s="472" t="s">
        <v>12</v>
      </c>
      <c r="S1118" s="472" t="s">
        <v>12</v>
      </c>
      <c r="T1118" s="472" t="s">
        <v>965</v>
      </c>
      <c r="U1118" s="470" t="s">
        <v>966</v>
      </c>
      <c r="V1118" s="470" t="s">
        <v>761</v>
      </c>
      <c r="W1118" s="470" t="s">
        <v>845</v>
      </c>
      <c r="X1118" s="470">
        <v>31</v>
      </c>
      <c r="Y1118" s="470">
        <v>0</v>
      </c>
      <c r="Z1118" s="470">
        <v>0</v>
      </c>
      <c r="AA1118" s="470">
        <v>31</v>
      </c>
      <c r="AB1118" s="470">
        <v>31</v>
      </c>
      <c r="AC1118" s="473">
        <v>43308</v>
      </c>
      <c r="AD1118" s="473">
        <v>43308</v>
      </c>
      <c r="AE1118" s="473">
        <v>19489</v>
      </c>
      <c r="AF1118" s="473">
        <v>7796</v>
      </c>
      <c r="AG1118" s="473">
        <v>1600</v>
      </c>
      <c r="AH1118" s="473">
        <v>200</v>
      </c>
      <c r="AI1118" s="473">
        <v>1250</v>
      </c>
      <c r="AJ1118" s="473">
        <v>1623</v>
      </c>
      <c r="AK1118" s="473">
        <v>3898</v>
      </c>
      <c r="AL1118" s="473">
        <v>2923</v>
      </c>
      <c r="AM1118" s="473">
        <v>195</v>
      </c>
      <c r="AN1118" s="473">
        <v>682</v>
      </c>
      <c r="AO1118" s="473">
        <v>390</v>
      </c>
      <c r="AP1118" s="473">
        <v>97</v>
      </c>
      <c r="AQ1118" s="473">
        <v>1800</v>
      </c>
      <c r="AR1118" s="473">
        <v>1365</v>
      </c>
      <c r="AS1118" s="473">
        <v>0</v>
      </c>
      <c r="AT1118" s="473">
        <v>0</v>
      </c>
      <c r="AU1118" s="473">
        <v>3988</v>
      </c>
      <c r="AV1118" s="473">
        <v>47296</v>
      </c>
      <c r="AW1118" s="474">
        <v>43308</v>
      </c>
      <c r="AX1118" s="473">
        <v>0</v>
      </c>
      <c r="AY1118" s="473">
        <v>0</v>
      </c>
      <c r="AZ1118" s="475">
        <v>0</v>
      </c>
      <c r="BA1118" s="475">
        <v>200</v>
      </c>
      <c r="BB1118" s="475">
        <v>1800</v>
      </c>
      <c r="BC1118" s="475">
        <v>0</v>
      </c>
      <c r="BD1118" s="475">
        <v>0</v>
      </c>
      <c r="BE1118" s="475">
        <v>0</v>
      </c>
      <c r="BF1118" s="475">
        <v>0</v>
      </c>
      <c r="BG1118" s="475">
        <v>2000</v>
      </c>
      <c r="BH1118" s="476">
        <v>45296</v>
      </c>
      <c r="BI1118" s="467"/>
      <c r="BJ1118" s="468"/>
    </row>
    <row r="1119" spans="1:62">
      <c r="A1119" s="469">
        <v>46082</v>
      </c>
      <c r="B1119" s="469" t="s">
        <v>747</v>
      </c>
      <c r="C1119" s="508"/>
      <c r="D1119" s="470" t="s">
        <v>749</v>
      </c>
      <c r="E1119" s="471">
        <v>2062</v>
      </c>
      <c r="F1119" s="470" t="s">
        <v>967</v>
      </c>
      <c r="G1119" s="470" t="s">
        <v>751</v>
      </c>
      <c r="H1119" s="470"/>
      <c r="I1119" s="470" t="s">
        <v>968</v>
      </c>
      <c r="J1119" s="472" t="s">
        <v>969</v>
      </c>
      <c r="K1119" s="470" t="s">
        <v>970</v>
      </c>
      <c r="L1119" s="470" t="s">
        <v>971</v>
      </c>
      <c r="M1119" s="470" t="s">
        <v>971</v>
      </c>
      <c r="N1119" s="470" t="s">
        <v>756</v>
      </c>
      <c r="O1119" s="472" t="s">
        <v>792</v>
      </c>
      <c r="P1119" s="472" t="s">
        <v>738</v>
      </c>
      <c r="Q1119" s="472" t="s">
        <v>758</v>
      </c>
      <c r="R1119" s="472" t="s">
        <v>12</v>
      </c>
      <c r="S1119" s="472" t="s">
        <v>12</v>
      </c>
      <c r="T1119" s="472" t="s">
        <v>972</v>
      </c>
      <c r="U1119" s="470" t="s">
        <v>1362</v>
      </c>
      <c r="V1119" s="470" t="s">
        <v>761</v>
      </c>
      <c r="W1119" s="470" t="s">
        <v>974</v>
      </c>
      <c r="X1119" s="470">
        <v>31</v>
      </c>
      <c r="Y1119" s="470">
        <v>0</v>
      </c>
      <c r="Z1119" s="470">
        <v>3</v>
      </c>
      <c r="AA1119" s="470">
        <v>28</v>
      </c>
      <c r="AB1119" s="470">
        <v>28</v>
      </c>
      <c r="AC1119" s="473">
        <v>181533</v>
      </c>
      <c r="AD1119" s="473">
        <v>181533</v>
      </c>
      <c r="AE1119" s="473">
        <v>73784</v>
      </c>
      <c r="AF1119" s="473">
        <v>29514</v>
      </c>
      <c r="AG1119" s="473">
        <v>1445</v>
      </c>
      <c r="AH1119" s="473">
        <v>181</v>
      </c>
      <c r="AI1119" s="473">
        <v>1129</v>
      </c>
      <c r="AJ1119" s="473">
        <v>6146</v>
      </c>
      <c r="AK1119" s="473">
        <v>14757</v>
      </c>
      <c r="AL1119" s="473">
        <v>11068</v>
      </c>
      <c r="AM1119" s="473">
        <v>738</v>
      </c>
      <c r="AN1119" s="473">
        <v>2582</v>
      </c>
      <c r="AO1119" s="473">
        <v>1476</v>
      </c>
      <c r="AP1119" s="473">
        <v>369</v>
      </c>
      <c r="AQ1119" s="473">
        <v>1800</v>
      </c>
      <c r="AR1119" s="473">
        <v>18976</v>
      </c>
      <c r="AS1119" s="473">
        <v>0</v>
      </c>
      <c r="AT1119" s="473">
        <v>0</v>
      </c>
      <c r="AU1119" s="473">
        <v>3</v>
      </c>
      <c r="AV1119" s="473">
        <v>163968</v>
      </c>
      <c r="AW1119" s="474">
        <v>163965</v>
      </c>
      <c r="AX1119" s="473">
        <v>0</v>
      </c>
      <c r="AY1119" s="473">
        <v>0</v>
      </c>
      <c r="AZ1119" s="475">
        <v>11817</v>
      </c>
      <c r="BA1119" s="475">
        <v>200</v>
      </c>
      <c r="BB1119" s="475">
        <v>1800</v>
      </c>
      <c r="BC1119" s="475">
        <v>0</v>
      </c>
      <c r="BD1119" s="475">
        <v>0</v>
      </c>
      <c r="BE1119" s="475">
        <v>0</v>
      </c>
      <c r="BF1119" s="475">
        <v>0</v>
      </c>
      <c r="BG1119" s="475">
        <v>13817</v>
      </c>
      <c r="BH1119" s="476">
        <v>150151</v>
      </c>
      <c r="BI1119" s="467"/>
      <c r="BJ1119" s="468"/>
    </row>
    <row r="1120" spans="1:62">
      <c r="A1120" s="469">
        <v>46082</v>
      </c>
      <c r="B1120" s="469" t="s">
        <v>747</v>
      </c>
      <c r="C1120" s="508"/>
      <c r="D1120" s="470" t="s">
        <v>749</v>
      </c>
      <c r="E1120" s="471">
        <v>2300</v>
      </c>
      <c r="F1120" s="470" t="s">
        <v>1522</v>
      </c>
      <c r="G1120" s="470" t="s">
        <v>751</v>
      </c>
      <c r="H1120" s="470"/>
      <c r="I1120" s="470" t="s">
        <v>1523</v>
      </c>
      <c r="J1120" s="472" t="s">
        <v>1524</v>
      </c>
      <c r="K1120" s="470" t="s">
        <v>1525</v>
      </c>
      <c r="L1120" s="470" t="s">
        <v>971</v>
      </c>
      <c r="M1120" s="470" t="s">
        <v>1512</v>
      </c>
      <c r="N1120" s="470" t="s">
        <v>1275</v>
      </c>
      <c r="O1120" s="472" t="s">
        <v>792</v>
      </c>
      <c r="P1120" s="472" t="s">
        <v>738</v>
      </c>
      <c r="Q1120" s="472" t="s">
        <v>758</v>
      </c>
      <c r="R1120" s="472" t="s">
        <v>12</v>
      </c>
      <c r="S1120" s="472" t="s">
        <v>12</v>
      </c>
      <c r="T1120" s="472" t="s">
        <v>1526</v>
      </c>
      <c r="U1120" s="470" t="s">
        <v>1527</v>
      </c>
      <c r="V1120" s="470" t="s">
        <v>761</v>
      </c>
      <c r="W1120" s="470" t="s">
        <v>845</v>
      </c>
      <c r="X1120" s="470">
        <v>31</v>
      </c>
      <c r="Y1120" s="470">
        <v>0</v>
      </c>
      <c r="Z1120" s="470">
        <v>5</v>
      </c>
      <c r="AA1120" s="470">
        <v>26</v>
      </c>
      <c r="AB1120" s="470">
        <v>26</v>
      </c>
      <c r="AC1120" s="473">
        <v>142367</v>
      </c>
      <c r="AD1120" s="473">
        <v>142367</v>
      </c>
      <c r="AE1120" s="473">
        <v>53732</v>
      </c>
      <c r="AF1120" s="473">
        <v>21493</v>
      </c>
      <c r="AG1120" s="473">
        <v>1342</v>
      </c>
      <c r="AH1120" s="473">
        <v>168</v>
      </c>
      <c r="AI1120" s="473">
        <v>1048</v>
      </c>
      <c r="AJ1120" s="473">
        <v>4476</v>
      </c>
      <c r="AK1120" s="473">
        <v>10746</v>
      </c>
      <c r="AL1120" s="473">
        <v>8060</v>
      </c>
      <c r="AM1120" s="473">
        <v>537</v>
      </c>
      <c r="AN1120" s="473">
        <v>1881</v>
      </c>
      <c r="AO1120" s="473">
        <v>1075</v>
      </c>
      <c r="AP1120" s="473">
        <v>269</v>
      </c>
      <c r="AQ1120" s="473">
        <v>1800</v>
      </c>
      <c r="AR1120" s="473">
        <v>12778</v>
      </c>
      <c r="AS1120" s="473">
        <v>0</v>
      </c>
      <c r="AT1120" s="473">
        <v>0</v>
      </c>
      <c r="AU1120" s="473">
        <v>6757</v>
      </c>
      <c r="AV1120" s="473">
        <v>126162</v>
      </c>
      <c r="AW1120" s="474">
        <v>119405</v>
      </c>
      <c r="AX1120" s="473">
        <v>0</v>
      </c>
      <c r="AY1120" s="473">
        <v>0</v>
      </c>
      <c r="AZ1120" s="475">
        <v>0</v>
      </c>
      <c r="BA1120" s="475">
        <v>200</v>
      </c>
      <c r="BB1120" s="475">
        <v>1800</v>
      </c>
      <c r="BC1120" s="475">
        <v>0</v>
      </c>
      <c r="BD1120" s="475">
        <v>0</v>
      </c>
      <c r="BE1120" s="475">
        <v>0</v>
      </c>
      <c r="BF1120" s="475">
        <v>0</v>
      </c>
      <c r="BG1120" s="475">
        <v>2000</v>
      </c>
      <c r="BH1120" s="476">
        <v>124162</v>
      </c>
      <c r="BI1120" s="467"/>
      <c r="BJ1120" s="468"/>
    </row>
    <row r="1121" spans="1:62">
      <c r="A1121" s="469">
        <v>46082</v>
      </c>
      <c r="B1121" s="469" t="s">
        <v>747</v>
      </c>
      <c r="C1121" s="508"/>
      <c r="D1121" s="470" t="s">
        <v>749</v>
      </c>
      <c r="E1121" s="471">
        <v>2282</v>
      </c>
      <c r="F1121" s="470" t="s">
        <v>1459</v>
      </c>
      <c r="G1121" s="470" t="s">
        <v>812</v>
      </c>
      <c r="H1121" s="470"/>
      <c r="I1121" s="470" t="s">
        <v>1447</v>
      </c>
      <c r="J1121" s="472" t="s">
        <v>1460</v>
      </c>
      <c r="K1121" s="470" t="s">
        <v>1461</v>
      </c>
      <c r="L1121" s="470" t="s">
        <v>1345</v>
      </c>
      <c r="M1121" s="470" t="s">
        <v>994</v>
      </c>
      <c r="N1121" s="470" t="s">
        <v>1275</v>
      </c>
      <c r="O1121" s="472" t="s">
        <v>757</v>
      </c>
      <c r="P1121" s="472" t="s">
        <v>738</v>
      </c>
      <c r="Q1121" s="472" t="s">
        <v>758</v>
      </c>
      <c r="R1121" s="472" t="s">
        <v>12</v>
      </c>
      <c r="S1121" s="472" t="s">
        <v>12</v>
      </c>
      <c r="T1121" s="472" t="s">
        <v>1462</v>
      </c>
      <c r="U1121" s="470" t="s">
        <v>1463</v>
      </c>
      <c r="V1121" s="470" t="s">
        <v>761</v>
      </c>
      <c r="W1121" s="470" t="s">
        <v>1464</v>
      </c>
      <c r="X1121" s="470">
        <v>31</v>
      </c>
      <c r="Y1121" s="470">
        <v>0</v>
      </c>
      <c r="Z1121" s="470">
        <v>0</v>
      </c>
      <c r="AA1121" s="470">
        <v>31</v>
      </c>
      <c r="AB1121" s="470">
        <v>31</v>
      </c>
      <c r="AC1121" s="473">
        <v>76500</v>
      </c>
      <c r="AD1121" s="473">
        <v>76500</v>
      </c>
      <c r="AE1121" s="473">
        <v>34425</v>
      </c>
      <c r="AF1121" s="473">
        <v>13770</v>
      </c>
      <c r="AG1121" s="473">
        <v>1600</v>
      </c>
      <c r="AH1121" s="473">
        <v>200</v>
      </c>
      <c r="AI1121" s="473">
        <v>1250</v>
      </c>
      <c r="AJ1121" s="473">
        <v>2868</v>
      </c>
      <c r="AK1121" s="473">
        <v>6885</v>
      </c>
      <c r="AL1121" s="473">
        <v>5164</v>
      </c>
      <c r="AM1121" s="473">
        <v>344</v>
      </c>
      <c r="AN1121" s="473">
        <v>1205</v>
      </c>
      <c r="AO1121" s="473">
        <v>689</v>
      </c>
      <c r="AP1121" s="473">
        <v>172</v>
      </c>
      <c r="AQ1121" s="473">
        <v>1800</v>
      </c>
      <c r="AR1121" s="473">
        <v>6128</v>
      </c>
      <c r="AS1121" s="473">
        <v>0</v>
      </c>
      <c r="AT1121" s="473">
        <v>0</v>
      </c>
      <c r="AU1121" s="473"/>
      <c r="AV1121" s="473">
        <v>76500</v>
      </c>
      <c r="AW1121" s="474">
        <v>76500</v>
      </c>
      <c r="AX1121" s="473">
        <v>0</v>
      </c>
      <c r="AY1121" s="473">
        <v>0</v>
      </c>
      <c r="AZ1121" s="475">
        <v>0</v>
      </c>
      <c r="BA1121" s="475">
        <v>200</v>
      </c>
      <c r="BB1121" s="475">
        <v>1800</v>
      </c>
      <c r="BC1121" s="475">
        <v>0</v>
      </c>
      <c r="BD1121" s="475">
        <v>0</v>
      </c>
      <c r="BE1121" s="475">
        <v>0</v>
      </c>
      <c r="BF1121" s="475">
        <v>0</v>
      </c>
      <c r="BG1121" s="475">
        <v>2000</v>
      </c>
      <c r="BH1121" s="476">
        <v>74500</v>
      </c>
      <c r="BI1121" s="467"/>
      <c r="BJ1121" s="468"/>
    </row>
    <row r="1122" spans="1:62">
      <c r="A1122" s="469">
        <v>46082</v>
      </c>
      <c r="B1122" s="469" t="s">
        <v>747</v>
      </c>
      <c r="C1122" s="508"/>
      <c r="D1122" s="470" t="s">
        <v>749</v>
      </c>
      <c r="E1122" s="471">
        <v>1092</v>
      </c>
      <c r="F1122" s="470" t="s">
        <v>975</v>
      </c>
      <c r="G1122" s="470" t="s">
        <v>751</v>
      </c>
      <c r="H1122" s="470"/>
      <c r="I1122" s="470" t="s">
        <v>976</v>
      </c>
      <c r="J1122" s="472" t="s">
        <v>977</v>
      </c>
      <c r="K1122" s="470" t="s">
        <v>978</v>
      </c>
      <c r="L1122" s="470" t="s">
        <v>1345</v>
      </c>
      <c r="M1122" s="470" t="s">
        <v>1345</v>
      </c>
      <c r="N1122" s="470" t="s">
        <v>1275</v>
      </c>
      <c r="O1122" s="472" t="s">
        <v>757</v>
      </c>
      <c r="P1122" s="472" t="s">
        <v>738</v>
      </c>
      <c r="Q1122" s="472" t="s">
        <v>758</v>
      </c>
      <c r="R1122" s="472" t="s">
        <v>12</v>
      </c>
      <c r="S1122" s="472" t="s">
        <v>12</v>
      </c>
      <c r="T1122" s="472" t="s">
        <v>981</v>
      </c>
      <c r="U1122" s="470" t="s">
        <v>982</v>
      </c>
      <c r="V1122" s="470" t="s">
        <v>761</v>
      </c>
      <c r="W1122" s="470" t="s">
        <v>762</v>
      </c>
      <c r="X1122" s="470">
        <v>31</v>
      </c>
      <c r="Y1122" s="470">
        <v>0</v>
      </c>
      <c r="Z1122" s="470">
        <v>0</v>
      </c>
      <c r="AA1122" s="470">
        <v>31</v>
      </c>
      <c r="AB1122" s="470">
        <v>31</v>
      </c>
      <c r="AC1122" s="473">
        <v>71927</v>
      </c>
      <c r="AD1122" s="473">
        <v>71927</v>
      </c>
      <c r="AE1122" s="473">
        <v>32367</v>
      </c>
      <c r="AF1122" s="473">
        <v>12947</v>
      </c>
      <c r="AG1122" s="473">
        <v>1600</v>
      </c>
      <c r="AH1122" s="473">
        <v>200</v>
      </c>
      <c r="AI1122" s="473">
        <v>1250</v>
      </c>
      <c r="AJ1122" s="473">
        <v>2696</v>
      </c>
      <c r="AK1122" s="473">
        <v>6473</v>
      </c>
      <c r="AL1122" s="473">
        <v>4855</v>
      </c>
      <c r="AM1122" s="473">
        <v>324</v>
      </c>
      <c r="AN1122" s="473">
        <v>1133</v>
      </c>
      <c r="AO1122" s="473">
        <v>647</v>
      </c>
      <c r="AP1122" s="473">
        <v>162</v>
      </c>
      <c r="AQ1122" s="473">
        <v>1800</v>
      </c>
      <c r="AR1122" s="473">
        <v>5473</v>
      </c>
      <c r="AS1122" s="473">
        <v>0</v>
      </c>
      <c r="AT1122" s="473">
        <v>2569</v>
      </c>
      <c r="AU1122" s="473">
        <v>2794</v>
      </c>
      <c r="AV1122" s="473">
        <v>77290</v>
      </c>
      <c r="AW1122" s="474">
        <v>74496</v>
      </c>
      <c r="AX1122" s="473">
        <v>0</v>
      </c>
      <c r="AY1122" s="473">
        <v>0</v>
      </c>
      <c r="AZ1122" s="475">
        <v>0</v>
      </c>
      <c r="BA1122" s="475">
        <v>200</v>
      </c>
      <c r="BB1122" s="475">
        <v>1800</v>
      </c>
      <c r="BC1122" s="475">
        <v>0</v>
      </c>
      <c r="BD1122" s="475">
        <v>0</v>
      </c>
      <c r="BE1122" s="475">
        <v>0</v>
      </c>
      <c r="BF1122" s="475">
        <v>0</v>
      </c>
      <c r="BG1122" s="475">
        <v>2000</v>
      </c>
      <c r="BH1122" s="476">
        <v>75290</v>
      </c>
      <c r="BI1122" s="467"/>
      <c r="BJ1122" s="468"/>
    </row>
    <row r="1123" spans="1:62">
      <c r="A1123" s="469">
        <v>46082</v>
      </c>
      <c r="B1123" s="469" t="s">
        <v>747</v>
      </c>
      <c r="C1123" s="508"/>
      <c r="D1123" s="470" t="s">
        <v>749</v>
      </c>
      <c r="E1123" s="471">
        <v>1506</v>
      </c>
      <c r="F1123" s="470" t="s">
        <v>983</v>
      </c>
      <c r="G1123" s="470" t="s">
        <v>751</v>
      </c>
      <c r="H1123" s="470"/>
      <c r="I1123" s="470" t="s">
        <v>984</v>
      </c>
      <c r="J1123" s="472" t="s">
        <v>985</v>
      </c>
      <c r="K1123" s="470" t="s">
        <v>986</v>
      </c>
      <c r="L1123" s="470" t="s">
        <v>987</v>
      </c>
      <c r="M1123" s="470" t="s">
        <v>987</v>
      </c>
      <c r="N1123" s="470" t="s">
        <v>756</v>
      </c>
      <c r="O1123" s="472" t="s">
        <v>757</v>
      </c>
      <c r="P1123" s="472" t="s">
        <v>738</v>
      </c>
      <c r="Q1123" s="472" t="s">
        <v>758</v>
      </c>
      <c r="R1123" s="472" t="s">
        <v>12</v>
      </c>
      <c r="S1123" s="472" t="s">
        <v>12</v>
      </c>
      <c r="T1123" s="472" t="s">
        <v>988</v>
      </c>
      <c r="U1123" s="470" t="s">
        <v>989</v>
      </c>
      <c r="V1123" s="470" t="s">
        <v>761</v>
      </c>
      <c r="W1123" s="470" t="s">
        <v>762</v>
      </c>
      <c r="X1123" s="470">
        <v>31</v>
      </c>
      <c r="Y1123" s="470">
        <v>0</v>
      </c>
      <c r="Z1123" s="470">
        <v>0</v>
      </c>
      <c r="AA1123" s="470">
        <v>31</v>
      </c>
      <c r="AB1123" s="470">
        <v>31</v>
      </c>
      <c r="AC1123" s="473">
        <v>49575</v>
      </c>
      <c r="AD1123" s="473">
        <v>49575</v>
      </c>
      <c r="AE1123" s="473">
        <v>22309</v>
      </c>
      <c r="AF1123" s="473">
        <v>8924</v>
      </c>
      <c r="AG1123" s="473">
        <v>1600</v>
      </c>
      <c r="AH1123" s="473">
        <v>200</v>
      </c>
      <c r="AI1123" s="473">
        <v>1250</v>
      </c>
      <c r="AJ1123" s="473">
        <v>1858</v>
      </c>
      <c r="AK1123" s="473">
        <v>4462</v>
      </c>
      <c r="AL1123" s="473">
        <v>3346</v>
      </c>
      <c r="AM1123" s="473">
        <v>223</v>
      </c>
      <c r="AN1123" s="473">
        <v>781</v>
      </c>
      <c r="AO1123" s="473">
        <v>446</v>
      </c>
      <c r="AP1123" s="473">
        <v>112</v>
      </c>
      <c r="AQ1123" s="473">
        <v>1800</v>
      </c>
      <c r="AR1123" s="473">
        <v>2264</v>
      </c>
      <c r="AS1123" s="473">
        <v>0</v>
      </c>
      <c r="AT1123" s="473">
        <v>0</v>
      </c>
      <c r="AU1123" s="473"/>
      <c r="AV1123" s="473">
        <v>49575</v>
      </c>
      <c r="AW1123" s="474">
        <v>49575</v>
      </c>
      <c r="AX1123" s="473">
        <v>0</v>
      </c>
      <c r="AY1123" s="473">
        <v>160</v>
      </c>
      <c r="AZ1123" s="475">
        <v>0</v>
      </c>
      <c r="BA1123" s="475">
        <v>200</v>
      </c>
      <c r="BB1123" s="475">
        <v>1800</v>
      </c>
      <c r="BC1123" s="475">
        <v>0</v>
      </c>
      <c r="BD1123" s="475">
        <v>0</v>
      </c>
      <c r="BE1123" s="475">
        <v>0</v>
      </c>
      <c r="BF1123" s="475">
        <v>0</v>
      </c>
      <c r="BG1123" s="475">
        <v>2160</v>
      </c>
      <c r="BH1123" s="476">
        <v>47415</v>
      </c>
      <c r="BI1123" s="467"/>
      <c r="BJ1123" s="468"/>
    </row>
    <row r="1124" spans="1:62">
      <c r="A1124" s="469">
        <v>46082</v>
      </c>
      <c r="B1124" s="469" t="s">
        <v>747</v>
      </c>
      <c r="C1124" s="508"/>
      <c r="D1124" s="470" t="s">
        <v>749</v>
      </c>
      <c r="E1124" s="471">
        <v>1700</v>
      </c>
      <c r="F1124" s="470" t="s">
        <v>990</v>
      </c>
      <c r="G1124" s="470" t="s">
        <v>751</v>
      </c>
      <c r="H1124" s="470"/>
      <c r="I1124" s="470" t="s">
        <v>991</v>
      </c>
      <c r="J1124" s="472" t="s">
        <v>992</v>
      </c>
      <c r="K1124" s="470" t="s">
        <v>993</v>
      </c>
      <c r="L1124" s="470" t="s">
        <v>1345</v>
      </c>
      <c r="M1124" s="470" t="s">
        <v>1345</v>
      </c>
      <c r="N1124" s="470" t="s">
        <v>1275</v>
      </c>
      <c r="O1124" s="472" t="s">
        <v>757</v>
      </c>
      <c r="P1124" s="472" t="s">
        <v>738</v>
      </c>
      <c r="Q1124" s="472" t="s">
        <v>758</v>
      </c>
      <c r="R1124" s="472" t="s">
        <v>12</v>
      </c>
      <c r="S1124" s="472" t="s">
        <v>12</v>
      </c>
      <c r="T1124" s="472" t="s">
        <v>995</v>
      </c>
      <c r="U1124" s="470" t="s">
        <v>996</v>
      </c>
      <c r="V1124" s="470" t="s">
        <v>761</v>
      </c>
      <c r="W1124" s="470" t="s">
        <v>859</v>
      </c>
      <c r="X1124" s="470">
        <v>31</v>
      </c>
      <c r="Y1124" s="470">
        <v>0</v>
      </c>
      <c r="Z1124" s="470">
        <v>0</v>
      </c>
      <c r="AA1124" s="470">
        <v>31</v>
      </c>
      <c r="AB1124" s="470">
        <v>31</v>
      </c>
      <c r="AC1124" s="473">
        <v>79907</v>
      </c>
      <c r="AD1124" s="473">
        <v>79907</v>
      </c>
      <c r="AE1124" s="473">
        <v>35958</v>
      </c>
      <c r="AF1124" s="473">
        <v>14383</v>
      </c>
      <c r="AG1124" s="473">
        <v>1600</v>
      </c>
      <c r="AH1124" s="473">
        <v>200</v>
      </c>
      <c r="AI1124" s="473">
        <v>1250</v>
      </c>
      <c r="AJ1124" s="473">
        <v>2995</v>
      </c>
      <c r="AK1124" s="473">
        <v>7192</v>
      </c>
      <c r="AL1124" s="473">
        <v>5394</v>
      </c>
      <c r="AM1124" s="473">
        <v>360</v>
      </c>
      <c r="AN1124" s="473">
        <v>1259</v>
      </c>
      <c r="AO1124" s="473">
        <v>719</v>
      </c>
      <c r="AP1124" s="473">
        <v>180</v>
      </c>
      <c r="AQ1124" s="473">
        <v>1800</v>
      </c>
      <c r="AR1124" s="473">
        <v>6617</v>
      </c>
      <c r="AS1124" s="473">
        <v>0</v>
      </c>
      <c r="AT1124" s="473">
        <v>0</v>
      </c>
      <c r="AU1124" s="473">
        <v>665</v>
      </c>
      <c r="AV1124" s="473">
        <v>80572</v>
      </c>
      <c r="AW1124" s="474">
        <v>79907</v>
      </c>
      <c r="AX1124" s="473">
        <v>0</v>
      </c>
      <c r="AY1124" s="473">
        <v>160</v>
      </c>
      <c r="AZ1124" s="475">
        <v>0</v>
      </c>
      <c r="BA1124" s="475">
        <v>200</v>
      </c>
      <c r="BB1124" s="475">
        <v>1800</v>
      </c>
      <c r="BC1124" s="475">
        <v>0</v>
      </c>
      <c r="BD1124" s="475">
        <v>0</v>
      </c>
      <c r="BE1124" s="475">
        <v>0</v>
      </c>
      <c r="BF1124" s="475">
        <v>0</v>
      </c>
      <c r="BG1124" s="475">
        <v>2160</v>
      </c>
      <c r="BH1124" s="476">
        <v>78412</v>
      </c>
      <c r="BI1124" s="467"/>
      <c r="BJ1124" s="468"/>
    </row>
    <row r="1125" spans="1:62">
      <c r="A1125" s="469">
        <v>46082</v>
      </c>
      <c r="B1125" s="469" t="s">
        <v>747</v>
      </c>
      <c r="C1125" s="508"/>
      <c r="D1125" s="470" t="s">
        <v>749</v>
      </c>
      <c r="E1125" s="471">
        <v>2270</v>
      </c>
      <c r="F1125" s="470" t="s">
        <v>1465</v>
      </c>
      <c r="G1125" s="470" t="s">
        <v>751</v>
      </c>
      <c r="H1125" s="470"/>
      <c r="I1125" s="470" t="s">
        <v>1426</v>
      </c>
      <c r="J1125" s="472" t="s">
        <v>1466</v>
      </c>
      <c r="K1125" s="470" t="s">
        <v>1467</v>
      </c>
      <c r="L1125" s="470" t="s">
        <v>824</v>
      </c>
      <c r="M1125" s="470" t="s">
        <v>824</v>
      </c>
      <c r="N1125" s="470" t="s">
        <v>1275</v>
      </c>
      <c r="O1125" s="472" t="s">
        <v>1276</v>
      </c>
      <c r="P1125" s="472" t="s">
        <v>738</v>
      </c>
      <c r="Q1125" s="472" t="s">
        <v>758</v>
      </c>
      <c r="R1125" s="472" t="s">
        <v>12</v>
      </c>
      <c r="S1125" s="472" t="s">
        <v>12</v>
      </c>
      <c r="T1125" s="472" t="s">
        <v>1468</v>
      </c>
      <c r="U1125" s="470" t="s">
        <v>1469</v>
      </c>
      <c r="V1125" s="470" t="s">
        <v>761</v>
      </c>
      <c r="W1125" s="470" t="s">
        <v>1361</v>
      </c>
      <c r="X1125" s="470">
        <v>31</v>
      </c>
      <c r="Y1125" s="470">
        <v>0</v>
      </c>
      <c r="Z1125" s="470">
        <v>0</v>
      </c>
      <c r="AA1125" s="470">
        <v>31</v>
      </c>
      <c r="AB1125" s="470">
        <v>31</v>
      </c>
      <c r="AC1125" s="473">
        <v>44033</v>
      </c>
      <c r="AD1125" s="473">
        <v>44033</v>
      </c>
      <c r="AE1125" s="473">
        <v>19815</v>
      </c>
      <c r="AF1125" s="473">
        <v>7926</v>
      </c>
      <c r="AG1125" s="473">
        <v>1600</v>
      </c>
      <c r="AH1125" s="473">
        <v>200</v>
      </c>
      <c r="AI1125" s="473">
        <v>1250</v>
      </c>
      <c r="AJ1125" s="473">
        <v>1651</v>
      </c>
      <c r="AK1125" s="473">
        <v>3963</v>
      </c>
      <c r="AL1125" s="473">
        <v>2972</v>
      </c>
      <c r="AM1125" s="473">
        <v>198</v>
      </c>
      <c r="AN1125" s="473">
        <v>694</v>
      </c>
      <c r="AO1125" s="473">
        <v>396</v>
      </c>
      <c r="AP1125" s="473">
        <v>99</v>
      </c>
      <c r="AQ1125" s="473">
        <v>1800</v>
      </c>
      <c r="AR1125" s="473">
        <v>1469</v>
      </c>
      <c r="AS1125" s="473">
        <v>0</v>
      </c>
      <c r="AT1125" s="473">
        <v>0</v>
      </c>
      <c r="AU1125" s="473"/>
      <c r="AV1125" s="473">
        <v>44033</v>
      </c>
      <c r="AW1125" s="474">
        <v>44033</v>
      </c>
      <c r="AX1125" s="473">
        <v>0</v>
      </c>
      <c r="AY1125" s="473">
        <v>0</v>
      </c>
      <c r="AZ1125" s="475">
        <v>0</v>
      </c>
      <c r="BA1125" s="475">
        <v>200</v>
      </c>
      <c r="BB1125" s="475">
        <v>1800</v>
      </c>
      <c r="BC1125" s="475">
        <v>0</v>
      </c>
      <c r="BD1125" s="475">
        <v>0</v>
      </c>
      <c r="BE1125" s="475">
        <v>0</v>
      </c>
      <c r="BF1125" s="475">
        <v>0</v>
      </c>
      <c r="BG1125" s="475">
        <v>2000</v>
      </c>
      <c r="BH1125" s="476">
        <v>42033</v>
      </c>
      <c r="BI1125" s="467"/>
      <c r="BJ1125" s="468"/>
    </row>
    <row r="1126" spans="1:62">
      <c r="A1126" s="469">
        <v>46082</v>
      </c>
      <c r="B1126" s="469" t="s">
        <v>747</v>
      </c>
      <c r="C1126" s="508"/>
      <c r="D1126" s="470" t="s">
        <v>749</v>
      </c>
      <c r="E1126" s="471">
        <v>2289</v>
      </c>
      <c r="F1126" s="470" t="s">
        <v>1528</v>
      </c>
      <c r="G1126" s="470" t="s">
        <v>812</v>
      </c>
      <c r="H1126" s="470"/>
      <c r="I1126" s="470" t="s">
        <v>1529</v>
      </c>
      <c r="J1126" s="472" t="s">
        <v>1530</v>
      </c>
      <c r="K1126" s="470" t="s">
        <v>1531</v>
      </c>
      <c r="L1126" s="470" t="s">
        <v>1123</v>
      </c>
      <c r="M1126" s="470" t="s">
        <v>1124</v>
      </c>
      <c r="N1126" s="470" t="s">
        <v>1108</v>
      </c>
      <c r="O1126" s="472" t="s">
        <v>757</v>
      </c>
      <c r="P1126" s="472" t="s">
        <v>738</v>
      </c>
      <c r="Q1126" s="472" t="s">
        <v>758</v>
      </c>
      <c r="R1126" s="472" t="s">
        <v>12</v>
      </c>
      <c r="S1126" s="472" t="s">
        <v>12</v>
      </c>
      <c r="T1126" s="472" t="s">
        <v>1532</v>
      </c>
      <c r="U1126" s="470" t="s">
        <v>1533</v>
      </c>
      <c r="V1126" s="470" t="s">
        <v>761</v>
      </c>
      <c r="W1126" s="470" t="s">
        <v>1534</v>
      </c>
      <c r="X1126" s="470">
        <v>31</v>
      </c>
      <c r="Y1126" s="470">
        <v>0</v>
      </c>
      <c r="Z1126" s="470">
        <v>0.5</v>
      </c>
      <c r="AA1126" s="470">
        <v>17.5</v>
      </c>
      <c r="AB1126" s="470">
        <v>17.5</v>
      </c>
      <c r="AC1126" s="473">
        <v>52200</v>
      </c>
      <c r="AD1126" s="473">
        <v>52200</v>
      </c>
      <c r="AE1126" s="473">
        <v>13261</v>
      </c>
      <c r="AF1126" s="473">
        <v>5304</v>
      </c>
      <c r="AG1126" s="473">
        <v>903</v>
      </c>
      <c r="AH1126" s="473">
        <v>197</v>
      </c>
      <c r="AI1126" s="473">
        <v>706</v>
      </c>
      <c r="AJ1126" s="473">
        <v>1105</v>
      </c>
      <c r="AK1126" s="473">
        <v>2652</v>
      </c>
      <c r="AL1126" s="473">
        <v>1989</v>
      </c>
      <c r="AM1126" s="473">
        <v>133</v>
      </c>
      <c r="AN1126" s="473">
        <v>464</v>
      </c>
      <c r="AO1126" s="473">
        <v>265</v>
      </c>
      <c r="AP1126" s="473">
        <v>66</v>
      </c>
      <c r="AQ1126" s="473">
        <v>1591</v>
      </c>
      <c r="AR1126" s="473">
        <v>832</v>
      </c>
      <c r="AS1126" s="473">
        <v>0</v>
      </c>
      <c r="AT1126" s="473">
        <v>0</v>
      </c>
      <c r="AU1126" s="473"/>
      <c r="AV1126" s="473">
        <v>29468</v>
      </c>
      <c r="AW1126" s="474">
        <v>29468</v>
      </c>
      <c r="AX1126" s="473">
        <v>0</v>
      </c>
      <c r="AY1126" s="473">
        <v>0</v>
      </c>
      <c r="AZ1126" s="475">
        <v>0</v>
      </c>
      <c r="BA1126" s="475">
        <v>200</v>
      </c>
      <c r="BB1126" s="475">
        <v>1591</v>
      </c>
      <c r="BC1126" s="475">
        <v>0</v>
      </c>
      <c r="BD1126" s="475">
        <v>0</v>
      </c>
      <c r="BE1126" s="475">
        <v>0</v>
      </c>
      <c r="BF1126" s="475">
        <v>0</v>
      </c>
      <c r="BG1126" s="475">
        <v>1791</v>
      </c>
      <c r="BH1126" s="476">
        <v>27677</v>
      </c>
      <c r="BI1126" s="467"/>
      <c r="BJ1126" s="468"/>
    </row>
    <row r="1127" spans="1:62">
      <c r="A1127" s="469">
        <v>46082</v>
      </c>
      <c r="B1127" s="469" t="s">
        <v>747</v>
      </c>
      <c r="C1127" s="508"/>
      <c r="D1127" s="470" t="s">
        <v>749</v>
      </c>
      <c r="E1127" s="471">
        <v>737</v>
      </c>
      <c r="F1127" s="470" t="s">
        <v>1545</v>
      </c>
      <c r="G1127" s="470" t="s">
        <v>751</v>
      </c>
      <c r="H1127" s="470"/>
      <c r="I1127" s="470" t="s">
        <v>1024</v>
      </c>
      <c r="J1127" s="472" t="s">
        <v>1025</v>
      </c>
      <c r="K1127" s="470" t="s">
        <v>1026</v>
      </c>
      <c r="L1127" s="470" t="s">
        <v>979</v>
      </c>
      <c r="M1127" s="470" t="s">
        <v>979</v>
      </c>
      <c r="N1127" s="470" t="s">
        <v>833</v>
      </c>
      <c r="O1127" s="472" t="s">
        <v>757</v>
      </c>
      <c r="P1127" s="472" t="s">
        <v>738</v>
      </c>
      <c r="Q1127" s="472" t="s">
        <v>758</v>
      </c>
      <c r="R1127" s="472" t="s">
        <v>12</v>
      </c>
      <c r="S1127" s="472" t="s">
        <v>12</v>
      </c>
      <c r="T1127" s="472" t="s">
        <v>1029</v>
      </c>
      <c r="U1127" s="470" t="s">
        <v>1030</v>
      </c>
      <c r="V1127" s="470" t="s">
        <v>761</v>
      </c>
      <c r="W1127" s="470" t="s">
        <v>762</v>
      </c>
      <c r="X1127" s="470">
        <v>31</v>
      </c>
      <c r="Y1127" s="470">
        <v>0</v>
      </c>
      <c r="Z1127" s="470">
        <v>0</v>
      </c>
      <c r="AA1127" s="470">
        <v>31</v>
      </c>
      <c r="AB1127" s="470">
        <v>31</v>
      </c>
      <c r="AC1127" s="473">
        <v>22933</v>
      </c>
      <c r="AD1127" s="473">
        <v>22933</v>
      </c>
      <c r="AE1127" s="473">
        <v>10320</v>
      </c>
      <c r="AF1127" s="473">
        <v>4128</v>
      </c>
      <c r="AG1127" s="473">
        <v>1600</v>
      </c>
      <c r="AH1127" s="473">
        <v>200</v>
      </c>
      <c r="AI1127" s="473">
        <v>1250</v>
      </c>
      <c r="AJ1127" s="473">
        <v>0</v>
      </c>
      <c r="AK1127" s="473">
        <v>0</v>
      </c>
      <c r="AL1127" s="473">
        <v>0</v>
      </c>
      <c r="AM1127" s="473">
        <v>0</v>
      </c>
      <c r="AN1127" s="473">
        <v>0</v>
      </c>
      <c r="AO1127" s="473">
        <v>0</v>
      </c>
      <c r="AP1127" s="473">
        <v>0</v>
      </c>
      <c r="AQ1127" s="473">
        <v>1238</v>
      </c>
      <c r="AR1127" s="473">
        <v>4197</v>
      </c>
      <c r="AS1127" s="473">
        <v>0</v>
      </c>
      <c r="AT1127" s="473">
        <v>0</v>
      </c>
      <c r="AU1127" s="473">
        <v>2694</v>
      </c>
      <c r="AV1127" s="473">
        <v>25627</v>
      </c>
      <c r="AW1127" s="474">
        <v>22933</v>
      </c>
      <c r="AX1127" s="473">
        <v>0</v>
      </c>
      <c r="AY1127" s="473">
        <v>0</v>
      </c>
      <c r="AZ1127" s="475">
        <v>0</v>
      </c>
      <c r="BA1127" s="475">
        <v>200</v>
      </c>
      <c r="BB1127" s="475">
        <v>1238</v>
      </c>
      <c r="BC1127" s="475">
        <v>0</v>
      </c>
      <c r="BD1127" s="475">
        <v>0</v>
      </c>
      <c r="BE1127" s="475">
        <v>0</v>
      </c>
      <c r="BF1127" s="475">
        <v>0</v>
      </c>
      <c r="BG1127" s="475">
        <v>1438</v>
      </c>
      <c r="BH1127" s="476">
        <v>24189</v>
      </c>
      <c r="BI1127" s="467"/>
      <c r="BJ1127" s="468"/>
    </row>
    <row r="1128" spans="1:62">
      <c r="A1128" s="469">
        <v>46082</v>
      </c>
      <c r="B1128" s="469" t="s">
        <v>747</v>
      </c>
      <c r="C1128" s="508"/>
      <c r="D1128" s="470" t="s">
        <v>749</v>
      </c>
      <c r="E1128" s="471">
        <v>649</v>
      </c>
      <c r="F1128" s="470" t="s">
        <v>1031</v>
      </c>
      <c r="G1128" s="470" t="s">
        <v>812</v>
      </c>
      <c r="H1128" s="470"/>
      <c r="I1128" s="470" t="s">
        <v>1032</v>
      </c>
      <c r="J1128" s="472" t="s">
        <v>1033</v>
      </c>
      <c r="K1128" s="470" t="s">
        <v>1034</v>
      </c>
      <c r="L1128" s="470" t="s">
        <v>1535</v>
      </c>
      <c r="M1128" s="470" t="s">
        <v>942</v>
      </c>
      <c r="N1128" s="470" t="s">
        <v>833</v>
      </c>
      <c r="O1128" s="472" t="s">
        <v>792</v>
      </c>
      <c r="P1128" s="472" t="s">
        <v>738</v>
      </c>
      <c r="Q1128" s="472" t="s">
        <v>758</v>
      </c>
      <c r="R1128" s="472" t="s">
        <v>12</v>
      </c>
      <c r="S1128" s="472" t="s">
        <v>12</v>
      </c>
      <c r="T1128" s="472" t="s">
        <v>1036</v>
      </c>
      <c r="U1128" s="470" t="s">
        <v>1037</v>
      </c>
      <c r="V1128" s="470" t="s">
        <v>761</v>
      </c>
      <c r="W1128" s="470" t="s">
        <v>762</v>
      </c>
      <c r="X1128" s="470">
        <v>31</v>
      </c>
      <c r="Y1128" s="470">
        <v>0</v>
      </c>
      <c r="Z1128" s="470">
        <v>0</v>
      </c>
      <c r="AA1128" s="470">
        <v>31</v>
      </c>
      <c r="AB1128" s="470">
        <v>31</v>
      </c>
      <c r="AC1128" s="473">
        <v>183333</v>
      </c>
      <c r="AD1128" s="473">
        <v>183333</v>
      </c>
      <c r="AE1128" s="473">
        <v>82500</v>
      </c>
      <c r="AF1128" s="473">
        <v>33000</v>
      </c>
      <c r="AG1128" s="473">
        <v>1600</v>
      </c>
      <c r="AH1128" s="473">
        <v>200</v>
      </c>
      <c r="AI1128" s="473">
        <v>1250</v>
      </c>
      <c r="AJ1128" s="473">
        <v>6872</v>
      </c>
      <c r="AK1128" s="473">
        <v>16500</v>
      </c>
      <c r="AL1128" s="473">
        <v>12375</v>
      </c>
      <c r="AM1128" s="473">
        <v>825</v>
      </c>
      <c r="AN1128" s="473">
        <v>2888</v>
      </c>
      <c r="AO1128" s="473">
        <v>1650</v>
      </c>
      <c r="AP1128" s="473">
        <v>413</v>
      </c>
      <c r="AQ1128" s="473">
        <v>1800</v>
      </c>
      <c r="AR1128" s="473">
        <v>21460</v>
      </c>
      <c r="AS1128" s="473">
        <v>0</v>
      </c>
      <c r="AT1128" s="473">
        <v>0</v>
      </c>
      <c r="AU1128" s="473"/>
      <c r="AV1128" s="473">
        <v>183333</v>
      </c>
      <c r="AW1128" s="474">
        <v>183333</v>
      </c>
      <c r="AX1128" s="473">
        <v>0</v>
      </c>
      <c r="AY1128" s="473">
        <v>0</v>
      </c>
      <c r="AZ1128" s="475">
        <v>34307</v>
      </c>
      <c r="BA1128" s="475">
        <v>200</v>
      </c>
      <c r="BB1128" s="475">
        <v>1800</v>
      </c>
      <c r="BC1128" s="475">
        <v>0</v>
      </c>
      <c r="BD1128" s="475">
        <v>0</v>
      </c>
      <c r="BE1128" s="475">
        <v>0</v>
      </c>
      <c r="BF1128" s="475">
        <v>0</v>
      </c>
      <c r="BG1128" s="475">
        <v>36307</v>
      </c>
      <c r="BH1128" s="476">
        <v>147026</v>
      </c>
      <c r="BI1128" s="467"/>
      <c r="BJ1128" s="468"/>
    </row>
    <row r="1129" spans="1:62">
      <c r="A1129" s="469">
        <v>46082</v>
      </c>
      <c r="B1129" s="469" t="s">
        <v>747</v>
      </c>
      <c r="C1129" s="508"/>
      <c r="D1129" s="470" t="s">
        <v>749</v>
      </c>
      <c r="E1129" s="471">
        <v>1746</v>
      </c>
      <c r="F1129" s="470" t="s">
        <v>1038</v>
      </c>
      <c r="G1129" s="470" t="s">
        <v>751</v>
      </c>
      <c r="H1129" s="470"/>
      <c r="I1129" s="470" t="s">
        <v>1039</v>
      </c>
      <c r="J1129" s="472" t="s">
        <v>1040</v>
      </c>
      <c r="K1129" s="470" t="s">
        <v>1041</v>
      </c>
      <c r="L1129" s="470" t="s">
        <v>1042</v>
      </c>
      <c r="M1129" s="470" t="s">
        <v>1042</v>
      </c>
      <c r="N1129" s="470" t="s">
        <v>833</v>
      </c>
      <c r="O1129" s="472" t="s">
        <v>1043</v>
      </c>
      <c r="P1129" s="472" t="s">
        <v>738</v>
      </c>
      <c r="Q1129" s="472" t="s">
        <v>758</v>
      </c>
      <c r="R1129" s="472" t="s">
        <v>12</v>
      </c>
      <c r="S1129" s="472" t="s">
        <v>12</v>
      </c>
      <c r="T1129" s="472" t="s">
        <v>1044</v>
      </c>
      <c r="U1129" s="470" t="s">
        <v>1045</v>
      </c>
      <c r="V1129" s="470" t="s">
        <v>761</v>
      </c>
      <c r="W1129" s="470" t="s">
        <v>762</v>
      </c>
      <c r="X1129" s="470">
        <v>31</v>
      </c>
      <c r="Y1129" s="470">
        <v>0</v>
      </c>
      <c r="Z1129" s="470">
        <v>0</v>
      </c>
      <c r="AA1129" s="470">
        <v>31</v>
      </c>
      <c r="AB1129" s="470">
        <v>31</v>
      </c>
      <c r="AC1129" s="473">
        <v>28500</v>
      </c>
      <c r="AD1129" s="473">
        <v>28500</v>
      </c>
      <c r="AE1129" s="473">
        <v>12825</v>
      </c>
      <c r="AF1129" s="473">
        <v>5130</v>
      </c>
      <c r="AG1129" s="473">
        <v>1600</v>
      </c>
      <c r="AH1129" s="473">
        <v>200</v>
      </c>
      <c r="AI1129" s="473">
        <v>1250</v>
      </c>
      <c r="AJ1129" s="473">
        <v>0</v>
      </c>
      <c r="AK1129" s="473">
        <v>0</v>
      </c>
      <c r="AL1129" s="473">
        <v>0</v>
      </c>
      <c r="AM1129" s="473">
        <v>0</v>
      </c>
      <c r="AN1129" s="473">
        <v>0</v>
      </c>
      <c r="AO1129" s="473">
        <v>0</v>
      </c>
      <c r="AP1129" s="473">
        <v>0</v>
      </c>
      <c r="AQ1129" s="473">
        <v>1539</v>
      </c>
      <c r="AR1129" s="473">
        <v>5956</v>
      </c>
      <c r="AS1129" s="473">
        <v>0</v>
      </c>
      <c r="AT1129" s="473">
        <v>0</v>
      </c>
      <c r="AU1129" s="473">
        <v>4735</v>
      </c>
      <c r="AV1129" s="473">
        <v>33235</v>
      </c>
      <c r="AW1129" s="474">
        <v>28500</v>
      </c>
      <c r="AX1129" s="473">
        <v>0</v>
      </c>
      <c r="AY1129" s="473">
        <v>0</v>
      </c>
      <c r="AZ1129" s="475">
        <v>0</v>
      </c>
      <c r="BA1129" s="475">
        <v>200</v>
      </c>
      <c r="BB1129" s="475">
        <v>1539</v>
      </c>
      <c r="BC1129" s="475">
        <v>0</v>
      </c>
      <c r="BD1129" s="475">
        <v>0</v>
      </c>
      <c r="BE1129" s="475">
        <v>0</v>
      </c>
      <c r="BF1129" s="475">
        <v>0</v>
      </c>
      <c r="BG1129" s="475">
        <v>1739</v>
      </c>
      <c r="BH1129" s="476">
        <v>31496</v>
      </c>
      <c r="BI1129" s="467"/>
      <c r="BJ1129" s="468"/>
    </row>
    <row r="1130" spans="1:62">
      <c r="A1130" s="469">
        <v>46082</v>
      </c>
      <c r="B1130" s="469" t="s">
        <v>747</v>
      </c>
      <c r="C1130" s="508"/>
      <c r="D1130" s="470" t="s">
        <v>749</v>
      </c>
      <c r="E1130" s="471">
        <v>2252</v>
      </c>
      <c r="F1130" s="470" t="s">
        <v>1415</v>
      </c>
      <c r="G1130" s="470" t="s">
        <v>751</v>
      </c>
      <c r="H1130" s="470"/>
      <c r="I1130" s="470" t="s">
        <v>1416</v>
      </c>
      <c r="J1130" s="472" t="s">
        <v>1417</v>
      </c>
      <c r="K1130" s="470" t="s">
        <v>1418</v>
      </c>
      <c r="L1130" s="470" t="s">
        <v>1419</v>
      </c>
      <c r="M1130" s="470" t="s">
        <v>1124</v>
      </c>
      <c r="N1130" s="470" t="s">
        <v>1108</v>
      </c>
      <c r="O1130" s="472" t="s">
        <v>757</v>
      </c>
      <c r="P1130" s="472" t="s">
        <v>738</v>
      </c>
      <c r="Q1130" s="472" t="s">
        <v>758</v>
      </c>
      <c r="R1130" s="472" t="s">
        <v>12</v>
      </c>
      <c r="S1130" s="472" t="s">
        <v>12</v>
      </c>
      <c r="T1130" s="472" t="s">
        <v>1420</v>
      </c>
      <c r="U1130" s="470" t="s">
        <v>1421</v>
      </c>
      <c r="V1130" s="470" t="s">
        <v>761</v>
      </c>
      <c r="W1130" s="470" t="s">
        <v>1422</v>
      </c>
      <c r="X1130" s="470">
        <v>31</v>
      </c>
      <c r="Y1130" s="470">
        <v>0</v>
      </c>
      <c r="Z1130" s="470">
        <v>3.5</v>
      </c>
      <c r="AA1130" s="470">
        <v>27.5</v>
      </c>
      <c r="AB1130" s="470">
        <v>27.5</v>
      </c>
      <c r="AC1130" s="473">
        <v>52200</v>
      </c>
      <c r="AD1130" s="473">
        <v>52200</v>
      </c>
      <c r="AE1130" s="473">
        <v>20838</v>
      </c>
      <c r="AF1130" s="473">
        <v>8335</v>
      </c>
      <c r="AG1130" s="473">
        <v>1419</v>
      </c>
      <c r="AH1130" s="473">
        <v>177</v>
      </c>
      <c r="AI1130" s="473">
        <v>1109</v>
      </c>
      <c r="AJ1130" s="473">
        <v>1736</v>
      </c>
      <c r="AK1130" s="473">
        <v>4168</v>
      </c>
      <c r="AL1130" s="473">
        <v>3126</v>
      </c>
      <c r="AM1130" s="473">
        <v>208</v>
      </c>
      <c r="AN1130" s="473">
        <v>729</v>
      </c>
      <c r="AO1130" s="473">
        <v>417</v>
      </c>
      <c r="AP1130" s="473">
        <v>104</v>
      </c>
      <c r="AQ1130" s="473">
        <v>1800</v>
      </c>
      <c r="AR1130" s="473">
        <v>2140</v>
      </c>
      <c r="AS1130" s="473">
        <v>0</v>
      </c>
      <c r="AT1130" s="473">
        <v>0</v>
      </c>
      <c r="AU1130" s="473"/>
      <c r="AV1130" s="473">
        <v>46306</v>
      </c>
      <c r="AW1130" s="474">
        <v>46306</v>
      </c>
      <c r="AX1130" s="473">
        <v>0</v>
      </c>
      <c r="AY1130" s="473">
        <v>0</v>
      </c>
      <c r="AZ1130" s="475">
        <v>0</v>
      </c>
      <c r="BA1130" s="475">
        <v>200</v>
      </c>
      <c r="BB1130" s="475">
        <v>1800</v>
      </c>
      <c r="BC1130" s="475">
        <v>0</v>
      </c>
      <c r="BD1130" s="475">
        <v>0</v>
      </c>
      <c r="BE1130" s="475">
        <v>0</v>
      </c>
      <c r="BF1130" s="475">
        <v>0</v>
      </c>
      <c r="BG1130" s="475">
        <v>2000</v>
      </c>
      <c r="BH1130" s="476">
        <v>44306</v>
      </c>
      <c r="BI1130" s="467"/>
      <c r="BJ1130" s="468"/>
    </row>
    <row r="1131" spans="1:62">
      <c r="A1131" s="469">
        <v>46082</v>
      </c>
      <c r="B1131" s="469" t="s">
        <v>747</v>
      </c>
      <c r="C1131" s="508"/>
      <c r="D1131" s="470" t="s">
        <v>749</v>
      </c>
      <c r="E1131" s="471">
        <v>1771</v>
      </c>
      <c r="F1131" s="470" t="s">
        <v>1046</v>
      </c>
      <c r="G1131" s="470" t="s">
        <v>751</v>
      </c>
      <c r="H1131" s="470"/>
      <c r="I1131" s="470" t="s">
        <v>781</v>
      </c>
      <c r="J1131" s="472" t="s">
        <v>1047</v>
      </c>
      <c r="K1131" s="470" t="s">
        <v>1048</v>
      </c>
      <c r="L1131" s="470" t="s">
        <v>1338</v>
      </c>
      <c r="M1131" s="470" t="s">
        <v>1338</v>
      </c>
      <c r="N1131" s="470" t="s">
        <v>1275</v>
      </c>
      <c r="O1131" s="472" t="s">
        <v>757</v>
      </c>
      <c r="P1131" s="472" t="s">
        <v>738</v>
      </c>
      <c r="Q1131" s="472" t="s">
        <v>758</v>
      </c>
      <c r="R1131" s="472" t="s">
        <v>12</v>
      </c>
      <c r="S1131" s="472" t="s">
        <v>12</v>
      </c>
      <c r="T1131" s="472" t="s">
        <v>1049</v>
      </c>
      <c r="U1131" s="470" t="s">
        <v>1050</v>
      </c>
      <c r="V1131" s="470" t="s">
        <v>761</v>
      </c>
      <c r="W1131" s="470" t="s">
        <v>795</v>
      </c>
      <c r="X1131" s="470">
        <v>31</v>
      </c>
      <c r="Y1131" s="470">
        <v>0</v>
      </c>
      <c r="Z1131" s="470">
        <v>0</v>
      </c>
      <c r="AA1131" s="470">
        <v>31</v>
      </c>
      <c r="AB1131" s="470">
        <v>31</v>
      </c>
      <c r="AC1131" s="473">
        <v>92504</v>
      </c>
      <c r="AD1131" s="473">
        <v>92504</v>
      </c>
      <c r="AE1131" s="473">
        <v>41627</v>
      </c>
      <c r="AF1131" s="473">
        <v>16651</v>
      </c>
      <c r="AG1131" s="473">
        <v>1600</v>
      </c>
      <c r="AH1131" s="473">
        <v>200</v>
      </c>
      <c r="AI1131" s="473">
        <v>1250</v>
      </c>
      <c r="AJ1131" s="473">
        <v>3468</v>
      </c>
      <c r="AK1131" s="473">
        <v>8325</v>
      </c>
      <c r="AL1131" s="473">
        <v>6244</v>
      </c>
      <c r="AM1131" s="473">
        <v>416</v>
      </c>
      <c r="AN1131" s="473">
        <v>1457</v>
      </c>
      <c r="AO1131" s="473">
        <v>833</v>
      </c>
      <c r="AP1131" s="473">
        <v>208</v>
      </c>
      <c r="AQ1131" s="473">
        <v>1800</v>
      </c>
      <c r="AR1131" s="473">
        <v>8425</v>
      </c>
      <c r="AS1131" s="473">
        <v>0</v>
      </c>
      <c r="AT1131" s="473">
        <v>0</v>
      </c>
      <c r="AU1131" s="473">
        <v>378</v>
      </c>
      <c r="AV1131" s="473">
        <v>92882</v>
      </c>
      <c r="AW1131" s="474">
        <v>92504</v>
      </c>
      <c r="AX1131" s="473">
        <v>0</v>
      </c>
      <c r="AY1131" s="473">
        <v>0</v>
      </c>
      <c r="AZ1131" s="475">
        <v>0</v>
      </c>
      <c r="BA1131" s="475">
        <v>200</v>
      </c>
      <c r="BB1131" s="475">
        <v>1800</v>
      </c>
      <c r="BC1131" s="475">
        <v>0</v>
      </c>
      <c r="BD1131" s="475">
        <v>0</v>
      </c>
      <c r="BE1131" s="475">
        <v>0</v>
      </c>
      <c r="BF1131" s="475">
        <v>0</v>
      </c>
      <c r="BG1131" s="475">
        <v>2000</v>
      </c>
      <c r="BH1131" s="476">
        <v>90882</v>
      </c>
      <c r="BI1131" s="467"/>
      <c r="BJ1131" s="468"/>
    </row>
    <row r="1132" spans="1:62">
      <c r="A1132" s="469">
        <v>46082</v>
      </c>
      <c r="B1132" s="469" t="s">
        <v>747</v>
      </c>
      <c r="C1132" s="508"/>
      <c r="D1132" s="470" t="s">
        <v>749</v>
      </c>
      <c r="E1132" s="471">
        <v>1445</v>
      </c>
      <c r="F1132" s="470" t="s">
        <v>1057</v>
      </c>
      <c r="G1132" s="470" t="s">
        <v>751</v>
      </c>
      <c r="H1132" s="470"/>
      <c r="I1132" s="470" t="s">
        <v>1058</v>
      </c>
      <c r="J1132" s="472" t="s">
        <v>1059</v>
      </c>
      <c r="K1132" s="470" t="s">
        <v>1060</v>
      </c>
      <c r="L1132" s="470" t="s">
        <v>800</v>
      </c>
      <c r="M1132" s="470" t="s">
        <v>801</v>
      </c>
      <c r="N1132" s="470" t="s">
        <v>756</v>
      </c>
      <c r="O1132" s="472" t="s">
        <v>757</v>
      </c>
      <c r="P1132" s="472" t="s">
        <v>738</v>
      </c>
      <c r="Q1132" s="472" t="s">
        <v>758</v>
      </c>
      <c r="R1132" s="472" t="s">
        <v>12</v>
      </c>
      <c r="S1132" s="472" t="s">
        <v>12</v>
      </c>
      <c r="T1132" s="472" t="s">
        <v>1061</v>
      </c>
      <c r="U1132" s="470" t="s">
        <v>1062</v>
      </c>
      <c r="V1132" s="470" t="s">
        <v>761</v>
      </c>
      <c r="W1132" s="470" t="s">
        <v>1063</v>
      </c>
      <c r="X1132" s="470">
        <v>31</v>
      </c>
      <c r="Y1132" s="470">
        <v>0</v>
      </c>
      <c r="Z1132" s="470">
        <v>0.5</v>
      </c>
      <c r="AA1132" s="470">
        <v>30.5</v>
      </c>
      <c r="AB1132" s="470">
        <v>30.5</v>
      </c>
      <c r="AC1132" s="473">
        <v>50225</v>
      </c>
      <c r="AD1132" s="473">
        <v>50225</v>
      </c>
      <c r="AE1132" s="473">
        <v>22237</v>
      </c>
      <c r="AF1132" s="473">
        <v>8895</v>
      </c>
      <c r="AG1132" s="473">
        <v>1574</v>
      </c>
      <c r="AH1132" s="473">
        <v>197</v>
      </c>
      <c r="AI1132" s="473">
        <v>1230</v>
      </c>
      <c r="AJ1132" s="473">
        <v>1852</v>
      </c>
      <c r="AK1132" s="473">
        <v>4447</v>
      </c>
      <c r="AL1132" s="473">
        <v>3336</v>
      </c>
      <c r="AM1132" s="473">
        <v>222</v>
      </c>
      <c r="AN1132" s="473">
        <v>778</v>
      </c>
      <c r="AO1132" s="473">
        <v>445</v>
      </c>
      <c r="AP1132" s="473">
        <v>111</v>
      </c>
      <c r="AQ1132" s="473">
        <v>1800</v>
      </c>
      <c r="AR1132" s="473">
        <v>2291</v>
      </c>
      <c r="AS1132" s="473">
        <v>0</v>
      </c>
      <c r="AT1132" s="473">
        <v>0</v>
      </c>
      <c r="AU1132" s="473"/>
      <c r="AV1132" s="473">
        <v>49415</v>
      </c>
      <c r="AW1132" s="474">
        <v>49415</v>
      </c>
      <c r="AX1132" s="473">
        <v>0</v>
      </c>
      <c r="AY1132" s="473">
        <v>0</v>
      </c>
      <c r="AZ1132" s="475">
        <v>0</v>
      </c>
      <c r="BA1132" s="475">
        <v>200</v>
      </c>
      <c r="BB1132" s="475">
        <v>1800</v>
      </c>
      <c r="BC1132" s="475">
        <v>0</v>
      </c>
      <c r="BD1132" s="475">
        <v>0</v>
      </c>
      <c r="BE1132" s="475">
        <v>0</v>
      </c>
      <c r="BF1132" s="475">
        <v>0</v>
      </c>
      <c r="BG1132" s="475">
        <v>2000</v>
      </c>
      <c r="BH1132" s="476">
        <v>47415</v>
      </c>
      <c r="BI1132" s="467"/>
      <c r="BJ1132" s="468"/>
    </row>
    <row r="1133" spans="1:62">
      <c r="A1133" s="469">
        <v>46082</v>
      </c>
      <c r="B1133" s="469" t="s">
        <v>747</v>
      </c>
      <c r="C1133" s="508"/>
      <c r="D1133" s="470" t="s">
        <v>749</v>
      </c>
      <c r="E1133" s="471">
        <v>1932</v>
      </c>
      <c r="F1133" s="470" t="s">
        <v>1064</v>
      </c>
      <c r="G1133" s="470" t="s">
        <v>751</v>
      </c>
      <c r="H1133" s="470"/>
      <c r="I1133" s="470" t="s">
        <v>1065</v>
      </c>
      <c r="J1133" s="472" t="s">
        <v>1066</v>
      </c>
      <c r="K1133" s="470" t="s">
        <v>1067</v>
      </c>
      <c r="L1133" s="470" t="s">
        <v>1068</v>
      </c>
      <c r="M1133" s="470" t="s">
        <v>1068</v>
      </c>
      <c r="N1133" s="470" t="s">
        <v>756</v>
      </c>
      <c r="O1133" s="472" t="s">
        <v>757</v>
      </c>
      <c r="P1133" s="472" t="s">
        <v>738</v>
      </c>
      <c r="Q1133" s="472" t="s">
        <v>758</v>
      </c>
      <c r="R1133" s="472" t="s">
        <v>12</v>
      </c>
      <c r="S1133" s="472" t="s">
        <v>12</v>
      </c>
      <c r="T1133" s="472" t="s">
        <v>1069</v>
      </c>
      <c r="U1133" s="470" t="s">
        <v>1070</v>
      </c>
      <c r="V1133" s="470" t="s">
        <v>761</v>
      </c>
      <c r="W1133" s="470" t="s">
        <v>859</v>
      </c>
      <c r="X1133" s="470">
        <v>31</v>
      </c>
      <c r="Y1133" s="470">
        <v>0</v>
      </c>
      <c r="Z1133" s="470">
        <v>0</v>
      </c>
      <c r="AA1133" s="470">
        <v>31</v>
      </c>
      <c r="AB1133" s="470">
        <v>31</v>
      </c>
      <c r="AC1133" s="473">
        <v>30700</v>
      </c>
      <c r="AD1133" s="473">
        <v>30700</v>
      </c>
      <c r="AE1133" s="473">
        <v>13815</v>
      </c>
      <c r="AF1133" s="473">
        <v>5526</v>
      </c>
      <c r="AG1133" s="473">
        <v>1600</v>
      </c>
      <c r="AH1133" s="473">
        <v>200</v>
      </c>
      <c r="AI1133" s="473">
        <v>1250</v>
      </c>
      <c r="AJ1133" s="473">
        <v>0</v>
      </c>
      <c r="AK1133" s="473">
        <v>0</v>
      </c>
      <c r="AL1133" s="473">
        <v>0</v>
      </c>
      <c r="AM1133" s="473">
        <v>0</v>
      </c>
      <c r="AN1133" s="473">
        <v>0</v>
      </c>
      <c r="AO1133" s="473">
        <v>0</v>
      </c>
      <c r="AP1133" s="473">
        <v>0</v>
      </c>
      <c r="AQ1133" s="473">
        <v>1658</v>
      </c>
      <c r="AR1133" s="473">
        <v>6651</v>
      </c>
      <c r="AS1133" s="473">
        <v>0</v>
      </c>
      <c r="AT1133" s="473">
        <v>0</v>
      </c>
      <c r="AU1133" s="473"/>
      <c r="AV1133" s="473">
        <v>30700</v>
      </c>
      <c r="AW1133" s="474">
        <v>30700</v>
      </c>
      <c r="AX1133" s="473">
        <v>0</v>
      </c>
      <c r="AY1133" s="473">
        <v>0</v>
      </c>
      <c r="AZ1133" s="475">
        <v>0</v>
      </c>
      <c r="BA1133" s="475">
        <v>200</v>
      </c>
      <c r="BB1133" s="475">
        <v>1658</v>
      </c>
      <c r="BC1133" s="475">
        <v>0</v>
      </c>
      <c r="BD1133" s="475">
        <v>0</v>
      </c>
      <c r="BE1133" s="475">
        <v>0</v>
      </c>
      <c r="BF1133" s="475">
        <v>0</v>
      </c>
      <c r="BG1133" s="475">
        <v>1858</v>
      </c>
      <c r="BH1133" s="476">
        <v>28842</v>
      </c>
      <c r="BI1133" s="467"/>
      <c r="BJ1133" s="468"/>
    </row>
    <row r="1134" spans="1:62">
      <c r="A1134" s="469">
        <v>46082</v>
      </c>
      <c r="B1134" s="469" t="s">
        <v>747</v>
      </c>
      <c r="C1134" s="508"/>
      <c r="D1134" s="470" t="s">
        <v>749</v>
      </c>
      <c r="E1134" s="471">
        <v>2014</v>
      </c>
      <c r="F1134" s="470" t="s">
        <v>1071</v>
      </c>
      <c r="G1134" s="470" t="s">
        <v>751</v>
      </c>
      <c r="H1134" s="470"/>
      <c r="I1134" s="470" t="s">
        <v>847</v>
      </c>
      <c r="J1134" s="472" t="s">
        <v>1072</v>
      </c>
      <c r="K1134" s="470" t="s">
        <v>1073</v>
      </c>
      <c r="L1134" s="470" t="s">
        <v>1074</v>
      </c>
      <c r="M1134" s="470" t="s">
        <v>1074</v>
      </c>
      <c r="N1134" s="470" t="s">
        <v>833</v>
      </c>
      <c r="O1134" s="472" t="s">
        <v>757</v>
      </c>
      <c r="P1134" s="472" t="s">
        <v>738</v>
      </c>
      <c r="Q1134" s="472" t="s">
        <v>758</v>
      </c>
      <c r="R1134" s="472" t="s">
        <v>12</v>
      </c>
      <c r="S1134" s="472" t="s">
        <v>12</v>
      </c>
      <c r="T1134" s="472" t="s">
        <v>1076</v>
      </c>
      <c r="U1134" s="470" t="s">
        <v>1077</v>
      </c>
      <c r="V1134" s="470" t="s">
        <v>761</v>
      </c>
      <c r="W1134" s="470" t="s">
        <v>762</v>
      </c>
      <c r="X1134" s="470">
        <v>31</v>
      </c>
      <c r="Y1134" s="470">
        <v>0</v>
      </c>
      <c r="Z1134" s="470">
        <v>0</v>
      </c>
      <c r="AA1134" s="470">
        <v>31</v>
      </c>
      <c r="AB1134" s="470">
        <v>31</v>
      </c>
      <c r="AC1134" s="473">
        <v>32033</v>
      </c>
      <c r="AD1134" s="473">
        <v>32033</v>
      </c>
      <c r="AE1134" s="473">
        <v>14415</v>
      </c>
      <c r="AF1134" s="473">
        <v>5766</v>
      </c>
      <c r="AG1134" s="473">
        <v>1600</v>
      </c>
      <c r="AH1134" s="473">
        <v>200</v>
      </c>
      <c r="AI1134" s="473">
        <v>1250</v>
      </c>
      <c r="AJ1134" s="473">
        <v>0</v>
      </c>
      <c r="AK1134" s="473">
        <v>0</v>
      </c>
      <c r="AL1134" s="473">
        <v>0</v>
      </c>
      <c r="AM1134" s="473">
        <v>0</v>
      </c>
      <c r="AN1134" s="473">
        <v>0</v>
      </c>
      <c r="AO1134" s="473">
        <v>0</v>
      </c>
      <c r="AP1134" s="473">
        <v>0</v>
      </c>
      <c r="AQ1134" s="473">
        <v>1730</v>
      </c>
      <c r="AR1134" s="473">
        <v>7072</v>
      </c>
      <c r="AS1134" s="473">
        <v>0</v>
      </c>
      <c r="AT1134" s="473">
        <v>0</v>
      </c>
      <c r="AU1134" s="473">
        <v>4623</v>
      </c>
      <c r="AV1134" s="473">
        <v>36656</v>
      </c>
      <c r="AW1134" s="474">
        <v>32033</v>
      </c>
      <c r="AX1134" s="473">
        <v>0</v>
      </c>
      <c r="AY1134" s="473">
        <v>0</v>
      </c>
      <c r="AZ1134" s="475">
        <v>0</v>
      </c>
      <c r="BA1134" s="475">
        <v>200</v>
      </c>
      <c r="BB1134" s="475">
        <v>1730</v>
      </c>
      <c r="BC1134" s="475">
        <v>0</v>
      </c>
      <c r="BD1134" s="475">
        <v>0</v>
      </c>
      <c r="BE1134" s="475">
        <v>0</v>
      </c>
      <c r="BF1134" s="475">
        <v>0</v>
      </c>
      <c r="BG1134" s="475">
        <v>1930</v>
      </c>
      <c r="BH1134" s="476">
        <v>34726</v>
      </c>
      <c r="BI1134" s="467"/>
      <c r="BJ1134" s="468"/>
    </row>
    <row r="1135" spans="1:62">
      <c r="A1135" s="469">
        <v>46082</v>
      </c>
      <c r="B1135" s="469" t="s">
        <v>747</v>
      </c>
      <c r="C1135" s="508"/>
      <c r="D1135" s="470" t="s">
        <v>749</v>
      </c>
      <c r="E1135" s="471">
        <v>2190</v>
      </c>
      <c r="F1135" s="470" t="s">
        <v>1294</v>
      </c>
      <c r="G1135" s="470" t="s">
        <v>751</v>
      </c>
      <c r="H1135" s="470"/>
      <c r="I1135" s="470" t="s">
        <v>1295</v>
      </c>
      <c r="J1135" s="472" t="s">
        <v>1296</v>
      </c>
      <c r="K1135" s="470" t="s">
        <v>1297</v>
      </c>
      <c r="L1135" s="470" t="s">
        <v>1298</v>
      </c>
      <c r="M1135" s="470" t="s">
        <v>1298</v>
      </c>
      <c r="N1135" s="470" t="s">
        <v>1075</v>
      </c>
      <c r="O1135" s="472" t="s">
        <v>757</v>
      </c>
      <c r="P1135" s="472" t="s">
        <v>738</v>
      </c>
      <c r="Q1135" s="472" t="s">
        <v>758</v>
      </c>
      <c r="R1135" s="472" t="s">
        <v>12</v>
      </c>
      <c r="S1135" s="472" t="s">
        <v>12</v>
      </c>
      <c r="T1135" s="472" t="s">
        <v>1299</v>
      </c>
      <c r="U1135" s="470" t="s">
        <v>1300</v>
      </c>
      <c r="V1135" s="470" t="s">
        <v>761</v>
      </c>
      <c r="W1135" s="470" t="s">
        <v>1301</v>
      </c>
      <c r="X1135" s="470">
        <v>31</v>
      </c>
      <c r="Y1135" s="470">
        <v>0</v>
      </c>
      <c r="Z1135" s="470">
        <v>0</v>
      </c>
      <c r="AA1135" s="470">
        <v>31</v>
      </c>
      <c r="AB1135" s="470">
        <v>31</v>
      </c>
      <c r="AC1135" s="473">
        <v>24438</v>
      </c>
      <c r="AD1135" s="473">
        <v>24438</v>
      </c>
      <c r="AE1135" s="473">
        <v>10997</v>
      </c>
      <c r="AF1135" s="473">
        <v>4399</v>
      </c>
      <c r="AG1135" s="473">
        <v>1600</v>
      </c>
      <c r="AH1135" s="473">
        <v>200</v>
      </c>
      <c r="AI1135" s="473">
        <v>1250</v>
      </c>
      <c r="AJ1135" s="473">
        <v>0</v>
      </c>
      <c r="AK1135" s="473">
        <v>0</v>
      </c>
      <c r="AL1135" s="473">
        <v>0</v>
      </c>
      <c r="AM1135" s="473">
        <v>0</v>
      </c>
      <c r="AN1135" s="473">
        <v>0</v>
      </c>
      <c r="AO1135" s="473">
        <v>0</v>
      </c>
      <c r="AP1135" s="473">
        <v>0</v>
      </c>
      <c r="AQ1135" s="473">
        <v>1320</v>
      </c>
      <c r="AR1135" s="473">
        <v>4672</v>
      </c>
      <c r="AS1135" s="473">
        <v>0</v>
      </c>
      <c r="AT1135" s="473">
        <v>0</v>
      </c>
      <c r="AU1135" s="473">
        <v>3862</v>
      </c>
      <c r="AV1135" s="473">
        <v>28300</v>
      </c>
      <c r="AW1135" s="474">
        <v>24438</v>
      </c>
      <c r="AX1135" s="473">
        <v>0</v>
      </c>
      <c r="AY1135" s="473">
        <v>0</v>
      </c>
      <c r="AZ1135" s="475">
        <v>0</v>
      </c>
      <c r="BA1135" s="475">
        <v>200</v>
      </c>
      <c r="BB1135" s="475">
        <v>1320</v>
      </c>
      <c r="BC1135" s="475">
        <v>0</v>
      </c>
      <c r="BD1135" s="475">
        <v>0</v>
      </c>
      <c r="BE1135" s="475">
        <v>0</v>
      </c>
      <c r="BF1135" s="475">
        <v>0</v>
      </c>
      <c r="BG1135" s="475">
        <v>1520</v>
      </c>
      <c r="BH1135" s="476">
        <v>26780</v>
      </c>
      <c r="BI1135" s="467"/>
      <c r="BJ1135" s="468"/>
    </row>
    <row r="1136" spans="1:62">
      <c r="A1136" s="469">
        <v>46082</v>
      </c>
      <c r="B1136" s="469" t="s">
        <v>747</v>
      </c>
      <c r="C1136" s="508"/>
      <c r="D1136" s="470" t="s">
        <v>749</v>
      </c>
      <c r="E1136" s="471">
        <v>1480</v>
      </c>
      <c r="F1136" s="470" t="s">
        <v>1078</v>
      </c>
      <c r="G1136" s="470" t="s">
        <v>751</v>
      </c>
      <c r="H1136" s="470"/>
      <c r="I1136" s="470" t="s">
        <v>1079</v>
      </c>
      <c r="J1136" s="472" t="s">
        <v>1080</v>
      </c>
      <c r="K1136" s="470" t="s">
        <v>1081</v>
      </c>
      <c r="L1136" s="470" t="s">
        <v>767</v>
      </c>
      <c r="M1136" s="470" t="s">
        <v>767</v>
      </c>
      <c r="N1136" s="470" t="s">
        <v>756</v>
      </c>
      <c r="O1136" s="472" t="s">
        <v>757</v>
      </c>
      <c r="P1136" s="472" t="s">
        <v>738</v>
      </c>
      <c r="Q1136" s="472" t="s">
        <v>758</v>
      </c>
      <c r="R1136" s="472" t="s">
        <v>12</v>
      </c>
      <c r="S1136" s="472" t="s">
        <v>12</v>
      </c>
      <c r="T1136" s="472" t="s">
        <v>1082</v>
      </c>
      <c r="U1136" s="470" t="s">
        <v>1083</v>
      </c>
      <c r="V1136" s="470" t="s">
        <v>761</v>
      </c>
      <c r="W1136" s="470" t="s">
        <v>1084</v>
      </c>
      <c r="X1136" s="470">
        <v>31</v>
      </c>
      <c r="Y1136" s="470">
        <v>0</v>
      </c>
      <c r="Z1136" s="470">
        <v>0</v>
      </c>
      <c r="AA1136" s="470">
        <v>31</v>
      </c>
      <c r="AB1136" s="470">
        <v>31</v>
      </c>
      <c r="AC1136" s="473">
        <v>72817</v>
      </c>
      <c r="AD1136" s="473">
        <v>72817</v>
      </c>
      <c r="AE1136" s="473">
        <v>32768</v>
      </c>
      <c r="AF1136" s="473">
        <v>13107</v>
      </c>
      <c r="AG1136" s="473">
        <v>1600</v>
      </c>
      <c r="AH1136" s="473">
        <v>200</v>
      </c>
      <c r="AI1136" s="473">
        <v>1250</v>
      </c>
      <c r="AJ1136" s="473">
        <v>2730</v>
      </c>
      <c r="AK1136" s="473">
        <v>6554</v>
      </c>
      <c r="AL1136" s="473">
        <v>4915</v>
      </c>
      <c r="AM1136" s="473">
        <v>328</v>
      </c>
      <c r="AN1136" s="473">
        <v>1147</v>
      </c>
      <c r="AO1136" s="473">
        <v>655</v>
      </c>
      <c r="AP1136" s="473">
        <v>164</v>
      </c>
      <c r="AQ1136" s="473">
        <v>1800</v>
      </c>
      <c r="AR1136" s="473">
        <v>5599</v>
      </c>
      <c r="AS1136" s="473">
        <v>0</v>
      </c>
      <c r="AT1136" s="473">
        <v>1600</v>
      </c>
      <c r="AU1136" s="473"/>
      <c r="AV1136" s="473">
        <v>74417</v>
      </c>
      <c r="AW1136" s="474">
        <v>74417</v>
      </c>
      <c r="AX1136" s="473">
        <v>0</v>
      </c>
      <c r="AY1136" s="473">
        <v>0</v>
      </c>
      <c r="AZ1136" s="475">
        <v>0</v>
      </c>
      <c r="BA1136" s="475">
        <v>200</v>
      </c>
      <c r="BB1136" s="475">
        <v>1800</v>
      </c>
      <c r="BC1136" s="475">
        <v>0</v>
      </c>
      <c r="BD1136" s="475">
        <v>0</v>
      </c>
      <c r="BE1136" s="475">
        <v>0</v>
      </c>
      <c r="BF1136" s="475">
        <v>0</v>
      </c>
      <c r="BG1136" s="475">
        <v>2000</v>
      </c>
      <c r="BH1136" s="476">
        <v>72417</v>
      </c>
      <c r="BI1136" s="467"/>
      <c r="BJ1136" s="468"/>
    </row>
    <row r="1137" spans="1:62">
      <c r="A1137" s="469">
        <v>46082</v>
      </c>
      <c r="B1137" s="469" t="s">
        <v>747</v>
      </c>
      <c r="C1137" s="508"/>
      <c r="D1137" s="470" t="s">
        <v>749</v>
      </c>
      <c r="E1137" s="471">
        <v>405</v>
      </c>
      <c r="F1137" s="470" t="s">
        <v>1085</v>
      </c>
      <c r="G1137" s="470" t="s">
        <v>751</v>
      </c>
      <c r="H1137" s="470"/>
      <c r="I1137" s="470" t="s">
        <v>954</v>
      </c>
      <c r="J1137" s="472" t="s">
        <v>1086</v>
      </c>
      <c r="K1137" s="470" t="s">
        <v>1087</v>
      </c>
      <c r="L1137" s="470" t="s">
        <v>832</v>
      </c>
      <c r="M1137" s="470" t="s">
        <v>832</v>
      </c>
      <c r="N1137" s="470" t="s">
        <v>833</v>
      </c>
      <c r="O1137" s="472" t="s">
        <v>757</v>
      </c>
      <c r="P1137" s="472" t="s">
        <v>738</v>
      </c>
      <c r="Q1137" s="472" t="s">
        <v>758</v>
      </c>
      <c r="R1137" s="472" t="s">
        <v>12</v>
      </c>
      <c r="S1137" s="472" t="s">
        <v>12</v>
      </c>
      <c r="T1137" s="472" t="s">
        <v>1088</v>
      </c>
      <c r="U1137" s="470" t="s">
        <v>1089</v>
      </c>
      <c r="V1137" s="470" t="s">
        <v>761</v>
      </c>
      <c r="W1137" s="470" t="s">
        <v>762</v>
      </c>
      <c r="X1137" s="470">
        <v>31</v>
      </c>
      <c r="Y1137" s="470">
        <v>0</v>
      </c>
      <c r="Z1137" s="470">
        <v>0</v>
      </c>
      <c r="AA1137" s="470">
        <v>31</v>
      </c>
      <c r="AB1137" s="470">
        <v>31</v>
      </c>
      <c r="AC1137" s="473">
        <v>33167</v>
      </c>
      <c r="AD1137" s="473">
        <v>33167</v>
      </c>
      <c r="AE1137" s="473">
        <v>14925</v>
      </c>
      <c r="AF1137" s="473">
        <v>5970</v>
      </c>
      <c r="AG1137" s="473">
        <v>1600</v>
      </c>
      <c r="AH1137" s="473">
        <v>200</v>
      </c>
      <c r="AI1137" s="473">
        <v>1250</v>
      </c>
      <c r="AJ1137" s="473">
        <v>0</v>
      </c>
      <c r="AK1137" s="473">
        <v>0</v>
      </c>
      <c r="AL1137" s="473">
        <v>0</v>
      </c>
      <c r="AM1137" s="473">
        <v>0</v>
      </c>
      <c r="AN1137" s="473">
        <v>0</v>
      </c>
      <c r="AO1137" s="473">
        <v>0</v>
      </c>
      <c r="AP1137" s="473">
        <v>0</v>
      </c>
      <c r="AQ1137" s="473">
        <v>1791</v>
      </c>
      <c r="AR1137" s="473">
        <v>7431</v>
      </c>
      <c r="AS1137" s="473">
        <v>0</v>
      </c>
      <c r="AT1137" s="473">
        <v>0</v>
      </c>
      <c r="AU1137" s="473">
        <v>1950</v>
      </c>
      <c r="AV1137" s="473">
        <v>35117</v>
      </c>
      <c r="AW1137" s="474">
        <v>33167</v>
      </c>
      <c r="AX1137" s="473">
        <v>0</v>
      </c>
      <c r="AY1137" s="473">
        <v>0</v>
      </c>
      <c r="AZ1137" s="475">
        <v>0</v>
      </c>
      <c r="BA1137" s="475">
        <v>200</v>
      </c>
      <c r="BB1137" s="475">
        <v>1791</v>
      </c>
      <c r="BC1137" s="475">
        <v>0</v>
      </c>
      <c r="BD1137" s="475">
        <v>0</v>
      </c>
      <c r="BE1137" s="475">
        <v>0</v>
      </c>
      <c r="BF1137" s="475">
        <v>0</v>
      </c>
      <c r="BG1137" s="475">
        <v>1991</v>
      </c>
      <c r="BH1137" s="476">
        <v>33126</v>
      </c>
      <c r="BI1137" s="467"/>
      <c r="BJ1137" s="468"/>
    </row>
    <row r="1138" spans="1:62">
      <c r="A1138" s="469">
        <v>46082</v>
      </c>
      <c r="B1138" s="469" t="s">
        <v>747</v>
      </c>
      <c r="C1138" s="508"/>
      <c r="D1138" s="470" t="s">
        <v>749</v>
      </c>
      <c r="E1138" s="471">
        <v>1916</v>
      </c>
      <c r="F1138" s="470" t="s">
        <v>1090</v>
      </c>
      <c r="G1138" s="470" t="s">
        <v>751</v>
      </c>
      <c r="H1138" s="470"/>
      <c r="I1138" s="470" t="s">
        <v>853</v>
      </c>
      <c r="J1138" s="472" t="s">
        <v>1091</v>
      </c>
      <c r="K1138" s="470" t="s">
        <v>1092</v>
      </c>
      <c r="L1138" s="470" t="s">
        <v>776</v>
      </c>
      <c r="M1138" s="470" t="s">
        <v>776</v>
      </c>
      <c r="N1138" s="470" t="s">
        <v>777</v>
      </c>
      <c r="O1138" s="472" t="s">
        <v>757</v>
      </c>
      <c r="P1138" s="472" t="s">
        <v>738</v>
      </c>
      <c r="Q1138" s="472" t="s">
        <v>758</v>
      </c>
      <c r="R1138" s="472" t="s">
        <v>12</v>
      </c>
      <c r="S1138" s="472" t="s">
        <v>12</v>
      </c>
      <c r="T1138" s="472" t="s">
        <v>1093</v>
      </c>
      <c r="U1138" s="470" t="s">
        <v>1094</v>
      </c>
      <c r="V1138" s="470" t="s">
        <v>761</v>
      </c>
      <c r="W1138" s="470" t="s">
        <v>1095</v>
      </c>
      <c r="X1138" s="470">
        <v>31</v>
      </c>
      <c r="Y1138" s="470">
        <v>0</v>
      </c>
      <c r="Z1138" s="470">
        <v>0</v>
      </c>
      <c r="AA1138" s="470">
        <v>31</v>
      </c>
      <c r="AB1138" s="470">
        <v>31</v>
      </c>
      <c r="AC1138" s="473">
        <v>94033</v>
      </c>
      <c r="AD1138" s="473">
        <v>94033</v>
      </c>
      <c r="AE1138" s="473">
        <v>42315</v>
      </c>
      <c r="AF1138" s="473">
        <v>16926</v>
      </c>
      <c r="AG1138" s="473">
        <v>1600</v>
      </c>
      <c r="AH1138" s="473">
        <v>200</v>
      </c>
      <c r="AI1138" s="473">
        <v>1250</v>
      </c>
      <c r="AJ1138" s="473">
        <v>3525</v>
      </c>
      <c r="AK1138" s="473">
        <v>8463</v>
      </c>
      <c r="AL1138" s="473">
        <v>6347</v>
      </c>
      <c r="AM1138" s="473">
        <v>423</v>
      </c>
      <c r="AN1138" s="473">
        <v>1481</v>
      </c>
      <c r="AO1138" s="473">
        <v>846</v>
      </c>
      <c r="AP1138" s="473">
        <v>212</v>
      </c>
      <c r="AQ1138" s="473">
        <v>1800</v>
      </c>
      <c r="AR1138" s="473">
        <v>8645</v>
      </c>
      <c r="AS1138" s="473">
        <v>0</v>
      </c>
      <c r="AT1138" s="473">
        <v>0</v>
      </c>
      <c r="AU1138" s="473">
        <v>213</v>
      </c>
      <c r="AV1138" s="473">
        <v>94246</v>
      </c>
      <c r="AW1138" s="474">
        <v>94033</v>
      </c>
      <c r="AX1138" s="473">
        <v>0</v>
      </c>
      <c r="AY1138" s="473">
        <v>0</v>
      </c>
      <c r="AZ1138" s="475">
        <v>0</v>
      </c>
      <c r="BA1138" s="475">
        <v>200</v>
      </c>
      <c r="BB1138" s="475">
        <v>1800</v>
      </c>
      <c r="BC1138" s="475">
        <v>0</v>
      </c>
      <c r="BD1138" s="475">
        <v>0</v>
      </c>
      <c r="BE1138" s="475">
        <v>0</v>
      </c>
      <c r="BF1138" s="475">
        <v>0</v>
      </c>
      <c r="BG1138" s="475">
        <v>2000</v>
      </c>
      <c r="BH1138" s="476">
        <v>92246</v>
      </c>
      <c r="BI1138" s="467"/>
      <c r="BJ1138" s="468"/>
    </row>
    <row r="1139" spans="1:62">
      <c r="A1139" s="469">
        <v>46082</v>
      </c>
      <c r="B1139" s="469" t="s">
        <v>747</v>
      </c>
      <c r="C1139" s="508"/>
      <c r="D1139" s="470" t="s">
        <v>749</v>
      </c>
      <c r="E1139" s="471">
        <v>2287</v>
      </c>
      <c r="F1139" s="470" t="s">
        <v>1470</v>
      </c>
      <c r="G1139" s="470" t="s">
        <v>751</v>
      </c>
      <c r="H1139" s="470"/>
      <c r="I1139" s="470" t="s">
        <v>1471</v>
      </c>
      <c r="J1139" s="472" t="s">
        <v>1472</v>
      </c>
      <c r="K1139" s="470" t="s">
        <v>1473</v>
      </c>
      <c r="L1139" s="470" t="s">
        <v>1305</v>
      </c>
      <c r="M1139" s="470" t="s">
        <v>1305</v>
      </c>
      <c r="N1139" s="470" t="s">
        <v>1275</v>
      </c>
      <c r="O1139" s="472" t="s">
        <v>757</v>
      </c>
      <c r="P1139" s="472" t="s">
        <v>738</v>
      </c>
      <c r="Q1139" s="472" t="s">
        <v>758</v>
      </c>
      <c r="R1139" s="472" t="s">
        <v>12</v>
      </c>
      <c r="S1139" s="472" t="s">
        <v>12</v>
      </c>
      <c r="T1139" s="472" t="s">
        <v>1474</v>
      </c>
      <c r="U1139" s="470" t="s">
        <v>1475</v>
      </c>
      <c r="V1139" s="470" t="s">
        <v>761</v>
      </c>
      <c r="W1139" s="470" t="s">
        <v>1387</v>
      </c>
      <c r="X1139" s="470">
        <v>31</v>
      </c>
      <c r="Y1139" s="470">
        <v>0</v>
      </c>
      <c r="Z1139" s="470">
        <v>0.5</v>
      </c>
      <c r="AA1139" s="470">
        <v>30.5</v>
      </c>
      <c r="AB1139" s="470">
        <v>30.5</v>
      </c>
      <c r="AC1139" s="473">
        <v>66200</v>
      </c>
      <c r="AD1139" s="473">
        <v>66200</v>
      </c>
      <c r="AE1139" s="473">
        <v>29309</v>
      </c>
      <c r="AF1139" s="473">
        <v>11724</v>
      </c>
      <c r="AG1139" s="473">
        <v>1574</v>
      </c>
      <c r="AH1139" s="473">
        <v>197</v>
      </c>
      <c r="AI1139" s="473">
        <v>1230</v>
      </c>
      <c r="AJ1139" s="473">
        <v>2441</v>
      </c>
      <c r="AK1139" s="473">
        <v>5862</v>
      </c>
      <c r="AL1139" s="473">
        <v>4396</v>
      </c>
      <c r="AM1139" s="473">
        <v>293</v>
      </c>
      <c r="AN1139" s="473">
        <v>1026</v>
      </c>
      <c r="AO1139" s="473">
        <v>586</v>
      </c>
      <c r="AP1139" s="473">
        <v>147</v>
      </c>
      <c r="AQ1139" s="473">
        <v>1800</v>
      </c>
      <c r="AR1139" s="473">
        <v>4547</v>
      </c>
      <c r="AS1139" s="473">
        <v>0</v>
      </c>
      <c r="AT1139" s="473">
        <v>0</v>
      </c>
      <c r="AU1139" s="473">
        <v>4189</v>
      </c>
      <c r="AV1139" s="473">
        <v>69321</v>
      </c>
      <c r="AW1139" s="474">
        <v>65132</v>
      </c>
      <c r="AX1139" s="473">
        <v>0</v>
      </c>
      <c r="AY1139" s="473">
        <v>160</v>
      </c>
      <c r="AZ1139" s="475">
        <v>0</v>
      </c>
      <c r="BA1139" s="475">
        <v>200</v>
      </c>
      <c r="BB1139" s="475">
        <v>1800</v>
      </c>
      <c r="BC1139" s="475">
        <v>0</v>
      </c>
      <c r="BD1139" s="475">
        <v>0</v>
      </c>
      <c r="BE1139" s="475">
        <v>0</v>
      </c>
      <c r="BF1139" s="475">
        <v>0</v>
      </c>
      <c r="BG1139" s="475">
        <v>2160</v>
      </c>
      <c r="BH1139" s="476">
        <v>67161</v>
      </c>
      <c r="BI1139" s="467"/>
      <c r="BJ1139" s="468"/>
    </row>
    <row r="1140" spans="1:62">
      <c r="A1140" s="469">
        <v>46082</v>
      </c>
      <c r="B1140" s="469" t="s">
        <v>747</v>
      </c>
      <c r="C1140" s="508"/>
      <c r="D1140" s="470" t="s">
        <v>749</v>
      </c>
      <c r="E1140" s="471">
        <v>2261</v>
      </c>
      <c r="F1140" s="470" t="s">
        <v>1476</v>
      </c>
      <c r="G1140" s="470" t="s">
        <v>751</v>
      </c>
      <c r="H1140" s="470"/>
      <c r="I1140" s="470" t="s">
        <v>1477</v>
      </c>
      <c r="J1140" s="472" t="s">
        <v>1478</v>
      </c>
      <c r="K1140" s="470" t="s">
        <v>1479</v>
      </c>
      <c r="L1140" s="470" t="s">
        <v>1192</v>
      </c>
      <c r="M1140" s="470" t="s">
        <v>1328</v>
      </c>
      <c r="N1140" s="470" t="s">
        <v>833</v>
      </c>
      <c r="O1140" s="472" t="s">
        <v>1043</v>
      </c>
      <c r="P1140" s="472" t="s">
        <v>738</v>
      </c>
      <c r="Q1140" s="472" t="s">
        <v>758</v>
      </c>
      <c r="R1140" s="472" t="s">
        <v>12</v>
      </c>
      <c r="S1140" s="472" t="s">
        <v>12</v>
      </c>
      <c r="T1140" s="472" t="s">
        <v>1480</v>
      </c>
      <c r="U1140" s="470" t="s">
        <v>1481</v>
      </c>
      <c r="V1140" s="470" t="s">
        <v>761</v>
      </c>
      <c r="W1140" s="470" t="s">
        <v>876</v>
      </c>
      <c r="X1140" s="470">
        <v>31</v>
      </c>
      <c r="Y1140" s="470">
        <v>0</v>
      </c>
      <c r="Z1140" s="470">
        <v>0</v>
      </c>
      <c r="AA1140" s="470">
        <v>31</v>
      </c>
      <c r="AB1140" s="470">
        <v>31</v>
      </c>
      <c r="AC1140" s="473">
        <v>27519</v>
      </c>
      <c r="AD1140" s="473">
        <v>27519</v>
      </c>
      <c r="AE1140" s="473">
        <v>12384</v>
      </c>
      <c r="AF1140" s="473">
        <v>4954</v>
      </c>
      <c r="AG1140" s="473">
        <v>1600</v>
      </c>
      <c r="AH1140" s="473">
        <v>200</v>
      </c>
      <c r="AI1140" s="473">
        <v>1250</v>
      </c>
      <c r="AJ1140" s="473">
        <v>0</v>
      </c>
      <c r="AK1140" s="473">
        <v>0</v>
      </c>
      <c r="AL1140" s="473">
        <v>0</v>
      </c>
      <c r="AM1140" s="473">
        <v>0</v>
      </c>
      <c r="AN1140" s="473">
        <v>0</v>
      </c>
      <c r="AO1140" s="473">
        <v>0</v>
      </c>
      <c r="AP1140" s="473">
        <v>0</v>
      </c>
      <c r="AQ1140" s="473">
        <v>1486</v>
      </c>
      <c r="AR1140" s="473">
        <v>5645</v>
      </c>
      <c r="AS1140" s="473">
        <v>0</v>
      </c>
      <c r="AT1140" s="473">
        <v>0</v>
      </c>
      <c r="AU1140" s="473">
        <v>1142</v>
      </c>
      <c r="AV1140" s="473">
        <v>28661</v>
      </c>
      <c r="AW1140" s="474">
        <v>27519</v>
      </c>
      <c r="AX1140" s="473">
        <v>0</v>
      </c>
      <c r="AY1140" s="473">
        <v>0</v>
      </c>
      <c r="AZ1140" s="475">
        <v>0</v>
      </c>
      <c r="BA1140" s="475">
        <v>200</v>
      </c>
      <c r="BB1140" s="475">
        <v>1486</v>
      </c>
      <c r="BC1140" s="475">
        <v>0</v>
      </c>
      <c r="BD1140" s="475">
        <v>0</v>
      </c>
      <c r="BE1140" s="475">
        <v>0</v>
      </c>
      <c r="BF1140" s="475">
        <v>0</v>
      </c>
      <c r="BG1140" s="475">
        <v>1686</v>
      </c>
      <c r="BH1140" s="476">
        <v>26975</v>
      </c>
      <c r="BI1140" s="467"/>
      <c r="BJ1140" s="468"/>
    </row>
    <row r="1141" spans="1:62">
      <c r="A1141" s="469">
        <v>46082</v>
      </c>
      <c r="B1141" s="469" t="s">
        <v>747</v>
      </c>
      <c r="C1141" s="508"/>
      <c r="D1141" s="470" t="s">
        <v>749</v>
      </c>
      <c r="E1141" s="471">
        <v>2279</v>
      </c>
      <c r="F1141" s="470" t="s">
        <v>1482</v>
      </c>
      <c r="G1141" s="470" t="s">
        <v>751</v>
      </c>
      <c r="H1141" s="470"/>
      <c r="I1141" s="470" t="s">
        <v>1426</v>
      </c>
      <c r="J1141" s="472" t="s">
        <v>1483</v>
      </c>
      <c r="K1141" s="470" t="s">
        <v>1484</v>
      </c>
      <c r="L1141" s="470" t="s">
        <v>824</v>
      </c>
      <c r="M1141" s="470" t="s">
        <v>824</v>
      </c>
      <c r="N1141" s="470" t="s">
        <v>1275</v>
      </c>
      <c r="O1141" s="472" t="s">
        <v>1276</v>
      </c>
      <c r="P1141" s="472" t="s">
        <v>738</v>
      </c>
      <c r="Q1141" s="472" t="s">
        <v>758</v>
      </c>
      <c r="R1141" s="472" t="s">
        <v>12</v>
      </c>
      <c r="S1141" s="472" t="s">
        <v>12</v>
      </c>
      <c r="T1141" s="472" t="s">
        <v>1485</v>
      </c>
      <c r="U1141" s="470" t="s">
        <v>1486</v>
      </c>
      <c r="V1141" s="470" t="s">
        <v>761</v>
      </c>
      <c r="W1141" s="470" t="s">
        <v>1361</v>
      </c>
      <c r="X1141" s="470">
        <v>31</v>
      </c>
      <c r="Y1141" s="470">
        <v>0</v>
      </c>
      <c r="Z1141" s="470">
        <v>2</v>
      </c>
      <c r="AA1141" s="470">
        <v>29</v>
      </c>
      <c r="AB1141" s="470">
        <v>29</v>
      </c>
      <c r="AC1141" s="473">
        <v>44033</v>
      </c>
      <c r="AD1141" s="473">
        <v>44033</v>
      </c>
      <c r="AE1141" s="473">
        <v>18536</v>
      </c>
      <c r="AF1141" s="473">
        <v>7414</v>
      </c>
      <c r="AG1141" s="473">
        <v>1497</v>
      </c>
      <c r="AH1141" s="473">
        <v>187</v>
      </c>
      <c r="AI1141" s="473">
        <v>1169</v>
      </c>
      <c r="AJ1141" s="473">
        <v>1544</v>
      </c>
      <c r="AK1141" s="473">
        <v>3707</v>
      </c>
      <c r="AL1141" s="473">
        <v>2780</v>
      </c>
      <c r="AM1141" s="473">
        <v>185</v>
      </c>
      <c r="AN1141" s="473">
        <v>649</v>
      </c>
      <c r="AO1141" s="473">
        <v>371</v>
      </c>
      <c r="AP1141" s="473">
        <v>93</v>
      </c>
      <c r="AQ1141" s="473">
        <v>1800</v>
      </c>
      <c r="AR1141" s="473">
        <v>1260</v>
      </c>
      <c r="AS1141" s="473">
        <v>0</v>
      </c>
      <c r="AT1141" s="473">
        <v>0</v>
      </c>
      <c r="AU1141" s="473">
        <v>1583</v>
      </c>
      <c r="AV1141" s="473">
        <v>42775</v>
      </c>
      <c r="AW1141" s="474">
        <v>41192</v>
      </c>
      <c r="AX1141" s="473">
        <v>0</v>
      </c>
      <c r="AY1141" s="473">
        <v>0</v>
      </c>
      <c r="AZ1141" s="475">
        <v>0</v>
      </c>
      <c r="BA1141" s="475">
        <v>200</v>
      </c>
      <c r="BB1141" s="475">
        <v>1800</v>
      </c>
      <c r="BC1141" s="475">
        <v>0</v>
      </c>
      <c r="BD1141" s="475">
        <v>0</v>
      </c>
      <c r="BE1141" s="475">
        <v>0</v>
      </c>
      <c r="BF1141" s="475">
        <v>0</v>
      </c>
      <c r="BG1141" s="475">
        <v>2000</v>
      </c>
      <c r="BH1141" s="476">
        <v>40775</v>
      </c>
      <c r="BI1141" s="467"/>
      <c r="BJ1141" s="468"/>
    </row>
    <row r="1142" spans="1:62">
      <c r="A1142" s="469">
        <v>46082</v>
      </c>
      <c r="B1142" s="469" t="s">
        <v>747</v>
      </c>
      <c r="C1142" s="508"/>
      <c r="D1142" s="470" t="s">
        <v>749</v>
      </c>
      <c r="E1142" s="471">
        <v>2274</v>
      </c>
      <c r="F1142" s="470" t="s">
        <v>1487</v>
      </c>
      <c r="G1142" s="470" t="s">
        <v>812</v>
      </c>
      <c r="H1142" s="470"/>
      <c r="I1142" s="470" t="s">
        <v>1426</v>
      </c>
      <c r="J1142" s="472" t="s">
        <v>1488</v>
      </c>
      <c r="K1142" s="470" t="s">
        <v>1489</v>
      </c>
      <c r="L1142" s="470" t="s">
        <v>824</v>
      </c>
      <c r="M1142" s="470" t="s">
        <v>824</v>
      </c>
      <c r="N1142" s="470" t="s">
        <v>1275</v>
      </c>
      <c r="O1142" s="472" t="s">
        <v>1276</v>
      </c>
      <c r="P1142" s="472" t="s">
        <v>738</v>
      </c>
      <c r="Q1142" s="472" t="s">
        <v>758</v>
      </c>
      <c r="R1142" s="472" t="s">
        <v>12</v>
      </c>
      <c r="S1142" s="472" t="s">
        <v>12</v>
      </c>
      <c r="T1142" s="472" t="s">
        <v>1490</v>
      </c>
      <c r="U1142" s="470" t="s">
        <v>1491</v>
      </c>
      <c r="V1142" s="470" t="s">
        <v>761</v>
      </c>
      <c r="W1142" s="470" t="s">
        <v>1361</v>
      </c>
      <c r="X1142" s="470">
        <v>31</v>
      </c>
      <c r="Y1142" s="470">
        <v>0</v>
      </c>
      <c r="Z1142" s="470">
        <v>0</v>
      </c>
      <c r="AA1142" s="470">
        <v>31</v>
      </c>
      <c r="AB1142" s="470">
        <v>31</v>
      </c>
      <c r="AC1142" s="473">
        <v>44033</v>
      </c>
      <c r="AD1142" s="473">
        <v>44033</v>
      </c>
      <c r="AE1142" s="473">
        <v>19815</v>
      </c>
      <c r="AF1142" s="473">
        <v>7926</v>
      </c>
      <c r="AG1142" s="473">
        <v>1600</v>
      </c>
      <c r="AH1142" s="473">
        <v>200</v>
      </c>
      <c r="AI1142" s="473">
        <v>1250</v>
      </c>
      <c r="AJ1142" s="473">
        <v>1651</v>
      </c>
      <c r="AK1142" s="473">
        <v>3963</v>
      </c>
      <c r="AL1142" s="473">
        <v>2972</v>
      </c>
      <c r="AM1142" s="473">
        <v>198</v>
      </c>
      <c r="AN1142" s="473">
        <v>694</v>
      </c>
      <c r="AO1142" s="473">
        <v>396</v>
      </c>
      <c r="AP1142" s="473">
        <v>99</v>
      </c>
      <c r="AQ1142" s="473">
        <v>1800</v>
      </c>
      <c r="AR1142" s="473">
        <v>1469</v>
      </c>
      <c r="AS1142" s="473">
        <v>0</v>
      </c>
      <c r="AT1142" s="473">
        <v>0</v>
      </c>
      <c r="AU1142" s="473">
        <v>165</v>
      </c>
      <c r="AV1142" s="473">
        <v>44198</v>
      </c>
      <c r="AW1142" s="474">
        <v>44033</v>
      </c>
      <c r="AX1142" s="473">
        <v>0</v>
      </c>
      <c r="AY1142" s="473">
        <v>0</v>
      </c>
      <c r="AZ1142" s="475">
        <v>0</v>
      </c>
      <c r="BA1142" s="475">
        <v>200</v>
      </c>
      <c r="BB1142" s="475">
        <v>1800</v>
      </c>
      <c r="BC1142" s="475">
        <v>0</v>
      </c>
      <c r="BD1142" s="475">
        <v>0</v>
      </c>
      <c r="BE1142" s="475">
        <v>0</v>
      </c>
      <c r="BF1142" s="475">
        <v>0</v>
      </c>
      <c r="BG1142" s="475">
        <v>2000</v>
      </c>
      <c r="BH1142" s="476">
        <v>42198</v>
      </c>
      <c r="BI1142" s="467"/>
      <c r="BJ1142" s="468"/>
    </row>
    <row r="1143" spans="1:62">
      <c r="A1143" s="469">
        <v>46082</v>
      </c>
      <c r="B1143" s="469" t="s">
        <v>747</v>
      </c>
      <c r="C1143" s="508"/>
      <c r="D1143" s="470" t="s">
        <v>749</v>
      </c>
      <c r="E1143" s="471">
        <v>2277</v>
      </c>
      <c r="F1143" s="470" t="s">
        <v>1492</v>
      </c>
      <c r="G1143" s="470" t="s">
        <v>751</v>
      </c>
      <c r="H1143" s="470"/>
      <c r="I1143" s="470" t="s">
        <v>1426</v>
      </c>
      <c r="J1143" s="472" t="s">
        <v>1493</v>
      </c>
      <c r="K1143" s="470" t="s">
        <v>1494</v>
      </c>
      <c r="L1143" s="470" t="s">
        <v>824</v>
      </c>
      <c r="M1143" s="470" t="s">
        <v>824</v>
      </c>
      <c r="N1143" s="470" t="s">
        <v>1275</v>
      </c>
      <c r="O1143" s="472" t="s">
        <v>1276</v>
      </c>
      <c r="P1143" s="472" t="s">
        <v>738</v>
      </c>
      <c r="Q1143" s="472" t="s">
        <v>758</v>
      </c>
      <c r="R1143" s="472" t="s">
        <v>12</v>
      </c>
      <c r="S1143" s="472" t="s">
        <v>12</v>
      </c>
      <c r="T1143" s="472" t="s">
        <v>1495</v>
      </c>
      <c r="U1143" s="470" t="s">
        <v>1496</v>
      </c>
      <c r="V1143" s="470" t="s">
        <v>761</v>
      </c>
      <c r="W1143" s="470" t="s">
        <v>1361</v>
      </c>
      <c r="X1143" s="470">
        <v>31</v>
      </c>
      <c r="Y1143" s="470">
        <v>0</v>
      </c>
      <c r="Z1143" s="470">
        <v>1</v>
      </c>
      <c r="AA1143" s="470">
        <v>30</v>
      </c>
      <c r="AB1143" s="470">
        <v>30</v>
      </c>
      <c r="AC1143" s="473">
        <v>44033</v>
      </c>
      <c r="AD1143" s="473">
        <v>44033</v>
      </c>
      <c r="AE1143" s="473">
        <v>19176</v>
      </c>
      <c r="AF1143" s="473">
        <v>7670</v>
      </c>
      <c r="AG1143" s="473">
        <v>1548</v>
      </c>
      <c r="AH1143" s="473">
        <v>194</v>
      </c>
      <c r="AI1143" s="473">
        <v>1210</v>
      </c>
      <c r="AJ1143" s="473">
        <v>1597</v>
      </c>
      <c r="AK1143" s="473">
        <v>3835</v>
      </c>
      <c r="AL1143" s="473">
        <v>2876</v>
      </c>
      <c r="AM1143" s="473">
        <v>192</v>
      </c>
      <c r="AN1143" s="473">
        <v>671</v>
      </c>
      <c r="AO1143" s="473">
        <v>384</v>
      </c>
      <c r="AP1143" s="473">
        <v>96</v>
      </c>
      <c r="AQ1143" s="473">
        <v>1800</v>
      </c>
      <c r="AR1143" s="473">
        <v>1364</v>
      </c>
      <c r="AS1143" s="473">
        <v>0</v>
      </c>
      <c r="AT1143" s="473">
        <v>0</v>
      </c>
      <c r="AU1143" s="473">
        <v>1290</v>
      </c>
      <c r="AV1143" s="473">
        <v>43903</v>
      </c>
      <c r="AW1143" s="474">
        <v>42613</v>
      </c>
      <c r="AX1143" s="473">
        <v>0</v>
      </c>
      <c r="AY1143" s="473">
        <v>0</v>
      </c>
      <c r="AZ1143" s="475">
        <v>0</v>
      </c>
      <c r="BA1143" s="475">
        <v>200</v>
      </c>
      <c r="BB1143" s="475">
        <v>1800</v>
      </c>
      <c r="BC1143" s="475">
        <v>0</v>
      </c>
      <c r="BD1143" s="475">
        <v>0</v>
      </c>
      <c r="BE1143" s="475">
        <v>0</v>
      </c>
      <c r="BF1143" s="475">
        <v>0</v>
      </c>
      <c r="BG1143" s="475">
        <v>2000</v>
      </c>
      <c r="BH1143" s="476">
        <v>41903</v>
      </c>
      <c r="BI1143" s="467"/>
      <c r="BJ1143" s="468"/>
    </row>
    <row r="1144" spans="1:62">
      <c r="A1144" s="469">
        <v>46082</v>
      </c>
      <c r="B1144" s="469" t="s">
        <v>747</v>
      </c>
      <c r="C1144" s="508"/>
      <c r="D1144" s="470" t="s">
        <v>749</v>
      </c>
      <c r="E1144" s="471">
        <v>2156</v>
      </c>
      <c r="F1144" s="470" t="s">
        <v>1302</v>
      </c>
      <c r="G1144" s="470" t="s">
        <v>751</v>
      </c>
      <c r="H1144" s="470"/>
      <c r="I1144" s="470" t="s">
        <v>1286</v>
      </c>
      <c r="J1144" s="472" t="s">
        <v>1303</v>
      </c>
      <c r="K1144" s="470" t="s">
        <v>1304</v>
      </c>
      <c r="L1144" s="470" t="s">
        <v>1305</v>
      </c>
      <c r="M1144" s="470" t="s">
        <v>1305</v>
      </c>
      <c r="N1144" s="470" t="s">
        <v>756</v>
      </c>
      <c r="O1144" s="472" t="s">
        <v>792</v>
      </c>
      <c r="P1144" s="472" t="s">
        <v>738</v>
      </c>
      <c r="Q1144" s="472" t="s">
        <v>758</v>
      </c>
      <c r="R1144" s="472" t="s">
        <v>12</v>
      </c>
      <c r="S1144" s="472" t="s">
        <v>12</v>
      </c>
      <c r="T1144" s="472" t="s">
        <v>1306</v>
      </c>
      <c r="U1144" s="470" t="s">
        <v>1307</v>
      </c>
      <c r="V1144" s="470" t="s">
        <v>761</v>
      </c>
      <c r="W1144" s="470" t="s">
        <v>898</v>
      </c>
      <c r="X1144" s="470">
        <v>31</v>
      </c>
      <c r="Y1144" s="470">
        <v>0</v>
      </c>
      <c r="Z1144" s="470">
        <v>1</v>
      </c>
      <c r="AA1144" s="470">
        <v>30</v>
      </c>
      <c r="AB1144" s="470">
        <v>30</v>
      </c>
      <c r="AC1144" s="473">
        <v>67200</v>
      </c>
      <c r="AD1144" s="473">
        <v>67200</v>
      </c>
      <c r="AE1144" s="473">
        <v>29264</v>
      </c>
      <c r="AF1144" s="473">
        <v>11706</v>
      </c>
      <c r="AG1144" s="473">
        <v>1548</v>
      </c>
      <c r="AH1144" s="473">
        <v>194</v>
      </c>
      <c r="AI1144" s="473">
        <v>1210</v>
      </c>
      <c r="AJ1144" s="473">
        <v>2438</v>
      </c>
      <c r="AK1144" s="473">
        <v>5853</v>
      </c>
      <c r="AL1144" s="473">
        <v>4390</v>
      </c>
      <c r="AM1144" s="473">
        <v>293</v>
      </c>
      <c r="AN1144" s="473">
        <v>1024</v>
      </c>
      <c r="AO1144" s="473">
        <v>585</v>
      </c>
      <c r="AP1144" s="473">
        <v>146</v>
      </c>
      <c r="AQ1144" s="473">
        <v>1800</v>
      </c>
      <c r="AR1144" s="473">
        <v>4581</v>
      </c>
      <c r="AS1144" s="473">
        <v>0</v>
      </c>
      <c r="AT1144" s="473">
        <v>0</v>
      </c>
      <c r="AU1144" s="473"/>
      <c r="AV1144" s="473">
        <v>65032</v>
      </c>
      <c r="AW1144" s="474">
        <v>65032</v>
      </c>
      <c r="AX1144" s="473">
        <v>0</v>
      </c>
      <c r="AY1144" s="473">
        <v>0</v>
      </c>
      <c r="AZ1144" s="475">
        <v>0</v>
      </c>
      <c r="BA1144" s="475">
        <v>200</v>
      </c>
      <c r="BB1144" s="475">
        <v>1800</v>
      </c>
      <c r="BC1144" s="475">
        <v>0</v>
      </c>
      <c r="BD1144" s="475">
        <v>0</v>
      </c>
      <c r="BE1144" s="475">
        <v>0</v>
      </c>
      <c r="BF1144" s="475">
        <v>0</v>
      </c>
      <c r="BG1144" s="475">
        <v>2000</v>
      </c>
      <c r="BH1144" s="476">
        <v>63032</v>
      </c>
      <c r="BI1144" s="467"/>
      <c r="BJ1144" s="468"/>
    </row>
    <row r="1145" spans="1:62">
      <c r="A1145" s="469">
        <v>46082</v>
      </c>
      <c r="B1145" s="469" t="s">
        <v>747</v>
      </c>
      <c r="C1145" s="508"/>
      <c r="D1145" s="470" t="s">
        <v>749</v>
      </c>
      <c r="E1145" s="471">
        <v>413</v>
      </c>
      <c r="F1145" s="470" t="s">
        <v>1112</v>
      </c>
      <c r="G1145" s="470" t="s">
        <v>751</v>
      </c>
      <c r="H1145" s="470"/>
      <c r="I1145" s="470" t="s">
        <v>1113</v>
      </c>
      <c r="J1145" s="472" t="s">
        <v>1114</v>
      </c>
      <c r="K1145" s="470" t="s">
        <v>1115</v>
      </c>
      <c r="L1145" s="470" t="s">
        <v>856</v>
      </c>
      <c r="M1145" s="470" t="s">
        <v>856</v>
      </c>
      <c r="N1145" s="470" t="s">
        <v>756</v>
      </c>
      <c r="O1145" s="472" t="s">
        <v>757</v>
      </c>
      <c r="P1145" s="472" t="s">
        <v>738</v>
      </c>
      <c r="Q1145" s="472" t="s">
        <v>758</v>
      </c>
      <c r="R1145" s="472" t="s">
        <v>12</v>
      </c>
      <c r="S1145" s="472" t="s">
        <v>12</v>
      </c>
      <c r="T1145" s="472" t="s">
        <v>1117</v>
      </c>
      <c r="U1145" s="470" t="s">
        <v>1118</v>
      </c>
      <c r="V1145" s="470" t="s">
        <v>761</v>
      </c>
      <c r="W1145" s="470" t="s">
        <v>762</v>
      </c>
      <c r="X1145" s="470">
        <v>31</v>
      </c>
      <c r="Y1145" s="470">
        <v>0</v>
      </c>
      <c r="Z1145" s="470">
        <v>0</v>
      </c>
      <c r="AA1145" s="470">
        <v>31</v>
      </c>
      <c r="AB1145" s="470">
        <v>31</v>
      </c>
      <c r="AC1145" s="473">
        <v>52975</v>
      </c>
      <c r="AD1145" s="473">
        <v>52975</v>
      </c>
      <c r="AE1145" s="473">
        <v>23839</v>
      </c>
      <c r="AF1145" s="473">
        <v>9536</v>
      </c>
      <c r="AG1145" s="473">
        <v>1600</v>
      </c>
      <c r="AH1145" s="473">
        <v>200</v>
      </c>
      <c r="AI1145" s="473">
        <v>1250</v>
      </c>
      <c r="AJ1145" s="473">
        <v>1986</v>
      </c>
      <c r="AK1145" s="473">
        <v>4768</v>
      </c>
      <c r="AL1145" s="473">
        <v>3576</v>
      </c>
      <c r="AM1145" s="473">
        <v>238</v>
      </c>
      <c r="AN1145" s="473">
        <v>834</v>
      </c>
      <c r="AO1145" s="473">
        <v>477</v>
      </c>
      <c r="AP1145" s="473">
        <v>119</v>
      </c>
      <c r="AQ1145" s="473">
        <v>1800</v>
      </c>
      <c r="AR1145" s="473">
        <v>2752</v>
      </c>
      <c r="AS1145" s="473">
        <v>0</v>
      </c>
      <c r="AT1145" s="473">
        <v>200</v>
      </c>
      <c r="AU1145" s="473"/>
      <c r="AV1145" s="473">
        <v>53175</v>
      </c>
      <c r="AW1145" s="474">
        <v>53175</v>
      </c>
      <c r="AX1145" s="473">
        <v>0</v>
      </c>
      <c r="AY1145" s="473">
        <v>160</v>
      </c>
      <c r="AZ1145" s="475">
        <v>0</v>
      </c>
      <c r="BA1145" s="475">
        <v>200</v>
      </c>
      <c r="BB1145" s="475">
        <v>1800</v>
      </c>
      <c r="BC1145" s="475">
        <v>0</v>
      </c>
      <c r="BD1145" s="475">
        <v>0</v>
      </c>
      <c r="BE1145" s="475">
        <v>0</v>
      </c>
      <c r="BF1145" s="475">
        <v>0</v>
      </c>
      <c r="BG1145" s="475">
        <v>2160</v>
      </c>
      <c r="BH1145" s="476">
        <v>51015</v>
      </c>
      <c r="BI1145" s="467"/>
      <c r="BJ1145" s="468"/>
    </row>
    <row r="1146" spans="1:62">
      <c r="A1146" s="469">
        <v>46082</v>
      </c>
      <c r="B1146" s="469" t="s">
        <v>747</v>
      </c>
      <c r="C1146" s="508"/>
      <c r="D1146" s="470" t="s">
        <v>749</v>
      </c>
      <c r="E1146" s="471">
        <v>1389</v>
      </c>
      <c r="F1146" s="470" t="s">
        <v>1119</v>
      </c>
      <c r="G1146" s="470" t="s">
        <v>751</v>
      </c>
      <c r="H1146" s="470"/>
      <c r="I1146" s="470" t="s">
        <v>1120</v>
      </c>
      <c r="J1146" s="472" t="s">
        <v>1121</v>
      </c>
      <c r="K1146" s="470" t="s">
        <v>1122</v>
      </c>
      <c r="L1146" s="470" t="s">
        <v>1123</v>
      </c>
      <c r="M1146" s="470" t="s">
        <v>1124</v>
      </c>
      <c r="N1146" s="470" t="s">
        <v>1108</v>
      </c>
      <c r="O1146" s="472" t="s">
        <v>757</v>
      </c>
      <c r="P1146" s="472" t="s">
        <v>738</v>
      </c>
      <c r="Q1146" s="472" t="s">
        <v>758</v>
      </c>
      <c r="R1146" s="472" t="s">
        <v>12</v>
      </c>
      <c r="S1146" s="472" t="s">
        <v>12</v>
      </c>
      <c r="T1146" s="472" t="s">
        <v>1125</v>
      </c>
      <c r="U1146" s="470" t="s">
        <v>1126</v>
      </c>
      <c r="V1146" s="470" t="s">
        <v>761</v>
      </c>
      <c r="W1146" s="470" t="s">
        <v>762</v>
      </c>
      <c r="X1146" s="470">
        <v>31</v>
      </c>
      <c r="Y1146" s="470">
        <v>0</v>
      </c>
      <c r="Z1146" s="470">
        <v>0.5</v>
      </c>
      <c r="AA1146" s="470">
        <v>30.5</v>
      </c>
      <c r="AB1146" s="470">
        <v>30.5</v>
      </c>
      <c r="AC1146" s="473">
        <v>60807</v>
      </c>
      <c r="AD1146" s="473">
        <v>60807</v>
      </c>
      <c r="AE1146" s="473">
        <v>26922</v>
      </c>
      <c r="AF1146" s="473">
        <v>10769</v>
      </c>
      <c r="AG1146" s="473">
        <v>1574</v>
      </c>
      <c r="AH1146" s="473">
        <v>197</v>
      </c>
      <c r="AI1146" s="473">
        <v>1230</v>
      </c>
      <c r="AJ1146" s="473">
        <v>2243</v>
      </c>
      <c r="AK1146" s="473">
        <v>5384</v>
      </c>
      <c r="AL1146" s="473">
        <v>4038</v>
      </c>
      <c r="AM1146" s="473">
        <v>269</v>
      </c>
      <c r="AN1146" s="473">
        <v>942</v>
      </c>
      <c r="AO1146" s="473">
        <v>538</v>
      </c>
      <c r="AP1146" s="473">
        <v>135</v>
      </c>
      <c r="AQ1146" s="473">
        <v>1800</v>
      </c>
      <c r="AR1146" s="473">
        <v>3785</v>
      </c>
      <c r="AS1146" s="473">
        <v>0</v>
      </c>
      <c r="AT1146" s="473">
        <v>1086</v>
      </c>
      <c r="AU1146" s="473"/>
      <c r="AV1146" s="473">
        <v>60912</v>
      </c>
      <c r="AW1146" s="474">
        <v>60912</v>
      </c>
      <c r="AX1146" s="473">
        <v>0</v>
      </c>
      <c r="AY1146" s="473">
        <v>0</v>
      </c>
      <c r="AZ1146" s="475">
        <v>0</v>
      </c>
      <c r="BA1146" s="475">
        <v>200</v>
      </c>
      <c r="BB1146" s="475">
        <v>1800</v>
      </c>
      <c r="BC1146" s="475">
        <v>0</v>
      </c>
      <c r="BD1146" s="475">
        <v>0</v>
      </c>
      <c r="BE1146" s="475">
        <v>0</v>
      </c>
      <c r="BF1146" s="475">
        <v>10000</v>
      </c>
      <c r="BG1146" s="475">
        <v>12000</v>
      </c>
      <c r="BH1146" s="476">
        <v>48912</v>
      </c>
      <c r="BI1146" s="467"/>
      <c r="BJ1146" s="468"/>
    </row>
    <row r="1147" spans="1:62">
      <c r="A1147" s="469">
        <v>46082</v>
      </c>
      <c r="B1147" s="469" t="s">
        <v>747</v>
      </c>
      <c r="C1147" s="508"/>
      <c r="D1147" s="470" t="s">
        <v>749</v>
      </c>
      <c r="E1147" s="471">
        <v>1535</v>
      </c>
      <c r="F1147" s="470" t="s">
        <v>1127</v>
      </c>
      <c r="G1147" s="470" t="s">
        <v>751</v>
      </c>
      <c r="H1147" s="470"/>
      <c r="I1147" s="470" t="s">
        <v>1128</v>
      </c>
      <c r="J1147" s="472" t="s">
        <v>1129</v>
      </c>
      <c r="K1147" s="470" t="s">
        <v>1130</v>
      </c>
      <c r="L1147" s="470" t="s">
        <v>1131</v>
      </c>
      <c r="M1147" s="470" t="s">
        <v>1131</v>
      </c>
      <c r="N1147" s="470" t="s">
        <v>756</v>
      </c>
      <c r="O1147" s="472" t="s">
        <v>792</v>
      </c>
      <c r="P1147" s="472" t="s">
        <v>738</v>
      </c>
      <c r="Q1147" s="472" t="s">
        <v>758</v>
      </c>
      <c r="R1147" s="472" t="s">
        <v>12</v>
      </c>
      <c r="S1147" s="472" t="s">
        <v>12</v>
      </c>
      <c r="T1147" s="472" t="s">
        <v>1132</v>
      </c>
      <c r="U1147" s="470" t="s">
        <v>1133</v>
      </c>
      <c r="V1147" s="470" t="s">
        <v>761</v>
      </c>
      <c r="W1147" s="470" t="s">
        <v>1134</v>
      </c>
      <c r="X1147" s="470">
        <v>31</v>
      </c>
      <c r="Y1147" s="470">
        <v>0</v>
      </c>
      <c r="Z1147" s="470">
        <v>2</v>
      </c>
      <c r="AA1147" s="470">
        <v>29</v>
      </c>
      <c r="AB1147" s="470">
        <v>29</v>
      </c>
      <c r="AC1147" s="473">
        <v>95900</v>
      </c>
      <c r="AD1147" s="473">
        <v>95900</v>
      </c>
      <c r="AE1147" s="473">
        <v>40371</v>
      </c>
      <c r="AF1147" s="473">
        <v>16148</v>
      </c>
      <c r="AG1147" s="473">
        <v>1497</v>
      </c>
      <c r="AH1147" s="473">
        <v>187</v>
      </c>
      <c r="AI1147" s="473">
        <v>1169</v>
      </c>
      <c r="AJ1147" s="473">
        <v>3363</v>
      </c>
      <c r="AK1147" s="473">
        <v>8074</v>
      </c>
      <c r="AL1147" s="473">
        <v>6056</v>
      </c>
      <c r="AM1147" s="473">
        <v>404</v>
      </c>
      <c r="AN1147" s="473">
        <v>1413</v>
      </c>
      <c r="AO1147" s="473">
        <v>807</v>
      </c>
      <c r="AP1147" s="473">
        <v>202</v>
      </c>
      <c r="AQ1147" s="473">
        <v>1800</v>
      </c>
      <c r="AR1147" s="473">
        <v>8222</v>
      </c>
      <c r="AS1147" s="473">
        <v>0</v>
      </c>
      <c r="AT1147" s="473">
        <v>0</v>
      </c>
      <c r="AU1147" s="473"/>
      <c r="AV1147" s="473">
        <v>89713</v>
      </c>
      <c r="AW1147" s="474">
        <v>89713</v>
      </c>
      <c r="AX1147" s="473">
        <v>0</v>
      </c>
      <c r="AY1147" s="473">
        <v>0</v>
      </c>
      <c r="AZ1147" s="475">
        <v>0</v>
      </c>
      <c r="BA1147" s="475">
        <v>200</v>
      </c>
      <c r="BB1147" s="475">
        <v>1800</v>
      </c>
      <c r="BC1147" s="475">
        <v>0</v>
      </c>
      <c r="BD1147" s="475">
        <v>0</v>
      </c>
      <c r="BE1147" s="475">
        <v>0</v>
      </c>
      <c r="BF1147" s="475">
        <v>0</v>
      </c>
      <c r="BG1147" s="475">
        <v>2000</v>
      </c>
      <c r="BH1147" s="476">
        <v>87713</v>
      </c>
      <c r="BI1147" s="467"/>
      <c r="BJ1147" s="468"/>
    </row>
    <row r="1148" spans="1:62">
      <c r="A1148" s="469">
        <v>46082</v>
      </c>
      <c r="B1148" s="469" t="s">
        <v>747</v>
      </c>
      <c r="C1148" s="508"/>
      <c r="D1148" s="470" t="s">
        <v>749</v>
      </c>
      <c r="E1148" s="471">
        <v>1409</v>
      </c>
      <c r="F1148" s="470" t="s">
        <v>1135</v>
      </c>
      <c r="G1148" s="470" t="s">
        <v>751</v>
      </c>
      <c r="H1148" s="470"/>
      <c r="I1148" s="470" t="s">
        <v>1136</v>
      </c>
      <c r="J1148" s="472" t="s">
        <v>1137</v>
      </c>
      <c r="K1148" s="470" t="s">
        <v>1138</v>
      </c>
      <c r="L1148" s="470" t="s">
        <v>856</v>
      </c>
      <c r="M1148" s="470" t="s">
        <v>856</v>
      </c>
      <c r="N1148" s="470" t="s">
        <v>756</v>
      </c>
      <c r="O1148" s="472" t="s">
        <v>757</v>
      </c>
      <c r="P1148" s="472" t="s">
        <v>738</v>
      </c>
      <c r="Q1148" s="472" t="s">
        <v>758</v>
      </c>
      <c r="R1148" s="472" t="s">
        <v>12</v>
      </c>
      <c r="S1148" s="472" t="s">
        <v>12</v>
      </c>
      <c r="T1148" s="472" t="s">
        <v>1139</v>
      </c>
      <c r="U1148" s="470" t="s">
        <v>1140</v>
      </c>
      <c r="V1148" s="470" t="s">
        <v>761</v>
      </c>
      <c r="W1148" s="470" t="s">
        <v>1111</v>
      </c>
      <c r="X1148" s="470">
        <v>31</v>
      </c>
      <c r="Y1148" s="470">
        <v>0</v>
      </c>
      <c r="Z1148" s="470">
        <v>0.5</v>
      </c>
      <c r="AA1148" s="470">
        <v>30.5</v>
      </c>
      <c r="AB1148" s="470">
        <v>30.5</v>
      </c>
      <c r="AC1148" s="473">
        <v>71417</v>
      </c>
      <c r="AD1148" s="473">
        <v>71417</v>
      </c>
      <c r="AE1148" s="473">
        <v>31619</v>
      </c>
      <c r="AF1148" s="473">
        <v>12648</v>
      </c>
      <c r="AG1148" s="473">
        <v>1574</v>
      </c>
      <c r="AH1148" s="473">
        <v>197</v>
      </c>
      <c r="AI1148" s="473">
        <v>1230</v>
      </c>
      <c r="AJ1148" s="473">
        <v>2634</v>
      </c>
      <c r="AK1148" s="473">
        <v>6324</v>
      </c>
      <c r="AL1148" s="473">
        <v>4743</v>
      </c>
      <c r="AM1148" s="473">
        <v>316</v>
      </c>
      <c r="AN1148" s="473">
        <v>1107</v>
      </c>
      <c r="AO1148" s="473">
        <v>632</v>
      </c>
      <c r="AP1148" s="473">
        <v>158</v>
      </c>
      <c r="AQ1148" s="473">
        <v>1800</v>
      </c>
      <c r="AR1148" s="473">
        <v>5283</v>
      </c>
      <c r="AS1148" s="473">
        <v>0</v>
      </c>
      <c r="AT1148" s="473">
        <v>0</v>
      </c>
      <c r="AU1148" s="473"/>
      <c r="AV1148" s="473">
        <v>70265</v>
      </c>
      <c r="AW1148" s="474">
        <v>70265</v>
      </c>
      <c r="AX1148" s="473">
        <v>0</v>
      </c>
      <c r="AY1148" s="473">
        <v>0</v>
      </c>
      <c r="AZ1148" s="475">
        <v>0</v>
      </c>
      <c r="BA1148" s="475">
        <v>200</v>
      </c>
      <c r="BB1148" s="475">
        <v>1800</v>
      </c>
      <c r="BC1148" s="475">
        <v>0</v>
      </c>
      <c r="BD1148" s="475">
        <v>0</v>
      </c>
      <c r="BE1148" s="475">
        <v>0</v>
      </c>
      <c r="BF1148" s="475">
        <v>0</v>
      </c>
      <c r="BG1148" s="475">
        <v>2000</v>
      </c>
      <c r="BH1148" s="476">
        <v>68265</v>
      </c>
      <c r="BI1148" s="467"/>
      <c r="BJ1148" s="468"/>
    </row>
    <row r="1149" spans="1:62">
      <c r="A1149" s="469">
        <v>46082</v>
      </c>
      <c r="B1149" s="469" t="s">
        <v>747</v>
      </c>
      <c r="C1149" s="508"/>
      <c r="D1149" s="470" t="s">
        <v>749</v>
      </c>
      <c r="E1149" s="471">
        <v>2155</v>
      </c>
      <c r="F1149" s="470" t="s">
        <v>1308</v>
      </c>
      <c r="G1149" s="470" t="s">
        <v>751</v>
      </c>
      <c r="H1149" s="470"/>
      <c r="I1149" s="470" t="s">
        <v>1286</v>
      </c>
      <c r="J1149" s="472" t="s">
        <v>1309</v>
      </c>
      <c r="K1149" s="470" t="s">
        <v>1310</v>
      </c>
      <c r="L1149" s="470" t="s">
        <v>1311</v>
      </c>
      <c r="M1149" s="470" t="s">
        <v>1311</v>
      </c>
      <c r="N1149" s="470" t="s">
        <v>756</v>
      </c>
      <c r="O1149" s="472" t="s">
        <v>757</v>
      </c>
      <c r="P1149" s="472" t="s">
        <v>738</v>
      </c>
      <c r="Q1149" s="472" t="s">
        <v>758</v>
      </c>
      <c r="R1149" s="472" t="s">
        <v>12</v>
      </c>
      <c r="S1149" s="472" t="s">
        <v>12</v>
      </c>
      <c r="T1149" s="472" t="s">
        <v>1312</v>
      </c>
      <c r="U1149" s="470" t="s">
        <v>1313</v>
      </c>
      <c r="V1149" s="470" t="s">
        <v>761</v>
      </c>
      <c r="W1149" s="470" t="s">
        <v>898</v>
      </c>
      <c r="X1149" s="470">
        <v>31</v>
      </c>
      <c r="Y1149" s="470">
        <v>0</v>
      </c>
      <c r="Z1149" s="470">
        <v>0</v>
      </c>
      <c r="AA1149" s="470">
        <v>31</v>
      </c>
      <c r="AB1149" s="470">
        <v>31</v>
      </c>
      <c r="AC1149" s="473">
        <v>53200</v>
      </c>
      <c r="AD1149" s="473">
        <v>53200</v>
      </c>
      <c r="AE1149" s="473">
        <v>23940</v>
      </c>
      <c r="AF1149" s="473">
        <v>9576</v>
      </c>
      <c r="AG1149" s="473">
        <v>1600</v>
      </c>
      <c r="AH1149" s="473">
        <v>200</v>
      </c>
      <c r="AI1149" s="473">
        <v>1250</v>
      </c>
      <c r="AJ1149" s="473">
        <v>1994</v>
      </c>
      <c r="AK1149" s="473">
        <v>4788</v>
      </c>
      <c r="AL1149" s="473">
        <v>3591</v>
      </c>
      <c r="AM1149" s="473">
        <v>239</v>
      </c>
      <c r="AN1149" s="473">
        <v>838</v>
      </c>
      <c r="AO1149" s="473">
        <v>479</v>
      </c>
      <c r="AP1149" s="473">
        <v>120</v>
      </c>
      <c r="AQ1149" s="473">
        <v>1800</v>
      </c>
      <c r="AR1149" s="473">
        <v>2785</v>
      </c>
      <c r="AS1149" s="473">
        <v>0</v>
      </c>
      <c r="AT1149" s="473">
        <v>0</v>
      </c>
      <c r="AU1149" s="473">
        <v>225</v>
      </c>
      <c r="AV1149" s="473">
        <v>53425</v>
      </c>
      <c r="AW1149" s="474">
        <v>53200</v>
      </c>
      <c r="AX1149" s="473">
        <v>0</v>
      </c>
      <c r="AY1149" s="473">
        <v>0</v>
      </c>
      <c r="AZ1149" s="475">
        <v>0</v>
      </c>
      <c r="BA1149" s="475">
        <v>200</v>
      </c>
      <c r="BB1149" s="475">
        <v>1800</v>
      </c>
      <c r="BC1149" s="475">
        <v>0</v>
      </c>
      <c r="BD1149" s="475">
        <v>0</v>
      </c>
      <c r="BE1149" s="475">
        <v>0</v>
      </c>
      <c r="BF1149" s="475">
        <v>0</v>
      </c>
      <c r="BG1149" s="475">
        <v>2000</v>
      </c>
      <c r="BH1149" s="476">
        <v>51425</v>
      </c>
      <c r="BI1149" s="467"/>
      <c r="BJ1149" s="468"/>
    </row>
    <row r="1150" spans="1:62">
      <c r="A1150" s="469">
        <v>46082</v>
      </c>
      <c r="B1150" s="469" t="s">
        <v>747</v>
      </c>
      <c r="C1150" s="508"/>
      <c r="D1150" s="470" t="s">
        <v>749</v>
      </c>
      <c r="E1150" s="471">
        <v>2232</v>
      </c>
      <c r="F1150" s="470" t="s">
        <v>1372</v>
      </c>
      <c r="G1150" s="470" t="s">
        <v>751</v>
      </c>
      <c r="H1150" s="470"/>
      <c r="I1150" s="470" t="s">
        <v>1348</v>
      </c>
      <c r="J1150" s="472" t="s">
        <v>1373</v>
      </c>
      <c r="K1150" s="470" t="s">
        <v>1374</v>
      </c>
      <c r="L1150" s="470" t="s">
        <v>1375</v>
      </c>
      <c r="M1150" s="470" t="s">
        <v>1375</v>
      </c>
      <c r="N1150" s="470" t="s">
        <v>756</v>
      </c>
      <c r="O1150" s="472" t="s">
        <v>757</v>
      </c>
      <c r="P1150" s="472" t="s">
        <v>738</v>
      </c>
      <c r="Q1150" s="472" t="s">
        <v>758</v>
      </c>
      <c r="R1150" s="472" t="s">
        <v>12</v>
      </c>
      <c r="S1150" s="472" t="s">
        <v>12</v>
      </c>
      <c r="T1150" s="472" t="s">
        <v>1376</v>
      </c>
      <c r="U1150" s="470" t="s">
        <v>1546</v>
      </c>
      <c r="V1150" s="470" t="s">
        <v>761</v>
      </c>
      <c r="W1150" s="470" t="s">
        <v>859</v>
      </c>
      <c r="X1150" s="470">
        <v>31</v>
      </c>
      <c r="Y1150" s="470">
        <v>0</v>
      </c>
      <c r="Z1150" s="470">
        <v>0.5</v>
      </c>
      <c r="AA1150" s="470">
        <v>30.5</v>
      </c>
      <c r="AB1150" s="470">
        <v>30.5</v>
      </c>
      <c r="AC1150" s="473">
        <v>89867</v>
      </c>
      <c r="AD1150" s="473">
        <v>89867</v>
      </c>
      <c r="AE1150" s="473">
        <v>39788</v>
      </c>
      <c r="AF1150" s="473">
        <v>15915</v>
      </c>
      <c r="AG1150" s="473">
        <v>1574</v>
      </c>
      <c r="AH1150" s="473">
        <v>197</v>
      </c>
      <c r="AI1150" s="473">
        <v>1230</v>
      </c>
      <c r="AJ1150" s="473">
        <v>3314</v>
      </c>
      <c r="AK1150" s="473">
        <v>7958</v>
      </c>
      <c r="AL1150" s="473">
        <v>5968</v>
      </c>
      <c r="AM1150" s="473">
        <v>398</v>
      </c>
      <c r="AN1150" s="473">
        <v>1393</v>
      </c>
      <c r="AO1150" s="473">
        <v>796</v>
      </c>
      <c r="AP1150" s="473">
        <v>199</v>
      </c>
      <c r="AQ1150" s="473">
        <v>1800</v>
      </c>
      <c r="AR1150" s="473">
        <v>7888</v>
      </c>
      <c r="AS1150" s="473">
        <v>0</v>
      </c>
      <c r="AT1150" s="473">
        <v>0</v>
      </c>
      <c r="AU1150" s="473"/>
      <c r="AV1150" s="473">
        <v>88418</v>
      </c>
      <c r="AW1150" s="474">
        <v>88418</v>
      </c>
      <c r="AX1150" s="473">
        <v>0</v>
      </c>
      <c r="AY1150" s="473">
        <v>0</v>
      </c>
      <c r="AZ1150" s="475">
        <v>0</v>
      </c>
      <c r="BA1150" s="475">
        <v>200</v>
      </c>
      <c r="BB1150" s="475">
        <v>1800</v>
      </c>
      <c r="BC1150" s="475">
        <v>0</v>
      </c>
      <c r="BD1150" s="475">
        <v>0</v>
      </c>
      <c r="BE1150" s="475">
        <v>0</v>
      </c>
      <c r="BF1150" s="475">
        <v>0</v>
      </c>
      <c r="BG1150" s="475">
        <v>2000</v>
      </c>
      <c r="BH1150" s="476">
        <v>86418</v>
      </c>
      <c r="BI1150" s="467"/>
      <c r="BJ1150" s="468"/>
    </row>
    <row r="1151" spans="1:62">
      <c r="A1151" s="469">
        <v>46082</v>
      </c>
      <c r="B1151" s="469" t="s">
        <v>747</v>
      </c>
      <c r="C1151" s="508"/>
      <c r="D1151" s="470" t="s">
        <v>749</v>
      </c>
      <c r="E1151" s="471">
        <v>2147</v>
      </c>
      <c r="F1151" s="470" t="s">
        <v>1314</v>
      </c>
      <c r="G1151" s="470" t="s">
        <v>812</v>
      </c>
      <c r="H1151" s="470"/>
      <c r="I1151" s="470" t="s">
        <v>1286</v>
      </c>
      <c r="J1151" s="472" t="s">
        <v>1315</v>
      </c>
      <c r="K1151" s="470" t="s">
        <v>1316</v>
      </c>
      <c r="L1151" s="470" t="s">
        <v>1317</v>
      </c>
      <c r="M1151" s="470" t="s">
        <v>1317</v>
      </c>
      <c r="N1151" s="470" t="s">
        <v>833</v>
      </c>
      <c r="O1151" s="472" t="s">
        <v>757</v>
      </c>
      <c r="P1151" s="472" t="s">
        <v>738</v>
      </c>
      <c r="Q1151" s="472" t="s">
        <v>758</v>
      </c>
      <c r="R1151" s="472" t="s">
        <v>12</v>
      </c>
      <c r="S1151" s="472" t="s">
        <v>12</v>
      </c>
      <c r="T1151" s="472" t="s">
        <v>1318</v>
      </c>
      <c r="U1151" s="470" t="s">
        <v>1319</v>
      </c>
      <c r="V1151" s="470" t="s">
        <v>761</v>
      </c>
      <c r="W1151" s="470" t="s">
        <v>898</v>
      </c>
      <c r="X1151" s="470">
        <v>31</v>
      </c>
      <c r="Y1151" s="470">
        <v>0</v>
      </c>
      <c r="Z1151" s="470">
        <v>0.5</v>
      </c>
      <c r="AA1151" s="470">
        <v>30.5</v>
      </c>
      <c r="AB1151" s="470">
        <v>30.5</v>
      </c>
      <c r="AC1151" s="473">
        <v>28380</v>
      </c>
      <c r="AD1151" s="473">
        <v>28380</v>
      </c>
      <c r="AE1151" s="473">
        <v>12565</v>
      </c>
      <c r="AF1151" s="473">
        <v>5026</v>
      </c>
      <c r="AG1151" s="473">
        <v>1574</v>
      </c>
      <c r="AH1151" s="473">
        <v>197</v>
      </c>
      <c r="AI1151" s="473">
        <v>1230</v>
      </c>
      <c r="AJ1151" s="473">
        <v>0</v>
      </c>
      <c r="AK1151" s="473">
        <v>0</v>
      </c>
      <c r="AL1151" s="473">
        <v>0</v>
      </c>
      <c r="AM1151" s="473">
        <v>0</v>
      </c>
      <c r="AN1151" s="473">
        <v>0</v>
      </c>
      <c r="AO1151" s="473">
        <v>0</v>
      </c>
      <c r="AP1151" s="473">
        <v>0</v>
      </c>
      <c r="AQ1151" s="473">
        <v>1508</v>
      </c>
      <c r="AR1151" s="473">
        <v>5822</v>
      </c>
      <c r="AS1151" s="473">
        <v>0</v>
      </c>
      <c r="AT1151" s="473">
        <v>0</v>
      </c>
      <c r="AU1151" s="473"/>
      <c r="AV1151" s="473">
        <v>27922</v>
      </c>
      <c r="AW1151" s="474">
        <v>27922</v>
      </c>
      <c r="AX1151" s="473">
        <v>0</v>
      </c>
      <c r="AY1151" s="473">
        <v>0</v>
      </c>
      <c r="AZ1151" s="475">
        <v>0</v>
      </c>
      <c r="BA1151" s="475">
        <v>200</v>
      </c>
      <c r="BB1151" s="475">
        <v>1508</v>
      </c>
      <c r="BC1151" s="475">
        <v>0</v>
      </c>
      <c r="BD1151" s="475">
        <v>0</v>
      </c>
      <c r="BE1151" s="475">
        <v>0</v>
      </c>
      <c r="BF1151" s="475">
        <v>0</v>
      </c>
      <c r="BG1151" s="475">
        <v>1708</v>
      </c>
      <c r="BH1151" s="476">
        <v>26214</v>
      </c>
      <c r="BI1151" s="467"/>
      <c r="BJ1151" s="468"/>
    </row>
    <row r="1152" spans="1:62">
      <c r="A1152" s="469">
        <v>46082</v>
      </c>
      <c r="B1152" s="469" t="s">
        <v>747</v>
      </c>
      <c r="C1152" s="508"/>
      <c r="D1152" s="470" t="s">
        <v>749</v>
      </c>
      <c r="E1152" s="471">
        <v>2278</v>
      </c>
      <c r="F1152" s="470" t="s">
        <v>1498</v>
      </c>
      <c r="G1152" s="470" t="s">
        <v>812</v>
      </c>
      <c r="H1152" s="470"/>
      <c r="I1152" s="470" t="s">
        <v>1426</v>
      </c>
      <c r="J1152" s="472" t="s">
        <v>1499</v>
      </c>
      <c r="K1152" s="470" t="s">
        <v>1500</v>
      </c>
      <c r="L1152" s="470" t="s">
        <v>824</v>
      </c>
      <c r="M1152" s="470" t="s">
        <v>824</v>
      </c>
      <c r="N1152" s="470" t="s">
        <v>1275</v>
      </c>
      <c r="O1152" s="472" t="s">
        <v>1276</v>
      </c>
      <c r="P1152" s="472" t="s">
        <v>738</v>
      </c>
      <c r="Q1152" s="472" t="s">
        <v>758</v>
      </c>
      <c r="R1152" s="472" t="s">
        <v>12</v>
      </c>
      <c r="S1152" s="472" t="s">
        <v>12</v>
      </c>
      <c r="T1152" s="472" t="s">
        <v>1501</v>
      </c>
      <c r="U1152" s="470" t="s">
        <v>1502</v>
      </c>
      <c r="V1152" s="470" t="s">
        <v>761</v>
      </c>
      <c r="W1152" s="470" t="s">
        <v>1361</v>
      </c>
      <c r="X1152" s="470">
        <v>31</v>
      </c>
      <c r="Y1152" s="470">
        <v>0</v>
      </c>
      <c r="Z1152" s="470">
        <v>0</v>
      </c>
      <c r="AA1152" s="470">
        <v>31</v>
      </c>
      <c r="AB1152" s="470">
        <v>31</v>
      </c>
      <c r="AC1152" s="473">
        <v>44033</v>
      </c>
      <c r="AD1152" s="473">
        <v>44033</v>
      </c>
      <c r="AE1152" s="473">
        <v>19815</v>
      </c>
      <c r="AF1152" s="473">
        <v>7926</v>
      </c>
      <c r="AG1152" s="473">
        <v>1600</v>
      </c>
      <c r="AH1152" s="473">
        <v>200</v>
      </c>
      <c r="AI1152" s="473">
        <v>1250</v>
      </c>
      <c r="AJ1152" s="473">
        <v>1651</v>
      </c>
      <c r="AK1152" s="473">
        <v>3963</v>
      </c>
      <c r="AL1152" s="473">
        <v>2972</v>
      </c>
      <c r="AM1152" s="473">
        <v>198</v>
      </c>
      <c r="AN1152" s="473">
        <v>694</v>
      </c>
      <c r="AO1152" s="473">
        <v>396</v>
      </c>
      <c r="AP1152" s="473">
        <v>99</v>
      </c>
      <c r="AQ1152" s="473">
        <v>1800</v>
      </c>
      <c r="AR1152" s="473">
        <v>1469</v>
      </c>
      <c r="AS1152" s="473">
        <v>0</v>
      </c>
      <c r="AT1152" s="473">
        <v>0</v>
      </c>
      <c r="AU1152" s="473"/>
      <c r="AV1152" s="473">
        <v>44033</v>
      </c>
      <c r="AW1152" s="474">
        <v>44033</v>
      </c>
      <c r="AX1152" s="473">
        <v>0</v>
      </c>
      <c r="AY1152" s="473">
        <v>0</v>
      </c>
      <c r="AZ1152" s="475">
        <v>0</v>
      </c>
      <c r="BA1152" s="475">
        <v>200</v>
      </c>
      <c r="BB1152" s="475">
        <v>1800</v>
      </c>
      <c r="BC1152" s="475">
        <v>0</v>
      </c>
      <c r="BD1152" s="475">
        <v>0</v>
      </c>
      <c r="BE1152" s="475">
        <v>0</v>
      </c>
      <c r="BF1152" s="475">
        <v>0</v>
      </c>
      <c r="BG1152" s="475">
        <v>2000</v>
      </c>
      <c r="BH1152" s="476">
        <v>42033</v>
      </c>
      <c r="BI1152" s="467"/>
      <c r="BJ1152" s="468"/>
    </row>
    <row r="1153" spans="1:62">
      <c r="A1153" s="469">
        <v>46082</v>
      </c>
      <c r="B1153" s="469" t="s">
        <v>747</v>
      </c>
      <c r="C1153" s="508"/>
      <c r="D1153" s="470" t="s">
        <v>749</v>
      </c>
      <c r="E1153" s="471">
        <v>1263</v>
      </c>
      <c r="F1153" s="470" t="s">
        <v>1141</v>
      </c>
      <c r="G1153" s="470" t="s">
        <v>751</v>
      </c>
      <c r="H1153" s="470"/>
      <c r="I1153" s="470" t="s">
        <v>1142</v>
      </c>
      <c r="J1153" s="472" t="s">
        <v>1143</v>
      </c>
      <c r="K1153" s="470" t="s">
        <v>1144</v>
      </c>
      <c r="L1153" s="470" t="s">
        <v>1305</v>
      </c>
      <c r="M1153" s="470" t="s">
        <v>1305</v>
      </c>
      <c r="N1153" s="470" t="s">
        <v>756</v>
      </c>
      <c r="O1153" s="472" t="s">
        <v>757</v>
      </c>
      <c r="P1153" s="472" t="s">
        <v>738</v>
      </c>
      <c r="Q1153" s="472" t="s">
        <v>758</v>
      </c>
      <c r="R1153" s="472" t="s">
        <v>12</v>
      </c>
      <c r="S1153" s="472" t="s">
        <v>12</v>
      </c>
      <c r="T1153" s="472" t="s">
        <v>1147</v>
      </c>
      <c r="U1153" s="470" t="s">
        <v>1148</v>
      </c>
      <c r="V1153" s="470" t="s">
        <v>761</v>
      </c>
      <c r="W1153" s="470" t="s">
        <v>859</v>
      </c>
      <c r="X1153" s="470">
        <v>31</v>
      </c>
      <c r="Y1153" s="470">
        <v>0</v>
      </c>
      <c r="Z1153" s="470">
        <v>0</v>
      </c>
      <c r="AA1153" s="470">
        <v>31</v>
      </c>
      <c r="AB1153" s="470">
        <v>31</v>
      </c>
      <c r="AC1153" s="473">
        <v>55900</v>
      </c>
      <c r="AD1153" s="473">
        <v>55900</v>
      </c>
      <c r="AE1153" s="473">
        <v>25155</v>
      </c>
      <c r="AF1153" s="473">
        <v>10062</v>
      </c>
      <c r="AG1153" s="473">
        <v>1600</v>
      </c>
      <c r="AH1153" s="473">
        <v>200</v>
      </c>
      <c r="AI1153" s="473">
        <v>1250</v>
      </c>
      <c r="AJ1153" s="473">
        <v>2095</v>
      </c>
      <c r="AK1153" s="473">
        <v>5031</v>
      </c>
      <c r="AL1153" s="473">
        <v>3773</v>
      </c>
      <c r="AM1153" s="473">
        <v>252</v>
      </c>
      <c r="AN1153" s="473">
        <v>880</v>
      </c>
      <c r="AO1153" s="473">
        <v>503</v>
      </c>
      <c r="AP1153" s="473">
        <v>126</v>
      </c>
      <c r="AQ1153" s="473">
        <v>1800</v>
      </c>
      <c r="AR1153" s="473">
        <v>3173</v>
      </c>
      <c r="AS1153" s="473">
        <v>0</v>
      </c>
      <c r="AT1153" s="473">
        <v>0</v>
      </c>
      <c r="AU1153" s="473"/>
      <c r="AV1153" s="473">
        <v>55900</v>
      </c>
      <c r="AW1153" s="474">
        <v>55900</v>
      </c>
      <c r="AX1153" s="473">
        <v>0</v>
      </c>
      <c r="AY1153" s="473">
        <v>0</v>
      </c>
      <c r="AZ1153" s="475">
        <v>0</v>
      </c>
      <c r="BA1153" s="475">
        <v>200</v>
      </c>
      <c r="BB1153" s="475">
        <v>1800</v>
      </c>
      <c r="BC1153" s="475">
        <v>0</v>
      </c>
      <c r="BD1153" s="475">
        <v>0</v>
      </c>
      <c r="BE1153" s="475">
        <v>0</v>
      </c>
      <c r="BF1153" s="475">
        <v>0</v>
      </c>
      <c r="BG1153" s="475">
        <v>2000</v>
      </c>
      <c r="BH1153" s="476">
        <v>53900</v>
      </c>
      <c r="BI1153" s="467"/>
      <c r="BJ1153" s="468"/>
    </row>
    <row r="1154" spans="1:62">
      <c r="A1154" s="469">
        <v>46082</v>
      </c>
      <c r="B1154" s="469" t="s">
        <v>747</v>
      </c>
      <c r="C1154" s="508"/>
      <c r="D1154" s="470" t="s">
        <v>749</v>
      </c>
      <c r="E1154" s="471">
        <v>2218</v>
      </c>
      <c r="F1154" s="470" t="s">
        <v>1380</v>
      </c>
      <c r="G1154" s="470" t="s">
        <v>751</v>
      </c>
      <c r="H1154" s="470"/>
      <c r="I1154" s="470" t="s">
        <v>1340</v>
      </c>
      <c r="J1154" s="472" t="s">
        <v>1381</v>
      </c>
      <c r="K1154" s="470" t="s">
        <v>1382</v>
      </c>
      <c r="L1154" s="470" t="s">
        <v>1383</v>
      </c>
      <c r="M1154" s="470" t="s">
        <v>903</v>
      </c>
      <c r="N1154" s="470" t="s">
        <v>1384</v>
      </c>
      <c r="O1154" s="472" t="s">
        <v>757</v>
      </c>
      <c r="P1154" s="472" t="s">
        <v>738</v>
      </c>
      <c r="Q1154" s="472" t="s">
        <v>758</v>
      </c>
      <c r="R1154" s="472" t="s">
        <v>12</v>
      </c>
      <c r="S1154" s="472" t="s">
        <v>12</v>
      </c>
      <c r="T1154" s="472" t="s">
        <v>1385</v>
      </c>
      <c r="U1154" s="470" t="s">
        <v>1386</v>
      </c>
      <c r="V1154" s="470" t="s">
        <v>761</v>
      </c>
      <c r="W1154" s="470" t="s">
        <v>1387</v>
      </c>
      <c r="X1154" s="470">
        <v>31</v>
      </c>
      <c r="Y1154" s="470">
        <v>0</v>
      </c>
      <c r="Z1154" s="470">
        <v>0</v>
      </c>
      <c r="AA1154" s="470">
        <v>31</v>
      </c>
      <c r="AB1154" s="470">
        <v>31</v>
      </c>
      <c r="AC1154" s="473">
        <v>53200</v>
      </c>
      <c r="AD1154" s="473">
        <v>53200</v>
      </c>
      <c r="AE1154" s="473">
        <v>23940</v>
      </c>
      <c r="AF1154" s="473">
        <v>9576</v>
      </c>
      <c r="AG1154" s="473">
        <v>1600</v>
      </c>
      <c r="AH1154" s="473">
        <v>200</v>
      </c>
      <c r="AI1154" s="473">
        <v>1250</v>
      </c>
      <c r="AJ1154" s="473">
        <v>1994</v>
      </c>
      <c r="AK1154" s="473">
        <v>4788</v>
      </c>
      <c r="AL1154" s="473">
        <v>3591</v>
      </c>
      <c r="AM1154" s="473">
        <v>239</v>
      </c>
      <c r="AN1154" s="473">
        <v>838</v>
      </c>
      <c r="AO1154" s="473">
        <v>479</v>
      </c>
      <c r="AP1154" s="473">
        <v>120</v>
      </c>
      <c r="AQ1154" s="473">
        <v>1800</v>
      </c>
      <c r="AR1154" s="473">
        <v>2785</v>
      </c>
      <c r="AS1154" s="473">
        <v>0</v>
      </c>
      <c r="AT1154" s="473">
        <v>0</v>
      </c>
      <c r="AU1154" s="473">
        <v>6356</v>
      </c>
      <c r="AV1154" s="473">
        <v>59556</v>
      </c>
      <c r="AW1154" s="474">
        <v>53200</v>
      </c>
      <c r="AX1154" s="473">
        <v>0</v>
      </c>
      <c r="AY1154" s="473">
        <v>0</v>
      </c>
      <c r="AZ1154" s="475">
        <v>0</v>
      </c>
      <c r="BA1154" s="475">
        <v>200</v>
      </c>
      <c r="BB1154" s="475">
        <v>1800</v>
      </c>
      <c r="BC1154" s="475">
        <v>0</v>
      </c>
      <c r="BD1154" s="475">
        <v>0</v>
      </c>
      <c r="BE1154" s="475">
        <v>0</v>
      </c>
      <c r="BF1154" s="475">
        <v>0</v>
      </c>
      <c r="BG1154" s="475">
        <v>2000</v>
      </c>
      <c r="BH1154" s="476">
        <v>57556</v>
      </c>
      <c r="BI1154" s="467"/>
      <c r="BJ1154" s="468"/>
    </row>
    <row r="1155" spans="1:62">
      <c r="A1155" s="469">
        <v>46082</v>
      </c>
      <c r="B1155" s="469" t="s">
        <v>747</v>
      </c>
      <c r="C1155" s="508"/>
      <c r="D1155" s="470" t="s">
        <v>749</v>
      </c>
      <c r="E1155" s="471">
        <v>1758</v>
      </c>
      <c r="F1155" s="470" t="s">
        <v>1149</v>
      </c>
      <c r="G1155" s="470" t="s">
        <v>751</v>
      </c>
      <c r="H1155" s="470"/>
      <c r="I1155" s="470" t="s">
        <v>1150</v>
      </c>
      <c r="J1155" s="472" t="s">
        <v>1151</v>
      </c>
      <c r="K1155" s="470" t="s">
        <v>1152</v>
      </c>
      <c r="L1155" s="470" t="s">
        <v>856</v>
      </c>
      <c r="M1155" s="470" t="s">
        <v>856</v>
      </c>
      <c r="N1155" s="470" t="s">
        <v>756</v>
      </c>
      <c r="O1155" s="472" t="s">
        <v>757</v>
      </c>
      <c r="P1155" s="472" t="s">
        <v>738</v>
      </c>
      <c r="Q1155" s="472" t="s">
        <v>758</v>
      </c>
      <c r="R1155" s="472" t="s">
        <v>12</v>
      </c>
      <c r="S1155" s="472" t="s">
        <v>12</v>
      </c>
      <c r="T1155" s="472" t="s">
        <v>1153</v>
      </c>
      <c r="U1155" s="470" t="s">
        <v>1154</v>
      </c>
      <c r="V1155" s="470" t="s">
        <v>761</v>
      </c>
      <c r="W1155" s="470" t="s">
        <v>1155</v>
      </c>
      <c r="X1155" s="470">
        <v>31</v>
      </c>
      <c r="Y1155" s="470">
        <v>0</v>
      </c>
      <c r="Z1155" s="470">
        <v>1</v>
      </c>
      <c r="AA1155" s="470">
        <v>30</v>
      </c>
      <c r="AB1155" s="470">
        <v>30</v>
      </c>
      <c r="AC1155" s="473">
        <v>68220</v>
      </c>
      <c r="AD1155" s="473">
        <v>68220</v>
      </c>
      <c r="AE1155" s="473">
        <v>29709</v>
      </c>
      <c r="AF1155" s="473">
        <v>11884</v>
      </c>
      <c r="AG1155" s="473">
        <v>1548</v>
      </c>
      <c r="AH1155" s="473">
        <v>194</v>
      </c>
      <c r="AI1155" s="473">
        <v>1210</v>
      </c>
      <c r="AJ1155" s="473">
        <v>2475</v>
      </c>
      <c r="AK1155" s="473">
        <v>5942</v>
      </c>
      <c r="AL1155" s="473">
        <v>4456</v>
      </c>
      <c r="AM1155" s="473">
        <v>297</v>
      </c>
      <c r="AN1155" s="473">
        <v>1040</v>
      </c>
      <c r="AO1155" s="473">
        <v>594</v>
      </c>
      <c r="AP1155" s="473">
        <v>149</v>
      </c>
      <c r="AQ1155" s="473">
        <v>1800</v>
      </c>
      <c r="AR1155" s="473">
        <v>4721</v>
      </c>
      <c r="AS1155" s="473">
        <v>0</v>
      </c>
      <c r="AT1155" s="473">
        <v>0</v>
      </c>
      <c r="AU1155" s="473">
        <v>810</v>
      </c>
      <c r="AV1155" s="473">
        <v>66829</v>
      </c>
      <c r="AW1155" s="474">
        <v>66019</v>
      </c>
      <c r="AX1155" s="473">
        <v>0</v>
      </c>
      <c r="AY1155" s="473">
        <v>0</v>
      </c>
      <c r="AZ1155" s="475">
        <v>0</v>
      </c>
      <c r="BA1155" s="475">
        <v>200</v>
      </c>
      <c r="BB1155" s="475">
        <v>1800</v>
      </c>
      <c r="BC1155" s="475">
        <v>0</v>
      </c>
      <c r="BD1155" s="475">
        <v>0</v>
      </c>
      <c r="BE1155" s="475">
        <v>0</v>
      </c>
      <c r="BF1155" s="475">
        <v>0</v>
      </c>
      <c r="BG1155" s="475">
        <v>2000</v>
      </c>
      <c r="BH1155" s="476">
        <v>64829</v>
      </c>
      <c r="BI1155" s="467"/>
      <c r="BJ1155" s="468"/>
    </row>
    <row r="1156" spans="1:62">
      <c r="A1156" s="469">
        <v>46082</v>
      </c>
      <c r="B1156" s="469" t="s">
        <v>747</v>
      </c>
      <c r="C1156" s="508"/>
      <c r="D1156" s="470" t="s">
        <v>749</v>
      </c>
      <c r="E1156" s="471">
        <v>1624</v>
      </c>
      <c r="F1156" s="470" t="s">
        <v>1156</v>
      </c>
      <c r="G1156" s="470" t="s">
        <v>751</v>
      </c>
      <c r="H1156" s="470"/>
      <c r="I1156" s="470" t="s">
        <v>1157</v>
      </c>
      <c r="J1156" s="472" t="s">
        <v>1158</v>
      </c>
      <c r="K1156" s="470" t="s">
        <v>1159</v>
      </c>
      <c r="L1156" s="470" t="s">
        <v>987</v>
      </c>
      <c r="M1156" s="470" t="s">
        <v>987</v>
      </c>
      <c r="N1156" s="470" t="s">
        <v>756</v>
      </c>
      <c r="O1156" s="472" t="s">
        <v>757</v>
      </c>
      <c r="P1156" s="472" t="s">
        <v>738</v>
      </c>
      <c r="Q1156" s="472" t="s">
        <v>758</v>
      </c>
      <c r="R1156" s="472" t="s">
        <v>12</v>
      </c>
      <c r="S1156" s="472" t="s">
        <v>12</v>
      </c>
      <c r="T1156" s="472" t="s">
        <v>1160</v>
      </c>
      <c r="U1156" s="470" t="s">
        <v>1161</v>
      </c>
      <c r="V1156" s="470" t="s">
        <v>761</v>
      </c>
      <c r="W1156" s="470" t="s">
        <v>898</v>
      </c>
      <c r="X1156" s="470">
        <v>31</v>
      </c>
      <c r="Y1156" s="470">
        <v>0</v>
      </c>
      <c r="Z1156" s="470">
        <v>0</v>
      </c>
      <c r="AA1156" s="470">
        <v>31</v>
      </c>
      <c r="AB1156" s="470">
        <v>31</v>
      </c>
      <c r="AC1156" s="473">
        <v>42042</v>
      </c>
      <c r="AD1156" s="473">
        <v>42042</v>
      </c>
      <c r="AE1156" s="473">
        <v>18919</v>
      </c>
      <c r="AF1156" s="473">
        <v>7568</v>
      </c>
      <c r="AG1156" s="473">
        <v>1600</v>
      </c>
      <c r="AH1156" s="473">
        <v>200</v>
      </c>
      <c r="AI1156" s="473">
        <v>1250</v>
      </c>
      <c r="AJ1156" s="473">
        <v>1576</v>
      </c>
      <c r="AK1156" s="473">
        <v>3784</v>
      </c>
      <c r="AL1156" s="473">
        <v>2838</v>
      </c>
      <c r="AM1156" s="473">
        <v>189</v>
      </c>
      <c r="AN1156" s="473">
        <v>662</v>
      </c>
      <c r="AO1156" s="473">
        <v>378</v>
      </c>
      <c r="AP1156" s="473">
        <v>95</v>
      </c>
      <c r="AQ1156" s="473">
        <v>1800</v>
      </c>
      <c r="AR1156" s="473">
        <v>1183</v>
      </c>
      <c r="AS1156" s="473">
        <v>0</v>
      </c>
      <c r="AT1156" s="473">
        <v>0</v>
      </c>
      <c r="AU1156" s="473"/>
      <c r="AV1156" s="473">
        <v>42042</v>
      </c>
      <c r="AW1156" s="474">
        <v>42042</v>
      </c>
      <c r="AX1156" s="473">
        <v>0</v>
      </c>
      <c r="AY1156" s="473">
        <v>0</v>
      </c>
      <c r="AZ1156" s="475">
        <v>0</v>
      </c>
      <c r="BA1156" s="475">
        <v>200</v>
      </c>
      <c r="BB1156" s="475">
        <v>1800</v>
      </c>
      <c r="BC1156" s="475">
        <v>0</v>
      </c>
      <c r="BD1156" s="475">
        <v>0</v>
      </c>
      <c r="BE1156" s="475">
        <v>0</v>
      </c>
      <c r="BF1156" s="475">
        <v>0</v>
      </c>
      <c r="BG1156" s="475">
        <v>2000</v>
      </c>
      <c r="BH1156" s="476">
        <v>40042</v>
      </c>
      <c r="BI1156" s="467"/>
      <c r="BJ1156" s="468"/>
    </row>
    <row r="1157" spans="1:62">
      <c r="A1157" s="469">
        <v>46082</v>
      </c>
      <c r="B1157" s="469" t="s">
        <v>747</v>
      </c>
      <c r="C1157" s="508"/>
      <c r="D1157" s="470" t="s">
        <v>749</v>
      </c>
      <c r="E1157" s="471">
        <v>1738</v>
      </c>
      <c r="F1157" s="470" t="s">
        <v>1162</v>
      </c>
      <c r="G1157" s="470" t="s">
        <v>751</v>
      </c>
      <c r="H1157" s="470"/>
      <c r="I1157" s="470" t="s">
        <v>938</v>
      </c>
      <c r="J1157" s="472" t="s">
        <v>1163</v>
      </c>
      <c r="K1157" s="470" t="s">
        <v>1164</v>
      </c>
      <c r="L1157" s="470" t="s">
        <v>1165</v>
      </c>
      <c r="M1157" s="470" t="s">
        <v>1165</v>
      </c>
      <c r="N1157" s="470" t="s">
        <v>756</v>
      </c>
      <c r="O1157" s="472" t="s">
        <v>757</v>
      </c>
      <c r="P1157" s="472" t="s">
        <v>738</v>
      </c>
      <c r="Q1157" s="472" t="s">
        <v>758</v>
      </c>
      <c r="R1157" s="472" t="s">
        <v>12</v>
      </c>
      <c r="S1157" s="472" t="s">
        <v>12</v>
      </c>
      <c r="T1157" s="472" t="s">
        <v>1166</v>
      </c>
      <c r="U1157" s="470" t="s">
        <v>1167</v>
      </c>
      <c r="V1157" s="470" t="s">
        <v>761</v>
      </c>
      <c r="W1157" s="470" t="s">
        <v>762</v>
      </c>
      <c r="X1157" s="470">
        <v>31</v>
      </c>
      <c r="Y1157" s="470">
        <v>0</v>
      </c>
      <c r="Z1157" s="470">
        <v>0</v>
      </c>
      <c r="AA1157" s="470">
        <v>31</v>
      </c>
      <c r="AB1157" s="470">
        <v>31</v>
      </c>
      <c r="AC1157" s="473">
        <v>35983</v>
      </c>
      <c r="AD1157" s="473">
        <v>35983</v>
      </c>
      <c r="AE1157" s="473">
        <v>16192</v>
      </c>
      <c r="AF1157" s="473">
        <v>6477</v>
      </c>
      <c r="AG1157" s="473">
        <v>1600</v>
      </c>
      <c r="AH1157" s="473">
        <v>200</v>
      </c>
      <c r="AI1157" s="473">
        <v>1250</v>
      </c>
      <c r="AJ1157" s="473">
        <v>0</v>
      </c>
      <c r="AK1157" s="473">
        <v>0</v>
      </c>
      <c r="AL1157" s="473">
        <v>0</v>
      </c>
      <c r="AM1157" s="473">
        <v>0</v>
      </c>
      <c r="AN1157" s="473">
        <v>0</v>
      </c>
      <c r="AO1157" s="473">
        <v>0</v>
      </c>
      <c r="AP1157" s="473">
        <v>0</v>
      </c>
      <c r="AQ1157" s="473">
        <v>1800</v>
      </c>
      <c r="AR1157" s="473">
        <v>8464</v>
      </c>
      <c r="AS1157" s="473">
        <v>0</v>
      </c>
      <c r="AT1157" s="473">
        <v>200</v>
      </c>
      <c r="AU1157" s="473"/>
      <c r="AV1157" s="473">
        <v>36183</v>
      </c>
      <c r="AW1157" s="474">
        <v>36183</v>
      </c>
      <c r="AX1157" s="473">
        <v>0</v>
      </c>
      <c r="AY1157" s="473">
        <v>0</v>
      </c>
      <c r="AZ1157" s="475">
        <v>0</v>
      </c>
      <c r="BA1157" s="475">
        <v>200</v>
      </c>
      <c r="BB1157" s="475">
        <v>1800</v>
      </c>
      <c r="BC1157" s="475">
        <v>0</v>
      </c>
      <c r="BD1157" s="475">
        <v>0</v>
      </c>
      <c r="BE1157" s="475">
        <v>0</v>
      </c>
      <c r="BF1157" s="475">
        <v>0</v>
      </c>
      <c r="BG1157" s="475">
        <v>2000</v>
      </c>
      <c r="BH1157" s="476">
        <v>34183</v>
      </c>
      <c r="BI1157" s="467"/>
      <c r="BJ1157" s="468"/>
    </row>
    <row r="1158" spans="1:62">
      <c r="A1158" s="469">
        <v>46082</v>
      </c>
      <c r="B1158" s="469" t="s">
        <v>747</v>
      </c>
      <c r="C1158" s="508"/>
      <c r="D1158" s="470" t="s">
        <v>749</v>
      </c>
      <c r="E1158" s="471">
        <v>2175</v>
      </c>
      <c r="F1158" s="470" t="s">
        <v>1320</v>
      </c>
      <c r="G1158" s="470" t="s">
        <v>812</v>
      </c>
      <c r="H1158" s="470"/>
      <c r="I1158" s="470" t="s">
        <v>1321</v>
      </c>
      <c r="J1158" s="472" t="s">
        <v>1322</v>
      </c>
      <c r="K1158" s="470" t="s">
        <v>1323</v>
      </c>
      <c r="L1158" s="470" t="s">
        <v>1324</v>
      </c>
      <c r="M1158" s="470" t="s">
        <v>1293</v>
      </c>
      <c r="N1158" s="470" t="s">
        <v>756</v>
      </c>
      <c r="O1158" s="472" t="s">
        <v>792</v>
      </c>
      <c r="P1158" s="472" t="s">
        <v>738</v>
      </c>
      <c r="Q1158" s="472" t="s">
        <v>758</v>
      </c>
      <c r="R1158" s="472" t="s">
        <v>12</v>
      </c>
      <c r="S1158" s="472" t="s">
        <v>12</v>
      </c>
      <c r="T1158" s="472" t="s">
        <v>1325</v>
      </c>
      <c r="U1158" s="470" t="s">
        <v>1326</v>
      </c>
      <c r="V1158" s="470" t="s">
        <v>761</v>
      </c>
      <c r="W1158" s="470" t="s">
        <v>1327</v>
      </c>
      <c r="X1158" s="470">
        <v>31</v>
      </c>
      <c r="Y1158" s="470">
        <v>0</v>
      </c>
      <c r="Z1158" s="470">
        <v>0.5</v>
      </c>
      <c r="AA1158" s="470">
        <v>30.5</v>
      </c>
      <c r="AB1158" s="470">
        <v>30.5</v>
      </c>
      <c r="AC1158" s="473">
        <v>137785</v>
      </c>
      <c r="AD1158" s="473">
        <v>137785</v>
      </c>
      <c r="AE1158" s="473">
        <v>61003</v>
      </c>
      <c r="AF1158" s="473">
        <v>24401</v>
      </c>
      <c r="AG1158" s="473">
        <v>1574</v>
      </c>
      <c r="AH1158" s="473">
        <v>197</v>
      </c>
      <c r="AI1158" s="473">
        <v>1230</v>
      </c>
      <c r="AJ1158" s="473">
        <v>5082</v>
      </c>
      <c r="AK1158" s="473">
        <v>12201</v>
      </c>
      <c r="AL1158" s="473">
        <v>9150</v>
      </c>
      <c r="AM1158" s="473">
        <v>610</v>
      </c>
      <c r="AN1158" s="473">
        <v>2135</v>
      </c>
      <c r="AO1158" s="473">
        <v>1220</v>
      </c>
      <c r="AP1158" s="473">
        <v>305</v>
      </c>
      <c r="AQ1158" s="473">
        <v>1800</v>
      </c>
      <c r="AR1158" s="473">
        <v>14655</v>
      </c>
      <c r="AS1158" s="473">
        <v>0</v>
      </c>
      <c r="AT1158" s="473">
        <v>0</v>
      </c>
      <c r="AU1158" s="473"/>
      <c r="AV1158" s="473">
        <v>135563</v>
      </c>
      <c r="AW1158" s="474">
        <v>135563</v>
      </c>
      <c r="AX1158" s="473">
        <v>0</v>
      </c>
      <c r="AY1158" s="473">
        <v>0</v>
      </c>
      <c r="AZ1158" s="475">
        <v>0</v>
      </c>
      <c r="BA1158" s="475">
        <v>200</v>
      </c>
      <c r="BB1158" s="475">
        <v>1800</v>
      </c>
      <c r="BC1158" s="475">
        <v>0</v>
      </c>
      <c r="BD1158" s="475">
        <v>0</v>
      </c>
      <c r="BE1158" s="475">
        <v>0</v>
      </c>
      <c r="BF1158" s="475">
        <v>0</v>
      </c>
      <c r="BG1158" s="475">
        <v>2000</v>
      </c>
      <c r="BH1158" s="476">
        <v>133563</v>
      </c>
      <c r="BI1158" s="467"/>
      <c r="BJ1158" s="468"/>
    </row>
    <row r="1159" spans="1:62">
      <c r="A1159" s="469">
        <v>46082</v>
      </c>
      <c r="B1159" s="469" t="s">
        <v>747</v>
      </c>
      <c r="C1159" s="508"/>
      <c r="D1159" s="470" t="s">
        <v>749</v>
      </c>
      <c r="E1159" s="471">
        <v>1589</v>
      </c>
      <c r="F1159" s="470" t="s">
        <v>1175</v>
      </c>
      <c r="G1159" s="470" t="s">
        <v>751</v>
      </c>
      <c r="H1159" s="470"/>
      <c r="I1159" s="470" t="s">
        <v>1176</v>
      </c>
      <c r="J1159" s="472" t="s">
        <v>1177</v>
      </c>
      <c r="K1159" s="470" t="s">
        <v>1178</v>
      </c>
      <c r="L1159" s="470" t="s">
        <v>755</v>
      </c>
      <c r="M1159" s="470" t="s">
        <v>755</v>
      </c>
      <c r="N1159" s="470" t="s">
        <v>756</v>
      </c>
      <c r="O1159" s="472" t="s">
        <v>757</v>
      </c>
      <c r="P1159" s="472" t="s">
        <v>738</v>
      </c>
      <c r="Q1159" s="472" t="s">
        <v>758</v>
      </c>
      <c r="R1159" s="472" t="s">
        <v>12</v>
      </c>
      <c r="S1159" s="472" t="s">
        <v>12</v>
      </c>
      <c r="T1159" s="472" t="s">
        <v>1179</v>
      </c>
      <c r="U1159" s="470" t="s">
        <v>1180</v>
      </c>
      <c r="V1159" s="470" t="s">
        <v>761</v>
      </c>
      <c r="W1159" s="470" t="s">
        <v>762</v>
      </c>
      <c r="X1159" s="470">
        <v>31</v>
      </c>
      <c r="Y1159" s="470">
        <v>0</v>
      </c>
      <c r="Z1159" s="470">
        <v>1</v>
      </c>
      <c r="AA1159" s="470">
        <v>30</v>
      </c>
      <c r="AB1159" s="470">
        <v>30</v>
      </c>
      <c r="AC1159" s="473">
        <v>34250</v>
      </c>
      <c r="AD1159" s="473">
        <v>34250</v>
      </c>
      <c r="AE1159" s="473">
        <v>14915</v>
      </c>
      <c r="AF1159" s="473">
        <v>5966</v>
      </c>
      <c r="AG1159" s="473">
        <v>1548</v>
      </c>
      <c r="AH1159" s="473">
        <v>194</v>
      </c>
      <c r="AI1159" s="473">
        <v>1210</v>
      </c>
      <c r="AJ1159" s="473">
        <v>0</v>
      </c>
      <c r="AK1159" s="473">
        <v>0</v>
      </c>
      <c r="AL1159" s="473">
        <v>0</v>
      </c>
      <c r="AM1159" s="473">
        <v>0</v>
      </c>
      <c r="AN1159" s="473">
        <v>0</v>
      </c>
      <c r="AO1159" s="473">
        <v>0</v>
      </c>
      <c r="AP1159" s="473">
        <v>0</v>
      </c>
      <c r="AQ1159" s="473">
        <v>1790</v>
      </c>
      <c r="AR1159" s="473">
        <v>7522</v>
      </c>
      <c r="AS1159" s="473">
        <v>0</v>
      </c>
      <c r="AT1159" s="473">
        <v>0</v>
      </c>
      <c r="AU1159" s="473"/>
      <c r="AV1159" s="473">
        <v>33145</v>
      </c>
      <c r="AW1159" s="474">
        <v>33145</v>
      </c>
      <c r="AX1159" s="473">
        <v>0</v>
      </c>
      <c r="AY1159" s="473">
        <v>0</v>
      </c>
      <c r="AZ1159" s="475">
        <v>0</v>
      </c>
      <c r="BA1159" s="475">
        <v>200</v>
      </c>
      <c r="BB1159" s="475">
        <v>1790</v>
      </c>
      <c r="BC1159" s="475">
        <v>0</v>
      </c>
      <c r="BD1159" s="475">
        <v>0</v>
      </c>
      <c r="BE1159" s="475">
        <v>0</v>
      </c>
      <c r="BF1159" s="475">
        <v>0</v>
      </c>
      <c r="BG1159" s="475">
        <v>1990</v>
      </c>
      <c r="BH1159" s="476">
        <v>31155</v>
      </c>
      <c r="BI1159" s="467"/>
      <c r="BJ1159" s="468"/>
    </row>
    <row r="1160" spans="1:62">
      <c r="A1160" s="469">
        <v>46082</v>
      </c>
      <c r="B1160" s="469" t="s">
        <v>747</v>
      </c>
      <c r="C1160" s="508"/>
      <c r="D1160" s="470" t="s">
        <v>749</v>
      </c>
      <c r="E1160" s="471">
        <v>2069</v>
      </c>
      <c r="F1160" s="470" t="s">
        <v>1181</v>
      </c>
      <c r="G1160" s="470" t="s">
        <v>751</v>
      </c>
      <c r="H1160" s="470"/>
      <c r="I1160" s="470" t="s">
        <v>1182</v>
      </c>
      <c r="J1160" s="472" t="s">
        <v>1183</v>
      </c>
      <c r="K1160" s="470" t="s">
        <v>1184</v>
      </c>
      <c r="L1160" s="470" t="s">
        <v>767</v>
      </c>
      <c r="M1160" s="470" t="s">
        <v>767</v>
      </c>
      <c r="N1160" s="470" t="s">
        <v>756</v>
      </c>
      <c r="O1160" s="472" t="s">
        <v>792</v>
      </c>
      <c r="P1160" s="472" t="s">
        <v>738</v>
      </c>
      <c r="Q1160" s="472" t="s">
        <v>758</v>
      </c>
      <c r="R1160" s="472" t="s">
        <v>12</v>
      </c>
      <c r="S1160" s="472" t="s">
        <v>12</v>
      </c>
      <c r="T1160" s="472" t="s">
        <v>1185</v>
      </c>
      <c r="U1160" s="470" t="s">
        <v>1186</v>
      </c>
      <c r="V1160" s="470" t="s">
        <v>761</v>
      </c>
      <c r="W1160" s="470" t="s">
        <v>1187</v>
      </c>
      <c r="X1160" s="470">
        <v>31</v>
      </c>
      <c r="Y1160" s="470">
        <v>0</v>
      </c>
      <c r="Z1160" s="470">
        <v>0</v>
      </c>
      <c r="AA1160" s="470">
        <v>31</v>
      </c>
      <c r="AB1160" s="470">
        <v>31</v>
      </c>
      <c r="AC1160" s="473">
        <v>70000</v>
      </c>
      <c r="AD1160" s="473">
        <v>70000</v>
      </c>
      <c r="AE1160" s="473">
        <v>31500</v>
      </c>
      <c r="AF1160" s="473">
        <v>12600</v>
      </c>
      <c r="AG1160" s="473">
        <v>1600</v>
      </c>
      <c r="AH1160" s="473">
        <v>200</v>
      </c>
      <c r="AI1160" s="473">
        <v>1250</v>
      </c>
      <c r="AJ1160" s="473">
        <v>2624</v>
      </c>
      <c r="AK1160" s="473">
        <v>6300</v>
      </c>
      <c r="AL1160" s="473">
        <v>4725</v>
      </c>
      <c r="AM1160" s="473">
        <v>315</v>
      </c>
      <c r="AN1160" s="473">
        <v>1103</v>
      </c>
      <c r="AO1160" s="473">
        <v>630</v>
      </c>
      <c r="AP1160" s="473">
        <v>158</v>
      </c>
      <c r="AQ1160" s="473">
        <v>1800</v>
      </c>
      <c r="AR1160" s="473">
        <v>5195</v>
      </c>
      <c r="AS1160" s="473">
        <v>0</v>
      </c>
      <c r="AT1160" s="473">
        <v>0</v>
      </c>
      <c r="AU1160" s="473"/>
      <c r="AV1160" s="473">
        <v>70000</v>
      </c>
      <c r="AW1160" s="474">
        <v>70000</v>
      </c>
      <c r="AX1160" s="473">
        <v>0</v>
      </c>
      <c r="AY1160" s="473">
        <v>0</v>
      </c>
      <c r="AZ1160" s="475">
        <v>0</v>
      </c>
      <c r="BA1160" s="475">
        <v>200</v>
      </c>
      <c r="BB1160" s="475">
        <v>1800</v>
      </c>
      <c r="BC1160" s="475">
        <v>0</v>
      </c>
      <c r="BD1160" s="475">
        <v>0</v>
      </c>
      <c r="BE1160" s="475">
        <v>0</v>
      </c>
      <c r="BF1160" s="475">
        <v>0</v>
      </c>
      <c r="BG1160" s="475">
        <v>2000</v>
      </c>
      <c r="BH1160" s="476">
        <v>68000</v>
      </c>
      <c r="BI1160" s="467"/>
      <c r="BJ1160" s="468"/>
    </row>
    <row r="1161" spans="1:62">
      <c r="A1161" s="469">
        <v>46082</v>
      </c>
      <c r="B1161" s="469" t="s">
        <v>747</v>
      </c>
      <c r="C1161" s="508"/>
      <c r="D1161" s="470" t="s">
        <v>749</v>
      </c>
      <c r="E1161" s="471">
        <v>2015</v>
      </c>
      <c r="F1161" s="470" t="s">
        <v>1202</v>
      </c>
      <c r="G1161" s="470" t="s">
        <v>751</v>
      </c>
      <c r="H1161" s="470"/>
      <c r="I1161" s="470" t="s">
        <v>847</v>
      </c>
      <c r="J1161" s="472" t="s">
        <v>1203</v>
      </c>
      <c r="K1161" s="470" t="s">
        <v>1204</v>
      </c>
      <c r="L1161" s="470" t="s">
        <v>1345</v>
      </c>
      <c r="M1161" s="470" t="s">
        <v>1345</v>
      </c>
      <c r="N1161" s="470" t="s">
        <v>1275</v>
      </c>
      <c r="O1161" s="472" t="s">
        <v>757</v>
      </c>
      <c r="P1161" s="472" t="s">
        <v>738</v>
      </c>
      <c r="Q1161" s="472" t="s">
        <v>758</v>
      </c>
      <c r="R1161" s="472" t="s">
        <v>12</v>
      </c>
      <c r="S1161" s="472" t="s">
        <v>12</v>
      </c>
      <c r="T1161" s="472" t="s">
        <v>1205</v>
      </c>
      <c r="U1161" s="470" t="s">
        <v>1206</v>
      </c>
      <c r="V1161" s="470" t="s">
        <v>761</v>
      </c>
      <c r="W1161" s="470" t="s">
        <v>762</v>
      </c>
      <c r="X1161" s="470">
        <v>31</v>
      </c>
      <c r="Y1161" s="470">
        <v>0</v>
      </c>
      <c r="Z1161" s="470">
        <v>0</v>
      </c>
      <c r="AA1161" s="470">
        <v>31</v>
      </c>
      <c r="AB1161" s="470">
        <v>31</v>
      </c>
      <c r="AC1161" s="473">
        <v>56533</v>
      </c>
      <c r="AD1161" s="473">
        <v>56533</v>
      </c>
      <c r="AE1161" s="473">
        <v>25440</v>
      </c>
      <c r="AF1161" s="473">
        <v>10176</v>
      </c>
      <c r="AG1161" s="473">
        <v>1600</v>
      </c>
      <c r="AH1161" s="473">
        <v>200</v>
      </c>
      <c r="AI1161" s="473">
        <v>1250</v>
      </c>
      <c r="AJ1161" s="473">
        <v>2119</v>
      </c>
      <c r="AK1161" s="473">
        <v>5088</v>
      </c>
      <c r="AL1161" s="473">
        <v>3816</v>
      </c>
      <c r="AM1161" s="473">
        <v>254</v>
      </c>
      <c r="AN1161" s="473">
        <v>890</v>
      </c>
      <c r="AO1161" s="473">
        <v>509</v>
      </c>
      <c r="AP1161" s="473">
        <v>127</v>
      </c>
      <c r="AQ1161" s="473">
        <v>1800</v>
      </c>
      <c r="AR1161" s="473">
        <v>3264</v>
      </c>
      <c r="AS1161" s="473">
        <v>0</v>
      </c>
      <c r="AT1161" s="473">
        <v>0</v>
      </c>
      <c r="AU1161" s="473">
        <v>4947</v>
      </c>
      <c r="AV1161" s="473">
        <v>61480</v>
      </c>
      <c r="AW1161" s="474">
        <v>56533</v>
      </c>
      <c r="AX1161" s="473">
        <v>0</v>
      </c>
      <c r="AY1161" s="473">
        <v>160</v>
      </c>
      <c r="AZ1161" s="475">
        <v>0</v>
      </c>
      <c r="BA1161" s="475">
        <v>200</v>
      </c>
      <c r="BB1161" s="475">
        <v>1800</v>
      </c>
      <c r="BC1161" s="475">
        <v>0</v>
      </c>
      <c r="BD1161" s="475">
        <v>0</v>
      </c>
      <c r="BE1161" s="475">
        <v>0</v>
      </c>
      <c r="BF1161" s="475">
        <v>0</v>
      </c>
      <c r="BG1161" s="475">
        <v>2160</v>
      </c>
      <c r="BH1161" s="476">
        <v>59320</v>
      </c>
      <c r="BI1161" s="467"/>
      <c r="BJ1161" s="468"/>
    </row>
    <row r="1162" spans="1:62">
      <c r="A1162" s="469">
        <v>46082</v>
      </c>
      <c r="B1162" s="469" t="s">
        <v>747</v>
      </c>
      <c r="C1162" s="508"/>
      <c r="D1162" s="470" t="s">
        <v>749</v>
      </c>
      <c r="E1162" s="471">
        <v>1166</v>
      </c>
      <c r="F1162" s="470" t="s">
        <v>1207</v>
      </c>
      <c r="G1162" s="470" t="s">
        <v>751</v>
      </c>
      <c r="H1162" s="470"/>
      <c r="I1162" s="470" t="s">
        <v>1208</v>
      </c>
      <c r="J1162" s="472" t="s">
        <v>1209</v>
      </c>
      <c r="K1162" s="470" t="s">
        <v>1210</v>
      </c>
      <c r="L1162" s="470" t="s">
        <v>1329</v>
      </c>
      <c r="M1162" s="470" t="s">
        <v>1330</v>
      </c>
      <c r="N1162" s="470" t="s">
        <v>756</v>
      </c>
      <c r="O1162" s="472" t="s">
        <v>757</v>
      </c>
      <c r="P1162" s="472" t="s">
        <v>738</v>
      </c>
      <c r="Q1162" s="472" t="s">
        <v>758</v>
      </c>
      <c r="R1162" s="472" t="s">
        <v>12</v>
      </c>
      <c r="S1162" s="472" t="s">
        <v>12</v>
      </c>
      <c r="T1162" s="472" t="s">
        <v>1213</v>
      </c>
      <c r="U1162" s="470" t="s">
        <v>1214</v>
      </c>
      <c r="V1162" s="470" t="s">
        <v>761</v>
      </c>
      <c r="W1162" s="470" t="s">
        <v>859</v>
      </c>
      <c r="X1162" s="470">
        <v>31</v>
      </c>
      <c r="Y1162" s="470">
        <v>0</v>
      </c>
      <c r="Z1162" s="470">
        <v>1</v>
      </c>
      <c r="AA1162" s="470">
        <v>30</v>
      </c>
      <c r="AB1162" s="470">
        <v>30</v>
      </c>
      <c r="AC1162" s="473">
        <v>59983</v>
      </c>
      <c r="AD1162" s="473">
        <v>59983</v>
      </c>
      <c r="AE1162" s="473">
        <v>26122</v>
      </c>
      <c r="AF1162" s="473">
        <v>10449</v>
      </c>
      <c r="AG1162" s="473">
        <v>1548</v>
      </c>
      <c r="AH1162" s="473">
        <v>194</v>
      </c>
      <c r="AI1162" s="473">
        <v>1210</v>
      </c>
      <c r="AJ1162" s="473">
        <v>2176</v>
      </c>
      <c r="AK1162" s="473">
        <v>5224</v>
      </c>
      <c r="AL1162" s="473">
        <v>3918</v>
      </c>
      <c r="AM1162" s="473">
        <v>261</v>
      </c>
      <c r="AN1162" s="473">
        <v>914</v>
      </c>
      <c r="AO1162" s="473">
        <v>522</v>
      </c>
      <c r="AP1162" s="473">
        <v>131</v>
      </c>
      <c r="AQ1162" s="473">
        <v>1800</v>
      </c>
      <c r="AR1162" s="473">
        <v>3579</v>
      </c>
      <c r="AS1162" s="473">
        <v>0</v>
      </c>
      <c r="AT1162" s="473">
        <v>1000</v>
      </c>
      <c r="AU1162" s="473"/>
      <c r="AV1162" s="473">
        <v>59048</v>
      </c>
      <c r="AW1162" s="474">
        <v>59048</v>
      </c>
      <c r="AX1162" s="473">
        <v>0</v>
      </c>
      <c r="AY1162" s="473">
        <v>0</v>
      </c>
      <c r="AZ1162" s="475">
        <v>0</v>
      </c>
      <c r="BA1162" s="475">
        <v>200</v>
      </c>
      <c r="BB1162" s="475">
        <v>1800</v>
      </c>
      <c r="BC1162" s="475">
        <v>0</v>
      </c>
      <c r="BD1162" s="475">
        <v>0</v>
      </c>
      <c r="BE1162" s="475">
        <v>0</v>
      </c>
      <c r="BF1162" s="475">
        <v>0</v>
      </c>
      <c r="BG1162" s="475">
        <v>2000</v>
      </c>
      <c r="BH1162" s="476">
        <v>57048</v>
      </c>
      <c r="BI1162" s="467"/>
      <c r="BJ1162" s="468"/>
    </row>
    <row r="1163" spans="1:62">
      <c r="A1163" s="469">
        <v>46082</v>
      </c>
      <c r="B1163" s="469" t="s">
        <v>747</v>
      </c>
      <c r="C1163" s="508"/>
      <c r="D1163" s="470" t="s">
        <v>749</v>
      </c>
      <c r="E1163" s="471">
        <v>247</v>
      </c>
      <c r="F1163" s="470" t="s">
        <v>1215</v>
      </c>
      <c r="G1163" s="470" t="s">
        <v>751</v>
      </c>
      <c r="H1163" s="470"/>
      <c r="I1163" s="470" t="s">
        <v>1216</v>
      </c>
      <c r="J1163" s="472" t="s">
        <v>1217</v>
      </c>
      <c r="K1163" s="470" t="s">
        <v>1218</v>
      </c>
      <c r="L1163" s="470" t="s">
        <v>894</v>
      </c>
      <c r="M1163" s="470" t="s">
        <v>1027</v>
      </c>
      <c r="N1163" s="470" t="s">
        <v>756</v>
      </c>
      <c r="O1163" s="472" t="s">
        <v>757</v>
      </c>
      <c r="P1163" s="472" t="s">
        <v>738</v>
      </c>
      <c r="Q1163" s="472" t="s">
        <v>758</v>
      </c>
      <c r="R1163" s="472" t="s">
        <v>12</v>
      </c>
      <c r="S1163" s="472" t="s">
        <v>12</v>
      </c>
      <c r="T1163" s="472" t="s">
        <v>1219</v>
      </c>
      <c r="U1163" s="470" t="s">
        <v>1220</v>
      </c>
      <c r="V1163" s="470" t="s">
        <v>761</v>
      </c>
      <c r="W1163" s="470" t="s">
        <v>960</v>
      </c>
      <c r="X1163" s="470">
        <v>31</v>
      </c>
      <c r="Y1163" s="470">
        <v>0</v>
      </c>
      <c r="Z1163" s="470">
        <v>0</v>
      </c>
      <c r="AA1163" s="470">
        <v>31</v>
      </c>
      <c r="AB1163" s="470">
        <v>31</v>
      </c>
      <c r="AC1163" s="473">
        <v>34308</v>
      </c>
      <c r="AD1163" s="473">
        <v>34308</v>
      </c>
      <c r="AE1163" s="473">
        <v>15439</v>
      </c>
      <c r="AF1163" s="473">
        <v>6176</v>
      </c>
      <c r="AG1163" s="473">
        <v>1600</v>
      </c>
      <c r="AH1163" s="473">
        <v>200</v>
      </c>
      <c r="AI1163" s="473">
        <v>1250</v>
      </c>
      <c r="AJ1163" s="473">
        <v>0</v>
      </c>
      <c r="AK1163" s="473">
        <v>0</v>
      </c>
      <c r="AL1163" s="473">
        <v>0</v>
      </c>
      <c r="AM1163" s="473">
        <v>0</v>
      </c>
      <c r="AN1163" s="473">
        <v>0</v>
      </c>
      <c r="AO1163" s="473">
        <v>0</v>
      </c>
      <c r="AP1163" s="473">
        <v>0</v>
      </c>
      <c r="AQ1163" s="473">
        <v>1800</v>
      </c>
      <c r="AR1163" s="473">
        <v>7843</v>
      </c>
      <c r="AS1163" s="473">
        <v>0</v>
      </c>
      <c r="AT1163" s="473">
        <v>0</v>
      </c>
      <c r="AU1163" s="473">
        <v>4117.5</v>
      </c>
      <c r="AV1163" s="473">
        <v>38425.5</v>
      </c>
      <c r="AW1163" s="474">
        <v>34308</v>
      </c>
      <c r="AX1163" s="473">
        <v>0</v>
      </c>
      <c r="AY1163" s="473">
        <v>0</v>
      </c>
      <c r="AZ1163" s="475">
        <v>0</v>
      </c>
      <c r="BA1163" s="475">
        <v>200</v>
      </c>
      <c r="BB1163" s="475">
        <v>1800</v>
      </c>
      <c r="BC1163" s="475">
        <v>0</v>
      </c>
      <c r="BD1163" s="475">
        <v>0</v>
      </c>
      <c r="BE1163" s="475">
        <v>0</v>
      </c>
      <c r="BF1163" s="475">
        <v>0</v>
      </c>
      <c r="BG1163" s="475">
        <v>2000</v>
      </c>
      <c r="BH1163" s="476">
        <v>36426</v>
      </c>
      <c r="BI1163" s="467"/>
      <c r="BJ1163" s="468"/>
    </row>
    <row r="1164" spans="1:62">
      <c r="A1164" s="469">
        <v>46082</v>
      </c>
      <c r="B1164" s="469" t="s">
        <v>747</v>
      </c>
      <c r="C1164" s="508"/>
      <c r="D1164" s="470" t="s">
        <v>749</v>
      </c>
      <c r="E1164" s="471">
        <v>1237</v>
      </c>
      <c r="F1164" s="470" t="s">
        <v>1221</v>
      </c>
      <c r="G1164" s="470" t="s">
        <v>751</v>
      </c>
      <c r="H1164" s="470"/>
      <c r="I1164" s="470" t="s">
        <v>1222</v>
      </c>
      <c r="J1164" s="472" t="s">
        <v>1223</v>
      </c>
      <c r="K1164" s="470" t="s">
        <v>1224</v>
      </c>
      <c r="L1164" s="470" t="s">
        <v>800</v>
      </c>
      <c r="M1164" s="470" t="s">
        <v>801</v>
      </c>
      <c r="N1164" s="470" t="s">
        <v>756</v>
      </c>
      <c r="O1164" s="472" t="s">
        <v>757</v>
      </c>
      <c r="P1164" s="472" t="s">
        <v>738</v>
      </c>
      <c r="Q1164" s="472" t="s">
        <v>758</v>
      </c>
      <c r="R1164" s="472" t="s">
        <v>12</v>
      </c>
      <c r="S1164" s="472" t="s">
        <v>12</v>
      </c>
      <c r="T1164" s="472" t="s">
        <v>1225</v>
      </c>
      <c r="U1164" s="470" t="s">
        <v>1226</v>
      </c>
      <c r="V1164" s="470" t="s">
        <v>761</v>
      </c>
      <c r="W1164" s="470" t="s">
        <v>762</v>
      </c>
      <c r="X1164" s="470">
        <v>31</v>
      </c>
      <c r="Y1164" s="470">
        <v>0</v>
      </c>
      <c r="Z1164" s="470">
        <v>0.5</v>
      </c>
      <c r="AA1164" s="470">
        <v>30.5</v>
      </c>
      <c r="AB1164" s="470">
        <v>30.5</v>
      </c>
      <c r="AC1164" s="473">
        <v>31644</v>
      </c>
      <c r="AD1164" s="473">
        <v>31644</v>
      </c>
      <c r="AE1164" s="473">
        <v>14010</v>
      </c>
      <c r="AF1164" s="473">
        <v>5604</v>
      </c>
      <c r="AG1164" s="473">
        <v>1574</v>
      </c>
      <c r="AH1164" s="473">
        <v>197</v>
      </c>
      <c r="AI1164" s="473">
        <v>1230</v>
      </c>
      <c r="AJ1164" s="473">
        <v>0</v>
      </c>
      <c r="AK1164" s="473">
        <v>0</v>
      </c>
      <c r="AL1164" s="473">
        <v>0</v>
      </c>
      <c r="AM1164" s="473">
        <v>0</v>
      </c>
      <c r="AN1164" s="473">
        <v>0</v>
      </c>
      <c r="AO1164" s="473">
        <v>0</v>
      </c>
      <c r="AP1164" s="473">
        <v>0</v>
      </c>
      <c r="AQ1164" s="473">
        <v>1681</v>
      </c>
      <c r="AR1164" s="473">
        <v>6838</v>
      </c>
      <c r="AS1164" s="473">
        <v>0</v>
      </c>
      <c r="AT1164" s="473">
        <v>0</v>
      </c>
      <c r="AU1164" s="473"/>
      <c r="AV1164" s="473">
        <v>31134</v>
      </c>
      <c r="AW1164" s="474">
        <v>31134</v>
      </c>
      <c r="AX1164" s="473">
        <v>0</v>
      </c>
      <c r="AY1164" s="473">
        <v>0</v>
      </c>
      <c r="AZ1164" s="475">
        <v>0</v>
      </c>
      <c r="BA1164" s="475">
        <v>200</v>
      </c>
      <c r="BB1164" s="475">
        <v>1681</v>
      </c>
      <c r="BC1164" s="475">
        <v>0</v>
      </c>
      <c r="BD1164" s="475">
        <v>0</v>
      </c>
      <c r="BE1164" s="475">
        <v>0</v>
      </c>
      <c r="BF1164" s="475">
        <v>0</v>
      </c>
      <c r="BG1164" s="475">
        <v>1881</v>
      </c>
      <c r="BH1164" s="476">
        <v>29253</v>
      </c>
      <c r="BI1164" s="467"/>
      <c r="BJ1164" s="468"/>
    </row>
    <row r="1165" spans="1:62">
      <c r="A1165" s="469">
        <v>46082</v>
      </c>
      <c r="B1165" s="469" t="s">
        <v>747</v>
      </c>
      <c r="C1165" s="508"/>
      <c r="D1165" s="470" t="s">
        <v>749</v>
      </c>
      <c r="E1165" s="471">
        <v>1950</v>
      </c>
      <c r="F1165" s="470" t="s">
        <v>1233</v>
      </c>
      <c r="G1165" s="470" t="s">
        <v>751</v>
      </c>
      <c r="H1165" s="470"/>
      <c r="I1165" s="470" t="s">
        <v>1234</v>
      </c>
      <c r="J1165" s="472" t="s">
        <v>1235</v>
      </c>
      <c r="K1165" s="470" t="s">
        <v>1236</v>
      </c>
      <c r="L1165" s="470" t="s">
        <v>800</v>
      </c>
      <c r="M1165" s="470" t="s">
        <v>800</v>
      </c>
      <c r="N1165" s="470" t="s">
        <v>756</v>
      </c>
      <c r="O1165" s="472" t="s">
        <v>1043</v>
      </c>
      <c r="P1165" s="472" t="s">
        <v>738</v>
      </c>
      <c r="Q1165" s="472" t="s">
        <v>758</v>
      </c>
      <c r="R1165" s="472" t="s">
        <v>12</v>
      </c>
      <c r="S1165" s="472" t="s">
        <v>12</v>
      </c>
      <c r="T1165" s="472" t="s">
        <v>1237</v>
      </c>
      <c r="U1165" s="470" t="s">
        <v>1238</v>
      </c>
      <c r="V1165" s="470" t="s">
        <v>836</v>
      </c>
      <c r="W1165" s="470" t="s">
        <v>1239</v>
      </c>
      <c r="X1165" s="470">
        <v>31</v>
      </c>
      <c r="Y1165" s="470">
        <v>0</v>
      </c>
      <c r="Z1165" s="470">
        <v>0</v>
      </c>
      <c r="AA1165" s="470">
        <v>31</v>
      </c>
      <c r="AB1165" s="470">
        <v>31</v>
      </c>
      <c r="AC1165" s="473">
        <v>35283</v>
      </c>
      <c r="AD1165" s="473">
        <v>35283</v>
      </c>
      <c r="AE1165" s="473">
        <v>15877</v>
      </c>
      <c r="AF1165" s="473">
        <v>6351</v>
      </c>
      <c r="AG1165" s="473">
        <v>1600</v>
      </c>
      <c r="AH1165" s="473">
        <v>200</v>
      </c>
      <c r="AI1165" s="473">
        <v>1250</v>
      </c>
      <c r="AJ1165" s="473">
        <v>0</v>
      </c>
      <c r="AK1165" s="473">
        <v>0</v>
      </c>
      <c r="AL1165" s="473">
        <v>0</v>
      </c>
      <c r="AM1165" s="473">
        <v>0</v>
      </c>
      <c r="AN1165" s="473">
        <v>0</v>
      </c>
      <c r="AO1165" s="473">
        <v>0</v>
      </c>
      <c r="AP1165" s="473">
        <v>0</v>
      </c>
      <c r="AQ1165" s="473">
        <v>1800</v>
      </c>
      <c r="AR1165" s="473">
        <v>8205</v>
      </c>
      <c r="AS1165" s="473">
        <v>0</v>
      </c>
      <c r="AT1165" s="473">
        <v>0</v>
      </c>
      <c r="AU1165" s="473">
        <v>3551</v>
      </c>
      <c r="AV1165" s="473">
        <v>38834</v>
      </c>
      <c r="AW1165" s="474">
        <v>35283</v>
      </c>
      <c r="AX1165" s="473">
        <v>0</v>
      </c>
      <c r="AY1165" s="473">
        <v>0</v>
      </c>
      <c r="AZ1165" s="475">
        <v>0</v>
      </c>
      <c r="BA1165" s="475">
        <v>200</v>
      </c>
      <c r="BB1165" s="475">
        <v>1800</v>
      </c>
      <c r="BC1165" s="475">
        <v>0</v>
      </c>
      <c r="BD1165" s="475">
        <v>0</v>
      </c>
      <c r="BE1165" s="475">
        <v>0</v>
      </c>
      <c r="BF1165" s="475">
        <v>0</v>
      </c>
      <c r="BG1165" s="475">
        <v>2000</v>
      </c>
      <c r="BH1165" s="476">
        <v>36834</v>
      </c>
      <c r="BI1165" s="467"/>
      <c r="BJ1165" s="468"/>
    </row>
    <row r="1166" spans="1:62">
      <c r="A1166" s="469">
        <v>46082</v>
      </c>
      <c r="B1166" s="469" t="s">
        <v>747</v>
      </c>
      <c r="C1166" s="508"/>
      <c r="D1166" s="470" t="s">
        <v>749</v>
      </c>
      <c r="E1166" s="471">
        <v>1370</v>
      </c>
      <c r="F1166" s="470" t="s">
        <v>1240</v>
      </c>
      <c r="G1166" s="470" t="s">
        <v>751</v>
      </c>
      <c r="H1166" s="470"/>
      <c r="I1166" s="470" t="s">
        <v>1241</v>
      </c>
      <c r="J1166" s="472" t="s">
        <v>1242</v>
      </c>
      <c r="K1166" s="470" t="s">
        <v>1243</v>
      </c>
      <c r="L1166" s="470" t="s">
        <v>979</v>
      </c>
      <c r="M1166" s="470" t="s">
        <v>979</v>
      </c>
      <c r="N1166" s="470" t="s">
        <v>833</v>
      </c>
      <c r="O1166" s="472" t="s">
        <v>757</v>
      </c>
      <c r="P1166" s="472" t="s">
        <v>738</v>
      </c>
      <c r="Q1166" s="472" t="s">
        <v>758</v>
      </c>
      <c r="R1166" s="472" t="s">
        <v>12</v>
      </c>
      <c r="S1166" s="472" t="s">
        <v>12</v>
      </c>
      <c r="T1166" s="472" t="s">
        <v>1245</v>
      </c>
      <c r="U1166" s="470" t="s">
        <v>1246</v>
      </c>
      <c r="V1166" s="470" t="s">
        <v>761</v>
      </c>
      <c r="W1166" s="470" t="s">
        <v>762</v>
      </c>
      <c r="X1166" s="470">
        <v>31</v>
      </c>
      <c r="Y1166" s="470">
        <v>0</v>
      </c>
      <c r="Z1166" s="470">
        <v>0</v>
      </c>
      <c r="AA1166" s="470">
        <v>31</v>
      </c>
      <c r="AB1166" s="470">
        <v>31</v>
      </c>
      <c r="AC1166" s="473">
        <v>33000</v>
      </c>
      <c r="AD1166" s="473">
        <v>33000</v>
      </c>
      <c r="AE1166" s="473">
        <v>14850</v>
      </c>
      <c r="AF1166" s="473">
        <v>5940</v>
      </c>
      <c r="AG1166" s="473">
        <v>1600</v>
      </c>
      <c r="AH1166" s="473">
        <v>200</v>
      </c>
      <c r="AI1166" s="473">
        <v>1250</v>
      </c>
      <c r="AJ1166" s="473">
        <v>0</v>
      </c>
      <c r="AK1166" s="473">
        <v>0</v>
      </c>
      <c r="AL1166" s="473">
        <v>0</v>
      </c>
      <c r="AM1166" s="473">
        <v>0</v>
      </c>
      <c r="AN1166" s="473">
        <v>0</v>
      </c>
      <c r="AO1166" s="473">
        <v>0</v>
      </c>
      <c r="AP1166" s="473">
        <v>0</v>
      </c>
      <c r="AQ1166" s="473">
        <v>1782</v>
      </c>
      <c r="AR1166" s="473">
        <v>7378</v>
      </c>
      <c r="AS1166" s="473">
        <v>0</v>
      </c>
      <c r="AT1166" s="473">
        <v>0</v>
      </c>
      <c r="AU1166" s="473"/>
      <c r="AV1166" s="473">
        <v>33000</v>
      </c>
      <c r="AW1166" s="474">
        <v>33000</v>
      </c>
      <c r="AX1166" s="473">
        <v>0</v>
      </c>
      <c r="AY1166" s="473">
        <v>0</v>
      </c>
      <c r="AZ1166" s="475">
        <v>0</v>
      </c>
      <c r="BA1166" s="475">
        <v>200</v>
      </c>
      <c r="BB1166" s="475">
        <v>1782</v>
      </c>
      <c r="BC1166" s="475">
        <v>0</v>
      </c>
      <c r="BD1166" s="475">
        <v>0</v>
      </c>
      <c r="BE1166" s="475">
        <v>0</v>
      </c>
      <c r="BF1166" s="475">
        <v>0</v>
      </c>
      <c r="BG1166" s="475">
        <v>1982</v>
      </c>
      <c r="BH1166" s="476">
        <v>31018</v>
      </c>
      <c r="BI1166" s="467"/>
      <c r="BJ1166" s="468"/>
    </row>
    <row r="1167" spans="1:62">
      <c r="A1167" s="469">
        <v>46082</v>
      </c>
      <c r="B1167" s="469" t="s">
        <v>747</v>
      </c>
      <c r="C1167" s="508"/>
      <c r="D1167" s="470" t="s">
        <v>749</v>
      </c>
      <c r="E1167" s="471">
        <v>2049</v>
      </c>
      <c r="F1167" s="470" t="s">
        <v>1247</v>
      </c>
      <c r="G1167" s="470" t="s">
        <v>751</v>
      </c>
      <c r="H1167" s="470"/>
      <c r="I1167" s="470" t="s">
        <v>1248</v>
      </c>
      <c r="J1167" s="472" t="s">
        <v>1249</v>
      </c>
      <c r="K1167" s="470" t="s">
        <v>1250</v>
      </c>
      <c r="L1167" s="470" t="s">
        <v>824</v>
      </c>
      <c r="M1167" s="470" t="s">
        <v>1165</v>
      </c>
      <c r="N1167" s="470" t="s">
        <v>756</v>
      </c>
      <c r="O1167" s="472" t="s">
        <v>1276</v>
      </c>
      <c r="P1167" s="472" t="s">
        <v>738</v>
      </c>
      <c r="Q1167" s="472" t="s">
        <v>758</v>
      </c>
      <c r="R1167" s="472" t="s">
        <v>12</v>
      </c>
      <c r="S1167" s="472" t="s">
        <v>12</v>
      </c>
      <c r="T1167" s="472" t="s">
        <v>1251</v>
      </c>
      <c r="U1167" s="470" t="s">
        <v>1252</v>
      </c>
      <c r="V1167" s="470" t="s">
        <v>761</v>
      </c>
      <c r="W1167" s="470" t="s">
        <v>859</v>
      </c>
      <c r="X1167" s="470">
        <v>31</v>
      </c>
      <c r="Y1167" s="470">
        <v>0</v>
      </c>
      <c r="Z1167" s="470">
        <v>0.5</v>
      </c>
      <c r="AA1167" s="470">
        <v>30.5</v>
      </c>
      <c r="AB1167" s="470">
        <v>30.5</v>
      </c>
      <c r="AC1167" s="473">
        <v>27713</v>
      </c>
      <c r="AD1167" s="473">
        <v>27713</v>
      </c>
      <c r="AE1167" s="473">
        <v>12270</v>
      </c>
      <c r="AF1167" s="473">
        <v>4908</v>
      </c>
      <c r="AG1167" s="473">
        <v>1574</v>
      </c>
      <c r="AH1167" s="473">
        <v>197</v>
      </c>
      <c r="AI1167" s="473">
        <v>1230</v>
      </c>
      <c r="AJ1167" s="473">
        <v>0</v>
      </c>
      <c r="AK1167" s="473">
        <v>0</v>
      </c>
      <c r="AL1167" s="473">
        <v>0</v>
      </c>
      <c r="AM1167" s="473">
        <v>0</v>
      </c>
      <c r="AN1167" s="473">
        <v>0</v>
      </c>
      <c r="AO1167" s="473">
        <v>0</v>
      </c>
      <c r="AP1167" s="473">
        <v>0</v>
      </c>
      <c r="AQ1167" s="473">
        <v>1472</v>
      </c>
      <c r="AR1167" s="473">
        <v>5615</v>
      </c>
      <c r="AS1167" s="473">
        <v>0</v>
      </c>
      <c r="AT1167" s="473">
        <v>0</v>
      </c>
      <c r="AU1167" s="473">
        <v>308</v>
      </c>
      <c r="AV1167" s="473">
        <v>27574</v>
      </c>
      <c r="AW1167" s="474">
        <v>27266</v>
      </c>
      <c r="AX1167" s="473">
        <v>0</v>
      </c>
      <c r="AY1167" s="473">
        <v>0</v>
      </c>
      <c r="AZ1167" s="475">
        <v>0</v>
      </c>
      <c r="BA1167" s="475">
        <v>200</v>
      </c>
      <c r="BB1167" s="475">
        <v>1472</v>
      </c>
      <c r="BC1167" s="475">
        <v>0</v>
      </c>
      <c r="BD1167" s="475">
        <v>0</v>
      </c>
      <c r="BE1167" s="475">
        <v>0</v>
      </c>
      <c r="BF1167" s="475">
        <v>0</v>
      </c>
      <c r="BG1167" s="475">
        <v>1672</v>
      </c>
      <c r="BH1167" s="476">
        <v>25902</v>
      </c>
      <c r="BI1167" s="467"/>
      <c r="BJ1167" s="468"/>
    </row>
    <row r="1168" spans="1:62">
      <c r="A1168" s="469">
        <v>46082</v>
      </c>
      <c r="B1168" s="469" t="s">
        <v>747</v>
      </c>
      <c r="C1168" s="508"/>
      <c r="D1168" s="470" t="s">
        <v>749</v>
      </c>
      <c r="E1168" s="471">
        <v>1121</v>
      </c>
      <c r="F1168" s="470" t="s">
        <v>1253</v>
      </c>
      <c r="G1168" s="470" t="s">
        <v>751</v>
      </c>
      <c r="H1168" s="470"/>
      <c r="I1168" s="470" t="s">
        <v>1254</v>
      </c>
      <c r="J1168" s="472" t="s">
        <v>1255</v>
      </c>
      <c r="K1168" s="470" t="s">
        <v>1256</v>
      </c>
      <c r="L1168" s="470" t="s">
        <v>942</v>
      </c>
      <c r="M1168" s="470" t="s">
        <v>942</v>
      </c>
      <c r="N1168" s="470" t="s">
        <v>1275</v>
      </c>
      <c r="O1168" s="472" t="s">
        <v>792</v>
      </c>
      <c r="P1168" s="472" t="s">
        <v>738</v>
      </c>
      <c r="Q1168" s="472" t="s">
        <v>758</v>
      </c>
      <c r="R1168" s="472" t="s">
        <v>12</v>
      </c>
      <c r="S1168" s="472" t="s">
        <v>12</v>
      </c>
      <c r="T1168" s="472" t="s">
        <v>1257</v>
      </c>
      <c r="U1168" s="470" t="s">
        <v>1258</v>
      </c>
      <c r="V1168" s="470" t="s">
        <v>761</v>
      </c>
      <c r="W1168" s="470" t="s">
        <v>1259</v>
      </c>
      <c r="X1168" s="470">
        <v>31</v>
      </c>
      <c r="Y1168" s="470">
        <v>0</v>
      </c>
      <c r="Z1168" s="470">
        <v>0</v>
      </c>
      <c r="AA1168" s="470">
        <v>31</v>
      </c>
      <c r="AB1168" s="470">
        <v>31</v>
      </c>
      <c r="AC1168" s="473">
        <v>206500</v>
      </c>
      <c r="AD1168" s="473">
        <v>206500</v>
      </c>
      <c r="AE1168" s="473">
        <v>92925</v>
      </c>
      <c r="AF1168" s="473">
        <v>37170</v>
      </c>
      <c r="AG1168" s="473">
        <v>1600</v>
      </c>
      <c r="AH1168" s="473">
        <v>200</v>
      </c>
      <c r="AI1168" s="473">
        <v>1250</v>
      </c>
      <c r="AJ1168" s="473">
        <v>7741</v>
      </c>
      <c r="AK1168" s="473">
        <v>18585</v>
      </c>
      <c r="AL1168" s="473">
        <v>13939</v>
      </c>
      <c r="AM1168" s="473">
        <v>929</v>
      </c>
      <c r="AN1168" s="473">
        <v>3252</v>
      </c>
      <c r="AO1168" s="473">
        <v>1859</v>
      </c>
      <c r="AP1168" s="473">
        <v>465</v>
      </c>
      <c r="AQ1168" s="473">
        <v>1800</v>
      </c>
      <c r="AR1168" s="473">
        <v>24785</v>
      </c>
      <c r="AS1168" s="473">
        <v>0</v>
      </c>
      <c r="AT1168" s="473">
        <v>7375</v>
      </c>
      <c r="AU1168" s="473">
        <v>21415</v>
      </c>
      <c r="AV1168" s="473">
        <v>235290</v>
      </c>
      <c r="AW1168" s="474">
        <v>213875</v>
      </c>
      <c r="AX1168" s="473">
        <v>0</v>
      </c>
      <c r="AY1168" s="473">
        <v>0</v>
      </c>
      <c r="AZ1168" s="475">
        <v>21254</v>
      </c>
      <c r="BA1168" s="475">
        <v>200</v>
      </c>
      <c r="BB1168" s="475">
        <v>1800</v>
      </c>
      <c r="BC1168" s="475">
        <v>0</v>
      </c>
      <c r="BD1168" s="475">
        <v>0</v>
      </c>
      <c r="BE1168" s="475">
        <v>0</v>
      </c>
      <c r="BF1168" s="475">
        <v>0</v>
      </c>
      <c r="BG1168" s="475">
        <v>23254</v>
      </c>
      <c r="BH1168" s="476">
        <v>212036</v>
      </c>
      <c r="BI1168" s="467"/>
      <c r="BJ1168" s="468"/>
    </row>
    <row r="1169" spans="1:62">
      <c r="A1169" s="469">
        <v>46082</v>
      </c>
      <c r="B1169" s="469" t="s">
        <v>747</v>
      </c>
      <c r="C1169" s="508"/>
      <c r="D1169" s="470" t="s">
        <v>749</v>
      </c>
      <c r="E1169" s="471">
        <v>2264</v>
      </c>
      <c r="F1169" s="470" t="s">
        <v>1503</v>
      </c>
      <c r="G1169" s="470" t="s">
        <v>751</v>
      </c>
      <c r="H1169" s="470"/>
      <c r="I1169" s="470" t="s">
        <v>1477</v>
      </c>
      <c r="J1169" s="472" t="s">
        <v>1504</v>
      </c>
      <c r="K1169" s="470" t="s">
        <v>1505</v>
      </c>
      <c r="L1169" s="470" t="s">
        <v>1123</v>
      </c>
      <c r="M1169" s="470" t="s">
        <v>1124</v>
      </c>
      <c r="N1169" s="470" t="s">
        <v>1108</v>
      </c>
      <c r="O1169" s="472" t="s">
        <v>757</v>
      </c>
      <c r="P1169" s="472" t="s">
        <v>738</v>
      </c>
      <c r="Q1169" s="472" t="s">
        <v>758</v>
      </c>
      <c r="R1169" s="472" t="s">
        <v>12</v>
      </c>
      <c r="S1169" s="472" t="s">
        <v>12</v>
      </c>
      <c r="T1169" s="472" t="s">
        <v>1506</v>
      </c>
      <c r="U1169" s="470" t="s">
        <v>1507</v>
      </c>
      <c r="V1169" s="470" t="s">
        <v>761</v>
      </c>
      <c r="W1169" s="470" t="s">
        <v>1361</v>
      </c>
      <c r="X1169" s="470">
        <v>31</v>
      </c>
      <c r="Y1169" s="470">
        <v>0</v>
      </c>
      <c r="Z1169" s="470">
        <v>1</v>
      </c>
      <c r="AA1169" s="470">
        <v>30</v>
      </c>
      <c r="AB1169" s="470">
        <v>30</v>
      </c>
      <c r="AC1169" s="473">
        <v>54867</v>
      </c>
      <c r="AD1169" s="473">
        <v>54867</v>
      </c>
      <c r="AE1169" s="473">
        <v>23894</v>
      </c>
      <c r="AF1169" s="473">
        <v>9558</v>
      </c>
      <c r="AG1169" s="473">
        <v>1548</v>
      </c>
      <c r="AH1169" s="473">
        <v>194</v>
      </c>
      <c r="AI1169" s="473">
        <v>1210</v>
      </c>
      <c r="AJ1169" s="473">
        <v>1990</v>
      </c>
      <c r="AK1169" s="473">
        <v>4779</v>
      </c>
      <c r="AL1169" s="473">
        <v>3584</v>
      </c>
      <c r="AM1169" s="473">
        <v>239</v>
      </c>
      <c r="AN1169" s="473">
        <v>836</v>
      </c>
      <c r="AO1169" s="473">
        <v>478</v>
      </c>
      <c r="AP1169" s="473">
        <v>119</v>
      </c>
      <c r="AQ1169" s="473">
        <v>1800</v>
      </c>
      <c r="AR1169" s="473">
        <v>2868</v>
      </c>
      <c r="AS1169" s="473">
        <v>0</v>
      </c>
      <c r="AT1169" s="473">
        <v>0</v>
      </c>
      <c r="AU1169" s="473"/>
      <c r="AV1169" s="473">
        <v>53097</v>
      </c>
      <c r="AW1169" s="474">
        <v>53097</v>
      </c>
      <c r="AX1169" s="473">
        <v>0</v>
      </c>
      <c r="AY1169" s="473">
        <v>0</v>
      </c>
      <c r="AZ1169" s="475">
        <v>0</v>
      </c>
      <c r="BA1169" s="475">
        <v>200</v>
      </c>
      <c r="BB1169" s="475">
        <v>1800</v>
      </c>
      <c r="BC1169" s="475">
        <v>0</v>
      </c>
      <c r="BD1169" s="475">
        <v>0</v>
      </c>
      <c r="BE1169" s="475">
        <v>0</v>
      </c>
      <c r="BF1169" s="475">
        <v>0</v>
      </c>
      <c r="BG1169" s="475">
        <v>2000</v>
      </c>
      <c r="BH1169" s="476">
        <v>51097</v>
      </c>
      <c r="BI1169" s="467"/>
      <c r="BJ1169" s="468"/>
    </row>
    <row r="1170" spans="1:62">
      <c r="A1170" s="469">
        <v>46082</v>
      </c>
      <c r="B1170" s="469" t="s">
        <v>747</v>
      </c>
      <c r="C1170" s="508"/>
      <c r="D1170" s="470" t="s">
        <v>749</v>
      </c>
      <c r="E1170" s="471">
        <v>1496</v>
      </c>
      <c r="F1170" s="470" t="s">
        <v>1260</v>
      </c>
      <c r="G1170" s="470" t="s">
        <v>751</v>
      </c>
      <c r="H1170" s="470"/>
      <c r="I1170" s="470" t="s">
        <v>1261</v>
      </c>
      <c r="J1170" s="472" t="s">
        <v>1262</v>
      </c>
      <c r="K1170" s="470" t="s">
        <v>1263</v>
      </c>
      <c r="L1170" s="470" t="s">
        <v>856</v>
      </c>
      <c r="M1170" s="470" t="s">
        <v>856</v>
      </c>
      <c r="N1170" s="470" t="s">
        <v>756</v>
      </c>
      <c r="O1170" s="472" t="s">
        <v>757</v>
      </c>
      <c r="P1170" s="472" t="s">
        <v>738</v>
      </c>
      <c r="Q1170" s="472" t="s">
        <v>758</v>
      </c>
      <c r="R1170" s="472" t="s">
        <v>12</v>
      </c>
      <c r="S1170" s="472" t="s">
        <v>12</v>
      </c>
      <c r="T1170" s="472" t="s">
        <v>1264</v>
      </c>
      <c r="U1170" s="470" t="s">
        <v>1265</v>
      </c>
      <c r="V1170" s="470" t="s">
        <v>761</v>
      </c>
      <c r="W1170" s="470" t="s">
        <v>876</v>
      </c>
      <c r="X1170" s="470">
        <v>31</v>
      </c>
      <c r="Y1170" s="470">
        <v>0</v>
      </c>
      <c r="Z1170" s="470">
        <v>2</v>
      </c>
      <c r="AA1170" s="470">
        <v>29</v>
      </c>
      <c r="AB1170" s="470">
        <v>29</v>
      </c>
      <c r="AC1170" s="473">
        <v>55383</v>
      </c>
      <c r="AD1170" s="473">
        <v>55383</v>
      </c>
      <c r="AE1170" s="473">
        <v>23315</v>
      </c>
      <c r="AF1170" s="473">
        <v>9326</v>
      </c>
      <c r="AG1170" s="473">
        <v>1497</v>
      </c>
      <c r="AH1170" s="473">
        <v>187</v>
      </c>
      <c r="AI1170" s="473">
        <v>1169</v>
      </c>
      <c r="AJ1170" s="473">
        <v>1942</v>
      </c>
      <c r="AK1170" s="473">
        <v>4663</v>
      </c>
      <c r="AL1170" s="473">
        <v>3497</v>
      </c>
      <c r="AM1170" s="473">
        <v>233</v>
      </c>
      <c r="AN1170" s="473">
        <v>816</v>
      </c>
      <c r="AO1170" s="473">
        <v>466</v>
      </c>
      <c r="AP1170" s="473">
        <v>117</v>
      </c>
      <c r="AQ1170" s="473">
        <v>1800</v>
      </c>
      <c r="AR1170" s="473">
        <v>2782</v>
      </c>
      <c r="AS1170" s="473">
        <v>0</v>
      </c>
      <c r="AT1170" s="473">
        <v>0</v>
      </c>
      <c r="AU1170" s="473"/>
      <c r="AV1170" s="473">
        <v>51810</v>
      </c>
      <c r="AW1170" s="474">
        <v>51810</v>
      </c>
      <c r="AX1170" s="473">
        <v>0</v>
      </c>
      <c r="AY1170" s="473">
        <v>0</v>
      </c>
      <c r="AZ1170" s="475">
        <v>0</v>
      </c>
      <c r="BA1170" s="475">
        <v>200</v>
      </c>
      <c r="BB1170" s="475">
        <v>1800</v>
      </c>
      <c r="BC1170" s="475">
        <v>0</v>
      </c>
      <c r="BD1170" s="475">
        <v>0</v>
      </c>
      <c r="BE1170" s="475">
        <v>0</v>
      </c>
      <c r="BF1170" s="475">
        <v>0</v>
      </c>
      <c r="BG1170" s="475">
        <v>2000</v>
      </c>
      <c r="BH1170" s="476">
        <v>49810</v>
      </c>
      <c r="BI1170" s="467"/>
      <c r="BJ1170" s="468"/>
    </row>
    <row r="1171" spans="1:62">
      <c r="A1171" s="469">
        <v>46082</v>
      </c>
      <c r="B1171" s="469" t="s">
        <v>747</v>
      </c>
      <c r="C1171" s="508"/>
      <c r="D1171" s="470" t="s">
        <v>749</v>
      </c>
      <c r="E1171" s="471">
        <v>734</v>
      </c>
      <c r="F1171" s="470" t="s">
        <v>1537</v>
      </c>
      <c r="G1171" s="470" t="s">
        <v>812</v>
      </c>
      <c r="H1171" s="470"/>
      <c r="I1171" s="470" t="s">
        <v>931</v>
      </c>
      <c r="J1171" s="472" t="s">
        <v>1538</v>
      </c>
      <c r="K1171" s="470" t="s">
        <v>1539</v>
      </c>
      <c r="L1171" s="470" t="s">
        <v>1540</v>
      </c>
      <c r="M1171" s="470" t="s">
        <v>1541</v>
      </c>
      <c r="N1171" s="470" t="s">
        <v>904</v>
      </c>
      <c r="O1171" s="472" t="s">
        <v>757</v>
      </c>
      <c r="P1171" s="472" t="s">
        <v>738</v>
      </c>
      <c r="Q1171" s="472" t="s">
        <v>758</v>
      </c>
      <c r="R1171" s="472" t="s">
        <v>12</v>
      </c>
      <c r="S1171" s="472" t="s">
        <v>12</v>
      </c>
      <c r="T1171" s="472" t="s">
        <v>1542</v>
      </c>
      <c r="U1171" s="470" t="s">
        <v>1543</v>
      </c>
      <c r="V1171" s="470" t="s">
        <v>761</v>
      </c>
      <c r="W1171" s="470" t="s">
        <v>762</v>
      </c>
      <c r="X1171" s="470">
        <v>31</v>
      </c>
      <c r="Y1171" s="470">
        <v>0</v>
      </c>
      <c r="Z1171" s="470">
        <v>0</v>
      </c>
      <c r="AA1171" s="470">
        <v>31</v>
      </c>
      <c r="AB1171" s="470">
        <v>31</v>
      </c>
      <c r="AC1171" s="473">
        <v>103609</v>
      </c>
      <c r="AD1171" s="473">
        <v>103609</v>
      </c>
      <c r="AE1171" s="473">
        <v>46624</v>
      </c>
      <c r="AF1171" s="473">
        <v>18650</v>
      </c>
      <c r="AG1171" s="473">
        <v>1600</v>
      </c>
      <c r="AH1171" s="473">
        <v>200</v>
      </c>
      <c r="AI1171" s="473">
        <v>1250</v>
      </c>
      <c r="AJ1171" s="473">
        <v>3884</v>
      </c>
      <c r="AK1171" s="473">
        <v>9325</v>
      </c>
      <c r="AL1171" s="473">
        <v>6994</v>
      </c>
      <c r="AM1171" s="473">
        <v>466</v>
      </c>
      <c r="AN1171" s="473">
        <v>1632</v>
      </c>
      <c r="AO1171" s="473">
        <v>932</v>
      </c>
      <c r="AP1171" s="473">
        <v>233</v>
      </c>
      <c r="AQ1171" s="473">
        <v>1800</v>
      </c>
      <c r="AR1171" s="473">
        <v>10019</v>
      </c>
      <c r="AS1171" s="473">
        <v>0</v>
      </c>
      <c r="AT1171" s="473">
        <v>0</v>
      </c>
      <c r="AU1171" s="473"/>
      <c r="AV1171" s="473">
        <v>103609</v>
      </c>
      <c r="AW1171" s="474">
        <v>103609</v>
      </c>
      <c r="AX1171" s="473">
        <v>0</v>
      </c>
      <c r="AY1171" s="473">
        <v>0</v>
      </c>
      <c r="AZ1171" s="475">
        <v>0</v>
      </c>
      <c r="BA1171" s="475">
        <v>200</v>
      </c>
      <c r="BB1171" s="475">
        <v>1800</v>
      </c>
      <c r="BC1171" s="475">
        <v>0</v>
      </c>
      <c r="BD1171" s="475">
        <v>0</v>
      </c>
      <c r="BE1171" s="475">
        <v>0</v>
      </c>
      <c r="BF1171" s="475">
        <v>0</v>
      </c>
      <c r="BG1171" s="475">
        <v>2000</v>
      </c>
      <c r="BH1171" s="476">
        <v>101609</v>
      </c>
      <c r="BI1171" s="467"/>
      <c r="BJ1171" s="468"/>
    </row>
  </sheetData>
  <autoFilter ref="A210:J273">
    <filterColumn colId="7">
      <filters>
        <filter val="Indirect cost (Common)"/>
      </filters>
    </filterColumn>
  </autoFilter>
  <customSheetViews>
    <customSheetView guid="{B8A679C5-B961-4392-BACF-6DDFA7297AAE}" scale="85" showGridLines="0" showAutoFilter="1">
      <pane xSplit="1" ySplit="4" topLeftCell="AI1111" activePane="bottomRight" state="frozen"/>
      <selection pane="bottomRight" activeCell="AP1156" sqref="AP1156"/>
      <pageMargins left="0.7" right="0.7" top="0.75" bottom="0.75" header="0.3" footer="0.3"/>
      <pageSetup orientation="portrait" r:id="rId2"/>
      <autoFilter ref="A209:J272"/>
    </customSheetView>
    <customSheetView guid="{DEA14913-9729-4C6C-B479-A92A59FB4580}" showGridLines="0" filter="1" showAutoFilter="1" topLeftCell="A37">
      <selection activeCell="A183" sqref="A183:XFD183"/>
      <pageMargins left="0.7" right="0.7" top="0.75" bottom="0.75" header="0.3" footer="0.3"/>
      <pageSetup orientation="portrait" r:id="rId3"/>
      <autoFilter ref="A215:J279">
        <filterColumn colId="1">
          <filters>
            <filter val="4,09,00,201.00"/>
            <filter val="4,55,20,021.00"/>
            <filter val="40100003"/>
            <filter val="40100004"/>
            <filter val="40100005"/>
            <filter val="40100007"/>
            <filter val="40100008"/>
            <filter val="40200002"/>
            <filter val="40200004"/>
            <filter val="40200005"/>
            <filter val="40200032"/>
            <filter val="40300003"/>
            <filter val="40300006"/>
            <filter val="40300008"/>
            <filter val="40300009"/>
            <filter val="40300010"/>
            <filter val="40400002"/>
            <filter val="40400003"/>
            <filter val="40400004"/>
            <filter val="40500001"/>
            <filter val="40700001"/>
            <filter val="40700002"/>
            <filter val="40800052"/>
            <filter val="45100001"/>
            <filter val="45100005"/>
            <filter val="45100021"/>
            <filter val="45100052"/>
            <filter val="45100053"/>
            <filter val="45100054"/>
            <filter val="45100055"/>
            <filter val="45100056"/>
            <filter val="45100057"/>
            <filter val="45100059"/>
            <filter val="45200001"/>
            <filter val="45200003"/>
            <filter val="45200004"/>
            <filter val="45200005"/>
            <filter val="45200006"/>
            <filter val="45200007"/>
            <filter val="45200023"/>
            <filter val="45200029"/>
            <filter val="45300001"/>
            <filter val="45300002"/>
            <filter val="45300003"/>
            <filter val="45300021"/>
            <filter val="45400001"/>
            <filter val="45400002"/>
            <filter val="45400011"/>
            <filter val="45400014"/>
            <filter val="45400016"/>
            <filter val="45400018"/>
            <filter val="45400020"/>
            <filter val="45510008"/>
            <filter val="45510051"/>
            <filter val="45510053"/>
            <filter val="45520001"/>
            <filter val="45520023"/>
            <filter val="45520026"/>
            <filter val="45600006"/>
          </filters>
        </filterColumn>
      </autoFilter>
    </customSheetView>
    <customSheetView guid="{8C4DF1F4-EAB1-489E-8362-1E2D3E732D13}" scale="90" showGridLines="0" filter="1" showAutoFilter="1">
      <pane xSplit="1" ySplit="2" topLeftCell="D3" activePane="bottomRight" state="frozen"/>
      <selection pane="bottomRight" activeCell="L6" sqref="L6"/>
      <pageMargins left="0.7" right="0.7" top="0.75" bottom="0.75" header="0.3" footer="0.3"/>
      <pageSetup orientation="portrait" r:id="rId4"/>
      <autoFilter ref="A82:J284">
        <filterColumn colId="1">
          <filters>
            <filter val="4,09,00,201.00"/>
            <filter val="4,55,20,021.00"/>
            <filter val="40100003"/>
            <filter val="40100004"/>
            <filter val="40100005"/>
            <filter val="40100007"/>
            <filter val="40100008"/>
            <filter val="40200002"/>
            <filter val="40200004"/>
            <filter val="40200005"/>
            <filter val="40200032"/>
            <filter val="40300003"/>
            <filter val="40300006"/>
            <filter val="40300008"/>
            <filter val="40300009"/>
            <filter val="40300010"/>
            <filter val="40400002"/>
            <filter val="40400003"/>
            <filter val="40400004"/>
            <filter val="40500001"/>
            <filter val="40700001"/>
            <filter val="40700002"/>
            <filter val="40800052"/>
            <filter val="45100001"/>
            <filter val="45100005"/>
            <filter val="45100021"/>
            <filter val="45100052"/>
            <filter val="45100053"/>
            <filter val="45100054"/>
            <filter val="45100055"/>
            <filter val="45100056"/>
            <filter val="45100057"/>
            <filter val="45100059"/>
            <filter val="45200001"/>
            <filter val="45200003"/>
            <filter val="45200004"/>
            <filter val="45200005"/>
            <filter val="45200006"/>
            <filter val="45200007"/>
            <filter val="45200023"/>
            <filter val="45200029"/>
            <filter val="45300001"/>
            <filter val="45300002"/>
            <filter val="45300003"/>
            <filter val="45300021"/>
            <filter val="45400001"/>
            <filter val="45400002"/>
            <filter val="45400011"/>
            <filter val="45400014"/>
            <filter val="45400016"/>
            <filter val="45400018"/>
            <filter val="45400020"/>
            <filter val="45510008"/>
            <filter val="45510051"/>
            <filter val="45510053"/>
            <filter val="45520001"/>
            <filter val="45520023"/>
            <filter val="45520026"/>
            <filter val="45600006"/>
          </filters>
        </filterColumn>
      </autoFilter>
    </customSheetView>
  </customSheetViews>
  <pageMargins left="0.7" right="0.7" top="0.75" bottom="0.75" header="0.3" footer="0.3"/>
  <pageSetup scale="10" orientation="portrait"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98"/>
  <sheetViews>
    <sheetView showGridLines="0" tabSelected="1" topLeftCell="A19" zoomScale="80" zoomScaleNormal="80" zoomScaleSheetLayoutView="18" workbookViewId="0">
      <selection activeCell="F19" sqref="F19"/>
    </sheetView>
  </sheetViews>
  <sheetFormatPr defaultColWidth="9.28515625" defaultRowHeight="18" customHeight="1"/>
  <cols>
    <col min="1" max="1" width="82.7109375" style="297" bestFit="1" customWidth="1"/>
    <col min="2" max="2" width="24.28515625" style="297" hidden="1" customWidth="1"/>
    <col min="3" max="3" width="23.28515625" style="301" hidden="1" customWidth="1"/>
    <col min="4" max="4" width="24.5703125" style="449" hidden="1" customWidth="1"/>
    <col min="5" max="5" width="24.5703125" style="301" hidden="1" customWidth="1"/>
    <col min="6" max="6" width="24.5703125" style="301" customWidth="1"/>
    <col min="7" max="7" width="23.28515625" style="301" bestFit="1" customWidth="1"/>
    <col min="8" max="8" width="17.28515625" style="297" customWidth="1"/>
    <col min="9" max="9" width="15.42578125" style="94" bestFit="1" customWidth="1"/>
    <col min="10" max="10" width="16" style="94" bestFit="1" customWidth="1"/>
    <col min="11" max="11" width="18.140625" style="621" bestFit="1" customWidth="1"/>
    <col min="12" max="12" width="15.28515625" style="94" bestFit="1" customWidth="1"/>
    <col min="13" max="13" width="9.28515625" style="94"/>
    <col min="14" max="14" width="15.28515625" style="94" bestFit="1" customWidth="1"/>
    <col min="15" max="16384" width="9.28515625" style="94"/>
  </cols>
  <sheetData>
    <row r="1" spans="1:11" s="93" customFormat="1">
      <c r="A1" s="806" t="s">
        <v>5968</v>
      </c>
      <c r="B1" s="806"/>
      <c r="C1" s="806"/>
      <c r="D1" s="806"/>
      <c r="E1" s="806"/>
      <c r="F1" s="280"/>
      <c r="G1" s="295"/>
      <c r="H1" s="296"/>
      <c r="K1" s="681"/>
    </row>
    <row r="2" spans="1:11" ht="18" customHeight="1">
      <c r="A2" s="807" t="s">
        <v>92</v>
      </c>
      <c r="B2" s="807"/>
      <c r="C2" s="807"/>
      <c r="D2" s="807"/>
      <c r="E2" s="807" t="s">
        <v>12</v>
      </c>
      <c r="F2" s="807"/>
      <c r="G2" s="807"/>
    </row>
    <row r="3" spans="1:11" ht="16.899999999999999" customHeight="1">
      <c r="A3" s="817" t="s">
        <v>3</v>
      </c>
      <c r="B3" s="810" t="s">
        <v>5</v>
      </c>
      <c r="C3" s="810"/>
      <c r="D3" s="811" t="s">
        <v>6</v>
      </c>
      <c r="E3" s="812"/>
      <c r="F3" s="813" t="s">
        <v>7</v>
      </c>
      <c r="G3" s="814"/>
    </row>
    <row r="4" spans="1:11" ht="30" customHeight="1">
      <c r="A4" s="817"/>
      <c r="B4" s="281" t="str">
        <f>F4</f>
        <v>Figures as at the end of 31.03.2026</v>
      </c>
      <c r="C4" s="95" t="s">
        <v>8</v>
      </c>
      <c r="D4" s="435" t="str">
        <f>F4</f>
        <v>Figures as at the end of 31.03.2026</v>
      </c>
      <c r="E4" s="95" t="s">
        <v>8</v>
      </c>
      <c r="F4" s="95" t="s">
        <v>383</v>
      </c>
      <c r="G4" s="95" t="s">
        <v>8</v>
      </c>
    </row>
    <row r="5" spans="1:11">
      <c r="A5" s="96"/>
      <c r="B5" s="96"/>
      <c r="C5" s="97"/>
      <c r="D5" s="436"/>
      <c r="E5" s="97"/>
      <c r="F5" s="97"/>
      <c r="G5" s="298"/>
    </row>
    <row r="6" spans="1:11">
      <c r="A6" s="98" t="s">
        <v>93</v>
      </c>
      <c r="B6" s="98"/>
      <c r="C6" s="99"/>
      <c r="D6" s="437"/>
      <c r="E6" s="100" t="s">
        <v>12</v>
      </c>
      <c r="F6" s="299"/>
      <c r="G6" s="299"/>
    </row>
    <row r="7" spans="1:11">
      <c r="A7" s="101" t="s">
        <v>94</v>
      </c>
      <c r="B7" s="102">
        <f>+C10</f>
        <v>-30616.78</v>
      </c>
      <c r="C7" s="102">
        <v>0</v>
      </c>
      <c r="D7" s="102">
        <f>-'TB_31.03.2026 (Links)'!E67-'TB_31.03.2026 (Links)'!E66+30617</f>
        <v>-83426.27</v>
      </c>
      <c r="E7" s="102">
        <f>-'TB_31.03.2026 (Links)'!H67</f>
        <v>-2890.55</v>
      </c>
      <c r="F7" s="102">
        <f>B7+D7</f>
        <v>-114043.05</v>
      </c>
      <c r="G7" s="102">
        <f>C7+E7</f>
        <v>-2890.55</v>
      </c>
    </row>
    <row r="8" spans="1:11">
      <c r="A8" s="101" t="s">
        <v>95</v>
      </c>
      <c r="B8" s="102">
        <v>0</v>
      </c>
      <c r="C8" s="102">
        <f>PL!F47</f>
        <v>-30616.78</v>
      </c>
      <c r="D8" s="439">
        <f>PL!I40</f>
        <v>87914643.639014006</v>
      </c>
      <c r="E8" s="103">
        <f>PL!H47</f>
        <v>-80535.659000209998</v>
      </c>
      <c r="F8" s="102">
        <f>B8+D8</f>
        <v>87914643.639014006</v>
      </c>
      <c r="G8" s="102">
        <f>C8+E8</f>
        <v>-111152.43900021</v>
      </c>
    </row>
    <row r="9" spans="1:11">
      <c r="A9" s="101" t="s">
        <v>12</v>
      </c>
      <c r="B9" s="101"/>
      <c r="C9" s="100"/>
      <c r="D9" s="440"/>
      <c r="E9" s="104" t="s">
        <v>12</v>
      </c>
      <c r="F9" s="300"/>
      <c r="G9" s="300"/>
    </row>
    <row r="10" spans="1:11">
      <c r="A10" s="105" t="s">
        <v>96</v>
      </c>
      <c r="B10" s="106">
        <f t="shared" ref="B10:G10" si="0">SUM(B7:B8)</f>
        <v>-30616.78</v>
      </c>
      <c r="C10" s="106">
        <f t="shared" si="0"/>
        <v>-30616.78</v>
      </c>
      <c r="D10" s="441">
        <f t="shared" si="0"/>
        <v>87831217.36901401</v>
      </c>
      <c r="E10" s="106">
        <f t="shared" si="0"/>
        <v>-83426.209000210001</v>
      </c>
      <c r="F10" s="106">
        <f>SUM(F7:F8)</f>
        <v>87800600.589014009</v>
      </c>
      <c r="G10" s="106">
        <f t="shared" si="0"/>
        <v>-114042.98900021</v>
      </c>
    </row>
    <row r="12" spans="1:11" ht="18" customHeight="1">
      <c r="A12" s="806" t="s">
        <v>91</v>
      </c>
      <c r="B12" s="806"/>
      <c r="C12" s="806"/>
      <c r="D12" s="806"/>
      <c r="E12" s="806"/>
      <c r="F12" s="280"/>
    </row>
    <row r="13" spans="1:11" ht="18" customHeight="1">
      <c r="A13" s="807" t="s">
        <v>5970</v>
      </c>
      <c r="B13" s="807"/>
      <c r="C13" s="807"/>
      <c r="D13" s="807"/>
      <c r="E13" s="807" t="s">
        <v>12</v>
      </c>
      <c r="F13" s="807"/>
      <c r="G13" s="807"/>
    </row>
    <row r="14" spans="1:11" ht="18" customHeight="1">
      <c r="A14" s="808" t="s">
        <v>3</v>
      </c>
      <c r="B14" s="810" t="s">
        <v>5</v>
      </c>
      <c r="C14" s="810"/>
      <c r="D14" s="811" t="s">
        <v>6</v>
      </c>
      <c r="E14" s="812"/>
      <c r="F14" s="818" t="s">
        <v>7</v>
      </c>
      <c r="G14" s="818"/>
    </row>
    <row r="15" spans="1:11" ht="38.25" customHeight="1">
      <c r="A15" s="809"/>
      <c r="B15" s="282" t="str">
        <f>B25</f>
        <v>Figures as at the end of 31.03.2026</v>
      </c>
      <c r="C15" s="282" t="str">
        <f t="shared" ref="C15:E15" si="1">C25</f>
        <v>Figures as at the end of 31.03.2025</v>
      </c>
      <c r="D15" s="282" t="str">
        <f t="shared" si="1"/>
        <v>Figures as at the end of 31.03.2026</v>
      </c>
      <c r="E15" s="282" t="str">
        <f t="shared" si="1"/>
        <v>Figures as at the end of 31.03.2025</v>
      </c>
      <c r="F15" s="95" t="str">
        <f>F25</f>
        <v>Figures as at the end of 31.03.2026</v>
      </c>
      <c r="G15" s="95" t="str">
        <f>G25</f>
        <v>Figures as at the end of 31.03.2025</v>
      </c>
    </row>
    <row r="16" spans="1:11" ht="18" customHeight="1">
      <c r="A16" s="478"/>
      <c r="B16" s="662"/>
      <c r="C16" s="728"/>
      <c r="D16" s="663"/>
      <c r="E16" s="728"/>
      <c r="F16" s="108"/>
      <c r="G16" s="298"/>
    </row>
    <row r="17" spans="1:7" ht="18" customHeight="1">
      <c r="A17" s="134" t="str">
        <f>'TB_31.03.2026 (Links)'!D72</f>
        <v>Aditya Birla Capital Loan- 935318</v>
      </c>
      <c r="B17" s="667">
        <v>0</v>
      </c>
      <c r="C17" s="668">
        <v>0</v>
      </c>
      <c r="D17" s="442">
        <f>-'TB_31.03.2026 (Links)'!H72-'TB_31.03.2026 (Links)'!M193</f>
        <v>385332498.52999997</v>
      </c>
      <c r="E17" s="729">
        <v>0</v>
      </c>
      <c r="F17" s="284">
        <f>B17+D17</f>
        <v>385332498.52999997</v>
      </c>
      <c r="G17" s="97">
        <f>C17+E17</f>
        <v>0</v>
      </c>
    </row>
    <row r="18" spans="1:7" ht="32.25" customHeight="1">
      <c r="A18" s="134" t="s">
        <v>5949</v>
      </c>
      <c r="B18" s="664"/>
      <c r="C18" s="728"/>
      <c r="D18" s="665"/>
      <c r="E18" s="728"/>
      <c r="F18" s="666"/>
      <c r="G18" s="300"/>
    </row>
    <row r="19" spans="1:7" ht="18" customHeight="1">
      <c r="A19" s="105" t="s">
        <v>96</v>
      </c>
      <c r="B19" s="106">
        <f>SUM(B16:B18)</f>
        <v>0</v>
      </c>
      <c r="C19" s="106">
        <f t="shared" ref="C19:G19" si="2">SUM(C16:C18)</f>
        <v>0</v>
      </c>
      <c r="D19" s="106">
        <f t="shared" si="2"/>
        <v>385332498.52999997</v>
      </c>
      <c r="E19" s="106">
        <f t="shared" si="2"/>
        <v>0</v>
      </c>
      <c r="F19" s="106">
        <f t="shared" si="2"/>
        <v>385332498.52999997</v>
      </c>
      <c r="G19" s="106">
        <f t="shared" si="2"/>
        <v>0</v>
      </c>
    </row>
    <row r="22" spans="1:7" ht="18" customHeight="1">
      <c r="A22" s="806" t="s">
        <v>97</v>
      </c>
      <c r="B22" s="806"/>
      <c r="C22" s="806"/>
      <c r="D22" s="806"/>
      <c r="E22" s="806"/>
      <c r="F22" s="280"/>
    </row>
    <row r="23" spans="1:7">
      <c r="A23" s="807" t="s">
        <v>98</v>
      </c>
      <c r="B23" s="807"/>
      <c r="C23" s="807"/>
      <c r="D23" s="807"/>
      <c r="E23" s="807" t="s">
        <v>12</v>
      </c>
      <c r="F23" s="807"/>
      <c r="G23" s="807"/>
    </row>
    <row r="24" spans="1:7" ht="17.649999999999999" customHeight="1">
      <c r="A24" s="808" t="s">
        <v>3</v>
      </c>
      <c r="B24" s="810" t="s">
        <v>5</v>
      </c>
      <c r="C24" s="810"/>
      <c r="D24" s="811" t="s">
        <v>6</v>
      </c>
      <c r="E24" s="812"/>
      <c r="F24" s="813" t="s">
        <v>7</v>
      </c>
      <c r="G24" s="814"/>
    </row>
    <row r="25" spans="1:7" ht="30.6" customHeight="1">
      <c r="A25" s="809"/>
      <c r="B25" s="282" t="str">
        <f t="shared" ref="B25:G25" si="3">B4</f>
        <v>Figures as at the end of 31.03.2026</v>
      </c>
      <c r="C25" s="283" t="str">
        <f t="shared" si="3"/>
        <v>Figures as at the end of 31.03.2025</v>
      </c>
      <c r="D25" s="435" t="str">
        <f t="shared" si="3"/>
        <v>Figures as at the end of 31.03.2026</v>
      </c>
      <c r="E25" s="95" t="str">
        <f t="shared" si="3"/>
        <v>Figures as at the end of 31.03.2025</v>
      </c>
      <c r="F25" s="95" t="str">
        <f t="shared" si="3"/>
        <v>Figures as at the end of 31.03.2026</v>
      </c>
      <c r="G25" s="95" t="str">
        <f t="shared" si="3"/>
        <v>Figures as at the end of 31.03.2025</v>
      </c>
    </row>
    <row r="26" spans="1:7">
      <c r="A26" s="111"/>
      <c r="B26" s="96"/>
      <c r="C26" s="97"/>
      <c r="D26" s="442"/>
      <c r="E26" s="97"/>
      <c r="F26" s="284"/>
      <c r="G26" s="284"/>
    </row>
    <row r="27" spans="1:7">
      <c r="A27" s="481" t="s">
        <v>1548</v>
      </c>
      <c r="B27" s="478"/>
      <c r="C27" s="97"/>
      <c r="D27" s="479"/>
      <c r="E27" s="97"/>
      <c r="F27" s="480"/>
      <c r="G27" s="284"/>
    </row>
    <row r="28" spans="1:7">
      <c r="A28" s="134" t="s">
        <v>436</v>
      </c>
      <c r="B28" s="490">
        <v>0</v>
      </c>
      <c r="C28" s="490">
        <v>0</v>
      </c>
      <c r="D28" s="477">
        <f>-SUM('TB_31.03.2026 (Links)'!H33:H35)</f>
        <v>27962349.280000001</v>
      </c>
      <c r="E28" s="490">
        <v>0</v>
      </c>
      <c r="F28" s="130">
        <f>B28+D28</f>
        <v>27962349.280000001</v>
      </c>
      <c r="G28" s="102">
        <f>C28+E28</f>
        <v>0</v>
      </c>
    </row>
    <row r="29" spans="1:7">
      <c r="A29" s="134" t="s">
        <v>5984</v>
      </c>
      <c r="B29" s="620"/>
      <c r="C29" s="490"/>
      <c r="D29" s="477"/>
      <c r="E29" s="490"/>
      <c r="F29" s="130"/>
      <c r="G29" s="102"/>
    </row>
    <row r="30" spans="1:7">
      <c r="A30" s="134"/>
      <c r="B30" s="134"/>
      <c r="C30" s="104"/>
      <c r="D30" s="477"/>
      <c r="E30" s="102"/>
      <c r="F30" s="130"/>
      <c r="G30" s="102"/>
    </row>
    <row r="31" spans="1:7">
      <c r="A31" s="109" t="s">
        <v>102</v>
      </c>
      <c r="B31" s="109"/>
      <c r="C31" s="110"/>
      <c r="D31" s="443"/>
      <c r="E31" s="97"/>
      <c r="F31" s="284"/>
      <c r="G31" s="284"/>
    </row>
    <row r="32" spans="1:7">
      <c r="A32" s="111"/>
      <c r="B32" s="111"/>
      <c r="C32" s="112"/>
      <c r="D32" s="444"/>
      <c r="E32" s="102"/>
      <c r="F32" s="284"/>
      <c r="G32" s="284"/>
    </row>
    <row r="33" spans="1:9" ht="21" customHeight="1">
      <c r="A33" s="98" t="s">
        <v>108</v>
      </c>
      <c r="B33" s="113"/>
      <c r="C33" s="114"/>
      <c r="D33" s="445"/>
      <c r="E33" s="104" t="s">
        <v>12</v>
      </c>
      <c r="F33" s="284"/>
      <c r="G33" s="284"/>
    </row>
    <row r="34" spans="1:9">
      <c r="A34" s="111" t="s">
        <v>110</v>
      </c>
      <c r="B34" s="102">
        <v>-15550000</v>
      </c>
      <c r="C34" s="102">
        <v>84450000</v>
      </c>
      <c r="D34" s="438">
        <f>-'TB_31.03.2026 (Links)'!H70+0.16</f>
        <v>205634520.16</v>
      </c>
      <c r="E34" s="102">
        <f>-'TB_31.03.2026 (Links)'!E70</f>
        <v>172634520</v>
      </c>
      <c r="F34" s="284">
        <f t="shared" ref="F34:G39" si="4">B34+D34</f>
        <v>190084520.16</v>
      </c>
      <c r="G34" s="284">
        <f t="shared" si="4"/>
        <v>257084520</v>
      </c>
      <c r="I34" s="678"/>
    </row>
    <row r="35" spans="1:9">
      <c r="A35" s="111" t="s">
        <v>112</v>
      </c>
      <c r="B35" s="139">
        <v>152050000</v>
      </c>
      <c r="C35" s="102">
        <v>327900000</v>
      </c>
      <c r="D35" s="438">
        <f>-'TB_31.03.2026 (Links)'!H71</f>
        <v>49381956</v>
      </c>
      <c r="E35" s="102">
        <f>-'TB_31.03.2026 (Links)'!E71</f>
        <v>-218300000</v>
      </c>
      <c r="F35" s="284">
        <f t="shared" si="4"/>
        <v>201431956</v>
      </c>
      <c r="G35" s="284">
        <f t="shared" si="4"/>
        <v>109600000</v>
      </c>
    </row>
    <row r="36" spans="1:9">
      <c r="A36" s="111" t="s">
        <v>114</v>
      </c>
      <c r="B36" s="139">
        <v>0</v>
      </c>
      <c r="C36" s="102">
        <v>55150000</v>
      </c>
      <c r="D36" s="438">
        <f>-'TB_31.03.2026 (Links)'!H69</f>
        <v>121358000</v>
      </c>
      <c r="E36" s="102">
        <f>-'TB_31.03.2026 (Links)'!E69</f>
        <v>29758000</v>
      </c>
      <c r="F36" s="284">
        <f t="shared" si="4"/>
        <v>121358000</v>
      </c>
      <c r="G36" s="284">
        <f t="shared" si="4"/>
        <v>84908000</v>
      </c>
    </row>
    <row r="37" spans="1:9">
      <c r="A37" s="111" t="s">
        <v>116</v>
      </c>
      <c r="B37" s="139">
        <v>15400000</v>
      </c>
      <c r="C37" s="102">
        <v>15400000</v>
      </c>
      <c r="D37" s="438">
        <v>0</v>
      </c>
      <c r="E37" s="102">
        <v>0</v>
      </c>
      <c r="F37" s="284">
        <f t="shared" si="4"/>
        <v>15400000</v>
      </c>
      <c r="G37" s="284">
        <f>C37+E37</f>
        <v>15400000</v>
      </c>
    </row>
    <row r="38" spans="1:9">
      <c r="A38" s="111" t="s">
        <v>488</v>
      </c>
      <c r="B38" s="139">
        <v>17000000</v>
      </c>
      <c r="C38" s="102">
        <v>0</v>
      </c>
      <c r="D38" s="438">
        <v>0</v>
      </c>
      <c r="E38" s="102">
        <v>0</v>
      </c>
      <c r="F38" s="284">
        <f t="shared" si="4"/>
        <v>17000000</v>
      </c>
      <c r="G38" s="284">
        <f>C38+E38</f>
        <v>0</v>
      </c>
    </row>
    <row r="39" spans="1:9">
      <c r="A39" s="111" t="s">
        <v>117</v>
      </c>
      <c r="B39" s="139">
        <v>44350000</v>
      </c>
      <c r="C39" s="102">
        <v>38900000</v>
      </c>
      <c r="D39" s="438">
        <v>0</v>
      </c>
      <c r="E39" s="102">
        <v>0</v>
      </c>
      <c r="F39" s="284">
        <f t="shared" si="4"/>
        <v>44350000</v>
      </c>
      <c r="G39" s="284">
        <f>C39+E39</f>
        <v>38900000</v>
      </c>
    </row>
    <row r="40" spans="1:9">
      <c r="A40" s="111" t="s">
        <v>118</v>
      </c>
      <c r="B40" s="139">
        <v>45010000</v>
      </c>
      <c r="C40" s="102">
        <v>30310000.000000004</v>
      </c>
      <c r="D40" s="438">
        <v>0</v>
      </c>
      <c r="E40" s="102">
        <v>0</v>
      </c>
      <c r="F40" s="284">
        <f>B40+D40</f>
        <v>45010000</v>
      </c>
      <c r="G40" s="284">
        <f>C40+E40</f>
        <v>30310000.000000004</v>
      </c>
    </row>
    <row r="41" spans="1:9">
      <c r="A41" s="111"/>
      <c r="B41" s="111"/>
      <c r="C41" s="112"/>
      <c r="D41" s="444"/>
      <c r="E41" s="102"/>
      <c r="F41" s="299"/>
      <c r="G41" s="299"/>
    </row>
    <row r="42" spans="1:9">
      <c r="A42" s="105" t="s">
        <v>96</v>
      </c>
      <c r="B42" s="106">
        <f t="shared" ref="B42:G42" si="5">SUM(B26:B41)</f>
        <v>258260000</v>
      </c>
      <c r="C42" s="106">
        <f t="shared" si="5"/>
        <v>552110000</v>
      </c>
      <c r="D42" s="441">
        <f t="shared" si="5"/>
        <v>404336825.44</v>
      </c>
      <c r="E42" s="106">
        <f t="shared" si="5"/>
        <v>-15907480</v>
      </c>
      <c r="F42" s="106">
        <f t="shared" si="5"/>
        <v>662596825.44000006</v>
      </c>
      <c r="G42" s="106">
        <f t="shared" si="5"/>
        <v>536202520</v>
      </c>
    </row>
    <row r="45" spans="1:9" ht="18" customHeight="1">
      <c r="A45" s="806" t="s">
        <v>120</v>
      </c>
      <c r="B45" s="806"/>
      <c r="C45" s="806"/>
      <c r="D45" s="806"/>
      <c r="E45" s="806"/>
      <c r="F45" s="280"/>
    </row>
    <row r="46" spans="1:9" ht="18" customHeight="1">
      <c r="A46" s="807" t="s">
        <v>121</v>
      </c>
      <c r="B46" s="807"/>
      <c r="C46" s="807"/>
      <c r="D46" s="807"/>
      <c r="E46" s="807" t="s">
        <v>12</v>
      </c>
      <c r="F46" s="807"/>
      <c r="G46" s="807"/>
    </row>
    <row r="47" spans="1:9" ht="18" customHeight="1">
      <c r="A47" s="808" t="s">
        <v>3</v>
      </c>
      <c r="B47" s="810" t="s">
        <v>5</v>
      </c>
      <c r="C47" s="810"/>
      <c r="D47" s="813" t="s">
        <v>6</v>
      </c>
      <c r="E47" s="816"/>
      <c r="F47" s="813" t="s">
        <v>7</v>
      </c>
      <c r="G47" s="814"/>
    </row>
    <row r="48" spans="1:9" ht="28.5">
      <c r="A48" s="809"/>
      <c r="B48" s="282" t="str">
        <f t="shared" ref="B48:G48" si="6">B4</f>
        <v>Figures as at the end of 31.03.2026</v>
      </c>
      <c r="C48" s="283" t="str">
        <f t="shared" si="6"/>
        <v>Figures as at the end of 31.03.2025</v>
      </c>
      <c r="D48" s="435" t="str">
        <f t="shared" si="6"/>
        <v>Figures as at the end of 31.03.2026</v>
      </c>
      <c r="E48" s="95" t="str">
        <f t="shared" si="6"/>
        <v>Figures as at the end of 31.03.2025</v>
      </c>
      <c r="F48" s="95" t="str">
        <f t="shared" si="6"/>
        <v>Figures as at the end of 31.03.2026</v>
      </c>
      <c r="G48" s="95" t="str">
        <f t="shared" si="6"/>
        <v>Figures as at the end of 31.03.2025</v>
      </c>
    </row>
    <row r="49" spans="1:14">
      <c r="A49" s="109"/>
      <c r="B49" s="109"/>
      <c r="C49" s="110"/>
      <c r="D49" s="443"/>
      <c r="E49" s="100"/>
      <c r="F49" s="298"/>
      <c r="G49" s="298"/>
      <c r="L49" s="94">
        <f>30532486+1876474-293010</f>
        <v>32115950</v>
      </c>
      <c r="N49" s="94">
        <f>30532486+1876474</f>
        <v>32408960</v>
      </c>
    </row>
    <row r="50" spans="1:14">
      <c r="A50" s="116" t="s">
        <v>122</v>
      </c>
      <c r="B50" s="117">
        <v>0</v>
      </c>
      <c r="C50" s="117">
        <v>0</v>
      </c>
      <c r="D50" s="444">
        <f>-Customer!I17+-'TB_31.03.2026 (Links)'!H111</f>
        <v>1363426658.1099999</v>
      </c>
      <c r="E50" s="115">
        <f>-Customer!F17+-Customer!F18</f>
        <v>1369241985.8700001</v>
      </c>
      <c r="F50" s="103">
        <f>B50+D50</f>
        <v>1363426658.1099999</v>
      </c>
      <c r="G50" s="103">
        <f>C50+E50</f>
        <v>1369241985.8700001</v>
      </c>
    </row>
    <row r="51" spans="1:14" hidden="1">
      <c r="A51" s="101"/>
      <c r="B51" s="101"/>
      <c r="C51" s="100"/>
      <c r="D51" s="446"/>
      <c r="E51" s="104"/>
      <c r="F51" s="103"/>
      <c r="G51" s="103"/>
    </row>
    <row r="52" spans="1:14" hidden="1">
      <c r="A52" s="98" t="s">
        <v>123</v>
      </c>
      <c r="B52" s="98"/>
      <c r="C52" s="99"/>
      <c r="D52" s="437"/>
      <c r="E52" s="104" t="s">
        <v>12</v>
      </c>
      <c r="F52" s="103"/>
      <c r="G52" s="103"/>
    </row>
    <row r="53" spans="1:14" hidden="1">
      <c r="A53" s="111" t="s">
        <v>124</v>
      </c>
      <c r="B53" s="103">
        <v>-373204438.79000002</v>
      </c>
      <c r="C53" s="103">
        <f>-911972112.13-6566277</f>
        <v>-918538389.13</v>
      </c>
      <c r="D53" s="439">
        <f>-'TB_31.03.2026 (Links)'!H59</f>
        <v>366638161.79000002</v>
      </c>
      <c r="E53" s="103">
        <f>-'TB_31.03.2026 (Links)'!E59</f>
        <v>911972112.13</v>
      </c>
      <c r="F53" s="103">
        <f>B53+D53</f>
        <v>-6566277</v>
      </c>
      <c r="G53" s="103">
        <f>C53+E53</f>
        <v>-6566277</v>
      </c>
    </row>
    <row r="54" spans="1:14" hidden="1">
      <c r="A54" s="111" t="str">
        <f>'TB_31.03.2026 (Links)'!D64</f>
        <v>Branch Ho-Liablities</v>
      </c>
      <c r="B54" s="111"/>
      <c r="C54" s="103"/>
      <c r="D54" s="487">
        <v>6566277</v>
      </c>
      <c r="E54" s="488">
        <v>6566277</v>
      </c>
      <c r="F54" s="103">
        <f>B54+D54</f>
        <v>6566277</v>
      </c>
      <c r="G54" s="103">
        <f>C54+E54</f>
        <v>6566277</v>
      </c>
    </row>
    <row r="55" spans="1:14" hidden="1">
      <c r="A55" s="111" t="str">
        <f>'TB_31.03.2026 (Links)'!D60</f>
        <v>Branch-Ho-Assets</v>
      </c>
      <c r="B55" s="111"/>
      <c r="C55" s="103"/>
      <c r="D55" s="103"/>
      <c r="E55" s="488"/>
      <c r="F55" s="103">
        <f>B55+D55</f>
        <v>0</v>
      </c>
      <c r="G55" s="103"/>
    </row>
    <row r="56" spans="1:14">
      <c r="A56" s="101" t="s">
        <v>12</v>
      </c>
      <c r="B56" s="101"/>
      <c r="C56" s="100"/>
      <c r="D56" s="440"/>
      <c r="E56" s="115" t="s">
        <v>12</v>
      </c>
      <c r="F56" s="103"/>
      <c r="G56" s="103"/>
    </row>
    <row r="57" spans="1:14">
      <c r="A57" s="116" t="s">
        <v>125</v>
      </c>
      <c r="B57" s="116"/>
      <c r="C57" s="117"/>
      <c r="D57" s="447"/>
      <c r="E57" s="102"/>
      <c r="F57" s="103"/>
      <c r="G57" s="103"/>
    </row>
    <row r="58" spans="1:14">
      <c r="A58" s="111" t="s">
        <v>126</v>
      </c>
      <c r="B58" s="102">
        <v>0</v>
      </c>
      <c r="C58" s="118">
        <v>356796000</v>
      </c>
      <c r="D58" s="139"/>
      <c r="E58" s="102">
        <v>0</v>
      </c>
      <c r="F58" s="103">
        <f t="shared" ref="F58:G58" si="7">B58+D58</f>
        <v>0</v>
      </c>
      <c r="G58" s="103">
        <f t="shared" si="7"/>
        <v>356796000</v>
      </c>
    </row>
    <row r="59" spans="1:14">
      <c r="A59" s="111" t="s">
        <v>5960</v>
      </c>
      <c r="B59" s="139">
        <v>100000000</v>
      </c>
      <c r="C59" s="102">
        <v>0</v>
      </c>
      <c r="D59" s="438">
        <v>0</v>
      </c>
      <c r="E59" s="102">
        <v>0</v>
      </c>
      <c r="F59" s="284">
        <f>B59+D59</f>
        <v>100000000</v>
      </c>
      <c r="G59" s="284">
        <f>C59+E59</f>
        <v>0</v>
      </c>
    </row>
    <row r="60" spans="1:14">
      <c r="A60" s="111"/>
      <c r="B60" s="111"/>
      <c r="C60" s="118"/>
      <c r="D60" s="139"/>
      <c r="E60" s="102"/>
      <c r="F60" s="103"/>
      <c r="G60" s="103"/>
    </row>
    <row r="61" spans="1:14">
      <c r="A61" s="105" t="s">
        <v>96</v>
      </c>
      <c r="B61" s="106">
        <f>SUM(B49:B60)</f>
        <v>-273204438.79000002</v>
      </c>
      <c r="C61" s="106">
        <f>SUM(C49:C60)</f>
        <v>-561742389.13</v>
      </c>
      <c r="D61" s="441">
        <f>SUM(D49:D60)</f>
        <v>1736631096.8999999</v>
      </c>
      <c r="E61" s="106">
        <f t="shared" ref="E61:G61" si="8">SUM(E49:E60)</f>
        <v>2287780375</v>
      </c>
      <c r="F61" s="106">
        <f>SUM(F49:F60)</f>
        <v>1463426658.1099999</v>
      </c>
      <c r="G61" s="106">
        <f t="shared" si="8"/>
        <v>1726037985.8700001</v>
      </c>
    </row>
    <row r="63" spans="1:14" ht="18" customHeight="1">
      <c r="A63" s="806" t="s">
        <v>127</v>
      </c>
      <c r="B63" s="806"/>
      <c r="C63" s="806"/>
      <c r="D63" s="806"/>
      <c r="E63" s="806"/>
      <c r="F63" s="280"/>
    </row>
    <row r="64" spans="1:14" ht="18" customHeight="1">
      <c r="A64" s="807" t="s">
        <v>128</v>
      </c>
      <c r="B64" s="807"/>
      <c r="C64" s="807"/>
      <c r="D64" s="807"/>
      <c r="E64" s="807" t="s">
        <v>12</v>
      </c>
      <c r="F64" s="807"/>
      <c r="G64" s="807"/>
    </row>
    <row r="65" spans="1:11">
      <c r="A65" s="808" t="s">
        <v>3</v>
      </c>
      <c r="B65" s="810" t="s">
        <v>5</v>
      </c>
      <c r="C65" s="810"/>
      <c r="D65" s="811" t="s">
        <v>6</v>
      </c>
      <c r="E65" s="812"/>
      <c r="F65" s="813" t="s">
        <v>7</v>
      </c>
      <c r="G65" s="816"/>
    </row>
    <row r="66" spans="1:11" ht="31.9" customHeight="1">
      <c r="A66" s="809"/>
      <c r="B66" s="282" t="str">
        <f t="shared" ref="B66:G66" si="9">B4</f>
        <v>Figures as at the end of 31.03.2026</v>
      </c>
      <c r="C66" s="283" t="str">
        <f t="shared" si="9"/>
        <v>Figures as at the end of 31.03.2025</v>
      </c>
      <c r="D66" s="435" t="str">
        <f t="shared" si="9"/>
        <v>Figures as at the end of 31.03.2026</v>
      </c>
      <c r="E66" s="95" t="str">
        <f t="shared" si="9"/>
        <v>Figures as at the end of 31.03.2025</v>
      </c>
      <c r="F66" s="95" t="str">
        <f t="shared" si="9"/>
        <v>Figures as at the end of 31.03.2026</v>
      </c>
      <c r="G66" s="95" t="str">
        <f t="shared" si="9"/>
        <v>Figures as at the end of 31.03.2025</v>
      </c>
    </row>
    <row r="67" spans="1:11" ht="18" customHeight="1">
      <c r="A67" s="119"/>
      <c r="B67" s="119"/>
      <c r="C67" s="120"/>
      <c r="D67" s="448"/>
      <c r="E67" s="120"/>
      <c r="F67" s="120"/>
      <c r="G67" s="298"/>
    </row>
    <row r="68" spans="1:11" ht="18" customHeight="1">
      <c r="A68" s="121" t="s">
        <v>129</v>
      </c>
      <c r="B68" s="121"/>
      <c r="C68" s="120"/>
      <c r="D68" s="448"/>
      <c r="E68" s="120"/>
      <c r="F68" s="299"/>
      <c r="G68" s="299"/>
    </row>
    <row r="69" spans="1:11" ht="18" customHeight="1">
      <c r="A69" s="111" t="s">
        <v>130</v>
      </c>
      <c r="B69" s="139">
        <v>20549943</v>
      </c>
      <c r="C69" s="112">
        <v>9406089</v>
      </c>
      <c r="D69" s="444">
        <f>'TB_31.03.2026 (Links)'!M193</f>
        <v>1551002</v>
      </c>
      <c r="E69" s="112">
        <v>0</v>
      </c>
      <c r="F69" s="112">
        <f t="shared" ref="F69:F93" si="10">B69+D69</f>
        <v>22100945</v>
      </c>
      <c r="G69" s="112">
        <f t="shared" ref="G69:G74" si="11">C69+E69</f>
        <v>9406089</v>
      </c>
      <c r="H69" s="297" t="s">
        <v>665</v>
      </c>
      <c r="J69" s="678">
        <f>F69+F71+F72+SUM(F79:F94)</f>
        <v>28390022.449999999</v>
      </c>
      <c r="K69" s="621" t="s">
        <v>658</v>
      </c>
    </row>
    <row r="70" spans="1:11">
      <c r="A70" s="111" t="str">
        <f>'TB_31.03.2026 (Links)'!D178</f>
        <v>PTEC Payable</v>
      </c>
      <c r="B70" s="117">
        <v>0</v>
      </c>
      <c r="C70" s="117">
        <v>0</v>
      </c>
      <c r="D70" s="444">
        <f>-'TB_31.03.2026 (Links)'!H178</f>
        <v>2500</v>
      </c>
      <c r="E70" s="112">
        <v>0</v>
      </c>
      <c r="F70" s="112">
        <f t="shared" si="10"/>
        <v>2500</v>
      </c>
      <c r="G70" s="112">
        <f t="shared" si="11"/>
        <v>0</v>
      </c>
      <c r="H70" s="297" t="s">
        <v>5977</v>
      </c>
      <c r="J70" s="678">
        <f>F70+F73+SUM(F95:F100)</f>
        <v>6006069</v>
      </c>
      <c r="K70" s="677" t="s">
        <v>5977</v>
      </c>
    </row>
    <row r="71" spans="1:11">
      <c r="A71" s="111" t="s">
        <v>132</v>
      </c>
      <c r="B71" s="117">
        <v>0</v>
      </c>
      <c r="C71" s="117">
        <v>0</v>
      </c>
      <c r="D71" s="444">
        <f>-'TB_31.03.2026 (Links)'!H98</f>
        <v>180000</v>
      </c>
      <c r="E71" s="112">
        <v>180000</v>
      </c>
      <c r="F71" s="112">
        <f t="shared" si="10"/>
        <v>180000</v>
      </c>
      <c r="G71" s="112">
        <f t="shared" si="11"/>
        <v>180000</v>
      </c>
      <c r="H71" s="297" t="s">
        <v>665</v>
      </c>
      <c r="J71" s="678">
        <f>F74</f>
        <v>32115950</v>
      </c>
      <c r="K71" s="677" t="s">
        <v>5978</v>
      </c>
    </row>
    <row r="72" spans="1:11">
      <c r="A72" s="111" t="s">
        <v>133</v>
      </c>
      <c r="B72" s="117">
        <v>0</v>
      </c>
      <c r="C72" s="118">
        <v>5909649</v>
      </c>
      <c r="D72" s="444"/>
      <c r="E72" s="112">
        <v>0</v>
      </c>
      <c r="F72" s="112">
        <f t="shared" si="10"/>
        <v>0</v>
      </c>
      <c r="G72" s="112">
        <f t="shared" si="11"/>
        <v>5909649</v>
      </c>
      <c r="H72" s="297" t="s">
        <v>665</v>
      </c>
      <c r="J72" s="680">
        <f>SUM(J69:J71)</f>
        <v>66512041.450000003</v>
      </c>
    </row>
    <row r="73" spans="1:11">
      <c r="A73" s="111" t="str">
        <f>'TB_31.03.2026 (Links)'!D93</f>
        <v>Salary Payable</v>
      </c>
      <c r="B73" s="111"/>
      <c r="C73" s="118"/>
      <c r="D73" s="444">
        <f>-'TB_31.03.2026 (Links)'!H93</f>
        <v>5674973</v>
      </c>
      <c r="E73" s="112">
        <v>0</v>
      </c>
      <c r="F73" s="112">
        <f>B73+D73</f>
        <v>5674973</v>
      </c>
      <c r="G73" s="112">
        <f t="shared" si="11"/>
        <v>0</v>
      </c>
      <c r="H73" s="297" t="s">
        <v>5977</v>
      </c>
    </row>
    <row r="74" spans="1:11">
      <c r="A74" s="111" t="s">
        <v>5950</v>
      </c>
      <c r="B74" s="111"/>
      <c r="C74" s="118"/>
      <c r="D74" s="444">
        <f>PL!I36-293010</f>
        <v>32115950</v>
      </c>
      <c r="E74" s="112">
        <v>0</v>
      </c>
      <c r="F74" s="112">
        <f>B74+D74</f>
        <v>32115950</v>
      </c>
      <c r="G74" s="112">
        <f t="shared" si="11"/>
        <v>0</v>
      </c>
      <c r="H74" s="297" t="s">
        <v>5978</v>
      </c>
    </row>
    <row r="75" spans="1:11">
      <c r="A75" s="111"/>
      <c r="B75" s="111"/>
      <c r="C75" s="118"/>
      <c r="D75" s="139"/>
      <c r="E75" s="118"/>
      <c r="F75" s="103"/>
      <c r="G75" s="103"/>
    </row>
    <row r="76" spans="1:11">
      <c r="A76" s="109" t="s">
        <v>134</v>
      </c>
      <c r="B76" s="109"/>
      <c r="C76" s="110"/>
      <c r="D76" s="443"/>
      <c r="E76" s="115" t="s">
        <v>12</v>
      </c>
      <c r="F76" s="103"/>
      <c r="G76" s="103"/>
    </row>
    <row r="77" spans="1:11">
      <c r="A77" s="109"/>
      <c r="B77" s="109"/>
      <c r="C77" s="110"/>
      <c r="D77" s="443"/>
      <c r="E77" s="115"/>
      <c r="F77" s="103"/>
      <c r="G77" s="103"/>
    </row>
    <row r="78" spans="1:11">
      <c r="A78" s="98" t="s">
        <v>135</v>
      </c>
      <c r="B78" s="98"/>
      <c r="C78" s="99"/>
      <c r="D78" s="437"/>
      <c r="E78" s="115" t="s">
        <v>12</v>
      </c>
      <c r="F78" s="103"/>
      <c r="G78" s="103"/>
    </row>
    <row r="79" spans="1:11">
      <c r="A79" s="111" t="s">
        <v>136</v>
      </c>
      <c r="B79" s="112">
        <v>0</v>
      </c>
      <c r="C79" s="112">
        <v>0</v>
      </c>
      <c r="D79" s="444">
        <f>-'TB_31.03.2026 (Links)'!H74</f>
        <v>0</v>
      </c>
      <c r="E79" s="112">
        <v>1214</v>
      </c>
      <c r="F79" s="103">
        <f>B79+D79</f>
        <v>0</v>
      </c>
      <c r="G79" s="103">
        <f>C79+E79</f>
        <v>1214</v>
      </c>
    </row>
    <row r="80" spans="1:11">
      <c r="A80" s="111" t="s">
        <v>137</v>
      </c>
      <c r="B80" s="112">
        <v>0</v>
      </c>
      <c r="C80" s="112">
        <v>0</v>
      </c>
      <c r="D80" s="444">
        <f>-'TB_31.03.2026 (Links)'!H75</f>
        <v>0</v>
      </c>
      <c r="E80" s="112">
        <v>1214</v>
      </c>
      <c r="F80" s="103">
        <f t="shared" si="10"/>
        <v>0</v>
      </c>
      <c r="G80" s="103">
        <f t="shared" ref="G80:G86" si="12">C80+E80</f>
        <v>1214</v>
      </c>
    </row>
    <row r="81" spans="1:8">
      <c r="A81" s="111" t="s">
        <v>138</v>
      </c>
      <c r="B81" s="112">
        <v>0</v>
      </c>
      <c r="C81" s="112">
        <v>0</v>
      </c>
      <c r="D81" s="444">
        <f>-'TB_31.03.2026 (Links)'!H77</f>
        <v>0</v>
      </c>
      <c r="E81" s="112">
        <v>262826.34999999998</v>
      </c>
      <c r="F81" s="103">
        <f t="shared" si="10"/>
        <v>0</v>
      </c>
      <c r="G81" s="103">
        <f t="shared" si="12"/>
        <v>262826.34999999998</v>
      </c>
    </row>
    <row r="82" spans="1:8">
      <c r="A82" s="111" t="s">
        <v>139</v>
      </c>
      <c r="B82" s="112">
        <v>0</v>
      </c>
      <c r="C82" s="112">
        <v>0</v>
      </c>
      <c r="D82" s="444">
        <f>-'TB_31.03.2026 (Links)'!H78</f>
        <v>0</v>
      </c>
      <c r="E82" s="444">
        <v>234180.38</v>
      </c>
      <c r="F82" s="439">
        <f t="shared" si="10"/>
        <v>0</v>
      </c>
      <c r="G82" s="103">
        <f t="shared" si="12"/>
        <v>234180.38</v>
      </c>
    </row>
    <row r="83" spans="1:8">
      <c r="A83" s="111" t="s">
        <v>140</v>
      </c>
      <c r="B83" s="112">
        <v>0</v>
      </c>
      <c r="C83" s="112">
        <v>0</v>
      </c>
      <c r="D83" s="444">
        <v>0</v>
      </c>
      <c r="E83" s="444">
        <v>48112.32</v>
      </c>
      <c r="F83" s="439">
        <f t="shared" si="10"/>
        <v>0</v>
      </c>
      <c r="G83" s="103">
        <f t="shared" si="12"/>
        <v>48112.32</v>
      </c>
    </row>
    <row r="84" spans="1:8">
      <c r="A84" s="111" t="s">
        <v>141</v>
      </c>
      <c r="B84" s="112">
        <v>0</v>
      </c>
      <c r="C84" s="112">
        <v>0</v>
      </c>
      <c r="D84" s="444">
        <v>0</v>
      </c>
      <c r="E84" s="444">
        <v>48112.32</v>
      </c>
      <c r="F84" s="439">
        <f t="shared" si="10"/>
        <v>0</v>
      </c>
      <c r="G84" s="103">
        <f t="shared" si="12"/>
        <v>48112.32</v>
      </c>
    </row>
    <row r="85" spans="1:8">
      <c r="A85" s="111" t="s">
        <v>142</v>
      </c>
      <c r="B85" s="112">
        <v>0</v>
      </c>
      <c r="C85" s="112">
        <v>0</v>
      </c>
      <c r="D85" s="444">
        <f>-'TB_31.03.2026 (Links)'!H81</f>
        <v>8992.7800000000007</v>
      </c>
      <c r="E85" s="112">
        <v>43663.32</v>
      </c>
      <c r="F85" s="103">
        <f t="shared" si="10"/>
        <v>8992.7800000000007</v>
      </c>
      <c r="G85" s="103">
        <f t="shared" si="12"/>
        <v>43663.32</v>
      </c>
      <c r="H85" s="297" t="s">
        <v>665</v>
      </c>
    </row>
    <row r="86" spans="1:8">
      <c r="A86" s="111" t="s">
        <v>143</v>
      </c>
      <c r="B86" s="112">
        <v>0</v>
      </c>
      <c r="C86" s="112">
        <v>0</v>
      </c>
      <c r="D86" s="444">
        <f>-'TB_31.03.2026 (Links)'!H82</f>
        <v>8992.7800000000007</v>
      </c>
      <c r="E86" s="112">
        <v>43663.32</v>
      </c>
      <c r="F86" s="103">
        <f t="shared" si="10"/>
        <v>8992.7800000000007</v>
      </c>
      <c r="G86" s="103">
        <f t="shared" si="12"/>
        <v>43663.32</v>
      </c>
      <c r="H86" s="297" t="s">
        <v>665</v>
      </c>
    </row>
    <row r="87" spans="1:8">
      <c r="A87" s="101" t="s">
        <v>12</v>
      </c>
      <c r="B87" s="101"/>
      <c r="C87" s="100"/>
      <c r="D87" s="440"/>
      <c r="E87" s="115" t="s">
        <v>12</v>
      </c>
      <c r="F87" s="103"/>
      <c r="G87" s="103"/>
    </row>
    <row r="88" spans="1:8">
      <c r="A88" s="98" t="s">
        <v>144</v>
      </c>
      <c r="B88" s="98"/>
      <c r="C88" s="99"/>
      <c r="D88" s="437"/>
      <c r="E88" s="115" t="s">
        <v>12</v>
      </c>
      <c r="F88" s="103"/>
      <c r="G88" s="103"/>
    </row>
    <row r="89" spans="1:8">
      <c r="A89" s="111" t="s">
        <v>145</v>
      </c>
      <c r="B89" s="112">
        <v>0</v>
      </c>
      <c r="C89" s="112">
        <v>0</v>
      </c>
      <c r="D89" s="444">
        <v>0</v>
      </c>
      <c r="E89" s="112">
        <v>60276.89</v>
      </c>
      <c r="F89" s="439">
        <f t="shared" si="10"/>
        <v>0</v>
      </c>
      <c r="G89" s="103">
        <f t="shared" ref="G89:G100" si="13">C89+E89</f>
        <v>60276.89</v>
      </c>
      <c r="H89" s="297" t="s">
        <v>665</v>
      </c>
    </row>
    <row r="90" spans="1:8">
      <c r="A90" s="111" t="s">
        <v>146</v>
      </c>
      <c r="B90" s="112">
        <v>0</v>
      </c>
      <c r="C90" s="112">
        <v>0</v>
      </c>
      <c r="D90" s="444">
        <f>-'TB_31.03.2026 (Links)'!H84</f>
        <v>25247</v>
      </c>
      <c r="E90" s="112">
        <v>-20886</v>
      </c>
      <c r="F90" s="103">
        <f t="shared" si="10"/>
        <v>25247</v>
      </c>
      <c r="G90" s="103">
        <f t="shared" si="13"/>
        <v>-20886</v>
      </c>
      <c r="H90" s="297" t="s">
        <v>665</v>
      </c>
    </row>
    <row r="91" spans="1:8">
      <c r="A91" s="111" t="s">
        <v>147</v>
      </c>
      <c r="B91" s="112">
        <v>1238206</v>
      </c>
      <c r="C91" s="112">
        <f>1602132</f>
        <v>1602132</v>
      </c>
      <c r="D91" s="444">
        <f>-'TB_31.03.2026 (Links)'!H177</f>
        <v>4407857.8899999997</v>
      </c>
      <c r="E91" s="112">
        <v>0</v>
      </c>
      <c r="F91" s="103">
        <f>B91+D91</f>
        <v>5646063.8899999997</v>
      </c>
      <c r="G91" s="103">
        <f>C91+E91</f>
        <v>1602132</v>
      </c>
      <c r="H91" s="297" t="s">
        <v>665</v>
      </c>
    </row>
    <row r="92" spans="1:8">
      <c r="A92" s="111" t="s">
        <v>148</v>
      </c>
      <c r="B92" s="112">
        <v>0</v>
      </c>
      <c r="C92" s="112">
        <v>0</v>
      </c>
      <c r="D92" s="444">
        <f>-'TB_31.03.2026 (Links)'!H86</f>
        <v>56177</v>
      </c>
      <c r="E92" s="112">
        <v>106899</v>
      </c>
      <c r="F92" s="103">
        <f t="shared" si="10"/>
        <v>56177</v>
      </c>
      <c r="G92" s="103">
        <f t="shared" si="13"/>
        <v>106899</v>
      </c>
      <c r="H92" s="297" t="s">
        <v>665</v>
      </c>
    </row>
    <row r="93" spans="1:8">
      <c r="A93" s="111" t="s">
        <v>149</v>
      </c>
      <c r="B93" s="112">
        <v>1200</v>
      </c>
      <c r="C93" s="112">
        <v>1200</v>
      </c>
      <c r="D93" s="444">
        <f>-'TB_31.03.2026 (Links)'!H87</f>
        <v>9480</v>
      </c>
      <c r="E93" s="112">
        <v>844881</v>
      </c>
      <c r="F93" s="103">
        <f t="shared" si="10"/>
        <v>10680</v>
      </c>
      <c r="G93" s="103">
        <f t="shared" si="13"/>
        <v>846081</v>
      </c>
      <c r="H93" s="297" t="s">
        <v>665</v>
      </c>
    </row>
    <row r="94" spans="1:8">
      <c r="A94" s="111" t="str">
        <f>'TB_31.03.2026 (Links)'!D88</f>
        <v>TDS on Salary</v>
      </c>
      <c r="B94" s="444">
        <v>0</v>
      </c>
      <c r="C94" s="444">
        <v>0</v>
      </c>
      <c r="D94" s="444">
        <f>-'TB_31.03.2026 (Links)'!H88</f>
        <v>352924</v>
      </c>
      <c r="E94" s="112">
        <v>0</v>
      </c>
      <c r="F94" s="103">
        <f t="shared" ref="F94:F100" si="14">B94+D94</f>
        <v>352924</v>
      </c>
      <c r="G94" s="103">
        <f t="shared" si="13"/>
        <v>0</v>
      </c>
      <c r="H94" s="297" t="s">
        <v>665</v>
      </c>
    </row>
    <row r="95" spans="1:8">
      <c r="A95" s="111" t="str">
        <f>'TB_31.03.2026 (Links)'!D89</f>
        <v>EDLI Contribution Payable</v>
      </c>
      <c r="B95" s="444">
        <v>0</v>
      </c>
      <c r="C95" s="444">
        <v>0</v>
      </c>
      <c r="D95" s="444">
        <f>-'TB_31.03.2026 (Links)'!H89</f>
        <v>6337</v>
      </c>
      <c r="E95" s="112">
        <v>0</v>
      </c>
      <c r="F95" s="103">
        <f t="shared" si="14"/>
        <v>6337</v>
      </c>
      <c r="G95" s="103">
        <f t="shared" si="13"/>
        <v>0</v>
      </c>
      <c r="H95" s="297" t="s">
        <v>5977</v>
      </c>
    </row>
    <row r="96" spans="1:8">
      <c r="A96" s="111" t="str">
        <f>'TB_31.03.2026 (Links)'!D91</f>
        <v>PF Admin Charges  Payable</v>
      </c>
      <c r="B96" s="444">
        <v>0</v>
      </c>
      <c r="C96" s="444">
        <v>0</v>
      </c>
      <c r="D96" s="444">
        <f>-'TB_31.03.2026 (Links)'!H91</f>
        <v>6337</v>
      </c>
      <c r="E96" s="112">
        <v>0</v>
      </c>
      <c r="F96" s="103">
        <f t="shared" si="14"/>
        <v>6337</v>
      </c>
      <c r="G96" s="103">
        <f t="shared" si="13"/>
        <v>0</v>
      </c>
      <c r="H96" s="297" t="s">
        <v>5977</v>
      </c>
    </row>
    <row r="97" spans="1:8">
      <c r="A97" s="111" t="str">
        <f>'TB_31.03.2026 (Links)'!D92</f>
        <v>PF Employer Contribution Payable</v>
      </c>
      <c r="B97" s="444">
        <v>0</v>
      </c>
      <c r="C97" s="444">
        <v>0</v>
      </c>
      <c r="D97" s="444">
        <f>-'TB_31.03.2026 (Links)'!H92</f>
        <v>152086</v>
      </c>
      <c r="E97" s="112">
        <v>0</v>
      </c>
      <c r="F97" s="103">
        <f t="shared" si="14"/>
        <v>152086</v>
      </c>
      <c r="G97" s="103">
        <f t="shared" si="13"/>
        <v>0</v>
      </c>
      <c r="H97" s="297" t="s">
        <v>5977</v>
      </c>
    </row>
    <row r="98" spans="1:8">
      <c r="A98" s="111" t="str">
        <f>'TB_31.03.2026 (Links)'!D94</f>
        <v>P.F. Employee Contribution Payable</v>
      </c>
      <c r="B98" s="444">
        <v>0</v>
      </c>
      <c r="C98" s="444">
        <v>0</v>
      </c>
      <c r="D98" s="444">
        <f>-'TB_31.03.2026 (Links)'!H94</f>
        <v>152086</v>
      </c>
      <c r="E98" s="112">
        <v>0</v>
      </c>
      <c r="F98" s="103">
        <f t="shared" si="14"/>
        <v>152086</v>
      </c>
      <c r="G98" s="103">
        <f t="shared" si="13"/>
        <v>0</v>
      </c>
      <c r="H98" s="297" t="s">
        <v>5977</v>
      </c>
    </row>
    <row r="99" spans="1:8">
      <c r="A99" s="111" t="str">
        <f>'TB_31.03.2026 (Links)'!D95</f>
        <v>Profession Tax Payable</v>
      </c>
      <c r="B99" s="444">
        <v>0</v>
      </c>
      <c r="C99" s="444">
        <v>0</v>
      </c>
      <c r="D99" s="444">
        <f>-'TB_31.03.2026 (Links)'!H95</f>
        <v>4250</v>
      </c>
      <c r="E99" s="112">
        <v>0</v>
      </c>
      <c r="F99" s="103">
        <f t="shared" si="14"/>
        <v>4250</v>
      </c>
      <c r="G99" s="103">
        <f t="shared" si="13"/>
        <v>0</v>
      </c>
      <c r="H99" s="297" t="s">
        <v>5977</v>
      </c>
    </row>
    <row r="100" spans="1:8">
      <c r="A100" s="111" t="s">
        <v>131</v>
      </c>
      <c r="B100" s="444">
        <v>0</v>
      </c>
      <c r="C100" s="444">
        <v>0</v>
      </c>
      <c r="D100" s="444">
        <f>-'TB_31.03.2026 (Links)'!H99</f>
        <v>7500</v>
      </c>
      <c r="E100" s="112">
        <v>0</v>
      </c>
      <c r="F100" s="103">
        <f t="shared" si="14"/>
        <v>7500</v>
      </c>
      <c r="G100" s="103">
        <f t="shared" si="13"/>
        <v>0</v>
      </c>
      <c r="H100" s="297" t="s">
        <v>5977</v>
      </c>
    </row>
    <row r="101" spans="1:8" ht="18" customHeight="1">
      <c r="A101" s="111"/>
      <c r="B101" s="111"/>
      <c r="C101" s="112"/>
      <c r="D101" s="444"/>
      <c r="E101" s="112"/>
      <c r="F101" s="103"/>
      <c r="G101" s="103"/>
    </row>
    <row r="102" spans="1:8" ht="18" customHeight="1">
      <c r="A102" s="105" t="s">
        <v>96</v>
      </c>
      <c r="B102" s="106">
        <f t="shared" ref="B102:G102" si="15">SUM(B69:B101)</f>
        <v>21789349</v>
      </c>
      <c r="C102" s="106">
        <f t="shared" si="15"/>
        <v>16919070</v>
      </c>
      <c r="D102" s="441">
        <f t="shared" si="15"/>
        <v>44722692.450000003</v>
      </c>
      <c r="E102" s="106">
        <f t="shared" si="15"/>
        <v>1854156.9</v>
      </c>
      <c r="F102" s="106">
        <f t="shared" si="15"/>
        <v>66512041.450000003</v>
      </c>
      <c r="G102" s="106">
        <f t="shared" si="15"/>
        <v>18773226.900000002</v>
      </c>
    </row>
    <row r="104" spans="1:8" ht="18" customHeight="1">
      <c r="A104" s="806" t="s">
        <v>168</v>
      </c>
      <c r="B104" s="806"/>
      <c r="C104" s="806"/>
      <c r="D104" s="806"/>
      <c r="E104" s="806"/>
      <c r="F104" s="280"/>
    </row>
    <row r="105" spans="1:8" ht="18" customHeight="1">
      <c r="A105" s="807" t="s">
        <v>151</v>
      </c>
      <c r="B105" s="807"/>
      <c r="C105" s="807"/>
      <c r="D105" s="807"/>
      <c r="E105" s="807" t="s">
        <v>12</v>
      </c>
      <c r="F105" s="807"/>
      <c r="G105" s="807"/>
    </row>
    <row r="106" spans="1:8">
      <c r="A106" s="808" t="s">
        <v>3</v>
      </c>
      <c r="B106" s="810" t="s">
        <v>5</v>
      </c>
      <c r="C106" s="810"/>
      <c r="D106" s="811" t="s">
        <v>6</v>
      </c>
      <c r="E106" s="812"/>
      <c r="F106" s="813" t="s">
        <v>7</v>
      </c>
      <c r="G106" s="814"/>
    </row>
    <row r="107" spans="1:8" ht="28.5">
      <c r="A107" s="809"/>
      <c r="B107" s="282" t="str">
        <f t="shared" ref="B107:G107" si="16">B4</f>
        <v>Figures as at the end of 31.03.2026</v>
      </c>
      <c r="C107" s="283" t="str">
        <f t="shared" si="16"/>
        <v>Figures as at the end of 31.03.2025</v>
      </c>
      <c r="D107" s="435" t="str">
        <f t="shared" si="16"/>
        <v>Figures as at the end of 31.03.2026</v>
      </c>
      <c r="E107" s="95" t="str">
        <f t="shared" si="16"/>
        <v>Figures as at the end of 31.03.2025</v>
      </c>
      <c r="F107" s="95" t="str">
        <f t="shared" si="16"/>
        <v>Figures as at the end of 31.03.2026</v>
      </c>
      <c r="G107" s="95" t="str">
        <f t="shared" si="16"/>
        <v>Figures as at the end of 31.03.2025</v>
      </c>
      <c r="H107" s="302"/>
    </row>
    <row r="108" spans="1:8">
      <c r="A108" s="111" t="s">
        <v>152</v>
      </c>
      <c r="B108" s="112">
        <v>0</v>
      </c>
      <c r="C108" s="112">
        <v>0</v>
      </c>
      <c r="D108" s="444">
        <f>'TB_31.03.2026 (Links)'!H7</f>
        <v>35000000</v>
      </c>
      <c r="E108" s="102">
        <v>1000000</v>
      </c>
      <c r="F108" s="102">
        <f>B108+D108</f>
        <v>35000000</v>
      </c>
      <c r="G108" s="102">
        <f>C108+E108</f>
        <v>1000000</v>
      </c>
      <c r="H108" s="302"/>
    </row>
    <row r="109" spans="1:8">
      <c r="A109" s="111" t="s">
        <v>153</v>
      </c>
      <c r="B109" s="112">
        <v>0</v>
      </c>
      <c r="C109" s="112">
        <v>0</v>
      </c>
      <c r="D109" s="444">
        <f>'TB_31.03.2026 (Links)'!H47</f>
        <v>2338046.21</v>
      </c>
      <c r="E109" s="102">
        <v>55980</v>
      </c>
      <c r="F109" s="102">
        <f>B109+D109</f>
        <v>2338046.21</v>
      </c>
      <c r="G109" s="102">
        <f>C109+E109</f>
        <v>55980</v>
      </c>
      <c r="H109" s="302"/>
    </row>
    <row r="110" spans="1:8">
      <c r="A110" s="111"/>
      <c r="B110" s="111"/>
      <c r="C110" s="112"/>
      <c r="D110" s="444"/>
      <c r="E110" s="102"/>
      <c r="F110" s="102"/>
      <c r="G110" s="102"/>
      <c r="H110" s="302"/>
    </row>
    <row r="111" spans="1:8">
      <c r="A111" s="105" t="s">
        <v>96</v>
      </c>
      <c r="B111" s="105"/>
      <c r="C111" s="106">
        <f>SUM(C108:C110)</f>
        <v>0</v>
      </c>
      <c r="D111" s="441">
        <f>SUM(D108:D110)</f>
        <v>37338046.210000001</v>
      </c>
      <c r="E111" s="106">
        <f>SUM(E108:E110)</f>
        <v>1055980</v>
      </c>
      <c r="F111" s="106">
        <f>SUM(F108:F110)</f>
        <v>37338046.210000001</v>
      </c>
      <c r="G111" s="106">
        <f>SUM(G108:G110)</f>
        <v>1055980</v>
      </c>
      <c r="H111" s="491"/>
    </row>
    <row r="112" spans="1:8" ht="18" customHeight="1">
      <c r="H112" s="302"/>
    </row>
    <row r="113" spans="1:8" ht="18" customHeight="1">
      <c r="A113" s="806" t="s">
        <v>179</v>
      </c>
      <c r="B113" s="806"/>
      <c r="C113" s="806"/>
      <c r="D113" s="806"/>
      <c r="E113" s="806"/>
      <c r="F113" s="280"/>
      <c r="H113" s="302"/>
    </row>
    <row r="114" spans="1:8" ht="18" customHeight="1">
      <c r="A114" s="807" t="s">
        <v>159</v>
      </c>
      <c r="B114" s="807"/>
      <c r="C114" s="807"/>
      <c r="D114" s="807"/>
      <c r="E114" s="807" t="s">
        <v>12</v>
      </c>
      <c r="F114" s="807"/>
      <c r="G114" s="807"/>
      <c r="H114" s="302"/>
    </row>
    <row r="115" spans="1:8">
      <c r="A115" s="808" t="s">
        <v>3</v>
      </c>
      <c r="B115" s="810" t="s">
        <v>5</v>
      </c>
      <c r="C115" s="810"/>
      <c r="D115" s="811" t="s">
        <v>6</v>
      </c>
      <c r="E115" s="812"/>
      <c r="F115" s="813" t="s">
        <v>7</v>
      </c>
      <c r="G115" s="814"/>
      <c r="H115" s="302"/>
    </row>
    <row r="116" spans="1:8" ht="28.5">
      <c r="A116" s="809"/>
      <c r="B116" s="282" t="str">
        <f t="shared" ref="B116:G116" si="17">B4</f>
        <v>Figures as at the end of 31.03.2026</v>
      </c>
      <c r="C116" s="283" t="str">
        <f t="shared" si="17"/>
        <v>Figures as at the end of 31.03.2025</v>
      </c>
      <c r="D116" s="435" t="str">
        <f t="shared" si="17"/>
        <v>Figures as at the end of 31.03.2026</v>
      </c>
      <c r="E116" s="95" t="str">
        <f t="shared" si="17"/>
        <v>Figures as at the end of 31.03.2025</v>
      </c>
      <c r="F116" s="95" t="str">
        <f t="shared" si="17"/>
        <v>Figures as at the end of 31.03.2026</v>
      </c>
      <c r="G116" s="95" t="str">
        <f t="shared" si="17"/>
        <v>Figures as at the end of 31.03.2025</v>
      </c>
      <c r="H116" s="302"/>
    </row>
    <row r="117" spans="1:8">
      <c r="A117" s="123" t="s">
        <v>163</v>
      </c>
      <c r="B117" s="123"/>
      <c r="C117" s="124"/>
      <c r="D117" s="123"/>
      <c r="E117" s="100" t="s">
        <v>12</v>
      </c>
      <c r="F117" s="298"/>
      <c r="G117" s="298"/>
      <c r="H117" s="302"/>
    </row>
    <row r="118" spans="1:8">
      <c r="A118" s="125" t="s">
        <v>165</v>
      </c>
      <c r="B118" s="125">
        <v>0</v>
      </c>
      <c r="C118" s="126">
        <v>0</v>
      </c>
      <c r="D118" s="125">
        <f>'WIP Final'!B197</f>
        <v>2913976089.2618318</v>
      </c>
      <c r="E118" s="102">
        <f>2812765648.83-C118</f>
        <v>2812765648.8299999</v>
      </c>
      <c r="F118" s="103">
        <f>B118+D118</f>
        <v>2913976089.2618318</v>
      </c>
      <c r="G118" s="103">
        <f>C118+E118</f>
        <v>2812765648.8299999</v>
      </c>
      <c r="H118" s="302"/>
    </row>
    <row r="119" spans="1:8">
      <c r="A119" s="101" t="s">
        <v>12</v>
      </c>
      <c r="B119" s="101"/>
      <c r="C119" s="100"/>
      <c r="D119" s="440"/>
      <c r="E119" s="104" t="s">
        <v>12</v>
      </c>
      <c r="F119" s="300"/>
      <c r="G119" s="300"/>
      <c r="H119" s="302"/>
    </row>
    <row r="120" spans="1:8">
      <c r="A120" s="105" t="s">
        <v>96</v>
      </c>
      <c r="B120" s="105"/>
      <c r="C120" s="106">
        <f>SUM(C117:C119)</f>
        <v>0</v>
      </c>
      <c r="D120" s="441">
        <f>SUM(D117:D119)</f>
        <v>2913976089.2618318</v>
      </c>
      <c r="E120" s="106">
        <f>SUM(E117:E119)</f>
        <v>2812765648.8299999</v>
      </c>
      <c r="F120" s="106">
        <f>SUM(F117:F119)</f>
        <v>2913976089.2618318</v>
      </c>
      <c r="G120" s="106">
        <f>SUM(G117:G119)</f>
        <v>2812765648.8299999</v>
      </c>
      <c r="H120" s="491"/>
    </row>
    <row r="121" spans="1:8" ht="18" customHeight="1">
      <c r="H121" s="302"/>
    </row>
    <row r="122" spans="1:8" ht="18" customHeight="1">
      <c r="A122" s="806" t="s">
        <v>188</v>
      </c>
      <c r="B122" s="806"/>
      <c r="C122" s="806"/>
      <c r="D122" s="806"/>
      <c r="E122" s="806"/>
      <c r="F122" s="280"/>
    </row>
    <row r="123" spans="1:8" ht="18" customHeight="1">
      <c r="A123" s="807" t="s">
        <v>5990</v>
      </c>
      <c r="B123" s="807"/>
      <c r="C123" s="807"/>
      <c r="D123" s="807"/>
      <c r="E123" s="807" t="s">
        <v>12</v>
      </c>
      <c r="F123" s="807"/>
      <c r="G123" s="807"/>
    </row>
    <row r="124" spans="1:8">
      <c r="A124" s="808" t="s">
        <v>3</v>
      </c>
      <c r="B124" s="810" t="s">
        <v>5</v>
      </c>
      <c r="C124" s="810"/>
      <c r="D124" s="811" t="s">
        <v>6</v>
      </c>
      <c r="E124" s="812"/>
      <c r="F124" s="813" t="s">
        <v>7</v>
      </c>
      <c r="G124" s="814"/>
    </row>
    <row r="125" spans="1:8" ht="28.5">
      <c r="A125" s="809"/>
      <c r="B125" s="282" t="str">
        <f t="shared" ref="B125:G125" si="18">B4</f>
        <v>Figures as at the end of 31.03.2026</v>
      </c>
      <c r="C125" s="283" t="str">
        <f t="shared" si="18"/>
        <v>Figures as at the end of 31.03.2025</v>
      </c>
      <c r="D125" s="435" t="str">
        <f t="shared" si="18"/>
        <v>Figures as at the end of 31.03.2026</v>
      </c>
      <c r="E125" s="95" t="str">
        <f t="shared" si="18"/>
        <v>Figures as at the end of 31.03.2025</v>
      </c>
      <c r="F125" s="127" t="str">
        <f t="shared" si="18"/>
        <v>Figures as at the end of 31.03.2026</v>
      </c>
      <c r="G125" s="127" t="str">
        <f t="shared" si="18"/>
        <v>Figures as at the end of 31.03.2025</v>
      </c>
    </row>
    <row r="126" spans="1:8">
      <c r="A126" s="128" t="s">
        <v>169</v>
      </c>
      <c r="B126" s="129">
        <v>0</v>
      </c>
      <c r="C126" s="129">
        <v>0</v>
      </c>
      <c r="D126" s="450">
        <f>'TB_31.03.2026 (Links)'!H18</f>
        <v>8105</v>
      </c>
      <c r="E126" s="130">
        <v>8605</v>
      </c>
      <c r="F126" s="131">
        <f>B126+D126</f>
        <v>8105</v>
      </c>
      <c r="G126" s="359">
        <f>C126+E126</f>
        <v>8605</v>
      </c>
      <c r="H126" s="132"/>
    </row>
    <row r="127" spans="1:8">
      <c r="A127" s="133" t="s">
        <v>12</v>
      </c>
      <c r="B127" s="133"/>
      <c r="C127" s="100"/>
      <c r="D127" s="440"/>
      <c r="E127" s="646"/>
      <c r="F127" s="303"/>
      <c r="G127" s="299"/>
    </row>
    <row r="128" spans="1:8">
      <c r="A128" s="128" t="s">
        <v>154</v>
      </c>
      <c r="B128" s="128"/>
      <c r="C128" s="117"/>
      <c r="D128" s="447"/>
      <c r="E128" s="646"/>
      <c r="F128" s="130">
        <f>SUM(F129:F138)</f>
        <v>10877079.4</v>
      </c>
      <c r="G128" s="102">
        <f>SUM(G129:G138)</f>
        <v>6881656.9900000002</v>
      </c>
    </row>
    <row r="129" spans="1:7" hidden="1">
      <c r="A129" s="134" t="s">
        <v>170</v>
      </c>
      <c r="B129" s="492">
        <v>0</v>
      </c>
      <c r="C129" s="104">
        <v>0</v>
      </c>
      <c r="D129" s="122">
        <v>0</v>
      </c>
      <c r="E129" s="130">
        <v>10000</v>
      </c>
      <c r="F129" s="130">
        <f t="shared" ref="F129:G133" si="19">B129+D129</f>
        <v>0</v>
      </c>
      <c r="G129" s="102">
        <f t="shared" si="19"/>
        <v>10000</v>
      </c>
    </row>
    <row r="130" spans="1:7" hidden="1">
      <c r="A130" s="134" t="s">
        <v>171</v>
      </c>
      <c r="B130" s="492">
        <v>0</v>
      </c>
      <c r="C130" s="104">
        <v>0</v>
      </c>
      <c r="D130" s="122">
        <f>SUM('TB_31.03.2026 (Links)'!H22:H24)</f>
        <v>0</v>
      </c>
      <c r="E130" s="130">
        <v>1017434.18</v>
      </c>
      <c r="F130" s="130">
        <f t="shared" si="19"/>
        <v>0</v>
      </c>
      <c r="G130" s="102">
        <f t="shared" si="19"/>
        <v>1017434.18</v>
      </c>
    </row>
    <row r="131" spans="1:7" hidden="1">
      <c r="A131" s="134" t="s">
        <v>172</v>
      </c>
      <c r="B131" s="492">
        <v>0</v>
      </c>
      <c r="C131" s="104">
        <v>0</v>
      </c>
      <c r="D131" s="122">
        <f>SUM('TB_31.03.2026 (Links)'!H25:H27)</f>
        <v>3258238.05</v>
      </c>
      <c r="E131" s="130">
        <v>330040.06000000052</v>
      </c>
      <c r="F131" s="130">
        <f t="shared" si="19"/>
        <v>3258238.05</v>
      </c>
      <c r="G131" s="102">
        <f t="shared" si="19"/>
        <v>330040.06000000052</v>
      </c>
    </row>
    <row r="132" spans="1:7" hidden="1">
      <c r="A132" s="134" t="s">
        <v>173</v>
      </c>
      <c r="B132" s="492">
        <v>0</v>
      </c>
      <c r="C132" s="104">
        <v>0</v>
      </c>
      <c r="D132" s="122">
        <f>SUM('TB_31.03.2026 (Links)'!H28:H30)</f>
        <v>74385.22</v>
      </c>
      <c r="E132" s="130">
        <v>614400</v>
      </c>
      <c r="F132" s="130">
        <f t="shared" si="19"/>
        <v>74385.22</v>
      </c>
      <c r="G132" s="102">
        <f t="shared" si="19"/>
        <v>614400</v>
      </c>
    </row>
    <row r="133" spans="1:7" hidden="1">
      <c r="A133" s="134" t="s">
        <v>174</v>
      </c>
      <c r="B133" s="492">
        <v>0</v>
      </c>
      <c r="C133" s="104">
        <v>0</v>
      </c>
      <c r="D133" s="122">
        <f>SUM('TB_31.03.2026 (Links)'!H31:H32)</f>
        <v>24998.77</v>
      </c>
      <c r="E133" s="130">
        <v>19702.66</v>
      </c>
      <c r="F133" s="130">
        <f t="shared" si="19"/>
        <v>24998.77</v>
      </c>
      <c r="G133" s="102">
        <f t="shared" si="19"/>
        <v>19702.66</v>
      </c>
    </row>
    <row r="134" spans="1:7" hidden="1">
      <c r="A134" s="134" t="s">
        <v>175</v>
      </c>
      <c r="B134" s="492">
        <v>0</v>
      </c>
      <c r="C134" s="104">
        <v>0</v>
      </c>
      <c r="D134" s="122">
        <f>SUM('TB_31.03.2026 (Links)'!H36)</f>
        <v>0</v>
      </c>
      <c r="E134" s="130">
        <v>25000</v>
      </c>
      <c r="F134" s="130">
        <f t="shared" ref="F134:F138" si="20">B134+D134</f>
        <v>0</v>
      </c>
      <c r="G134" s="102">
        <f>C134+E134</f>
        <v>25000</v>
      </c>
    </row>
    <row r="135" spans="1:7" hidden="1">
      <c r="A135" s="134" t="s">
        <v>176</v>
      </c>
      <c r="B135" s="492">
        <v>0</v>
      </c>
      <c r="C135" s="104">
        <v>0</v>
      </c>
      <c r="D135" s="122">
        <f>SUM('TB_31.03.2026 (Links)'!H37)</f>
        <v>0</v>
      </c>
      <c r="E135" s="130">
        <v>25000</v>
      </c>
      <c r="F135" s="130">
        <f t="shared" si="20"/>
        <v>0</v>
      </c>
      <c r="G135" s="102">
        <f>C135+E135</f>
        <v>25000</v>
      </c>
    </row>
    <row r="136" spans="1:7" hidden="1">
      <c r="A136" s="134" t="s">
        <v>177</v>
      </c>
      <c r="B136" s="492">
        <v>0</v>
      </c>
      <c r="C136" s="104">
        <v>0</v>
      </c>
      <c r="D136" s="122">
        <f>SUM('TB_31.03.2026 (Links)'!H38)</f>
        <v>0</v>
      </c>
      <c r="E136" s="130">
        <v>25000</v>
      </c>
      <c r="F136" s="130">
        <f t="shared" si="20"/>
        <v>0</v>
      </c>
      <c r="G136" s="102">
        <f>C136+E136</f>
        <v>25000</v>
      </c>
    </row>
    <row r="137" spans="1:7" hidden="1">
      <c r="A137" s="134" t="s">
        <v>178</v>
      </c>
      <c r="B137" s="322">
        <v>4359293.43</v>
      </c>
      <c r="C137" s="102">
        <v>4815080.09</v>
      </c>
      <c r="D137" s="451"/>
      <c r="E137" s="492">
        <v>0</v>
      </c>
      <c r="F137" s="130">
        <f>B137+D137</f>
        <v>4359293.43</v>
      </c>
      <c r="G137" s="102">
        <f>C137+E137</f>
        <v>4815080.09</v>
      </c>
    </row>
    <row r="138" spans="1:7" hidden="1">
      <c r="A138" s="134" t="str">
        <f>'TB_31.03.2026 (Links)'!D45</f>
        <v>HDFC- 57500001831984- Rera A/c- Main</v>
      </c>
      <c r="B138" s="492">
        <v>0</v>
      </c>
      <c r="C138" s="492">
        <v>0</v>
      </c>
      <c r="D138" s="452">
        <f>SUM('TB_31.03.2026 (Links)'!H45:H46)</f>
        <v>3160163.93</v>
      </c>
      <c r="E138" s="492">
        <v>0</v>
      </c>
      <c r="F138" s="130">
        <f t="shared" si="20"/>
        <v>3160163.93</v>
      </c>
      <c r="G138" s="102">
        <f>C138+E138</f>
        <v>0</v>
      </c>
    </row>
    <row r="139" spans="1:7">
      <c r="A139" s="134" t="s">
        <v>12</v>
      </c>
      <c r="B139" s="134"/>
      <c r="C139" s="135"/>
      <c r="D139" s="453"/>
      <c r="E139" s="646" t="s">
        <v>12</v>
      </c>
      <c r="F139" s="304"/>
      <c r="G139" s="300"/>
    </row>
    <row r="140" spans="1:7">
      <c r="A140" s="136" t="s">
        <v>96</v>
      </c>
      <c r="B140" s="106">
        <f t="shared" ref="B140:E140" si="21">SUM(B126:B139)</f>
        <v>4359293.43</v>
      </c>
      <c r="C140" s="106">
        <f t="shared" si="21"/>
        <v>4815080.09</v>
      </c>
      <c r="D140" s="441">
        <f t="shared" si="21"/>
        <v>6525890.9700000007</v>
      </c>
      <c r="E140" s="106">
        <f t="shared" si="21"/>
        <v>2075181.9000000006</v>
      </c>
      <c r="F140" s="106">
        <f>F126+F128</f>
        <v>10885184.4</v>
      </c>
      <c r="G140" s="106">
        <f>G126+G128</f>
        <v>6890261.9900000002</v>
      </c>
    </row>
    <row r="142" spans="1:7" ht="18" customHeight="1">
      <c r="A142" s="806" t="s">
        <v>194</v>
      </c>
      <c r="B142" s="806"/>
      <c r="C142" s="806"/>
      <c r="D142" s="806"/>
      <c r="E142" s="806"/>
      <c r="F142" s="280"/>
    </row>
    <row r="143" spans="1:7" ht="18" customHeight="1">
      <c r="A143" s="807" t="s">
        <v>180</v>
      </c>
      <c r="B143" s="807"/>
      <c r="C143" s="807"/>
      <c r="D143" s="807"/>
      <c r="E143" s="807" t="s">
        <v>12</v>
      </c>
      <c r="F143" s="807"/>
      <c r="G143" s="807"/>
    </row>
    <row r="144" spans="1:7">
      <c r="A144" s="808" t="s">
        <v>3</v>
      </c>
      <c r="B144" s="810" t="s">
        <v>5</v>
      </c>
      <c r="C144" s="810"/>
      <c r="D144" s="811" t="s">
        <v>6</v>
      </c>
      <c r="E144" s="812"/>
      <c r="F144" s="813" t="s">
        <v>7</v>
      </c>
      <c r="G144" s="814"/>
    </row>
    <row r="145" spans="1:9" ht="28.5">
      <c r="A145" s="809"/>
      <c r="B145" s="282" t="str">
        <f t="shared" ref="B145:G145" si="22">B4</f>
        <v>Figures as at the end of 31.03.2026</v>
      </c>
      <c r="C145" s="283" t="str">
        <f t="shared" si="22"/>
        <v>Figures as at the end of 31.03.2025</v>
      </c>
      <c r="D145" s="435" t="str">
        <f t="shared" si="22"/>
        <v>Figures as at the end of 31.03.2026</v>
      </c>
      <c r="E145" s="95" t="str">
        <f t="shared" si="22"/>
        <v>Figures as at the end of 31.03.2025</v>
      </c>
      <c r="F145" s="95" t="str">
        <f t="shared" si="22"/>
        <v>Figures as at the end of 31.03.2026</v>
      </c>
      <c r="G145" s="95" t="str">
        <f t="shared" si="22"/>
        <v>Figures as at the end of 31.03.2025</v>
      </c>
    </row>
    <row r="146" spans="1:9">
      <c r="A146" s="109" t="s">
        <v>181</v>
      </c>
      <c r="B146" s="109"/>
      <c r="C146" s="110"/>
      <c r="D146" s="443"/>
      <c r="E146" s="100" t="s">
        <v>12</v>
      </c>
      <c r="F146" s="137"/>
      <c r="G146" s="298"/>
    </row>
    <row r="147" spans="1:9">
      <c r="A147" s="109"/>
      <c r="B147" s="109"/>
      <c r="C147" s="110"/>
      <c r="D147" s="443"/>
      <c r="E147" s="100"/>
      <c r="F147" s="130"/>
      <c r="G147" s="299"/>
      <c r="H147" s="130"/>
    </row>
    <row r="148" spans="1:9">
      <c r="A148" s="116" t="s">
        <v>182</v>
      </c>
      <c r="B148" s="493">
        <v>0</v>
      </c>
      <c r="C148" s="493">
        <v>0</v>
      </c>
      <c r="D148" s="444">
        <f>'TB_31.03.2026 (Links)'!H17</f>
        <v>198082</v>
      </c>
      <c r="E148" s="104">
        <v>41467</v>
      </c>
      <c r="F148" s="130">
        <f>B148+D148</f>
        <v>198082</v>
      </c>
      <c r="G148" s="102">
        <f>C148+E148</f>
        <v>41467</v>
      </c>
      <c r="I148" s="678">
        <f>F148+F150</f>
        <v>218082</v>
      </c>
    </row>
    <row r="149" spans="1:9">
      <c r="A149" s="101"/>
      <c r="B149" s="494"/>
      <c r="C149" s="494"/>
      <c r="D149" s="122"/>
      <c r="E149" s="104"/>
      <c r="F149" s="102"/>
      <c r="G149" s="102"/>
    </row>
    <row r="150" spans="1:9">
      <c r="A150" s="321" t="s">
        <v>441</v>
      </c>
      <c r="B150" s="493">
        <v>0</v>
      </c>
      <c r="C150" s="493">
        <v>0</v>
      </c>
      <c r="D150" s="122">
        <f>+'TB_31.03.2026 (Links)'!H167</f>
        <v>20000</v>
      </c>
      <c r="E150" s="104">
        <v>0</v>
      </c>
      <c r="F150" s="102">
        <f>B150+D150</f>
        <v>20000</v>
      </c>
      <c r="G150" s="102">
        <f>C150+E150</f>
        <v>0</v>
      </c>
    </row>
    <row r="151" spans="1:9">
      <c r="A151" s="111"/>
      <c r="B151" s="111"/>
      <c r="C151" s="118"/>
      <c r="D151" s="139"/>
      <c r="E151" s="102"/>
      <c r="F151" s="102"/>
      <c r="G151" s="102"/>
    </row>
    <row r="152" spans="1:9">
      <c r="A152" s="98" t="s">
        <v>184</v>
      </c>
      <c r="B152" s="98"/>
      <c r="C152" s="104"/>
      <c r="D152" s="122"/>
      <c r="E152" s="104"/>
      <c r="F152" s="102"/>
      <c r="G152" s="102"/>
    </row>
    <row r="153" spans="1:9">
      <c r="A153" s="111" t="s">
        <v>185</v>
      </c>
      <c r="B153" s="102">
        <v>645000</v>
      </c>
      <c r="C153" s="102">
        <v>645000</v>
      </c>
      <c r="D153" s="493">
        <v>0</v>
      </c>
      <c r="E153" s="104">
        <v>0</v>
      </c>
      <c r="F153" s="102">
        <f t="shared" ref="F153:G155" si="23">B153+D153</f>
        <v>645000</v>
      </c>
      <c r="G153" s="102">
        <f t="shared" si="23"/>
        <v>645000</v>
      </c>
      <c r="I153" s="678">
        <f>SUM(F153:F155)</f>
        <v>2440000</v>
      </c>
    </row>
    <row r="154" spans="1:9">
      <c r="A154" s="111" t="s">
        <v>186</v>
      </c>
      <c r="B154" s="102">
        <v>1150000</v>
      </c>
      <c r="C154" s="102">
        <v>1150000</v>
      </c>
      <c r="D154" s="493">
        <v>0</v>
      </c>
      <c r="E154" s="104">
        <v>0</v>
      </c>
      <c r="F154" s="102">
        <f t="shared" si="23"/>
        <v>1150000</v>
      </c>
      <c r="G154" s="102">
        <f t="shared" si="23"/>
        <v>1150000</v>
      </c>
    </row>
    <row r="155" spans="1:9">
      <c r="A155" s="111" t="s">
        <v>187</v>
      </c>
      <c r="B155" s="102">
        <v>645000</v>
      </c>
      <c r="C155" s="102">
        <v>645000</v>
      </c>
      <c r="D155" s="493">
        <v>0</v>
      </c>
      <c r="E155" s="104">
        <v>0</v>
      </c>
      <c r="F155" s="102">
        <f t="shared" si="23"/>
        <v>645000</v>
      </c>
      <c r="G155" s="102">
        <f t="shared" si="23"/>
        <v>645000</v>
      </c>
    </row>
    <row r="156" spans="1:9">
      <c r="A156" s="98"/>
      <c r="B156" s="98"/>
      <c r="C156" s="100"/>
      <c r="D156" s="440"/>
      <c r="E156" s="104"/>
      <c r="F156" s="300"/>
      <c r="G156" s="300"/>
    </row>
    <row r="157" spans="1:9">
      <c r="A157" s="105" t="s">
        <v>96</v>
      </c>
      <c r="B157" s="106">
        <f t="shared" ref="B157:G157" si="24">SUM(B146:B156)</f>
        <v>2440000</v>
      </c>
      <c r="C157" s="106">
        <f t="shared" si="24"/>
        <v>2440000</v>
      </c>
      <c r="D157" s="441">
        <f t="shared" si="24"/>
        <v>218082</v>
      </c>
      <c r="E157" s="106">
        <f t="shared" si="24"/>
        <v>41467</v>
      </c>
      <c r="F157" s="106">
        <f t="shared" si="24"/>
        <v>2658082</v>
      </c>
      <c r="G157" s="106">
        <f t="shared" si="24"/>
        <v>2481467</v>
      </c>
    </row>
    <row r="159" spans="1:9" ht="18" customHeight="1">
      <c r="A159" s="806" t="s">
        <v>197</v>
      </c>
      <c r="B159" s="806"/>
      <c r="C159" s="806"/>
      <c r="D159" s="806"/>
      <c r="E159" s="806"/>
      <c r="F159" s="280"/>
    </row>
    <row r="160" spans="1:9" ht="18" customHeight="1">
      <c r="A160" s="807" t="s">
        <v>189</v>
      </c>
      <c r="B160" s="807"/>
      <c r="C160" s="807"/>
      <c r="D160" s="807"/>
      <c r="E160" s="807" t="s">
        <v>12</v>
      </c>
      <c r="F160" s="807"/>
      <c r="G160" s="807"/>
    </row>
    <row r="161" spans="1:7">
      <c r="A161" s="808" t="s">
        <v>3</v>
      </c>
      <c r="B161" s="810" t="s">
        <v>5</v>
      </c>
      <c r="C161" s="810"/>
      <c r="D161" s="811" t="s">
        <v>6</v>
      </c>
      <c r="E161" s="812"/>
      <c r="F161" s="813" t="s">
        <v>7</v>
      </c>
      <c r="G161" s="814"/>
    </row>
    <row r="162" spans="1:7" ht="28.5">
      <c r="A162" s="809"/>
      <c r="B162" s="282" t="str">
        <f t="shared" ref="B162:G162" si="25">B4</f>
        <v>Figures as at the end of 31.03.2026</v>
      </c>
      <c r="C162" s="283" t="str">
        <f t="shared" si="25"/>
        <v>Figures as at the end of 31.03.2025</v>
      </c>
      <c r="D162" s="435" t="str">
        <f t="shared" si="25"/>
        <v>Figures as at the end of 31.03.2026</v>
      </c>
      <c r="E162" s="95" t="str">
        <f t="shared" si="25"/>
        <v>Figures as at the end of 31.03.2025</v>
      </c>
      <c r="F162" s="95" t="str">
        <f t="shared" si="25"/>
        <v>Figures as at the end of 31.03.2026</v>
      </c>
      <c r="G162" s="95" t="str">
        <f t="shared" si="25"/>
        <v>Figures as at the end of 31.03.2025</v>
      </c>
    </row>
    <row r="163" spans="1:7">
      <c r="A163" s="119"/>
      <c r="B163" s="119"/>
      <c r="C163" s="120"/>
      <c r="D163" s="448"/>
      <c r="E163" s="120"/>
      <c r="F163" s="120"/>
      <c r="G163" s="138"/>
    </row>
    <row r="164" spans="1:7">
      <c r="A164" s="116" t="s">
        <v>190</v>
      </c>
      <c r="B164" s="116"/>
      <c r="C164" s="117"/>
      <c r="D164" s="447"/>
      <c r="E164" s="100" t="s">
        <v>12</v>
      </c>
      <c r="F164" s="299"/>
      <c r="G164" s="299"/>
    </row>
    <row r="165" spans="1:7">
      <c r="A165" s="139" t="s">
        <v>191</v>
      </c>
      <c r="B165" s="139">
        <v>0</v>
      </c>
      <c r="C165" s="118">
        <v>0</v>
      </c>
      <c r="D165" s="139">
        <f>'TB_31.03.2026 (Links)'!H15</f>
        <v>34292355.270000003</v>
      </c>
      <c r="E165" s="102">
        <v>29382876.859999999</v>
      </c>
      <c r="F165" s="118">
        <f t="shared" ref="F165:G166" si="26">B165+D165</f>
        <v>34292355.270000003</v>
      </c>
      <c r="G165" s="118">
        <f t="shared" si="26"/>
        <v>29382876.859999999</v>
      </c>
    </row>
    <row r="166" spans="1:7">
      <c r="A166" s="139" t="s">
        <v>192</v>
      </c>
      <c r="B166" s="139">
        <v>0</v>
      </c>
      <c r="C166" s="118">
        <v>0</v>
      </c>
      <c r="D166" s="139">
        <v>0</v>
      </c>
      <c r="E166" s="102">
        <v>6220</v>
      </c>
      <c r="F166" s="118">
        <f t="shared" si="26"/>
        <v>0</v>
      </c>
      <c r="G166" s="118">
        <f>C166+E166</f>
        <v>6220</v>
      </c>
    </row>
    <row r="167" spans="1:7">
      <c r="A167" s="139" t="s">
        <v>440</v>
      </c>
      <c r="B167" s="139">
        <v>0</v>
      </c>
      <c r="C167" s="118">
        <v>0</v>
      </c>
      <c r="D167" s="139">
        <f>+'TB_31.03.2026 (Links)'!H166</f>
        <v>4849877</v>
      </c>
      <c r="E167" s="102">
        <v>0</v>
      </c>
      <c r="F167" s="118">
        <f t="shared" ref="F167" si="27">B167+D167</f>
        <v>4849877</v>
      </c>
      <c r="G167" s="118">
        <f>C167+E167</f>
        <v>0</v>
      </c>
    </row>
    <row r="168" spans="1:7">
      <c r="A168" s="139"/>
      <c r="B168" s="139"/>
      <c r="C168" s="118"/>
      <c r="D168" s="139"/>
      <c r="E168" s="102"/>
      <c r="F168" s="118">
        <f t="shared" ref="F168:F172" si="28">B168+D168</f>
        <v>0</v>
      </c>
      <c r="G168" s="118"/>
    </row>
    <row r="169" spans="1:7">
      <c r="A169" s="139" t="s">
        <v>483</v>
      </c>
      <c r="B169" s="139">
        <v>0</v>
      </c>
      <c r="C169" s="139">
        <v>0</v>
      </c>
      <c r="D169" s="139">
        <f>+'TB_31.03.2026 (Links)'!H199</f>
        <v>147</v>
      </c>
      <c r="E169" s="102">
        <v>0</v>
      </c>
      <c r="F169" s="118">
        <f t="shared" si="28"/>
        <v>147</v>
      </c>
      <c r="G169" s="118">
        <f>C169+E169</f>
        <v>0</v>
      </c>
    </row>
    <row r="170" spans="1:7">
      <c r="A170" s="139" t="s">
        <v>193</v>
      </c>
      <c r="B170" s="139">
        <v>15000</v>
      </c>
      <c r="C170" s="102">
        <v>984</v>
      </c>
      <c r="D170" s="139">
        <f>'TB_31.03.2026 (Links)'!H174</f>
        <v>391553</v>
      </c>
      <c r="E170" s="102">
        <v>0</v>
      </c>
      <c r="F170" s="118">
        <f t="shared" si="28"/>
        <v>406553</v>
      </c>
      <c r="G170" s="118">
        <f>C170+E170</f>
        <v>984</v>
      </c>
    </row>
    <row r="171" spans="1:7">
      <c r="A171" s="139" t="s">
        <v>5967</v>
      </c>
      <c r="B171" s="139"/>
      <c r="C171" s="102"/>
      <c r="D171" s="139">
        <f>'TB_31.03.2026 (Links)'!H207</f>
        <v>23230</v>
      </c>
      <c r="E171" s="102"/>
      <c r="F171" s="118">
        <f>B171+D171</f>
        <v>23230</v>
      </c>
      <c r="G171" s="118">
        <f>C171+E171</f>
        <v>0</v>
      </c>
    </row>
    <row r="172" spans="1:7">
      <c r="A172" s="101" t="s">
        <v>12</v>
      </c>
      <c r="B172" s="101"/>
      <c r="C172" s="100"/>
      <c r="D172" s="440"/>
      <c r="E172" s="104" t="s">
        <v>12</v>
      </c>
      <c r="F172" s="300">
        <f t="shared" si="28"/>
        <v>0</v>
      </c>
      <c r="G172" s="300"/>
    </row>
    <row r="173" spans="1:7">
      <c r="A173" s="105" t="s">
        <v>96</v>
      </c>
      <c r="B173" s="106">
        <f>SUM(B170:B172)</f>
        <v>15000</v>
      </c>
      <c r="C173" s="106">
        <f>SUM(C170:C172)</f>
        <v>984</v>
      </c>
      <c r="D173" s="441">
        <f>SUM(D164:D172)</f>
        <v>39557162.270000003</v>
      </c>
      <c r="E173" s="106">
        <f>SUM(E164:E172)</f>
        <v>29389096.859999999</v>
      </c>
      <c r="F173" s="106">
        <f>SUM(F164:F172)</f>
        <v>39572162.270000003</v>
      </c>
      <c r="G173" s="106">
        <f>SUM(G164:G172)</f>
        <v>29390080.859999999</v>
      </c>
    </row>
    <row r="175" spans="1:7" ht="18" customHeight="1">
      <c r="A175" s="806" t="s">
        <v>202</v>
      </c>
      <c r="B175" s="806"/>
      <c r="C175" s="806"/>
      <c r="D175" s="806"/>
      <c r="E175" s="806"/>
      <c r="F175" s="280"/>
    </row>
    <row r="176" spans="1:7" ht="18" customHeight="1">
      <c r="A176" s="807" t="s">
        <v>195</v>
      </c>
      <c r="B176" s="807"/>
      <c r="C176" s="807"/>
      <c r="D176" s="807"/>
      <c r="E176" s="807"/>
      <c r="F176" s="807"/>
      <c r="G176" s="807"/>
    </row>
    <row r="177" spans="1:7">
      <c r="A177" s="808" t="s">
        <v>3</v>
      </c>
      <c r="B177" s="810" t="s">
        <v>5</v>
      </c>
      <c r="C177" s="810"/>
      <c r="D177" s="811" t="s">
        <v>6</v>
      </c>
      <c r="E177" s="812"/>
      <c r="F177" s="813" t="s">
        <v>7</v>
      </c>
      <c r="G177" s="814"/>
    </row>
    <row r="178" spans="1:7" ht="28.5">
      <c r="A178" s="809"/>
      <c r="B178" s="282" t="str">
        <f t="shared" ref="B178:G178" si="29">B4</f>
        <v>Figures as at the end of 31.03.2026</v>
      </c>
      <c r="C178" s="283" t="str">
        <f t="shared" si="29"/>
        <v>Figures as at the end of 31.03.2025</v>
      </c>
      <c r="D178" s="435" t="str">
        <f t="shared" si="29"/>
        <v>Figures as at the end of 31.03.2026</v>
      </c>
      <c r="E178" s="95" t="str">
        <f t="shared" si="29"/>
        <v>Figures as at the end of 31.03.2025</v>
      </c>
      <c r="F178" s="95" t="str">
        <f t="shared" si="29"/>
        <v>Figures as at the end of 31.03.2026</v>
      </c>
      <c r="G178" s="95" t="str">
        <f t="shared" si="29"/>
        <v>Figures as at the end of 31.03.2025</v>
      </c>
    </row>
    <row r="179" spans="1:7">
      <c r="A179" s="111" t="s">
        <v>196</v>
      </c>
      <c r="B179" s="118">
        <v>0</v>
      </c>
      <c r="C179" s="118">
        <v>0</v>
      </c>
      <c r="D179" s="139">
        <f>-'TB_31.03.2026 (Links)'!H123</f>
        <v>397223.74</v>
      </c>
      <c r="E179" s="102">
        <v>534581.34</v>
      </c>
      <c r="F179" s="102">
        <f>B179+D179</f>
        <v>397223.74</v>
      </c>
      <c r="G179" s="102">
        <f>C179+E179</f>
        <v>534581.34</v>
      </c>
    </row>
    <row r="180" spans="1:7">
      <c r="A180" s="111" t="s">
        <v>543</v>
      </c>
      <c r="B180" s="139">
        <v>0</v>
      </c>
      <c r="C180" s="139">
        <v>0</v>
      </c>
      <c r="D180" s="139">
        <f>-'TB_31.03.2026 (Links)'!H204</f>
        <v>362900000</v>
      </c>
      <c r="E180" s="102">
        <v>0</v>
      </c>
      <c r="F180" s="102">
        <f>B180+D180</f>
        <v>362900000</v>
      </c>
      <c r="G180" s="102">
        <f>C180+E180</f>
        <v>0</v>
      </c>
    </row>
    <row r="181" spans="1:7">
      <c r="A181" s="101" t="s">
        <v>12</v>
      </c>
      <c r="B181" s="101"/>
      <c r="C181" s="100"/>
      <c r="D181" s="440"/>
      <c r="E181" s="104" t="s">
        <v>12</v>
      </c>
      <c r="F181" s="300"/>
      <c r="G181" s="300"/>
    </row>
    <row r="182" spans="1:7">
      <c r="A182" s="105" t="s">
        <v>96</v>
      </c>
      <c r="B182" s="105"/>
      <c r="C182" s="106">
        <f>SUM(C178:C181)</f>
        <v>0</v>
      </c>
      <c r="D182" s="441">
        <f>SUM(D178:D181)</f>
        <v>363297223.74000001</v>
      </c>
      <c r="E182" s="106">
        <f>SUM(E178:E181)</f>
        <v>534581.34</v>
      </c>
      <c r="F182" s="106">
        <f>SUM(F178:F181)</f>
        <v>363297223.74000001</v>
      </c>
      <c r="G182" s="106">
        <f>SUM(G178:G181)</f>
        <v>534581.34</v>
      </c>
    </row>
    <row r="184" spans="1:7" ht="18" customHeight="1">
      <c r="A184" s="806" t="s">
        <v>221</v>
      </c>
      <c r="B184" s="806"/>
      <c r="C184" s="806"/>
      <c r="D184" s="806"/>
      <c r="E184" s="806"/>
      <c r="F184" s="280"/>
    </row>
    <row r="185" spans="1:7" ht="18" customHeight="1">
      <c r="A185" s="807" t="s">
        <v>198</v>
      </c>
      <c r="B185" s="807"/>
      <c r="C185" s="807"/>
      <c r="D185" s="807"/>
      <c r="E185" s="807" t="s">
        <v>12</v>
      </c>
      <c r="F185" s="807"/>
      <c r="G185" s="807"/>
    </row>
    <row r="186" spans="1:7">
      <c r="A186" s="808" t="s">
        <v>3</v>
      </c>
      <c r="B186" s="810" t="s">
        <v>5</v>
      </c>
      <c r="C186" s="810"/>
      <c r="D186" s="811" t="s">
        <v>6</v>
      </c>
      <c r="E186" s="812"/>
      <c r="F186" s="434" t="s">
        <v>7</v>
      </c>
      <c r="G186" s="434"/>
    </row>
    <row r="187" spans="1:7" ht="28.5">
      <c r="A187" s="809"/>
      <c r="B187" s="282" t="str">
        <f t="shared" ref="B187:G187" si="30">B4</f>
        <v>Figures as at the end of 31.03.2026</v>
      </c>
      <c r="C187" s="283" t="str">
        <f t="shared" si="30"/>
        <v>Figures as at the end of 31.03.2025</v>
      </c>
      <c r="D187" s="435" t="str">
        <f t="shared" si="30"/>
        <v>Figures as at the end of 31.03.2026</v>
      </c>
      <c r="E187" s="95" t="str">
        <f t="shared" si="30"/>
        <v>Figures as at the end of 31.03.2025</v>
      </c>
      <c r="F187" s="95" t="str">
        <f t="shared" si="30"/>
        <v>Figures as at the end of 31.03.2026</v>
      </c>
      <c r="G187" s="95" t="str">
        <f t="shared" si="30"/>
        <v>Figures as at the end of 31.03.2025</v>
      </c>
    </row>
    <row r="188" spans="1:7">
      <c r="A188" s="111" t="s">
        <v>199</v>
      </c>
      <c r="B188" s="112">
        <v>0</v>
      </c>
      <c r="C188" s="112">
        <v>0</v>
      </c>
      <c r="D188" s="444">
        <f>-'TB_31.03.2026 (Links)'!H125</f>
        <v>2867899.82</v>
      </c>
      <c r="E188" s="102">
        <v>62200</v>
      </c>
      <c r="F188" s="102">
        <f t="shared" ref="F188:G190" si="31">B188+D188</f>
        <v>2867899.82</v>
      </c>
      <c r="G188" s="102">
        <f t="shared" si="31"/>
        <v>62200</v>
      </c>
    </row>
    <row r="189" spans="1:7">
      <c r="A189" s="111" t="s">
        <v>200</v>
      </c>
      <c r="B189" s="112">
        <v>0</v>
      </c>
      <c r="C189" s="112">
        <v>0</v>
      </c>
      <c r="D189" s="112">
        <v>0</v>
      </c>
      <c r="E189" s="102">
        <v>34560</v>
      </c>
      <c r="F189" s="102">
        <f t="shared" si="31"/>
        <v>0</v>
      </c>
      <c r="G189" s="102">
        <f t="shared" si="31"/>
        <v>34560</v>
      </c>
    </row>
    <row r="190" spans="1:7">
      <c r="A190" s="111" t="s">
        <v>201</v>
      </c>
      <c r="B190" s="112">
        <v>0</v>
      </c>
      <c r="C190" s="112">
        <v>0</v>
      </c>
      <c r="D190" s="112">
        <v>0</v>
      </c>
      <c r="E190" s="102">
        <v>1277.001</v>
      </c>
      <c r="F190" s="102">
        <f t="shared" si="31"/>
        <v>0</v>
      </c>
      <c r="G190" s="102">
        <f t="shared" si="31"/>
        <v>1277.001</v>
      </c>
    </row>
    <row r="191" spans="1:7">
      <c r="A191" s="305" t="s">
        <v>542</v>
      </c>
      <c r="B191" s="101"/>
      <c r="C191" s="100"/>
      <c r="D191" s="440">
        <f>-'TB_31.03.2026 (Links)'!H203</f>
        <v>6530</v>
      </c>
      <c r="E191" s="104">
        <v>0</v>
      </c>
      <c r="F191" s="102">
        <f t="shared" ref="F191" si="32">B191+D191</f>
        <v>6530</v>
      </c>
      <c r="G191" s="102">
        <f t="shared" ref="G191" si="33">C191+E191</f>
        <v>0</v>
      </c>
    </row>
    <row r="192" spans="1:7">
      <c r="A192" s="305"/>
      <c r="B192" s="101"/>
      <c r="C192" s="100"/>
      <c r="D192" s="440"/>
      <c r="E192" s="104"/>
      <c r="F192" s="102"/>
      <c r="G192" s="102"/>
    </row>
    <row r="193" spans="1:14">
      <c r="A193" s="105" t="s">
        <v>96</v>
      </c>
      <c r="B193" s="106">
        <f>SUM(B188:B191)</f>
        <v>0</v>
      </c>
      <c r="C193" s="106">
        <f>SUM(C188:C191)</f>
        <v>0</v>
      </c>
      <c r="D193" s="441">
        <f>SUM(D188:D191)</f>
        <v>2874429.82</v>
      </c>
      <c r="E193" s="106">
        <f>SUM(E187:E191)</f>
        <v>98037.001000000004</v>
      </c>
      <c r="F193" s="106">
        <f>SUM(F187:F191)</f>
        <v>2874429.82</v>
      </c>
      <c r="G193" s="106">
        <f>SUM(G187:G191)</f>
        <v>98037.001000000004</v>
      </c>
    </row>
    <row r="194" spans="1:14">
      <c r="A194" s="140" t="s">
        <v>12</v>
      </c>
      <c r="B194" s="140"/>
      <c r="C194" s="141"/>
      <c r="D194" s="454"/>
    </row>
    <row r="195" spans="1:14">
      <c r="A195" s="806" t="s">
        <v>224</v>
      </c>
      <c r="B195" s="806"/>
      <c r="C195" s="806"/>
      <c r="D195" s="806"/>
      <c r="E195" s="806"/>
      <c r="F195" s="280"/>
    </row>
    <row r="196" spans="1:14" ht="19.899999999999999" customHeight="1">
      <c r="A196" s="807" t="s">
        <v>203</v>
      </c>
      <c r="B196" s="807"/>
      <c r="C196" s="807"/>
      <c r="D196" s="807"/>
      <c r="E196" s="807" t="s">
        <v>12</v>
      </c>
      <c r="F196" s="807"/>
      <c r="G196" s="807"/>
    </row>
    <row r="197" spans="1:14">
      <c r="A197" s="808" t="s">
        <v>3</v>
      </c>
      <c r="B197" s="810" t="s">
        <v>5</v>
      </c>
      <c r="C197" s="810"/>
      <c r="D197" s="811" t="s">
        <v>6</v>
      </c>
      <c r="E197" s="812"/>
      <c r="F197" s="434" t="s">
        <v>7</v>
      </c>
      <c r="G197" s="434"/>
      <c r="N197" s="622"/>
    </row>
    <row r="198" spans="1:14" ht="28.5">
      <c r="A198" s="809"/>
      <c r="B198" s="282" t="str">
        <f t="shared" ref="B198:G198" si="34">B4</f>
        <v>Figures as at the end of 31.03.2026</v>
      </c>
      <c r="C198" s="283" t="str">
        <f t="shared" si="34"/>
        <v>Figures as at the end of 31.03.2025</v>
      </c>
      <c r="D198" s="435" t="str">
        <f t="shared" si="34"/>
        <v>Figures as at the end of 31.03.2026</v>
      </c>
      <c r="E198" s="95" t="str">
        <f t="shared" si="34"/>
        <v>Figures as at the end of 31.03.2025</v>
      </c>
      <c r="F198" s="95" t="str">
        <f t="shared" si="34"/>
        <v>Figures as at the end of 31.03.2026</v>
      </c>
      <c r="G198" s="95" t="str">
        <f t="shared" si="34"/>
        <v>Figures as at the end of 31.03.2025</v>
      </c>
    </row>
    <row r="199" spans="1:14">
      <c r="A199" s="119"/>
      <c r="B199" s="495"/>
      <c r="C199" s="120"/>
      <c r="D199" s="448"/>
      <c r="E199" s="120"/>
      <c r="F199" s="120"/>
      <c r="G199" s="120"/>
    </row>
    <row r="200" spans="1:14">
      <c r="A200" s="111" t="s">
        <v>204</v>
      </c>
      <c r="B200" s="377">
        <v>0</v>
      </c>
      <c r="C200" s="112">
        <v>0</v>
      </c>
      <c r="D200" s="444">
        <v>0</v>
      </c>
      <c r="E200" s="102">
        <v>32026700</v>
      </c>
      <c r="F200" s="103">
        <f t="shared" ref="F200:G201" si="35">B200+D200</f>
        <v>0</v>
      </c>
      <c r="G200" s="103">
        <f t="shared" si="35"/>
        <v>32026700</v>
      </c>
    </row>
    <row r="201" spans="1:14">
      <c r="A201" s="111" t="s">
        <v>205</v>
      </c>
      <c r="B201" s="377">
        <v>0</v>
      </c>
      <c r="C201" s="112">
        <v>0</v>
      </c>
      <c r="D201" s="444">
        <f>'TB_31.03.2026 (Links)'!H181</f>
        <v>3102884.95</v>
      </c>
      <c r="E201" s="102">
        <v>60441166.07</v>
      </c>
      <c r="F201" s="103">
        <f t="shared" si="35"/>
        <v>3102884.95</v>
      </c>
      <c r="G201" s="103">
        <f t="shared" si="35"/>
        <v>60441166.07</v>
      </c>
    </row>
    <row r="202" spans="1:14">
      <c r="A202" s="111" t="str">
        <f>'TB_31.03.2026 (Links)'!D182</f>
        <v>Consumption - Plumbing &amp; Sanitary</v>
      </c>
      <c r="B202" s="377">
        <v>0</v>
      </c>
      <c r="C202" s="112">
        <v>0</v>
      </c>
      <c r="D202" s="444">
        <f>'TB_31.03.2026 (Links)'!H182+'TB_31.03.2026 (Links)'!H184</f>
        <v>805366.89</v>
      </c>
      <c r="E202" s="102">
        <v>46641.05</v>
      </c>
      <c r="F202" s="103">
        <f>B202+D202</f>
        <v>805366.89</v>
      </c>
      <c r="G202" s="103">
        <f>C202+E202</f>
        <v>46641.05</v>
      </c>
    </row>
    <row r="203" spans="1:14">
      <c r="A203" s="111" t="s">
        <v>206</v>
      </c>
      <c r="B203" s="377">
        <v>0</v>
      </c>
      <c r="C203" s="112">
        <v>0</v>
      </c>
      <c r="D203" s="444">
        <f>'TB_31.03.2026 (Links)'!H135</f>
        <v>141156509.81</v>
      </c>
      <c r="E203" s="103">
        <v>400138553.14999998</v>
      </c>
      <c r="F203" s="103">
        <f>B203+D203</f>
        <v>141156509.81</v>
      </c>
      <c r="G203" s="103">
        <f t="shared" ref="G203:G217" si="36">C203+E203</f>
        <v>400138553.14999998</v>
      </c>
    </row>
    <row r="204" spans="1:14">
      <c r="A204" s="111" t="s">
        <v>207</v>
      </c>
      <c r="B204" s="377">
        <v>0</v>
      </c>
      <c r="C204" s="112">
        <v>0</v>
      </c>
      <c r="D204" s="444">
        <f>'TB_31.03.2026 (Links)'!H136</f>
        <v>781859</v>
      </c>
      <c r="E204" s="103">
        <v>30032191.129999999</v>
      </c>
      <c r="F204" s="103">
        <f t="shared" ref="F204:F217" si="37">B204+D204</f>
        <v>781859</v>
      </c>
      <c r="G204" s="103">
        <f t="shared" si="36"/>
        <v>30032191.129999999</v>
      </c>
    </row>
    <row r="205" spans="1:14">
      <c r="A205" s="111" t="s">
        <v>209</v>
      </c>
      <c r="B205" s="377">
        <v>0</v>
      </c>
      <c r="C205" s="112">
        <v>0</v>
      </c>
      <c r="D205" s="444">
        <f>'TB_31.03.2026 (Links)'!H126</f>
        <v>134580</v>
      </c>
      <c r="E205" s="103">
        <v>339200</v>
      </c>
      <c r="F205" s="103">
        <f t="shared" si="37"/>
        <v>134580</v>
      </c>
      <c r="G205" s="103">
        <f t="shared" si="36"/>
        <v>339200</v>
      </c>
    </row>
    <row r="206" spans="1:14">
      <c r="A206" s="111" t="s">
        <v>210</v>
      </c>
      <c r="B206" s="377">
        <v>0</v>
      </c>
      <c r="C206" s="112">
        <v>0</v>
      </c>
      <c r="D206" s="444">
        <f>'TB_31.03.2026 (Links)'!H127</f>
        <v>1530094</v>
      </c>
      <c r="E206" s="103">
        <v>2086848</v>
      </c>
      <c r="F206" s="103">
        <f t="shared" si="37"/>
        <v>1530094</v>
      </c>
      <c r="G206" s="103">
        <f t="shared" si="36"/>
        <v>2086848</v>
      </c>
    </row>
    <row r="207" spans="1:14">
      <c r="A207" s="111" t="str">
        <f>'TB_31.03.2026 (Links)'!D156</f>
        <v>Scheme Rebate</v>
      </c>
      <c r="B207" s="377">
        <v>0</v>
      </c>
      <c r="C207" s="118">
        <v>0</v>
      </c>
      <c r="D207" s="459">
        <f>'TB_31.03.2026 (Links)'!H156</f>
        <v>1344000</v>
      </c>
      <c r="E207" s="102">
        <v>0</v>
      </c>
      <c r="F207" s="102">
        <f>B207+D207</f>
        <v>1344000</v>
      </c>
      <c r="G207" s="102">
        <f>C207+E207</f>
        <v>0</v>
      </c>
    </row>
    <row r="208" spans="1:14">
      <c r="A208" s="111" t="s">
        <v>211</v>
      </c>
      <c r="B208" s="377">
        <v>0</v>
      </c>
      <c r="C208" s="112">
        <v>0</v>
      </c>
      <c r="D208" s="444">
        <f>'TB_31.03.2026 (Links)'!H179</f>
        <v>147188</v>
      </c>
      <c r="E208" s="103">
        <v>732600</v>
      </c>
      <c r="F208" s="103">
        <f t="shared" si="37"/>
        <v>147188</v>
      </c>
      <c r="G208" s="103">
        <f t="shared" si="36"/>
        <v>732600</v>
      </c>
    </row>
    <row r="209" spans="1:7">
      <c r="A209" s="111" t="s">
        <v>212</v>
      </c>
      <c r="B209" s="377">
        <v>0</v>
      </c>
      <c r="C209" s="112">
        <v>0</v>
      </c>
      <c r="D209" s="444">
        <f>'TB_31.03.2026 (Links)'!H128</f>
        <v>1399995.4</v>
      </c>
      <c r="E209" s="103">
        <v>2930492</v>
      </c>
      <c r="F209" s="103">
        <f t="shared" si="37"/>
        <v>1399995.4</v>
      </c>
      <c r="G209" s="103">
        <f t="shared" si="36"/>
        <v>2930492</v>
      </c>
    </row>
    <row r="210" spans="1:7">
      <c r="A210" s="111" t="s">
        <v>213</v>
      </c>
      <c r="B210" s="377">
        <v>0</v>
      </c>
      <c r="C210" s="112">
        <v>0</v>
      </c>
      <c r="D210" s="444">
        <f>'TB_31.03.2026 (Links)'!H129</f>
        <v>1193639</v>
      </c>
      <c r="E210" s="103">
        <v>2326406.0699999998</v>
      </c>
      <c r="F210" s="103">
        <f t="shared" si="37"/>
        <v>1193639</v>
      </c>
      <c r="G210" s="103">
        <f t="shared" si="36"/>
        <v>2326406.0699999998</v>
      </c>
    </row>
    <row r="211" spans="1:7">
      <c r="A211" s="111" t="s">
        <v>214</v>
      </c>
      <c r="B211" s="377">
        <v>0</v>
      </c>
      <c r="C211" s="112">
        <v>0</v>
      </c>
      <c r="D211" s="444">
        <f>'TB_31.03.2026 (Links)'!H152</f>
        <v>356579.88</v>
      </c>
      <c r="E211" s="103">
        <v>618332.05000000005</v>
      </c>
      <c r="F211" s="103">
        <f t="shared" si="37"/>
        <v>356579.88</v>
      </c>
      <c r="G211" s="103">
        <f t="shared" si="36"/>
        <v>618332.05000000005</v>
      </c>
    </row>
    <row r="212" spans="1:7">
      <c r="A212" s="111" t="s">
        <v>215</v>
      </c>
      <c r="B212" s="377">
        <v>0</v>
      </c>
      <c r="C212" s="112">
        <v>0</v>
      </c>
      <c r="D212" s="444">
        <f>'TB_31.03.2026 (Links)'!H138</f>
        <v>747310.32</v>
      </c>
      <c r="E212" s="103">
        <v>693879.68</v>
      </c>
      <c r="F212" s="103">
        <f t="shared" si="37"/>
        <v>747310.32</v>
      </c>
      <c r="G212" s="103">
        <f t="shared" si="36"/>
        <v>693879.68</v>
      </c>
    </row>
    <row r="213" spans="1:7">
      <c r="A213" s="111" t="s">
        <v>216</v>
      </c>
      <c r="B213" s="377">
        <v>0</v>
      </c>
      <c r="C213" s="112">
        <v>0</v>
      </c>
      <c r="D213" s="444">
        <f>'TB_31.03.2026 (Links)'!H137</f>
        <v>11628000</v>
      </c>
      <c r="E213" s="103">
        <v>11628000</v>
      </c>
      <c r="F213" s="103">
        <f t="shared" si="37"/>
        <v>11628000</v>
      </c>
      <c r="G213" s="103">
        <f t="shared" si="36"/>
        <v>11628000</v>
      </c>
    </row>
    <row r="214" spans="1:7">
      <c r="A214" s="111" t="s">
        <v>217</v>
      </c>
      <c r="B214" s="377">
        <v>0</v>
      </c>
      <c r="C214" s="112">
        <v>0</v>
      </c>
      <c r="D214" s="444">
        <f>'TB_31.03.2026 (Links)'!H180</f>
        <v>24000</v>
      </c>
      <c r="E214" s="103">
        <v>938100</v>
      </c>
      <c r="F214" s="103">
        <f t="shared" si="37"/>
        <v>24000</v>
      </c>
      <c r="G214" s="103">
        <f t="shared" si="36"/>
        <v>938100</v>
      </c>
    </row>
    <row r="215" spans="1:7">
      <c r="A215" s="111" t="s">
        <v>218</v>
      </c>
      <c r="B215" s="377">
        <v>0</v>
      </c>
      <c r="C215" s="112">
        <v>0</v>
      </c>
      <c r="D215" s="444">
        <f>'TB_31.03.2026 (Links)'!H131</f>
        <v>764422</v>
      </c>
      <c r="E215" s="103">
        <v>1479902</v>
      </c>
      <c r="F215" s="103">
        <f t="shared" si="37"/>
        <v>764422</v>
      </c>
      <c r="G215" s="103">
        <f t="shared" si="36"/>
        <v>1479902</v>
      </c>
    </row>
    <row r="216" spans="1:7">
      <c r="A216" s="111" t="s">
        <v>219</v>
      </c>
      <c r="B216" s="377">
        <v>0</v>
      </c>
      <c r="C216" s="112">
        <v>0</v>
      </c>
      <c r="D216" s="444">
        <f>'TB_31.03.2026 (Links)'!H185</f>
        <v>14214357.970000001</v>
      </c>
      <c r="E216" s="103">
        <v>47264337.200000003</v>
      </c>
      <c r="F216" s="103">
        <f t="shared" si="37"/>
        <v>14214357.970000001</v>
      </c>
      <c r="G216" s="103">
        <f t="shared" si="36"/>
        <v>47264337.200000003</v>
      </c>
    </row>
    <row r="217" spans="1:7">
      <c r="A217" s="111" t="s">
        <v>220</v>
      </c>
      <c r="B217" s="377">
        <v>0</v>
      </c>
      <c r="C217" s="112">
        <v>0</v>
      </c>
      <c r="D217" s="444">
        <f>'TB_31.03.2026 (Links)'!H186</f>
        <v>14214357.970000001</v>
      </c>
      <c r="E217" s="103">
        <v>47264337.200000003</v>
      </c>
      <c r="F217" s="103">
        <f t="shared" si="37"/>
        <v>14214357.970000001</v>
      </c>
      <c r="G217" s="103">
        <f t="shared" si="36"/>
        <v>47264337.200000003</v>
      </c>
    </row>
    <row r="218" spans="1:7">
      <c r="A218" s="111" t="s">
        <v>1549</v>
      </c>
      <c r="B218" s="377">
        <v>0</v>
      </c>
      <c r="C218" s="377">
        <v>0</v>
      </c>
      <c r="D218" s="459">
        <f>'TB_31.03.2026 (Links)'!K139</f>
        <v>47912268</v>
      </c>
      <c r="E218" s="377">
        <v>0</v>
      </c>
      <c r="F218" s="102">
        <f>B218+D218</f>
        <v>47912268</v>
      </c>
      <c r="G218" s="102">
        <f>C218+E218</f>
        <v>0</v>
      </c>
    </row>
    <row r="219" spans="1:7">
      <c r="A219" s="111"/>
      <c r="B219" s="377"/>
      <c r="C219" s="377"/>
      <c r="D219" s="459"/>
      <c r="E219" s="377"/>
      <c r="F219" s="102"/>
      <c r="G219" s="102"/>
    </row>
    <row r="220" spans="1:7">
      <c r="A220" s="109" t="s">
        <v>5985</v>
      </c>
      <c r="B220" s="377"/>
      <c r="C220" s="112"/>
      <c r="D220" s="444"/>
      <c r="E220" s="103"/>
      <c r="F220" s="103"/>
      <c r="G220" s="103"/>
    </row>
    <row r="221" spans="1:7">
      <c r="A221" s="109"/>
      <c r="B221" s="377"/>
      <c r="C221" s="112"/>
      <c r="D221" s="444"/>
      <c r="E221" s="103"/>
      <c r="F221" s="103"/>
      <c r="G221" s="103"/>
    </row>
    <row r="222" spans="1:7">
      <c r="A222" s="116" t="s">
        <v>247</v>
      </c>
      <c r="B222" s="379"/>
      <c r="C222" s="117"/>
      <c r="D222" s="447"/>
      <c r="E222" s="104" t="s">
        <v>12</v>
      </c>
      <c r="F222" s="102"/>
      <c r="G222" s="102"/>
    </row>
    <row r="223" spans="1:7">
      <c r="A223" s="111" t="s">
        <v>248</v>
      </c>
      <c r="B223" s="377">
        <v>0</v>
      </c>
      <c r="C223" s="118">
        <v>0</v>
      </c>
      <c r="D223" s="139">
        <f>'TB_31.03.2026 (Links)'!H155</f>
        <v>15705482.98</v>
      </c>
      <c r="E223" s="102">
        <v>148295399.19</v>
      </c>
      <c r="F223" s="102">
        <f t="shared" ref="F223:G227" si="38">B223+D223</f>
        <v>15705482.98</v>
      </c>
      <c r="G223" s="102">
        <f t="shared" si="38"/>
        <v>148295399.19</v>
      </c>
    </row>
    <row r="224" spans="1:7">
      <c r="A224" s="111" t="s">
        <v>249</v>
      </c>
      <c r="B224" s="377">
        <v>0</v>
      </c>
      <c r="C224" s="118">
        <v>0</v>
      </c>
      <c r="D224" s="139">
        <v>0</v>
      </c>
      <c r="E224" s="102">
        <v>34843749</v>
      </c>
      <c r="F224" s="102">
        <f t="shared" si="38"/>
        <v>0</v>
      </c>
      <c r="G224" s="102">
        <f t="shared" si="38"/>
        <v>34843749</v>
      </c>
    </row>
    <row r="225" spans="1:11">
      <c r="A225" s="111" t="s">
        <v>250</v>
      </c>
      <c r="B225" s="377">
        <v>0</v>
      </c>
      <c r="C225" s="118">
        <v>0</v>
      </c>
      <c r="D225" s="139">
        <f>'TB_31.03.2026 (Links)'!H157</f>
        <v>1886929.64</v>
      </c>
      <c r="E225" s="102">
        <v>8950906.8499999996</v>
      </c>
      <c r="F225" s="102">
        <f t="shared" si="38"/>
        <v>1886929.64</v>
      </c>
      <c r="G225" s="102">
        <f t="shared" si="38"/>
        <v>8950906.8499999996</v>
      </c>
    </row>
    <row r="226" spans="1:11">
      <c r="A226" s="111" t="s">
        <v>252</v>
      </c>
      <c r="B226" s="377">
        <v>0</v>
      </c>
      <c r="C226" s="118">
        <v>0</v>
      </c>
      <c r="D226" s="139">
        <f>'TB_31.03.2026 (Links)'!H158+'TB_31.03.2026 (Links)'!H200+'TB_31.03.2026 (Links)'!H159</f>
        <v>3600848.1399999997</v>
      </c>
      <c r="E226" s="102">
        <f>27138382.3+9060442.12</f>
        <v>36198824.420000002</v>
      </c>
      <c r="F226" s="102">
        <f t="shared" si="38"/>
        <v>3600848.1399999997</v>
      </c>
      <c r="G226" s="102">
        <f t="shared" si="38"/>
        <v>36198824.420000002</v>
      </c>
    </row>
    <row r="227" spans="1:11">
      <c r="A227" s="111" t="s">
        <v>254</v>
      </c>
      <c r="B227" s="377">
        <v>0</v>
      </c>
      <c r="C227" s="118">
        <v>0</v>
      </c>
      <c r="D227" s="139">
        <f>'TB_31.03.2026 (Links)'!H160</f>
        <v>250000</v>
      </c>
      <c r="E227" s="102">
        <f>2014500+190024.45</f>
        <v>2204524.4500000002</v>
      </c>
      <c r="F227" s="102">
        <f t="shared" si="38"/>
        <v>250000</v>
      </c>
      <c r="G227" s="102">
        <f t="shared" si="38"/>
        <v>2204524.4500000002</v>
      </c>
    </row>
    <row r="228" spans="1:11">
      <c r="A228" s="111"/>
      <c r="B228" s="377"/>
      <c r="C228" s="118"/>
      <c r="D228" s="139"/>
      <c r="E228" s="102"/>
      <c r="F228" s="102"/>
      <c r="G228" s="102"/>
      <c r="J228" s="94" t="s">
        <v>5979</v>
      </c>
      <c r="K228" s="621">
        <v>199999750</v>
      </c>
    </row>
    <row r="229" spans="1:11">
      <c r="A229" s="116" t="s">
        <v>242</v>
      </c>
      <c r="B229" s="377">
        <v>0</v>
      </c>
      <c r="C229" s="158"/>
      <c r="D229" s="447"/>
      <c r="E229" s="104" t="s">
        <v>12</v>
      </c>
      <c r="F229" s="102"/>
      <c r="G229" s="102"/>
      <c r="J229" s="94" t="s">
        <v>5980</v>
      </c>
      <c r="K229" s="621">
        <v>120321694</v>
      </c>
    </row>
    <row r="230" spans="1:11">
      <c r="A230" s="111" t="s">
        <v>243</v>
      </c>
      <c r="B230" s="377">
        <v>0</v>
      </c>
      <c r="C230" s="118">
        <v>0</v>
      </c>
      <c r="D230" s="139">
        <f>'TB_31.03.2026 (Links)'!H190</f>
        <v>1895031.9599999997</v>
      </c>
      <c r="E230" s="102">
        <v>16228346.66</v>
      </c>
      <c r="F230" s="102">
        <f t="shared" ref="F230:G232" si="39">B230+D230</f>
        <v>1895031.9599999997</v>
      </c>
      <c r="G230" s="102">
        <f t="shared" si="39"/>
        <v>16228346.66</v>
      </c>
      <c r="J230" s="94" t="s">
        <v>5981</v>
      </c>
      <c r="K230" s="682">
        <v>2913976089.2618318</v>
      </c>
    </row>
    <row r="231" spans="1:11">
      <c r="A231" s="111" t="s">
        <v>244</v>
      </c>
      <c r="B231" s="377">
        <v>0</v>
      </c>
      <c r="C231" s="118">
        <v>0</v>
      </c>
      <c r="D231" s="139">
        <f>'TB_31.03.2026 (Links)'!H191</f>
        <v>1895031.9599999997</v>
      </c>
      <c r="E231" s="102">
        <v>16228346.66</v>
      </c>
      <c r="F231" s="102">
        <f t="shared" si="39"/>
        <v>1895031.9599999997</v>
      </c>
      <c r="G231" s="102">
        <f t="shared" si="39"/>
        <v>16228346.66</v>
      </c>
    </row>
    <row r="232" spans="1:11">
      <c r="A232" s="111" t="s">
        <v>245</v>
      </c>
      <c r="B232" s="377">
        <v>0</v>
      </c>
      <c r="C232" s="118">
        <v>0</v>
      </c>
      <c r="D232" s="139">
        <f>'TB_31.03.2026 (Links)'!H192</f>
        <v>0</v>
      </c>
      <c r="E232" s="102">
        <v>2805791.05</v>
      </c>
      <c r="F232" s="102">
        <f t="shared" si="39"/>
        <v>0</v>
      </c>
      <c r="G232" s="102">
        <f t="shared" si="39"/>
        <v>2805791.05</v>
      </c>
    </row>
    <row r="233" spans="1:11">
      <c r="A233" s="111"/>
      <c r="B233" s="377"/>
      <c r="C233" s="118"/>
      <c r="D233" s="139"/>
      <c r="E233" s="102"/>
      <c r="F233" s="102"/>
      <c r="G233" s="102"/>
    </row>
    <row r="234" spans="1:11">
      <c r="A234" s="111" t="s">
        <v>237</v>
      </c>
      <c r="B234" s="377">
        <v>0</v>
      </c>
      <c r="C234" s="118">
        <v>1004</v>
      </c>
      <c r="D234" s="139">
        <f>'TB_31.03.2026 (Links)'!H132</f>
        <v>20106.04</v>
      </c>
      <c r="E234" s="102">
        <v>0</v>
      </c>
      <c r="F234" s="102">
        <f t="shared" ref="F234:G238" si="40">B234+D234</f>
        <v>20106.04</v>
      </c>
      <c r="G234" s="102">
        <f t="shared" si="40"/>
        <v>1004</v>
      </c>
    </row>
    <row r="235" spans="1:11">
      <c r="A235" s="111" t="s">
        <v>5993</v>
      </c>
      <c r="B235" s="377">
        <v>0</v>
      </c>
      <c r="C235" s="118">
        <v>0</v>
      </c>
      <c r="D235" s="118">
        <v>0</v>
      </c>
      <c r="E235" s="102">
        <v>43215</v>
      </c>
      <c r="F235" s="102">
        <f t="shared" si="40"/>
        <v>0</v>
      </c>
      <c r="G235" s="102">
        <f t="shared" si="40"/>
        <v>43215</v>
      </c>
    </row>
    <row r="236" spans="1:11">
      <c r="A236" s="111" t="s">
        <v>240</v>
      </c>
      <c r="B236" s="377">
        <v>0</v>
      </c>
      <c r="C236" s="118">
        <v>4830</v>
      </c>
      <c r="D236" s="118">
        <v>0</v>
      </c>
      <c r="E236" s="118">
        <v>0</v>
      </c>
      <c r="F236" s="102">
        <f t="shared" si="40"/>
        <v>0</v>
      </c>
      <c r="G236" s="102">
        <f t="shared" si="40"/>
        <v>4830</v>
      </c>
    </row>
    <row r="237" spans="1:11">
      <c r="A237" s="111" t="str">
        <f>'TB_31.03.2026 (Links)'!D130</f>
        <v>PCMC Scrutiny Fees</v>
      </c>
      <c r="B237" s="377">
        <v>0</v>
      </c>
      <c r="C237" s="377">
        <v>0</v>
      </c>
      <c r="D237" s="459">
        <f>'TB_31.03.2026 (Links)'!H130</f>
        <v>671500</v>
      </c>
      <c r="E237" s="377">
        <v>0</v>
      </c>
      <c r="F237" s="102">
        <f t="shared" si="40"/>
        <v>671500</v>
      </c>
      <c r="G237" s="102">
        <f t="shared" si="40"/>
        <v>0</v>
      </c>
    </row>
    <row r="238" spans="1:11">
      <c r="A238" s="111" t="s">
        <v>238</v>
      </c>
      <c r="B238" s="377">
        <v>0</v>
      </c>
      <c r="C238" s="118">
        <v>0</v>
      </c>
      <c r="D238" s="118">
        <v>0</v>
      </c>
      <c r="E238" s="102">
        <v>4956</v>
      </c>
      <c r="F238" s="102">
        <f t="shared" si="40"/>
        <v>0</v>
      </c>
      <c r="G238" s="102">
        <f t="shared" si="40"/>
        <v>4956</v>
      </c>
    </row>
    <row r="239" spans="1:11">
      <c r="A239" s="378"/>
      <c r="B239" s="377"/>
      <c r="C239" s="112"/>
      <c r="D239" s="444"/>
      <c r="E239" s="102"/>
      <c r="F239" s="112"/>
      <c r="G239" s="112"/>
    </row>
    <row r="240" spans="1:11">
      <c r="A240" s="105" t="s">
        <v>96</v>
      </c>
      <c r="B240" s="136">
        <f t="shared" ref="B240:G240" si="41">SUM(B199:B238)</f>
        <v>0</v>
      </c>
      <c r="C240" s="136">
        <f t="shared" si="41"/>
        <v>5834</v>
      </c>
      <c r="D240" s="136">
        <f t="shared" si="41"/>
        <v>267382343.90999997</v>
      </c>
      <c r="E240" s="136">
        <f t="shared" si="41"/>
        <v>906791744.88000011</v>
      </c>
      <c r="F240" s="136">
        <f t="shared" si="41"/>
        <v>267382343.90999997</v>
      </c>
      <c r="G240" s="136">
        <f t="shared" si="41"/>
        <v>906797578.88000011</v>
      </c>
    </row>
    <row r="241" spans="1:7">
      <c r="A241" s="140"/>
      <c r="B241" s="140"/>
      <c r="C241" s="141"/>
      <c r="D241" s="454"/>
    </row>
    <row r="242" spans="1:7">
      <c r="A242" s="806" t="s">
        <v>255</v>
      </c>
      <c r="B242" s="806"/>
      <c r="C242" s="806"/>
      <c r="D242" s="806"/>
      <c r="E242" s="806"/>
      <c r="F242" s="280"/>
    </row>
    <row r="243" spans="1:7" ht="18" customHeight="1">
      <c r="A243" s="815" t="str">
        <f>CONCATENATE("  Changes in Inventories")</f>
        <v xml:space="preserve">  Changes in Inventories</v>
      </c>
      <c r="B243" s="815"/>
      <c r="C243" s="815"/>
      <c r="D243" s="815"/>
      <c r="E243" s="815" t="s">
        <v>12</v>
      </c>
      <c r="F243" s="815"/>
      <c r="G243" s="815"/>
    </row>
    <row r="244" spans="1:7">
      <c r="A244" s="808" t="s">
        <v>3</v>
      </c>
      <c r="B244" s="810" t="s">
        <v>5</v>
      </c>
      <c r="C244" s="810"/>
      <c r="D244" s="811" t="s">
        <v>6</v>
      </c>
      <c r="E244" s="812"/>
      <c r="F244" s="813" t="s">
        <v>7</v>
      </c>
      <c r="G244" s="814"/>
    </row>
    <row r="245" spans="1:7" ht="28.5">
      <c r="A245" s="809"/>
      <c r="B245" s="282" t="str">
        <f t="shared" ref="B245:G245" si="42">B4</f>
        <v>Figures as at the end of 31.03.2026</v>
      </c>
      <c r="C245" s="283" t="str">
        <f t="shared" si="42"/>
        <v>Figures as at the end of 31.03.2025</v>
      </c>
      <c r="D245" s="435" t="str">
        <f t="shared" si="42"/>
        <v>Figures as at the end of 31.03.2026</v>
      </c>
      <c r="E245" s="95" t="str">
        <f t="shared" si="42"/>
        <v>Figures as at the end of 31.03.2025</v>
      </c>
      <c r="F245" s="95" t="str">
        <f t="shared" si="42"/>
        <v>Figures as at the end of 31.03.2026</v>
      </c>
      <c r="G245" s="95" t="str">
        <f t="shared" si="42"/>
        <v>Figures as at the end of 31.03.2025</v>
      </c>
    </row>
    <row r="246" spans="1:7">
      <c r="A246" s="142" t="s">
        <v>222</v>
      </c>
      <c r="B246" s="142"/>
      <c r="C246" s="143"/>
      <c r="D246" s="142"/>
      <c r="E246" s="144"/>
      <c r="F246" s="298"/>
      <c r="G246" s="298"/>
    </row>
    <row r="247" spans="1:7">
      <c r="A247" s="125" t="s">
        <v>165</v>
      </c>
      <c r="B247" s="125">
        <v>0</v>
      </c>
      <c r="C247" s="126">
        <v>0</v>
      </c>
      <c r="D247" s="455">
        <f>'TB_31.03.2026 (Links)'!E9</f>
        <v>2812765648.8299999</v>
      </c>
      <c r="E247" s="102">
        <v>1888422011.98</v>
      </c>
      <c r="F247" s="102">
        <f>B247+D247</f>
        <v>2812765648.8299999</v>
      </c>
      <c r="G247" s="102">
        <f>C247+E247</f>
        <v>1888422011.98</v>
      </c>
    </row>
    <row r="248" spans="1:7">
      <c r="A248" s="125"/>
      <c r="B248" s="125"/>
      <c r="C248" s="126"/>
      <c r="D248" s="125"/>
      <c r="E248" s="145"/>
      <c r="F248" s="300"/>
      <c r="G248" s="300"/>
    </row>
    <row r="249" spans="1:7">
      <c r="A249" s="146" t="s">
        <v>7</v>
      </c>
      <c r="B249" s="146"/>
      <c r="C249" s="147"/>
      <c r="D249" s="456">
        <f>SUM(D247)</f>
        <v>2812765648.8299999</v>
      </c>
      <c r="E249" s="148">
        <f>SUM(E247)</f>
        <v>1888422011.98</v>
      </c>
      <c r="F249" s="148">
        <f>SUM(F247)</f>
        <v>2812765648.8299999</v>
      </c>
      <c r="G249" s="148">
        <f>SUM(G247)</f>
        <v>1888422011.98</v>
      </c>
    </row>
    <row r="250" spans="1:7">
      <c r="A250" s="123" t="s">
        <v>163</v>
      </c>
      <c r="B250" s="123"/>
      <c r="C250" s="149"/>
      <c r="D250" s="457"/>
      <c r="E250" s="150"/>
      <c r="F250" s="298"/>
      <c r="G250" s="298"/>
    </row>
    <row r="251" spans="1:7">
      <c r="A251" s="151" t="s">
        <v>165</v>
      </c>
      <c r="B251" s="151">
        <v>0</v>
      </c>
      <c r="C251" s="152">
        <v>0</v>
      </c>
      <c r="D251" s="151">
        <f>'WIP Final'!B197</f>
        <v>2913976089.2618318</v>
      </c>
      <c r="E251" s="358">
        <f>E120</f>
        <v>2812765648.8299999</v>
      </c>
      <c r="F251" s="102">
        <f>B251+D251</f>
        <v>2913976089.2618318</v>
      </c>
      <c r="G251" s="102">
        <f>C251+E251</f>
        <v>2812765648.8299999</v>
      </c>
    </row>
    <row r="252" spans="1:7">
      <c r="A252" s="151"/>
      <c r="B252" s="151"/>
      <c r="C252" s="153"/>
      <c r="D252" s="458"/>
      <c r="F252" s="300"/>
      <c r="G252" s="300"/>
    </row>
    <row r="253" spans="1:7">
      <c r="A253" s="146" t="s">
        <v>7</v>
      </c>
      <c r="B253" s="146"/>
      <c r="C253" s="147"/>
      <c r="D253" s="456">
        <f>SUM(D251)</f>
        <v>2913976089.2618318</v>
      </c>
      <c r="E253" s="148">
        <f>SUM(E251)</f>
        <v>2812765648.8299999</v>
      </c>
      <c r="F253" s="148">
        <f>SUM(F251)</f>
        <v>2913976089.2618318</v>
      </c>
      <c r="G253" s="148">
        <f>SUM(G251)</f>
        <v>2812765648.8299999</v>
      </c>
    </row>
    <row r="254" spans="1:7">
      <c r="A254" s="154" t="s">
        <v>223</v>
      </c>
      <c r="B254" s="155">
        <f t="shared" ref="B254:G254" si="43">B247-B251</f>
        <v>0</v>
      </c>
      <c r="C254" s="155">
        <f t="shared" si="43"/>
        <v>0</v>
      </c>
      <c r="D254" s="155">
        <f t="shared" si="43"/>
        <v>-101210440.43183184</v>
      </c>
      <c r="E254" s="155">
        <f t="shared" si="43"/>
        <v>-924343636.8499999</v>
      </c>
      <c r="F254" s="155">
        <f t="shared" si="43"/>
        <v>-101210440.43183184</v>
      </c>
      <c r="G254" s="155">
        <f t="shared" si="43"/>
        <v>-924343636.8499999</v>
      </c>
    </row>
    <row r="255" spans="1:7">
      <c r="A255" s="156"/>
      <c r="B255" s="156"/>
      <c r="C255" s="150"/>
      <c r="D255" s="156"/>
      <c r="E255" s="157"/>
      <c r="F255" s="157"/>
    </row>
    <row r="256" spans="1:7" ht="18" customHeight="1">
      <c r="A256" s="806" t="s">
        <v>227</v>
      </c>
      <c r="B256" s="806"/>
      <c r="C256" s="806"/>
      <c r="D256" s="806"/>
      <c r="E256" s="806"/>
      <c r="F256" s="280"/>
    </row>
    <row r="257" spans="1:7" ht="18" customHeight="1">
      <c r="A257" s="807" t="s">
        <v>225</v>
      </c>
      <c r="B257" s="807"/>
      <c r="C257" s="807"/>
      <c r="D257" s="807"/>
      <c r="E257" s="807" t="s">
        <v>12</v>
      </c>
      <c r="F257" s="807"/>
      <c r="G257" s="807"/>
    </row>
    <row r="258" spans="1:7">
      <c r="A258" s="808" t="s">
        <v>3</v>
      </c>
      <c r="B258" s="810" t="s">
        <v>5</v>
      </c>
      <c r="C258" s="810"/>
      <c r="D258" s="811" t="s">
        <v>6</v>
      </c>
      <c r="E258" s="812"/>
      <c r="F258" s="813" t="s">
        <v>7</v>
      </c>
      <c r="G258" s="814"/>
    </row>
    <row r="259" spans="1:7" ht="28.5">
      <c r="A259" s="809"/>
      <c r="B259" s="282" t="str">
        <f t="shared" ref="B259:G259" si="44">B4</f>
        <v>Figures as at the end of 31.03.2026</v>
      </c>
      <c r="C259" s="283" t="str">
        <f t="shared" si="44"/>
        <v>Figures as at the end of 31.03.2025</v>
      </c>
      <c r="D259" s="435" t="str">
        <f t="shared" si="44"/>
        <v>Figures as at the end of 31.03.2026</v>
      </c>
      <c r="E259" s="95" t="str">
        <f t="shared" si="44"/>
        <v>Figures as at the end of 31.03.2025</v>
      </c>
      <c r="F259" s="95" t="str">
        <f t="shared" si="44"/>
        <v>Figures as at the end of 31.03.2026</v>
      </c>
      <c r="G259" s="95" t="str">
        <f t="shared" si="44"/>
        <v>Figures as at the end of 31.03.2025</v>
      </c>
    </row>
    <row r="260" spans="1:7">
      <c r="A260" s="111" t="s">
        <v>487</v>
      </c>
      <c r="B260" s="431">
        <v>0</v>
      </c>
      <c r="C260" s="431">
        <v>0</v>
      </c>
      <c r="D260" s="444">
        <f>'TB_31.03.2026 (Links)'!H161</f>
        <v>1993971</v>
      </c>
      <c r="E260" s="102">
        <f>16021317-E262</f>
        <v>6464277</v>
      </c>
      <c r="F260" s="102">
        <f t="shared" ref="F260:G262" si="45">B260+D260</f>
        <v>1993971</v>
      </c>
      <c r="G260" s="102">
        <f t="shared" si="45"/>
        <v>6464277</v>
      </c>
    </row>
    <row r="261" spans="1:7">
      <c r="A261" s="111" t="s">
        <v>676</v>
      </c>
      <c r="B261" s="431">
        <v>0</v>
      </c>
      <c r="C261" s="431">
        <v>0</v>
      </c>
      <c r="D261" s="444">
        <f>+'TB_31.03.2026 (Links)'!H193-'TB_31.03.2026 (Links)'!P193</f>
        <v>48498771.399999999</v>
      </c>
      <c r="E261" s="102">
        <v>0</v>
      </c>
      <c r="F261" s="102">
        <f t="shared" si="45"/>
        <v>48498771.399999999</v>
      </c>
      <c r="G261" s="102">
        <f t="shared" si="45"/>
        <v>0</v>
      </c>
    </row>
    <row r="262" spans="1:7">
      <c r="A262" s="111" t="s">
        <v>677</v>
      </c>
      <c r="B262" s="431">
        <v>0</v>
      </c>
      <c r="C262" s="431">
        <v>0</v>
      </c>
      <c r="D262" s="444">
        <f>'TB_31.03.2026 (Links)'!P193</f>
        <v>12382060</v>
      </c>
      <c r="E262" s="102">
        <v>9557040</v>
      </c>
      <c r="F262" s="102">
        <f t="shared" si="45"/>
        <v>12382060</v>
      </c>
      <c r="G262" s="102">
        <f t="shared" si="45"/>
        <v>9557040</v>
      </c>
    </row>
    <row r="263" spans="1:7">
      <c r="A263" s="101" t="s">
        <v>12</v>
      </c>
      <c r="B263" s="101"/>
      <c r="C263" s="100"/>
      <c r="D263" s="440"/>
      <c r="E263" s="104" t="s">
        <v>12</v>
      </c>
      <c r="F263" s="300"/>
      <c r="G263" s="300"/>
    </row>
    <row r="264" spans="1:7">
      <c r="A264" s="105" t="s">
        <v>96</v>
      </c>
      <c r="B264" s="106">
        <f t="shared" ref="B264:G264" si="46">SUM(B260:B263)</f>
        <v>0</v>
      </c>
      <c r="C264" s="106">
        <f t="shared" si="46"/>
        <v>0</v>
      </c>
      <c r="D264" s="441">
        <f t="shared" si="46"/>
        <v>62874802.399999999</v>
      </c>
      <c r="E264" s="106">
        <f t="shared" si="46"/>
        <v>16021317</v>
      </c>
      <c r="F264" s="106">
        <f t="shared" si="46"/>
        <v>62874802.399999999</v>
      </c>
      <c r="G264" s="106">
        <f t="shared" si="46"/>
        <v>16021317</v>
      </c>
    </row>
    <row r="266" spans="1:7" ht="18" customHeight="1">
      <c r="A266" s="806" t="s">
        <v>5957</v>
      </c>
      <c r="B266" s="806"/>
      <c r="C266" s="806"/>
      <c r="D266" s="806"/>
      <c r="E266" s="806"/>
      <c r="F266" s="280"/>
    </row>
    <row r="267" spans="1:7" ht="18" customHeight="1">
      <c r="A267" s="807" t="s">
        <v>228</v>
      </c>
      <c r="B267" s="807"/>
      <c r="C267" s="807"/>
      <c r="D267" s="807"/>
      <c r="E267" s="807" t="s">
        <v>12</v>
      </c>
      <c r="F267" s="807"/>
      <c r="G267" s="807"/>
    </row>
    <row r="268" spans="1:7">
      <c r="A268" s="808" t="s">
        <v>3</v>
      </c>
      <c r="B268" s="810" t="s">
        <v>5</v>
      </c>
      <c r="C268" s="810"/>
      <c r="D268" s="811" t="s">
        <v>6</v>
      </c>
      <c r="E268" s="812"/>
      <c r="F268" s="434" t="s">
        <v>7</v>
      </c>
      <c r="G268" s="434"/>
    </row>
    <row r="269" spans="1:7" ht="28.5">
      <c r="A269" s="809"/>
      <c r="B269" s="282" t="str">
        <f t="shared" ref="B269:G269" si="47">B4</f>
        <v>Figures as at the end of 31.03.2026</v>
      </c>
      <c r="C269" s="283" t="str">
        <f t="shared" si="47"/>
        <v>Figures as at the end of 31.03.2025</v>
      </c>
      <c r="D269" s="435" t="str">
        <f t="shared" si="47"/>
        <v>Figures as at the end of 31.03.2026</v>
      </c>
      <c r="E269" s="95" t="str">
        <f t="shared" si="47"/>
        <v>Figures as at the end of 31.03.2025</v>
      </c>
      <c r="F269" s="95" t="str">
        <f t="shared" si="47"/>
        <v>Figures as at the end of 31.03.2026</v>
      </c>
      <c r="G269" s="95" t="str">
        <f t="shared" si="47"/>
        <v>Figures as at the end of 31.03.2025</v>
      </c>
    </row>
    <row r="270" spans="1:7">
      <c r="A270" s="116" t="s">
        <v>229</v>
      </c>
      <c r="B270" s="116"/>
      <c r="C270" s="117"/>
      <c r="D270" s="447"/>
      <c r="E270" s="97"/>
      <c r="F270" s="298"/>
      <c r="G270" s="298"/>
    </row>
    <row r="271" spans="1:7">
      <c r="A271" s="111" t="s">
        <v>230</v>
      </c>
      <c r="B271" s="623">
        <v>0</v>
      </c>
      <c r="C271" s="306">
        <v>2397.7800000000002</v>
      </c>
      <c r="D271" s="669">
        <f>'TB_31.03.2026 (Links)'!H162</f>
        <v>34484.1</v>
      </c>
      <c r="E271" s="103">
        <v>797541.66</v>
      </c>
      <c r="F271" s="103">
        <f t="shared" ref="F271:G271" si="48">B271+D271</f>
        <v>34484.1</v>
      </c>
      <c r="G271" s="103">
        <f t="shared" si="48"/>
        <v>799939.44000000006</v>
      </c>
    </row>
    <row r="272" spans="1:7">
      <c r="A272" s="111" t="s">
        <v>231</v>
      </c>
      <c r="B272" s="623">
        <v>0</v>
      </c>
      <c r="C272" s="112">
        <v>0</v>
      </c>
      <c r="D272" s="669">
        <f>'TB_31.03.2026 (Links)'!H151</f>
        <v>21.32</v>
      </c>
      <c r="E272" s="103">
        <v>0</v>
      </c>
      <c r="F272" s="103">
        <f t="shared" ref="F272" si="49">B272+D272</f>
        <v>21.32</v>
      </c>
      <c r="G272" s="103">
        <f t="shared" ref="G272:G274" si="50">C272+E272</f>
        <v>0</v>
      </c>
    </row>
    <row r="273" spans="1:8">
      <c r="A273" s="111" t="s">
        <v>233</v>
      </c>
      <c r="B273" s="623">
        <v>0</v>
      </c>
      <c r="C273" s="112">
        <v>0</v>
      </c>
      <c r="D273" s="669">
        <f>'TB_31.03.2026 (Links)'!H150</f>
        <v>400573.29</v>
      </c>
      <c r="E273" s="103">
        <f>178649.44+20714</f>
        <v>199363.44</v>
      </c>
      <c r="F273" s="103">
        <f>B273+D273</f>
        <v>400573.29</v>
      </c>
      <c r="G273" s="103">
        <f t="shared" si="50"/>
        <v>199363.44</v>
      </c>
    </row>
    <row r="274" spans="1:8">
      <c r="A274" s="111" t="str">
        <f>'TB_31.03.2026 (Links)'!D148</f>
        <v>Printing &amp; Stationery</v>
      </c>
      <c r="B274" s="623">
        <v>0</v>
      </c>
      <c r="C274" s="623">
        <v>0</v>
      </c>
      <c r="D274" s="669">
        <f>'TB_31.03.2026 (Links)'!H148</f>
        <v>50142.2</v>
      </c>
      <c r="E274" s="623">
        <v>0</v>
      </c>
      <c r="F274" s="103">
        <f>B274+D274</f>
        <v>50142.2</v>
      </c>
      <c r="G274" s="103">
        <f t="shared" si="50"/>
        <v>0</v>
      </c>
    </row>
    <row r="275" spans="1:8">
      <c r="A275" s="101" t="s">
        <v>12</v>
      </c>
      <c r="B275" s="624"/>
      <c r="C275" s="115"/>
      <c r="D275" s="440"/>
      <c r="E275" s="100" t="s">
        <v>12</v>
      </c>
      <c r="F275" s="103"/>
      <c r="G275" s="103"/>
    </row>
    <row r="276" spans="1:8">
      <c r="A276" s="116" t="s">
        <v>234</v>
      </c>
      <c r="B276" s="623">
        <v>0</v>
      </c>
      <c r="C276" s="625"/>
      <c r="D276" s="447"/>
      <c r="E276" s="100" t="s">
        <v>12</v>
      </c>
      <c r="F276" s="103"/>
      <c r="G276" s="103"/>
    </row>
    <row r="277" spans="1:8">
      <c r="A277" s="111" t="s">
        <v>235</v>
      </c>
      <c r="B277" s="623">
        <v>0</v>
      </c>
      <c r="C277" s="306">
        <v>3540</v>
      </c>
      <c r="D277" s="671">
        <f>'TB_31.03.2026 (Links)'!H149</f>
        <v>385000</v>
      </c>
      <c r="E277" s="103">
        <f>528240+497200</f>
        <v>1025440</v>
      </c>
      <c r="F277" s="103">
        <f t="shared" ref="F277:F286" si="51">B277+D277</f>
        <v>385000</v>
      </c>
      <c r="G277" s="103">
        <f t="shared" ref="G277:G286" si="52">C277+E277</f>
        <v>1028980</v>
      </c>
      <c r="H277" s="297" t="s">
        <v>5975</v>
      </c>
    </row>
    <row r="278" spans="1:8">
      <c r="A278" s="111" t="s">
        <v>236</v>
      </c>
      <c r="B278" s="623">
        <v>0</v>
      </c>
      <c r="C278" s="306">
        <v>0</v>
      </c>
      <c r="D278" s="671">
        <f>'TB_31.03.2026 (Links)'!H189</f>
        <v>200000</v>
      </c>
      <c r="E278" s="103">
        <v>200000</v>
      </c>
      <c r="F278" s="103">
        <f t="shared" si="51"/>
        <v>200000</v>
      </c>
      <c r="G278" s="103">
        <f t="shared" si="52"/>
        <v>200000</v>
      </c>
      <c r="H278" s="297" t="s">
        <v>5975</v>
      </c>
    </row>
    <row r="279" spans="1:8">
      <c r="A279" s="111" t="s">
        <v>239</v>
      </c>
      <c r="B279" s="623">
        <v>0</v>
      </c>
      <c r="C279" s="306">
        <v>0</v>
      </c>
      <c r="D279" s="671">
        <f>'TB_31.03.2026 (Links)'!H187</f>
        <v>2500</v>
      </c>
      <c r="E279" s="103">
        <v>2500</v>
      </c>
      <c r="F279" s="103">
        <f t="shared" si="51"/>
        <v>2500</v>
      </c>
      <c r="G279" s="103">
        <f t="shared" si="52"/>
        <v>2500</v>
      </c>
    </row>
    <row r="280" spans="1:8">
      <c r="A280" s="111" t="s">
        <v>241</v>
      </c>
      <c r="B280" s="623">
        <v>0</v>
      </c>
      <c r="C280" s="306">
        <v>18683</v>
      </c>
      <c r="D280" s="671">
        <f>'TB_31.03.2026 (Links)'!H163</f>
        <v>17875</v>
      </c>
      <c r="E280" s="306">
        <v>0</v>
      </c>
      <c r="F280" s="103">
        <f t="shared" si="51"/>
        <v>17875</v>
      </c>
      <c r="G280" s="103">
        <f t="shared" si="52"/>
        <v>18683</v>
      </c>
      <c r="H280" s="677"/>
    </row>
    <row r="281" spans="1:8">
      <c r="A281" s="111"/>
      <c r="B281" s="623"/>
      <c r="C281" s="623"/>
      <c r="D281" s="459"/>
      <c r="E281" s="623"/>
      <c r="F281" s="103"/>
      <c r="G281" s="103"/>
    </row>
    <row r="282" spans="1:8">
      <c r="A282" s="111" t="s">
        <v>1550</v>
      </c>
      <c r="B282" s="623"/>
      <c r="C282" s="623"/>
      <c r="D282" s="670">
        <f>'TB_31.03.2026 (Links)'!L139</f>
        <v>10477308</v>
      </c>
      <c r="E282" s="623"/>
      <c r="F282" s="103">
        <f t="shared" ref="F282" si="53">B282+D282</f>
        <v>10477308</v>
      </c>
      <c r="G282" s="103">
        <f t="shared" ref="G282" si="54">C282+E282</f>
        <v>0</v>
      </c>
    </row>
    <row r="283" spans="1:8">
      <c r="A283" s="111" t="str">
        <f>'TB_31.03.2026 (Links)'!D142</f>
        <v>PF Employer Contribution</v>
      </c>
      <c r="B283" s="623">
        <v>0</v>
      </c>
      <c r="C283" s="623">
        <v>0</v>
      </c>
      <c r="D283" s="670">
        <f>'TB_31.03.2026 (Links)'!H142</f>
        <v>1450574</v>
      </c>
      <c r="E283" s="623">
        <v>0</v>
      </c>
      <c r="F283" s="103">
        <f t="shared" si="51"/>
        <v>1450574</v>
      </c>
      <c r="G283" s="103">
        <f t="shared" si="52"/>
        <v>0</v>
      </c>
    </row>
    <row r="284" spans="1:8">
      <c r="A284" s="111" t="str">
        <f>'TB_31.03.2026 (Links)'!D143</f>
        <v>EDLI Contribution</v>
      </c>
      <c r="B284" s="623">
        <v>0</v>
      </c>
      <c r="C284" s="623">
        <v>0</v>
      </c>
      <c r="D284" s="670">
        <f>'TB_31.03.2026 (Links)'!H143</f>
        <v>60446</v>
      </c>
      <c r="E284" s="623">
        <v>0</v>
      </c>
      <c r="F284" s="103">
        <f t="shared" si="51"/>
        <v>60446</v>
      </c>
      <c r="G284" s="103">
        <f t="shared" si="52"/>
        <v>0</v>
      </c>
      <c r="H284" s="677" t="s">
        <v>5976</v>
      </c>
    </row>
    <row r="285" spans="1:8">
      <c r="A285" s="111" t="str">
        <f>'TB_31.03.2026 (Links)'!D144</f>
        <v>PF Admin Charges</v>
      </c>
      <c r="B285" s="623">
        <v>0</v>
      </c>
      <c r="C285" s="623">
        <v>0</v>
      </c>
      <c r="D285" s="670">
        <f>'TB_31.03.2026 (Links)'!H144</f>
        <v>60440</v>
      </c>
      <c r="E285" s="623">
        <v>0</v>
      </c>
      <c r="F285" s="103">
        <f t="shared" si="51"/>
        <v>60440</v>
      </c>
      <c r="G285" s="103">
        <f t="shared" si="52"/>
        <v>0</v>
      </c>
      <c r="H285" s="677" t="s">
        <v>5976</v>
      </c>
    </row>
    <row r="286" spans="1:8">
      <c r="A286" s="111" t="str">
        <f>'TB_31.03.2026 (Links)'!D147</f>
        <v>MLWF Employer Contribution</v>
      </c>
      <c r="B286" s="623">
        <v>0</v>
      </c>
      <c r="C286" s="623">
        <v>0</v>
      </c>
      <c r="D286" s="670">
        <f>'TB_31.03.2026 (Links)'!H147</f>
        <v>12525</v>
      </c>
      <c r="E286" s="623">
        <v>0</v>
      </c>
      <c r="F286" s="103">
        <f t="shared" si="51"/>
        <v>12525</v>
      </c>
      <c r="G286" s="103">
        <f t="shared" si="52"/>
        <v>0</v>
      </c>
      <c r="H286" s="677" t="s">
        <v>5976</v>
      </c>
    </row>
    <row r="287" spans="1:8">
      <c r="A287" s="101"/>
      <c r="B287" s="624"/>
      <c r="C287" s="115"/>
      <c r="D287" s="440"/>
      <c r="E287" s="115"/>
      <c r="F287" s="103"/>
      <c r="G287" s="103"/>
    </row>
    <row r="288" spans="1:8">
      <c r="A288" s="111" t="s">
        <v>246</v>
      </c>
      <c r="B288" s="623">
        <v>0</v>
      </c>
      <c r="C288" s="626">
        <v>162</v>
      </c>
      <c r="D288" s="671">
        <f>'TB_31.03.2026 (Links)'!H154</f>
        <v>305998</v>
      </c>
      <c r="E288" s="306">
        <v>0</v>
      </c>
      <c r="F288" s="103">
        <f t="shared" ref="F288" si="55">B288+D288</f>
        <v>305998</v>
      </c>
      <c r="G288" s="103">
        <f t="shared" ref="G288" si="56">C288+E288</f>
        <v>162</v>
      </c>
    </row>
    <row r="289" spans="1:7">
      <c r="A289" s="627"/>
      <c r="B289" s="628"/>
      <c r="C289" s="629"/>
      <c r="D289" s="630"/>
      <c r="E289" s="631"/>
      <c r="F289" s="103"/>
      <c r="G289" s="103"/>
    </row>
    <row r="290" spans="1:7">
      <c r="A290" s="111" t="str">
        <f>'TB_31.03.2026 (Links)'!D141</f>
        <v>Conveyance Expenses</v>
      </c>
      <c r="B290" s="623">
        <v>0</v>
      </c>
      <c r="C290" s="306">
        <v>0</v>
      </c>
      <c r="D290" s="671">
        <f>'TB_31.03.2026 (Links)'!H141</f>
        <v>1510470</v>
      </c>
      <c r="E290" s="103">
        <v>0</v>
      </c>
      <c r="F290" s="103">
        <f t="shared" ref="F290:F293" si="57">B290+D290</f>
        <v>1510470</v>
      </c>
      <c r="G290" s="103">
        <f t="shared" ref="G290:G293" si="58">C290+E290</f>
        <v>0</v>
      </c>
    </row>
    <row r="291" spans="1:7">
      <c r="A291" s="111" t="str">
        <f>'TB_31.03.2026 (Links)'!D153</f>
        <v>Out of Pocket Expences</v>
      </c>
      <c r="B291" s="623">
        <v>0</v>
      </c>
      <c r="C291" s="306">
        <v>0</v>
      </c>
      <c r="D291" s="670">
        <f>'TB_31.03.2026 (Links)'!H153</f>
        <v>6562</v>
      </c>
      <c r="E291" s="103">
        <v>0</v>
      </c>
      <c r="F291" s="103">
        <f t="shared" si="57"/>
        <v>6562</v>
      </c>
      <c r="G291" s="103">
        <f t="shared" si="58"/>
        <v>0</v>
      </c>
    </row>
    <row r="292" spans="1:7">
      <c r="A292" s="111" t="s">
        <v>485</v>
      </c>
      <c r="B292" s="623">
        <v>0</v>
      </c>
      <c r="C292" s="306">
        <v>0</v>
      </c>
      <c r="D292" s="305">
        <f>+'TB_31.03.2026 (Links)'!H201</f>
        <v>1000000</v>
      </c>
      <c r="E292" s="103">
        <v>0</v>
      </c>
      <c r="F292" s="103">
        <f>B292+D292</f>
        <v>1000000</v>
      </c>
      <c r="G292" s="103">
        <f>C292+E292</f>
        <v>0</v>
      </c>
    </row>
    <row r="293" spans="1:7">
      <c r="A293" s="111" t="s">
        <v>545</v>
      </c>
      <c r="B293" s="623">
        <v>0</v>
      </c>
      <c r="C293" s="306">
        <v>0</v>
      </c>
      <c r="D293" s="459">
        <f>'TB_31.03.2026 (Links)'!H206</f>
        <v>88645</v>
      </c>
      <c r="E293" s="103">
        <v>0</v>
      </c>
      <c r="F293" s="103">
        <f t="shared" si="57"/>
        <v>88645</v>
      </c>
      <c r="G293" s="103">
        <f t="shared" si="58"/>
        <v>0</v>
      </c>
    </row>
    <row r="294" spans="1:7">
      <c r="A294" s="111" t="str">
        <f>'TB_31.03.2026 (Links)'!D188</f>
        <v>Insurance Charges</v>
      </c>
      <c r="B294" s="623">
        <v>0</v>
      </c>
      <c r="C294" s="112">
        <v>0</v>
      </c>
      <c r="D294" s="669">
        <f>'TB_31.03.2026 (Links)'!H188</f>
        <v>425113.94</v>
      </c>
      <c r="E294" s="103">
        <v>0</v>
      </c>
      <c r="F294" s="112">
        <f>B294+D294</f>
        <v>425113.94</v>
      </c>
      <c r="G294" s="103">
        <f>C294+E294</f>
        <v>0</v>
      </c>
    </row>
    <row r="295" spans="1:7">
      <c r="A295" s="378" t="s">
        <v>5994</v>
      </c>
      <c r="B295" s="623">
        <v>0</v>
      </c>
      <c r="C295" s="112">
        <v>0</v>
      </c>
      <c r="D295" s="669">
        <f>'TB_31.03.2026 (Links)'!H205</f>
        <v>300000</v>
      </c>
      <c r="E295" s="103">
        <v>0</v>
      </c>
      <c r="F295" s="112">
        <f>B295+D295</f>
        <v>300000</v>
      </c>
      <c r="G295" s="103">
        <f>C295+E295</f>
        <v>0</v>
      </c>
    </row>
    <row r="296" spans="1:7">
      <c r="A296" s="101" t="s">
        <v>12</v>
      </c>
      <c r="B296" s="101"/>
      <c r="C296" s="100"/>
      <c r="D296" s="440"/>
      <c r="E296" s="100" t="s">
        <v>12</v>
      </c>
      <c r="F296" s="300">
        <f t="shared" ref="F296" si="59">B296+D296</f>
        <v>0</v>
      </c>
      <c r="G296" s="300"/>
    </row>
    <row r="297" spans="1:7">
      <c r="A297" s="105" t="s">
        <v>96</v>
      </c>
      <c r="B297" s="106">
        <f t="shared" ref="B297:F297" si="60">SUM(B271:B296)</f>
        <v>0</v>
      </c>
      <c r="C297" s="106">
        <f t="shared" si="60"/>
        <v>24782.78</v>
      </c>
      <c r="D297" s="106">
        <f t="shared" si="60"/>
        <v>16788677.850000001</v>
      </c>
      <c r="E297" s="106">
        <f t="shared" si="60"/>
        <v>2224845.1</v>
      </c>
      <c r="F297" s="106">
        <f t="shared" si="60"/>
        <v>16788677.850000001</v>
      </c>
      <c r="G297" s="106">
        <f>SUM(G271:G296)</f>
        <v>2249627.88</v>
      </c>
    </row>
    <row r="298" spans="1:7" ht="18" customHeight="1">
      <c r="C298" s="511"/>
    </row>
  </sheetData>
  <customSheetViews>
    <customSheetView guid="{B8A679C5-B961-4392-BACF-6DDFA7297AAE}" scale="80" showPageBreaks="1" showGridLines="0" fitToPage="1" printArea="1" topLeftCell="A115">
      <selection activeCell="A21" sqref="A21:XFD21"/>
      <rowBreaks count="4" manualBreakCount="4">
        <brk id="71" max="6" man="1"/>
        <brk id="120" max="6" man="1"/>
        <brk id="167" max="6" man="1"/>
        <brk id="227" max="6" man="1"/>
      </rowBreaks>
      <pageMargins left="0.70866141732283472" right="0.39370078740157483" top="0.6692913385826772" bottom="0.23622047244094491" header="0.19685039370078741" footer="0.19685039370078741"/>
      <printOptions horizontalCentered="1"/>
      <pageSetup paperSize="9" scale="10" orientation="landscape" r:id="rId1"/>
    </customSheetView>
    <customSheetView guid="{DEA14913-9729-4C6C-B479-A92A59FB4580}" scale="46" showGridLines="0" fitToPage="1" printArea="1" topLeftCell="A8">
      <selection activeCell="A27" sqref="A27"/>
      <rowBreaks count="4" manualBreakCount="4">
        <brk id="71" max="6" man="1"/>
        <brk id="120" max="6" man="1"/>
        <brk id="167" max="6" man="1"/>
        <brk id="227" max="6" man="1"/>
      </rowBreaks>
      <pageMargins left="0.70866141732283472" right="0.39370078740157483" top="0.6692913385826772" bottom="0.23622047244094491" header="0.19685039370078741" footer="0.19685039370078741"/>
      <printOptions horizontalCentered="1"/>
      <pageSetup paperSize="9" scale="10" orientation="landscape" r:id="rId2"/>
    </customSheetView>
    <customSheetView guid="{8C4DF1F4-EAB1-489E-8362-1E2D3E732D13}" scale="80" showGridLines="0" fitToPage="1" topLeftCell="A301">
      <selection activeCell="A335" sqref="A335"/>
      <rowBreaks count="4" manualBreakCount="4">
        <brk id="71" max="6" man="1"/>
        <brk id="127" max="6" man="1"/>
        <brk id="178" max="6" man="1"/>
        <brk id="260" max="6" man="1"/>
      </rowBreaks>
      <pageMargins left="0.70866141732283472" right="0.39370078740157483" top="0.6692913385826772" bottom="0.23622047244094491" header="0.19685039370078741" footer="0.19685039370078741"/>
      <printOptions horizontalCentered="1"/>
      <pageSetup paperSize="9" scale="10" orientation="landscape" r:id="rId3"/>
    </customSheetView>
  </customSheetViews>
  <mergeCells count="93">
    <mergeCell ref="A12:E12"/>
    <mergeCell ref="A13:G13"/>
    <mergeCell ref="A14:A15"/>
    <mergeCell ref="B14:C14"/>
    <mergeCell ref="D14:E14"/>
    <mergeCell ref="F14:G14"/>
    <mergeCell ref="A1:E1"/>
    <mergeCell ref="A2:G2"/>
    <mergeCell ref="A3:A4"/>
    <mergeCell ref="B3:C3"/>
    <mergeCell ref="D3:E3"/>
    <mergeCell ref="F3:G3"/>
    <mergeCell ref="A22:E22"/>
    <mergeCell ref="A23:G23"/>
    <mergeCell ref="A24:A25"/>
    <mergeCell ref="B24:C24"/>
    <mergeCell ref="D24:E24"/>
    <mergeCell ref="F24:G24"/>
    <mergeCell ref="A45:E45"/>
    <mergeCell ref="A46:G46"/>
    <mergeCell ref="A47:A48"/>
    <mergeCell ref="B47:C47"/>
    <mergeCell ref="D47:E47"/>
    <mergeCell ref="F47:G47"/>
    <mergeCell ref="A63:E63"/>
    <mergeCell ref="A64:G64"/>
    <mergeCell ref="A65:A66"/>
    <mergeCell ref="F65:G65"/>
    <mergeCell ref="B65:C65"/>
    <mergeCell ref="D65:E65"/>
    <mergeCell ref="A104:E104"/>
    <mergeCell ref="A105:G105"/>
    <mergeCell ref="A106:A107"/>
    <mergeCell ref="B106:C106"/>
    <mergeCell ref="D106:E106"/>
    <mergeCell ref="F106:G106"/>
    <mergeCell ref="A113:E113"/>
    <mergeCell ref="A114:G114"/>
    <mergeCell ref="A115:A116"/>
    <mergeCell ref="F115:G115"/>
    <mergeCell ref="D115:E115"/>
    <mergeCell ref="B115:C115"/>
    <mergeCell ref="A122:E122"/>
    <mergeCell ref="A123:G123"/>
    <mergeCell ref="A124:A125"/>
    <mergeCell ref="B124:C124"/>
    <mergeCell ref="D124:E124"/>
    <mergeCell ref="F124:G124"/>
    <mergeCell ref="A142:E142"/>
    <mergeCell ref="A143:G143"/>
    <mergeCell ref="A144:A145"/>
    <mergeCell ref="F144:G144"/>
    <mergeCell ref="D144:E144"/>
    <mergeCell ref="B144:C144"/>
    <mergeCell ref="A159:E159"/>
    <mergeCell ref="A160:G160"/>
    <mergeCell ref="A161:A162"/>
    <mergeCell ref="B161:C161"/>
    <mergeCell ref="D161:E161"/>
    <mergeCell ref="F161:G161"/>
    <mergeCell ref="A175:E175"/>
    <mergeCell ref="A176:G176"/>
    <mergeCell ref="A177:A178"/>
    <mergeCell ref="F177:G177"/>
    <mergeCell ref="D177:E177"/>
    <mergeCell ref="B177:C177"/>
    <mergeCell ref="A184:E184"/>
    <mergeCell ref="A185:G185"/>
    <mergeCell ref="A186:A187"/>
    <mergeCell ref="B186:C186"/>
    <mergeCell ref="D186:E186"/>
    <mergeCell ref="A195:E195"/>
    <mergeCell ref="A196:G196"/>
    <mergeCell ref="A197:A198"/>
    <mergeCell ref="D197:E197"/>
    <mergeCell ref="B197:C197"/>
    <mergeCell ref="A242:E242"/>
    <mergeCell ref="A243:G243"/>
    <mergeCell ref="A244:A245"/>
    <mergeCell ref="B244:C244"/>
    <mergeCell ref="D244:E244"/>
    <mergeCell ref="F244:G244"/>
    <mergeCell ref="A256:E256"/>
    <mergeCell ref="A257:G257"/>
    <mergeCell ref="A258:A259"/>
    <mergeCell ref="F258:G258"/>
    <mergeCell ref="B258:C258"/>
    <mergeCell ref="D258:E258"/>
    <mergeCell ref="A266:E266"/>
    <mergeCell ref="A267:G267"/>
    <mergeCell ref="A268:A269"/>
    <mergeCell ref="B268:C268"/>
    <mergeCell ref="D268:E268"/>
  </mergeCells>
  <printOptions horizontalCentered="1"/>
  <pageMargins left="0.70866141732283472" right="0.39370078740157483" top="0.6692913385826772" bottom="0.23622047244094491" header="0.19685039370078741" footer="0.19685039370078741"/>
  <pageSetup paperSize="9" scale="14" orientation="portrait" r:id="rId4"/>
  <rowBreaks count="4" manualBreakCount="4">
    <brk id="62" max="6" man="1"/>
    <brk id="112" max="6" man="1"/>
    <brk id="158" max="6" man="1"/>
    <brk id="241" max="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4"/>
  <sheetViews>
    <sheetView showGridLines="0" topLeftCell="A31" zoomScale="70" zoomScaleNormal="70" zoomScaleSheetLayoutView="85" workbookViewId="0">
      <selection sqref="A1:E47"/>
    </sheetView>
  </sheetViews>
  <sheetFormatPr defaultColWidth="9.28515625" defaultRowHeight="12.75"/>
  <cols>
    <col min="1" max="1" width="46.7109375" style="193" customWidth="1"/>
    <col min="2" max="2" width="15.7109375" style="193" customWidth="1"/>
    <col min="3" max="3" width="15.42578125" style="237" customWidth="1"/>
    <col min="4" max="4" width="15.7109375" style="193" customWidth="1"/>
    <col min="5" max="5" width="15.28515625" style="193" customWidth="1"/>
    <col min="6" max="6" width="9.28515625" style="193"/>
    <col min="7" max="7" width="16" style="193" bestFit="1" customWidth="1"/>
    <col min="8" max="16384" width="9.28515625" style="193"/>
  </cols>
  <sheetData>
    <row r="1" spans="1:10" ht="18">
      <c r="A1" s="833" t="s">
        <v>5958</v>
      </c>
      <c r="B1" s="834"/>
      <c r="C1" s="834"/>
      <c r="D1" s="834"/>
      <c r="E1" s="835"/>
    </row>
    <row r="2" spans="1:10">
      <c r="A2" s="836" t="s">
        <v>1</v>
      </c>
      <c r="B2" s="837"/>
      <c r="C2" s="837"/>
      <c r="D2" s="837"/>
      <c r="E2" s="838"/>
      <c r="F2" s="194"/>
      <c r="G2" s="194"/>
      <c r="H2" s="194"/>
      <c r="I2" s="194"/>
      <c r="J2" s="195"/>
    </row>
    <row r="3" spans="1:10" ht="14.25">
      <c r="A3" s="839" t="s">
        <v>2</v>
      </c>
      <c r="B3" s="840"/>
      <c r="C3" s="840"/>
      <c r="D3" s="840"/>
      <c r="E3" s="841"/>
      <c r="F3" s="6"/>
    </row>
    <row r="4" spans="1:10">
      <c r="A4" s="842" t="s">
        <v>470</v>
      </c>
      <c r="B4" s="843"/>
      <c r="C4" s="843"/>
      <c r="D4" s="843"/>
      <c r="E4" s="844"/>
    </row>
    <row r="5" spans="1:10">
      <c r="A5" s="196"/>
      <c r="B5" s="197"/>
      <c r="C5" s="197"/>
      <c r="D5" s="197"/>
      <c r="E5" s="198"/>
    </row>
    <row r="6" spans="1:10">
      <c r="A6" s="199" t="s">
        <v>5969</v>
      </c>
      <c r="B6" s="197"/>
      <c r="C6" s="197"/>
      <c r="D6" s="197"/>
      <c r="E6" s="198"/>
    </row>
    <row r="7" spans="1:10">
      <c r="A7" s="200" t="s">
        <v>284</v>
      </c>
      <c r="B7" s="201"/>
      <c r="C7" s="202"/>
      <c r="D7" s="845"/>
      <c r="E7" s="846"/>
    </row>
    <row r="8" spans="1:10" ht="30" customHeight="1">
      <c r="A8" s="827" t="s">
        <v>3</v>
      </c>
      <c r="B8" s="829" t="s">
        <v>437</v>
      </c>
      <c r="C8" s="829"/>
      <c r="D8" s="829" t="s">
        <v>285</v>
      </c>
      <c r="E8" s="829"/>
    </row>
    <row r="9" spans="1:10">
      <c r="A9" s="828"/>
      <c r="B9" s="203" t="s">
        <v>286</v>
      </c>
      <c r="C9" s="203" t="s">
        <v>280</v>
      </c>
      <c r="D9" s="203" t="s">
        <v>286</v>
      </c>
      <c r="E9" s="203" t="s">
        <v>280</v>
      </c>
    </row>
    <row r="10" spans="1:10">
      <c r="A10" s="204" t="s">
        <v>287</v>
      </c>
      <c r="B10" s="205"/>
      <c r="C10" s="205"/>
      <c r="D10" s="205"/>
      <c r="E10" s="205"/>
    </row>
    <row r="11" spans="1:10">
      <c r="A11" s="206" t="s">
        <v>288</v>
      </c>
      <c r="B11" s="207">
        <v>50000</v>
      </c>
      <c r="C11" s="207">
        <f>+B11*10</f>
        <v>500000</v>
      </c>
      <c r="D11" s="207">
        <v>50000</v>
      </c>
      <c r="E11" s="207">
        <f>+D11*10</f>
        <v>500000</v>
      </c>
    </row>
    <row r="12" spans="1:10">
      <c r="A12" s="208"/>
      <c r="B12" s="209"/>
      <c r="C12" s="209"/>
      <c r="D12" s="209"/>
      <c r="E12" s="209"/>
    </row>
    <row r="13" spans="1:10">
      <c r="A13" s="210" t="s">
        <v>289</v>
      </c>
      <c r="B13" s="207"/>
      <c r="C13" s="207"/>
      <c r="D13" s="207"/>
      <c r="E13" s="207"/>
    </row>
    <row r="14" spans="1:10">
      <c r="A14" s="210" t="s">
        <v>290</v>
      </c>
      <c r="B14" s="207"/>
      <c r="C14" s="207"/>
      <c r="D14" s="207"/>
      <c r="E14" s="207"/>
    </row>
    <row r="15" spans="1:10">
      <c r="A15" s="211" t="s">
        <v>291</v>
      </c>
      <c r="B15" s="207">
        <v>10000</v>
      </c>
      <c r="C15" s="207">
        <f>+B15*10</f>
        <v>100000</v>
      </c>
      <c r="D15" s="207">
        <v>10000</v>
      </c>
      <c r="E15" s="207">
        <f>+D15*10</f>
        <v>100000</v>
      </c>
    </row>
    <row r="16" spans="1:10">
      <c r="A16" s="212" t="s">
        <v>292</v>
      </c>
      <c r="B16" s="207">
        <v>0</v>
      </c>
      <c r="C16" s="207">
        <v>0</v>
      </c>
      <c r="D16" s="207">
        <v>0</v>
      </c>
      <c r="E16" s="207">
        <v>0</v>
      </c>
    </row>
    <row r="17" spans="1:8">
      <c r="A17" s="212" t="s">
        <v>293</v>
      </c>
      <c r="B17" s="207">
        <v>0</v>
      </c>
      <c r="C17" s="207">
        <v>0</v>
      </c>
      <c r="D17" s="207">
        <v>0</v>
      </c>
      <c r="E17" s="207">
        <v>0</v>
      </c>
    </row>
    <row r="18" spans="1:8" ht="33.6" customHeight="1">
      <c r="A18" s="213" t="s">
        <v>294</v>
      </c>
      <c r="B18" s="209">
        <f>SUM(B15:B16)</f>
        <v>10000</v>
      </c>
      <c r="C18" s="209">
        <f>-'TB_31.03.2026 (Links)'!H65</f>
        <v>100000</v>
      </c>
      <c r="D18" s="209">
        <f>SUM(D15:D16)</f>
        <v>10000</v>
      </c>
      <c r="E18" s="209">
        <f>SUM(E15:E16)</f>
        <v>100000</v>
      </c>
    </row>
    <row r="19" spans="1:8">
      <c r="A19" s="214"/>
      <c r="B19" s="215"/>
      <c r="C19" s="215"/>
      <c r="D19" s="215"/>
      <c r="E19" s="216"/>
    </row>
    <row r="20" spans="1:8">
      <c r="A20" s="214"/>
      <c r="B20" s="215"/>
      <c r="C20" s="215"/>
      <c r="D20" s="215"/>
      <c r="E20" s="216"/>
    </row>
    <row r="21" spans="1:8" ht="31.15" customHeight="1">
      <c r="A21" s="824" t="s">
        <v>295</v>
      </c>
      <c r="B21" s="825"/>
      <c r="C21" s="825"/>
      <c r="D21" s="825"/>
      <c r="E21" s="826"/>
    </row>
    <row r="22" spans="1:8" ht="28.9" customHeight="1">
      <c r="A22" s="827" t="s">
        <v>3</v>
      </c>
      <c r="B22" s="829" t="s">
        <v>437</v>
      </c>
      <c r="C22" s="829"/>
      <c r="D22" s="829" t="s">
        <v>285</v>
      </c>
      <c r="E22" s="829"/>
    </row>
    <row r="23" spans="1:8" ht="15.6" customHeight="1">
      <c r="A23" s="828"/>
      <c r="B23" s="203" t="s">
        <v>286</v>
      </c>
      <c r="C23" s="203" t="s">
        <v>280</v>
      </c>
      <c r="D23" s="203" t="s">
        <v>286</v>
      </c>
      <c r="E23" s="203" t="s">
        <v>280</v>
      </c>
    </row>
    <row r="24" spans="1:8" ht="15.6" customHeight="1">
      <c r="A24" s="217"/>
      <c r="B24" s="218"/>
      <c r="C24" s="218"/>
      <c r="D24" s="218"/>
      <c r="E24" s="218"/>
    </row>
    <row r="25" spans="1:8" ht="13.9" customHeight="1">
      <c r="A25" s="200" t="s">
        <v>296</v>
      </c>
      <c r="B25" s="219"/>
      <c r="C25" s="220"/>
      <c r="D25" s="221"/>
      <c r="E25" s="220"/>
    </row>
    <row r="26" spans="1:8" ht="16.899999999999999" customHeight="1">
      <c r="A26" s="222" t="s">
        <v>5959</v>
      </c>
      <c r="B26" s="223">
        <v>9800</v>
      </c>
      <c r="C26" s="223">
        <f>+B26*10</f>
        <v>98000</v>
      </c>
      <c r="D26" s="223">
        <v>9800</v>
      </c>
      <c r="E26" s="223">
        <f>+D26*10</f>
        <v>98000</v>
      </c>
    </row>
    <row r="27" spans="1:8" ht="16.899999999999999" customHeight="1">
      <c r="A27" s="224"/>
      <c r="B27" s="225"/>
      <c r="C27" s="225"/>
      <c r="D27" s="225"/>
      <c r="E27" s="226"/>
    </row>
    <row r="28" spans="1:8">
      <c r="A28" s="214"/>
      <c r="B28" s="215"/>
      <c r="C28" s="215"/>
      <c r="D28" s="215"/>
      <c r="E28" s="216"/>
    </row>
    <row r="29" spans="1:8">
      <c r="A29" s="830" t="s">
        <v>297</v>
      </c>
      <c r="B29" s="831"/>
      <c r="C29" s="831"/>
      <c r="D29" s="831"/>
      <c r="E29" s="832"/>
    </row>
    <row r="30" spans="1:8" ht="25.15" customHeight="1">
      <c r="A30" s="827" t="s">
        <v>3</v>
      </c>
      <c r="B30" s="829" t="s">
        <v>437</v>
      </c>
      <c r="C30" s="829"/>
      <c r="D30" s="829" t="s">
        <v>285</v>
      </c>
      <c r="E30" s="829"/>
      <c r="G30" s="227"/>
      <c r="H30" s="228"/>
    </row>
    <row r="31" spans="1:8">
      <c r="A31" s="828"/>
      <c r="B31" s="203" t="s">
        <v>286</v>
      </c>
      <c r="C31" s="203" t="s">
        <v>298</v>
      </c>
      <c r="D31" s="203" t="s">
        <v>286</v>
      </c>
      <c r="E31" s="203" t="s">
        <v>298</v>
      </c>
    </row>
    <row r="32" spans="1:8">
      <c r="A32" s="229"/>
      <c r="B32" s="230"/>
      <c r="C32" s="230"/>
      <c r="D32" s="230"/>
      <c r="E32" s="230"/>
    </row>
    <row r="33" spans="1:5">
      <c r="A33" s="211" t="s">
        <v>5959</v>
      </c>
      <c r="B33" s="231">
        <v>9800</v>
      </c>
      <c r="C33" s="231">
        <v>98</v>
      </c>
      <c r="D33" s="231">
        <v>9800</v>
      </c>
      <c r="E33" s="231">
        <v>98</v>
      </c>
    </row>
    <row r="34" spans="1:5">
      <c r="A34" s="232" t="s">
        <v>7</v>
      </c>
      <c r="B34" s="232">
        <f>SUM(B33:B33)</f>
        <v>9800</v>
      </c>
      <c r="C34" s="232">
        <f>SUM(C33:C33)</f>
        <v>98</v>
      </c>
      <c r="D34" s="232">
        <f>SUM(D33:D33)</f>
        <v>9800</v>
      </c>
      <c r="E34" s="232">
        <f>SUM(E33:E33)</f>
        <v>98</v>
      </c>
    </row>
    <row r="35" spans="1:5">
      <c r="A35" s="233"/>
      <c r="B35" s="233"/>
      <c r="C35" s="234"/>
      <c r="D35" s="233"/>
      <c r="E35" s="235"/>
    </row>
    <row r="36" spans="1:5">
      <c r="A36" s="236" t="s">
        <v>299</v>
      </c>
    </row>
    <row r="37" spans="1:5">
      <c r="A37" s="819" t="s">
        <v>300</v>
      </c>
      <c r="B37" s="820"/>
      <c r="C37" s="820"/>
      <c r="D37" s="821"/>
      <c r="E37" s="236"/>
    </row>
    <row r="38" spans="1:5" ht="24">
      <c r="A38" s="203" t="s">
        <v>301</v>
      </c>
      <c r="B38" s="238" t="s">
        <v>302</v>
      </c>
      <c r="C38" s="238" t="s">
        <v>298</v>
      </c>
      <c r="D38" s="238" t="s">
        <v>303</v>
      </c>
    </row>
    <row r="39" spans="1:5">
      <c r="A39" s="211" t="s">
        <v>5959</v>
      </c>
      <c r="B39" s="239">
        <v>9800</v>
      </c>
      <c r="C39" s="240">
        <v>98</v>
      </c>
      <c r="D39" s="241">
        <v>0</v>
      </c>
    </row>
    <row r="40" spans="1:5">
      <c r="A40" s="211"/>
      <c r="B40" s="242"/>
      <c r="C40" s="243"/>
      <c r="D40" s="244"/>
    </row>
    <row r="41" spans="1:5" ht="18">
      <c r="A41" s="203" t="s">
        <v>7</v>
      </c>
      <c r="B41" s="232">
        <f>SUM(B39)</f>
        <v>9800</v>
      </c>
      <c r="C41" s="232">
        <f>SUM(C39)</f>
        <v>98</v>
      </c>
      <c r="D41" s="105"/>
    </row>
    <row r="42" spans="1:5">
      <c r="C42" s="245"/>
      <c r="D42" s="246"/>
      <c r="E42" s="246"/>
    </row>
    <row r="43" spans="1:5">
      <c r="A43" s="819" t="s">
        <v>304</v>
      </c>
      <c r="B43" s="820"/>
      <c r="C43" s="820"/>
      <c r="D43" s="821"/>
      <c r="E43" s="236"/>
    </row>
    <row r="44" spans="1:5" ht="24.6" customHeight="1">
      <c r="A44" s="203" t="s">
        <v>301</v>
      </c>
      <c r="B44" s="203" t="s">
        <v>302</v>
      </c>
      <c r="C44" s="203" t="s">
        <v>298</v>
      </c>
      <c r="D44" s="203" t="s">
        <v>303</v>
      </c>
    </row>
    <row r="45" spans="1:5">
      <c r="A45" s="211" t="s">
        <v>5959</v>
      </c>
      <c r="B45" s="239">
        <v>9800</v>
      </c>
      <c r="C45" s="240">
        <v>98</v>
      </c>
      <c r="D45" s="241">
        <v>0</v>
      </c>
    </row>
    <row r="46" spans="1:5">
      <c r="A46" s="211"/>
      <c r="B46" s="247"/>
      <c r="C46" s="248"/>
      <c r="D46" s="249"/>
    </row>
    <row r="47" spans="1:5">
      <c r="A47" s="232" t="s">
        <v>7</v>
      </c>
      <c r="B47" s="232">
        <f>SUM(B45:B46)</f>
        <v>9800</v>
      </c>
      <c r="C47" s="232">
        <f>SUM(C45:C46)</f>
        <v>98</v>
      </c>
      <c r="D47" s="232"/>
    </row>
    <row r="48" spans="1:5">
      <c r="C48" s="193"/>
    </row>
    <row r="49" spans="1:7" hidden="1">
      <c r="A49" s="250" t="s">
        <v>305</v>
      </c>
      <c r="B49" s="250"/>
      <c r="C49" s="251"/>
      <c r="D49" s="250"/>
      <c r="E49" s="252"/>
    </row>
    <row r="50" spans="1:7" hidden="1">
      <c r="A50" s="210" t="s">
        <v>306</v>
      </c>
      <c r="B50" s="253"/>
      <c r="C50" s="254" t="s">
        <v>307</v>
      </c>
      <c r="D50" s="254"/>
      <c r="E50" s="255"/>
      <c r="F50" s="254"/>
      <c r="G50" s="255"/>
    </row>
    <row r="51" spans="1:7" hidden="1">
      <c r="A51" s="256" t="s">
        <v>308</v>
      </c>
      <c r="B51" s="257"/>
      <c r="C51" s="257"/>
      <c r="D51" s="257"/>
      <c r="E51" s="258"/>
      <c r="F51" s="257"/>
      <c r="G51" s="258"/>
    </row>
    <row r="52" spans="1:7" hidden="1">
      <c r="A52" s="259" t="s">
        <v>309</v>
      </c>
      <c r="B52" s="257"/>
      <c r="C52" s="257"/>
      <c r="D52" s="257"/>
      <c r="E52" s="258"/>
      <c r="F52" s="257"/>
      <c r="G52" s="258"/>
    </row>
    <row r="53" spans="1:7" hidden="1">
      <c r="A53" s="259"/>
      <c r="B53" s="257"/>
      <c r="C53" s="257"/>
      <c r="D53" s="257"/>
      <c r="E53" s="258"/>
      <c r="F53" s="257"/>
      <c r="G53" s="258"/>
    </row>
    <row r="54" spans="1:7" hidden="1">
      <c r="A54" s="256"/>
      <c r="B54" s="257"/>
      <c r="C54" s="257"/>
      <c r="D54" s="257"/>
      <c r="E54" s="258"/>
      <c r="F54" s="257"/>
      <c r="G54" s="258"/>
    </row>
    <row r="55" spans="1:7" hidden="1">
      <c r="A55" s="259" t="s">
        <v>50</v>
      </c>
      <c r="B55" s="257"/>
      <c r="C55" s="260" t="s">
        <v>310</v>
      </c>
      <c r="D55" s="260"/>
      <c r="E55" s="261" t="s">
        <v>311</v>
      </c>
      <c r="F55" s="260"/>
      <c r="G55" s="261" t="s">
        <v>311</v>
      </c>
    </row>
    <row r="56" spans="1:7" hidden="1">
      <c r="A56" s="259" t="s">
        <v>312</v>
      </c>
      <c r="B56" s="257"/>
      <c r="C56" s="262" t="e">
        <f>#REF!</f>
        <v>#REF!</v>
      </c>
      <c r="D56" s="263"/>
      <c r="E56" s="264" t="s">
        <v>54</v>
      </c>
      <c r="F56" s="263"/>
      <c r="G56" s="264" t="s">
        <v>54</v>
      </c>
    </row>
    <row r="57" spans="1:7" hidden="1">
      <c r="A57" s="259" t="s">
        <v>313</v>
      </c>
      <c r="B57" s="257"/>
      <c r="C57" s="262" t="s">
        <v>314</v>
      </c>
      <c r="D57" s="265"/>
      <c r="E57" s="266" t="s">
        <v>315</v>
      </c>
      <c r="F57" s="265"/>
      <c r="G57" s="266" t="s">
        <v>315</v>
      </c>
    </row>
    <row r="58" spans="1:7" hidden="1">
      <c r="A58" s="259" t="s">
        <v>316</v>
      </c>
      <c r="B58" s="257"/>
      <c r="C58" s="257"/>
      <c r="D58" s="257"/>
      <c r="E58" s="257"/>
      <c r="F58" s="263"/>
      <c r="G58" s="267"/>
    </row>
    <row r="59" spans="1:7" hidden="1">
      <c r="A59" s="822" t="s">
        <v>317</v>
      </c>
      <c r="B59" s="823"/>
      <c r="C59" s="823"/>
      <c r="D59" s="823"/>
      <c r="E59" s="257"/>
      <c r="F59" s="257"/>
      <c r="G59" s="268"/>
    </row>
    <row r="60" spans="1:7" hidden="1"/>
    <row r="64" spans="1:7" ht="18">
      <c r="D64" s="489"/>
    </row>
  </sheetData>
  <customSheetViews>
    <customSheetView guid="{B8A679C5-B961-4392-BACF-6DDFA7297AAE}" scale="70" showPageBreaks="1" showGridLines="0" fitToPage="1" printArea="1" hiddenRows="1" topLeftCell="A7">
      <selection activeCell="A72" sqref="A72"/>
      <pageMargins left="0.82677165354330717" right="0.82677165354330717" top="0.74803149606299213" bottom="0.74803149606299213" header="0.31496062992125984" footer="0.31496062992125984"/>
      <pageSetup paperSize="9" scale="77" orientation="portrait" r:id="rId1"/>
    </customSheetView>
    <customSheetView guid="{DEA14913-9729-4C6C-B479-A92A59FB4580}" scale="70" showGridLines="0" fitToPage="1" hiddenRows="1" topLeftCell="A7">
      <selection activeCell="A72" sqref="A72"/>
      <pageMargins left="0.82677165354330717" right="0.82677165354330717" top="0.74803149606299213" bottom="0.74803149606299213" header="0.31496062992125984" footer="0.31496062992125984"/>
      <pageSetup paperSize="9" scale="77" orientation="portrait" r:id="rId2"/>
    </customSheetView>
    <customSheetView guid="{8C4DF1F4-EAB1-489E-8362-1E2D3E732D13}" scale="70" showGridLines="0" fitToPage="1" hiddenRows="1" topLeftCell="A7">
      <selection activeCell="A72" sqref="A72"/>
      <pageMargins left="0.82677165354330717" right="0.82677165354330717" top="0.74803149606299213" bottom="0.74803149606299213" header="0.31496062992125984" footer="0.31496062992125984"/>
      <pageSetup paperSize="9" scale="77" orientation="portrait" r:id="rId3"/>
    </customSheetView>
  </customSheetViews>
  <mergeCells count="19">
    <mergeCell ref="A8:A9"/>
    <mergeCell ref="B8:C8"/>
    <mergeCell ref="D8:E8"/>
    <mergeCell ref="A1:E1"/>
    <mergeCell ref="A2:E2"/>
    <mergeCell ref="A3:E3"/>
    <mergeCell ref="A4:E4"/>
    <mergeCell ref="D7:E7"/>
    <mergeCell ref="A37:D37"/>
    <mergeCell ref="A43:D43"/>
    <mergeCell ref="A59:D59"/>
    <mergeCell ref="A21:E21"/>
    <mergeCell ref="A22:A23"/>
    <mergeCell ref="B22:C22"/>
    <mergeCell ref="D22:E22"/>
    <mergeCell ref="A29:E29"/>
    <mergeCell ref="A30:A31"/>
    <mergeCell ref="B30:C30"/>
    <mergeCell ref="D30:E30"/>
  </mergeCells>
  <pageMargins left="0.82677165354330717" right="0.82677165354330717" top="0.74803149606299213" bottom="0.74803149606299213" header="0.31496062992125984" footer="0.31496062992125984"/>
  <pageSetup paperSize="9" scale="77"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3"/>
  <sheetViews>
    <sheetView showGridLines="0" view="pageBreakPreview" zoomScale="60" zoomScaleNormal="100" workbookViewId="0">
      <selection activeCell="A2" sqref="A2:F21"/>
    </sheetView>
  </sheetViews>
  <sheetFormatPr defaultRowHeight="15"/>
  <cols>
    <col min="1" max="1" width="16.42578125" bestFit="1" customWidth="1"/>
    <col min="2" max="5" width="13.28515625" customWidth="1"/>
    <col min="6" max="6" width="13.5703125" bestFit="1" customWidth="1"/>
    <col min="10" max="10" width="34.42578125" bestFit="1" customWidth="1"/>
    <col min="11" max="11" width="6.28515625" bestFit="1" customWidth="1"/>
    <col min="12" max="12" width="19.7109375" customWidth="1"/>
    <col min="13" max="16" width="29.42578125" customWidth="1"/>
    <col min="17" max="17" width="7.28515625" bestFit="1" customWidth="1"/>
    <col min="18" max="18" width="12.5703125" bestFit="1" customWidth="1"/>
  </cols>
  <sheetData>
    <row r="1" spans="1:18" s="293" customFormat="1"/>
    <row r="2" spans="1:18" s="293" customFormat="1" ht="60">
      <c r="A2" s="408" t="s">
        <v>481</v>
      </c>
      <c r="B2" s="409"/>
      <c r="C2" s="409"/>
      <c r="D2" s="409"/>
      <c r="E2" s="409"/>
      <c r="F2" s="410"/>
      <c r="G2"/>
      <c r="H2"/>
      <c r="I2"/>
      <c r="J2" s="421" t="s">
        <v>526</v>
      </c>
      <c r="K2" s="421" t="s">
        <v>657</v>
      </c>
      <c r="L2" s="422" t="s">
        <v>527</v>
      </c>
      <c r="M2" s="422" t="s">
        <v>671</v>
      </c>
      <c r="N2" s="422" t="s">
        <v>672</v>
      </c>
      <c r="O2" s="422" t="s">
        <v>673</v>
      </c>
      <c r="P2" s="422" t="s">
        <v>674</v>
      </c>
      <c r="Q2" s="422" t="s">
        <v>675</v>
      </c>
      <c r="R2" s="422" t="s">
        <v>658</v>
      </c>
    </row>
    <row r="3" spans="1:18" s="293" customFormat="1">
      <c r="A3" s="411" t="s">
        <v>656</v>
      </c>
      <c r="B3" s="412"/>
      <c r="C3" s="412"/>
      <c r="D3" s="412"/>
      <c r="E3" s="413"/>
      <c r="F3" s="414"/>
      <c r="G3"/>
      <c r="H3"/>
      <c r="I3"/>
      <c r="J3" s="330" t="s">
        <v>528</v>
      </c>
      <c r="K3" s="330" t="s">
        <v>658</v>
      </c>
      <c r="L3" s="396">
        <v>99945.8</v>
      </c>
      <c r="M3" s="396">
        <v>0</v>
      </c>
      <c r="N3" s="396">
        <v>0</v>
      </c>
      <c r="O3" s="396">
        <v>0</v>
      </c>
      <c r="P3" s="396">
        <v>99945.8</v>
      </c>
      <c r="Q3" s="396"/>
      <c r="R3" s="396">
        <f t="shared" ref="R3:R13" si="0">P3</f>
        <v>99945.8</v>
      </c>
    </row>
    <row r="4" spans="1:18" s="293" customFormat="1">
      <c r="A4" s="415"/>
      <c r="B4" s="412"/>
      <c r="C4" s="412"/>
      <c r="D4" s="412"/>
      <c r="E4" s="413"/>
      <c r="F4" s="414"/>
      <c r="G4"/>
      <c r="H4"/>
      <c r="I4"/>
      <c r="J4" s="330" t="s">
        <v>529</v>
      </c>
      <c r="K4" s="330" t="s">
        <v>658</v>
      </c>
      <c r="L4" s="396">
        <v>2716.02</v>
      </c>
      <c r="M4" s="396">
        <v>0</v>
      </c>
      <c r="N4" s="396">
        <v>0</v>
      </c>
      <c r="O4" s="396">
        <v>0</v>
      </c>
      <c r="P4" s="396">
        <v>2716.02</v>
      </c>
      <c r="Q4" s="396"/>
      <c r="R4" s="396">
        <f t="shared" si="0"/>
        <v>2716.02</v>
      </c>
    </row>
    <row r="5" spans="1:18" s="293" customFormat="1">
      <c r="A5" s="411" t="s">
        <v>383</v>
      </c>
      <c r="B5" s="416"/>
      <c r="C5" s="416"/>
      <c r="D5" s="416"/>
      <c r="E5" s="416"/>
      <c r="F5" s="417"/>
      <c r="G5"/>
      <c r="H5"/>
      <c r="I5"/>
      <c r="J5" s="330" t="s">
        <v>530</v>
      </c>
      <c r="K5" s="330" t="s">
        <v>658</v>
      </c>
      <c r="L5" s="396">
        <v>19600</v>
      </c>
      <c r="M5" s="396">
        <v>0</v>
      </c>
      <c r="N5" s="396">
        <v>0</v>
      </c>
      <c r="O5" s="396">
        <v>0</v>
      </c>
      <c r="P5" s="396">
        <v>19600</v>
      </c>
      <c r="Q5" s="396"/>
      <c r="R5" s="396">
        <f t="shared" si="0"/>
        <v>19600</v>
      </c>
    </row>
    <row r="6" spans="1:18" s="293" customFormat="1">
      <c r="A6" s="405" t="s">
        <v>3</v>
      </c>
      <c r="B6" s="847" t="s">
        <v>659</v>
      </c>
      <c r="C6" s="848"/>
      <c r="D6" s="848"/>
      <c r="E6" s="849"/>
      <c r="F6" s="405" t="s">
        <v>7</v>
      </c>
      <c r="G6"/>
      <c r="H6"/>
      <c r="I6"/>
      <c r="J6" s="330" t="s">
        <v>531</v>
      </c>
      <c r="K6" s="330" t="s">
        <v>658</v>
      </c>
      <c r="L6" s="396">
        <v>9800</v>
      </c>
      <c r="M6" s="396">
        <v>0</v>
      </c>
      <c r="N6" s="396">
        <v>0</v>
      </c>
      <c r="O6" s="396">
        <v>9800</v>
      </c>
      <c r="P6" s="396">
        <v>0</v>
      </c>
      <c r="Q6" s="396"/>
      <c r="R6" s="396">
        <f t="shared" si="0"/>
        <v>0</v>
      </c>
    </row>
    <row r="7" spans="1:18" s="293" customFormat="1" ht="24">
      <c r="A7" s="405"/>
      <c r="B7" s="418" t="s">
        <v>660</v>
      </c>
      <c r="C7" s="418" t="s">
        <v>661</v>
      </c>
      <c r="D7" s="418" t="s">
        <v>662</v>
      </c>
      <c r="E7" s="418" t="s">
        <v>663</v>
      </c>
      <c r="F7" s="405"/>
      <c r="G7"/>
      <c r="H7"/>
      <c r="I7"/>
      <c r="J7" s="330" t="s">
        <v>532</v>
      </c>
      <c r="K7" s="330" t="s">
        <v>658</v>
      </c>
      <c r="L7" s="396">
        <v>1364447.46</v>
      </c>
      <c r="M7" s="396">
        <v>0</v>
      </c>
      <c r="N7" s="396">
        <v>0</v>
      </c>
      <c r="O7" s="396">
        <v>0</v>
      </c>
      <c r="P7" s="396">
        <v>1364447.46</v>
      </c>
      <c r="Q7" s="396"/>
      <c r="R7" s="396">
        <f t="shared" si="0"/>
        <v>1364447.46</v>
      </c>
    </row>
    <row r="8" spans="1:18" s="293" customFormat="1">
      <c r="A8" s="419" t="s">
        <v>664</v>
      </c>
      <c r="B8" s="420">
        <f>Q18</f>
        <v>16500</v>
      </c>
      <c r="C8" s="420">
        <v>0</v>
      </c>
      <c r="D8" s="420">
        <v>0</v>
      </c>
      <c r="E8" s="420">
        <v>0</v>
      </c>
      <c r="F8" s="420">
        <f>SUM(B8:E8)</f>
        <v>16500</v>
      </c>
      <c r="G8"/>
      <c r="H8"/>
      <c r="I8"/>
      <c r="J8" s="330" t="s">
        <v>533</v>
      </c>
      <c r="K8" s="330" t="s">
        <v>658</v>
      </c>
      <c r="L8" s="396">
        <v>19800</v>
      </c>
      <c r="M8" s="396">
        <v>0</v>
      </c>
      <c r="N8" s="396">
        <v>0</v>
      </c>
      <c r="O8" s="396">
        <v>19800</v>
      </c>
      <c r="P8" s="396">
        <v>0</v>
      </c>
      <c r="Q8" s="396"/>
      <c r="R8" s="396">
        <f t="shared" si="0"/>
        <v>0</v>
      </c>
    </row>
    <row r="9" spans="1:18" s="293" customFormat="1">
      <c r="A9" s="423" t="s">
        <v>665</v>
      </c>
      <c r="B9" s="247">
        <f>R18</f>
        <v>184971968.66</v>
      </c>
      <c r="C9" s="247">
        <f>O18</f>
        <v>153695731.84</v>
      </c>
      <c r="D9" s="247">
        <v>0</v>
      </c>
      <c r="E9" s="247">
        <v>0</v>
      </c>
      <c r="F9" s="247">
        <f>SUM(B9:E9)</f>
        <v>338667700.5</v>
      </c>
      <c r="G9"/>
      <c r="H9"/>
      <c r="I9"/>
      <c r="J9" s="330" t="s">
        <v>534</v>
      </c>
      <c r="K9" s="330" t="s">
        <v>658</v>
      </c>
      <c r="L9" s="396">
        <v>98954</v>
      </c>
      <c r="M9" s="396">
        <v>0</v>
      </c>
      <c r="N9" s="396">
        <v>0</v>
      </c>
      <c r="O9" s="396">
        <v>0</v>
      </c>
      <c r="P9" s="396">
        <v>98954</v>
      </c>
      <c r="Q9" s="396"/>
      <c r="R9" s="396">
        <f t="shared" si="0"/>
        <v>98954</v>
      </c>
    </row>
    <row r="10" spans="1:18" s="293" customFormat="1">
      <c r="A10" s="423" t="s">
        <v>666</v>
      </c>
      <c r="B10" s="247">
        <v>0</v>
      </c>
      <c r="C10" s="247">
        <v>0</v>
      </c>
      <c r="D10" s="247">
        <v>0</v>
      </c>
      <c r="E10" s="247">
        <v>0</v>
      </c>
      <c r="F10" s="247">
        <f>SUM(B10:E10)</f>
        <v>0</v>
      </c>
      <c r="G10"/>
      <c r="H10"/>
      <c r="I10"/>
      <c r="J10" s="330" t="s">
        <v>535</v>
      </c>
      <c r="K10" s="330" t="s">
        <v>658</v>
      </c>
      <c r="L10" s="396">
        <v>334755969.88</v>
      </c>
      <c r="M10" s="396">
        <v>0</v>
      </c>
      <c r="N10" s="396">
        <v>0</v>
      </c>
      <c r="O10" s="396">
        <v>153666131.84</v>
      </c>
      <c r="P10" s="396">
        <v>181089838.03999999</v>
      </c>
      <c r="Q10" s="396"/>
      <c r="R10" s="396">
        <f t="shared" si="0"/>
        <v>181089838.03999999</v>
      </c>
    </row>
    <row r="11" spans="1:18" s="293" customFormat="1">
      <c r="A11" s="424" t="s">
        <v>669</v>
      </c>
      <c r="B11" s="425">
        <v>0</v>
      </c>
      <c r="C11" s="425">
        <v>0</v>
      </c>
      <c r="D11" s="425">
        <v>0</v>
      </c>
      <c r="E11" s="425">
        <v>0</v>
      </c>
      <c r="F11" s="425">
        <f>SUM(B11:E11)</f>
        <v>0</v>
      </c>
      <c r="G11"/>
      <c r="H11"/>
      <c r="I11"/>
      <c r="J11" s="330" t="s">
        <v>536</v>
      </c>
      <c r="K11" s="330" t="s">
        <v>658</v>
      </c>
      <c r="L11" s="396">
        <v>0</v>
      </c>
      <c r="M11" s="396">
        <v>0</v>
      </c>
      <c r="N11" s="396">
        <v>0</v>
      </c>
      <c r="O11" s="396">
        <v>0</v>
      </c>
      <c r="P11" s="396">
        <v>0</v>
      </c>
      <c r="Q11" s="396"/>
      <c r="R11" s="396">
        <f t="shared" si="0"/>
        <v>0</v>
      </c>
    </row>
    <row r="12" spans="1:18" s="293" customFormat="1">
      <c r="A12" s="426" t="s">
        <v>7</v>
      </c>
      <c r="B12" s="406">
        <f>SUM(B8:B11)</f>
        <v>184988468.66</v>
      </c>
      <c r="C12" s="406">
        <f>SUM(C8:C11)</f>
        <v>153695731.84</v>
      </c>
      <c r="D12" s="406">
        <f>SUM(D8:D11)</f>
        <v>0</v>
      </c>
      <c r="E12" s="406">
        <f>SUM(E8:E11)</f>
        <v>0</v>
      </c>
      <c r="F12" s="406">
        <f>SUM(F8:F11)</f>
        <v>338684200.5</v>
      </c>
      <c r="G12"/>
      <c r="H12" s="286"/>
      <c r="I12"/>
      <c r="J12" s="330" t="s">
        <v>537</v>
      </c>
      <c r="K12" s="330" t="s">
        <v>658</v>
      </c>
      <c r="L12" s="396">
        <v>145019.34</v>
      </c>
      <c r="M12" s="396">
        <v>0</v>
      </c>
      <c r="N12" s="396">
        <v>0</v>
      </c>
      <c r="O12" s="396">
        <v>0</v>
      </c>
      <c r="P12" s="396">
        <v>145019.34</v>
      </c>
      <c r="Q12" s="396"/>
      <c r="R12" s="396">
        <f t="shared" si="0"/>
        <v>145019.34</v>
      </c>
    </row>
    <row r="13" spans="1:18" s="293" customFormat="1">
      <c r="A13" s="427"/>
      <c r="B13" s="416"/>
      <c r="C13" s="416"/>
      <c r="D13" s="416"/>
      <c r="E13" s="416"/>
      <c r="F13" s="417"/>
      <c r="G13"/>
      <c r="H13"/>
      <c r="I13"/>
      <c r="J13" s="330" t="s">
        <v>538</v>
      </c>
      <c r="K13" s="330" t="s">
        <v>658</v>
      </c>
      <c r="L13" s="396">
        <v>7350</v>
      </c>
      <c r="M13" s="396">
        <v>0</v>
      </c>
      <c r="N13" s="396">
        <v>0</v>
      </c>
      <c r="O13" s="396">
        <v>0</v>
      </c>
      <c r="P13" s="396">
        <v>7350</v>
      </c>
      <c r="Q13" s="396"/>
      <c r="R13" s="396">
        <f t="shared" si="0"/>
        <v>7350</v>
      </c>
    </row>
    <row r="14" spans="1:18" s="293" customFormat="1">
      <c r="A14" s="411" t="s">
        <v>8</v>
      </c>
      <c r="B14" s="416"/>
      <c r="C14" s="416"/>
      <c r="D14" s="416"/>
      <c r="E14" s="407"/>
      <c r="F14" s="417"/>
      <c r="G14"/>
      <c r="H14"/>
      <c r="I14"/>
      <c r="J14" s="330" t="s">
        <v>539</v>
      </c>
      <c r="K14" s="330" t="s">
        <v>664</v>
      </c>
      <c r="L14" s="396">
        <v>16500</v>
      </c>
      <c r="M14" s="396">
        <v>0</v>
      </c>
      <c r="N14" s="396">
        <v>0</v>
      </c>
      <c r="O14" s="396">
        <v>0</v>
      </c>
      <c r="P14" s="396">
        <v>16500</v>
      </c>
      <c r="Q14" s="396">
        <f>P14</f>
        <v>16500</v>
      </c>
      <c r="R14" s="330"/>
    </row>
    <row r="15" spans="1:18" s="293" customFormat="1">
      <c r="A15" s="405" t="s">
        <v>3</v>
      </c>
      <c r="B15" s="847" t="s">
        <v>659</v>
      </c>
      <c r="C15" s="848"/>
      <c r="D15" s="848"/>
      <c r="E15" s="849"/>
      <c r="F15" s="405" t="s">
        <v>7</v>
      </c>
      <c r="G15"/>
      <c r="H15"/>
      <c r="I15"/>
      <c r="J15" s="330" t="s">
        <v>540</v>
      </c>
      <c r="K15" s="330" t="s">
        <v>658</v>
      </c>
      <c r="L15" s="396">
        <v>2093040</v>
      </c>
      <c r="M15" s="396">
        <v>0</v>
      </c>
      <c r="N15" s="396">
        <v>0</v>
      </c>
      <c r="O15" s="396">
        <v>0</v>
      </c>
      <c r="P15" s="396">
        <v>2093040</v>
      </c>
      <c r="Q15" s="396"/>
      <c r="R15" s="396">
        <f>P15</f>
        <v>2093040</v>
      </c>
    </row>
    <row r="16" spans="1:18" s="293" customFormat="1" ht="24">
      <c r="A16" s="405"/>
      <c r="B16" s="418" t="s">
        <v>660</v>
      </c>
      <c r="C16" s="418" t="s">
        <v>661</v>
      </c>
      <c r="D16" s="418" t="s">
        <v>662</v>
      </c>
      <c r="E16" s="418" t="s">
        <v>663</v>
      </c>
      <c r="F16" s="405"/>
      <c r="G16"/>
      <c r="H16"/>
      <c r="I16"/>
      <c r="J16" s="330" t="s">
        <v>541</v>
      </c>
      <c r="K16" s="330" t="s">
        <v>658</v>
      </c>
      <c r="L16" s="396">
        <v>27828</v>
      </c>
      <c r="M16" s="396">
        <v>0</v>
      </c>
      <c r="N16" s="396">
        <v>0</v>
      </c>
      <c r="O16" s="396">
        <v>0</v>
      </c>
      <c r="P16" s="396">
        <v>27828</v>
      </c>
      <c r="Q16" s="396"/>
      <c r="R16" s="396">
        <f>P16</f>
        <v>27828</v>
      </c>
    </row>
    <row r="17" spans="1:18" s="293" customFormat="1">
      <c r="A17" s="419" t="s">
        <v>664</v>
      </c>
      <c r="B17" s="420">
        <v>543846.53</v>
      </c>
      <c r="C17" s="420">
        <v>0</v>
      </c>
      <c r="D17" s="420">
        <v>0</v>
      </c>
      <c r="E17" s="420">
        <v>0</v>
      </c>
      <c r="F17" s="420">
        <f>SUM(B17:E17)</f>
        <v>543846.53</v>
      </c>
      <c r="G17"/>
      <c r="H17"/>
      <c r="I17"/>
      <c r="J17" s="330" t="s">
        <v>937</v>
      </c>
      <c r="K17" s="330" t="s">
        <v>658</v>
      </c>
      <c r="L17" s="396">
        <v>23230</v>
      </c>
      <c r="M17" s="396"/>
      <c r="N17" s="396"/>
      <c r="O17" s="396"/>
      <c r="P17" s="396">
        <f>L17</f>
        <v>23230</v>
      </c>
      <c r="Q17" s="396"/>
      <c r="R17" s="396">
        <f>P17</f>
        <v>23230</v>
      </c>
    </row>
    <row r="18" spans="1:18" s="293" customFormat="1">
      <c r="A18" s="423" t="s">
        <v>665</v>
      </c>
      <c r="B18" s="247">
        <v>571075829.549999</v>
      </c>
      <c r="C18" s="247">
        <v>0</v>
      </c>
      <c r="D18" s="247">
        <v>0</v>
      </c>
      <c r="E18" s="247">
        <v>0</v>
      </c>
      <c r="F18" s="247">
        <f>SUM(B18:E18)</f>
        <v>571075829.549999</v>
      </c>
      <c r="G18"/>
      <c r="H18"/>
      <c r="I18"/>
      <c r="J18" s="421" t="s">
        <v>7</v>
      </c>
      <c r="K18" s="421"/>
      <c r="L18" s="422">
        <f>SUM(L3:L17)</f>
        <v>338684200.49999994</v>
      </c>
      <c r="M18" s="422"/>
      <c r="N18" s="422"/>
      <c r="O18" s="422">
        <f t="shared" ref="O18:Q18" si="1">SUM(O3:O17)</f>
        <v>153695731.84</v>
      </c>
      <c r="P18" s="422">
        <f t="shared" si="1"/>
        <v>184988468.66</v>
      </c>
      <c r="Q18" s="422">
        <f t="shared" si="1"/>
        <v>16500</v>
      </c>
      <c r="R18" s="422">
        <f>SUM(R3:R17)</f>
        <v>184971968.66</v>
      </c>
    </row>
    <row r="19" spans="1:18" s="293" customFormat="1">
      <c r="A19" s="423" t="s">
        <v>666</v>
      </c>
      <c r="B19" s="247">
        <v>0</v>
      </c>
      <c r="C19" s="247">
        <v>0</v>
      </c>
      <c r="D19" s="247">
        <v>0</v>
      </c>
      <c r="E19" s="247">
        <v>0</v>
      </c>
      <c r="F19" s="247">
        <f>SUM(B19:E19)</f>
        <v>0</v>
      </c>
      <c r="G19"/>
      <c r="H19"/>
      <c r="I19"/>
    </row>
    <row r="20" spans="1:18" s="293" customFormat="1">
      <c r="A20" s="424" t="s">
        <v>667</v>
      </c>
      <c r="B20" s="425">
        <v>0</v>
      </c>
      <c r="C20" s="425">
        <v>0</v>
      </c>
      <c r="D20" s="425">
        <v>0</v>
      </c>
      <c r="E20" s="425">
        <v>0</v>
      </c>
      <c r="F20" s="425">
        <f>SUM(B20:E20)</f>
        <v>0</v>
      </c>
      <c r="G20"/>
      <c r="H20"/>
      <c r="I20"/>
    </row>
    <row r="21" spans="1:18" s="293" customFormat="1">
      <c r="A21" s="426" t="s">
        <v>7</v>
      </c>
      <c r="B21" s="406">
        <f>SUM(B17:B20)</f>
        <v>571619676.07999897</v>
      </c>
      <c r="C21" s="406">
        <f>SUM(C17:C20)</f>
        <v>0</v>
      </c>
      <c r="D21" s="406">
        <f>SUM(D17:D20)</f>
        <v>0</v>
      </c>
      <c r="E21" s="406">
        <f>SUM(E17:E20)</f>
        <v>0</v>
      </c>
      <c r="F21" s="406">
        <f>SUM(F17:F20)</f>
        <v>571619676.07999897</v>
      </c>
      <c r="G21"/>
      <c r="H21"/>
      <c r="I21"/>
    </row>
    <row r="22" spans="1:18" s="293" customFormat="1">
      <c r="A22" s="428"/>
      <c r="B22" s="429"/>
      <c r="C22" s="429"/>
      <c r="D22" s="429"/>
      <c r="E22" s="429"/>
      <c r="F22" s="429"/>
      <c r="G22"/>
      <c r="H22"/>
      <c r="I22"/>
    </row>
    <row r="23" spans="1:18" s="293" customFormat="1">
      <c r="A23" s="430"/>
      <c r="B23" s="430"/>
      <c r="C23" s="430"/>
      <c r="D23" s="416"/>
      <c r="E23" s="416"/>
      <c r="F23" s="416"/>
      <c r="G23"/>
      <c r="H23"/>
      <c r="I23"/>
    </row>
    <row r="24" spans="1:18" s="293" customFormat="1"/>
    <row r="25" spans="1:18" s="293" customFormat="1"/>
    <row r="26" spans="1:18" s="293" customFormat="1"/>
    <row r="27" spans="1:18" s="293" customFormat="1"/>
    <row r="28" spans="1:18" s="293" customFormat="1"/>
    <row r="29" spans="1:18" s="293" customFormat="1"/>
    <row r="30" spans="1:18" s="293" customFormat="1"/>
    <row r="31" spans="1:18" s="293" customFormat="1"/>
    <row r="32" spans="1:18" s="293" customFormat="1"/>
    <row r="33" s="293" customFormat="1"/>
    <row r="34" s="293" customFormat="1"/>
    <row r="35" s="293" customFormat="1"/>
    <row r="36" s="293" customFormat="1"/>
    <row r="37" s="293" customFormat="1"/>
    <row r="38" s="293" customFormat="1"/>
    <row r="39" s="293" customFormat="1"/>
    <row r="40" s="293" customFormat="1"/>
    <row r="41" s="293" customFormat="1"/>
    <row r="42" s="293" customFormat="1"/>
    <row r="43" s="293" customFormat="1"/>
    <row r="44" s="293" customFormat="1"/>
    <row r="45" s="293" customFormat="1"/>
    <row r="46" s="293" customFormat="1"/>
    <row r="47" s="293" customFormat="1"/>
    <row r="48" s="293" customFormat="1"/>
    <row r="49" s="293" customFormat="1"/>
    <row r="50" s="293" customFormat="1"/>
    <row r="51" s="293" customFormat="1"/>
    <row r="52" s="293" customFormat="1"/>
    <row r="53" s="293" customFormat="1"/>
    <row r="54" s="293" customFormat="1"/>
    <row r="55" s="293" customFormat="1"/>
    <row r="56" s="293" customFormat="1"/>
    <row r="57" s="293" customFormat="1"/>
    <row r="58" s="293" customFormat="1"/>
    <row r="59" s="293" customFormat="1"/>
    <row r="60" s="293" customFormat="1"/>
    <row r="61" s="293" customFormat="1"/>
    <row r="62" s="293" customFormat="1"/>
    <row r="63" s="293" customFormat="1"/>
    <row r="64" s="293" customFormat="1"/>
    <row r="65" s="293" customFormat="1"/>
    <row r="66" s="293" customFormat="1"/>
    <row r="67" s="293" customFormat="1"/>
    <row r="68" s="293" customFormat="1"/>
    <row r="69" s="293" customFormat="1"/>
    <row r="70" s="293" customFormat="1"/>
    <row r="71" s="293" customFormat="1"/>
    <row r="72" s="293" customFormat="1"/>
    <row r="73" s="293" customFormat="1"/>
    <row r="74" s="293" customFormat="1"/>
    <row r="75" s="293" customFormat="1"/>
    <row r="76" s="293" customFormat="1"/>
    <row r="77" s="293" customFormat="1"/>
    <row r="78" s="293" customFormat="1"/>
    <row r="79" s="293" customFormat="1"/>
    <row r="80" s="293" customFormat="1"/>
    <row r="81" s="293" customFormat="1"/>
    <row r="82" s="293" customFormat="1"/>
    <row r="83" s="293" customFormat="1"/>
    <row r="84" s="293" customFormat="1"/>
    <row r="85" s="293" customFormat="1"/>
    <row r="86" s="293" customFormat="1"/>
    <row r="87" s="293" customFormat="1"/>
    <row r="88" s="293" customFormat="1"/>
    <row r="89" s="293" customFormat="1"/>
    <row r="90" s="293" customFormat="1"/>
    <row r="91" s="293" customFormat="1"/>
    <row r="92" s="293" customFormat="1"/>
    <row r="93" s="293" customFormat="1"/>
    <row r="94" s="293" customFormat="1"/>
    <row r="95" s="293" customFormat="1"/>
    <row r="96" s="293" customFormat="1"/>
    <row r="97" s="293" customFormat="1"/>
    <row r="98" s="293" customFormat="1"/>
    <row r="99" s="293" customFormat="1"/>
    <row r="100" s="293" customFormat="1"/>
    <row r="101" s="293" customFormat="1"/>
    <row r="102" s="293" customFormat="1"/>
    <row r="103" s="293" customFormat="1"/>
    <row r="104" s="293" customFormat="1"/>
    <row r="105" s="293" customFormat="1"/>
    <row r="106" s="293" customFormat="1"/>
    <row r="107" s="293" customFormat="1"/>
    <row r="108" s="293" customFormat="1"/>
    <row r="109" s="293" customFormat="1"/>
    <row r="110" s="293" customFormat="1"/>
    <row r="111" s="293" customFormat="1"/>
    <row r="112" s="293" customFormat="1"/>
    <row r="113" spans="10:18" s="293" customFormat="1"/>
    <row r="114" spans="10:18" s="293" customFormat="1"/>
    <row r="115" spans="10:18" s="293" customFormat="1"/>
    <row r="116" spans="10:18" s="293" customFormat="1"/>
    <row r="117" spans="10:18" s="293" customFormat="1"/>
    <row r="118" spans="10:18" s="293" customFormat="1"/>
    <row r="119" spans="10:18" s="293" customFormat="1"/>
    <row r="120" spans="10:18" s="293" customFormat="1"/>
    <row r="121" spans="10:18" s="293" customFormat="1"/>
    <row r="122" spans="10:18" s="293" customFormat="1"/>
    <row r="123" spans="10:18">
      <c r="J123" s="293"/>
      <c r="K123" s="293"/>
      <c r="L123" s="293"/>
      <c r="M123" s="293"/>
      <c r="N123" s="293"/>
      <c r="O123" s="293"/>
      <c r="P123" s="293"/>
      <c r="Q123" s="293"/>
      <c r="R123" s="293"/>
    </row>
  </sheetData>
  <customSheetViews>
    <customSheetView guid="{B8A679C5-B961-4392-BACF-6DDFA7297AAE}">
      <selection sqref="A1:A1048576"/>
      <pageMargins left="0.7" right="0.7" top="0.75" bottom="0.75" header="0.3" footer="0.3"/>
    </customSheetView>
    <customSheetView guid="{DEA14913-9729-4C6C-B479-A92A59FB4580}" showGridLines="0" topLeftCell="A13">
      <selection activeCell="A22" sqref="A22"/>
      <pageMargins left="0.7" right="0.7" top="0.75" bottom="0.75" header="0.3" footer="0.3"/>
    </customSheetView>
  </customSheetViews>
  <mergeCells count="2">
    <mergeCell ref="B6:E6"/>
    <mergeCell ref="B15:E15"/>
  </mergeCells>
  <pageMargins left="1.1023622047244095" right="1.1023622047244095" top="0.74803149606299213" bottom="0.74803149606299213" header="0.31496062992125984" footer="0.31496062992125984"/>
  <pageSetup scale="96" orientation="portrait" r:id="rId1"/>
  <colBreaks count="1" manualBreakCount="1">
    <brk id="6"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N39"/>
  <sheetViews>
    <sheetView showGridLines="0" topLeftCell="A14" zoomScale="70" zoomScaleNormal="70" zoomScaleSheetLayoutView="115" workbookViewId="0">
      <selection activeCell="C35" sqref="C35"/>
    </sheetView>
  </sheetViews>
  <sheetFormatPr defaultColWidth="9.28515625" defaultRowHeight="15"/>
  <cols>
    <col min="1" max="1" width="9.28515625" style="160"/>
    <col min="2" max="2" width="34.42578125" style="160" customWidth="1"/>
    <col min="3" max="3" width="15.85546875" style="160" customWidth="1"/>
    <col min="4" max="4" width="12.7109375" style="160" customWidth="1"/>
    <col min="5" max="5" width="16.7109375" style="160" customWidth="1"/>
    <col min="6" max="6" width="14.7109375" style="160" customWidth="1"/>
    <col min="7" max="7" width="14.42578125" style="160" customWidth="1"/>
    <col min="8" max="8" width="13" style="160" customWidth="1"/>
    <col min="9" max="9" width="14.28515625" style="160" customWidth="1"/>
    <col min="10" max="10" width="13.5703125" style="160" customWidth="1"/>
    <col min="11" max="12" width="13.7109375" style="160" customWidth="1"/>
    <col min="13" max="13" width="15" style="160" customWidth="1"/>
    <col min="14" max="16384" width="9.28515625" style="160"/>
  </cols>
  <sheetData>
    <row r="2" spans="2:14">
      <c r="B2" s="159"/>
      <c r="I2"/>
      <c r="J2"/>
      <c r="K2"/>
    </row>
    <row r="3" spans="2:14">
      <c r="B3" s="159"/>
      <c r="I3"/>
      <c r="J3"/>
      <c r="K3"/>
    </row>
    <row r="4" spans="2:14">
      <c r="B4" s="159" t="s">
        <v>150</v>
      </c>
    </row>
    <row r="5" spans="2:14">
      <c r="B5" s="159" t="s">
        <v>5955</v>
      </c>
      <c r="K5" s="161"/>
    </row>
    <row r="7" spans="2:14" ht="57">
      <c r="B7" s="162" t="s">
        <v>256</v>
      </c>
      <c r="C7" s="162" t="s">
        <v>257</v>
      </c>
      <c r="D7" s="162" t="s">
        <v>272</v>
      </c>
      <c r="E7" s="162" t="s">
        <v>258</v>
      </c>
      <c r="F7" s="162" t="s">
        <v>259</v>
      </c>
      <c r="G7" s="162" t="s">
        <v>260</v>
      </c>
      <c r="H7" s="162" t="s">
        <v>261</v>
      </c>
      <c r="I7" s="162" t="s">
        <v>262</v>
      </c>
      <c r="J7" s="162" t="s">
        <v>263</v>
      </c>
      <c r="K7" s="162" t="s">
        <v>264</v>
      </c>
      <c r="L7" s="162" t="s">
        <v>265</v>
      </c>
      <c r="M7" s="162" t="s">
        <v>266</v>
      </c>
    </row>
    <row r="8" spans="2:14">
      <c r="B8" s="163"/>
      <c r="C8" s="163"/>
      <c r="D8" s="163"/>
      <c r="E8" s="163"/>
      <c r="F8" s="163"/>
      <c r="G8" s="163"/>
      <c r="H8" s="163"/>
      <c r="I8" s="163"/>
      <c r="J8" s="163"/>
      <c r="K8" s="163"/>
      <c r="L8" s="163"/>
      <c r="M8" s="163"/>
    </row>
    <row r="9" spans="2:14">
      <c r="B9" s="164" t="s">
        <v>267</v>
      </c>
      <c r="C9" s="164" t="s">
        <v>268</v>
      </c>
      <c r="D9" s="165">
        <f>SUM('TB_31.03.2026 (Links)'!E5:E6)</f>
        <v>32341.13</v>
      </c>
      <c r="E9" s="166">
        <v>45415</v>
      </c>
      <c r="F9" s="165">
        <f>D9*0.05</f>
        <v>1617.0565000000001</v>
      </c>
      <c r="G9" s="165">
        <v>5</v>
      </c>
      <c r="H9" s="730">
        <v>0</v>
      </c>
      <c r="I9" s="747">
        <f>(5*365-J9)/365</f>
        <v>4</v>
      </c>
      <c r="J9" s="169">
        <v>365</v>
      </c>
      <c r="K9" s="170">
        <f>1-((F9/D9)^(1/G9))</f>
        <v>0.45071972834694107</v>
      </c>
      <c r="L9" s="165">
        <f>D9*K9/365*J9-1</f>
        <v>14575.785328033107</v>
      </c>
      <c r="M9" s="165">
        <f>D9-L9</f>
        <v>17765.344671966894</v>
      </c>
      <c r="N9" s="159"/>
    </row>
    <row r="10" spans="2:14">
      <c r="B10" s="164"/>
      <c r="C10" s="164"/>
      <c r="D10" s="165"/>
      <c r="E10" s="166"/>
      <c r="F10" s="165"/>
      <c r="G10" s="165"/>
      <c r="H10" s="171"/>
      <c r="I10" s="167"/>
      <c r="J10" s="169"/>
      <c r="K10" s="170"/>
      <c r="L10" s="165"/>
      <c r="M10" s="165"/>
      <c r="N10" s="159"/>
    </row>
    <row r="11" spans="2:14">
      <c r="B11" s="164"/>
      <c r="C11" s="164"/>
      <c r="D11" s="165"/>
      <c r="E11" s="166"/>
      <c r="F11" s="165"/>
      <c r="G11" s="167"/>
      <c r="H11" s="168"/>
      <c r="I11" s="167"/>
      <c r="J11" s="171"/>
      <c r="K11" s="170"/>
      <c r="L11" s="165"/>
      <c r="M11" s="165"/>
    </row>
    <row r="12" spans="2:14">
      <c r="B12" s="172" t="s">
        <v>96</v>
      </c>
      <c r="C12" s="172"/>
      <c r="D12" s="173">
        <f>SUM(D9:D11)</f>
        <v>32341.13</v>
      </c>
      <c r="E12" s="173"/>
      <c r="F12" s="173">
        <f>SUM(F9:F11)</f>
        <v>1617.0565000000001</v>
      </c>
      <c r="G12" s="173"/>
      <c r="H12" s="173"/>
      <c r="I12" s="173"/>
      <c r="J12" s="173"/>
      <c r="K12" s="173"/>
      <c r="L12" s="173">
        <f>SUM(L9:L11)</f>
        <v>14575.785328033107</v>
      </c>
      <c r="M12" s="173">
        <f>SUM(M9:M11)</f>
        <v>17765.344671966894</v>
      </c>
    </row>
    <row r="13" spans="2:14">
      <c r="F13" s="174"/>
      <c r="L13" s="174"/>
    </row>
    <row r="14" spans="2:14">
      <c r="F14" s="174"/>
      <c r="L14" s="174"/>
    </row>
    <row r="15" spans="2:14">
      <c r="F15" s="174"/>
      <c r="L15" s="174"/>
    </row>
    <row r="16" spans="2:14">
      <c r="F16" s="174"/>
      <c r="L16" s="174"/>
    </row>
    <row r="17" spans="2:12">
      <c r="B17" s="159" t="s">
        <v>5951</v>
      </c>
      <c r="F17" s="174"/>
      <c r="L17" s="174"/>
    </row>
    <row r="18" spans="2:12">
      <c r="B18" s="159" t="s">
        <v>5956</v>
      </c>
      <c r="C18" s="159"/>
      <c r="D18" s="159"/>
      <c r="E18" s="159"/>
      <c r="F18" s="159"/>
      <c r="G18" s="159"/>
      <c r="H18" s="159"/>
      <c r="I18" s="159"/>
      <c r="J18" s="159"/>
      <c r="K18" s="159"/>
      <c r="L18" s="174"/>
    </row>
    <row r="20" spans="2:12">
      <c r="B20" s="850" t="s">
        <v>269</v>
      </c>
      <c r="C20" s="850" t="s">
        <v>270</v>
      </c>
      <c r="D20" s="850" t="s">
        <v>271</v>
      </c>
      <c r="E20" s="850" t="s">
        <v>272</v>
      </c>
      <c r="F20" s="852" t="s">
        <v>273</v>
      </c>
      <c r="G20" s="853"/>
      <c r="H20" s="852" t="s">
        <v>274</v>
      </c>
      <c r="I20" s="853"/>
      <c r="J20" s="850" t="s">
        <v>275</v>
      </c>
      <c r="K20" s="850" t="s">
        <v>266</v>
      </c>
    </row>
    <row r="21" spans="2:12" ht="26.25">
      <c r="B21" s="850"/>
      <c r="C21" s="850"/>
      <c r="D21" s="850"/>
      <c r="E21" s="850"/>
      <c r="F21" s="172" t="s">
        <v>276</v>
      </c>
      <c r="G21" s="172" t="s">
        <v>277</v>
      </c>
      <c r="H21" s="172" t="s">
        <v>276</v>
      </c>
      <c r="I21" s="172" t="s">
        <v>277</v>
      </c>
      <c r="J21" s="850"/>
      <c r="K21" s="850"/>
    </row>
    <row r="22" spans="2:12">
      <c r="B22" s="175"/>
      <c r="C22" s="175"/>
      <c r="D22" s="175"/>
      <c r="E22" s="176"/>
      <c r="F22" s="175"/>
      <c r="G22" s="175"/>
      <c r="H22" s="175"/>
      <c r="I22" s="175"/>
      <c r="J22" s="175"/>
      <c r="K22" s="175"/>
    </row>
    <row r="23" spans="2:12">
      <c r="B23" s="164" t="s">
        <v>267</v>
      </c>
      <c r="C23" s="164" t="s">
        <v>268</v>
      </c>
      <c r="D23" s="177">
        <v>0.15</v>
      </c>
      <c r="E23" s="178">
        <v>46589.35</v>
      </c>
      <c r="F23" s="178">
        <v>0</v>
      </c>
      <c r="G23" s="178">
        <v>0</v>
      </c>
      <c r="H23" s="178">
        <v>0</v>
      </c>
      <c r="I23" s="178">
        <v>0</v>
      </c>
      <c r="J23" s="178">
        <f>(E23*D23)+(F23*D23)+(G23*D23/2)</f>
        <v>6988.4024999999992</v>
      </c>
      <c r="K23" s="178">
        <f>SUM(E23:G23)-SUM(H23:J23)</f>
        <v>39600.947500000002</v>
      </c>
    </row>
    <row r="24" spans="2:12">
      <c r="B24" s="179"/>
      <c r="C24" s="179"/>
      <c r="D24" s="180"/>
      <c r="E24" s="181"/>
      <c r="F24" s="182"/>
      <c r="G24" s="182"/>
      <c r="H24" s="182"/>
      <c r="I24" s="182"/>
      <c r="J24" s="182"/>
      <c r="K24" s="182"/>
    </row>
    <row r="25" spans="2:12">
      <c r="B25" s="172" t="s">
        <v>96</v>
      </c>
      <c r="C25" s="173"/>
      <c r="D25" s="173"/>
      <c r="E25" s="173">
        <f t="shared" ref="E25:K25" si="0">SUM(E23)</f>
        <v>46589.35</v>
      </c>
      <c r="F25" s="173">
        <f t="shared" si="0"/>
        <v>0</v>
      </c>
      <c r="G25" s="173">
        <f t="shared" si="0"/>
        <v>0</v>
      </c>
      <c r="H25" s="173">
        <f t="shared" si="0"/>
        <v>0</v>
      </c>
      <c r="I25" s="173">
        <v>0</v>
      </c>
      <c r="J25" s="173">
        <f t="shared" si="0"/>
        <v>6988.4024999999992</v>
      </c>
      <c r="K25" s="173">
        <f t="shared" si="0"/>
        <v>39600.947500000002</v>
      </c>
    </row>
    <row r="28" spans="2:12">
      <c r="B28" s="851" t="s">
        <v>278</v>
      </c>
      <c r="C28" s="851"/>
    </row>
    <row r="29" spans="2:12">
      <c r="B29" s="183"/>
      <c r="C29" s="183"/>
    </row>
    <row r="30" spans="2:12">
      <c r="B30" s="162" t="s">
        <v>279</v>
      </c>
      <c r="C30" s="162" t="s">
        <v>280</v>
      </c>
    </row>
    <row r="31" spans="2:12">
      <c r="B31" s="184" t="s">
        <v>471</v>
      </c>
      <c r="C31" s="182">
        <f>L9</f>
        <v>14575.785328033107</v>
      </c>
    </row>
    <row r="32" spans="2:12">
      <c r="B32" s="185" t="s">
        <v>472</v>
      </c>
      <c r="C32" s="186">
        <f>J23</f>
        <v>6988.4024999999992</v>
      </c>
    </row>
    <row r="33" spans="2:5">
      <c r="B33" s="187" t="s">
        <v>281</v>
      </c>
      <c r="C33" s="173">
        <f>C31-C32</f>
        <v>7587.3828280331081</v>
      </c>
      <c r="D33" s="188"/>
    </row>
    <row r="34" spans="2:5">
      <c r="B34" s="189" t="s">
        <v>282</v>
      </c>
      <c r="C34" s="190">
        <v>0.25168000000000001</v>
      </c>
      <c r="D34" s="174"/>
    </row>
    <row r="35" spans="2:5" ht="16.149999999999999" customHeight="1">
      <c r="B35" s="187" t="s">
        <v>283</v>
      </c>
      <c r="C35" s="173">
        <f>C33*C34</f>
        <v>1909.5925101593728</v>
      </c>
    </row>
    <row r="36" spans="2:5">
      <c r="B36" s="632" t="s">
        <v>5952</v>
      </c>
      <c r="C36" s="633">
        <v>3586</v>
      </c>
    </row>
    <row r="37" spans="2:5">
      <c r="B37" s="632" t="s">
        <v>5953</v>
      </c>
      <c r="C37" s="634">
        <f>C35+C36</f>
        <v>5495.592510159373</v>
      </c>
    </row>
    <row r="39" spans="2:5">
      <c r="D39" s="191"/>
      <c r="E39" s="192"/>
    </row>
  </sheetData>
  <customSheetViews>
    <customSheetView guid="{B8A679C5-B961-4392-BACF-6DDFA7297AAE}" scale="70" showPageBreaks="1" showGridLines="0" fitToPage="1" printArea="1">
      <selection sqref="A1:N32"/>
      <pageMargins left="1.1023622047244095" right="0.70866141732283472" top="1.7322834645669292" bottom="0.74803149606299213" header="0.31496062992125984" footer="0.31496062992125984"/>
      <pageSetup scale="54" fitToHeight="0" orientation="landscape" r:id="rId1"/>
    </customSheetView>
    <customSheetView guid="{DEA14913-9729-4C6C-B479-A92A59FB4580}" scale="70" showGridLines="0" fitToPage="1" printArea="1" topLeftCell="A6">
      <selection activeCell="C28" sqref="C28"/>
      <pageMargins left="1.1023622047244095" right="0.70866141732283472" top="1.7322834645669292" bottom="0.74803149606299213" header="0.31496062992125984" footer="0.31496062992125984"/>
      <pageSetup scale="54" fitToHeight="0" orientation="landscape" r:id="rId2"/>
    </customSheetView>
    <customSheetView guid="{8C4DF1F4-EAB1-489E-8362-1E2D3E732D13}" scale="70" showGridLines="0" fitToPage="1">
      <selection sqref="A1:N32"/>
      <pageMargins left="1.1023622047244095" right="0.70866141732283472" top="1.7322834645669292" bottom="0.74803149606299213" header="0.31496062992125984" footer="0.31496062992125984"/>
      <pageSetup scale="54" fitToHeight="0" orientation="landscape" r:id="rId3"/>
    </customSheetView>
  </customSheetViews>
  <mergeCells count="9">
    <mergeCell ref="J20:J21"/>
    <mergeCell ref="K20:K21"/>
    <mergeCell ref="B28:C28"/>
    <mergeCell ref="B20:B21"/>
    <mergeCell ref="C20:C21"/>
    <mergeCell ref="D20:D21"/>
    <mergeCell ref="E20:E21"/>
    <mergeCell ref="F20:G20"/>
    <mergeCell ref="H20:I20"/>
  </mergeCells>
  <pageMargins left="1.1023622047244095" right="0.70866141732283472" top="0.55118110236220474" bottom="0.74803149606299213" header="0.31496062992125984" footer="0.31496062992125984"/>
  <pageSetup scale="60" fitToHeight="0" orientation="landscape"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1138"/>
  <sheetViews>
    <sheetView showGridLines="0" workbookViewId="0">
      <selection activeCell="L13" sqref="L13"/>
    </sheetView>
  </sheetViews>
  <sheetFormatPr defaultColWidth="9.28515625" defaultRowHeight="15"/>
  <cols>
    <col min="1" max="1" width="7.42578125" style="549" bestFit="1" customWidth="1"/>
    <col min="2" max="2" width="27.5703125" bestFit="1" customWidth="1"/>
    <col min="3" max="3" width="12.28515625" bestFit="1" customWidth="1"/>
    <col min="4" max="4" width="8" hidden="1" customWidth="1"/>
    <col min="5" max="5" width="8.28515625" hidden="1" customWidth="1"/>
    <col min="6" max="6" width="10.7109375" hidden="1" customWidth="1"/>
    <col min="7" max="9" width="9" style="550" hidden="1" customWidth="1"/>
    <col min="10" max="10" width="5.5703125" style="549" hidden="1" customWidth="1"/>
    <col min="11" max="11" width="8.7109375" bestFit="1" customWidth="1"/>
    <col min="12" max="12" width="42.5703125" bestFit="1" customWidth="1"/>
    <col min="13" max="13" width="14.42578125" customWidth="1"/>
    <col min="14" max="14" width="15.42578125" hidden="1" customWidth="1"/>
    <col min="15" max="15" width="10.5703125" style="551" hidden="1" customWidth="1"/>
    <col min="16" max="16" width="11.5703125" style="285" hidden="1" customWidth="1"/>
    <col min="17" max="17" width="11" hidden="1" customWidth="1"/>
    <col min="18" max="18" width="8.5703125" hidden="1" customWidth="1"/>
    <col min="19" max="19" width="10.42578125" style="285" hidden="1" customWidth="1"/>
    <col min="20" max="20" width="15" style="285" hidden="1" customWidth="1"/>
    <col min="21" max="21" width="22.7109375" style="285" hidden="1" customWidth="1"/>
    <col min="22" max="22" width="15.28515625" style="285" hidden="1" customWidth="1"/>
    <col min="23" max="23" width="9" style="285" hidden="1" customWidth="1"/>
    <col min="24" max="24" width="12.7109375" style="285" hidden="1" customWidth="1"/>
    <col min="25" max="25" width="12.5703125" style="285" hidden="1" customWidth="1"/>
    <col min="26" max="26" width="15" style="285" hidden="1" customWidth="1"/>
    <col min="27" max="27" width="14.28515625" style="285" hidden="1" customWidth="1"/>
    <col min="28" max="28" width="14.42578125" style="285" hidden="1" customWidth="1"/>
    <col min="29" max="29" width="11.5703125" style="285" hidden="1" customWidth="1"/>
    <col min="30" max="30" width="12.28515625" style="285" hidden="1" customWidth="1"/>
    <col min="31" max="31" width="13.7109375" style="285" hidden="1" customWidth="1"/>
    <col min="32" max="32" width="6.5703125" style="285" hidden="1" customWidth="1"/>
    <col min="33" max="33" width="15" style="285" bestFit="1" customWidth="1"/>
    <col min="34" max="34" width="8.5703125" hidden="1" customWidth="1"/>
    <col min="35" max="35" width="11.5703125" style="285" hidden="1" customWidth="1"/>
    <col min="36" max="36" width="15" hidden="1" customWidth="1"/>
    <col min="37" max="37" width="5.42578125" hidden="1" customWidth="1"/>
    <col min="38" max="38" width="13.5703125" style="285" hidden="1" customWidth="1"/>
    <col min="39" max="39" width="29.28515625" hidden="1" customWidth="1"/>
    <col min="41" max="42" width="0" hidden="1" customWidth="1"/>
  </cols>
  <sheetData>
    <row r="1" spans="1:42">
      <c r="A1" s="586" t="s">
        <v>5948</v>
      </c>
    </row>
    <row r="2" spans="1:42" ht="17.25">
      <c r="AG2" s="552">
        <f>SUBTOTAL(9,AG4:AG948)</f>
        <v>-1363426656.589999</v>
      </c>
    </row>
    <row r="3" spans="1:42" s="559" customFormat="1" ht="63.75">
      <c r="A3" s="553" t="s">
        <v>1566</v>
      </c>
      <c r="B3" s="553" t="s">
        <v>1609</v>
      </c>
      <c r="C3" s="553" t="s">
        <v>1610</v>
      </c>
      <c r="D3" s="553" t="s">
        <v>1611</v>
      </c>
      <c r="E3" s="553" t="s">
        <v>1612</v>
      </c>
      <c r="F3" s="553" t="s">
        <v>1613</v>
      </c>
      <c r="G3" s="554" t="s">
        <v>1614</v>
      </c>
      <c r="H3" s="554" t="s">
        <v>1615</v>
      </c>
      <c r="I3" s="554" t="s">
        <v>1616</v>
      </c>
      <c r="J3" s="553" t="s">
        <v>1617</v>
      </c>
      <c r="K3" s="553" t="s">
        <v>1618</v>
      </c>
      <c r="L3" s="553" t="s">
        <v>1619</v>
      </c>
      <c r="M3" s="553" t="s">
        <v>1620</v>
      </c>
      <c r="N3" s="553" t="s">
        <v>1621</v>
      </c>
      <c r="O3" s="555" t="s">
        <v>1622</v>
      </c>
      <c r="P3" s="556" t="s">
        <v>1623</v>
      </c>
      <c r="Q3" s="553" t="s">
        <v>1624</v>
      </c>
      <c r="R3" s="553" t="s">
        <v>1625</v>
      </c>
      <c r="S3" s="556" t="s">
        <v>1626</v>
      </c>
      <c r="T3" s="556" t="s">
        <v>1627</v>
      </c>
      <c r="U3" s="556" t="s">
        <v>1628</v>
      </c>
      <c r="V3" s="556" t="s">
        <v>1629</v>
      </c>
      <c r="W3" s="556" t="s">
        <v>1630</v>
      </c>
      <c r="X3" s="556" t="s">
        <v>1631</v>
      </c>
      <c r="Y3" s="556" t="s">
        <v>1632</v>
      </c>
      <c r="Z3" s="556" t="s">
        <v>1633</v>
      </c>
      <c r="AA3" s="556" t="s">
        <v>1634</v>
      </c>
      <c r="AB3" s="556" t="s">
        <v>1635</v>
      </c>
      <c r="AC3" s="556" t="s">
        <v>1636</v>
      </c>
      <c r="AD3" s="556" t="s">
        <v>1637</v>
      </c>
      <c r="AE3" s="556" t="s">
        <v>1638</v>
      </c>
      <c r="AF3" s="556" t="s">
        <v>1639</v>
      </c>
      <c r="AG3" s="556" t="s">
        <v>1640</v>
      </c>
      <c r="AH3" s="553" t="s">
        <v>746</v>
      </c>
      <c r="AI3" s="557" t="s">
        <v>1641</v>
      </c>
      <c r="AJ3" s="558" t="s">
        <v>1642</v>
      </c>
      <c r="AL3" s="560" t="s">
        <v>1558</v>
      </c>
    </row>
    <row r="4" spans="1:42">
      <c r="A4" s="587">
        <v>1</v>
      </c>
      <c r="B4" s="330" t="s">
        <v>1643</v>
      </c>
      <c r="C4" s="330" t="s">
        <v>1644</v>
      </c>
      <c r="D4" s="330" t="s">
        <v>1645</v>
      </c>
      <c r="E4" s="330" t="s">
        <v>1646</v>
      </c>
      <c r="F4" s="330" t="s">
        <v>1647</v>
      </c>
      <c r="G4" s="562">
        <v>1012</v>
      </c>
      <c r="H4" s="562">
        <v>653.59</v>
      </c>
      <c r="I4" s="562">
        <v>723.02</v>
      </c>
      <c r="J4" s="561" t="s">
        <v>1648</v>
      </c>
      <c r="K4" s="330" t="s">
        <v>1649</v>
      </c>
      <c r="L4" s="330" t="s">
        <v>1650</v>
      </c>
      <c r="M4" s="330" t="s">
        <v>1651</v>
      </c>
      <c r="N4" s="330" t="s">
        <v>1652</v>
      </c>
      <c r="O4" s="395">
        <v>45441</v>
      </c>
      <c r="P4" s="333">
        <v>5683644</v>
      </c>
      <c r="Q4" s="330" t="s">
        <v>1653</v>
      </c>
      <c r="R4" s="562">
        <v>0</v>
      </c>
      <c r="S4" s="333">
        <v>0</v>
      </c>
      <c r="T4" s="333">
        <v>-1697949.3400000008</v>
      </c>
      <c r="U4" s="333">
        <f t="shared" ref="U4:U67" si="0">SUM(R4:T4)</f>
        <v>-1697949.3400000008</v>
      </c>
      <c r="V4" s="333">
        <v>0</v>
      </c>
      <c r="W4" s="333">
        <v>0</v>
      </c>
      <c r="X4" s="333">
        <v>0</v>
      </c>
      <c r="Y4" s="333">
        <v>0</v>
      </c>
      <c r="Z4" s="333">
        <v>0</v>
      </c>
      <c r="AA4" s="333">
        <v>0</v>
      </c>
      <c r="AB4" s="333">
        <v>0</v>
      </c>
      <c r="AC4" s="333">
        <v>-7142.9</v>
      </c>
      <c r="AD4" s="333">
        <v>0</v>
      </c>
      <c r="AE4" s="333"/>
      <c r="AF4" s="333"/>
      <c r="AG4" s="333">
        <f>SUM(U4:AF4)</f>
        <v>-1705092.2400000007</v>
      </c>
      <c r="AH4" s="330"/>
      <c r="AI4" s="330">
        <v>7142.9000000000005</v>
      </c>
      <c r="AJ4" s="396">
        <f>SUM(U4:AE4)</f>
        <v>-1705092.2400000007</v>
      </c>
      <c r="AK4" s="563"/>
      <c r="AL4" s="285">
        <f>+AC4+AI4</f>
        <v>0</v>
      </c>
      <c r="AM4" s="286"/>
      <c r="AO4" s="330" t="s">
        <v>1649</v>
      </c>
      <c r="AP4">
        <v>20412001</v>
      </c>
    </row>
    <row r="5" spans="1:42">
      <c r="A5" s="587">
        <f>A4+1</f>
        <v>2</v>
      </c>
      <c r="B5" s="330" t="s">
        <v>1643</v>
      </c>
      <c r="C5" s="330" t="s">
        <v>1654</v>
      </c>
      <c r="D5" s="330" t="s">
        <v>1655</v>
      </c>
      <c r="E5" s="330" t="s">
        <v>1656</v>
      </c>
      <c r="F5" s="330" t="s">
        <v>1647</v>
      </c>
      <c r="G5" s="562">
        <v>1114</v>
      </c>
      <c r="H5" s="562">
        <v>683.3</v>
      </c>
      <c r="I5" s="562">
        <v>795.57</v>
      </c>
      <c r="J5" s="561" t="s">
        <v>1648</v>
      </c>
      <c r="K5" s="330" t="s">
        <v>1657</v>
      </c>
      <c r="L5" s="330" t="s">
        <v>1658</v>
      </c>
      <c r="M5" s="330" t="s">
        <v>1659</v>
      </c>
      <c r="N5" s="330" t="s">
        <v>12</v>
      </c>
      <c r="O5" s="395"/>
      <c r="P5" s="333">
        <v>6928571</v>
      </c>
      <c r="Q5" s="330" t="s">
        <v>1660</v>
      </c>
      <c r="R5" s="562">
        <v>0</v>
      </c>
      <c r="S5" s="333">
        <v>0</v>
      </c>
      <c r="T5" s="333">
        <v>-75000</v>
      </c>
      <c r="U5" s="333">
        <f t="shared" si="0"/>
        <v>-75000</v>
      </c>
      <c r="V5" s="333">
        <v>75000</v>
      </c>
      <c r="W5" s="333">
        <v>0</v>
      </c>
      <c r="X5" s="333">
        <v>0</v>
      </c>
      <c r="Y5" s="333">
        <v>0</v>
      </c>
      <c r="Z5" s="333">
        <v>0</v>
      </c>
      <c r="AA5" s="333">
        <v>0</v>
      </c>
      <c r="AB5" s="333">
        <v>0</v>
      </c>
      <c r="AC5" s="333">
        <v>0</v>
      </c>
      <c r="AD5" s="333">
        <v>0</v>
      </c>
      <c r="AE5" s="333"/>
      <c r="AF5" s="333"/>
      <c r="AG5" s="333">
        <f t="shared" ref="AG5:AG68" si="1">SUM(U5:AF5)</f>
        <v>0</v>
      </c>
      <c r="AH5" s="330"/>
      <c r="AI5" s="330">
        <v>0</v>
      </c>
      <c r="AJ5" s="396">
        <f t="shared" ref="AJ5:AJ68" si="2">SUM(U5:AE5)</f>
        <v>0</v>
      </c>
      <c r="AK5" s="563"/>
      <c r="AL5" s="285">
        <f t="shared" ref="AL5:AL66" si="3">+AC5-AI5</f>
        <v>0</v>
      </c>
      <c r="AM5" s="286"/>
      <c r="AO5" s="330" t="s">
        <v>1657</v>
      </c>
      <c r="AP5">
        <v>20412016</v>
      </c>
    </row>
    <row r="6" spans="1:42">
      <c r="A6" s="587">
        <f t="shared" ref="A6:A69" si="4">A5+1</f>
        <v>3</v>
      </c>
      <c r="B6" s="330" t="s">
        <v>1643</v>
      </c>
      <c r="C6" s="330" t="s">
        <v>1661</v>
      </c>
      <c r="D6" s="330" t="s">
        <v>1662</v>
      </c>
      <c r="E6" s="330" t="s">
        <v>1663</v>
      </c>
      <c r="F6" s="330" t="s">
        <v>1647</v>
      </c>
      <c r="G6" s="562">
        <v>1012</v>
      </c>
      <c r="H6" s="562">
        <v>653.59</v>
      </c>
      <c r="I6" s="562">
        <v>723.02</v>
      </c>
      <c r="J6" s="561" t="s">
        <v>1648</v>
      </c>
      <c r="K6" s="330" t="s">
        <v>1664</v>
      </c>
      <c r="L6" s="330" t="s">
        <v>1665</v>
      </c>
      <c r="M6" s="330" t="s">
        <v>1666</v>
      </c>
      <c r="N6" s="330" t="s">
        <v>1667</v>
      </c>
      <c r="O6" s="395">
        <v>45462</v>
      </c>
      <c r="P6" s="333">
        <v>5698827</v>
      </c>
      <c r="Q6" s="330" t="s">
        <v>1653</v>
      </c>
      <c r="R6" s="562">
        <v>0</v>
      </c>
      <c r="S6" s="333">
        <v>0</v>
      </c>
      <c r="T6" s="333">
        <v>-1707263.5800000003</v>
      </c>
      <c r="U6" s="333">
        <f t="shared" si="0"/>
        <v>-1707263.5800000003</v>
      </c>
      <c r="V6" s="333">
        <v>0</v>
      </c>
      <c r="W6" s="333">
        <v>0</v>
      </c>
      <c r="X6" s="333">
        <v>0</v>
      </c>
      <c r="Y6" s="333">
        <v>0</v>
      </c>
      <c r="Z6" s="333">
        <v>0</v>
      </c>
      <c r="AA6" s="333">
        <v>0</v>
      </c>
      <c r="AB6" s="333">
        <v>0</v>
      </c>
      <c r="AC6" s="333">
        <v>-2380.9000000000015</v>
      </c>
      <c r="AD6" s="333">
        <v>0</v>
      </c>
      <c r="AE6" s="333"/>
      <c r="AF6" s="333"/>
      <c r="AG6" s="333">
        <f t="shared" si="1"/>
        <v>-1709644.4800000002</v>
      </c>
      <c r="AH6" s="330"/>
      <c r="AI6" s="330">
        <v>2380.9000000000005</v>
      </c>
      <c r="AJ6" s="396">
        <f t="shared" si="2"/>
        <v>-1709644.4800000002</v>
      </c>
      <c r="AK6" s="563"/>
      <c r="AL6" s="285">
        <f>+AC6+AI6</f>
        <v>0</v>
      </c>
      <c r="AM6" s="286"/>
      <c r="AO6" s="330" t="s">
        <v>1664</v>
      </c>
      <c r="AP6">
        <v>20412009</v>
      </c>
    </row>
    <row r="7" spans="1:42">
      <c r="A7" s="587">
        <f t="shared" si="4"/>
        <v>4</v>
      </c>
      <c r="B7" s="330" t="s">
        <v>1643</v>
      </c>
      <c r="C7" s="330" t="s">
        <v>1668</v>
      </c>
      <c r="D7" s="330" t="s">
        <v>1669</v>
      </c>
      <c r="E7" s="330" t="s">
        <v>1670</v>
      </c>
      <c r="F7" s="330" t="s">
        <v>1671</v>
      </c>
      <c r="G7" s="562">
        <v>1787</v>
      </c>
      <c r="H7" s="562">
        <v>1138.51</v>
      </c>
      <c r="I7" s="562">
        <v>1276.29</v>
      </c>
      <c r="J7" s="561" t="s">
        <v>1648</v>
      </c>
      <c r="K7" s="330" t="s">
        <v>1672</v>
      </c>
      <c r="L7" s="330" t="s">
        <v>1673</v>
      </c>
      <c r="M7" s="330" t="s">
        <v>1674</v>
      </c>
      <c r="N7" s="330" t="s">
        <v>1675</v>
      </c>
      <c r="O7" s="395">
        <v>45629</v>
      </c>
      <c r="P7" s="333">
        <v>14080286</v>
      </c>
      <c r="Q7" s="330" t="s">
        <v>1653</v>
      </c>
      <c r="R7" s="562">
        <v>0</v>
      </c>
      <c r="S7" s="333">
        <v>0</v>
      </c>
      <c r="T7" s="333">
        <v>-4322636.5600000005</v>
      </c>
      <c r="U7" s="333">
        <f t="shared" si="0"/>
        <v>-4322636.5600000005</v>
      </c>
      <c r="V7" s="333">
        <v>-95238</v>
      </c>
      <c r="W7" s="333">
        <v>0</v>
      </c>
      <c r="X7" s="333">
        <v>0</v>
      </c>
      <c r="Y7" s="333">
        <v>0</v>
      </c>
      <c r="Z7" s="333">
        <v>0</v>
      </c>
      <c r="AA7" s="333">
        <v>0</v>
      </c>
      <c r="AB7" s="333">
        <v>0</v>
      </c>
      <c r="AC7" s="333">
        <v>0</v>
      </c>
      <c r="AD7" s="333">
        <v>0</v>
      </c>
      <c r="AE7" s="333"/>
      <c r="AF7" s="333"/>
      <c r="AG7" s="333">
        <f t="shared" si="1"/>
        <v>-4417874.5600000005</v>
      </c>
      <c r="AH7" s="330"/>
      <c r="AI7" s="330">
        <v>0</v>
      </c>
      <c r="AJ7" s="396">
        <f t="shared" si="2"/>
        <v>-4417874.5600000005</v>
      </c>
      <c r="AK7" s="563"/>
      <c r="AL7" s="285">
        <f t="shared" si="3"/>
        <v>0</v>
      </c>
      <c r="AM7" s="286"/>
      <c r="AO7" s="330" t="s">
        <v>1672</v>
      </c>
      <c r="AP7">
        <v>20412003</v>
      </c>
    </row>
    <row r="8" spans="1:42">
      <c r="A8" s="587">
        <f t="shared" si="4"/>
        <v>5</v>
      </c>
      <c r="B8" s="330" t="s">
        <v>1643</v>
      </c>
      <c r="C8" s="330" t="s">
        <v>1676</v>
      </c>
      <c r="D8" s="330" t="s">
        <v>1677</v>
      </c>
      <c r="E8" s="330" t="s">
        <v>1678</v>
      </c>
      <c r="F8" s="330" t="s">
        <v>1647</v>
      </c>
      <c r="G8" s="562">
        <v>1012</v>
      </c>
      <c r="H8" s="562">
        <v>653.59</v>
      </c>
      <c r="I8" s="562">
        <v>723.02</v>
      </c>
      <c r="J8" s="561" t="s">
        <v>1679</v>
      </c>
      <c r="K8" s="330" t="s">
        <v>1680</v>
      </c>
      <c r="L8" s="330" t="s">
        <v>1681</v>
      </c>
      <c r="M8" s="330" t="s">
        <v>1682</v>
      </c>
      <c r="N8" s="330" t="s">
        <v>12</v>
      </c>
      <c r="O8" s="395"/>
      <c r="P8" s="333">
        <v>6134762</v>
      </c>
      <c r="Q8" s="330" t="s">
        <v>1653</v>
      </c>
      <c r="R8" s="562">
        <v>0</v>
      </c>
      <c r="S8" s="333">
        <v>0</v>
      </c>
      <c r="T8" s="333">
        <v>-650905</v>
      </c>
      <c r="U8" s="333">
        <f t="shared" si="0"/>
        <v>-650905</v>
      </c>
      <c r="V8" s="333">
        <v>0</v>
      </c>
      <c r="W8" s="333">
        <v>0</v>
      </c>
      <c r="X8" s="333">
        <v>0</v>
      </c>
      <c r="Y8" s="333">
        <v>0</v>
      </c>
      <c r="Z8" s="333">
        <v>0</v>
      </c>
      <c r="AA8" s="333">
        <v>0</v>
      </c>
      <c r="AB8" s="333">
        <v>0</v>
      </c>
      <c r="AC8" s="333">
        <v>0</v>
      </c>
      <c r="AD8" s="333">
        <v>0</v>
      </c>
      <c r="AE8" s="333"/>
      <c r="AF8" s="333"/>
      <c r="AG8" s="333">
        <f t="shared" si="1"/>
        <v>-650905</v>
      </c>
      <c r="AH8" s="330"/>
      <c r="AI8" s="330">
        <v>0</v>
      </c>
      <c r="AJ8" s="396">
        <f t="shared" si="2"/>
        <v>-650905</v>
      </c>
      <c r="AK8" s="563"/>
      <c r="AL8" s="285">
        <f t="shared" si="3"/>
        <v>0</v>
      </c>
      <c r="AM8" s="286"/>
      <c r="AO8" s="330" t="s">
        <v>1680</v>
      </c>
      <c r="AP8">
        <v>20412005</v>
      </c>
    </row>
    <row r="9" spans="1:42">
      <c r="A9" s="587">
        <f t="shared" si="4"/>
        <v>6</v>
      </c>
      <c r="B9" s="330" t="s">
        <v>1643</v>
      </c>
      <c r="C9" s="330" t="s">
        <v>1683</v>
      </c>
      <c r="D9" s="330" t="s">
        <v>1645</v>
      </c>
      <c r="E9" s="330" t="s">
        <v>1684</v>
      </c>
      <c r="F9" s="330" t="s">
        <v>1685</v>
      </c>
      <c r="G9" s="562">
        <v>1265</v>
      </c>
      <c r="H9" s="562">
        <v>813.33</v>
      </c>
      <c r="I9" s="562">
        <v>903.31</v>
      </c>
      <c r="J9" s="561" t="s">
        <v>1648</v>
      </c>
      <c r="K9" s="330" t="s">
        <v>1686</v>
      </c>
      <c r="L9" s="330" t="s">
        <v>1687</v>
      </c>
      <c r="M9" s="330" t="s">
        <v>1688</v>
      </c>
      <c r="N9" s="330" t="s">
        <v>1689</v>
      </c>
      <c r="O9" s="395">
        <v>45475</v>
      </c>
      <c r="P9" s="333">
        <v>7142857</v>
      </c>
      <c r="Q9" s="330" t="s">
        <v>1660</v>
      </c>
      <c r="R9" s="562">
        <v>0</v>
      </c>
      <c r="S9" s="333">
        <v>0</v>
      </c>
      <c r="T9" s="333">
        <v>-1834244</v>
      </c>
      <c r="U9" s="333">
        <f t="shared" si="0"/>
        <v>-1834244</v>
      </c>
      <c r="V9" s="333">
        <v>1834244</v>
      </c>
      <c r="W9" s="333">
        <v>0</v>
      </c>
      <c r="X9" s="333">
        <v>0</v>
      </c>
      <c r="Y9" s="333">
        <v>0</v>
      </c>
      <c r="Z9" s="333">
        <v>0</v>
      </c>
      <c r="AA9" s="333">
        <v>0</v>
      </c>
      <c r="AB9" s="333">
        <v>0</v>
      </c>
      <c r="AC9" s="333">
        <v>0</v>
      </c>
      <c r="AD9" s="333">
        <v>0</v>
      </c>
      <c r="AE9" s="333"/>
      <c r="AF9" s="333"/>
      <c r="AG9" s="333">
        <f t="shared" si="1"/>
        <v>0</v>
      </c>
      <c r="AH9" s="330"/>
      <c r="AI9" s="330">
        <v>0</v>
      </c>
      <c r="AJ9" s="396">
        <f t="shared" si="2"/>
        <v>0</v>
      </c>
      <c r="AK9" s="563"/>
      <c r="AL9" s="285">
        <f t="shared" si="3"/>
        <v>0</v>
      </c>
      <c r="AM9" s="286"/>
      <c r="AO9" s="330" t="s">
        <v>1686</v>
      </c>
      <c r="AP9">
        <v>20412007</v>
      </c>
    </row>
    <row r="10" spans="1:42">
      <c r="A10" s="587">
        <f t="shared" si="4"/>
        <v>7</v>
      </c>
      <c r="B10" s="330" t="s">
        <v>1643</v>
      </c>
      <c r="C10" s="330" t="s">
        <v>1690</v>
      </c>
      <c r="D10" s="330" t="s">
        <v>1677</v>
      </c>
      <c r="E10" s="330" t="s">
        <v>1691</v>
      </c>
      <c r="F10" s="330" t="s">
        <v>1647</v>
      </c>
      <c r="G10" s="562">
        <v>1012</v>
      </c>
      <c r="H10" s="562">
        <v>653.59</v>
      </c>
      <c r="I10" s="562">
        <v>723.02</v>
      </c>
      <c r="J10" s="561" t="s">
        <v>1648</v>
      </c>
      <c r="K10" s="330" t="s">
        <v>1692</v>
      </c>
      <c r="L10" s="330" t="s">
        <v>1693</v>
      </c>
      <c r="M10" s="330" t="s">
        <v>1694</v>
      </c>
      <c r="N10" s="330" t="s">
        <v>12</v>
      </c>
      <c r="O10" s="395"/>
      <c r="P10" s="333">
        <v>6044643</v>
      </c>
      <c r="Q10" s="330" t="s">
        <v>1660</v>
      </c>
      <c r="R10" s="562">
        <v>0</v>
      </c>
      <c r="S10" s="333">
        <v>0</v>
      </c>
      <c r="T10" s="333">
        <v>-758947</v>
      </c>
      <c r="U10" s="333">
        <f t="shared" si="0"/>
        <v>-758947</v>
      </c>
      <c r="V10" s="333">
        <v>770544</v>
      </c>
      <c r="W10" s="333">
        <v>0</v>
      </c>
      <c r="X10" s="333">
        <v>0</v>
      </c>
      <c r="Y10" s="333">
        <v>0</v>
      </c>
      <c r="Z10" s="333">
        <v>0</v>
      </c>
      <c r="AA10" s="333">
        <v>0</v>
      </c>
      <c r="AB10" s="333">
        <v>0</v>
      </c>
      <c r="AC10" s="333">
        <v>-23194</v>
      </c>
      <c r="AD10" s="333">
        <v>0</v>
      </c>
      <c r="AE10" s="333"/>
      <c r="AF10" s="333"/>
      <c r="AG10" s="333">
        <f t="shared" si="1"/>
        <v>-11597</v>
      </c>
      <c r="AH10" s="330"/>
      <c r="AI10" s="330">
        <v>23194</v>
      </c>
      <c r="AJ10" s="396">
        <f t="shared" si="2"/>
        <v>-11597</v>
      </c>
      <c r="AK10" s="563"/>
      <c r="AL10" s="285">
        <f>+AC10+AI10</f>
        <v>0</v>
      </c>
      <c r="AM10" s="286"/>
      <c r="AO10" s="330" t="s">
        <v>1692</v>
      </c>
      <c r="AP10">
        <v>20412010</v>
      </c>
    </row>
    <row r="11" spans="1:42">
      <c r="A11" s="587">
        <f t="shared" si="4"/>
        <v>8</v>
      </c>
      <c r="B11" s="330" t="s">
        <v>1643</v>
      </c>
      <c r="C11" s="330" t="s">
        <v>1695</v>
      </c>
      <c r="D11" s="330" t="s">
        <v>1655</v>
      </c>
      <c r="E11" s="330" t="s">
        <v>1696</v>
      </c>
      <c r="F11" s="330" t="s">
        <v>1647</v>
      </c>
      <c r="G11" s="562">
        <v>1012</v>
      </c>
      <c r="H11" s="562">
        <v>653.59</v>
      </c>
      <c r="I11" s="562">
        <v>723.02</v>
      </c>
      <c r="J11" s="561" t="s">
        <v>1648</v>
      </c>
      <c r="K11" s="330" t="s">
        <v>1697</v>
      </c>
      <c r="L11" s="330" t="s">
        <v>1698</v>
      </c>
      <c r="M11" s="330" t="s">
        <v>1699</v>
      </c>
      <c r="N11" s="330" t="s">
        <v>12</v>
      </c>
      <c r="O11" s="395"/>
      <c r="P11" s="333">
        <v>6437429</v>
      </c>
      <c r="Q11" s="330" t="s">
        <v>1660</v>
      </c>
      <c r="R11" s="562">
        <v>0</v>
      </c>
      <c r="S11" s="333">
        <v>0</v>
      </c>
      <c r="T11" s="333">
        <v>-778281.00000000012</v>
      </c>
      <c r="U11" s="333">
        <f t="shared" si="0"/>
        <v>-778281.00000000012</v>
      </c>
      <c r="V11" s="333">
        <v>778281.00000000012</v>
      </c>
      <c r="W11" s="333">
        <v>0</v>
      </c>
      <c r="X11" s="333">
        <v>0</v>
      </c>
      <c r="Y11" s="333">
        <v>0</v>
      </c>
      <c r="Z11" s="333">
        <v>0</v>
      </c>
      <c r="AA11" s="333">
        <v>0</v>
      </c>
      <c r="AB11" s="333">
        <v>0</v>
      </c>
      <c r="AC11" s="333">
        <v>0</v>
      </c>
      <c r="AD11" s="333">
        <v>0</v>
      </c>
      <c r="AE11" s="333"/>
      <c r="AF11" s="333"/>
      <c r="AG11" s="333">
        <f t="shared" si="1"/>
        <v>0</v>
      </c>
      <c r="AH11" s="330"/>
      <c r="AI11" s="330">
        <v>0</v>
      </c>
      <c r="AJ11" s="396">
        <f t="shared" si="2"/>
        <v>0</v>
      </c>
      <c r="AK11" s="563"/>
      <c r="AL11" s="285">
        <f t="shared" si="3"/>
        <v>0</v>
      </c>
      <c r="AM11" s="286"/>
      <c r="AO11" s="330" t="s">
        <v>1697</v>
      </c>
      <c r="AP11">
        <v>20412008</v>
      </c>
    </row>
    <row r="12" spans="1:42">
      <c r="A12" s="587">
        <f t="shared" si="4"/>
        <v>9</v>
      </c>
      <c r="B12" s="330" t="s">
        <v>1643</v>
      </c>
      <c r="C12" s="330" t="s">
        <v>1700</v>
      </c>
      <c r="D12" s="330" t="s">
        <v>1677</v>
      </c>
      <c r="E12" s="330" t="s">
        <v>1701</v>
      </c>
      <c r="F12" s="330" t="s">
        <v>1647</v>
      </c>
      <c r="G12" s="562">
        <v>1114</v>
      </c>
      <c r="H12" s="562">
        <v>683.3</v>
      </c>
      <c r="I12" s="562">
        <v>795.57</v>
      </c>
      <c r="J12" s="561" t="s">
        <v>1648</v>
      </c>
      <c r="K12" s="330" t="s">
        <v>1702</v>
      </c>
      <c r="L12" s="330" t="s">
        <v>1698</v>
      </c>
      <c r="M12" s="330" t="s">
        <v>1699</v>
      </c>
      <c r="N12" s="330" t="s">
        <v>12</v>
      </c>
      <c r="O12" s="395"/>
      <c r="P12" s="333">
        <v>7205357</v>
      </c>
      <c r="Q12" s="330" t="s">
        <v>1660</v>
      </c>
      <c r="R12" s="562">
        <v>0</v>
      </c>
      <c r="S12" s="333">
        <v>0</v>
      </c>
      <c r="T12" s="333">
        <v>0</v>
      </c>
      <c r="U12" s="333">
        <f t="shared" si="0"/>
        <v>0</v>
      </c>
      <c r="V12" s="333">
        <v>0</v>
      </c>
      <c r="W12" s="333">
        <v>0</v>
      </c>
      <c r="X12" s="333">
        <v>0</v>
      </c>
      <c r="Y12" s="333">
        <v>0</v>
      </c>
      <c r="Z12" s="333">
        <v>0</v>
      </c>
      <c r="AA12" s="333">
        <v>0</v>
      </c>
      <c r="AB12" s="333">
        <v>0</v>
      </c>
      <c r="AC12" s="333">
        <v>0</v>
      </c>
      <c r="AD12" s="333">
        <v>0</v>
      </c>
      <c r="AE12" s="333"/>
      <c r="AF12" s="333"/>
      <c r="AG12" s="333">
        <f t="shared" si="1"/>
        <v>0</v>
      </c>
      <c r="AH12" s="330"/>
      <c r="AI12" s="330">
        <v>0</v>
      </c>
      <c r="AJ12" s="396">
        <f t="shared" si="2"/>
        <v>0</v>
      </c>
      <c r="AK12" s="563"/>
      <c r="AL12" s="285">
        <f t="shared" si="3"/>
        <v>0</v>
      </c>
      <c r="AM12" s="286"/>
      <c r="AO12" s="330" t="s">
        <v>1702</v>
      </c>
      <c r="AP12">
        <v>20412002</v>
      </c>
    </row>
    <row r="13" spans="1:42">
      <c r="A13" s="587">
        <f t="shared" si="4"/>
        <v>10</v>
      </c>
      <c r="B13" s="330" t="s">
        <v>1643</v>
      </c>
      <c r="C13" s="330" t="s">
        <v>1703</v>
      </c>
      <c r="D13" s="330" t="s">
        <v>1704</v>
      </c>
      <c r="E13" s="330" t="s">
        <v>1705</v>
      </c>
      <c r="F13" s="330" t="s">
        <v>1647</v>
      </c>
      <c r="G13" s="562">
        <v>1114</v>
      </c>
      <c r="H13" s="562">
        <v>683.3</v>
      </c>
      <c r="I13" s="562">
        <v>795.57</v>
      </c>
      <c r="J13" s="561" t="s">
        <v>1648</v>
      </c>
      <c r="K13" s="330" t="s">
        <v>1706</v>
      </c>
      <c r="L13" s="330" t="s">
        <v>1707</v>
      </c>
      <c r="M13" s="330" t="s">
        <v>1708</v>
      </c>
      <c r="N13" s="330" t="s">
        <v>1709</v>
      </c>
      <c r="O13" s="395">
        <v>45470</v>
      </c>
      <c r="P13" s="333">
        <v>6401714</v>
      </c>
      <c r="Q13" s="330" t="s">
        <v>1653</v>
      </c>
      <c r="R13" s="562">
        <v>0</v>
      </c>
      <c r="S13" s="333">
        <v>0</v>
      </c>
      <c r="T13" s="333">
        <v>-2083531.28</v>
      </c>
      <c r="U13" s="333">
        <f t="shared" si="0"/>
        <v>-2083531.28</v>
      </c>
      <c r="V13" s="333">
        <v>0</v>
      </c>
      <c r="W13" s="333">
        <v>0</v>
      </c>
      <c r="X13" s="333">
        <v>0</v>
      </c>
      <c r="Y13" s="333">
        <v>0</v>
      </c>
      <c r="Z13" s="333">
        <v>0</v>
      </c>
      <c r="AA13" s="333">
        <v>0</v>
      </c>
      <c r="AB13" s="333">
        <v>0</v>
      </c>
      <c r="AC13" s="333">
        <v>0</v>
      </c>
      <c r="AD13" s="333">
        <v>0</v>
      </c>
      <c r="AE13" s="333"/>
      <c r="AF13" s="333"/>
      <c r="AG13" s="333">
        <f t="shared" si="1"/>
        <v>-2083531.28</v>
      </c>
      <c r="AH13" s="330"/>
      <c r="AI13" s="330">
        <v>0</v>
      </c>
      <c r="AJ13" s="396">
        <f t="shared" si="2"/>
        <v>-2083531.28</v>
      </c>
      <c r="AK13" s="563"/>
      <c r="AL13" s="285">
        <f t="shared" si="3"/>
        <v>0</v>
      </c>
      <c r="AM13" s="286"/>
      <c r="AO13" s="330" t="s">
        <v>1706</v>
      </c>
      <c r="AP13">
        <v>20412017</v>
      </c>
    </row>
    <row r="14" spans="1:42">
      <c r="A14" s="587">
        <f t="shared" si="4"/>
        <v>11</v>
      </c>
      <c r="B14" s="330" t="s">
        <v>1643</v>
      </c>
      <c r="C14" s="330" t="s">
        <v>1710</v>
      </c>
      <c r="D14" s="330" t="s">
        <v>1704</v>
      </c>
      <c r="E14" s="330" t="s">
        <v>1711</v>
      </c>
      <c r="F14" s="330" t="s">
        <v>1647</v>
      </c>
      <c r="G14" s="562">
        <v>1012</v>
      </c>
      <c r="H14" s="562">
        <v>653.59</v>
      </c>
      <c r="I14" s="562">
        <v>723.02</v>
      </c>
      <c r="J14" s="561" t="s">
        <v>1648</v>
      </c>
      <c r="K14" s="330" t="s">
        <v>1712</v>
      </c>
      <c r="L14" s="330" t="s">
        <v>1713</v>
      </c>
      <c r="M14" s="330" t="s">
        <v>1714</v>
      </c>
      <c r="N14" s="330" t="s">
        <v>1715</v>
      </c>
      <c r="O14" s="395">
        <v>45456</v>
      </c>
      <c r="P14" s="333">
        <v>5758858</v>
      </c>
      <c r="Q14" s="330" t="s">
        <v>1653</v>
      </c>
      <c r="R14" s="562">
        <v>0</v>
      </c>
      <c r="S14" s="333">
        <v>0</v>
      </c>
      <c r="T14" s="333">
        <v>-1785245.1200000003</v>
      </c>
      <c r="U14" s="333">
        <f t="shared" si="0"/>
        <v>-1785245.1200000003</v>
      </c>
      <c r="V14" s="333">
        <v>0</v>
      </c>
      <c r="W14" s="333">
        <v>0</v>
      </c>
      <c r="X14" s="333">
        <v>0</v>
      </c>
      <c r="Y14" s="333">
        <v>0</v>
      </c>
      <c r="Z14" s="333">
        <v>0</v>
      </c>
      <c r="AA14" s="333">
        <v>0</v>
      </c>
      <c r="AB14" s="333">
        <v>0</v>
      </c>
      <c r="AC14" s="333">
        <v>0</v>
      </c>
      <c r="AD14" s="333">
        <v>0</v>
      </c>
      <c r="AE14" s="333"/>
      <c r="AF14" s="333"/>
      <c r="AG14" s="333">
        <f t="shared" si="1"/>
        <v>-1785245.1200000003</v>
      </c>
      <c r="AH14" s="330"/>
      <c r="AI14" s="330">
        <v>0</v>
      </c>
      <c r="AJ14" s="396">
        <f t="shared" si="2"/>
        <v>-1785245.1200000003</v>
      </c>
      <c r="AK14" s="563"/>
      <c r="AL14" s="285">
        <f t="shared" si="3"/>
        <v>0</v>
      </c>
      <c r="AM14" s="286"/>
      <c r="AO14" s="330" t="s">
        <v>1712</v>
      </c>
      <c r="AP14">
        <v>20412004</v>
      </c>
    </row>
    <row r="15" spans="1:42">
      <c r="A15" s="587">
        <f t="shared" si="4"/>
        <v>12</v>
      </c>
      <c r="B15" s="330" t="s">
        <v>1643</v>
      </c>
      <c r="C15" s="330" t="s">
        <v>1716</v>
      </c>
      <c r="D15" s="330" t="s">
        <v>1662</v>
      </c>
      <c r="E15" s="330" t="s">
        <v>1717</v>
      </c>
      <c r="F15" s="330" t="s">
        <v>1647</v>
      </c>
      <c r="G15" s="562">
        <v>1114</v>
      </c>
      <c r="H15" s="562">
        <v>683.3</v>
      </c>
      <c r="I15" s="562">
        <v>795.57</v>
      </c>
      <c r="J15" s="561" t="s">
        <v>1648</v>
      </c>
      <c r="K15" s="330" t="s">
        <v>1718</v>
      </c>
      <c r="L15" s="330" t="s">
        <v>1719</v>
      </c>
      <c r="M15" s="330" t="s">
        <v>1720</v>
      </c>
      <c r="N15" s="330" t="s">
        <v>1721</v>
      </c>
      <c r="O15" s="395">
        <v>45509</v>
      </c>
      <c r="P15" s="333">
        <v>6304075</v>
      </c>
      <c r="Q15" s="330" t="s">
        <v>1653</v>
      </c>
      <c r="R15" s="562">
        <v>0</v>
      </c>
      <c r="S15" s="333">
        <v>0</v>
      </c>
      <c r="T15" s="333">
        <v>-484221.61000000034</v>
      </c>
      <c r="U15" s="333">
        <f t="shared" si="0"/>
        <v>-484221.61000000034</v>
      </c>
      <c r="V15" s="333">
        <v>-1407000</v>
      </c>
      <c r="W15" s="333">
        <v>0</v>
      </c>
      <c r="X15" s="333">
        <v>0</v>
      </c>
      <c r="Y15" s="333">
        <v>0</v>
      </c>
      <c r="Z15" s="333">
        <v>0</v>
      </c>
      <c r="AA15" s="333">
        <v>0</v>
      </c>
      <c r="AB15" s="333">
        <v>0</v>
      </c>
      <c r="AC15" s="333">
        <v>-16667</v>
      </c>
      <c r="AD15" s="333">
        <v>0</v>
      </c>
      <c r="AE15" s="333"/>
      <c r="AF15" s="333"/>
      <c r="AG15" s="333">
        <f t="shared" si="1"/>
        <v>-1907888.6100000003</v>
      </c>
      <c r="AH15" s="330"/>
      <c r="AI15" s="330">
        <v>16667</v>
      </c>
      <c r="AJ15" s="396">
        <f t="shared" si="2"/>
        <v>-1907888.6100000003</v>
      </c>
      <c r="AK15" s="563"/>
      <c r="AL15" s="285">
        <f t="shared" ref="AL15:AL16" si="5">+AC15+AI15</f>
        <v>0</v>
      </c>
      <c r="AM15" s="286"/>
      <c r="AO15" s="330" t="s">
        <v>1718</v>
      </c>
      <c r="AP15">
        <v>20412006</v>
      </c>
    </row>
    <row r="16" spans="1:42">
      <c r="A16" s="587">
        <f t="shared" si="4"/>
        <v>13</v>
      </c>
      <c r="B16" s="330" t="s">
        <v>1643</v>
      </c>
      <c r="C16" s="330" t="s">
        <v>1722</v>
      </c>
      <c r="D16" s="330" t="s">
        <v>1655</v>
      </c>
      <c r="E16" s="330" t="s">
        <v>1723</v>
      </c>
      <c r="F16" s="330" t="s">
        <v>1647</v>
      </c>
      <c r="G16" s="562">
        <v>1114</v>
      </c>
      <c r="H16" s="562">
        <v>683.3</v>
      </c>
      <c r="I16" s="562">
        <v>795.57</v>
      </c>
      <c r="J16" s="561" t="s">
        <v>1648</v>
      </c>
      <c r="K16" s="330" t="s">
        <v>1724</v>
      </c>
      <c r="L16" s="330" t="s">
        <v>1725</v>
      </c>
      <c r="M16" s="330" t="s">
        <v>1726</v>
      </c>
      <c r="N16" s="330" t="s">
        <v>12</v>
      </c>
      <c r="O16" s="395"/>
      <c r="P16" s="333">
        <v>7155788</v>
      </c>
      <c r="Q16" s="330" t="s">
        <v>1660</v>
      </c>
      <c r="R16" s="562">
        <v>0</v>
      </c>
      <c r="S16" s="333">
        <v>0</v>
      </c>
      <c r="T16" s="333">
        <v>-140253</v>
      </c>
      <c r="U16" s="333">
        <f t="shared" si="0"/>
        <v>-140253</v>
      </c>
      <c r="V16" s="333">
        <v>151000</v>
      </c>
      <c r="W16" s="333">
        <v>0</v>
      </c>
      <c r="X16" s="333">
        <v>0</v>
      </c>
      <c r="Y16" s="333">
        <v>0</v>
      </c>
      <c r="Z16" s="333">
        <v>0</v>
      </c>
      <c r="AA16" s="333">
        <v>0</v>
      </c>
      <c r="AB16" s="333">
        <v>0</v>
      </c>
      <c r="AC16" s="333">
        <v>-21493.57</v>
      </c>
      <c r="AD16" s="333">
        <v>0</v>
      </c>
      <c r="AE16" s="333"/>
      <c r="AF16" s="333"/>
      <c r="AG16" s="333">
        <f t="shared" si="1"/>
        <v>-10746.57</v>
      </c>
      <c r="AH16" s="330"/>
      <c r="AI16" s="330">
        <v>21494</v>
      </c>
      <c r="AJ16" s="396">
        <f t="shared" si="2"/>
        <v>-10746.57</v>
      </c>
      <c r="AK16" s="563"/>
      <c r="AL16" s="285">
        <f t="shared" si="5"/>
        <v>0.43000000000029104</v>
      </c>
      <c r="AM16" s="286"/>
      <c r="AO16" s="330" t="s">
        <v>1724</v>
      </c>
    </row>
    <row r="17" spans="1:41">
      <c r="A17" s="587">
        <f t="shared" si="4"/>
        <v>14</v>
      </c>
      <c r="B17" s="330" t="s">
        <v>1643</v>
      </c>
      <c r="C17" s="330" t="s">
        <v>1727</v>
      </c>
      <c r="D17" s="330" t="s">
        <v>1662</v>
      </c>
      <c r="E17" s="330" t="s">
        <v>1728</v>
      </c>
      <c r="F17" s="330" t="s">
        <v>1647</v>
      </c>
      <c r="G17" s="562">
        <v>1012</v>
      </c>
      <c r="H17" s="562">
        <v>653.59</v>
      </c>
      <c r="I17" s="562">
        <v>723.02</v>
      </c>
      <c r="J17" s="561" t="s">
        <v>1648</v>
      </c>
      <c r="K17" s="330" t="s">
        <v>1729</v>
      </c>
      <c r="L17" s="330" t="s">
        <v>1730</v>
      </c>
      <c r="M17" s="330" t="s">
        <v>1731</v>
      </c>
      <c r="N17" s="330" t="s">
        <v>1732</v>
      </c>
      <c r="O17" s="395">
        <v>45737</v>
      </c>
      <c r="P17" s="333">
        <v>6151714</v>
      </c>
      <c r="Q17" s="330" t="s">
        <v>1653</v>
      </c>
      <c r="R17" s="562">
        <v>0</v>
      </c>
      <c r="S17" s="333">
        <v>0</v>
      </c>
      <c r="T17" s="333">
        <v>-1845514.2799999996</v>
      </c>
      <c r="U17" s="333">
        <f t="shared" si="0"/>
        <v>-1845514.2799999996</v>
      </c>
      <c r="V17" s="333">
        <v>-61517.14</v>
      </c>
      <c r="W17" s="333">
        <v>0</v>
      </c>
      <c r="X17" s="333">
        <v>0</v>
      </c>
      <c r="Y17" s="333">
        <v>0</v>
      </c>
      <c r="Z17" s="333">
        <v>0</v>
      </c>
      <c r="AA17" s="333">
        <v>0</v>
      </c>
      <c r="AB17" s="333">
        <v>0</v>
      </c>
      <c r="AC17" s="333">
        <v>0</v>
      </c>
      <c r="AD17" s="333">
        <v>0</v>
      </c>
      <c r="AE17" s="333"/>
      <c r="AF17" s="333"/>
      <c r="AG17" s="333">
        <f t="shared" si="1"/>
        <v>-1907031.4199999995</v>
      </c>
      <c r="AH17" s="330"/>
      <c r="AI17" s="330">
        <v>0</v>
      </c>
      <c r="AJ17" s="396">
        <f t="shared" si="2"/>
        <v>-1907031.4199999995</v>
      </c>
      <c r="AK17" s="563"/>
      <c r="AL17" s="285">
        <f t="shared" si="3"/>
        <v>0</v>
      </c>
      <c r="AM17" s="286"/>
      <c r="AO17" s="330" t="s">
        <v>1729</v>
      </c>
    </row>
    <row r="18" spans="1:41">
      <c r="A18" s="587">
        <f t="shared" si="4"/>
        <v>15</v>
      </c>
      <c r="B18" s="330" t="s">
        <v>1643</v>
      </c>
      <c r="C18" s="330" t="s">
        <v>1733</v>
      </c>
      <c r="D18" s="330" t="s">
        <v>1645</v>
      </c>
      <c r="E18" s="330" t="s">
        <v>1734</v>
      </c>
      <c r="F18" s="330" t="s">
        <v>1647</v>
      </c>
      <c r="G18" s="562">
        <v>1012</v>
      </c>
      <c r="H18" s="562">
        <v>653.59</v>
      </c>
      <c r="I18" s="562">
        <v>723.02</v>
      </c>
      <c r="J18" s="561" t="s">
        <v>1648</v>
      </c>
      <c r="K18" s="330" t="s">
        <v>1735</v>
      </c>
      <c r="L18" s="330" t="s">
        <v>1736</v>
      </c>
      <c r="M18" s="330" t="s">
        <v>1737</v>
      </c>
      <c r="N18" s="330" t="s">
        <v>1738</v>
      </c>
      <c r="O18" s="395">
        <v>45429</v>
      </c>
      <c r="P18" s="333">
        <v>5698827</v>
      </c>
      <c r="Q18" s="330" t="s">
        <v>1653</v>
      </c>
      <c r="R18" s="562">
        <v>0</v>
      </c>
      <c r="S18" s="333">
        <v>0</v>
      </c>
      <c r="T18" s="333">
        <v>-1759492.72</v>
      </c>
      <c r="U18" s="333">
        <f t="shared" si="0"/>
        <v>-1759492.72</v>
      </c>
      <c r="V18" s="333">
        <v>-200000</v>
      </c>
      <c r="W18" s="333">
        <v>0</v>
      </c>
      <c r="X18" s="333">
        <v>0</v>
      </c>
      <c r="Y18" s="333">
        <v>0</v>
      </c>
      <c r="Z18" s="333">
        <v>0</v>
      </c>
      <c r="AA18" s="333">
        <v>0</v>
      </c>
      <c r="AB18" s="333">
        <v>0</v>
      </c>
      <c r="AC18" s="333">
        <v>-7143</v>
      </c>
      <c r="AD18" s="333">
        <v>0</v>
      </c>
      <c r="AE18" s="333"/>
      <c r="AF18" s="333"/>
      <c r="AG18" s="333">
        <f t="shared" si="1"/>
        <v>-1966635.72</v>
      </c>
      <c r="AH18" s="330"/>
      <c r="AI18" s="330">
        <v>7143</v>
      </c>
      <c r="AJ18" s="396">
        <f t="shared" si="2"/>
        <v>-1966635.72</v>
      </c>
      <c r="AK18" s="563"/>
      <c r="AL18" s="285">
        <f>+AC18+AI18</f>
        <v>0</v>
      </c>
      <c r="AM18" s="286"/>
      <c r="AO18" s="330" t="s">
        <v>1735</v>
      </c>
    </row>
    <row r="19" spans="1:41">
      <c r="A19" s="587">
        <f t="shared" si="4"/>
        <v>16</v>
      </c>
      <c r="B19" s="330" t="s">
        <v>1643</v>
      </c>
      <c r="C19" s="330" t="s">
        <v>1739</v>
      </c>
      <c r="D19" s="330" t="s">
        <v>1704</v>
      </c>
      <c r="E19" s="330" t="s">
        <v>1740</v>
      </c>
      <c r="F19" s="330" t="s">
        <v>1647</v>
      </c>
      <c r="G19" s="562">
        <v>1012</v>
      </c>
      <c r="H19" s="562">
        <v>653.59</v>
      </c>
      <c r="I19" s="562">
        <v>723.02</v>
      </c>
      <c r="J19" s="561" t="s">
        <v>1648</v>
      </c>
      <c r="K19" s="330" t="s">
        <v>1741</v>
      </c>
      <c r="L19" s="330" t="s">
        <v>1742</v>
      </c>
      <c r="M19" s="330" t="s">
        <v>1743</v>
      </c>
      <c r="N19" s="330" t="s">
        <v>1744</v>
      </c>
      <c r="O19" s="395">
        <v>45483</v>
      </c>
      <c r="P19" s="333">
        <v>5910666</v>
      </c>
      <c r="Q19" s="330" t="s">
        <v>1653</v>
      </c>
      <c r="R19" s="562">
        <v>0</v>
      </c>
      <c r="S19" s="333">
        <v>0</v>
      </c>
      <c r="T19" s="333">
        <v>-1833196.0000000012</v>
      </c>
      <c r="U19" s="333">
        <f t="shared" si="0"/>
        <v>-1833196.0000000012</v>
      </c>
      <c r="V19" s="333">
        <v>50000</v>
      </c>
      <c r="W19" s="333">
        <v>0</v>
      </c>
      <c r="X19" s="333">
        <v>0</v>
      </c>
      <c r="Y19" s="333">
        <v>0</v>
      </c>
      <c r="Z19" s="333">
        <v>0</v>
      </c>
      <c r="AA19" s="333">
        <v>0</v>
      </c>
      <c r="AB19" s="333">
        <v>0</v>
      </c>
      <c r="AC19" s="333">
        <v>0</v>
      </c>
      <c r="AD19" s="333">
        <v>0</v>
      </c>
      <c r="AE19" s="333"/>
      <c r="AF19" s="333"/>
      <c r="AG19" s="333">
        <f t="shared" si="1"/>
        <v>-1783196.0000000012</v>
      </c>
      <c r="AH19" s="330"/>
      <c r="AI19" s="330">
        <v>0</v>
      </c>
      <c r="AJ19" s="396">
        <f t="shared" si="2"/>
        <v>-1783196.0000000012</v>
      </c>
      <c r="AK19" s="563"/>
      <c r="AL19" s="285">
        <f t="shared" si="3"/>
        <v>0</v>
      </c>
      <c r="AM19" s="286"/>
      <c r="AO19" s="330" t="s">
        <v>1741</v>
      </c>
    </row>
    <row r="20" spans="1:41">
      <c r="A20" s="587">
        <f t="shared" si="4"/>
        <v>17</v>
      </c>
      <c r="B20" s="330" t="s">
        <v>1643</v>
      </c>
      <c r="C20" s="330" t="s">
        <v>1745</v>
      </c>
      <c r="D20" s="330" t="s">
        <v>1746</v>
      </c>
      <c r="E20" s="330" t="s">
        <v>1747</v>
      </c>
      <c r="F20" s="330" t="s">
        <v>1647</v>
      </c>
      <c r="G20" s="562">
        <v>1114</v>
      </c>
      <c r="H20" s="562">
        <v>683.3</v>
      </c>
      <c r="I20" s="562">
        <v>795.57</v>
      </c>
      <c r="J20" s="561" t="s">
        <v>1648</v>
      </c>
      <c r="K20" s="330" t="s">
        <v>1748</v>
      </c>
      <c r="L20" s="330" t="s">
        <v>1749</v>
      </c>
      <c r="M20" s="330" t="s">
        <v>1750</v>
      </c>
      <c r="N20" s="330" t="s">
        <v>1751</v>
      </c>
      <c r="O20" s="395">
        <v>45456</v>
      </c>
      <c r="P20" s="333">
        <v>6339238</v>
      </c>
      <c r="Q20" s="330" t="s">
        <v>1653</v>
      </c>
      <c r="R20" s="562">
        <v>0</v>
      </c>
      <c r="S20" s="333">
        <v>0</v>
      </c>
      <c r="T20" s="333">
        <v>-1844627.4199999997</v>
      </c>
      <c r="U20" s="333">
        <f t="shared" si="0"/>
        <v>-1844627.4199999997</v>
      </c>
      <c r="V20" s="333">
        <v>-50000</v>
      </c>
      <c r="W20" s="333">
        <v>0</v>
      </c>
      <c r="X20" s="333">
        <v>0</v>
      </c>
      <c r="Y20" s="333">
        <v>0</v>
      </c>
      <c r="Z20" s="333">
        <v>0</v>
      </c>
      <c r="AA20" s="333">
        <v>0</v>
      </c>
      <c r="AB20" s="333">
        <v>0</v>
      </c>
      <c r="AC20" s="333">
        <v>0</v>
      </c>
      <c r="AD20" s="333">
        <v>0</v>
      </c>
      <c r="AE20" s="333"/>
      <c r="AF20" s="333"/>
      <c r="AG20" s="333">
        <f t="shared" si="1"/>
        <v>-1894627.4199999997</v>
      </c>
      <c r="AH20" s="330"/>
      <c r="AI20" s="330">
        <v>0</v>
      </c>
      <c r="AJ20" s="396">
        <f t="shared" si="2"/>
        <v>-1894627.4199999997</v>
      </c>
      <c r="AK20" s="563"/>
      <c r="AL20" s="285">
        <f t="shared" si="3"/>
        <v>0</v>
      </c>
      <c r="AM20" s="286"/>
      <c r="AO20" s="330" t="s">
        <v>1748</v>
      </c>
    </row>
    <row r="21" spans="1:41">
      <c r="A21" s="587">
        <f t="shared" si="4"/>
        <v>18</v>
      </c>
      <c r="B21" s="330" t="s">
        <v>1643</v>
      </c>
      <c r="C21" s="330" t="s">
        <v>1752</v>
      </c>
      <c r="D21" s="330" t="s">
        <v>1746</v>
      </c>
      <c r="E21" s="330" t="s">
        <v>1701</v>
      </c>
      <c r="F21" s="330" t="s">
        <v>1647</v>
      </c>
      <c r="G21" s="562">
        <v>1114</v>
      </c>
      <c r="H21" s="562">
        <v>683.3</v>
      </c>
      <c r="I21" s="562">
        <v>795.57</v>
      </c>
      <c r="J21" s="561" t="s">
        <v>1648</v>
      </c>
      <c r="K21" s="330" t="s">
        <v>1753</v>
      </c>
      <c r="L21" s="330" t="s">
        <v>1754</v>
      </c>
      <c r="M21" s="330" t="s">
        <v>1755</v>
      </c>
      <c r="N21" s="330" t="s">
        <v>1756</v>
      </c>
      <c r="O21" s="395">
        <v>45434</v>
      </c>
      <c r="P21" s="333">
        <v>6337489</v>
      </c>
      <c r="Q21" s="330" t="s">
        <v>1653</v>
      </c>
      <c r="R21" s="562">
        <v>0</v>
      </c>
      <c r="S21" s="333">
        <v>0</v>
      </c>
      <c r="T21" s="333">
        <v>-1711383.6600000004</v>
      </c>
      <c r="U21" s="333">
        <f t="shared" si="0"/>
        <v>-1711383.6600000004</v>
      </c>
      <c r="V21" s="333">
        <v>-182718</v>
      </c>
      <c r="W21" s="333">
        <v>0</v>
      </c>
      <c r="X21" s="333">
        <v>0</v>
      </c>
      <c r="Y21" s="333">
        <v>0</v>
      </c>
      <c r="Z21" s="333">
        <v>0</v>
      </c>
      <c r="AA21" s="333">
        <v>0</v>
      </c>
      <c r="AB21" s="333">
        <v>0</v>
      </c>
      <c r="AC21" s="333">
        <v>0</v>
      </c>
      <c r="AD21" s="333">
        <v>0</v>
      </c>
      <c r="AE21" s="333"/>
      <c r="AF21" s="333"/>
      <c r="AG21" s="333">
        <f t="shared" si="1"/>
        <v>-1894101.6600000004</v>
      </c>
      <c r="AH21" s="330"/>
      <c r="AI21" s="330">
        <v>0</v>
      </c>
      <c r="AJ21" s="396">
        <f t="shared" si="2"/>
        <v>-1894101.6600000004</v>
      </c>
      <c r="AK21" s="563"/>
      <c r="AL21" s="285">
        <f>+AC21+AI21</f>
        <v>0</v>
      </c>
      <c r="AM21" s="286"/>
      <c r="AO21" s="330" t="s">
        <v>1753</v>
      </c>
    </row>
    <row r="22" spans="1:41">
      <c r="A22" s="587">
        <f t="shared" si="4"/>
        <v>19</v>
      </c>
      <c r="B22" s="330" t="s">
        <v>1643</v>
      </c>
      <c r="C22" s="330" t="s">
        <v>1757</v>
      </c>
      <c r="D22" s="330" t="s">
        <v>1746</v>
      </c>
      <c r="E22" s="330" t="s">
        <v>1758</v>
      </c>
      <c r="F22" s="330" t="s">
        <v>1671</v>
      </c>
      <c r="G22" s="562">
        <v>1498</v>
      </c>
      <c r="H22" s="562">
        <v>954.87</v>
      </c>
      <c r="I22" s="562">
        <v>1069.73</v>
      </c>
      <c r="J22" s="561" t="s">
        <v>1648</v>
      </c>
      <c r="K22" s="330" t="s">
        <v>1759</v>
      </c>
      <c r="L22" s="330" t="s">
        <v>1760</v>
      </c>
      <c r="M22" s="330" t="s">
        <v>1761</v>
      </c>
      <c r="N22" s="330" t="s">
        <v>1762</v>
      </c>
      <c r="O22" s="395">
        <v>45474</v>
      </c>
      <c r="P22" s="333">
        <v>8812477</v>
      </c>
      <c r="Q22" s="330" t="s">
        <v>1653</v>
      </c>
      <c r="R22" s="562">
        <v>0</v>
      </c>
      <c r="S22" s="333">
        <v>0</v>
      </c>
      <c r="T22" s="333">
        <v>-2731866.6099999994</v>
      </c>
      <c r="U22" s="333">
        <f t="shared" si="0"/>
        <v>-2731866.6099999994</v>
      </c>
      <c r="V22" s="333">
        <v>0</v>
      </c>
      <c r="W22" s="333">
        <v>0</v>
      </c>
      <c r="X22" s="333">
        <v>0</v>
      </c>
      <c r="Y22" s="333">
        <v>0</v>
      </c>
      <c r="Z22" s="333">
        <v>0</v>
      </c>
      <c r="AA22" s="333">
        <v>0</v>
      </c>
      <c r="AB22" s="333">
        <v>0</v>
      </c>
      <c r="AC22" s="333">
        <v>0</v>
      </c>
      <c r="AD22" s="333">
        <v>0</v>
      </c>
      <c r="AE22" s="333"/>
      <c r="AF22" s="333"/>
      <c r="AG22" s="333">
        <f t="shared" si="1"/>
        <v>-2731866.6099999994</v>
      </c>
      <c r="AH22" s="330"/>
      <c r="AI22" s="330">
        <v>0</v>
      </c>
      <c r="AJ22" s="396">
        <f t="shared" si="2"/>
        <v>-2731866.6099999994</v>
      </c>
      <c r="AK22" s="563"/>
      <c r="AL22" s="285">
        <f t="shared" si="3"/>
        <v>0</v>
      </c>
      <c r="AM22" s="286"/>
      <c r="AO22" s="330" t="s">
        <v>1759</v>
      </c>
    </row>
    <row r="23" spans="1:41">
      <c r="A23" s="587">
        <f t="shared" si="4"/>
        <v>20</v>
      </c>
      <c r="B23" s="330" t="s">
        <v>1643</v>
      </c>
      <c r="C23" s="330" t="s">
        <v>1763</v>
      </c>
      <c r="D23" s="330" t="s">
        <v>1669</v>
      </c>
      <c r="E23" s="330" t="s">
        <v>1764</v>
      </c>
      <c r="F23" s="330" t="s">
        <v>1671</v>
      </c>
      <c r="G23" s="562">
        <v>1787</v>
      </c>
      <c r="H23" s="562">
        <v>1138.51</v>
      </c>
      <c r="I23" s="562">
        <v>1276.29</v>
      </c>
      <c r="J23" s="561" t="s">
        <v>1648</v>
      </c>
      <c r="K23" s="330" t="s">
        <v>1765</v>
      </c>
      <c r="L23" s="330" t="s">
        <v>1766</v>
      </c>
      <c r="M23" s="330" t="s">
        <v>1767</v>
      </c>
      <c r="N23" s="330" t="s">
        <v>1768</v>
      </c>
      <c r="O23" s="395">
        <v>45455</v>
      </c>
      <c r="P23" s="333">
        <v>10776761</v>
      </c>
      <c r="Q23" s="330" t="s">
        <v>1653</v>
      </c>
      <c r="R23" s="562">
        <v>0</v>
      </c>
      <c r="S23" s="333">
        <v>0</v>
      </c>
      <c r="T23" s="333">
        <v>-3308464.5799999996</v>
      </c>
      <c r="U23" s="333">
        <f t="shared" si="0"/>
        <v>-3308464.5799999996</v>
      </c>
      <c r="V23" s="333">
        <v>0</v>
      </c>
      <c r="W23" s="333">
        <v>0</v>
      </c>
      <c r="X23" s="333">
        <v>0</v>
      </c>
      <c r="Y23" s="333">
        <v>0</v>
      </c>
      <c r="Z23" s="333">
        <v>0</v>
      </c>
      <c r="AA23" s="333">
        <v>0</v>
      </c>
      <c r="AB23" s="333">
        <v>0</v>
      </c>
      <c r="AC23" s="333">
        <v>0</v>
      </c>
      <c r="AD23" s="333">
        <v>0</v>
      </c>
      <c r="AE23" s="333"/>
      <c r="AF23" s="333"/>
      <c r="AG23" s="333">
        <f t="shared" si="1"/>
        <v>-3308464.5799999996</v>
      </c>
      <c r="AH23" s="330"/>
      <c r="AI23" s="330">
        <v>0</v>
      </c>
      <c r="AJ23" s="396">
        <f t="shared" si="2"/>
        <v>-3308464.5799999996</v>
      </c>
      <c r="AK23" s="563"/>
      <c r="AL23" s="285">
        <f t="shared" si="3"/>
        <v>0</v>
      </c>
      <c r="AM23" s="286"/>
      <c r="AO23" s="330" t="s">
        <v>1765</v>
      </c>
    </row>
    <row r="24" spans="1:41">
      <c r="A24" s="587">
        <f t="shared" si="4"/>
        <v>21</v>
      </c>
      <c r="B24" s="330" t="s">
        <v>1643</v>
      </c>
      <c r="C24" s="330" t="s">
        <v>1769</v>
      </c>
      <c r="D24" s="330" t="s">
        <v>1669</v>
      </c>
      <c r="E24" s="330" t="s">
        <v>1663</v>
      </c>
      <c r="F24" s="330" t="s">
        <v>1671</v>
      </c>
      <c r="G24" s="562">
        <v>1787</v>
      </c>
      <c r="H24" s="562">
        <v>1138.51</v>
      </c>
      <c r="I24" s="562">
        <v>1276.29</v>
      </c>
      <c r="J24" s="561" t="s">
        <v>1648</v>
      </c>
      <c r="K24" s="330" t="s">
        <v>1770</v>
      </c>
      <c r="L24" s="330" t="s">
        <v>1771</v>
      </c>
      <c r="M24" s="330" t="s">
        <v>1772</v>
      </c>
      <c r="N24" s="330" t="s">
        <v>1773</v>
      </c>
      <c r="O24" s="395">
        <v>45439</v>
      </c>
      <c r="P24" s="333">
        <v>11269682</v>
      </c>
      <c r="Q24" s="330" t="s">
        <v>1660</v>
      </c>
      <c r="R24" s="562">
        <v>0</v>
      </c>
      <c r="S24" s="333">
        <v>0</v>
      </c>
      <c r="T24" s="333">
        <v>-2993782.9</v>
      </c>
      <c r="U24" s="333">
        <f t="shared" si="0"/>
        <v>-2993782.9</v>
      </c>
      <c r="V24" s="333">
        <v>2958290</v>
      </c>
      <c r="W24" s="333">
        <v>0</v>
      </c>
      <c r="X24" s="333">
        <v>0</v>
      </c>
      <c r="Y24" s="333">
        <v>0</v>
      </c>
      <c r="Z24" s="333">
        <v>0</v>
      </c>
      <c r="AA24" s="333">
        <v>0</v>
      </c>
      <c r="AB24" s="333">
        <v>0</v>
      </c>
      <c r="AC24" s="333">
        <v>0</v>
      </c>
      <c r="AD24" s="333">
        <v>0</v>
      </c>
      <c r="AE24" s="333"/>
      <c r="AF24" s="333"/>
      <c r="AG24" s="333">
        <f t="shared" si="1"/>
        <v>-35492.899999999907</v>
      </c>
      <c r="AH24" s="330"/>
      <c r="AI24" s="330">
        <v>0</v>
      </c>
      <c r="AJ24" s="396">
        <f t="shared" si="2"/>
        <v>-35492.899999999907</v>
      </c>
      <c r="AK24" s="563"/>
      <c r="AL24" s="285">
        <f t="shared" si="3"/>
        <v>0</v>
      </c>
      <c r="AM24" s="286"/>
      <c r="AO24" s="330" t="s">
        <v>1770</v>
      </c>
    </row>
    <row r="25" spans="1:41">
      <c r="A25" s="587">
        <f t="shared" si="4"/>
        <v>22</v>
      </c>
      <c r="B25" s="330" t="s">
        <v>1643</v>
      </c>
      <c r="C25" s="330" t="s">
        <v>1774</v>
      </c>
      <c r="D25" s="330" t="s">
        <v>1645</v>
      </c>
      <c r="E25" s="330" t="s">
        <v>1775</v>
      </c>
      <c r="F25" s="330" t="s">
        <v>1671</v>
      </c>
      <c r="G25" s="562">
        <v>1498</v>
      </c>
      <c r="H25" s="562">
        <v>954.87</v>
      </c>
      <c r="I25" s="562">
        <v>1069.73</v>
      </c>
      <c r="J25" s="561" t="s">
        <v>1679</v>
      </c>
      <c r="K25" s="330" t="s">
        <v>1776</v>
      </c>
      <c r="L25" s="330" t="s">
        <v>1777</v>
      </c>
      <c r="M25" s="330" t="s">
        <v>1778</v>
      </c>
      <c r="N25" s="330" t="s">
        <v>1779</v>
      </c>
      <c r="O25" s="395">
        <v>45454</v>
      </c>
      <c r="P25" s="333">
        <v>8492059</v>
      </c>
      <c r="Q25" s="330" t="s">
        <v>1653</v>
      </c>
      <c r="R25" s="562">
        <v>0</v>
      </c>
      <c r="S25" s="333">
        <v>0</v>
      </c>
      <c r="T25" s="333">
        <v>-2509727.1000000006</v>
      </c>
      <c r="U25" s="333">
        <f t="shared" si="0"/>
        <v>-2509727.1000000006</v>
      </c>
      <c r="V25" s="333">
        <v>0</v>
      </c>
      <c r="W25" s="333">
        <v>0</v>
      </c>
      <c r="X25" s="333">
        <v>0</v>
      </c>
      <c r="Y25" s="333">
        <v>0</v>
      </c>
      <c r="Z25" s="333">
        <v>0</v>
      </c>
      <c r="AA25" s="333">
        <v>0</v>
      </c>
      <c r="AB25" s="333">
        <v>0</v>
      </c>
      <c r="AC25" s="333">
        <v>-25238.6</v>
      </c>
      <c r="AD25" s="333">
        <v>0</v>
      </c>
      <c r="AE25" s="333"/>
      <c r="AF25" s="333"/>
      <c r="AG25" s="333">
        <f t="shared" si="1"/>
        <v>-2534965.7000000007</v>
      </c>
      <c r="AH25" s="330"/>
      <c r="AI25" s="330">
        <v>25238.6</v>
      </c>
      <c r="AJ25" s="396">
        <f t="shared" si="2"/>
        <v>-2534965.7000000007</v>
      </c>
      <c r="AK25" s="563"/>
      <c r="AL25" s="285">
        <f>+AC25+AI25</f>
        <v>0</v>
      </c>
      <c r="AM25" s="286"/>
      <c r="AO25" s="330" t="s">
        <v>1776</v>
      </c>
    </row>
    <row r="26" spans="1:41">
      <c r="A26" s="587">
        <f t="shared" si="4"/>
        <v>23</v>
      </c>
      <c r="B26" s="330" t="s">
        <v>1643</v>
      </c>
      <c r="C26" s="330" t="s">
        <v>1780</v>
      </c>
      <c r="D26" s="330" t="s">
        <v>1677</v>
      </c>
      <c r="E26" s="330" t="s">
        <v>1717</v>
      </c>
      <c r="F26" s="330" t="s">
        <v>1647</v>
      </c>
      <c r="G26" s="562">
        <v>1114</v>
      </c>
      <c r="H26" s="562">
        <v>683.3</v>
      </c>
      <c r="I26" s="562">
        <v>795.57</v>
      </c>
      <c r="J26" s="561" t="s">
        <v>1648</v>
      </c>
      <c r="K26" s="330" t="s">
        <v>1781</v>
      </c>
      <c r="L26" s="330" t="s">
        <v>1782</v>
      </c>
      <c r="M26" s="330" t="s">
        <v>1783</v>
      </c>
      <c r="N26" s="330" t="s">
        <v>12</v>
      </c>
      <c r="O26" s="395"/>
      <c r="P26" s="333">
        <v>7026762</v>
      </c>
      <c r="Q26" s="330" t="s">
        <v>1660</v>
      </c>
      <c r="R26" s="562">
        <v>0</v>
      </c>
      <c r="S26" s="333">
        <v>0</v>
      </c>
      <c r="T26" s="333">
        <v>-75000</v>
      </c>
      <c r="U26" s="333">
        <f t="shared" si="0"/>
        <v>-75000</v>
      </c>
      <c r="V26" s="333">
        <v>75000</v>
      </c>
      <c r="W26" s="333">
        <v>0</v>
      </c>
      <c r="X26" s="333">
        <v>0</v>
      </c>
      <c r="Y26" s="333">
        <v>0</v>
      </c>
      <c r="Z26" s="333">
        <v>0</v>
      </c>
      <c r="AA26" s="333">
        <v>0</v>
      </c>
      <c r="AB26" s="333">
        <v>0</v>
      </c>
      <c r="AC26" s="333">
        <v>0</v>
      </c>
      <c r="AD26" s="333">
        <v>0</v>
      </c>
      <c r="AE26" s="333"/>
      <c r="AF26" s="333"/>
      <c r="AG26" s="333">
        <f t="shared" si="1"/>
        <v>0</v>
      </c>
      <c r="AH26" s="330"/>
      <c r="AI26" s="330">
        <v>0</v>
      </c>
      <c r="AJ26" s="396">
        <f t="shared" si="2"/>
        <v>0</v>
      </c>
      <c r="AK26" s="563"/>
      <c r="AL26" s="285">
        <f t="shared" si="3"/>
        <v>0</v>
      </c>
      <c r="AM26" s="286"/>
      <c r="AO26" s="330" t="s">
        <v>1781</v>
      </c>
    </row>
    <row r="27" spans="1:41">
      <c r="A27" s="587">
        <f t="shared" si="4"/>
        <v>24</v>
      </c>
      <c r="B27" s="330" t="s">
        <v>1643</v>
      </c>
      <c r="C27" s="330" t="s">
        <v>1784</v>
      </c>
      <c r="D27" s="330" t="s">
        <v>1662</v>
      </c>
      <c r="E27" s="330" t="s">
        <v>1785</v>
      </c>
      <c r="F27" s="330" t="s">
        <v>1786</v>
      </c>
      <c r="G27" s="562">
        <v>1265</v>
      </c>
      <c r="H27" s="562">
        <v>813.33</v>
      </c>
      <c r="I27" s="562">
        <v>903.31</v>
      </c>
      <c r="J27" s="561" t="s">
        <v>1648</v>
      </c>
      <c r="K27" s="330" t="s">
        <v>1787</v>
      </c>
      <c r="L27" s="330" t="s">
        <v>1788</v>
      </c>
      <c r="M27" s="330" t="s">
        <v>1789</v>
      </c>
      <c r="N27" s="330" t="s">
        <v>1790</v>
      </c>
      <c r="O27" s="395">
        <v>45428</v>
      </c>
      <c r="P27" s="333">
        <v>7164190</v>
      </c>
      <c r="Q27" s="330" t="s">
        <v>1653</v>
      </c>
      <c r="R27" s="562">
        <v>0</v>
      </c>
      <c r="S27" s="333">
        <v>0</v>
      </c>
      <c r="T27" s="333">
        <v>-2216374.0400000005</v>
      </c>
      <c r="U27" s="333">
        <f t="shared" si="0"/>
        <v>-2216374.0400000005</v>
      </c>
      <c r="V27" s="333">
        <v>0</v>
      </c>
      <c r="W27" s="333">
        <v>0</v>
      </c>
      <c r="X27" s="333">
        <v>0</v>
      </c>
      <c r="Y27" s="333">
        <v>0</v>
      </c>
      <c r="Z27" s="333">
        <v>0</v>
      </c>
      <c r="AA27" s="333">
        <v>0</v>
      </c>
      <c r="AB27" s="333">
        <v>0</v>
      </c>
      <c r="AC27" s="333">
        <v>0</v>
      </c>
      <c r="AD27" s="333">
        <v>0</v>
      </c>
      <c r="AE27" s="333"/>
      <c r="AF27" s="333"/>
      <c r="AG27" s="333">
        <f t="shared" si="1"/>
        <v>-2216374.0400000005</v>
      </c>
      <c r="AH27" s="330"/>
      <c r="AI27" s="330">
        <v>0</v>
      </c>
      <c r="AJ27" s="396">
        <f t="shared" si="2"/>
        <v>-2216374.0400000005</v>
      </c>
      <c r="AK27" s="563"/>
      <c r="AL27" s="285">
        <f t="shared" ref="AL27:AL29" si="6">+AC27+AI27</f>
        <v>0</v>
      </c>
      <c r="AM27" s="286"/>
      <c r="AO27" s="330" t="s">
        <v>1787</v>
      </c>
    </row>
    <row r="28" spans="1:41">
      <c r="A28" s="587">
        <f t="shared" si="4"/>
        <v>25</v>
      </c>
      <c r="B28" s="330" t="s">
        <v>1643</v>
      </c>
      <c r="C28" s="330" t="s">
        <v>1791</v>
      </c>
      <c r="D28" s="330" t="s">
        <v>1746</v>
      </c>
      <c r="E28" s="330" t="s">
        <v>1792</v>
      </c>
      <c r="F28" s="330" t="s">
        <v>1647</v>
      </c>
      <c r="G28" s="562">
        <v>1114</v>
      </c>
      <c r="H28" s="562">
        <v>683.3</v>
      </c>
      <c r="I28" s="562">
        <v>795.57</v>
      </c>
      <c r="J28" s="561" t="s">
        <v>1648</v>
      </c>
      <c r="K28" s="330" t="s">
        <v>1793</v>
      </c>
      <c r="L28" s="330" t="s">
        <v>1794</v>
      </c>
      <c r="M28" s="330" t="s">
        <v>1795</v>
      </c>
      <c r="N28" s="330" t="s">
        <v>1796</v>
      </c>
      <c r="O28" s="395">
        <v>45440</v>
      </c>
      <c r="P28" s="333">
        <v>6287368</v>
      </c>
      <c r="Q28" s="330" t="s">
        <v>1653</v>
      </c>
      <c r="R28" s="562">
        <v>0</v>
      </c>
      <c r="S28" s="333">
        <v>0</v>
      </c>
      <c r="T28" s="333">
        <v>-1879068.4799999997</v>
      </c>
      <c r="U28" s="333">
        <f t="shared" si="0"/>
        <v>-1879068.4799999997</v>
      </c>
      <c r="V28" s="333">
        <v>0</v>
      </c>
      <c r="W28" s="333">
        <v>0</v>
      </c>
      <c r="X28" s="333">
        <v>0</v>
      </c>
      <c r="Y28" s="333">
        <v>0</v>
      </c>
      <c r="Z28" s="333">
        <v>0</v>
      </c>
      <c r="AA28" s="333">
        <v>0</v>
      </c>
      <c r="AB28" s="333">
        <v>0</v>
      </c>
      <c r="AC28" s="333">
        <v>-7142</v>
      </c>
      <c r="AD28" s="333">
        <v>0</v>
      </c>
      <c r="AE28" s="333"/>
      <c r="AF28" s="333"/>
      <c r="AG28" s="333">
        <f t="shared" si="1"/>
        <v>-1886210.4799999997</v>
      </c>
      <c r="AH28" s="330"/>
      <c r="AI28" s="330">
        <v>7142</v>
      </c>
      <c r="AJ28" s="396">
        <f t="shared" si="2"/>
        <v>-1886210.4799999997</v>
      </c>
      <c r="AK28" s="563"/>
      <c r="AL28" s="285">
        <f t="shared" si="6"/>
        <v>0</v>
      </c>
      <c r="AM28" s="286"/>
      <c r="AO28" s="330" t="s">
        <v>1793</v>
      </c>
    </row>
    <row r="29" spans="1:41">
      <c r="A29" s="587">
        <f t="shared" si="4"/>
        <v>26</v>
      </c>
      <c r="B29" s="330" t="s">
        <v>1643</v>
      </c>
      <c r="C29" s="330" t="s">
        <v>1797</v>
      </c>
      <c r="D29" s="330" t="s">
        <v>1746</v>
      </c>
      <c r="E29" s="330" t="s">
        <v>1734</v>
      </c>
      <c r="F29" s="330" t="s">
        <v>1647</v>
      </c>
      <c r="G29" s="562">
        <v>1012</v>
      </c>
      <c r="H29" s="562">
        <v>653.59</v>
      </c>
      <c r="I29" s="562">
        <v>723.02</v>
      </c>
      <c r="J29" s="561" t="s">
        <v>1648</v>
      </c>
      <c r="K29" s="330" t="s">
        <v>1798</v>
      </c>
      <c r="L29" s="330" t="s">
        <v>1799</v>
      </c>
      <c r="M29" s="330" t="s">
        <v>1800</v>
      </c>
      <c r="N29" s="330" t="s">
        <v>1801</v>
      </c>
      <c r="O29" s="395">
        <v>45435</v>
      </c>
      <c r="P29" s="333">
        <v>5698827</v>
      </c>
      <c r="Q29" s="330" t="s">
        <v>1653</v>
      </c>
      <c r="R29" s="562">
        <v>0</v>
      </c>
      <c r="S29" s="333">
        <v>0</v>
      </c>
      <c r="T29" s="333">
        <v>-1759492.5800000003</v>
      </c>
      <c r="U29" s="333">
        <f t="shared" si="0"/>
        <v>-1759492.5800000003</v>
      </c>
      <c r="V29" s="333">
        <v>0</v>
      </c>
      <c r="W29" s="333">
        <v>0</v>
      </c>
      <c r="X29" s="333">
        <v>0</v>
      </c>
      <c r="Y29" s="333">
        <v>0</v>
      </c>
      <c r="Z29" s="333">
        <v>0</v>
      </c>
      <c r="AA29" s="333">
        <v>0</v>
      </c>
      <c r="AB29" s="333">
        <v>0</v>
      </c>
      <c r="AC29" s="333">
        <v>-7142</v>
      </c>
      <c r="AD29" s="333">
        <v>0</v>
      </c>
      <c r="AE29" s="333"/>
      <c r="AF29" s="333"/>
      <c r="AG29" s="333">
        <f t="shared" si="1"/>
        <v>-1766634.5800000003</v>
      </c>
      <c r="AH29" s="330"/>
      <c r="AI29" s="330">
        <v>7142</v>
      </c>
      <c r="AJ29" s="396">
        <f t="shared" si="2"/>
        <v>-1766634.5800000003</v>
      </c>
      <c r="AK29" s="563"/>
      <c r="AL29" s="285">
        <f t="shared" si="6"/>
        <v>0</v>
      </c>
      <c r="AM29" s="286"/>
      <c r="AO29" s="330" t="s">
        <v>1798</v>
      </c>
    </row>
    <row r="30" spans="1:41">
      <c r="A30" s="587">
        <f t="shared" si="4"/>
        <v>27</v>
      </c>
      <c r="B30" s="330" t="s">
        <v>1643</v>
      </c>
      <c r="C30" s="330" t="s">
        <v>1802</v>
      </c>
      <c r="D30" s="330" t="s">
        <v>1746</v>
      </c>
      <c r="E30" s="330" t="s">
        <v>1803</v>
      </c>
      <c r="F30" s="330" t="s">
        <v>1671</v>
      </c>
      <c r="G30" s="562">
        <v>1375</v>
      </c>
      <c r="H30" s="562">
        <v>876.73</v>
      </c>
      <c r="I30" s="562">
        <v>982.22</v>
      </c>
      <c r="J30" s="561" t="s">
        <v>1648</v>
      </c>
      <c r="K30" s="330" t="s">
        <v>1804</v>
      </c>
      <c r="L30" s="330" t="s">
        <v>1805</v>
      </c>
      <c r="M30" s="330" t="s">
        <v>1806</v>
      </c>
      <c r="N30" s="330" t="s">
        <v>1807</v>
      </c>
      <c r="O30" s="395">
        <v>45463</v>
      </c>
      <c r="P30" s="333">
        <v>7678571</v>
      </c>
      <c r="Q30" s="330" t="s">
        <v>1653</v>
      </c>
      <c r="R30" s="562">
        <v>0</v>
      </c>
      <c r="S30" s="333">
        <v>0</v>
      </c>
      <c r="T30" s="333">
        <v>-2303573.1299999985</v>
      </c>
      <c r="U30" s="333">
        <f t="shared" si="0"/>
        <v>-2303573.1299999985</v>
      </c>
      <c r="V30" s="333">
        <v>0</v>
      </c>
      <c r="W30" s="333">
        <v>0</v>
      </c>
      <c r="X30" s="333">
        <v>0</v>
      </c>
      <c r="Y30" s="333">
        <v>0</v>
      </c>
      <c r="Z30" s="333">
        <v>0</v>
      </c>
      <c r="AA30" s="333">
        <v>0</v>
      </c>
      <c r="AB30" s="333">
        <v>0</v>
      </c>
      <c r="AC30" s="333">
        <v>0</v>
      </c>
      <c r="AD30" s="333">
        <v>0</v>
      </c>
      <c r="AE30" s="333"/>
      <c r="AF30" s="333"/>
      <c r="AG30" s="333">
        <f t="shared" si="1"/>
        <v>-2303573.1299999985</v>
      </c>
      <c r="AH30" s="330"/>
      <c r="AI30" s="330">
        <v>0</v>
      </c>
      <c r="AJ30" s="396">
        <f t="shared" si="2"/>
        <v>-2303573.1299999985</v>
      </c>
      <c r="AK30" s="563"/>
      <c r="AL30" s="285">
        <f t="shared" si="3"/>
        <v>0</v>
      </c>
      <c r="AM30" s="286"/>
      <c r="AO30" s="330" t="s">
        <v>1804</v>
      </c>
    </row>
    <row r="31" spans="1:41">
      <c r="A31" s="587">
        <f t="shared" si="4"/>
        <v>28</v>
      </c>
      <c r="B31" s="330" t="s">
        <v>1643</v>
      </c>
      <c r="C31" s="330" t="s">
        <v>1808</v>
      </c>
      <c r="D31" s="330" t="s">
        <v>1645</v>
      </c>
      <c r="E31" s="330" t="s">
        <v>1809</v>
      </c>
      <c r="F31" s="330" t="s">
        <v>1671</v>
      </c>
      <c r="G31" s="562">
        <v>1498</v>
      </c>
      <c r="H31" s="562">
        <v>954.87</v>
      </c>
      <c r="I31" s="562">
        <v>1069.73</v>
      </c>
      <c r="J31" s="561" t="s">
        <v>1810</v>
      </c>
      <c r="K31" s="330" t="s">
        <v>1811</v>
      </c>
      <c r="L31" s="330" t="s">
        <v>1812</v>
      </c>
      <c r="M31" s="330" t="s">
        <v>1813</v>
      </c>
      <c r="N31" s="330" t="s">
        <v>1814</v>
      </c>
      <c r="O31" s="395">
        <v>45560</v>
      </c>
      <c r="P31" s="333">
        <v>8946381</v>
      </c>
      <c r="Q31" s="330" t="s">
        <v>1653</v>
      </c>
      <c r="R31" s="562">
        <v>0</v>
      </c>
      <c r="S31" s="333">
        <v>0</v>
      </c>
      <c r="T31" s="333">
        <v>-2673378.09</v>
      </c>
      <c r="U31" s="333">
        <f t="shared" si="0"/>
        <v>-2673378.09</v>
      </c>
      <c r="V31" s="333">
        <v>0</v>
      </c>
      <c r="W31" s="333">
        <v>0</v>
      </c>
      <c r="X31" s="333">
        <v>0</v>
      </c>
      <c r="Y31" s="333">
        <v>0</v>
      </c>
      <c r="Z31" s="333">
        <v>0</v>
      </c>
      <c r="AA31" s="333">
        <v>0</v>
      </c>
      <c r="AB31" s="333">
        <v>0</v>
      </c>
      <c r="AC31" s="333">
        <v>0</v>
      </c>
      <c r="AD31" s="333">
        <v>0</v>
      </c>
      <c r="AE31" s="333"/>
      <c r="AF31" s="333"/>
      <c r="AG31" s="333">
        <f t="shared" si="1"/>
        <v>-2673378.09</v>
      </c>
      <c r="AH31" s="330"/>
      <c r="AI31" s="330">
        <v>0</v>
      </c>
      <c r="AJ31" s="396">
        <f t="shared" si="2"/>
        <v>-2673378.09</v>
      </c>
      <c r="AK31" s="563"/>
      <c r="AL31" s="285">
        <f t="shared" si="3"/>
        <v>0</v>
      </c>
      <c r="AM31" s="286"/>
      <c r="AO31" s="330" t="s">
        <v>1811</v>
      </c>
    </row>
    <row r="32" spans="1:41">
      <c r="A32" s="587">
        <f t="shared" si="4"/>
        <v>29</v>
      </c>
      <c r="B32" s="330" t="s">
        <v>1643</v>
      </c>
      <c r="C32" s="330" t="s">
        <v>1815</v>
      </c>
      <c r="D32" s="330" t="s">
        <v>1746</v>
      </c>
      <c r="E32" s="330" t="s">
        <v>1816</v>
      </c>
      <c r="F32" s="330" t="s">
        <v>1671</v>
      </c>
      <c r="G32" s="562">
        <v>1375</v>
      </c>
      <c r="H32" s="562">
        <v>876.73</v>
      </c>
      <c r="I32" s="562">
        <v>982.22</v>
      </c>
      <c r="J32" s="561" t="s">
        <v>1648</v>
      </c>
      <c r="K32" s="330" t="s">
        <v>1817</v>
      </c>
      <c r="L32" s="330" t="s">
        <v>1818</v>
      </c>
      <c r="M32" s="330" t="s">
        <v>1819</v>
      </c>
      <c r="N32" s="330" t="s">
        <v>1820</v>
      </c>
      <c r="O32" s="395">
        <v>45471</v>
      </c>
      <c r="P32" s="333">
        <v>7741048</v>
      </c>
      <c r="Q32" s="330" t="s">
        <v>1653</v>
      </c>
      <c r="R32" s="562">
        <v>0</v>
      </c>
      <c r="S32" s="333">
        <v>0</v>
      </c>
      <c r="T32" s="333">
        <v>-2293825.7600000007</v>
      </c>
      <c r="U32" s="333">
        <f t="shared" si="0"/>
        <v>-2293825.7600000007</v>
      </c>
      <c r="V32" s="333">
        <v>0</v>
      </c>
      <c r="W32" s="333">
        <v>0</v>
      </c>
      <c r="X32" s="333">
        <v>0</v>
      </c>
      <c r="Y32" s="333">
        <v>0</v>
      </c>
      <c r="Z32" s="333">
        <v>0</v>
      </c>
      <c r="AA32" s="333">
        <v>0</v>
      </c>
      <c r="AB32" s="333">
        <v>0</v>
      </c>
      <c r="AC32" s="333">
        <v>0</v>
      </c>
      <c r="AD32" s="333">
        <v>0</v>
      </c>
      <c r="AE32" s="333"/>
      <c r="AF32" s="333"/>
      <c r="AG32" s="333">
        <f t="shared" si="1"/>
        <v>-2293825.7600000007</v>
      </c>
      <c r="AH32" s="330"/>
      <c r="AI32" s="330">
        <v>0</v>
      </c>
      <c r="AJ32" s="396">
        <f t="shared" si="2"/>
        <v>-2293825.7600000007</v>
      </c>
      <c r="AK32" s="563"/>
      <c r="AL32" s="285">
        <f t="shared" si="3"/>
        <v>0</v>
      </c>
      <c r="AM32" s="286"/>
      <c r="AO32" s="330" t="s">
        <v>1817</v>
      </c>
    </row>
    <row r="33" spans="1:41">
      <c r="A33" s="587">
        <f t="shared" si="4"/>
        <v>30</v>
      </c>
      <c r="B33" s="330" t="s">
        <v>1643</v>
      </c>
      <c r="C33" s="330" t="s">
        <v>1821</v>
      </c>
      <c r="D33" s="330" t="s">
        <v>1645</v>
      </c>
      <c r="E33" s="330" t="s">
        <v>1822</v>
      </c>
      <c r="F33" s="330" t="s">
        <v>1786</v>
      </c>
      <c r="G33" s="562">
        <v>1265</v>
      </c>
      <c r="H33" s="562">
        <v>813.33</v>
      </c>
      <c r="I33" s="562">
        <v>903.31</v>
      </c>
      <c r="J33" s="561" t="s">
        <v>1648</v>
      </c>
      <c r="K33" s="330" t="s">
        <v>1823</v>
      </c>
      <c r="L33" s="330" t="s">
        <v>1824</v>
      </c>
      <c r="M33" s="330" t="s">
        <v>1825</v>
      </c>
      <c r="N33" s="330" t="s">
        <v>1826</v>
      </c>
      <c r="O33" s="395">
        <v>45483</v>
      </c>
      <c r="P33" s="333">
        <v>7160667</v>
      </c>
      <c r="Q33" s="330" t="s">
        <v>1653</v>
      </c>
      <c r="R33" s="562">
        <v>0</v>
      </c>
      <c r="S33" s="333">
        <v>0</v>
      </c>
      <c r="T33" s="333">
        <v>-2219803.9800000004</v>
      </c>
      <c r="U33" s="333">
        <f t="shared" si="0"/>
        <v>-2219803.9800000004</v>
      </c>
      <c r="V33" s="333">
        <v>0</v>
      </c>
      <c r="W33" s="333">
        <v>0</v>
      </c>
      <c r="X33" s="333">
        <v>0</v>
      </c>
      <c r="Y33" s="333">
        <v>0</v>
      </c>
      <c r="Z33" s="333">
        <v>0</v>
      </c>
      <c r="AA33" s="333">
        <v>0</v>
      </c>
      <c r="AB33" s="333">
        <v>0</v>
      </c>
      <c r="AC33" s="333">
        <v>0</v>
      </c>
      <c r="AD33" s="333">
        <v>0</v>
      </c>
      <c r="AE33" s="333"/>
      <c r="AF33" s="333"/>
      <c r="AG33" s="333">
        <f t="shared" si="1"/>
        <v>-2219803.9800000004</v>
      </c>
      <c r="AH33" s="330"/>
      <c r="AI33" s="330">
        <v>0</v>
      </c>
      <c r="AJ33" s="396">
        <f t="shared" si="2"/>
        <v>-2219803.9800000004</v>
      </c>
      <c r="AK33" s="563"/>
      <c r="AL33" s="285">
        <f t="shared" si="3"/>
        <v>0</v>
      </c>
      <c r="AM33" s="286"/>
      <c r="AO33" s="330" t="s">
        <v>1823</v>
      </c>
    </row>
    <row r="34" spans="1:41">
      <c r="A34" s="587">
        <f t="shared" si="4"/>
        <v>31</v>
      </c>
      <c r="B34" s="330" t="s">
        <v>1643</v>
      </c>
      <c r="C34" s="330" t="s">
        <v>1827</v>
      </c>
      <c r="D34" s="330" t="s">
        <v>1669</v>
      </c>
      <c r="E34" s="330" t="s">
        <v>1828</v>
      </c>
      <c r="F34" s="330" t="s">
        <v>1671</v>
      </c>
      <c r="G34" s="562">
        <v>1787</v>
      </c>
      <c r="H34" s="562">
        <v>1138.51</v>
      </c>
      <c r="I34" s="562">
        <v>1276.29</v>
      </c>
      <c r="J34" s="561" t="s">
        <v>1648</v>
      </c>
      <c r="K34" s="330" t="s">
        <v>1829</v>
      </c>
      <c r="L34" s="330" t="s">
        <v>1830</v>
      </c>
      <c r="M34" s="330" t="s">
        <v>1831</v>
      </c>
      <c r="N34" s="330" t="s">
        <v>1832</v>
      </c>
      <c r="O34" s="395">
        <v>45448</v>
      </c>
      <c r="P34" s="333">
        <v>10866000</v>
      </c>
      <c r="Q34" s="330" t="s">
        <v>1653</v>
      </c>
      <c r="R34" s="562">
        <v>0</v>
      </c>
      <c r="S34" s="333">
        <v>0</v>
      </c>
      <c r="T34" s="333">
        <v>-3368460</v>
      </c>
      <c r="U34" s="333">
        <f t="shared" si="0"/>
        <v>-3368460</v>
      </c>
      <c r="V34" s="333">
        <v>0</v>
      </c>
      <c r="W34" s="333">
        <v>0</v>
      </c>
      <c r="X34" s="333">
        <v>0</v>
      </c>
      <c r="Y34" s="333">
        <v>0</v>
      </c>
      <c r="Z34" s="333">
        <v>0</v>
      </c>
      <c r="AA34" s="333">
        <v>0</v>
      </c>
      <c r="AB34" s="333">
        <v>0</v>
      </c>
      <c r="AC34" s="333">
        <v>0</v>
      </c>
      <c r="AD34" s="333">
        <v>0</v>
      </c>
      <c r="AE34" s="333"/>
      <c r="AF34" s="333"/>
      <c r="AG34" s="333">
        <f t="shared" si="1"/>
        <v>-3368460</v>
      </c>
      <c r="AH34" s="330"/>
      <c r="AI34" s="330">
        <v>0</v>
      </c>
      <c r="AJ34" s="396">
        <f t="shared" si="2"/>
        <v>-3368460</v>
      </c>
      <c r="AK34" s="563"/>
      <c r="AL34" s="285">
        <f t="shared" si="3"/>
        <v>0</v>
      </c>
      <c r="AM34" s="286"/>
      <c r="AO34" s="330" t="s">
        <v>1829</v>
      </c>
    </row>
    <row r="35" spans="1:41">
      <c r="A35" s="587">
        <f t="shared" si="4"/>
        <v>32</v>
      </c>
      <c r="B35" s="330" t="s">
        <v>1643</v>
      </c>
      <c r="C35" s="330" t="s">
        <v>1833</v>
      </c>
      <c r="D35" s="330" t="s">
        <v>1746</v>
      </c>
      <c r="E35" s="330" t="s">
        <v>1834</v>
      </c>
      <c r="F35" s="330" t="s">
        <v>1671</v>
      </c>
      <c r="G35" s="562">
        <v>1498</v>
      </c>
      <c r="H35" s="562">
        <v>954.87</v>
      </c>
      <c r="I35" s="562">
        <v>1069.73</v>
      </c>
      <c r="J35" s="561" t="s">
        <v>1810</v>
      </c>
      <c r="K35" s="330" t="s">
        <v>1835</v>
      </c>
      <c r="L35" s="330" t="s">
        <v>1836</v>
      </c>
      <c r="M35" s="330" t="s">
        <v>1837</v>
      </c>
      <c r="N35" s="330" t="s">
        <v>1838</v>
      </c>
      <c r="O35" s="395">
        <v>45429</v>
      </c>
      <c r="P35" s="333">
        <v>8581345</v>
      </c>
      <c r="Q35" s="330" t="s">
        <v>1653</v>
      </c>
      <c r="R35" s="562">
        <v>0</v>
      </c>
      <c r="S35" s="333">
        <v>0</v>
      </c>
      <c r="T35" s="333">
        <v>-2552951.8200000003</v>
      </c>
      <c r="U35" s="333">
        <f t="shared" si="0"/>
        <v>-2552951.8200000003</v>
      </c>
      <c r="V35" s="333">
        <v>0</v>
      </c>
      <c r="W35" s="333">
        <v>0</v>
      </c>
      <c r="X35" s="333">
        <v>0</v>
      </c>
      <c r="Y35" s="333">
        <v>0</v>
      </c>
      <c r="Z35" s="333">
        <v>0</v>
      </c>
      <c r="AA35" s="333">
        <v>0</v>
      </c>
      <c r="AB35" s="333">
        <v>0</v>
      </c>
      <c r="AC35" s="333">
        <v>-21454</v>
      </c>
      <c r="AD35" s="333">
        <v>0</v>
      </c>
      <c r="AE35" s="333"/>
      <c r="AF35" s="333"/>
      <c r="AG35" s="333">
        <f t="shared" si="1"/>
        <v>-2574405.8200000003</v>
      </c>
      <c r="AH35" s="330"/>
      <c r="AI35" s="330">
        <v>21454</v>
      </c>
      <c r="AJ35" s="396">
        <f t="shared" si="2"/>
        <v>-2574405.8200000003</v>
      </c>
      <c r="AK35" s="563"/>
      <c r="AL35" s="285">
        <f t="shared" ref="AL35:AL37" si="7">+AC35+AI35</f>
        <v>0</v>
      </c>
      <c r="AM35" s="286"/>
      <c r="AO35" s="330" t="s">
        <v>1835</v>
      </c>
    </row>
    <row r="36" spans="1:41">
      <c r="A36" s="587">
        <f t="shared" si="4"/>
        <v>33</v>
      </c>
      <c r="B36" s="330" t="s">
        <v>1643</v>
      </c>
      <c r="C36" s="330" t="s">
        <v>1839</v>
      </c>
      <c r="D36" s="330" t="s">
        <v>1645</v>
      </c>
      <c r="E36" s="330" t="s">
        <v>1840</v>
      </c>
      <c r="F36" s="330" t="s">
        <v>1647</v>
      </c>
      <c r="G36" s="562">
        <v>1012</v>
      </c>
      <c r="H36" s="562">
        <v>653.59</v>
      </c>
      <c r="I36" s="562">
        <v>723.02</v>
      </c>
      <c r="J36" s="561" t="s">
        <v>1648</v>
      </c>
      <c r="K36" s="330" t="s">
        <v>1841</v>
      </c>
      <c r="L36" s="330" t="s">
        <v>1842</v>
      </c>
      <c r="M36" s="330" t="s">
        <v>1843</v>
      </c>
      <c r="N36" s="330" t="s">
        <v>1844</v>
      </c>
      <c r="O36" s="395">
        <v>45434</v>
      </c>
      <c r="P36" s="333">
        <v>5668460</v>
      </c>
      <c r="Q36" s="330" t="s">
        <v>1653</v>
      </c>
      <c r="R36" s="562">
        <v>0</v>
      </c>
      <c r="S36" s="333">
        <v>0</v>
      </c>
      <c r="T36" s="333">
        <v>-1725222.6999999997</v>
      </c>
      <c r="U36" s="333">
        <f t="shared" si="0"/>
        <v>-1725222.6999999997</v>
      </c>
      <c r="V36" s="333">
        <v>0</v>
      </c>
      <c r="W36" s="333">
        <v>0</v>
      </c>
      <c r="X36" s="333">
        <v>0</v>
      </c>
      <c r="Y36" s="333">
        <v>0</v>
      </c>
      <c r="Z36" s="333">
        <v>0</v>
      </c>
      <c r="AA36" s="333">
        <v>0</v>
      </c>
      <c r="AB36" s="333">
        <v>0</v>
      </c>
      <c r="AC36" s="333">
        <v>-31999</v>
      </c>
      <c r="AD36" s="333">
        <v>0</v>
      </c>
      <c r="AE36" s="333"/>
      <c r="AF36" s="333"/>
      <c r="AG36" s="333">
        <f t="shared" si="1"/>
        <v>-1757221.6999999997</v>
      </c>
      <c r="AH36" s="330"/>
      <c r="AI36" s="330">
        <v>31999</v>
      </c>
      <c r="AJ36" s="396">
        <f t="shared" si="2"/>
        <v>-1757221.6999999997</v>
      </c>
      <c r="AK36" s="563"/>
      <c r="AL36" s="285">
        <f t="shared" si="7"/>
        <v>0</v>
      </c>
      <c r="AM36" s="286"/>
      <c r="AO36" s="330" t="s">
        <v>1841</v>
      </c>
    </row>
    <row r="37" spans="1:41">
      <c r="A37" s="587">
        <f t="shared" si="4"/>
        <v>34</v>
      </c>
      <c r="B37" s="330" t="s">
        <v>1643</v>
      </c>
      <c r="C37" s="330" t="s">
        <v>1845</v>
      </c>
      <c r="D37" s="330" t="s">
        <v>1669</v>
      </c>
      <c r="E37" s="330" t="s">
        <v>1846</v>
      </c>
      <c r="F37" s="330" t="s">
        <v>1671</v>
      </c>
      <c r="G37" s="562">
        <v>1787</v>
      </c>
      <c r="H37" s="562">
        <v>1138.51</v>
      </c>
      <c r="I37" s="562">
        <v>1276.29</v>
      </c>
      <c r="J37" s="561" t="s">
        <v>1648</v>
      </c>
      <c r="K37" s="330" t="s">
        <v>1847</v>
      </c>
      <c r="L37" s="330" t="s">
        <v>1848</v>
      </c>
      <c r="M37" s="330" t="s">
        <v>1849</v>
      </c>
      <c r="N37" s="330" t="s">
        <v>1850</v>
      </c>
      <c r="O37" s="395">
        <v>45483</v>
      </c>
      <c r="P37" s="333">
        <v>11580286</v>
      </c>
      <c r="Q37" s="330" t="s">
        <v>1653</v>
      </c>
      <c r="R37" s="562">
        <v>0</v>
      </c>
      <c r="S37" s="333">
        <v>0</v>
      </c>
      <c r="T37" s="333">
        <v>-3383554.5599999996</v>
      </c>
      <c r="U37" s="333">
        <f t="shared" si="0"/>
        <v>-3383554.5599999996</v>
      </c>
      <c r="V37" s="333">
        <v>-50000</v>
      </c>
      <c r="W37" s="333">
        <v>0</v>
      </c>
      <c r="X37" s="333">
        <v>0</v>
      </c>
      <c r="Y37" s="333">
        <v>0</v>
      </c>
      <c r="Z37" s="333">
        <v>0</v>
      </c>
      <c r="AA37" s="333">
        <v>0</v>
      </c>
      <c r="AB37" s="333">
        <v>0</v>
      </c>
      <c r="AC37" s="333">
        <v>-6596</v>
      </c>
      <c r="AD37" s="333">
        <v>0</v>
      </c>
      <c r="AE37" s="333"/>
      <c r="AF37" s="333"/>
      <c r="AG37" s="333">
        <f t="shared" si="1"/>
        <v>-3440150.5599999996</v>
      </c>
      <c r="AH37" s="330"/>
      <c r="AI37" s="330">
        <v>6596</v>
      </c>
      <c r="AJ37" s="396">
        <f t="shared" si="2"/>
        <v>-3440150.5599999996</v>
      </c>
      <c r="AK37" s="563"/>
      <c r="AL37" s="285">
        <f t="shared" si="7"/>
        <v>0</v>
      </c>
      <c r="AM37" s="286"/>
      <c r="AO37" s="330" t="s">
        <v>1847</v>
      </c>
    </row>
    <row r="38" spans="1:41">
      <c r="A38" s="587">
        <f t="shared" si="4"/>
        <v>35</v>
      </c>
      <c r="B38" s="330" t="s">
        <v>1643</v>
      </c>
      <c r="C38" s="330" t="s">
        <v>1851</v>
      </c>
      <c r="D38" s="330" t="s">
        <v>1655</v>
      </c>
      <c r="E38" s="330" t="s">
        <v>1852</v>
      </c>
      <c r="F38" s="330" t="s">
        <v>1647</v>
      </c>
      <c r="G38" s="562">
        <v>1012</v>
      </c>
      <c r="H38" s="562">
        <v>653.59</v>
      </c>
      <c r="I38" s="562">
        <v>723.02</v>
      </c>
      <c r="J38" s="561" t="s">
        <v>1648</v>
      </c>
      <c r="K38" s="330" t="s">
        <v>1853</v>
      </c>
      <c r="L38" s="330" t="s">
        <v>1854</v>
      </c>
      <c r="M38" s="330" t="s">
        <v>1855</v>
      </c>
      <c r="N38" s="330" t="s">
        <v>12</v>
      </c>
      <c r="O38" s="395"/>
      <c r="P38" s="333">
        <v>6151714</v>
      </c>
      <c r="Q38" s="330" t="s">
        <v>1653</v>
      </c>
      <c r="R38" s="562">
        <v>0</v>
      </c>
      <c r="S38" s="333">
        <v>0</v>
      </c>
      <c r="T38" s="333">
        <v>-1100478.0000000002</v>
      </c>
      <c r="U38" s="333">
        <f t="shared" si="0"/>
        <v>-1100478.0000000002</v>
      </c>
      <c r="V38" s="333">
        <v>0</v>
      </c>
      <c r="W38" s="333">
        <v>0</v>
      </c>
      <c r="X38" s="333">
        <v>0</v>
      </c>
      <c r="Y38" s="333">
        <v>0</v>
      </c>
      <c r="Z38" s="333">
        <v>0</v>
      </c>
      <c r="AA38" s="333">
        <v>0</v>
      </c>
      <c r="AB38" s="333">
        <v>0</v>
      </c>
      <c r="AC38" s="333">
        <v>0</v>
      </c>
      <c r="AD38" s="333">
        <v>0</v>
      </c>
      <c r="AE38" s="333"/>
      <c r="AF38" s="333"/>
      <c r="AG38" s="333">
        <f t="shared" si="1"/>
        <v>-1100478.0000000002</v>
      </c>
      <c r="AH38" s="330"/>
      <c r="AI38" s="330">
        <v>0</v>
      </c>
      <c r="AJ38" s="396">
        <f t="shared" si="2"/>
        <v>-1100478.0000000002</v>
      </c>
      <c r="AK38" s="563"/>
      <c r="AL38" s="285">
        <f t="shared" si="3"/>
        <v>0</v>
      </c>
      <c r="AM38" s="286"/>
      <c r="AO38" s="330" t="s">
        <v>1853</v>
      </c>
    </row>
    <row r="39" spans="1:41">
      <c r="A39" s="587">
        <f t="shared" si="4"/>
        <v>36</v>
      </c>
      <c r="B39" s="330" t="s">
        <v>1643</v>
      </c>
      <c r="C39" s="330" t="s">
        <v>1856</v>
      </c>
      <c r="D39" s="330" t="s">
        <v>1704</v>
      </c>
      <c r="E39" s="330" t="s">
        <v>1857</v>
      </c>
      <c r="F39" s="330" t="s">
        <v>1647</v>
      </c>
      <c r="G39" s="562">
        <v>1114</v>
      </c>
      <c r="H39" s="562">
        <v>683.3</v>
      </c>
      <c r="I39" s="562">
        <v>795.57</v>
      </c>
      <c r="J39" s="561" t="s">
        <v>1648</v>
      </c>
      <c r="K39" s="330" t="s">
        <v>1858</v>
      </c>
      <c r="L39" s="330" t="s">
        <v>1859</v>
      </c>
      <c r="M39" s="330" t="s">
        <v>1860</v>
      </c>
      <c r="N39" s="330" t="s">
        <v>1861</v>
      </c>
      <c r="O39" s="395">
        <v>45439</v>
      </c>
      <c r="P39" s="333">
        <v>6401714</v>
      </c>
      <c r="Q39" s="330" t="s">
        <v>1653</v>
      </c>
      <c r="R39" s="562">
        <v>0</v>
      </c>
      <c r="S39" s="333">
        <v>0</v>
      </c>
      <c r="T39" s="333">
        <v>-1984531.4199999995</v>
      </c>
      <c r="U39" s="333">
        <f t="shared" si="0"/>
        <v>-1984531.4199999995</v>
      </c>
      <c r="V39" s="333">
        <v>0</v>
      </c>
      <c r="W39" s="333">
        <v>0</v>
      </c>
      <c r="X39" s="333">
        <v>0</v>
      </c>
      <c r="Y39" s="333">
        <v>0</v>
      </c>
      <c r="Z39" s="333">
        <v>0</v>
      </c>
      <c r="AA39" s="333">
        <v>0</v>
      </c>
      <c r="AB39" s="333">
        <v>0</v>
      </c>
      <c r="AC39" s="333">
        <v>0</v>
      </c>
      <c r="AD39" s="333">
        <v>0</v>
      </c>
      <c r="AE39" s="333"/>
      <c r="AF39" s="333"/>
      <c r="AG39" s="333">
        <f t="shared" si="1"/>
        <v>-1984531.4199999995</v>
      </c>
      <c r="AH39" s="330"/>
      <c r="AI39" s="330">
        <v>0</v>
      </c>
      <c r="AJ39" s="396">
        <f t="shared" si="2"/>
        <v>-1984531.4199999995</v>
      </c>
      <c r="AK39" s="563"/>
      <c r="AL39" s="285">
        <f t="shared" si="3"/>
        <v>0</v>
      </c>
      <c r="AM39" s="286"/>
      <c r="AO39" s="330" t="s">
        <v>1858</v>
      </c>
    </row>
    <row r="40" spans="1:41">
      <c r="A40" s="587">
        <f t="shared" si="4"/>
        <v>37</v>
      </c>
      <c r="B40" s="330" t="s">
        <v>1643</v>
      </c>
      <c r="C40" s="330" t="s">
        <v>1862</v>
      </c>
      <c r="D40" s="330" t="s">
        <v>1704</v>
      </c>
      <c r="E40" s="330" t="s">
        <v>1863</v>
      </c>
      <c r="F40" s="330" t="s">
        <v>1647</v>
      </c>
      <c r="G40" s="562">
        <v>1498</v>
      </c>
      <c r="H40" s="562">
        <v>954.87</v>
      </c>
      <c r="I40" s="562">
        <v>1069.73</v>
      </c>
      <c r="J40" s="561" t="s">
        <v>1648</v>
      </c>
      <c r="K40" s="330" t="s">
        <v>1864</v>
      </c>
      <c r="L40" s="330" t="s">
        <v>1865</v>
      </c>
      <c r="M40" s="330" t="s">
        <v>1866</v>
      </c>
      <c r="N40" s="330" t="s">
        <v>1867</v>
      </c>
      <c r="O40" s="395">
        <v>45629</v>
      </c>
      <c r="P40" s="333">
        <v>9491048</v>
      </c>
      <c r="Q40" s="330" t="s">
        <v>1653</v>
      </c>
      <c r="R40" s="562">
        <v>0</v>
      </c>
      <c r="S40" s="333">
        <v>0</v>
      </c>
      <c r="T40" s="333">
        <v>-2847314.2799999984</v>
      </c>
      <c r="U40" s="333">
        <f t="shared" si="0"/>
        <v>-2847314.2799999984</v>
      </c>
      <c r="V40" s="333">
        <v>-264000</v>
      </c>
      <c r="W40" s="333">
        <v>0</v>
      </c>
      <c r="X40" s="333">
        <v>0</v>
      </c>
      <c r="Y40" s="333">
        <v>0</v>
      </c>
      <c r="Z40" s="333">
        <v>0</v>
      </c>
      <c r="AA40" s="333">
        <v>0</v>
      </c>
      <c r="AB40" s="333">
        <v>0</v>
      </c>
      <c r="AC40" s="333">
        <v>0</v>
      </c>
      <c r="AD40" s="333">
        <v>0</v>
      </c>
      <c r="AE40" s="333"/>
      <c r="AF40" s="333"/>
      <c r="AG40" s="333">
        <f t="shared" si="1"/>
        <v>-3111314.2799999984</v>
      </c>
      <c r="AH40" s="330"/>
      <c r="AI40" s="330">
        <v>0</v>
      </c>
      <c r="AJ40" s="396">
        <f t="shared" si="2"/>
        <v>-3111314.2799999984</v>
      </c>
      <c r="AK40" s="563"/>
      <c r="AL40" s="285">
        <f t="shared" si="3"/>
        <v>0</v>
      </c>
      <c r="AM40" s="286"/>
      <c r="AO40" s="330" t="s">
        <v>1864</v>
      </c>
    </row>
    <row r="41" spans="1:41">
      <c r="A41" s="587">
        <f t="shared" si="4"/>
        <v>38</v>
      </c>
      <c r="B41" s="330" t="s">
        <v>1643</v>
      </c>
      <c r="C41" s="330" t="s">
        <v>1868</v>
      </c>
      <c r="D41" s="330" t="s">
        <v>1662</v>
      </c>
      <c r="E41" s="330" t="s">
        <v>1723</v>
      </c>
      <c r="F41" s="330" t="s">
        <v>1647</v>
      </c>
      <c r="G41" s="562">
        <v>1114</v>
      </c>
      <c r="H41" s="562">
        <v>683.3</v>
      </c>
      <c r="I41" s="562">
        <v>795.57</v>
      </c>
      <c r="J41" s="561" t="s">
        <v>1648</v>
      </c>
      <c r="K41" s="330" t="s">
        <v>1869</v>
      </c>
      <c r="L41" s="330" t="s">
        <v>1870</v>
      </c>
      <c r="M41" s="330" t="s">
        <v>1871</v>
      </c>
      <c r="N41" s="330" t="s">
        <v>1872</v>
      </c>
      <c r="O41" s="395">
        <v>45440</v>
      </c>
      <c r="P41" s="333">
        <v>6305333</v>
      </c>
      <c r="Q41" s="330" t="s">
        <v>1653</v>
      </c>
      <c r="R41" s="562">
        <v>0</v>
      </c>
      <c r="S41" s="333">
        <v>0</v>
      </c>
      <c r="T41" s="333">
        <v>-1742600.6599999997</v>
      </c>
      <c r="U41" s="333">
        <f t="shared" si="0"/>
        <v>-1742600.6599999997</v>
      </c>
      <c r="V41" s="333">
        <v>-149000</v>
      </c>
      <c r="W41" s="333">
        <v>0</v>
      </c>
      <c r="X41" s="333">
        <v>0</v>
      </c>
      <c r="Y41" s="333">
        <v>0</v>
      </c>
      <c r="Z41" s="333">
        <v>0</v>
      </c>
      <c r="AA41" s="333">
        <v>0</v>
      </c>
      <c r="AB41" s="333">
        <v>0</v>
      </c>
      <c r="AC41" s="333">
        <v>0</v>
      </c>
      <c r="AD41" s="333">
        <v>0</v>
      </c>
      <c r="AE41" s="333"/>
      <c r="AF41" s="333"/>
      <c r="AG41" s="333">
        <f t="shared" si="1"/>
        <v>-1891600.6599999997</v>
      </c>
      <c r="AH41" s="330"/>
      <c r="AI41" s="330">
        <v>0</v>
      </c>
      <c r="AJ41" s="396">
        <f t="shared" si="2"/>
        <v>-1891600.6599999997</v>
      </c>
      <c r="AK41" s="563"/>
      <c r="AL41" s="285">
        <f>+AC41+AI41</f>
        <v>0</v>
      </c>
      <c r="AM41" s="286"/>
      <c r="AO41" s="330" t="s">
        <v>1869</v>
      </c>
    </row>
    <row r="42" spans="1:41">
      <c r="A42" s="587">
        <f t="shared" si="4"/>
        <v>39</v>
      </c>
      <c r="B42" s="330" t="s">
        <v>1643</v>
      </c>
      <c r="C42" s="330" t="s">
        <v>1873</v>
      </c>
      <c r="D42" s="330" t="s">
        <v>1704</v>
      </c>
      <c r="E42" s="330" t="s">
        <v>1874</v>
      </c>
      <c r="F42" s="330" t="s">
        <v>1786</v>
      </c>
      <c r="G42" s="562">
        <v>1265</v>
      </c>
      <c r="H42" s="562">
        <v>813.33</v>
      </c>
      <c r="I42" s="562">
        <v>903.31</v>
      </c>
      <c r="J42" s="561" t="s">
        <v>1648</v>
      </c>
      <c r="K42" s="330" t="s">
        <v>1875</v>
      </c>
      <c r="L42" s="330" t="s">
        <v>1876</v>
      </c>
      <c r="M42" s="330" t="s">
        <v>1877</v>
      </c>
      <c r="N42" s="330" t="s">
        <v>1878</v>
      </c>
      <c r="O42" s="395">
        <v>45454</v>
      </c>
      <c r="P42" s="333">
        <v>7291415</v>
      </c>
      <c r="Q42" s="330" t="s">
        <v>1653</v>
      </c>
      <c r="R42" s="562">
        <v>0</v>
      </c>
      <c r="S42" s="333">
        <v>0</v>
      </c>
      <c r="T42" s="333">
        <v>-2202007.629999999</v>
      </c>
      <c r="U42" s="333">
        <f t="shared" si="0"/>
        <v>-2202007.629999999</v>
      </c>
      <c r="V42" s="333">
        <v>0</v>
      </c>
      <c r="W42" s="333">
        <v>0</v>
      </c>
      <c r="X42" s="333">
        <v>0</v>
      </c>
      <c r="Y42" s="333">
        <v>0</v>
      </c>
      <c r="Z42" s="333">
        <v>0</v>
      </c>
      <c r="AA42" s="333">
        <v>0</v>
      </c>
      <c r="AB42" s="333">
        <v>0</v>
      </c>
      <c r="AC42" s="333">
        <v>0</v>
      </c>
      <c r="AD42" s="333">
        <v>0</v>
      </c>
      <c r="AE42" s="333"/>
      <c r="AF42" s="333"/>
      <c r="AG42" s="333">
        <f t="shared" si="1"/>
        <v>-2202007.629999999</v>
      </c>
      <c r="AH42" s="330"/>
      <c r="AI42" s="330">
        <v>0</v>
      </c>
      <c r="AJ42" s="396">
        <f t="shared" si="2"/>
        <v>-2202007.629999999</v>
      </c>
      <c r="AK42" s="563"/>
      <c r="AL42" s="285">
        <f t="shared" si="3"/>
        <v>0</v>
      </c>
      <c r="AM42" s="286"/>
      <c r="AO42" s="330" t="s">
        <v>1875</v>
      </c>
    </row>
    <row r="43" spans="1:41">
      <c r="A43" s="587">
        <f t="shared" si="4"/>
        <v>40</v>
      </c>
      <c r="B43" s="330" t="s">
        <v>1643</v>
      </c>
      <c r="C43" s="330" t="s">
        <v>1879</v>
      </c>
      <c r="D43" s="330" t="s">
        <v>1662</v>
      </c>
      <c r="E43" s="330" t="s">
        <v>1880</v>
      </c>
      <c r="F43" s="330" t="s">
        <v>1647</v>
      </c>
      <c r="G43" s="562">
        <v>1114</v>
      </c>
      <c r="H43" s="562">
        <v>683.3</v>
      </c>
      <c r="I43" s="562">
        <v>795.57</v>
      </c>
      <c r="J43" s="561" t="s">
        <v>1648</v>
      </c>
      <c r="K43" s="330" t="s">
        <v>1881</v>
      </c>
      <c r="L43" s="330" t="s">
        <v>1882</v>
      </c>
      <c r="M43" s="330" t="s">
        <v>1883</v>
      </c>
      <c r="N43" s="330" t="s">
        <v>1884</v>
      </c>
      <c r="O43" s="395">
        <v>45434</v>
      </c>
      <c r="P43" s="333">
        <v>6337489</v>
      </c>
      <c r="Q43" s="330" t="s">
        <v>1653</v>
      </c>
      <c r="R43" s="562">
        <v>0</v>
      </c>
      <c r="S43" s="333">
        <v>0</v>
      </c>
      <c r="T43" s="333">
        <v>-1847003.5499999998</v>
      </c>
      <c r="U43" s="333">
        <f t="shared" si="0"/>
        <v>-1847003.5499999998</v>
      </c>
      <c r="V43" s="333">
        <v>0</v>
      </c>
      <c r="W43" s="333">
        <v>0</v>
      </c>
      <c r="X43" s="333">
        <v>0</v>
      </c>
      <c r="Y43" s="333">
        <v>0</v>
      </c>
      <c r="Z43" s="333">
        <v>0</v>
      </c>
      <c r="AA43" s="333">
        <v>0</v>
      </c>
      <c r="AB43" s="333">
        <v>0</v>
      </c>
      <c r="AC43" s="333">
        <v>-54245</v>
      </c>
      <c r="AD43" s="333">
        <v>0</v>
      </c>
      <c r="AE43" s="333"/>
      <c r="AF43" s="333"/>
      <c r="AG43" s="333">
        <f t="shared" si="1"/>
        <v>-1901248.5499999998</v>
      </c>
      <c r="AH43" s="330"/>
      <c r="AI43" s="330">
        <v>54245</v>
      </c>
      <c r="AJ43" s="396">
        <f t="shared" si="2"/>
        <v>-1901248.5499999998</v>
      </c>
      <c r="AK43" s="563"/>
      <c r="AL43" s="285">
        <f>+AC43+AI43</f>
        <v>0</v>
      </c>
      <c r="AM43" s="286"/>
      <c r="AO43" s="330" t="s">
        <v>1881</v>
      </c>
    </row>
    <row r="44" spans="1:41">
      <c r="A44" s="587">
        <f t="shared" si="4"/>
        <v>41</v>
      </c>
      <c r="B44" s="330" t="s">
        <v>1643</v>
      </c>
      <c r="C44" s="330" t="s">
        <v>1885</v>
      </c>
      <c r="D44" s="330" t="s">
        <v>1704</v>
      </c>
      <c r="E44" s="330" t="s">
        <v>1886</v>
      </c>
      <c r="F44" s="330" t="s">
        <v>1647</v>
      </c>
      <c r="G44" s="562">
        <v>1114</v>
      </c>
      <c r="H44" s="562">
        <v>683.3</v>
      </c>
      <c r="I44" s="562">
        <v>795.57</v>
      </c>
      <c r="J44" s="561" t="s">
        <v>1648</v>
      </c>
      <c r="K44" s="330" t="s">
        <v>1887</v>
      </c>
      <c r="L44" s="330" t="s">
        <v>1888</v>
      </c>
      <c r="M44" s="330" t="s">
        <v>1889</v>
      </c>
      <c r="N44" s="330" t="s">
        <v>1890</v>
      </c>
      <c r="O44" s="395">
        <v>45496</v>
      </c>
      <c r="P44" s="333">
        <v>6758857</v>
      </c>
      <c r="Q44" s="330" t="s">
        <v>1653</v>
      </c>
      <c r="R44" s="562">
        <v>0</v>
      </c>
      <c r="S44" s="333">
        <v>0</v>
      </c>
      <c r="T44" s="333">
        <v>-2027654.14</v>
      </c>
      <c r="U44" s="333">
        <f t="shared" si="0"/>
        <v>-2027654.14</v>
      </c>
      <c r="V44" s="333">
        <v>0</v>
      </c>
      <c r="W44" s="333">
        <v>0</v>
      </c>
      <c r="X44" s="333">
        <v>0</v>
      </c>
      <c r="Y44" s="333">
        <v>0</v>
      </c>
      <c r="Z44" s="333">
        <v>0</v>
      </c>
      <c r="AA44" s="333">
        <v>0</v>
      </c>
      <c r="AB44" s="333">
        <v>0</v>
      </c>
      <c r="AC44" s="333">
        <v>0</v>
      </c>
      <c r="AD44" s="333">
        <v>0</v>
      </c>
      <c r="AE44" s="333"/>
      <c r="AF44" s="333"/>
      <c r="AG44" s="333">
        <f t="shared" si="1"/>
        <v>-2027654.14</v>
      </c>
      <c r="AH44" s="330"/>
      <c r="AI44" s="330">
        <v>0</v>
      </c>
      <c r="AJ44" s="396">
        <f t="shared" si="2"/>
        <v>-2027654.14</v>
      </c>
      <c r="AK44" s="563"/>
      <c r="AL44" s="285">
        <f t="shared" si="3"/>
        <v>0</v>
      </c>
      <c r="AM44" s="286"/>
      <c r="AO44" s="330" t="s">
        <v>1887</v>
      </c>
    </row>
    <row r="45" spans="1:41">
      <c r="A45" s="587">
        <f t="shared" si="4"/>
        <v>42</v>
      </c>
      <c r="B45" s="330" t="s">
        <v>1643</v>
      </c>
      <c r="C45" s="330" t="s">
        <v>1891</v>
      </c>
      <c r="D45" s="330" t="s">
        <v>1704</v>
      </c>
      <c r="E45" s="330" t="s">
        <v>1691</v>
      </c>
      <c r="F45" s="330" t="s">
        <v>1647</v>
      </c>
      <c r="G45" s="562">
        <v>1012</v>
      </c>
      <c r="H45" s="562">
        <v>653.59</v>
      </c>
      <c r="I45" s="562">
        <v>723.02</v>
      </c>
      <c r="J45" s="561" t="s">
        <v>1810</v>
      </c>
      <c r="K45" s="330" t="s">
        <v>1892</v>
      </c>
      <c r="L45" s="330" t="s">
        <v>1893</v>
      </c>
      <c r="M45" s="330" t="s">
        <v>1894</v>
      </c>
      <c r="N45" s="330" t="s">
        <v>1895</v>
      </c>
      <c r="O45" s="395">
        <v>45462</v>
      </c>
      <c r="P45" s="333">
        <v>5741048</v>
      </c>
      <c r="Q45" s="330" t="s">
        <v>1653</v>
      </c>
      <c r="R45" s="562">
        <v>0</v>
      </c>
      <c r="S45" s="333">
        <v>0</v>
      </c>
      <c r="T45" s="333">
        <v>-1729725.28</v>
      </c>
      <c r="U45" s="333">
        <f t="shared" si="0"/>
        <v>-1729725.28</v>
      </c>
      <c r="V45" s="333">
        <v>0</v>
      </c>
      <c r="W45" s="333">
        <v>0</v>
      </c>
      <c r="X45" s="333">
        <v>0</v>
      </c>
      <c r="Y45" s="333">
        <v>0</v>
      </c>
      <c r="Z45" s="333">
        <v>0</v>
      </c>
      <c r="AA45" s="333">
        <v>0</v>
      </c>
      <c r="AB45" s="333">
        <v>0</v>
      </c>
      <c r="AC45" s="333">
        <v>0</v>
      </c>
      <c r="AD45" s="333">
        <v>0</v>
      </c>
      <c r="AE45" s="333"/>
      <c r="AF45" s="333"/>
      <c r="AG45" s="333">
        <f t="shared" si="1"/>
        <v>-1729725.28</v>
      </c>
      <c r="AH45" s="330"/>
      <c r="AI45" s="330">
        <v>0</v>
      </c>
      <c r="AJ45" s="396">
        <f t="shared" si="2"/>
        <v>-1729725.28</v>
      </c>
      <c r="AK45" s="563"/>
      <c r="AL45" s="285">
        <f t="shared" si="3"/>
        <v>0</v>
      </c>
      <c r="AM45" s="286"/>
      <c r="AO45" s="330" t="s">
        <v>1892</v>
      </c>
    </row>
    <row r="46" spans="1:41">
      <c r="A46" s="587">
        <f t="shared" si="4"/>
        <v>43</v>
      </c>
      <c r="B46" s="330" t="s">
        <v>1643</v>
      </c>
      <c r="C46" s="330" t="s">
        <v>1896</v>
      </c>
      <c r="D46" s="330" t="s">
        <v>1645</v>
      </c>
      <c r="E46" s="330" t="s">
        <v>1897</v>
      </c>
      <c r="F46" s="330" t="s">
        <v>1647</v>
      </c>
      <c r="G46" s="562">
        <v>1114</v>
      </c>
      <c r="H46" s="562">
        <v>683.3</v>
      </c>
      <c r="I46" s="562">
        <v>795.57</v>
      </c>
      <c r="J46" s="561" t="s">
        <v>1648</v>
      </c>
      <c r="K46" s="330" t="s">
        <v>1898</v>
      </c>
      <c r="L46" s="330" t="s">
        <v>1899</v>
      </c>
      <c r="M46" s="330" t="s">
        <v>1900</v>
      </c>
      <c r="N46" s="330" t="s">
        <v>1901</v>
      </c>
      <c r="O46" s="395">
        <v>45437</v>
      </c>
      <c r="P46" s="333">
        <v>6248385</v>
      </c>
      <c r="Q46" s="330" t="s">
        <v>1653</v>
      </c>
      <c r="R46" s="562">
        <v>0</v>
      </c>
      <c r="S46" s="333">
        <v>0</v>
      </c>
      <c r="T46" s="333">
        <v>-1849515.0699999998</v>
      </c>
      <c r="U46" s="333">
        <f t="shared" si="0"/>
        <v>-1849515.0699999998</v>
      </c>
      <c r="V46" s="333">
        <v>-25000</v>
      </c>
      <c r="W46" s="333">
        <v>0</v>
      </c>
      <c r="X46" s="333">
        <v>0</v>
      </c>
      <c r="Y46" s="333">
        <v>0</v>
      </c>
      <c r="Z46" s="333">
        <v>0</v>
      </c>
      <c r="AA46" s="333">
        <v>0</v>
      </c>
      <c r="AB46" s="333">
        <v>0</v>
      </c>
      <c r="AC46" s="333">
        <v>0</v>
      </c>
      <c r="AD46" s="333">
        <v>0</v>
      </c>
      <c r="AE46" s="333"/>
      <c r="AF46" s="333"/>
      <c r="AG46" s="333">
        <f t="shared" si="1"/>
        <v>-1874515.0699999998</v>
      </c>
      <c r="AH46" s="330"/>
      <c r="AI46" s="330">
        <v>0</v>
      </c>
      <c r="AJ46" s="396">
        <f t="shared" si="2"/>
        <v>-1874515.0699999998</v>
      </c>
      <c r="AK46" s="563"/>
      <c r="AL46" s="285">
        <f t="shared" si="3"/>
        <v>0</v>
      </c>
      <c r="AM46" s="286"/>
      <c r="AO46" s="330" t="s">
        <v>1898</v>
      </c>
    </row>
    <row r="47" spans="1:41">
      <c r="A47" s="587">
        <f t="shared" si="4"/>
        <v>44</v>
      </c>
      <c r="B47" s="330" t="s">
        <v>1643</v>
      </c>
      <c r="C47" s="330" t="s">
        <v>1902</v>
      </c>
      <c r="D47" s="330" t="s">
        <v>1662</v>
      </c>
      <c r="E47" s="330" t="s">
        <v>1747</v>
      </c>
      <c r="F47" s="330" t="s">
        <v>1647</v>
      </c>
      <c r="G47" s="562">
        <v>1114</v>
      </c>
      <c r="H47" s="562">
        <v>683.3</v>
      </c>
      <c r="I47" s="562">
        <v>795.57</v>
      </c>
      <c r="J47" s="561" t="s">
        <v>1648</v>
      </c>
      <c r="K47" s="330" t="s">
        <v>1903</v>
      </c>
      <c r="L47" s="330" t="s">
        <v>1904</v>
      </c>
      <c r="M47" s="330" t="s">
        <v>1905</v>
      </c>
      <c r="N47" s="330" t="s">
        <v>1906</v>
      </c>
      <c r="O47" s="395">
        <v>45448</v>
      </c>
      <c r="P47" s="333">
        <v>6320782</v>
      </c>
      <c r="Q47" s="330" t="s">
        <v>1653</v>
      </c>
      <c r="R47" s="562">
        <v>0</v>
      </c>
      <c r="S47" s="333">
        <v>0</v>
      </c>
      <c r="T47" s="333">
        <v>-1746234.26</v>
      </c>
      <c r="U47" s="333">
        <f t="shared" si="0"/>
        <v>-1746234.26</v>
      </c>
      <c r="V47" s="333">
        <v>-150000</v>
      </c>
      <c r="W47" s="333">
        <v>0</v>
      </c>
      <c r="X47" s="333">
        <v>0</v>
      </c>
      <c r="Y47" s="333">
        <v>0</v>
      </c>
      <c r="Z47" s="333">
        <v>0</v>
      </c>
      <c r="AA47" s="333">
        <v>0</v>
      </c>
      <c r="AB47" s="333">
        <v>0</v>
      </c>
      <c r="AC47" s="333">
        <v>0</v>
      </c>
      <c r="AD47" s="333">
        <v>0</v>
      </c>
      <c r="AE47" s="333"/>
      <c r="AF47" s="333"/>
      <c r="AG47" s="333">
        <f t="shared" si="1"/>
        <v>-1896234.26</v>
      </c>
      <c r="AH47" s="330"/>
      <c r="AI47" s="330">
        <v>0</v>
      </c>
      <c r="AJ47" s="396">
        <f t="shared" si="2"/>
        <v>-1896234.26</v>
      </c>
      <c r="AK47" s="563"/>
      <c r="AL47" s="285">
        <f t="shared" si="3"/>
        <v>0</v>
      </c>
      <c r="AM47" s="286"/>
      <c r="AO47" s="330" t="s">
        <v>1903</v>
      </c>
    </row>
    <row r="48" spans="1:41">
      <c r="A48" s="587">
        <f t="shared" si="4"/>
        <v>45</v>
      </c>
      <c r="B48" s="330" t="s">
        <v>1643</v>
      </c>
      <c r="C48" s="330" t="s">
        <v>1907</v>
      </c>
      <c r="D48" s="330" t="s">
        <v>1704</v>
      </c>
      <c r="E48" s="330" t="s">
        <v>1852</v>
      </c>
      <c r="F48" s="330" t="s">
        <v>1647</v>
      </c>
      <c r="G48" s="562">
        <v>1012</v>
      </c>
      <c r="H48" s="562">
        <v>653.59</v>
      </c>
      <c r="I48" s="562">
        <v>723.02</v>
      </c>
      <c r="J48" s="561" t="s">
        <v>1648</v>
      </c>
      <c r="K48" s="330" t="s">
        <v>1908</v>
      </c>
      <c r="L48" s="330" t="s">
        <v>1909</v>
      </c>
      <c r="M48" s="330" t="s">
        <v>1910</v>
      </c>
      <c r="N48" s="330" t="s">
        <v>1911</v>
      </c>
      <c r="O48" s="395">
        <v>45464</v>
      </c>
      <c r="P48" s="333">
        <v>5776762</v>
      </c>
      <c r="Q48" s="330" t="s">
        <v>1653</v>
      </c>
      <c r="R48" s="562">
        <v>0</v>
      </c>
      <c r="S48" s="333">
        <v>0</v>
      </c>
      <c r="T48" s="333">
        <v>-1733001.5599999998</v>
      </c>
      <c r="U48" s="333">
        <f t="shared" si="0"/>
        <v>-1733001.5599999998</v>
      </c>
      <c r="V48" s="333">
        <v>0</v>
      </c>
      <c r="W48" s="333">
        <v>0</v>
      </c>
      <c r="X48" s="333">
        <v>0</v>
      </c>
      <c r="Y48" s="333">
        <v>0</v>
      </c>
      <c r="Z48" s="333">
        <v>0</v>
      </c>
      <c r="AA48" s="333">
        <v>0</v>
      </c>
      <c r="AB48" s="333">
        <v>0</v>
      </c>
      <c r="AC48" s="333">
        <v>0</v>
      </c>
      <c r="AD48" s="333">
        <v>0</v>
      </c>
      <c r="AE48" s="333"/>
      <c r="AF48" s="333"/>
      <c r="AG48" s="333">
        <f t="shared" si="1"/>
        <v>-1733001.5599999998</v>
      </c>
      <c r="AH48" s="330"/>
      <c r="AI48" s="330">
        <v>0</v>
      </c>
      <c r="AJ48" s="396">
        <f t="shared" si="2"/>
        <v>-1733001.5599999998</v>
      </c>
      <c r="AK48" s="563"/>
      <c r="AL48" s="285">
        <f t="shared" si="3"/>
        <v>0</v>
      </c>
      <c r="AM48" s="286"/>
      <c r="AO48" s="330" t="s">
        <v>1908</v>
      </c>
    </row>
    <row r="49" spans="1:41">
      <c r="A49" s="587">
        <f t="shared" si="4"/>
        <v>46</v>
      </c>
      <c r="B49" s="330" t="s">
        <v>1643</v>
      </c>
      <c r="C49" s="330" t="s">
        <v>1912</v>
      </c>
      <c r="D49" s="330" t="s">
        <v>1645</v>
      </c>
      <c r="E49" s="330" t="s">
        <v>1874</v>
      </c>
      <c r="F49" s="330" t="s">
        <v>1786</v>
      </c>
      <c r="G49" s="562">
        <v>1265</v>
      </c>
      <c r="H49" s="562">
        <v>813.33</v>
      </c>
      <c r="I49" s="562">
        <v>903.31</v>
      </c>
      <c r="J49" s="561" t="s">
        <v>1648</v>
      </c>
      <c r="K49" s="330" t="s">
        <v>1913</v>
      </c>
      <c r="L49" s="330" t="s">
        <v>1914</v>
      </c>
      <c r="M49" s="330" t="s">
        <v>1915</v>
      </c>
      <c r="N49" s="330" t="s">
        <v>1916</v>
      </c>
      <c r="O49" s="395">
        <v>45441</v>
      </c>
      <c r="P49" s="333">
        <v>7294572</v>
      </c>
      <c r="Q49" s="330" t="s">
        <v>1653</v>
      </c>
      <c r="R49" s="562">
        <v>0</v>
      </c>
      <c r="S49" s="333">
        <v>0</v>
      </c>
      <c r="T49" s="333">
        <v>-2188372.419999999</v>
      </c>
      <c r="U49" s="333">
        <f t="shared" si="0"/>
        <v>-2188372.419999999</v>
      </c>
      <c r="V49" s="333">
        <v>-72945.72</v>
      </c>
      <c r="W49" s="333">
        <v>0</v>
      </c>
      <c r="X49" s="333">
        <v>0</v>
      </c>
      <c r="Y49" s="333">
        <v>0</v>
      </c>
      <c r="Z49" s="333">
        <v>0</v>
      </c>
      <c r="AA49" s="333">
        <v>0</v>
      </c>
      <c r="AB49" s="333">
        <v>0</v>
      </c>
      <c r="AC49" s="333">
        <v>0</v>
      </c>
      <c r="AD49" s="333">
        <v>0</v>
      </c>
      <c r="AE49" s="333"/>
      <c r="AF49" s="333"/>
      <c r="AG49" s="333">
        <f t="shared" si="1"/>
        <v>-2261318.1399999992</v>
      </c>
      <c r="AH49" s="330"/>
      <c r="AI49" s="330">
        <v>0</v>
      </c>
      <c r="AJ49" s="396">
        <f t="shared" si="2"/>
        <v>-2261318.1399999992</v>
      </c>
      <c r="AK49" s="563"/>
      <c r="AL49" s="285">
        <f t="shared" si="3"/>
        <v>0</v>
      </c>
      <c r="AM49" s="286"/>
      <c r="AO49" s="330" t="s">
        <v>1913</v>
      </c>
    </row>
    <row r="50" spans="1:41">
      <c r="A50" s="587">
        <f t="shared" si="4"/>
        <v>47</v>
      </c>
      <c r="B50" s="330" t="s">
        <v>1643</v>
      </c>
      <c r="C50" s="330" t="s">
        <v>1917</v>
      </c>
      <c r="D50" s="330" t="s">
        <v>1677</v>
      </c>
      <c r="E50" s="330" t="s">
        <v>1918</v>
      </c>
      <c r="F50" s="330" t="s">
        <v>1647</v>
      </c>
      <c r="G50" s="562">
        <v>1114</v>
      </c>
      <c r="H50" s="562">
        <v>683.3</v>
      </c>
      <c r="I50" s="562">
        <v>795.57</v>
      </c>
      <c r="J50" s="561" t="s">
        <v>1648</v>
      </c>
      <c r="K50" s="330" t="s">
        <v>1919</v>
      </c>
      <c r="L50" s="330" t="s">
        <v>1920</v>
      </c>
      <c r="M50" s="330" t="s">
        <v>1921</v>
      </c>
      <c r="N50" s="330" t="s">
        <v>12</v>
      </c>
      <c r="O50" s="395"/>
      <c r="P50" s="333">
        <v>6736571</v>
      </c>
      <c r="Q50" s="330" t="s">
        <v>1653</v>
      </c>
      <c r="R50" s="562">
        <v>0</v>
      </c>
      <c r="S50" s="333">
        <v>0</v>
      </c>
      <c r="T50" s="333">
        <v>-813802</v>
      </c>
      <c r="U50" s="333">
        <f t="shared" si="0"/>
        <v>-813802</v>
      </c>
      <c r="V50" s="333">
        <v>0</v>
      </c>
      <c r="W50" s="333">
        <v>0</v>
      </c>
      <c r="X50" s="333">
        <v>0</v>
      </c>
      <c r="Y50" s="333">
        <v>0</v>
      </c>
      <c r="Z50" s="333">
        <v>0</v>
      </c>
      <c r="AA50" s="333">
        <v>0</v>
      </c>
      <c r="AB50" s="333">
        <v>0</v>
      </c>
      <c r="AC50" s="333">
        <v>0</v>
      </c>
      <c r="AD50" s="333">
        <v>0</v>
      </c>
      <c r="AE50" s="333"/>
      <c r="AF50" s="333"/>
      <c r="AG50" s="333">
        <f t="shared" si="1"/>
        <v>-813802</v>
      </c>
      <c r="AH50" s="330"/>
      <c r="AI50" s="330">
        <v>0</v>
      </c>
      <c r="AJ50" s="396">
        <f t="shared" si="2"/>
        <v>-813802</v>
      </c>
      <c r="AK50" s="563"/>
      <c r="AL50" s="285">
        <f t="shared" si="3"/>
        <v>0</v>
      </c>
      <c r="AM50" s="286"/>
      <c r="AO50" s="330" t="s">
        <v>1919</v>
      </c>
    </row>
    <row r="51" spans="1:41">
      <c r="A51" s="587">
        <f t="shared" si="4"/>
        <v>48</v>
      </c>
      <c r="B51" s="330" t="s">
        <v>1643</v>
      </c>
      <c r="C51" s="330" t="s">
        <v>1922</v>
      </c>
      <c r="D51" s="330" t="s">
        <v>1746</v>
      </c>
      <c r="E51" s="330" t="s">
        <v>1923</v>
      </c>
      <c r="F51" s="330" t="s">
        <v>1647</v>
      </c>
      <c r="G51" s="562">
        <v>1114</v>
      </c>
      <c r="H51" s="562">
        <v>683.3</v>
      </c>
      <c r="I51" s="562">
        <v>795.57</v>
      </c>
      <c r="J51" s="561" t="s">
        <v>1648</v>
      </c>
      <c r="K51" s="330" t="s">
        <v>1924</v>
      </c>
      <c r="L51" s="330" t="s">
        <v>1925</v>
      </c>
      <c r="M51" s="330" t="s">
        <v>1926</v>
      </c>
      <c r="N51" s="330" t="s">
        <v>1927</v>
      </c>
      <c r="O51" s="395">
        <v>45434</v>
      </c>
      <c r="P51" s="333">
        <v>6320782</v>
      </c>
      <c r="Q51" s="330" t="s">
        <v>1653</v>
      </c>
      <c r="R51" s="562">
        <v>0</v>
      </c>
      <c r="S51" s="333">
        <v>0</v>
      </c>
      <c r="T51" s="333">
        <v>-1893852.2600000005</v>
      </c>
      <c r="U51" s="333">
        <f t="shared" si="0"/>
        <v>-1893852.2600000005</v>
      </c>
      <c r="V51" s="333">
        <v>0</v>
      </c>
      <c r="W51" s="333">
        <v>0</v>
      </c>
      <c r="X51" s="333">
        <v>0</v>
      </c>
      <c r="Y51" s="333">
        <v>0</v>
      </c>
      <c r="Z51" s="333">
        <v>0</v>
      </c>
      <c r="AA51" s="333">
        <v>0</v>
      </c>
      <c r="AB51" s="333">
        <v>0</v>
      </c>
      <c r="AC51" s="333">
        <v>0</v>
      </c>
      <c r="AD51" s="333">
        <v>0</v>
      </c>
      <c r="AE51" s="333"/>
      <c r="AF51" s="333"/>
      <c r="AG51" s="333">
        <f t="shared" si="1"/>
        <v>-1893852.2600000005</v>
      </c>
      <c r="AH51" s="330"/>
      <c r="AI51" s="330">
        <v>0</v>
      </c>
      <c r="AJ51" s="396">
        <f t="shared" si="2"/>
        <v>-1893852.2600000005</v>
      </c>
      <c r="AK51" s="563"/>
      <c r="AL51" s="285">
        <f t="shared" si="3"/>
        <v>0</v>
      </c>
      <c r="AM51" s="286"/>
      <c r="AO51" s="330" t="s">
        <v>1924</v>
      </c>
    </row>
    <row r="52" spans="1:41">
      <c r="A52" s="587">
        <f t="shared" si="4"/>
        <v>49</v>
      </c>
      <c r="B52" s="330" t="s">
        <v>1643</v>
      </c>
      <c r="C52" s="330" t="s">
        <v>1928</v>
      </c>
      <c r="D52" s="330" t="s">
        <v>1645</v>
      </c>
      <c r="E52" s="330" t="s">
        <v>1929</v>
      </c>
      <c r="F52" s="330" t="s">
        <v>1647</v>
      </c>
      <c r="G52" s="562">
        <v>1114</v>
      </c>
      <c r="H52" s="562">
        <v>683.3</v>
      </c>
      <c r="I52" s="562">
        <v>795.57</v>
      </c>
      <c r="J52" s="561" t="s">
        <v>1810</v>
      </c>
      <c r="K52" s="330" t="s">
        <v>1930</v>
      </c>
      <c r="L52" s="330" t="s">
        <v>1931</v>
      </c>
      <c r="M52" s="330" t="s">
        <v>1932</v>
      </c>
      <c r="N52" s="330" t="s">
        <v>1933</v>
      </c>
      <c r="O52" s="395">
        <v>45405</v>
      </c>
      <c r="P52" s="333">
        <v>6287368</v>
      </c>
      <c r="Q52" s="330" t="s">
        <v>1653</v>
      </c>
      <c r="R52" s="562">
        <v>0</v>
      </c>
      <c r="S52" s="333">
        <v>0</v>
      </c>
      <c r="T52" s="333">
        <v>-1933516.1600000001</v>
      </c>
      <c r="U52" s="333">
        <f t="shared" si="0"/>
        <v>-1933516.1600000001</v>
      </c>
      <c r="V52" s="333">
        <v>0</v>
      </c>
      <c r="W52" s="333">
        <v>0</v>
      </c>
      <c r="X52" s="333">
        <v>0</v>
      </c>
      <c r="Y52" s="333">
        <v>0</v>
      </c>
      <c r="Z52" s="333">
        <v>0</v>
      </c>
      <c r="AA52" s="333">
        <v>0</v>
      </c>
      <c r="AB52" s="333">
        <v>0</v>
      </c>
      <c r="AC52" s="333">
        <v>-15568.760000000009</v>
      </c>
      <c r="AD52" s="333">
        <v>0</v>
      </c>
      <c r="AE52" s="333"/>
      <c r="AF52" s="333"/>
      <c r="AG52" s="333">
        <f t="shared" si="1"/>
        <v>-1949084.9200000002</v>
      </c>
      <c r="AH52" s="330"/>
      <c r="AI52" s="330">
        <v>15568.76</v>
      </c>
      <c r="AJ52" s="396">
        <f t="shared" si="2"/>
        <v>-1949084.9200000002</v>
      </c>
      <c r="AK52" s="563"/>
      <c r="AL52" s="285">
        <f>+AC52+AI52</f>
        <v>0</v>
      </c>
      <c r="AM52" s="286"/>
      <c r="AO52" s="330" t="s">
        <v>1930</v>
      </c>
    </row>
    <row r="53" spans="1:41">
      <c r="A53" s="587">
        <f t="shared" si="4"/>
        <v>50</v>
      </c>
      <c r="B53" s="330" t="s">
        <v>1643</v>
      </c>
      <c r="C53" s="330" t="s">
        <v>1934</v>
      </c>
      <c r="D53" s="330" t="s">
        <v>1645</v>
      </c>
      <c r="E53" s="330" t="s">
        <v>1935</v>
      </c>
      <c r="F53" s="330" t="s">
        <v>1671</v>
      </c>
      <c r="G53" s="562">
        <v>1498</v>
      </c>
      <c r="H53" s="562">
        <v>954.87</v>
      </c>
      <c r="I53" s="562">
        <v>1069.73</v>
      </c>
      <c r="J53" s="561" t="s">
        <v>1648</v>
      </c>
      <c r="K53" s="330" t="s">
        <v>1936</v>
      </c>
      <c r="L53" s="330" t="s">
        <v>1937</v>
      </c>
      <c r="M53" s="330" t="s">
        <v>1938</v>
      </c>
      <c r="N53" s="330" t="s">
        <v>1939</v>
      </c>
      <c r="O53" s="395">
        <v>45483</v>
      </c>
      <c r="P53" s="333">
        <v>9169619</v>
      </c>
      <c r="Q53" s="330" t="s">
        <v>1653</v>
      </c>
      <c r="R53" s="562">
        <v>0</v>
      </c>
      <c r="S53" s="333">
        <v>0</v>
      </c>
      <c r="T53" s="333">
        <v>-2842581.8899999997</v>
      </c>
      <c r="U53" s="333">
        <f t="shared" si="0"/>
        <v>-2842581.8899999997</v>
      </c>
      <c r="V53" s="333">
        <v>0</v>
      </c>
      <c r="W53" s="333">
        <v>0</v>
      </c>
      <c r="X53" s="333">
        <v>0</v>
      </c>
      <c r="Y53" s="333">
        <v>0</v>
      </c>
      <c r="Z53" s="333">
        <v>0</v>
      </c>
      <c r="AA53" s="333">
        <v>0</v>
      </c>
      <c r="AB53" s="333">
        <v>0</v>
      </c>
      <c r="AC53" s="333">
        <v>0</v>
      </c>
      <c r="AD53" s="333">
        <v>0</v>
      </c>
      <c r="AE53" s="333"/>
      <c r="AF53" s="333"/>
      <c r="AG53" s="333">
        <f t="shared" si="1"/>
        <v>-2842581.8899999997</v>
      </c>
      <c r="AH53" s="330"/>
      <c r="AI53" s="330">
        <v>0</v>
      </c>
      <c r="AJ53" s="396">
        <f t="shared" si="2"/>
        <v>-2842581.8899999997</v>
      </c>
      <c r="AK53" s="563"/>
      <c r="AL53" s="285">
        <f t="shared" si="3"/>
        <v>0</v>
      </c>
      <c r="AM53" s="286"/>
      <c r="AO53" s="330" t="s">
        <v>1936</v>
      </c>
    </row>
    <row r="54" spans="1:41">
      <c r="A54" s="587">
        <f t="shared" si="4"/>
        <v>51</v>
      </c>
      <c r="B54" s="330" t="s">
        <v>1643</v>
      </c>
      <c r="C54" s="330" t="s">
        <v>1940</v>
      </c>
      <c r="D54" s="330" t="s">
        <v>1645</v>
      </c>
      <c r="E54" s="330" t="s">
        <v>1941</v>
      </c>
      <c r="F54" s="330" t="s">
        <v>1671</v>
      </c>
      <c r="G54" s="562">
        <v>1498</v>
      </c>
      <c r="H54" s="562">
        <v>954.87</v>
      </c>
      <c r="I54" s="562">
        <v>1069.73</v>
      </c>
      <c r="J54" s="561" t="s">
        <v>1648</v>
      </c>
      <c r="K54" s="330" t="s">
        <v>1942</v>
      </c>
      <c r="L54" s="330" t="s">
        <v>1943</v>
      </c>
      <c r="M54" s="330" t="s">
        <v>1944</v>
      </c>
      <c r="N54" s="330" t="s">
        <v>1945</v>
      </c>
      <c r="O54" s="395">
        <v>45462</v>
      </c>
      <c r="P54" s="333">
        <v>8603809</v>
      </c>
      <c r="Q54" s="330" t="s">
        <v>1653</v>
      </c>
      <c r="R54" s="562">
        <v>0</v>
      </c>
      <c r="S54" s="333">
        <v>0</v>
      </c>
      <c r="T54" s="333">
        <v>-2598897.8599999994</v>
      </c>
      <c r="U54" s="333">
        <f t="shared" si="0"/>
        <v>-2598897.8599999994</v>
      </c>
      <c r="V54" s="333">
        <v>0</v>
      </c>
      <c r="W54" s="333">
        <v>0</v>
      </c>
      <c r="X54" s="333">
        <v>0</v>
      </c>
      <c r="Y54" s="333">
        <v>0</v>
      </c>
      <c r="Z54" s="333">
        <v>0</v>
      </c>
      <c r="AA54" s="333">
        <v>0</v>
      </c>
      <c r="AB54" s="333">
        <v>0</v>
      </c>
      <c r="AC54" s="333">
        <v>-8055</v>
      </c>
      <c r="AD54" s="333">
        <v>0</v>
      </c>
      <c r="AE54" s="333"/>
      <c r="AF54" s="333"/>
      <c r="AG54" s="333">
        <f t="shared" si="1"/>
        <v>-2606952.8599999994</v>
      </c>
      <c r="AH54" s="330"/>
      <c r="AI54" s="330">
        <v>8055</v>
      </c>
      <c r="AJ54" s="396">
        <f t="shared" si="2"/>
        <v>-2606952.8599999994</v>
      </c>
      <c r="AK54" s="563"/>
      <c r="AL54" s="285">
        <f>+AC54+AI54</f>
        <v>0</v>
      </c>
      <c r="AM54" s="286"/>
      <c r="AO54" s="330" t="s">
        <v>1942</v>
      </c>
    </row>
    <row r="55" spans="1:41">
      <c r="A55" s="587">
        <f t="shared" si="4"/>
        <v>52</v>
      </c>
      <c r="B55" s="330" t="s">
        <v>1643</v>
      </c>
      <c r="C55" s="330" t="s">
        <v>1946</v>
      </c>
      <c r="D55" s="330" t="s">
        <v>1662</v>
      </c>
      <c r="E55" s="330" t="s">
        <v>1947</v>
      </c>
      <c r="F55" s="330" t="s">
        <v>1647</v>
      </c>
      <c r="G55" s="562">
        <v>1012</v>
      </c>
      <c r="H55" s="562">
        <v>653.59</v>
      </c>
      <c r="I55" s="562">
        <v>723.02</v>
      </c>
      <c r="J55" s="561" t="s">
        <v>1648</v>
      </c>
      <c r="K55" s="330" t="s">
        <v>1948</v>
      </c>
      <c r="L55" s="330" t="s">
        <v>1949</v>
      </c>
      <c r="M55" s="330" t="s">
        <v>1950</v>
      </c>
      <c r="N55" s="330" t="s">
        <v>1951</v>
      </c>
      <c r="O55" s="395">
        <v>45440</v>
      </c>
      <c r="P55" s="333">
        <v>5729194</v>
      </c>
      <c r="Q55" s="330" t="s">
        <v>1653</v>
      </c>
      <c r="R55" s="562">
        <v>0</v>
      </c>
      <c r="S55" s="333">
        <v>0</v>
      </c>
      <c r="T55" s="333">
        <v>-1676050.02</v>
      </c>
      <c r="U55" s="333">
        <f t="shared" si="0"/>
        <v>-1676050.02</v>
      </c>
      <c r="V55" s="333">
        <v>0</v>
      </c>
      <c r="W55" s="333">
        <v>0</v>
      </c>
      <c r="X55" s="333">
        <v>0</v>
      </c>
      <c r="Y55" s="333">
        <v>0</v>
      </c>
      <c r="Z55" s="333">
        <v>0</v>
      </c>
      <c r="AA55" s="333">
        <v>0</v>
      </c>
      <c r="AB55" s="333">
        <v>0</v>
      </c>
      <c r="AC55" s="333">
        <v>0</v>
      </c>
      <c r="AD55" s="333">
        <v>0</v>
      </c>
      <c r="AE55" s="333"/>
      <c r="AF55" s="333"/>
      <c r="AG55" s="333">
        <f t="shared" si="1"/>
        <v>-1676050.02</v>
      </c>
      <c r="AH55" s="330"/>
      <c r="AI55" s="330">
        <v>0</v>
      </c>
      <c r="AJ55" s="396">
        <f t="shared" si="2"/>
        <v>-1676050.02</v>
      </c>
      <c r="AK55" s="563"/>
      <c r="AL55" s="285">
        <f t="shared" si="3"/>
        <v>0</v>
      </c>
      <c r="AM55" s="286"/>
      <c r="AO55" s="330" t="s">
        <v>1948</v>
      </c>
    </row>
    <row r="56" spans="1:41">
      <c r="A56" s="587">
        <f t="shared" si="4"/>
        <v>53</v>
      </c>
      <c r="B56" s="330" t="s">
        <v>1643</v>
      </c>
      <c r="C56" s="330" t="s">
        <v>1952</v>
      </c>
      <c r="D56" s="330" t="s">
        <v>1662</v>
      </c>
      <c r="E56" s="330" t="s">
        <v>1691</v>
      </c>
      <c r="F56" s="330" t="s">
        <v>1647</v>
      </c>
      <c r="G56" s="562">
        <v>1012</v>
      </c>
      <c r="H56" s="562">
        <v>653.59</v>
      </c>
      <c r="I56" s="562">
        <v>723.02</v>
      </c>
      <c r="J56" s="561" t="s">
        <v>1648</v>
      </c>
      <c r="K56" s="330" t="s">
        <v>1953</v>
      </c>
      <c r="L56" s="330" t="s">
        <v>1954</v>
      </c>
      <c r="M56" s="330" t="s">
        <v>1955</v>
      </c>
      <c r="N56" s="330" t="s">
        <v>1956</v>
      </c>
      <c r="O56" s="395">
        <v>45520</v>
      </c>
      <c r="P56" s="333">
        <v>5668460</v>
      </c>
      <c r="Q56" s="330" t="s">
        <v>1653</v>
      </c>
      <c r="R56" s="562">
        <v>0</v>
      </c>
      <c r="S56" s="333">
        <v>0</v>
      </c>
      <c r="T56" s="333">
        <v>-1598107.1</v>
      </c>
      <c r="U56" s="333">
        <f t="shared" si="0"/>
        <v>-1598107.1</v>
      </c>
      <c r="V56" s="333">
        <v>0</v>
      </c>
      <c r="W56" s="333">
        <v>0</v>
      </c>
      <c r="X56" s="333">
        <v>0</v>
      </c>
      <c r="Y56" s="333">
        <v>0</v>
      </c>
      <c r="Z56" s="333">
        <v>0</v>
      </c>
      <c r="AA56" s="333">
        <v>0</v>
      </c>
      <c r="AB56" s="333">
        <v>0</v>
      </c>
      <c r="AC56" s="333">
        <v>-2428.9599999999919</v>
      </c>
      <c r="AD56" s="333">
        <v>0</v>
      </c>
      <c r="AE56" s="333"/>
      <c r="AF56" s="333"/>
      <c r="AG56" s="333">
        <f t="shared" si="1"/>
        <v>-1600536.06</v>
      </c>
      <c r="AH56" s="330"/>
      <c r="AI56" s="330">
        <v>2428.96</v>
      </c>
      <c r="AJ56" s="396">
        <f t="shared" si="2"/>
        <v>-1600536.06</v>
      </c>
      <c r="AK56" s="563"/>
      <c r="AL56" s="285">
        <f t="shared" ref="AL56:AL58" si="8">+AC56+AI56</f>
        <v>8.1854523159563541E-12</v>
      </c>
      <c r="AM56" s="286"/>
      <c r="AO56" s="330" t="s">
        <v>1953</v>
      </c>
    </row>
    <row r="57" spans="1:41">
      <c r="A57" s="587">
        <f t="shared" si="4"/>
        <v>54</v>
      </c>
      <c r="B57" s="330" t="s">
        <v>1643</v>
      </c>
      <c r="C57" s="330" t="s">
        <v>1957</v>
      </c>
      <c r="D57" s="330" t="s">
        <v>1669</v>
      </c>
      <c r="E57" s="330" t="s">
        <v>1958</v>
      </c>
      <c r="F57" s="330" t="s">
        <v>1671</v>
      </c>
      <c r="G57" s="562">
        <v>1787</v>
      </c>
      <c r="H57" s="562">
        <v>1138.51</v>
      </c>
      <c r="I57" s="562">
        <v>1276.29</v>
      </c>
      <c r="J57" s="561" t="s">
        <v>1648</v>
      </c>
      <c r="K57" s="330" t="s">
        <v>1959</v>
      </c>
      <c r="L57" s="330" t="s">
        <v>1960</v>
      </c>
      <c r="M57" s="330" t="s">
        <v>1961</v>
      </c>
      <c r="N57" s="330" t="s">
        <v>1962</v>
      </c>
      <c r="O57" s="395">
        <v>45435</v>
      </c>
      <c r="P57" s="333">
        <v>11088896</v>
      </c>
      <c r="Q57" s="330" t="s">
        <v>1653</v>
      </c>
      <c r="R57" s="562">
        <v>0</v>
      </c>
      <c r="S57" s="333">
        <v>0</v>
      </c>
      <c r="T57" s="333">
        <v>-3312381.56</v>
      </c>
      <c r="U57" s="333">
        <f t="shared" si="0"/>
        <v>-3312381.56</v>
      </c>
      <c r="V57" s="333">
        <v>0</v>
      </c>
      <c r="W57" s="333">
        <v>0</v>
      </c>
      <c r="X57" s="333">
        <v>0</v>
      </c>
      <c r="Y57" s="333">
        <v>0</v>
      </c>
      <c r="Z57" s="333">
        <v>0</v>
      </c>
      <c r="AA57" s="333">
        <v>0</v>
      </c>
      <c r="AB57" s="333">
        <v>0</v>
      </c>
      <c r="AC57" s="333">
        <v>-14286</v>
      </c>
      <c r="AD57" s="333">
        <v>0</v>
      </c>
      <c r="AE57" s="333"/>
      <c r="AF57" s="333"/>
      <c r="AG57" s="333">
        <f t="shared" si="1"/>
        <v>-3326667.56</v>
      </c>
      <c r="AH57" s="330"/>
      <c r="AI57" s="330">
        <v>14286</v>
      </c>
      <c r="AJ57" s="396">
        <f t="shared" si="2"/>
        <v>-3326667.56</v>
      </c>
      <c r="AK57" s="563"/>
      <c r="AL57" s="285">
        <f t="shared" si="8"/>
        <v>0</v>
      </c>
      <c r="AM57" s="286"/>
      <c r="AO57" s="330" t="s">
        <v>1959</v>
      </c>
    </row>
    <row r="58" spans="1:41">
      <c r="A58" s="587">
        <f t="shared" si="4"/>
        <v>55</v>
      </c>
      <c r="B58" s="330" t="s">
        <v>1643</v>
      </c>
      <c r="C58" s="330" t="s">
        <v>1963</v>
      </c>
      <c r="D58" s="330" t="s">
        <v>1662</v>
      </c>
      <c r="E58" s="330" t="s">
        <v>1964</v>
      </c>
      <c r="F58" s="330" t="s">
        <v>1671</v>
      </c>
      <c r="G58" s="562">
        <v>1375</v>
      </c>
      <c r="H58" s="562">
        <v>876.73</v>
      </c>
      <c r="I58" s="562">
        <v>982.22</v>
      </c>
      <c r="J58" s="561" t="s">
        <v>1648</v>
      </c>
      <c r="K58" s="330" t="s">
        <v>1965</v>
      </c>
      <c r="L58" s="330" t="s">
        <v>1966</v>
      </c>
      <c r="M58" s="330" t="s">
        <v>1967</v>
      </c>
      <c r="N58" s="330" t="s">
        <v>1968</v>
      </c>
      <c r="O58" s="395">
        <v>45436</v>
      </c>
      <c r="P58" s="333">
        <v>7741819</v>
      </c>
      <c r="Q58" s="330" t="s">
        <v>1653</v>
      </c>
      <c r="R58" s="562">
        <v>0</v>
      </c>
      <c r="S58" s="333">
        <v>0</v>
      </c>
      <c r="T58" s="333">
        <v>-2307518.6999999979</v>
      </c>
      <c r="U58" s="333">
        <f t="shared" si="0"/>
        <v>-2307518.6999999979</v>
      </c>
      <c r="V58" s="333">
        <v>0</v>
      </c>
      <c r="W58" s="333">
        <v>0</v>
      </c>
      <c r="X58" s="333">
        <v>0</v>
      </c>
      <c r="Y58" s="333">
        <v>0</v>
      </c>
      <c r="Z58" s="333">
        <v>0</v>
      </c>
      <c r="AA58" s="333">
        <v>0</v>
      </c>
      <c r="AB58" s="333">
        <v>0</v>
      </c>
      <c r="AC58" s="333">
        <v>-15026.590000000011</v>
      </c>
      <c r="AD58" s="333">
        <v>0</v>
      </c>
      <c r="AE58" s="333"/>
      <c r="AF58" s="333"/>
      <c r="AG58" s="333">
        <f t="shared" si="1"/>
        <v>-2322545.2899999977</v>
      </c>
      <c r="AH58" s="330"/>
      <c r="AI58" s="330">
        <v>15027.080000000002</v>
      </c>
      <c r="AJ58" s="396">
        <f t="shared" si="2"/>
        <v>-2322545.2899999977</v>
      </c>
      <c r="AK58" s="563"/>
      <c r="AL58" s="285">
        <f t="shared" si="8"/>
        <v>0.48999999999068677</v>
      </c>
      <c r="AM58" s="286"/>
      <c r="AO58" s="330" t="s">
        <v>1965</v>
      </c>
    </row>
    <row r="59" spans="1:41">
      <c r="A59" s="587">
        <f t="shared" si="4"/>
        <v>56</v>
      </c>
      <c r="B59" s="330" t="s">
        <v>1643</v>
      </c>
      <c r="C59" s="330" t="s">
        <v>1969</v>
      </c>
      <c r="D59" s="330" t="s">
        <v>1704</v>
      </c>
      <c r="E59" s="330" t="s">
        <v>1701</v>
      </c>
      <c r="F59" s="330" t="s">
        <v>1647</v>
      </c>
      <c r="G59" s="562">
        <v>1114</v>
      </c>
      <c r="H59" s="562">
        <v>683.3</v>
      </c>
      <c r="I59" s="562">
        <v>795.57</v>
      </c>
      <c r="J59" s="561" t="s">
        <v>1648</v>
      </c>
      <c r="K59" s="330" t="s">
        <v>1970</v>
      </c>
      <c r="L59" s="330" t="s">
        <v>1971</v>
      </c>
      <c r="M59" s="330" t="s">
        <v>1972</v>
      </c>
      <c r="N59" s="330" t="s">
        <v>1973</v>
      </c>
      <c r="O59" s="395">
        <v>45455</v>
      </c>
      <c r="P59" s="333">
        <v>6428571</v>
      </c>
      <c r="Q59" s="330" t="s">
        <v>1653</v>
      </c>
      <c r="R59" s="562">
        <v>0</v>
      </c>
      <c r="S59" s="333">
        <v>0</v>
      </c>
      <c r="T59" s="333">
        <v>-1928570.4200000011</v>
      </c>
      <c r="U59" s="333">
        <f t="shared" si="0"/>
        <v>-1928570.4200000011</v>
      </c>
      <c r="V59" s="333">
        <v>0</v>
      </c>
      <c r="W59" s="333">
        <v>0</v>
      </c>
      <c r="X59" s="333">
        <v>0</v>
      </c>
      <c r="Y59" s="333">
        <v>0</v>
      </c>
      <c r="Z59" s="333">
        <v>0</v>
      </c>
      <c r="AA59" s="333">
        <v>0</v>
      </c>
      <c r="AB59" s="333">
        <v>0</v>
      </c>
      <c r="AC59" s="333">
        <v>0</v>
      </c>
      <c r="AD59" s="333">
        <v>0</v>
      </c>
      <c r="AE59" s="333"/>
      <c r="AF59" s="333"/>
      <c r="AG59" s="333">
        <f t="shared" si="1"/>
        <v>-1928570.4200000011</v>
      </c>
      <c r="AH59" s="330"/>
      <c r="AI59" s="330">
        <v>0</v>
      </c>
      <c r="AJ59" s="396">
        <f t="shared" si="2"/>
        <v>-1928570.4200000011</v>
      </c>
      <c r="AK59" s="563"/>
      <c r="AL59" s="285">
        <f t="shared" si="3"/>
        <v>0</v>
      </c>
      <c r="AM59" s="286"/>
      <c r="AO59" s="330" t="s">
        <v>1970</v>
      </c>
    </row>
    <row r="60" spans="1:41">
      <c r="A60" s="587">
        <f t="shared" si="4"/>
        <v>57</v>
      </c>
      <c r="B60" s="330" t="s">
        <v>1643</v>
      </c>
      <c r="C60" s="330" t="s">
        <v>1808</v>
      </c>
      <c r="D60" s="330" t="s">
        <v>1645</v>
      </c>
      <c r="E60" s="330" t="s">
        <v>1809</v>
      </c>
      <c r="F60" s="330" t="s">
        <v>1671</v>
      </c>
      <c r="G60" s="562">
        <v>1498</v>
      </c>
      <c r="H60" s="562">
        <v>954.87</v>
      </c>
      <c r="I60" s="562">
        <v>1069.73</v>
      </c>
      <c r="J60" s="561" t="s">
        <v>1810</v>
      </c>
      <c r="K60" s="330" t="s">
        <v>1974</v>
      </c>
      <c r="L60" s="330" t="s">
        <v>1975</v>
      </c>
      <c r="M60" s="330" t="s">
        <v>1976</v>
      </c>
      <c r="N60" s="330" t="s">
        <v>12</v>
      </c>
      <c r="O60" s="395"/>
      <c r="P60" s="333">
        <v>8946381</v>
      </c>
      <c r="Q60" s="330" t="s">
        <v>1660</v>
      </c>
      <c r="R60" s="562">
        <v>0</v>
      </c>
      <c r="S60" s="333">
        <v>0</v>
      </c>
      <c r="T60" s="333">
        <v>0</v>
      </c>
      <c r="U60" s="333">
        <f t="shared" si="0"/>
        <v>0</v>
      </c>
      <c r="V60" s="333">
        <v>0</v>
      </c>
      <c r="W60" s="333">
        <v>0</v>
      </c>
      <c r="X60" s="333">
        <v>0</v>
      </c>
      <c r="Y60" s="333">
        <v>0</v>
      </c>
      <c r="Z60" s="333">
        <v>0</v>
      </c>
      <c r="AA60" s="333">
        <v>0</v>
      </c>
      <c r="AB60" s="333">
        <v>0</v>
      </c>
      <c r="AC60" s="333">
        <v>0</v>
      </c>
      <c r="AD60" s="333">
        <v>0</v>
      </c>
      <c r="AE60" s="333"/>
      <c r="AF60" s="333"/>
      <c r="AG60" s="333">
        <f t="shared" si="1"/>
        <v>0</v>
      </c>
      <c r="AH60" s="330"/>
      <c r="AI60" s="330">
        <v>0</v>
      </c>
      <c r="AJ60" s="396">
        <f t="shared" si="2"/>
        <v>0</v>
      </c>
      <c r="AK60" s="563"/>
      <c r="AL60" s="285">
        <f t="shared" si="3"/>
        <v>0</v>
      </c>
      <c r="AM60" s="286"/>
      <c r="AO60" s="330" t="s">
        <v>1974</v>
      </c>
    </row>
    <row r="61" spans="1:41">
      <c r="A61" s="587">
        <f t="shared" si="4"/>
        <v>58</v>
      </c>
      <c r="B61" s="330" t="s">
        <v>1643</v>
      </c>
      <c r="C61" s="330" t="s">
        <v>1977</v>
      </c>
      <c r="D61" s="330" t="s">
        <v>1662</v>
      </c>
      <c r="E61" s="330" t="s">
        <v>1978</v>
      </c>
      <c r="F61" s="330" t="s">
        <v>1647</v>
      </c>
      <c r="G61" s="562">
        <v>1012</v>
      </c>
      <c r="H61" s="562">
        <v>653.59</v>
      </c>
      <c r="I61" s="562">
        <v>723.02</v>
      </c>
      <c r="J61" s="561" t="s">
        <v>1648</v>
      </c>
      <c r="K61" s="330" t="s">
        <v>1979</v>
      </c>
      <c r="L61" s="330" t="s">
        <v>1980</v>
      </c>
      <c r="M61" s="330" t="s">
        <v>1981</v>
      </c>
      <c r="N61" s="330" t="s">
        <v>1982</v>
      </c>
      <c r="O61" s="395">
        <v>45548</v>
      </c>
      <c r="P61" s="333">
        <v>5642857</v>
      </c>
      <c r="Q61" s="330" t="s">
        <v>1653</v>
      </c>
      <c r="R61" s="562">
        <v>0</v>
      </c>
      <c r="S61" s="333">
        <v>0</v>
      </c>
      <c r="T61" s="333">
        <v>-1692858.14</v>
      </c>
      <c r="U61" s="333">
        <f t="shared" si="0"/>
        <v>-1692858.14</v>
      </c>
      <c r="V61" s="333">
        <v>0</v>
      </c>
      <c r="W61" s="333">
        <v>0</v>
      </c>
      <c r="X61" s="333">
        <v>0</v>
      </c>
      <c r="Y61" s="333">
        <v>0</v>
      </c>
      <c r="Z61" s="333">
        <v>0</v>
      </c>
      <c r="AA61" s="333">
        <v>0</v>
      </c>
      <c r="AB61" s="333">
        <v>0</v>
      </c>
      <c r="AC61" s="333">
        <v>0</v>
      </c>
      <c r="AD61" s="333">
        <v>0</v>
      </c>
      <c r="AE61" s="333"/>
      <c r="AF61" s="333"/>
      <c r="AG61" s="333">
        <f t="shared" si="1"/>
        <v>-1692858.14</v>
      </c>
      <c r="AH61" s="330"/>
      <c r="AI61" s="330">
        <v>0</v>
      </c>
      <c r="AJ61" s="396">
        <f t="shared" si="2"/>
        <v>-1692858.14</v>
      </c>
      <c r="AK61" s="563"/>
      <c r="AL61" s="285">
        <f t="shared" si="3"/>
        <v>0</v>
      </c>
      <c r="AM61" s="286"/>
      <c r="AO61" s="330" t="s">
        <v>1979</v>
      </c>
    </row>
    <row r="62" spans="1:41">
      <c r="A62" s="587">
        <f t="shared" si="4"/>
        <v>59</v>
      </c>
      <c r="B62" s="330" t="s">
        <v>1643</v>
      </c>
      <c r="C62" s="330" t="s">
        <v>1983</v>
      </c>
      <c r="D62" s="330" t="s">
        <v>1662</v>
      </c>
      <c r="E62" s="330" t="s">
        <v>1984</v>
      </c>
      <c r="F62" s="330" t="s">
        <v>1647</v>
      </c>
      <c r="G62" s="562">
        <v>1012</v>
      </c>
      <c r="H62" s="562">
        <v>653.59</v>
      </c>
      <c r="I62" s="562">
        <v>723.02</v>
      </c>
      <c r="J62" s="561" t="s">
        <v>1810</v>
      </c>
      <c r="K62" s="330" t="s">
        <v>1985</v>
      </c>
      <c r="L62" s="330" t="s">
        <v>1986</v>
      </c>
      <c r="M62" s="330" t="s">
        <v>1987</v>
      </c>
      <c r="N62" s="330" t="s">
        <v>1988</v>
      </c>
      <c r="O62" s="395">
        <v>45435</v>
      </c>
      <c r="P62" s="333">
        <v>5668460</v>
      </c>
      <c r="Q62" s="330" t="s">
        <v>1653</v>
      </c>
      <c r="R62" s="562">
        <v>0</v>
      </c>
      <c r="S62" s="333">
        <v>0</v>
      </c>
      <c r="T62" s="333">
        <v>-1699899.3999999997</v>
      </c>
      <c r="U62" s="333">
        <f t="shared" si="0"/>
        <v>-1699899.3999999997</v>
      </c>
      <c r="V62" s="333">
        <v>-51000</v>
      </c>
      <c r="W62" s="333">
        <v>0</v>
      </c>
      <c r="X62" s="333">
        <v>0</v>
      </c>
      <c r="Y62" s="333">
        <v>0</v>
      </c>
      <c r="Z62" s="333">
        <v>0</v>
      </c>
      <c r="AA62" s="333">
        <v>0</v>
      </c>
      <c r="AB62" s="333">
        <v>0</v>
      </c>
      <c r="AC62" s="333">
        <v>-6122</v>
      </c>
      <c r="AD62" s="333">
        <v>0</v>
      </c>
      <c r="AE62" s="333"/>
      <c r="AF62" s="333"/>
      <c r="AG62" s="333">
        <f t="shared" si="1"/>
        <v>-1757021.3999999997</v>
      </c>
      <c r="AH62" s="330"/>
      <c r="AI62" s="330">
        <v>6122</v>
      </c>
      <c r="AJ62" s="396">
        <f t="shared" si="2"/>
        <v>-1757021.3999999997</v>
      </c>
      <c r="AK62" s="563"/>
      <c r="AL62" s="285">
        <f>+AC62+AI62</f>
        <v>0</v>
      </c>
      <c r="AM62" s="286"/>
      <c r="AO62" s="330" t="s">
        <v>1985</v>
      </c>
    </row>
    <row r="63" spans="1:41">
      <c r="A63" s="587">
        <f t="shared" si="4"/>
        <v>60</v>
      </c>
      <c r="B63" s="330" t="s">
        <v>1643</v>
      </c>
      <c r="C63" s="330" t="s">
        <v>1989</v>
      </c>
      <c r="D63" s="330" t="s">
        <v>1645</v>
      </c>
      <c r="E63" s="330" t="s">
        <v>1990</v>
      </c>
      <c r="F63" s="330" t="s">
        <v>1671</v>
      </c>
      <c r="G63" s="562">
        <v>1375</v>
      </c>
      <c r="H63" s="562">
        <v>876.73</v>
      </c>
      <c r="I63" s="562">
        <v>982.21</v>
      </c>
      <c r="J63" s="561" t="s">
        <v>1810</v>
      </c>
      <c r="K63" s="330" t="s">
        <v>1991</v>
      </c>
      <c r="L63" s="330" t="s">
        <v>1992</v>
      </c>
      <c r="M63" s="330" t="s">
        <v>1993</v>
      </c>
      <c r="N63" s="330" t="s">
        <v>1994</v>
      </c>
      <c r="O63" s="395">
        <v>45434</v>
      </c>
      <c r="P63" s="333">
        <v>8544571</v>
      </c>
      <c r="Q63" s="330" t="s">
        <v>1653</v>
      </c>
      <c r="R63" s="562">
        <v>0</v>
      </c>
      <c r="S63" s="333">
        <v>0</v>
      </c>
      <c r="T63" s="333">
        <v>-2563368.419999999</v>
      </c>
      <c r="U63" s="333">
        <f t="shared" si="0"/>
        <v>-2563368.419999999</v>
      </c>
      <c r="V63" s="333">
        <v>0</v>
      </c>
      <c r="W63" s="333">
        <v>0</v>
      </c>
      <c r="X63" s="333">
        <v>0</v>
      </c>
      <c r="Y63" s="333">
        <v>0</v>
      </c>
      <c r="Z63" s="333">
        <v>0</v>
      </c>
      <c r="AA63" s="333">
        <v>0</v>
      </c>
      <c r="AB63" s="333">
        <v>0</v>
      </c>
      <c r="AC63" s="333">
        <v>0</v>
      </c>
      <c r="AD63" s="333">
        <v>0</v>
      </c>
      <c r="AE63" s="333"/>
      <c r="AF63" s="333"/>
      <c r="AG63" s="333">
        <f t="shared" si="1"/>
        <v>-2563368.419999999</v>
      </c>
      <c r="AH63" s="330"/>
      <c r="AI63" s="330">
        <v>0</v>
      </c>
      <c r="AJ63" s="396">
        <f t="shared" si="2"/>
        <v>-2563368.419999999</v>
      </c>
      <c r="AK63" s="563"/>
      <c r="AL63" s="285">
        <f t="shared" si="3"/>
        <v>0</v>
      </c>
      <c r="AM63" s="286"/>
      <c r="AO63" s="330" t="s">
        <v>1991</v>
      </c>
    </row>
    <row r="64" spans="1:41">
      <c r="A64" s="587">
        <f t="shared" si="4"/>
        <v>61</v>
      </c>
      <c r="B64" s="330" t="s">
        <v>1643</v>
      </c>
      <c r="C64" s="330" t="s">
        <v>1995</v>
      </c>
      <c r="D64" s="330" t="s">
        <v>1704</v>
      </c>
      <c r="E64" s="330" t="s">
        <v>1996</v>
      </c>
      <c r="F64" s="330" t="s">
        <v>1647</v>
      </c>
      <c r="G64" s="562">
        <v>1114</v>
      </c>
      <c r="H64" s="562">
        <v>683.3</v>
      </c>
      <c r="I64" s="562">
        <v>795.57</v>
      </c>
      <c r="J64" s="561" t="s">
        <v>1810</v>
      </c>
      <c r="K64" s="330" t="s">
        <v>1997</v>
      </c>
      <c r="L64" s="330" t="s">
        <v>1998</v>
      </c>
      <c r="M64" s="330" t="s">
        <v>1999</v>
      </c>
      <c r="N64" s="330" t="s">
        <v>2000</v>
      </c>
      <c r="O64" s="395">
        <v>45455</v>
      </c>
      <c r="P64" s="333">
        <v>6330286</v>
      </c>
      <c r="Q64" s="330" t="s">
        <v>1653</v>
      </c>
      <c r="R64" s="562">
        <v>0</v>
      </c>
      <c r="S64" s="333">
        <v>0</v>
      </c>
      <c r="T64" s="333">
        <v>-1899085.6999999995</v>
      </c>
      <c r="U64" s="333">
        <f t="shared" si="0"/>
        <v>-1899085.6999999995</v>
      </c>
      <c r="V64" s="333">
        <v>0</v>
      </c>
      <c r="W64" s="333">
        <v>0</v>
      </c>
      <c r="X64" s="333">
        <v>0</v>
      </c>
      <c r="Y64" s="333">
        <v>0</v>
      </c>
      <c r="Z64" s="333">
        <v>0</v>
      </c>
      <c r="AA64" s="333">
        <v>0</v>
      </c>
      <c r="AB64" s="333">
        <v>0</v>
      </c>
      <c r="AC64" s="333">
        <v>0</v>
      </c>
      <c r="AD64" s="333">
        <v>0</v>
      </c>
      <c r="AE64" s="333"/>
      <c r="AF64" s="333"/>
      <c r="AG64" s="333">
        <f t="shared" si="1"/>
        <v>-1899085.6999999995</v>
      </c>
      <c r="AH64" s="330"/>
      <c r="AI64" s="330">
        <v>0</v>
      </c>
      <c r="AJ64" s="396">
        <f t="shared" si="2"/>
        <v>-1899085.6999999995</v>
      </c>
      <c r="AK64" s="563"/>
      <c r="AL64" s="285">
        <f t="shared" si="3"/>
        <v>0</v>
      </c>
      <c r="AM64" s="286"/>
      <c r="AO64" s="330" t="s">
        <v>1997</v>
      </c>
    </row>
    <row r="65" spans="1:41">
      <c r="A65" s="587">
        <f t="shared" si="4"/>
        <v>62</v>
      </c>
      <c r="B65" s="330" t="s">
        <v>1643</v>
      </c>
      <c r="C65" s="330" t="s">
        <v>2001</v>
      </c>
      <c r="D65" s="330" t="s">
        <v>1704</v>
      </c>
      <c r="E65" s="330" t="s">
        <v>2002</v>
      </c>
      <c r="F65" s="330" t="s">
        <v>1647</v>
      </c>
      <c r="G65" s="562">
        <v>1114</v>
      </c>
      <c r="H65" s="562">
        <v>683.3</v>
      </c>
      <c r="I65" s="562">
        <v>795.57</v>
      </c>
      <c r="J65" s="561" t="s">
        <v>1648</v>
      </c>
      <c r="K65" s="330" t="s">
        <v>2003</v>
      </c>
      <c r="L65" s="330" t="s">
        <v>2004</v>
      </c>
      <c r="M65" s="330" t="s">
        <v>2005</v>
      </c>
      <c r="N65" s="330" t="s">
        <v>2006</v>
      </c>
      <c r="O65" s="395">
        <v>45477</v>
      </c>
      <c r="P65" s="333">
        <v>6374953</v>
      </c>
      <c r="Q65" s="330" t="s">
        <v>1653</v>
      </c>
      <c r="R65" s="562">
        <v>0</v>
      </c>
      <c r="S65" s="333">
        <v>0</v>
      </c>
      <c r="T65" s="333">
        <v>-1872485.7</v>
      </c>
      <c r="U65" s="333">
        <f t="shared" si="0"/>
        <v>-1872485.7</v>
      </c>
      <c r="V65" s="333">
        <v>-63749.53</v>
      </c>
      <c r="W65" s="333">
        <v>0</v>
      </c>
      <c r="X65" s="333">
        <v>0</v>
      </c>
      <c r="Y65" s="333">
        <v>0</v>
      </c>
      <c r="Z65" s="333">
        <v>0</v>
      </c>
      <c r="AA65" s="333">
        <v>0</v>
      </c>
      <c r="AB65" s="333">
        <v>0</v>
      </c>
      <c r="AC65" s="333">
        <v>0</v>
      </c>
      <c r="AD65" s="333">
        <v>0</v>
      </c>
      <c r="AE65" s="333"/>
      <c r="AF65" s="333"/>
      <c r="AG65" s="333">
        <f t="shared" si="1"/>
        <v>-1936235.23</v>
      </c>
      <c r="AH65" s="330"/>
      <c r="AI65" s="330">
        <v>0</v>
      </c>
      <c r="AJ65" s="396">
        <f t="shared" si="2"/>
        <v>-1936235.23</v>
      </c>
      <c r="AK65" s="563"/>
      <c r="AL65" s="285">
        <f t="shared" si="3"/>
        <v>0</v>
      </c>
      <c r="AM65" s="286"/>
      <c r="AO65" s="330" t="s">
        <v>2003</v>
      </c>
    </row>
    <row r="66" spans="1:41">
      <c r="A66" s="587">
        <f t="shared" si="4"/>
        <v>63</v>
      </c>
      <c r="B66" s="330" t="s">
        <v>1643</v>
      </c>
      <c r="C66" s="330" t="s">
        <v>2007</v>
      </c>
      <c r="D66" s="330" t="s">
        <v>1662</v>
      </c>
      <c r="E66" s="330" t="s">
        <v>1758</v>
      </c>
      <c r="F66" s="330" t="s">
        <v>1671</v>
      </c>
      <c r="G66" s="562">
        <v>1498</v>
      </c>
      <c r="H66" s="562">
        <v>954.87</v>
      </c>
      <c r="I66" s="562">
        <v>1069.73</v>
      </c>
      <c r="J66" s="561" t="s">
        <v>1648</v>
      </c>
      <c r="K66" s="330" t="s">
        <v>2008</v>
      </c>
      <c r="L66" s="330" t="s">
        <v>2009</v>
      </c>
      <c r="M66" s="330" t="s">
        <v>2010</v>
      </c>
      <c r="N66" s="330" t="s">
        <v>12</v>
      </c>
      <c r="O66" s="395"/>
      <c r="P66" s="333">
        <v>9830286</v>
      </c>
      <c r="Q66" s="330" t="s">
        <v>1660</v>
      </c>
      <c r="R66" s="562">
        <v>0</v>
      </c>
      <c r="S66" s="333">
        <v>0</v>
      </c>
      <c r="T66" s="333">
        <v>0</v>
      </c>
      <c r="U66" s="333">
        <f t="shared" si="0"/>
        <v>0</v>
      </c>
      <c r="V66" s="333">
        <v>0</v>
      </c>
      <c r="W66" s="333">
        <v>0</v>
      </c>
      <c r="X66" s="333">
        <v>0</v>
      </c>
      <c r="Y66" s="333">
        <v>0</v>
      </c>
      <c r="Z66" s="333">
        <v>0</v>
      </c>
      <c r="AA66" s="333">
        <v>0</v>
      </c>
      <c r="AB66" s="333">
        <v>0</v>
      </c>
      <c r="AC66" s="333">
        <v>0</v>
      </c>
      <c r="AD66" s="333">
        <v>0</v>
      </c>
      <c r="AE66" s="333"/>
      <c r="AF66" s="333"/>
      <c r="AG66" s="333">
        <f t="shared" si="1"/>
        <v>0</v>
      </c>
      <c r="AH66" s="330"/>
      <c r="AI66" s="330">
        <v>0</v>
      </c>
      <c r="AJ66" s="396">
        <f t="shared" si="2"/>
        <v>0</v>
      </c>
      <c r="AK66" s="563"/>
      <c r="AL66" s="285">
        <f t="shared" si="3"/>
        <v>0</v>
      </c>
      <c r="AM66" s="286"/>
      <c r="AO66" s="330" t="s">
        <v>2008</v>
      </c>
    </row>
    <row r="67" spans="1:41">
      <c r="A67" s="587">
        <f t="shared" si="4"/>
        <v>64</v>
      </c>
      <c r="B67" s="330" t="s">
        <v>1643</v>
      </c>
      <c r="C67" s="330" t="s">
        <v>2011</v>
      </c>
      <c r="D67" s="330" t="s">
        <v>1704</v>
      </c>
      <c r="E67" s="330" t="s">
        <v>2012</v>
      </c>
      <c r="F67" s="330" t="s">
        <v>1647</v>
      </c>
      <c r="G67" s="562">
        <v>1114</v>
      </c>
      <c r="H67" s="562">
        <v>683.3</v>
      </c>
      <c r="I67" s="562">
        <v>795.57</v>
      </c>
      <c r="J67" s="561" t="s">
        <v>1648</v>
      </c>
      <c r="K67" s="330" t="s">
        <v>2013</v>
      </c>
      <c r="L67" s="330" t="s">
        <v>2014</v>
      </c>
      <c r="M67" s="330" t="s">
        <v>2015</v>
      </c>
      <c r="N67" s="330" t="s">
        <v>2016</v>
      </c>
      <c r="O67" s="395">
        <v>45454</v>
      </c>
      <c r="P67" s="333">
        <v>6535714</v>
      </c>
      <c r="Q67" s="330" t="s">
        <v>1653</v>
      </c>
      <c r="R67" s="562">
        <v>0</v>
      </c>
      <c r="S67" s="333">
        <v>0</v>
      </c>
      <c r="T67" s="333">
        <v>-2026071.4200000002</v>
      </c>
      <c r="U67" s="333">
        <f t="shared" si="0"/>
        <v>-2026071.4200000002</v>
      </c>
      <c r="V67" s="333">
        <v>2058750</v>
      </c>
      <c r="W67" s="333">
        <v>0</v>
      </c>
      <c r="X67" s="333">
        <v>0</v>
      </c>
      <c r="Y67" s="333">
        <v>0</v>
      </c>
      <c r="Z67" s="333">
        <v>0</v>
      </c>
      <c r="AA67" s="333">
        <v>0</v>
      </c>
      <c r="AB67" s="333">
        <v>0</v>
      </c>
      <c r="AC67" s="333">
        <v>-98035.719999999972</v>
      </c>
      <c r="AD67" s="333">
        <v>0</v>
      </c>
      <c r="AE67" s="333"/>
      <c r="AF67" s="333"/>
      <c r="AG67" s="333">
        <f t="shared" si="1"/>
        <v>-65357.14000000013</v>
      </c>
      <c r="AH67" s="330"/>
      <c r="AI67" s="330">
        <v>98035.72</v>
      </c>
      <c r="AJ67" s="396">
        <f t="shared" si="2"/>
        <v>-65357.14000000013</v>
      </c>
      <c r="AK67" s="563"/>
      <c r="AL67" s="285">
        <f t="shared" ref="AL67:AL71" si="9">+AC67+AI67</f>
        <v>0</v>
      </c>
      <c r="AM67" s="286"/>
      <c r="AO67" s="330" t="s">
        <v>2013</v>
      </c>
    </row>
    <row r="68" spans="1:41">
      <c r="A68" s="587">
        <f t="shared" si="4"/>
        <v>65</v>
      </c>
      <c r="B68" s="330" t="s">
        <v>1643</v>
      </c>
      <c r="C68" s="330" t="s">
        <v>2017</v>
      </c>
      <c r="D68" s="330" t="s">
        <v>1746</v>
      </c>
      <c r="E68" s="330" t="s">
        <v>1874</v>
      </c>
      <c r="F68" s="330" t="s">
        <v>1786</v>
      </c>
      <c r="G68" s="562">
        <v>1265</v>
      </c>
      <c r="H68" s="562">
        <v>813.33</v>
      </c>
      <c r="I68" s="562">
        <v>903.31</v>
      </c>
      <c r="J68" s="561" t="s">
        <v>1648</v>
      </c>
      <c r="K68" s="330" t="s">
        <v>2018</v>
      </c>
      <c r="L68" s="330" t="s">
        <v>2019</v>
      </c>
      <c r="M68" s="330" t="s">
        <v>2020</v>
      </c>
      <c r="N68" s="330" t="s">
        <v>2021</v>
      </c>
      <c r="O68" s="395">
        <v>45449</v>
      </c>
      <c r="P68" s="333">
        <v>7202130</v>
      </c>
      <c r="Q68" s="330" t="s">
        <v>1653</v>
      </c>
      <c r="R68" s="562">
        <v>0</v>
      </c>
      <c r="S68" s="333">
        <v>0</v>
      </c>
      <c r="T68" s="333">
        <v>-2128040.0400000005</v>
      </c>
      <c r="U68" s="333">
        <f t="shared" ref="U68:U131" si="10">SUM(R68:T68)</f>
        <v>-2128040.0400000005</v>
      </c>
      <c r="V68" s="333">
        <v>-49000</v>
      </c>
      <c r="W68" s="333">
        <v>0</v>
      </c>
      <c r="X68" s="333">
        <v>0</v>
      </c>
      <c r="Y68" s="333">
        <v>0</v>
      </c>
      <c r="Z68" s="333">
        <v>0</v>
      </c>
      <c r="AA68" s="333">
        <v>0</v>
      </c>
      <c r="AB68" s="333">
        <v>0</v>
      </c>
      <c r="AC68" s="333">
        <v>-2428</v>
      </c>
      <c r="AD68" s="333">
        <v>0</v>
      </c>
      <c r="AE68" s="333"/>
      <c r="AF68" s="333"/>
      <c r="AG68" s="333">
        <f t="shared" si="1"/>
        <v>-2179468.0400000005</v>
      </c>
      <c r="AH68" s="330"/>
      <c r="AI68" s="330">
        <v>2428</v>
      </c>
      <c r="AJ68" s="396">
        <f t="shared" si="2"/>
        <v>-2179468.0400000005</v>
      </c>
      <c r="AK68" s="563"/>
      <c r="AL68" s="285">
        <f t="shared" si="9"/>
        <v>0</v>
      </c>
      <c r="AM68" s="286"/>
      <c r="AO68" s="330" t="s">
        <v>2018</v>
      </c>
    </row>
    <row r="69" spans="1:41">
      <c r="A69" s="587">
        <f t="shared" si="4"/>
        <v>66</v>
      </c>
      <c r="B69" s="330" t="s">
        <v>1643</v>
      </c>
      <c r="C69" s="330" t="s">
        <v>2022</v>
      </c>
      <c r="D69" s="330" t="s">
        <v>1655</v>
      </c>
      <c r="E69" s="330" t="s">
        <v>2023</v>
      </c>
      <c r="F69" s="330" t="s">
        <v>1647</v>
      </c>
      <c r="G69" s="562">
        <v>1012</v>
      </c>
      <c r="H69" s="562">
        <v>653.59</v>
      </c>
      <c r="I69" s="562">
        <v>723.02</v>
      </c>
      <c r="J69" s="561" t="s">
        <v>1679</v>
      </c>
      <c r="K69" s="330" t="s">
        <v>2024</v>
      </c>
      <c r="L69" s="330" t="s">
        <v>2025</v>
      </c>
      <c r="M69" s="330" t="s">
        <v>2026</v>
      </c>
      <c r="N69" s="330" t="s">
        <v>12</v>
      </c>
      <c r="O69" s="395"/>
      <c r="P69" s="333">
        <v>6030286</v>
      </c>
      <c r="Q69" s="330" t="s">
        <v>1660</v>
      </c>
      <c r="R69" s="562">
        <v>0</v>
      </c>
      <c r="S69" s="333">
        <v>0</v>
      </c>
      <c r="T69" s="333">
        <v>-1054989</v>
      </c>
      <c r="U69" s="333">
        <f t="shared" si="10"/>
        <v>-1054989</v>
      </c>
      <c r="V69" s="333">
        <v>0</v>
      </c>
      <c r="W69" s="333">
        <v>0</v>
      </c>
      <c r="X69" s="333">
        <v>0</v>
      </c>
      <c r="Y69" s="333">
        <v>0</v>
      </c>
      <c r="Z69" s="333">
        <v>0</v>
      </c>
      <c r="AA69" s="333">
        <v>0</v>
      </c>
      <c r="AB69" s="333">
        <v>0</v>
      </c>
      <c r="AC69" s="333">
        <v>-24361</v>
      </c>
      <c r="AD69" s="333">
        <v>1079350</v>
      </c>
      <c r="AE69" s="333"/>
      <c r="AF69" s="333"/>
      <c r="AG69" s="333">
        <f t="shared" ref="AG69:AG132" si="11">SUM(U69:AF69)</f>
        <v>0</v>
      </c>
      <c r="AH69" s="330"/>
      <c r="AI69" s="330">
        <v>24361</v>
      </c>
      <c r="AJ69" s="396">
        <f t="shared" ref="AJ69:AJ132" si="12">SUM(U69:AE69)</f>
        <v>0</v>
      </c>
      <c r="AK69" s="563"/>
      <c r="AL69" s="285">
        <f t="shared" si="9"/>
        <v>0</v>
      </c>
      <c r="AM69" s="286"/>
      <c r="AO69" s="330" t="s">
        <v>2024</v>
      </c>
    </row>
    <row r="70" spans="1:41">
      <c r="A70" s="587">
        <f t="shared" ref="A70:A133" si="13">A69+1</f>
        <v>67</v>
      </c>
      <c r="B70" s="330" t="s">
        <v>1643</v>
      </c>
      <c r="C70" s="330" t="s">
        <v>2027</v>
      </c>
      <c r="D70" s="330" t="s">
        <v>1645</v>
      </c>
      <c r="E70" s="330" t="s">
        <v>2028</v>
      </c>
      <c r="F70" s="330" t="s">
        <v>1647</v>
      </c>
      <c r="G70" s="562">
        <v>1012</v>
      </c>
      <c r="H70" s="562">
        <v>653.59</v>
      </c>
      <c r="I70" s="562">
        <v>723.02</v>
      </c>
      <c r="J70" s="561" t="s">
        <v>1648</v>
      </c>
      <c r="K70" s="330" t="s">
        <v>2029</v>
      </c>
      <c r="L70" s="330" t="s">
        <v>2030</v>
      </c>
      <c r="M70" s="330" t="s">
        <v>2031</v>
      </c>
      <c r="N70" s="330" t="s">
        <v>2032</v>
      </c>
      <c r="O70" s="395">
        <v>45454</v>
      </c>
      <c r="P70" s="333">
        <v>5714010</v>
      </c>
      <c r="Q70" s="330" t="s">
        <v>1653</v>
      </c>
      <c r="R70" s="562">
        <v>0</v>
      </c>
      <c r="S70" s="333">
        <v>0</v>
      </c>
      <c r="T70" s="333">
        <v>-1699914.8400000003</v>
      </c>
      <c r="U70" s="333">
        <f t="shared" si="10"/>
        <v>-1699914.8400000003</v>
      </c>
      <c r="V70" s="333">
        <v>0</v>
      </c>
      <c r="W70" s="333">
        <v>0</v>
      </c>
      <c r="X70" s="333">
        <v>0</v>
      </c>
      <c r="Y70" s="333">
        <v>0</v>
      </c>
      <c r="Z70" s="333">
        <v>0</v>
      </c>
      <c r="AA70" s="333">
        <v>0</v>
      </c>
      <c r="AB70" s="333">
        <v>0</v>
      </c>
      <c r="AC70" s="333">
        <v>-16715</v>
      </c>
      <c r="AD70" s="333">
        <v>0</v>
      </c>
      <c r="AE70" s="333"/>
      <c r="AF70" s="333"/>
      <c r="AG70" s="333">
        <f t="shared" si="11"/>
        <v>-1716629.8400000003</v>
      </c>
      <c r="AH70" s="330"/>
      <c r="AI70" s="330">
        <v>16715</v>
      </c>
      <c r="AJ70" s="396">
        <f t="shared" si="12"/>
        <v>-1716629.8400000003</v>
      </c>
      <c r="AK70" s="563"/>
      <c r="AL70" s="285">
        <f t="shared" si="9"/>
        <v>0</v>
      </c>
      <c r="AM70" s="286"/>
      <c r="AO70" s="330" t="s">
        <v>2029</v>
      </c>
    </row>
    <row r="71" spans="1:41">
      <c r="A71" s="587">
        <f t="shared" si="13"/>
        <v>68</v>
      </c>
      <c r="B71" s="330" t="s">
        <v>1643</v>
      </c>
      <c r="C71" s="330" t="s">
        <v>2033</v>
      </c>
      <c r="D71" s="330" t="s">
        <v>1677</v>
      </c>
      <c r="E71" s="330" t="s">
        <v>1978</v>
      </c>
      <c r="F71" s="330" t="s">
        <v>1647</v>
      </c>
      <c r="G71" s="562">
        <v>1012</v>
      </c>
      <c r="H71" s="562">
        <v>653.59</v>
      </c>
      <c r="I71" s="562">
        <v>723.02</v>
      </c>
      <c r="J71" s="561" t="s">
        <v>1648</v>
      </c>
      <c r="K71" s="330" t="s">
        <v>2034</v>
      </c>
      <c r="L71" s="330" t="s">
        <v>2035</v>
      </c>
      <c r="M71" s="330" t="s">
        <v>2036</v>
      </c>
      <c r="N71" s="330" t="s">
        <v>12</v>
      </c>
      <c r="O71" s="395"/>
      <c r="P71" s="333">
        <v>6008857</v>
      </c>
      <c r="Q71" s="330" t="s">
        <v>1660</v>
      </c>
      <c r="R71" s="562">
        <v>0</v>
      </c>
      <c r="S71" s="333">
        <v>0</v>
      </c>
      <c r="T71" s="333">
        <v>-600700</v>
      </c>
      <c r="U71" s="333">
        <f t="shared" si="10"/>
        <v>-600700</v>
      </c>
      <c r="V71" s="333">
        <v>0</v>
      </c>
      <c r="W71" s="333">
        <v>0</v>
      </c>
      <c r="X71" s="333">
        <v>0</v>
      </c>
      <c r="Y71" s="333">
        <v>0</v>
      </c>
      <c r="Z71" s="333">
        <v>0</v>
      </c>
      <c r="AA71" s="333">
        <v>0</v>
      </c>
      <c r="AB71" s="333">
        <v>0</v>
      </c>
      <c r="AC71" s="333">
        <v>0</v>
      </c>
      <c r="AD71" s="333">
        <v>600700</v>
      </c>
      <c r="AE71" s="333"/>
      <c r="AF71" s="333"/>
      <c r="AG71" s="333">
        <f t="shared" si="11"/>
        <v>0</v>
      </c>
      <c r="AH71" s="330"/>
      <c r="AI71" s="330">
        <v>0</v>
      </c>
      <c r="AJ71" s="396">
        <f t="shared" si="12"/>
        <v>0</v>
      </c>
      <c r="AK71" s="563"/>
      <c r="AL71" s="285">
        <f t="shared" si="9"/>
        <v>0</v>
      </c>
      <c r="AM71" s="286"/>
      <c r="AO71" s="330" t="s">
        <v>2034</v>
      </c>
    </row>
    <row r="72" spans="1:41">
      <c r="A72" s="587">
        <f t="shared" si="13"/>
        <v>69</v>
      </c>
      <c r="B72" s="330" t="s">
        <v>1643</v>
      </c>
      <c r="C72" s="330" t="s">
        <v>2037</v>
      </c>
      <c r="D72" s="330" t="s">
        <v>1662</v>
      </c>
      <c r="E72" s="330" t="s">
        <v>2038</v>
      </c>
      <c r="F72" s="330" t="s">
        <v>1786</v>
      </c>
      <c r="G72" s="562">
        <v>1265</v>
      </c>
      <c r="H72" s="562">
        <v>813.33</v>
      </c>
      <c r="I72" s="562">
        <v>903.31</v>
      </c>
      <c r="J72" s="561" t="s">
        <v>1810</v>
      </c>
      <c r="K72" s="330" t="s">
        <v>2039</v>
      </c>
      <c r="L72" s="330" t="s">
        <v>2040</v>
      </c>
      <c r="M72" s="330" t="s">
        <v>2041</v>
      </c>
      <c r="N72" s="330" t="s">
        <v>2042</v>
      </c>
      <c r="O72" s="395">
        <v>45443</v>
      </c>
      <c r="P72" s="333">
        <v>6848191</v>
      </c>
      <c r="Q72" s="330" t="s">
        <v>1653</v>
      </c>
      <c r="R72" s="562">
        <v>0</v>
      </c>
      <c r="S72" s="333">
        <v>0</v>
      </c>
      <c r="T72" s="333">
        <v>-2058866.12</v>
      </c>
      <c r="U72" s="333">
        <f t="shared" si="10"/>
        <v>-2058866.12</v>
      </c>
      <c r="V72" s="333">
        <v>0</v>
      </c>
      <c r="W72" s="333">
        <v>0</v>
      </c>
      <c r="X72" s="333">
        <v>0</v>
      </c>
      <c r="Y72" s="333">
        <v>0</v>
      </c>
      <c r="Z72" s="333">
        <v>0</v>
      </c>
      <c r="AA72" s="333">
        <v>0</v>
      </c>
      <c r="AB72" s="333">
        <v>0</v>
      </c>
      <c r="AC72" s="333">
        <v>0</v>
      </c>
      <c r="AD72" s="333">
        <v>0</v>
      </c>
      <c r="AE72" s="333"/>
      <c r="AF72" s="333"/>
      <c r="AG72" s="333">
        <f t="shared" si="11"/>
        <v>-2058866.12</v>
      </c>
      <c r="AH72" s="330"/>
      <c r="AI72" s="330">
        <v>0</v>
      </c>
      <c r="AJ72" s="396">
        <f t="shared" si="12"/>
        <v>-2058866.12</v>
      </c>
      <c r="AK72" s="563"/>
      <c r="AL72" s="285">
        <f t="shared" ref="AL72:AL135" si="14">+AC72-AI72</f>
        <v>0</v>
      </c>
      <c r="AM72" s="286"/>
      <c r="AO72" s="330" t="s">
        <v>2039</v>
      </c>
    </row>
    <row r="73" spans="1:41">
      <c r="A73" s="587">
        <f t="shared" si="13"/>
        <v>70</v>
      </c>
      <c r="B73" s="330" t="s">
        <v>1643</v>
      </c>
      <c r="C73" s="330" t="s">
        <v>2043</v>
      </c>
      <c r="D73" s="330" t="s">
        <v>1746</v>
      </c>
      <c r="E73" s="330" t="s">
        <v>2044</v>
      </c>
      <c r="F73" s="330" t="s">
        <v>1647</v>
      </c>
      <c r="G73" s="562">
        <v>1012</v>
      </c>
      <c r="H73" s="562">
        <v>653.59</v>
      </c>
      <c r="I73" s="562">
        <v>723.02</v>
      </c>
      <c r="J73" s="561" t="s">
        <v>1810</v>
      </c>
      <c r="K73" s="330" t="s">
        <v>2045</v>
      </c>
      <c r="L73" s="330" t="s">
        <v>2046</v>
      </c>
      <c r="M73" s="330" t="s">
        <v>2047</v>
      </c>
      <c r="N73" s="330" t="s">
        <v>2048</v>
      </c>
      <c r="O73" s="395">
        <v>45429</v>
      </c>
      <c r="P73" s="333">
        <v>5714010</v>
      </c>
      <c r="Q73" s="330" t="s">
        <v>1653</v>
      </c>
      <c r="R73" s="562">
        <v>0</v>
      </c>
      <c r="S73" s="333">
        <v>0</v>
      </c>
      <c r="T73" s="333">
        <v>-1417074.8399999999</v>
      </c>
      <c r="U73" s="333">
        <f t="shared" si="10"/>
        <v>-1417074.8399999999</v>
      </c>
      <c r="V73" s="333">
        <v>-289986</v>
      </c>
      <c r="W73" s="333">
        <v>0</v>
      </c>
      <c r="X73" s="333">
        <v>0</v>
      </c>
      <c r="Y73" s="333">
        <v>0</v>
      </c>
      <c r="Z73" s="333">
        <v>0</v>
      </c>
      <c r="AA73" s="333">
        <v>0</v>
      </c>
      <c r="AB73" s="333">
        <v>0</v>
      </c>
      <c r="AC73" s="333">
        <v>0</v>
      </c>
      <c r="AD73" s="333">
        <v>0</v>
      </c>
      <c r="AE73" s="333"/>
      <c r="AF73" s="333"/>
      <c r="AG73" s="333">
        <f t="shared" si="11"/>
        <v>-1707060.8399999999</v>
      </c>
      <c r="AH73" s="330"/>
      <c r="AI73" s="330">
        <v>0</v>
      </c>
      <c r="AJ73" s="396">
        <f t="shared" si="12"/>
        <v>-1707060.8399999999</v>
      </c>
      <c r="AK73" s="563"/>
      <c r="AL73" s="285">
        <f t="shared" si="14"/>
        <v>0</v>
      </c>
      <c r="AM73" s="286"/>
      <c r="AO73" s="330" t="s">
        <v>2045</v>
      </c>
    </row>
    <row r="74" spans="1:41">
      <c r="A74" s="587">
        <f t="shared" si="13"/>
        <v>71</v>
      </c>
      <c r="B74" s="330" t="s">
        <v>1643</v>
      </c>
      <c r="C74" s="330" t="s">
        <v>2049</v>
      </c>
      <c r="D74" s="330" t="s">
        <v>1645</v>
      </c>
      <c r="E74" s="330" t="s">
        <v>2050</v>
      </c>
      <c r="F74" s="330" t="s">
        <v>1671</v>
      </c>
      <c r="G74" s="562">
        <v>1498</v>
      </c>
      <c r="H74" s="562">
        <v>954.87</v>
      </c>
      <c r="I74" s="562">
        <v>1069.73</v>
      </c>
      <c r="J74" s="561" t="s">
        <v>1648</v>
      </c>
      <c r="K74" s="330" t="s">
        <v>2051</v>
      </c>
      <c r="L74" s="330" t="s">
        <v>2052</v>
      </c>
      <c r="M74" s="330" t="s">
        <v>2053</v>
      </c>
      <c r="N74" s="330" t="s">
        <v>2054</v>
      </c>
      <c r="O74" s="395">
        <v>45439</v>
      </c>
      <c r="P74" s="333">
        <v>8607143</v>
      </c>
      <c r="Q74" s="330" t="s">
        <v>1653</v>
      </c>
      <c r="R74" s="562">
        <v>0</v>
      </c>
      <c r="S74" s="333">
        <v>0</v>
      </c>
      <c r="T74" s="333">
        <v>-2646697.2800000003</v>
      </c>
      <c r="U74" s="333">
        <f t="shared" si="10"/>
        <v>-2646697.2800000003</v>
      </c>
      <c r="V74" s="333">
        <v>0</v>
      </c>
      <c r="W74" s="333">
        <v>0</v>
      </c>
      <c r="X74" s="333">
        <v>0</v>
      </c>
      <c r="Y74" s="333">
        <v>0</v>
      </c>
      <c r="Z74" s="333">
        <v>0</v>
      </c>
      <c r="AA74" s="333">
        <v>0</v>
      </c>
      <c r="AB74" s="333">
        <v>0</v>
      </c>
      <c r="AC74" s="333">
        <v>-21517.8</v>
      </c>
      <c r="AD74" s="333">
        <v>0</v>
      </c>
      <c r="AE74" s="333"/>
      <c r="AF74" s="333"/>
      <c r="AG74" s="333">
        <f t="shared" si="11"/>
        <v>-2668215.08</v>
      </c>
      <c r="AH74" s="330"/>
      <c r="AI74" s="330">
        <v>21517.800000000003</v>
      </c>
      <c r="AJ74" s="396">
        <f t="shared" si="12"/>
        <v>-2668215.08</v>
      </c>
      <c r="AK74" s="563"/>
      <c r="AL74" s="285">
        <f>+AC74+AI74</f>
        <v>0</v>
      </c>
      <c r="AM74" s="286"/>
      <c r="AO74" s="330" t="s">
        <v>2051</v>
      </c>
    </row>
    <row r="75" spans="1:41">
      <c r="A75" s="587">
        <f t="shared" si="13"/>
        <v>72</v>
      </c>
      <c r="B75" s="330" t="s">
        <v>1643</v>
      </c>
      <c r="C75" s="330" t="s">
        <v>2055</v>
      </c>
      <c r="D75" s="330" t="s">
        <v>1662</v>
      </c>
      <c r="E75" s="330" t="s">
        <v>2056</v>
      </c>
      <c r="F75" s="330" t="s">
        <v>1671</v>
      </c>
      <c r="G75" s="562">
        <v>1498</v>
      </c>
      <c r="H75" s="562">
        <v>954.87</v>
      </c>
      <c r="I75" s="562">
        <v>1069.73</v>
      </c>
      <c r="J75" s="561" t="s">
        <v>1648</v>
      </c>
      <c r="K75" s="330" t="s">
        <v>2057</v>
      </c>
      <c r="L75" s="330" t="s">
        <v>2058</v>
      </c>
      <c r="M75" s="330" t="s">
        <v>2059</v>
      </c>
      <c r="N75" s="330" t="s">
        <v>2060</v>
      </c>
      <c r="O75" s="395">
        <v>45446</v>
      </c>
      <c r="P75" s="333">
        <v>8603809</v>
      </c>
      <c r="Q75" s="330" t="s">
        <v>1653</v>
      </c>
      <c r="R75" s="562">
        <v>0</v>
      </c>
      <c r="S75" s="333">
        <v>0</v>
      </c>
      <c r="T75" s="333">
        <v>-2530141.86</v>
      </c>
      <c r="U75" s="333">
        <f t="shared" si="10"/>
        <v>-2530141.86</v>
      </c>
      <c r="V75" s="333">
        <v>-48572</v>
      </c>
      <c r="W75" s="333">
        <v>0</v>
      </c>
      <c r="X75" s="333">
        <v>0</v>
      </c>
      <c r="Y75" s="333">
        <v>0</v>
      </c>
      <c r="Z75" s="333">
        <v>0</v>
      </c>
      <c r="AA75" s="333">
        <v>0</v>
      </c>
      <c r="AB75" s="333">
        <v>0</v>
      </c>
      <c r="AC75" s="333">
        <v>4.000000001542503E-2</v>
      </c>
      <c r="AD75" s="333">
        <v>0</v>
      </c>
      <c r="AE75" s="333"/>
      <c r="AF75" s="333"/>
      <c r="AG75" s="333">
        <f t="shared" si="11"/>
        <v>-2578713.8199999998</v>
      </c>
      <c r="AH75" s="330"/>
      <c r="AI75" s="330">
        <v>-3.999999999996362E-2</v>
      </c>
      <c r="AJ75" s="396">
        <f t="shared" si="12"/>
        <v>-2578713.8199999998</v>
      </c>
      <c r="AK75" s="563"/>
      <c r="AL75" s="285">
        <f t="shared" si="14"/>
        <v>8.000000001538865E-2</v>
      </c>
      <c r="AM75" s="286"/>
      <c r="AO75" s="330" t="s">
        <v>2057</v>
      </c>
    </row>
    <row r="76" spans="1:41">
      <c r="A76" s="587">
        <f t="shared" si="13"/>
        <v>73</v>
      </c>
      <c r="B76" s="330" t="s">
        <v>1643</v>
      </c>
      <c r="C76" s="330" t="s">
        <v>2061</v>
      </c>
      <c r="D76" s="330" t="s">
        <v>1645</v>
      </c>
      <c r="E76" s="330" t="s">
        <v>2062</v>
      </c>
      <c r="F76" s="330" t="s">
        <v>1671</v>
      </c>
      <c r="G76" s="562">
        <v>1498</v>
      </c>
      <c r="H76" s="562">
        <v>954.87</v>
      </c>
      <c r="I76" s="562">
        <v>1069.73</v>
      </c>
      <c r="J76" s="561" t="s">
        <v>1648</v>
      </c>
      <c r="K76" s="330" t="s">
        <v>2063</v>
      </c>
      <c r="L76" s="330" t="s">
        <v>2064</v>
      </c>
      <c r="M76" s="330" t="s">
        <v>2065</v>
      </c>
      <c r="N76" s="330" t="s">
        <v>2066</v>
      </c>
      <c r="O76" s="395"/>
      <c r="P76" s="333">
        <v>8626273</v>
      </c>
      <c r="Q76" s="330" t="s">
        <v>1660</v>
      </c>
      <c r="R76" s="562">
        <v>0</v>
      </c>
      <c r="S76" s="333">
        <v>0</v>
      </c>
      <c r="T76" s="333">
        <v>0</v>
      </c>
      <c r="U76" s="333">
        <f t="shared" si="10"/>
        <v>0</v>
      </c>
      <c r="V76" s="333">
        <v>0</v>
      </c>
      <c r="W76" s="333">
        <v>0</v>
      </c>
      <c r="X76" s="333">
        <v>0</v>
      </c>
      <c r="Y76" s="333">
        <v>0</v>
      </c>
      <c r="Z76" s="333">
        <v>0</v>
      </c>
      <c r="AA76" s="333">
        <v>0</v>
      </c>
      <c r="AB76" s="333">
        <v>0</v>
      </c>
      <c r="AC76" s="333">
        <v>-57348.4</v>
      </c>
      <c r="AD76" s="333">
        <v>0</v>
      </c>
      <c r="AE76" s="333"/>
      <c r="AF76" s="333"/>
      <c r="AG76" s="333">
        <f t="shared" si="11"/>
        <v>-57348.4</v>
      </c>
      <c r="AH76" s="330"/>
      <c r="AI76" s="330">
        <v>57348.4</v>
      </c>
      <c r="AJ76" s="396">
        <f t="shared" si="12"/>
        <v>-57348.4</v>
      </c>
      <c r="AK76" s="563"/>
      <c r="AL76" s="285">
        <f t="shared" ref="AL76:AL78" si="15">+AC76+AI76</f>
        <v>0</v>
      </c>
      <c r="AM76" s="286"/>
      <c r="AO76" s="330" t="s">
        <v>2063</v>
      </c>
    </row>
    <row r="77" spans="1:41">
      <c r="A77" s="587">
        <f t="shared" si="13"/>
        <v>74</v>
      </c>
      <c r="B77" s="330" t="s">
        <v>1643</v>
      </c>
      <c r="C77" s="330" t="s">
        <v>2067</v>
      </c>
      <c r="D77" s="330" t="s">
        <v>1662</v>
      </c>
      <c r="E77" s="330" t="s">
        <v>1816</v>
      </c>
      <c r="F77" s="330" t="s">
        <v>1671</v>
      </c>
      <c r="G77" s="562">
        <v>1375</v>
      </c>
      <c r="H77" s="562">
        <v>876.73</v>
      </c>
      <c r="I77" s="562">
        <v>982.22</v>
      </c>
      <c r="J77" s="561" t="s">
        <v>1648</v>
      </c>
      <c r="K77" s="330" t="s">
        <v>2068</v>
      </c>
      <c r="L77" s="330" t="s">
        <v>2069</v>
      </c>
      <c r="M77" s="330" t="s">
        <v>2070</v>
      </c>
      <c r="N77" s="330" t="s">
        <v>2071</v>
      </c>
      <c r="O77" s="395">
        <v>45455</v>
      </c>
      <c r="P77" s="333">
        <v>7741048</v>
      </c>
      <c r="Q77" s="330" t="s">
        <v>1653</v>
      </c>
      <c r="R77" s="562">
        <v>0</v>
      </c>
      <c r="S77" s="333">
        <v>0</v>
      </c>
      <c r="T77" s="333">
        <v>-1815170.76</v>
      </c>
      <c r="U77" s="333">
        <f t="shared" si="10"/>
        <v>-1815170.76</v>
      </c>
      <c r="V77" s="333">
        <v>-500000</v>
      </c>
      <c r="W77" s="333">
        <v>0</v>
      </c>
      <c r="X77" s="333">
        <v>0</v>
      </c>
      <c r="Y77" s="333">
        <v>0</v>
      </c>
      <c r="Z77" s="333">
        <v>0</v>
      </c>
      <c r="AA77" s="333">
        <v>0</v>
      </c>
      <c r="AB77" s="333">
        <v>0</v>
      </c>
      <c r="AC77" s="333">
        <v>0</v>
      </c>
      <c r="AD77" s="333">
        <v>0</v>
      </c>
      <c r="AE77" s="333"/>
      <c r="AF77" s="333"/>
      <c r="AG77" s="333">
        <f t="shared" si="11"/>
        <v>-2315170.7599999998</v>
      </c>
      <c r="AH77" s="330"/>
      <c r="AI77" s="330">
        <v>0</v>
      </c>
      <c r="AJ77" s="396">
        <f t="shared" si="12"/>
        <v>-2315170.7599999998</v>
      </c>
      <c r="AK77" s="563"/>
      <c r="AL77" s="285">
        <f t="shared" si="15"/>
        <v>0</v>
      </c>
      <c r="AM77" s="286"/>
      <c r="AO77" s="330" t="s">
        <v>2068</v>
      </c>
    </row>
    <row r="78" spans="1:41">
      <c r="A78" s="587">
        <f t="shared" si="13"/>
        <v>75</v>
      </c>
      <c r="B78" s="330" t="s">
        <v>1643</v>
      </c>
      <c r="C78" s="330" t="s">
        <v>2072</v>
      </c>
      <c r="D78" s="330" t="s">
        <v>1662</v>
      </c>
      <c r="E78" s="330" t="s">
        <v>2073</v>
      </c>
      <c r="F78" s="330" t="s">
        <v>1647</v>
      </c>
      <c r="G78" s="562">
        <v>1114</v>
      </c>
      <c r="H78" s="562">
        <v>683.3</v>
      </c>
      <c r="I78" s="562">
        <v>795.57</v>
      </c>
      <c r="J78" s="561" t="s">
        <v>1648</v>
      </c>
      <c r="K78" s="330" t="s">
        <v>2074</v>
      </c>
      <c r="L78" s="330" t="s">
        <v>2075</v>
      </c>
      <c r="M78" s="330" t="s">
        <v>2076</v>
      </c>
      <c r="N78" s="330" t="s">
        <v>2077</v>
      </c>
      <c r="O78" s="395">
        <v>45443</v>
      </c>
      <c r="P78" s="333">
        <v>6287368</v>
      </c>
      <c r="Q78" s="330" t="s">
        <v>1660</v>
      </c>
      <c r="R78" s="562">
        <v>0</v>
      </c>
      <c r="S78" s="333">
        <v>0</v>
      </c>
      <c r="T78" s="333">
        <v>-1674595.3199999998</v>
      </c>
      <c r="U78" s="333">
        <f t="shared" si="10"/>
        <v>-1674595.3199999998</v>
      </c>
      <c r="V78" s="333">
        <v>0</v>
      </c>
      <c r="W78" s="333">
        <v>0</v>
      </c>
      <c r="X78" s="333">
        <v>0</v>
      </c>
      <c r="Y78" s="333">
        <v>0</v>
      </c>
      <c r="Z78" s="333">
        <v>0</v>
      </c>
      <c r="AA78" s="333">
        <v>0</v>
      </c>
      <c r="AB78" s="333">
        <v>0</v>
      </c>
      <c r="AC78" s="333">
        <v>-101452.52000000025</v>
      </c>
      <c r="AD78" s="333">
        <v>1737469</v>
      </c>
      <c r="AE78" s="333"/>
      <c r="AF78" s="333"/>
      <c r="AG78" s="333">
        <f t="shared" si="11"/>
        <v>-38578.840000000084</v>
      </c>
      <c r="AH78" s="330"/>
      <c r="AI78" s="330">
        <v>101452.51999999999</v>
      </c>
      <c r="AJ78" s="396">
        <f t="shared" si="12"/>
        <v>-38578.840000000084</v>
      </c>
      <c r="AK78" s="563"/>
      <c r="AL78" s="285">
        <f t="shared" si="15"/>
        <v>-2.6193447411060333E-10</v>
      </c>
      <c r="AM78" s="286"/>
      <c r="AO78" s="330" t="s">
        <v>2074</v>
      </c>
    </row>
    <row r="79" spans="1:41">
      <c r="A79" s="587">
        <f t="shared" si="13"/>
        <v>76</v>
      </c>
      <c r="B79" s="330" t="s">
        <v>1643</v>
      </c>
      <c r="C79" s="330" t="s">
        <v>2078</v>
      </c>
      <c r="D79" s="330" t="s">
        <v>1746</v>
      </c>
      <c r="E79" s="330" t="s">
        <v>2079</v>
      </c>
      <c r="F79" s="330" t="s">
        <v>1671</v>
      </c>
      <c r="G79" s="562">
        <v>1375</v>
      </c>
      <c r="H79" s="562">
        <v>876.73</v>
      </c>
      <c r="I79" s="562">
        <v>982.22</v>
      </c>
      <c r="J79" s="561" t="s">
        <v>1648</v>
      </c>
      <c r="K79" s="330" t="s">
        <v>2080</v>
      </c>
      <c r="L79" s="330" t="s">
        <v>2081</v>
      </c>
      <c r="M79" s="330" t="s">
        <v>2082</v>
      </c>
      <c r="N79" s="330" t="s">
        <v>2083</v>
      </c>
      <c r="O79" s="395">
        <v>45462</v>
      </c>
      <c r="P79" s="333">
        <v>7678571</v>
      </c>
      <c r="Q79" s="330" t="s">
        <v>1653</v>
      </c>
      <c r="R79" s="562">
        <v>0</v>
      </c>
      <c r="S79" s="333">
        <v>0</v>
      </c>
      <c r="T79" s="333">
        <v>-2303571.13</v>
      </c>
      <c r="U79" s="333">
        <f t="shared" si="10"/>
        <v>-2303571.13</v>
      </c>
      <c r="V79" s="333">
        <v>0</v>
      </c>
      <c r="W79" s="333">
        <v>0</v>
      </c>
      <c r="X79" s="333">
        <v>0</v>
      </c>
      <c r="Y79" s="333">
        <v>0</v>
      </c>
      <c r="Z79" s="333">
        <v>0</v>
      </c>
      <c r="AA79" s="333">
        <v>0</v>
      </c>
      <c r="AB79" s="333">
        <v>0</v>
      </c>
      <c r="AC79" s="333">
        <v>0</v>
      </c>
      <c r="AD79" s="333">
        <v>0</v>
      </c>
      <c r="AE79" s="333"/>
      <c r="AF79" s="333"/>
      <c r="AG79" s="333">
        <f t="shared" si="11"/>
        <v>-2303571.13</v>
      </c>
      <c r="AH79" s="330"/>
      <c r="AI79" s="330">
        <v>0</v>
      </c>
      <c r="AJ79" s="396">
        <f t="shared" si="12"/>
        <v>-2303571.13</v>
      </c>
      <c r="AK79" s="563"/>
      <c r="AL79" s="285">
        <f t="shared" si="14"/>
        <v>0</v>
      </c>
      <c r="AM79" s="286"/>
      <c r="AO79" s="330" t="s">
        <v>2080</v>
      </c>
    </row>
    <row r="80" spans="1:41">
      <c r="A80" s="587">
        <f t="shared" si="13"/>
        <v>77</v>
      </c>
      <c r="B80" s="330" t="s">
        <v>1643</v>
      </c>
      <c r="C80" s="330" t="s">
        <v>2084</v>
      </c>
      <c r="D80" s="330" t="s">
        <v>1645</v>
      </c>
      <c r="E80" s="330" t="s">
        <v>2085</v>
      </c>
      <c r="F80" s="330" t="s">
        <v>1671</v>
      </c>
      <c r="G80" s="562">
        <v>1375</v>
      </c>
      <c r="H80" s="562">
        <v>876.73</v>
      </c>
      <c r="I80" s="562">
        <v>982.22</v>
      </c>
      <c r="J80" s="561" t="s">
        <v>1648</v>
      </c>
      <c r="K80" s="330" t="s">
        <v>2086</v>
      </c>
      <c r="L80" s="330" t="s">
        <v>2087</v>
      </c>
      <c r="M80" s="330" t="s">
        <v>2088</v>
      </c>
      <c r="N80" s="330" t="s">
        <v>2089</v>
      </c>
      <c r="O80" s="395">
        <v>45435</v>
      </c>
      <c r="P80" s="333">
        <v>7762445</v>
      </c>
      <c r="Q80" s="330" t="s">
        <v>1653</v>
      </c>
      <c r="R80" s="562">
        <v>0</v>
      </c>
      <c r="S80" s="333">
        <v>0</v>
      </c>
      <c r="T80" s="333">
        <v>-2399213.3200000003</v>
      </c>
      <c r="U80" s="333">
        <f t="shared" si="10"/>
        <v>-2399213.3200000003</v>
      </c>
      <c r="V80" s="333">
        <v>0</v>
      </c>
      <c r="W80" s="333">
        <v>0</v>
      </c>
      <c r="X80" s="333">
        <v>0</v>
      </c>
      <c r="Y80" s="333">
        <v>0</v>
      </c>
      <c r="Z80" s="333">
        <v>0</v>
      </c>
      <c r="AA80" s="333">
        <v>0</v>
      </c>
      <c r="AB80" s="333">
        <v>0</v>
      </c>
      <c r="AC80" s="333">
        <v>-7142</v>
      </c>
      <c r="AD80" s="333">
        <v>0</v>
      </c>
      <c r="AE80" s="333"/>
      <c r="AF80" s="333"/>
      <c r="AG80" s="333">
        <f t="shared" si="11"/>
        <v>-2406355.3200000003</v>
      </c>
      <c r="AH80" s="330"/>
      <c r="AI80" s="330">
        <v>7142</v>
      </c>
      <c r="AJ80" s="396">
        <f t="shared" si="12"/>
        <v>-2406355.3200000003</v>
      </c>
      <c r="AK80" s="563"/>
      <c r="AL80" s="285">
        <f>+AC80+AI80</f>
        <v>0</v>
      </c>
      <c r="AM80" s="286"/>
      <c r="AO80" s="330" t="s">
        <v>2086</v>
      </c>
    </row>
    <row r="81" spans="1:41">
      <c r="A81" s="587">
        <f t="shared" si="13"/>
        <v>78</v>
      </c>
      <c r="B81" s="330" t="s">
        <v>1643</v>
      </c>
      <c r="C81" s="330" t="s">
        <v>2090</v>
      </c>
      <c r="D81" s="330" t="s">
        <v>1677</v>
      </c>
      <c r="E81" s="330" t="s">
        <v>1785</v>
      </c>
      <c r="F81" s="330" t="s">
        <v>1786</v>
      </c>
      <c r="G81" s="562">
        <v>1265</v>
      </c>
      <c r="H81" s="562">
        <v>813.33</v>
      </c>
      <c r="I81" s="562">
        <v>903.31</v>
      </c>
      <c r="J81" s="561" t="s">
        <v>1648</v>
      </c>
      <c r="K81" s="330" t="s">
        <v>2091</v>
      </c>
      <c r="L81" s="330" t="s">
        <v>2092</v>
      </c>
      <c r="M81" s="330" t="s">
        <v>2093</v>
      </c>
      <c r="N81" s="330" t="s">
        <v>12</v>
      </c>
      <c r="O81" s="395"/>
      <c r="P81" s="333">
        <v>7830286</v>
      </c>
      <c r="Q81" s="330" t="s">
        <v>1660</v>
      </c>
      <c r="R81" s="562">
        <v>0</v>
      </c>
      <c r="S81" s="333">
        <v>0</v>
      </c>
      <c r="T81" s="333">
        <v>-100000</v>
      </c>
      <c r="U81" s="333">
        <f t="shared" si="10"/>
        <v>-100000</v>
      </c>
      <c r="V81" s="333">
        <v>100000</v>
      </c>
      <c r="W81" s="333">
        <v>0</v>
      </c>
      <c r="X81" s="333">
        <v>0</v>
      </c>
      <c r="Y81" s="333">
        <v>0</v>
      </c>
      <c r="Z81" s="333">
        <v>0</v>
      </c>
      <c r="AA81" s="333">
        <v>0</v>
      </c>
      <c r="AB81" s="333">
        <v>0</v>
      </c>
      <c r="AC81" s="333">
        <v>0</v>
      </c>
      <c r="AD81" s="333">
        <v>0</v>
      </c>
      <c r="AE81" s="333"/>
      <c r="AF81" s="333"/>
      <c r="AG81" s="333">
        <f t="shared" si="11"/>
        <v>0</v>
      </c>
      <c r="AH81" s="330"/>
      <c r="AI81" s="330">
        <v>0</v>
      </c>
      <c r="AJ81" s="396">
        <f t="shared" si="12"/>
        <v>0</v>
      </c>
      <c r="AK81" s="563"/>
      <c r="AL81" s="285">
        <f t="shared" si="14"/>
        <v>0</v>
      </c>
      <c r="AM81" s="286"/>
      <c r="AO81" s="330" t="s">
        <v>2091</v>
      </c>
    </row>
    <row r="82" spans="1:41">
      <c r="A82" s="587">
        <f t="shared" si="13"/>
        <v>79</v>
      </c>
      <c r="B82" s="330" t="s">
        <v>1643</v>
      </c>
      <c r="C82" s="330" t="s">
        <v>2094</v>
      </c>
      <c r="D82" s="330" t="s">
        <v>1662</v>
      </c>
      <c r="E82" s="330" t="s">
        <v>2095</v>
      </c>
      <c r="F82" s="330" t="s">
        <v>1671</v>
      </c>
      <c r="G82" s="562">
        <v>1498</v>
      </c>
      <c r="H82" s="562">
        <v>954.87</v>
      </c>
      <c r="I82" s="562">
        <v>1069.73</v>
      </c>
      <c r="J82" s="561" t="s">
        <v>1648</v>
      </c>
      <c r="K82" s="330" t="s">
        <v>2096</v>
      </c>
      <c r="L82" s="330" t="s">
        <v>2097</v>
      </c>
      <c r="M82" s="330" t="s">
        <v>2098</v>
      </c>
      <c r="N82" s="330" t="s">
        <v>2066</v>
      </c>
      <c r="O82" s="395"/>
      <c r="P82" s="333">
        <v>8581345</v>
      </c>
      <c r="Q82" s="330" t="s">
        <v>1660</v>
      </c>
      <c r="R82" s="562">
        <v>0</v>
      </c>
      <c r="S82" s="333">
        <v>0</v>
      </c>
      <c r="T82" s="333">
        <v>31678.000000000004</v>
      </c>
      <c r="U82" s="333">
        <f t="shared" si="10"/>
        <v>31678.000000000004</v>
      </c>
      <c r="V82" s="333">
        <v>0</v>
      </c>
      <c r="W82" s="333">
        <v>0</v>
      </c>
      <c r="X82" s="333">
        <v>0</v>
      </c>
      <c r="Y82" s="333">
        <v>0</v>
      </c>
      <c r="Z82" s="333">
        <v>0</v>
      </c>
      <c r="AA82" s="333">
        <v>0</v>
      </c>
      <c r="AB82" s="333">
        <v>0</v>
      </c>
      <c r="AC82" s="333">
        <v>-70499</v>
      </c>
      <c r="AD82" s="333">
        <v>0</v>
      </c>
      <c r="AE82" s="333"/>
      <c r="AF82" s="333"/>
      <c r="AG82" s="333">
        <f t="shared" si="11"/>
        <v>-38821</v>
      </c>
      <c r="AH82" s="330"/>
      <c r="AI82" s="330">
        <v>70499</v>
      </c>
      <c r="AJ82" s="396">
        <f t="shared" si="12"/>
        <v>-38821</v>
      </c>
      <c r="AK82" s="563"/>
      <c r="AL82" s="285">
        <f>+AC82+AI82</f>
        <v>0</v>
      </c>
      <c r="AM82" s="286"/>
      <c r="AO82" s="330" t="s">
        <v>2096</v>
      </c>
    </row>
    <row r="83" spans="1:41">
      <c r="A83" s="587">
        <f t="shared" si="13"/>
        <v>80</v>
      </c>
      <c r="B83" s="330" t="s">
        <v>1643</v>
      </c>
      <c r="C83" s="330" t="s">
        <v>2099</v>
      </c>
      <c r="D83" s="330" t="s">
        <v>1704</v>
      </c>
      <c r="E83" s="330" t="s">
        <v>2100</v>
      </c>
      <c r="F83" s="330" t="s">
        <v>1647</v>
      </c>
      <c r="G83" s="562">
        <v>1114</v>
      </c>
      <c r="H83" s="562">
        <v>683.3</v>
      </c>
      <c r="I83" s="562">
        <v>795.57</v>
      </c>
      <c r="J83" s="561" t="s">
        <v>1810</v>
      </c>
      <c r="K83" s="330" t="s">
        <v>2101</v>
      </c>
      <c r="L83" s="330" t="s">
        <v>2102</v>
      </c>
      <c r="M83" s="330" t="s">
        <v>2103</v>
      </c>
      <c r="N83" s="330" t="s">
        <v>2104</v>
      </c>
      <c r="O83" s="395">
        <v>45436</v>
      </c>
      <c r="P83" s="333">
        <v>6357142</v>
      </c>
      <c r="Q83" s="330" t="s">
        <v>1653</v>
      </c>
      <c r="R83" s="562">
        <v>0</v>
      </c>
      <c r="S83" s="333">
        <v>0</v>
      </c>
      <c r="T83" s="333">
        <v>-1907142.8600000006</v>
      </c>
      <c r="U83" s="333">
        <f t="shared" si="10"/>
        <v>-1907142.8600000006</v>
      </c>
      <c r="V83" s="333">
        <v>0</v>
      </c>
      <c r="W83" s="333">
        <v>0</v>
      </c>
      <c r="X83" s="333">
        <v>0</v>
      </c>
      <c r="Y83" s="333">
        <v>0</v>
      </c>
      <c r="Z83" s="333">
        <v>0</v>
      </c>
      <c r="AA83" s="333">
        <v>0</v>
      </c>
      <c r="AB83" s="333">
        <v>0</v>
      </c>
      <c r="AC83" s="333">
        <v>0</v>
      </c>
      <c r="AD83" s="333">
        <v>0</v>
      </c>
      <c r="AE83" s="333"/>
      <c r="AF83" s="333"/>
      <c r="AG83" s="333">
        <f t="shared" si="11"/>
        <v>-1907142.8600000006</v>
      </c>
      <c r="AH83" s="330"/>
      <c r="AI83" s="330">
        <v>0</v>
      </c>
      <c r="AJ83" s="396">
        <f t="shared" si="12"/>
        <v>-1907142.8600000006</v>
      </c>
      <c r="AK83" s="563"/>
      <c r="AL83" s="285">
        <f t="shared" si="14"/>
        <v>0</v>
      </c>
      <c r="AM83" s="286"/>
      <c r="AO83" s="330" t="s">
        <v>2101</v>
      </c>
    </row>
    <row r="84" spans="1:41">
      <c r="A84" s="587">
        <f t="shared" si="13"/>
        <v>81</v>
      </c>
      <c r="B84" s="330" t="s">
        <v>1643</v>
      </c>
      <c r="C84" s="330" t="s">
        <v>2105</v>
      </c>
      <c r="D84" s="330" t="s">
        <v>1662</v>
      </c>
      <c r="E84" s="330" t="s">
        <v>2106</v>
      </c>
      <c r="F84" s="330" t="s">
        <v>1647</v>
      </c>
      <c r="G84" s="562">
        <v>1114</v>
      </c>
      <c r="H84" s="562">
        <v>683.3</v>
      </c>
      <c r="I84" s="562">
        <v>795.57</v>
      </c>
      <c r="J84" s="561" t="s">
        <v>1648</v>
      </c>
      <c r="K84" s="330" t="s">
        <v>2107</v>
      </c>
      <c r="L84" s="330" t="s">
        <v>2108</v>
      </c>
      <c r="M84" s="330" t="s">
        <v>2109</v>
      </c>
      <c r="N84" s="330" t="s">
        <v>2110</v>
      </c>
      <c r="O84" s="395">
        <v>45429</v>
      </c>
      <c r="P84" s="333">
        <v>6491048</v>
      </c>
      <c r="Q84" s="330" t="s">
        <v>1653</v>
      </c>
      <c r="R84" s="562">
        <v>0</v>
      </c>
      <c r="S84" s="333">
        <v>0</v>
      </c>
      <c r="T84" s="333">
        <v>-2012226.2800000005</v>
      </c>
      <c r="U84" s="333">
        <f t="shared" si="10"/>
        <v>-2012226.2800000005</v>
      </c>
      <c r="V84" s="333">
        <v>0</v>
      </c>
      <c r="W84" s="333">
        <v>0</v>
      </c>
      <c r="X84" s="333">
        <v>0</v>
      </c>
      <c r="Y84" s="333">
        <v>0</v>
      </c>
      <c r="Z84" s="333">
        <v>0</v>
      </c>
      <c r="AA84" s="333">
        <v>0</v>
      </c>
      <c r="AB84" s="333">
        <v>0</v>
      </c>
      <c r="AC84" s="333">
        <v>0.3999999999996362</v>
      </c>
      <c r="AD84" s="333">
        <v>0</v>
      </c>
      <c r="AE84" s="333"/>
      <c r="AF84" s="333"/>
      <c r="AG84" s="333">
        <f t="shared" si="11"/>
        <v>-2012225.8800000006</v>
      </c>
      <c r="AH84" s="330"/>
      <c r="AI84" s="330">
        <v>-0.3999999999996362</v>
      </c>
      <c r="AJ84" s="396">
        <f t="shared" si="12"/>
        <v>-2012225.8800000006</v>
      </c>
      <c r="AK84" s="563"/>
      <c r="AL84" s="285">
        <f>+AC84+AI84</f>
        <v>0</v>
      </c>
      <c r="AM84" s="286"/>
      <c r="AO84" s="330" t="s">
        <v>2107</v>
      </c>
    </row>
    <row r="85" spans="1:41">
      <c r="A85" s="587">
        <f t="shared" si="13"/>
        <v>82</v>
      </c>
      <c r="B85" s="330" t="s">
        <v>1643</v>
      </c>
      <c r="C85" s="330" t="s">
        <v>2111</v>
      </c>
      <c r="D85" s="330" t="s">
        <v>1704</v>
      </c>
      <c r="E85" s="330" t="s">
        <v>1646</v>
      </c>
      <c r="F85" s="330" t="s">
        <v>1647</v>
      </c>
      <c r="G85" s="562">
        <v>1012</v>
      </c>
      <c r="H85" s="562">
        <v>653.59</v>
      </c>
      <c r="I85" s="562">
        <v>723.02</v>
      </c>
      <c r="J85" s="561" t="s">
        <v>1648</v>
      </c>
      <c r="K85" s="330" t="s">
        <v>2112</v>
      </c>
      <c r="L85" s="330" t="s">
        <v>2113</v>
      </c>
      <c r="M85" s="330" t="s">
        <v>2114</v>
      </c>
      <c r="N85" s="330" t="s">
        <v>2115</v>
      </c>
      <c r="O85" s="395">
        <v>45449</v>
      </c>
      <c r="P85" s="333">
        <v>5776762</v>
      </c>
      <c r="Q85" s="330" t="s">
        <v>1653</v>
      </c>
      <c r="R85" s="562">
        <v>0</v>
      </c>
      <c r="S85" s="333">
        <v>0</v>
      </c>
      <c r="T85" s="333">
        <v>-1790794.1800000002</v>
      </c>
      <c r="U85" s="333">
        <f t="shared" si="10"/>
        <v>-1790794.1800000002</v>
      </c>
      <c r="V85" s="333">
        <v>0</v>
      </c>
      <c r="W85" s="333">
        <v>0</v>
      </c>
      <c r="X85" s="333">
        <v>0</v>
      </c>
      <c r="Y85" s="333">
        <v>0</v>
      </c>
      <c r="Z85" s="333">
        <v>0</v>
      </c>
      <c r="AA85" s="333">
        <v>0</v>
      </c>
      <c r="AB85" s="333">
        <v>0</v>
      </c>
      <c r="AC85" s="333">
        <v>0</v>
      </c>
      <c r="AD85" s="333">
        <v>0</v>
      </c>
      <c r="AE85" s="333"/>
      <c r="AF85" s="333"/>
      <c r="AG85" s="333">
        <f t="shared" si="11"/>
        <v>-1790794.1800000002</v>
      </c>
      <c r="AH85" s="330"/>
      <c r="AI85" s="330">
        <v>0</v>
      </c>
      <c r="AJ85" s="396">
        <f t="shared" si="12"/>
        <v>-1790794.1800000002</v>
      </c>
      <c r="AK85" s="563"/>
      <c r="AL85" s="285">
        <f t="shared" si="14"/>
        <v>0</v>
      </c>
      <c r="AM85" s="286"/>
      <c r="AO85" s="330" t="s">
        <v>2112</v>
      </c>
    </row>
    <row r="86" spans="1:41">
      <c r="A86" s="587">
        <f t="shared" si="13"/>
        <v>83</v>
      </c>
      <c r="B86" s="330" t="s">
        <v>1643</v>
      </c>
      <c r="C86" s="330" t="s">
        <v>2116</v>
      </c>
      <c r="D86" s="330" t="s">
        <v>1662</v>
      </c>
      <c r="E86" s="330" t="s">
        <v>1792</v>
      </c>
      <c r="F86" s="330" t="s">
        <v>1647</v>
      </c>
      <c r="G86" s="562">
        <v>1114</v>
      </c>
      <c r="H86" s="562">
        <v>683.3</v>
      </c>
      <c r="I86" s="562">
        <v>795.57</v>
      </c>
      <c r="J86" s="561" t="s">
        <v>1648</v>
      </c>
      <c r="K86" s="330" t="s">
        <v>2117</v>
      </c>
      <c r="L86" s="330" t="s">
        <v>2118</v>
      </c>
      <c r="M86" s="330" t="s">
        <v>2119</v>
      </c>
      <c r="N86" s="330" t="s">
        <v>2120</v>
      </c>
      <c r="O86" s="395">
        <v>45454</v>
      </c>
      <c r="P86" s="333">
        <v>6287368</v>
      </c>
      <c r="Q86" s="330" t="s">
        <v>1653</v>
      </c>
      <c r="R86" s="562">
        <v>0</v>
      </c>
      <c r="S86" s="333">
        <v>0</v>
      </c>
      <c r="T86" s="333">
        <v>-1785563.1600000001</v>
      </c>
      <c r="U86" s="333">
        <f t="shared" si="10"/>
        <v>-1785563.1600000001</v>
      </c>
      <c r="V86" s="333">
        <v>-130776</v>
      </c>
      <c r="W86" s="333">
        <v>0</v>
      </c>
      <c r="X86" s="333">
        <v>0</v>
      </c>
      <c r="Y86" s="333">
        <v>0</v>
      </c>
      <c r="Z86" s="333">
        <v>0</v>
      </c>
      <c r="AA86" s="333">
        <v>0</v>
      </c>
      <c r="AB86" s="333">
        <v>0</v>
      </c>
      <c r="AC86" s="333">
        <v>0</v>
      </c>
      <c r="AD86" s="333">
        <v>0</v>
      </c>
      <c r="AE86" s="333"/>
      <c r="AF86" s="333"/>
      <c r="AG86" s="333">
        <f t="shared" si="11"/>
        <v>-1916339.1600000001</v>
      </c>
      <c r="AH86" s="330"/>
      <c r="AI86" s="330">
        <v>0</v>
      </c>
      <c r="AJ86" s="396">
        <f t="shared" si="12"/>
        <v>-1916339.1600000001</v>
      </c>
      <c r="AK86" s="563"/>
      <c r="AL86" s="285">
        <f t="shared" si="14"/>
        <v>0</v>
      </c>
      <c r="AM86" s="286"/>
      <c r="AO86" s="330" t="s">
        <v>2117</v>
      </c>
    </row>
    <row r="87" spans="1:41">
      <c r="A87" s="587">
        <f t="shared" si="13"/>
        <v>84</v>
      </c>
      <c r="B87" s="330" t="s">
        <v>1643</v>
      </c>
      <c r="C87" s="330" t="s">
        <v>2121</v>
      </c>
      <c r="D87" s="330" t="s">
        <v>1662</v>
      </c>
      <c r="E87" s="330" t="s">
        <v>2122</v>
      </c>
      <c r="F87" s="330" t="s">
        <v>1671</v>
      </c>
      <c r="G87" s="562">
        <v>1375</v>
      </c>
      <c r="H87" s="562">
        <v>876.73</v>
      </c>
      <c r="I87" s="562">
        <v>982.22</v>
      </c>
      <c r="J87" s="561" t="s">
        <v>1648</v>
      </c>
      <c r="K87" s="330" t="s">
        <v>2123</v>
      </c>
      <c r="L87" s="330" t="s">
        <v>2124</v>
      </c>
      <c r="M87" s="330" t="s">
        <v>2125</v>
      </c>
      <c r="N87" s="330" t="s">
        <v>2066</v>
      </c>
      <c r="O87" s="395"/>
      <c r="P87" s="333">
        <v>7377417</v>
      </c>
      <c r="Q87" s="330" t="s">
        <v>1660</v>
      </c>
      <c r="R87" s="562">
        <v>0</v>
      </c>
      <c r="S87" s="333">
        <v>0</v>
      </c>
      <c r="T87" s="333">
        <v>0</v>
      </c>
      <c r="U87" s="333">
        <f t="shared" si="10"/>
        <v>0</v>
      </c>
      <c r="V87" s="333">
        <v>0</v>
      </c>
      <c r="W87" s="333">
        <v>0</v>
      </c>
      <c r="X87" s="333">
        <v>0</v>
      </c>
      <c r="Y87" s="333">
        <v>0</v>
      </c>
      <c r="Z87" s="333">
        <v>0</v>
      </c>
      <c r="AA87" s="333">
        <v>0</v>
      </c>
      <c r="AB87" s="333">
        <v>0</v>
      </c>
      <c r="AC87" s="333">
        <v>0</v>
      </c>
      <c r="AD87" s="333">
        <v>0</v>
      </c>
      <c r="AE87" s="333"/>
      <c r="AF87" s="333"/>
      <c r="AG87" s="333">
        <f t="shared" si="11"/>
        <v>0</v>
      </c>
      <c r="AH87" s="330"/>
      <c r="AI87" s="330">
        <v>0</v>
      </c>
      <c r="AJ87" s="396">
        <f t="shared" si="12"/>
        <v>0</v>
      </c>
      <c r="AK87" s="563"/>
      <c r="AL87" s="285">
        <f t="shared" si="14"/>
        <v>0</v>
      </c>
      <c r="AM87" s="286"/>
      <c r="AO87" s="330" t="s">
        <v>2123</v>
      </c>
    </row>
    <row r="88" spans="1:41">
      <c r="A88" s="587">
        <f t="shared" si="13"/>
        <v>85</v>
      </c>
      <c r="B88" s="330" t="s">
        <v>1643</v>
      </c>
      <c r="C88" s="330" t="s">
        <v>2126</v>
      </c>
      <c r="D88" s="330" t="s">
        <v>1746</v>
      </c>
      <c r="E88" s="330" t="s">
        <v>1684</v>
      </c>
      <c r="F88" s="330" t="s">
        <v>1786</v>
      </c>
      <c r="G88" s="562">
        <v>1265</v>
      </c>
      <c r="H88" s="562">
        <v>813.33</v>
      </c>
      <c r="I88" s="562">
        <v>903.31</v>
      </c>
      <c r="J88" s="561" t="s">
        <v>1648</v>
      </c>
      <c r="K88" s="330" t="s">
        <v>2127</v>
      </c>
      <c r="L88" s="330" t="s">
        <v>2128</v>
      </c>
      <c r="M88" s="330" t="s">
        <v>2129</v>
      </c>
      <c r="N88" s="330" t="s">
        <v>2130</v>
      </c>
      <c r="O88" s="395">
        <v>45443</v>
      </c>
      <c r="P88" s="333">
        <v>7160667</v>
      </c>
      <c r="Q88" s="330" t="s">
        <v>1653</v>
      </c>
      <c r="R88" s="562">
        <v>0</v>
      </c>
      <c r="S88" s="333">
        <v>0</v>
      </c>
      <c r="T88" s="333">
        <v>-2219806.6500000013</v>
      </c>
      <c r="U88" s="333">
        <f t="shared" si="10"/>
        <v>-2219806.6500000013</v>
      </c>
      <c r="V88" s="333">
        <v>0</v>
      </c>
      <c r="W88" s="333">
        <v>0</v>
      </c>
      <c r="X88" s="333">
        <v>0</v>
      </c>
      <c r="Y88" s="333">
        <v>0</v>
      </c>
      <c r="Z88" s="333">
        <v>0</v>
      </c>
      <c r="AA88" s="333">
        <v>0</v>
      </c>
      <c r="AB88" s="333">
        <v>0</v>
      </c>
      <c r="AC88" s="333">
        <v>0</v>
      </c>
      <c r="AD88" s="333">
        <v>0</v>
      </c>
      <c r="AE88" s="333"/>
      <c r="AF88" s="333"/>
      <c r="AG88" s="333">
        <f t="shared" si="11"/>
        <v>-2219806.6500000013</v>
      </c>
      <c r="AH88" s="330"/>
      <c r="AI88" s="330">
        <v>0</v>
      </c>
      <c r="AJ88" s="396">
        <f t="shared" si="12"/>
        <v>-2219806.6500000013</v>
      </c>
      <c r="AK88" s="563"/>
      <c r="AL88" s="285">
        <f t="shared" si="14"/>
        <v>0</v>
      </c>
      <c r="AM88" s="286"/>
      <c r="AO88" s="330" t="s">
        <v>2127</v>
      </c>
    </row>
    <row r="89" spans="1:41">
      <c r="A89" s="587">
        <f t="shared" si="13"/>
        <v>86</v>
      </c>
      <c r="B89" s="330" t="s">
        <v>1643</v>
      </c>
      <c r="C89" s="330" t="s">
        <v>2131</v>
      </c>
      <c r="D89" s="330" t="s">
        <v>1662</v>
      </c>
      <c r="E89" s="330" t="s">
        <v>2132</v>
      </c>
      <c r="F89" s="330" t="s">
        <v>1647</v>
      </c>
      <c r="G89" s="562">
        <v>1012</v>
      </c>
      <c r="H89" s="562">
        <v>653.59</v>
      </c>
      <c r="I89" s="562">
        <v>723.02</v>
      </c>
      <c r="J89" s="561" t="s">
        <v>1810</v>
      </c>
      <c r="K89" s="330" t="s">
        <v>2133</v>
      </c>
      <c r="L89" s="330" t="s">
        <v>2134</v>
      </c>
      <c r="M89" s="330" t="s">
        <v>2135</v>
      </c>
      <c r="N89" s="330" t="s">
        <v>2136</v>
      </c>
      <c r="O89" s="395">
        <v>45437</v>
      </c>
      <c r="P89" s="333">
        <v>5683644</v>
      </c>
      <c r="Q89" s="330" t="s">
        <v>1653</v>
      </c>
      <c r="R89" s="562">
        <v>0</v>
      </c>
      <c r="S89" s="333">
        <v>0</v>
      </c>
      <c r="T89" s="333">
        <v>-1702664.3400000003</v>
      </c>
      <c r="U89" s="333">
        <f t="shared" si="10"/>
        <v>-1702664.3400000003</v>
      </c>
      <c r="V89" s="333">
        <v>0</v>
      </c>
      <c r="W89" s="333">
        <v>0</v>
      </c>
      <c r="X89" s="333">
        <v>0</v>
      </c>
      <c r="Y89" s="333">
        <v>0</v>
      </c>
      <c r="Z89" s="333">
        <v>0</v>
      </c>
      <c r="AA89" s="333">
        <v>0</v>
      </c>
      <c r="AB89" s="333">
        <v>0</v>
      </c>
      <c r="AC89" s="333">
        <v>-2429</v>
      </c>
      <c r="AD89" s="333">
        <v>0</v>
      </c>
      <c r="AE89" s="333"/>
      <c r="AF89" s="333"/>
      <c r="AG89" s="333">
        <f t="shared" si="11"/>
        <v>-1705093.3400000003</v>
      </c>
      <c r="AH89" s="330"/>
      <c r="AI89" s="330">
        <v>2429</v>
      </c>
      <c r="AJ89" s="396">
        <f t="shared" si="12"/>
        <v>-1705093.3400000003</v>
      </c>
      <c r="AK89" s="563"/>
      <c r="AL89" s="285">
        <f>+AC89+AI89</f>
        <v>0</v>
      </c>
      <c r="AM89" s="286"/>
      <c r="AO89" s="330" t="s">
        <v>2133</v>
      </c>
    </row>
    <row r="90" spans="1:41">
      <c r="A90" s="587">
        <f t="shared" si="13"/>
        <v>87</v>
      </c>
      <c r="B90" s="330" t="s">
        <v>1643</v>
      </c>
      <c r="C90" s="330" t="s">
        <v>2137</v>
      </c>
      <c r="D90" s="330" t="s">
        <v>1669</v>
      </c>
      <c r="E90" s="330" t="s">
        <v>1775</v>
      </c>
      <c r="F90" s="330" t="s">
        <v>1671</v>
      </c>
      <c r="G90" s="562">
        <v>1787</v>
      </c>
      <c r="H90" s="562">
        <v>1138.51</v>
      </c>
      <c r="I90" s="562">
        <v>1276.29</v>
      </c>
      <c r="J90" s="561" t="s">
        <v>1810</v>
      </c>
      <c r="K90" s="330" t="s">
        <v>2138</v>
      </c>
      <c r="L90" s="330" t="s">
        <v>2139</v>
      </c>
      <c r="M90" s="330" t="s">
        <v>2140</v>
      </c>
      <c r="N90" s="330" t="s">
        <v>2141</v>
      </c>
      <c r="O90" s="395">
        <v>45580</v>
      </c>
      <c r="P90" s="333">
        <v>11936857</v>
      </c>
      <c r="Q90" s="330" t="s">
        <v>1653</v>
      </c>
      <c r="R90" s="562">
        <v>0</v>
      </c>
      <c r="S90" s="333">
        <v>0</v>
      </c>
      <c r="T90" s="333">
        <v>-3700424.7099999995</v>
      </c>
      <c r="U90" s="333">
        <f t="shared" si="10"/>
        <v>-3700424.7099999995</v>
      </c>
      <c r="V90" s="333">
        <v>0</v>
      </c>
      <c r="W90" s="333">
        <v>0</v>
      </c>
      <c r="X90" s="333">
        <v>0</v>
      </c>
      <c r="Y90" s="333">
        <v>0</v>
      </c>
      <c r="Z90" s="333">
        <v>0</v>
      </c>
      <c r="AA90" s="333">
        <v>0</v>
      </c>
      <c r="AB90" s="333">
        <v>0</v>
      </c>
      <c r="AC90" s="333">
        <v>0</v>
      </c>
      <c r="AD90" s="333">
        <v>0</v>
      </c>
      <c r="AE90" s="333"/>
      <c r="AF90" s="333"/>
      <c r="AG90" s="333">
        <f t="shared" si="11"/>
        <v>-3700424.7099999995</v>
      </c>
      <c r="AH90" s="330"/>
      <c r="AI90" s="330">
        <v>0</v>
      </c>
      <c r="AJ90" s="396">
        <f t="shared" si="12"/>
        <v>-3700424.7099999995</v>
      </c>
      <c r="AK90" s="563"/>
      <c r="AL90" s="285">
        <f t="shared" si="14"/>
        <v>0</v>
      </c>
      <c r="AM90" s="286"/>
      <c r="AO90" s="330" t="s">
        <v>2138</v>
      </c>
    </row>
    <row r="91" spans="1:41">
      <c r="A91" s="587">
        <f t="shared" si="13"/>
        <v>88</v>
      </c>
      <c r="B91" s="330" t="s">
        <v>1643</v>
      </c>
      <c r="C91" s="330" t="s">
        <v>2142</v>
      </c>
      <c r="D91" s="330" t="s">
        <v>1704</v>
      </c>
      <c r="E91" s="330" t="s">
        <v>1809</v>
      </c>
      <c r="F91" s="330" t="s">
        <v>1647</v>
      </c>
      <c r="G91" s="562">
        <v>1498</v>
      </c>
      <c r="H91" s="562">
        <v>954.87</v>
      </c>
      <c r="I91" s="562">
        <v>1069.73</v>
      </c>
      <c r="J91" s="561" t="s">
        <v>1648</v>
      </c>
      <c r="K91" s="330" t="s">
        <v>2143</v>
      </c>
      <c r="L91" s="330" t="s">
        <v>2144</v>
      </c>
      <c r="M91" s="330" t="s">
        <v>2145</v>
      </c>
      <c r="N91" s="330" t="s">
        <v>2146</v>
      </c>
      <c r="O91" s="395">
        <v>45474</v>
      </c>
      <c r="P91" s="333">
        <v>8991048</v>
      </c>
      <c r="Q91" s="330" t="s">
        <v>1653</v>
      </c>
      <c r="R91" s="562">
        <v>0</v>
      </c>
      <c r="S91" s="333">
        <v>0</v>
      </c>
      <c r="T91" s="333">
        <v>-2787223.2800000003</v>
      </c>
      <c r="U91" s="333">
        <f t="shared" si="10"/>
        <v>-2787223.2800000003</v>
      </c>
      <c r="V91" s="333">
        <v>0</v>
      </c>
      <c r="W91" s="333">
        <v>0</v>
      </c>
      <c r="X91" s="333">
        <v>0</v>
      </c>
      <c r="Y91" s="333">
        <v>0</v>
      </c>
      <c r="Z91" s="333">
        <v>0</v>
      </c>
      <c r="AA91" s="333">
        <v>0</v>
      </c>
      <c r="AB91" s="333">
        <v>0</v>
      </c>
      <c r="AC91" s="333">
        <v>0</v>
      </c>
      <c r="AD91" s="333">
        <v>0</v>
      </c>
      <c r="AE91" s="333"/>
      <c r="AF91" s="333"/>
      <c r="AG91" s="333">
        <f t="shared" si="11"/>
        <v>-2787223.2800000003</v>
      </c>
      <c r="AH91" s="330"/>
      <c r="AI91" s="330">
        <v>0</v>
      </c>
      <c r="AJ91" s="396">
        <f t="shared" si="12"/>
        <v>-2787223.2800000003</v>
      </c>
      <c r="AK91" s="563"/>
      <c r="AL91" s="285">
        <f t="shared" si="14"/>
        <v>0</v>
      </c>
      <c r="AM91" s="286"/>
      <c r="AO91" s="330" t="s">
        <v>2143</v>
      </c>
    </row>
    <row r="92" spans="1:41">
      <c r="A92" s="587">
        <f t="shared" si="13"/>
        <v>89</v>
      </c>
      <c r="B92" s="330" t="s">
        <v>1643</v>
      </c>
      <c r="C92" s="330" t="s">
        <v>2147</v>
      </c>
      <c r="D92" s="330" t="s">
        <v>1746</v>
      </c>
      <c r="E92" s="330" t="s">
        <v>2148</v>
      </c>
      <c r="F92" s="330" t="s">
        <v>1671</v>
      </c>
      <c r="G92" s="562">
        <v>1498</v>
      </c>
      <c r="H92" s="562">
        <v>954.87</v>
      </c>
      <c r="I92" s="562">
        <v>1069.73</v>
      </c>
      <c r="J92" s="561" t="s">
        <v>1648</v>
      </c>
      <c r="K92" s="330" t="s">
        <v>2149</v>
      </c>
      <c r="L92" s="330" t="s">
        <v>2150</v>
      </c>
      <c r="M92" s="330" t="s">
        <v>2151</v>
      </c>
      <c r="N92" s="330" t="s">
        <v>2066</v>
      </c>
      <c r="O92" s="395"/>
      <c r="P92" s="333">
        <v>8506464</v>
      </c>
      <c r="Q92" s="330" t="s">
        <v>1660</v>
      </c>
      <c r="R92" s="562">
        <v>0</v>
      </c>
      <c r="S92" s="333">
        <v>0</v>
      </c>
      <c r="T92" s="333">
        <v>0</v>
      </c>
      <c r="U92" s="333">
        <f t="shared" si="10"/>
        <v>0</v>
      </c>
      <c r="V92" s="333">
        <v>0</v>
      </c>
      <c r="W92" s="333">
        <v>0</v>
      </c>
      <c r="X92" s="333">
        <v>0</v>
      </c>
      <c r="Y92" s="333">
        <v>0</v>
      </c>
      <c r="Z92" s="333">
        <v>0</v>
      </c>
      <c r="AA92" s="333">
        <v>0</v>
      </c>
      <c r="AB92" s="333">
        <v>0</v>
      </c>
      <c r="AC92" s="333">
        <v>0</v>
      </c>
      <c r="AD92" s="333">
        <v>0</v>
      </c>
      <c r="AE92" s="333"/>
      <c r="AF92" s="333"/>
      <c r="AG92" s="333">
        <f t="shared" si="11"/>
        <v>0</v>
      </c>
      <c r="AH92" s="330"/>
      <c r="AI92" s="330">
        <v>0</v>
      </c>
      <c r="AJ92" s="396">
        <f t="shared" si="12"/>
        <v>0</v>
      </c>
      <c r="AK92" s="563"/>
      <c r="AL92" s="285">
        <f t="shared" si="14"/>
        <v>0</v>
      </c>
      <c r="AM92" s="286"/>
      <c r="AO92" s="330" t="s">
        <v>2149</v>
      </c>
    </row>
    <row r="93" spans="1:41">
      <c r="A93" s="587">
        <f t="shared" si="13"/>
        <v>90</v>
      </c>
      <c r="B93" s="330" t="s">
        <v>1643</v>
      </c>
      <c r="C93" s="330" t="s">
        <v>2152</v>
      </c>
      <c r="D93" s="330" t="s">
        <v>2153</v>
      </c>
      <c r="E93" s="330" t="s">
        <v>2154</v>
      </c>
      <c r="F93" s="330" t="s">
        <v>1671</v>
      </c>
      <c r="G93" s="562">
        <v>1498</v>
      </c>
      <c r="H93" s="562">
        <v>954.87</v>
      </c>
      <c r="I93" s="562">
        <v>1069.73</v>
      </c>
      <c r="J93" s="561" t="s">
        <v>1810</v>
      </c>
      <c r="K93" s="330" t="s">
        <v>2155</v>
      </c>
      <c r="L93" s="330" t="s">
        <v>2156</v>
      </c>
      <c r="M93" s="330" t="s">
        <v>2157</v>
      </c>
      <c r="N93" s="330" t="s">
        <v>2158</v>
      </c>
      <c r="O93" s="395">
        <v>45629</v>
      </c>
      <c r="P93" s="333">
        <v>8955333</v>
      </c>
      <c r="Q93" s="330" t="s">
        <v>1653</v>
      </c>
      <c r="R93" s="562">
        <v>0</v>
      </c>
      <c r="S93" s="333">
        <v>0</v>
      </c>
      <c r="T93" s="333">
        <v>-2621370.5</v>
      </c>
      <c r="U93" s="333">
        <f t="shared" si="10"/>
        <v>-2621370.5</v>
      </c>
      <c r="V93" s="333">
        <v>-80000</v>
      </c>
      <c r="W93" s="333">
        <v>0</v>
      </c>
      <c r="X93" s="333">
        <v>0</v>
      </c>
      <c r="Y93" s="333">
        <v>0</v>
      </c>
      <c r="Z93" s="333">
        <v>0</v>
      </c>
      <c r="AA93" s="333">
        <v>0</v>
      </c>
      <c r="AB93" s="333">
        <v>0</v>
      </c>
      <c r="AC93" s="333">
        <v>-15227.5</v>
      </c>
      <c r="AD93" s="333">
        <v>0</v>
      </c>
      <c r="AE93" s="333"/>
      <c r="AF93" s="333"/>
      <c r="AG93" s="333">
        <f t="shared" si="11"/>
        <v>-2716598</v>
      </c>
      <c r="AH93" s="330"/>
      <c r="AI93" s="330">
        <v>15227.5</v>
      </c>
      <c r="AJ93" s="396">
        <f t="shared" si="12"/>
        <v>-2716598</v>
      </c>
      <c r="AK93" s="563"/>
      <c r="AL93" s="285">
        <f>+AC93+AI93</f>
        <v>0</v>
      </c>
      <c r="AM93" s="286"/>
      <c r="AO93" s="330" t="s">
        <v>2155</v>
      </c>
    </row>
    <row r="94" spans="1:41">
      <c r="A94" s="587">
        <f t="shared" si="13"/>
        <v>91</v>
      </c>
      <c r="B94" s="330" t="s">
        <v>1643</v>
      </c>
      <c r="C94" s="330" t="s">
        <v>2159</v>
      </c>
      <c r="D94" s="330" t="s">
        <v>1746</v>
      </c>
      <c r="E94" s="330" t="s">
        <v>2160</v>
      </c>
      <c r="F94" s="330" t="s">
        <v>1786</v>
      </c>
      <c r="G94" s="562">
        <v>1265</v>
      </c>
      <c r="H94" s="562">
        <v>813.33</v>
      </c>
      <c r="I94" s="562">
        <v>903.31</v>
      </c>
      <c r="J94" s="561" t="s">
        <v>1679</v>
      </c>
      <c r="K94" s="330" t="s">
        <v>2161</v>
      </c>
      <c r="L94" s="330" t="s">
        <v>2162</v>
      </c>
      <c r="M94" s="330" t="s">
        <v>2163</v>
      </c>
      <c r="N94" s="330" t="s">
        <v>2164</v>
      </c>
      <c r="O94" s="395">
        <v>45483</v>
      </c>
      <c r="P94" s="333">
        <v>7116000</v>
      </c>
      <c r="Q94" s="330" t="s">
        <v>1653</v>
      </c>
      <c r="R94" s="562">
        <v>0</v>
      </c>
      <c r="S94" s="333">
        <v>0</v>
      </c>
      <c r="T94" s="333">
        <v>-2205959.9999999991</v>
      </c>
      <c r="U94" s="333">
        <f t="shared" si="10"/>
        <v>-2205959.9999999991</v>
      </c>
      <c r="V94" s="333">
        <v>0</v>
      </c>
      <c r="W94" s="333">
        <v>0</v>
      </c>
      <c r="X94" s="333">
        <v>0</v>
      </c>
      <c r="Y94" s="333">
        <v>0</v>
      </c>
      <c r="Z94" s="333">
        <v>0</v>
      </c>
      <c r="AA94" s="333">
        <v>0</v>
      </c>
      <c r="AB94" s="333">
        <v>0</v>
      </c>
      <c r="AC94" s="333">
        <v>0</v>
      </c>
      <c r="AD94" s="333">
        <v>0</v>
      </c>
      <c r="AE94" s="333"/>
      <c r="AF94" s="333"/>
      <c r="AG94" s="333">
        <f t="shared" si="11"/>
        <v>-2205959.9999999991</v>
      </c>
      <c r="AH94" s="330"/>
      <c r="AI94" s="330">
        <v>0</v>
      </c>
      <c r="AJ94" s="396">
        <f t="shared" si="12"/>
        <v>-2205959.9999999991</v>
      </c>
      <c r="AK94" s="563"/>
      <c r="AL94" s="285">
        <f t="shared" si="14"/>
        <v>0</v>
      </c>
      <c r="AM94" s="286"/>
      <c r="AO94" s="330" t="s">
        <v>2161</v>
      </c>
    </row>
    <row r="95" spans="1:41">
      <c r="A95" s="587">
        <f t="shared" si="13"/>
        <v>92</v>
      </c>
      <c r="B95" s="330" t="s">
        <v>1643</v>
      </c>
      <c r="C95" s="330" t="s">
        <v>2165</v>
      </c>
      <c r="D95" s="330" t="s">
        <v>1662</v>
      </c>
      <c r="E95" s="330" t="s">
        <v>2166</v>
      </c>
      <c r="F95" s="330" t="s">
        <v>1647</v>
      </c>
      <c r="G95" s="562">
        <v>1012</v>
      </c>
      <c r="H95" s="562">
        <v>653.59</v>
      </c>
      <c r="I95" s="562">
        <v>723.02</v>
      </c>
      <c r="J95" s="561" t="s">
        <v>1810</v>
      </c>
      <c r="K95" s="330" t="s">
        <v>2167</v>
      </c>
      <c r="L95" s="330" t="s">
        <v>2168</v>
      </c>
      <c r="M95" s="330" t="s">
        <v>2169</v>
      </c>
      <c r="N95" s="330" t="s">
        <v>2170</v>
      </c>
      <c r="O95" s="395">
        <v>45435</v>
      </c>
      <c r="P95" s="333">
        <v>5705333</v>
      </c>
      <c r="Q95" s="330" t="s">
        <v>1653</v>
      </c>
      <c r="R95" s="562">
        <v>0</v>
      </c>
      <c r="S95" s="333">
        <v>0</v>
      </c>
      <c r="T95" s="333">
        <v>-1561599.9999999998</v>
      </c>
      <c r="U95" s="333">
        <f t="shared" si="10"/>
        <v>-1561599.9999999998</v>
      </c>
      <c r="V95" s="333">
        <v>-150000</v>
      </c>
      <c r="W95" s="333">
        <v>0</v>
      </c>
      <c r="X95" s="333">
        <v>0</v>
      </c>
      <c r="Y95" s="333">
        <v>0</v>
      </c>
      <c r="Z95" s="333">
        <v>0</v>
      </c>
      <c r="AA95" s="333">
        <v>0</v>
      </c>
      <c r="AB95" s="333">
        <v>0</v>
      </c>
      <c r="AC95" s="333">
        <v>0</v>
      </c>
      <c r="AD95" s="333">
        <v>0</v>
      </c>
      <c r="AE95" s="333"/>
      <c r="AF95" s="333"/>
      <c r="AG95" s="333">
        <f t="shared" si="11"/>
        <v>-1711599.9999999998</v>
      </c>
      <c r="AH95" s="330"/>
      <c r="AI95" s="330">
        <v>0</v>
      </c>
      <c r="AJ95" s="396">
        <f t="shared" si="12"/>
        <v>-1711599.9999999998</v>
      </c>
      <c r="AK95" s="563"/>
      <c r="AL95" s="285">
        <f t="shared" si="14"/>
        <v>0</v>
      </c>
      <c r="AM95" s="286"/>
      <c r="AO95" s="330" t="s">
        <v>2167</v>
      </c>
    </row>
    <row r="96" spans="1:41">
      <c r="A96" s="587">
        <f t="shared" si="13"/>
        <v>93</v>
      </c>
      <c r="B96" s="330" t="s">
        <v>1643</v>
      </c>
      <c r="C96" s="330" t="s">
        <v>2171</v>
      </c>
      <c r="D96" s="330" t="s">
        <v>1662</v>
      </c>
      <c r="E96" s="330" t="s">
        <v>1828</v>
      </c>
      <c r="F96" s="330" t="s">
        <v>1786</v>
      </c>
      <c r="G96" s="562">
        <v>1265</v>
      </c>
      <c r="H96" s="562">
        <v>813.33</v>
      </c>
      <c r="I96" s="562">
        <v>903.31</v>
      </c>
      <c r="J96" s="561" t="s">
        <v>1810</v>
      </c>
      <c r="K96" s="330" t="s">
        <v>2172</v>
      </c>
      <c r="L96" s="330" t="s">
        <v>2173</v>
      </c>
      <c r="M96" s="330" t="s">
        <v>2174</v>
      </c>
      <c r="N96" s="330" t="s">
        <v>2175</v>
      </c>
      <c r="O96" s="395">
        <v>45533</v>
      </c>
      <c r="P96" s="333">
        <v>6937428</v>
      </c>
      <c r="Q96" s="330" t="s">
        <v>1653</v>
      </c>
      <c r="R96" s="562">
        <v>0</v>
      </c>
      <c r="S96" s="333">
        <v>0</v>
      </c>
      <c r="T96" s="333">
        <v>-2150603.5799999991</v>
      </c>
      <c r="U96" s="333">
        <f t="shared" si="10"/>
        <v>-2150603.5799999991</v>
      </c>
      <c r="V96" s="333">
        <v>0</v>
      </c>
      <c r="W96" s="333">
        <v>0</v>
      </c>
      <c r="X96" s="333">
        <v>0</v>
      </c>
      <c r="Y96" s="333">
        <v>0</v>
      </c>
      <c r="Z96" s="333">
        <v>0</v>
      </c>
      <c r="AA96" s="333">
        <v>0</v>
      </c>
      <c r="AB96" s="333">
        <v>0</v>
      </c>
      <c r="AC96" s="333">
        <v>0</v>
      </c>
      <c r="AD96" s="333">
        <v>0</v>
      </c>
      <c r="AE96" s="333"/>
      <c r="AF96" s="333"/>
      <c r="AG96" s="333">
        <f t="shared" si="11"/>
        <v>-2150603.5799999991</v>
      </c>
      <c r="AH96" s="330"/>
      <c r="AI96" s="330">
        <v>0</v>
      </c>
      <c r="AJ96" s="396">
        <f t="shared" si="12"/>
        <v>-2150603.5799999991</v>
      </c>
      <c r="AK96" s="563"/>
      <c r="AL96" s="285">
        <f t="shared" si="14"/>
        <v>0</v>
      </c>
      <c r="AM96" s="286"/>
      <c r="AO96" s="330" t="s">
        <v>2172</v>
      </c>
    </row>
    <row r="97" spans="1:41">
      <c r="A97" s="587">
        <f t="shared" si="13"/>
        <v>94</v>
      </c>
      <c r="B97" s="330" t="s">
        <v>1643</v>
      </c>
      <c r="C97" s="330" t="s">
        <v>2176</v>
      </c>
      <c r="D97" s="330" t="s">
        <v>1645</v>
      </c>
      <c r="E97" s="330" t="s">
        <v>2177</v>
      </c>
      <c r="F97" s="330" t="s">
        <v>1647</v>
      </c>
      <c r="G97" s="562">
        <v>1114</v>
      </c>
      <c r="H97" s="562">
        <v>683.3</v>
      </c>
      <c r="I97" s="562">
        <v>795.57</v>
      </c>
      <c r="J97" s="561" t="s">
        <v>1679</v>
      </c>
      <c r="K97" s="330" t="s">
        <v>2178</v>
      </c>
      <c r="L97" s="330" t="s">
        <v>2179</v>
      </c>
      <c r="M97" s="330" t="s">
        <v>2180</v>
      </c>
      <c r="N97" s="330" t="s">
        <v>2181</v>
      </c>
      <c r="O97" s="395">
        <v>45442</v>
      </c>
      <c r="P97" s="333">
        <v>6320782</v>
      </c>
      <c r="Q97" s="330" t="s">
        <v>1653</v>
      </c>
      <c r="R97" s="562">
        <v>0</v>
      </c>
      <c r="S97" s="333">
        <v>0</v>
      </c>
      <c r="T97" s="333">
        <v>-1889092.0799999998</v>
      </c>
      <c r="U97" s="333">
        <f t="shared" si="10"/>
        <v>-1889092.0799999998</v>
      </c>
      <c r="V97" s="333">
        <v>0</v>
      </c>
      <c r="W97" s="333">
        <v>0</v>
      </c>
      <c r="X97" s="333">
        <v>0</v>
      </c>
      <c r="Y97" s="333">
        <v>0</v>
      </c>
      <c r="Z97" s="333">
        <v>0</v>
      </c>
      <c r="AA97" s="333">
        <v>0</v>
      </c>
      <c r="AB97" s="333">
        <v>0</v>
      </c>
      <c r="AC97" s="333">
        <v>-7143</v>
      </c>
      <c r="AD97" s="333">
        <v>0</v>
      </c>
      <c r="AE97" s="333"/>
      <c r="AF97" s="333"/>
      <c r="AG97" s="333">
        <f t="shared" si="11"/>
        <v>-1896235.0799999998</v>
      </c>
      <c r="AH97" s="330"/>
      <c r="AI97" s="330">
        <v>7143</v>
      </c>
      <c r="AJ97" s="396">
        <f t="shared" si="12"/>
        <v>-1896235.0799999998</v>
      </c>
      <c r="AK97" s="563"/>
      <c r="AL97" s="285">
        <f t="shared" ref="AL97:AL98" si="16">+AC97+AI97</f>
        <v>0</v>
      </c>
      <c r="AM97" s="286"/>
      <c r="AO97" s="330" t="s">
        <v>2178</v>
      </c>
    </row>
    <row r="98" spans="1:41">
      <c r="A98" s="587">
        <f t="shared" si="13"/>
        <v>95</v>
      </c>
      <c r="B98" s="330" t="s">
        <v>1643</v>
      </c>
      <c r="C98" s="330" t="s">
        <v>2182</v>
      </c>
      <c r="D98" s="330" t="s">
        <v>1645</v>
      </c>
      <c r="E98" s="330" t="s">
        <v>2183</v>
      </c>
      <c r="F98" s="330" t="s">
        <v>1671</v>
      </c>
      <c r="G98" s="562">
        <v>1498</v>
      </c>
      <c r="H98" s="562">
        <v>954.87</v>
      </c>
      <c r="I98" s="562">
        <v>1069.73</v>
      </c>
      <c r="J98" s="561" t="s">
        <v>1648</v>
      </c>
      <c r="K98" s="330" t="s">
        <v>2184</v>
      </c>
      <c r="L98" s="330" t="s">
        <v>2185</v>
      </c>
      <c r="M98" s="330" t="s">
        <v>2186</v>
      </c>
      <c r="N98" s="330" t="s">
        <v>2187</v>
      </c>
      <c r="O98" s="395">
        <v>45439</v>
      </c>
      <c r="P98" s="333">
        <v>8626273</v>
      </c>
      <c r="Q98" s="330" t="s">
        <v>1653</v>
      </c>
      <c r="R98" s="562">
        <v>0</v>
      </c>
      <c r="S98" s="333">
        <v>0</v>
      </c>
      <c r="T98" s="333">
        <v>-2788156.54</v>
      </c>
      <c r="U98" s="333">
        <f t="shared" si="10"/>
        <v>-2788156.54</v>
      </c>
      <c r="V98" s="333">
        <v>-150000</v>
      </c>
      <c r="W98" s="333">
        <v>0</v>
      </c>
      <c r="X98" s="333">
        <v>0</v>
      </c>
      <c r="Y98" s="333">
        <v>0</v>
      </c>
      <c r="Z98" s="333">
        <v>0</v>
      </c>
      <c r="AA98" s="333">
        <v>0</v>
      </c>
      <c r="AB98" s="333">
        <v>0</v>
      </c>
      <c r="AC98" s="333">
        <v>-28846</v>
      </c>
      <c r="AD98" s="333">
        <v>0</v>
      </c>
      <c r="AE98" s="333"/>
      <c r="AF98" s="333"/>
      <c r="AG98" s="333">
        <f t="shared" si="11"/>
        <v>-2967002.54</v>
      </c>
      <c r="AH98" s="330"/>
      <c r="AI98" s="330">
        <v>28846</v>
      </c>
      <c r="AJ98" s="396">
        <f t="shared" si="12"/>
        <v>-2967002.54</v>
      </c>
      <c r="AK98" s="563"/>
      <c r="AL98" s="285">
        <f t="shared" si="16"/>
        <v>0</v>
      </c>
      <c r="AM98" s="286"/>
      <c r="AO98" s="330" t="s">
        <v>2184</v>
      </c>
    </row>
    <row r="99" spans="1:41">
      <c r="A99" s="587">
        <f t="shared" si="13"/>
        <v>96</v>
      </c>
      <c r="B99" s="330" t="s">
        <v>1643</v>
      </c>
      <c r="C99" s="330" t="s">
        <v>2188</v>
      </c>
      <c r="D99" s="330" t="s">
        <v>1662</v>
      </c>
      <c r="E99" s="330" t="s">
        <v>2189</v>
      </c>
      <c r="F99" s="330" t="s">
        <v>1671</v>
      </c>
      <c r="G99" s="562">
        <v>1498</v>
      </c>
      <c r="H99" s="562">
        <v>954.87</v>
      </c>
      <c r="I99" s="562">
        <v>1069.73</v>
      </c>
      <c r="J99" s="561" t="s">
        <v>1648</v>
      </c>
      <c r="K99" s="330" t="s">
        <v>2190</v>
      </c>
      <c r="L99" s="330" t="s">
        <v>2191</v>
      </c>
      <c r="M99" s="330" t="s">
        <v>2192</v>
      </c>
      <c r="N99" s="330" t="s">
        <v>2193</v>
      </c>
      <c r="O99" s="395">
        <v>45467</v>
      </c>
      <c r="P99" s="333">
        <v>8633905</v>
      </c>
      <c r="Q99" s="330" t="s">
        <v>1653</v>
      </c>
      <c r="R99" s="562">
        <v>0</v>
      </c>
      <c r="S99" s="333">
        <v>0</v>
      </c>
      <c r="T99" s="333">
        <v>-2590171.42</v>
      </c>
      <c r="U99" s="333">
        <f t="shared" si="10"/>
        <v>-2590171.42</v>
      </c>
      <c r="V99" s="333">
        <v>0</v>
      </c>
      <c r="W99" s="333">
        <v>0</v>
      </c>
      <c r="X99" s="333">
        <v>0</v>
      </c>
      <c r="Y99" s="333">
        <v>0</v>
      </c>
      <c r="Z99" s="333">
        <v>0</v>
      </c>
      <c r="AA99" s="333">
        <v>0</v>
      </c>
      <c r="AB99" s="333">
        <v>0</v>
      </c>
      <c r="AC99" s="333">
        <v>0</v>
      </c>
      <c r="AD99" s="333">
        <v>0</v>
      </c>
      <c r="AE99" s="333"/>
      <c r="AF99" s="333"/>
      <c r="AG99" s="333">
        <f t="shared" si="11"/>
        <v>-2590171.42</v>
      </c>
      <c r="AH99" s="330"/>
      <c r="AI99" s="330">
        <v>0</v>
      </c>
      <c r="AJ99" s="396">
        <f t="shared" si="12"/>
        <v>-2590171.42</v>
      </c>
      <c r="AK99" s="563"/>
      <c r="AL99" s="285">
        <f t="shared" si="14"/>
        <v>0</v>
      </c>
      <c r="AM99" s="286"/>
      <c r="AO99" s="330" t="s">
        <v>2190</v>
      </c>
    </row>
    <row r="100" spans="1:41">
      <c r="A100" s="587">
        <f t="shared" si="13"/>
        <v>97</v>
      </c>
      <c r="B100" s="330" t="s">
        <v>1643</v>
      </c>
      <c r="C100" s="330" t="s">
        <v>2194</v>
      </c>
      <c r="D100" s="330" t="s">
        <v>1645</v>
      </c>
      <c r="E100" s="330" t="s">
        <v>2195</v>
      </c>
      <c r="F100" s="330" t="s">
        <v>1671</v>
      </c>
      <c r="G100" s="562">
        <v>1498</v>
      </c>
      <c r="H100" s="562">
        <v>954.87</v>
      </c>
      <c r="I100" s="562">
        <v>1069.73</v>
      </c>
      <c r="J100" s="561" t="s">
        <v>1648</v>
      </c>
      <c r="K100" s="330" t="s">
        <v>2196</v>
      </c>
      <c r="L100" s="330" t="s">
        <v>2197</v>
      </c>
      <c r="M100" s="330" t="s">
        <v>2198</v>
      </c>
      <c r="N100" s="330" t="s">
        <v>2199</v>
      </c>
      <c r="O100" s="395">
        <v>45744</v>
      </c>
      <c r="P100" s="333">
        <v>9124952</v>
      </c>
      <c r="Q100" s="330" t="s">
        <v>1653</v>
      </c>
      <c r="R100" s="562">
        <v>0</v>
      </c>
      <c r="S100" s="333">
        <v>0</v>
      </c>
      <c r="T100" s="333">
        <v>-812120.72</v>
      </c>
      <c r="U100" s="333">
        <f t="shared" si="10"/>
        <v>-812120.72</v>
      </c>
      <c r="V100" s="333">
        <v>-1952740.85</v>
      </c>
      <c r="W100" s="333">
        <v>0</v>
      </c>
      <c r="X100" s="333">
        <v>0</v>
      </c>
      <c r="Y100" s="333">
        <v>0</v>
      </c>
      <c r="Z100" s="333">
        <v>0</v>
      </c>
      <c r="AA100" s="333">
        <v>0</v>
      </c>
      <c r="AB100" s="333">
        <v>0</v>
      </c>
      <c r="AC100" s="333">
        <v>0</v>
      </c>
      <c r="AD100" s="333">
        <v>0</v>
      </c>
      <c r="AE100" s="333"/>
      <c r="AF100" s="333"/>
      <c r="AG100" s="333">
        <f t="shared" si="11"/>
        <v>-2764861.5700000003</v>
      </c>
      <c r="AH100" s="330"/>
      <c r="AI100" s="330">
        <v>0</v>
      </c>
      <c r="AJ100" s="396">
        <f t="shared" si="12"/>
        <v>-2764861.5700000003</v>
      </c>
      <c r="AK100" s="563"/>
      <c r="AL100" s="285">
        <f t="shared" si="14"/>
        <v>0</v>
      </c>
      <c r="AM100" s="286"/>
      <c r="AO100" s="330" t="s">
        <v>2196</v>
      </c>
    </row>
    <row r="101" spans="1:41">
      <c r="A101" s="587">
        <f t="shared" si="13"/>
        <v>98</v>
      </c>
      <c r="B101" s="330" t="s">
        <v>1643</v>
      </c>
      <c r="C101" s="330" t="s">
        <v>2200</v>
      </c>
      <c r="D101" s="330" t="s">
        <v>1645</v>
      </c>
      <c r="E101" s="330" t="s">
        <v>1918</v>
      </c>
      <c r="F101" s="330" t="s">
        <v>1647</v>
      </c>
      <c r="G101" s="562">
        <v>1114</v>
      </c>
      <c r="H101" s="562">
        <v>683.3</v>
      </c>
      <c r="I101" s="562">
        <v>795.57</v>
      </c>
      <c r="J101" s="561" t="s">
        <v>1810</v>
      </c>
      <c r="K101" s="330" t="s">
        <v>2201</v>
      </c>
      <c r="L101" s="330" t="s">
        <v>2202</v>
      </c>
      <c r="M101" s="330" t="s">
        <v>2203</v>
      </c>
      <c r="N101" s="330" t="s">
        <v>2204</v>
      </c>
      <c r="O101" s="395">
        <v>45443</v>
      </c>
      <c r="P101" s="333">
        <v>6337489</v>
      </c>
      <c r="Q101" s="330" t="s">
        <v>1653</v>
      </c>
      <c r="R101" s="562">
        <v>0</v>
      </c>
      <c r="S101" s="333">
        <v>0</v>
      </c>
      <c r="T101" s="333">
        <v>-1956069.5500000007</v>
      </c>
      <c r="U101" s="333">
        <f t="shared" si="10"/>
        <v>-1956069.5500000007</v>
      </c>
      <c r="V101" s="333">
        <v>0</v>
      </c>
      <c r="W101" s="333">
        <v>0</v>
      </c>
      <c r="X101" s="333">
        <v>0</v>
      </c>
      <c r="Y101" s="333">
        <v>0</v>
      </c>
      <c r="Z101" s="333">
        <v>0</v>
      </c>
      <c r="AA101" s="333">
        <v>0</v>
      </c>
      <c r="AB101" s="333">
        <v>0</v>
      </c>
      <c r="AC101" s="333">
        <v>-8550</v>
      </c>
      <c r="AD101" s="333">
        <v>0</v>
      </c>
      <c r="AE101" s="333"/>
      <c r="AF101" s="333"/>
      <c r="AG101" s="333">
        <f t="shared" si="11"/>
        <v>-1964619.5500000007</v>
      </c>
      <c r="AH101" s="330"/>
      <c r="AI101" s="330">
        <v>8550</v>
      </c>
      <c r="AJ101" s="396">
        <f t="shared" si="12"/>
        <v>-1964619.5500000007</v>
      </c>
      <c r="AK101" s="563"/>
      <c r="AL101" s="285">
        <f t="shared" ref="AL101:AL102" si="17">+AC101+AI101</f>
        <v>0</v>
      </c>
      <c r="AM101" s="286"/>
      <c r="AO101" s="330" t="s">
        <v>2201</v>
      </c>
    </row>
    <row r="102" spans="1:41">
      <c r="A102" s="587">
        <f t="shared" si="13"/>
        <v>99</v>
      </c>
      <c r="B102" s="330" t="s">
        <v>1643</v>
      </c>
      <c r="C102" s="330" t="s">
        <v>2205</v>
      </c>
      <c r="D102" s="330" t="s">
        <v>1746</v>
      </c>
      <c r="E102" s="330" t="s">
        <v>2206</v>
      </c>
      <c r="F102" s="330" t="s">
        <v>1647</v>
      </c>
      <c r="G102" s="562">
        <v>1114</v>
      </c>
      <c r="H102" s="562">
        <v>683.3</v>
      </c>
      <c r="I102" s="562">
        <v>795.57</v>
      </c>
      <c r="J102" s="561" t="s">
        <v>1648</v>
      </c>
      <c r="K102" s="330" t="s">
        <v>2207</v>
      </c>
      <c r="L102" s="330" t="s">
        <v>2208</v>
      </c>
      <c r="M102" s="330" t="s">
        <v>2209</v>
      </c>
      <c r="N102" s="330" t="s">
        <v>2210</v>
      </c>
      <c r="O102" s="395">
        <v>45429</v>
      </c>
      <c r="P102" s="333">
        <v>6287368</v>
      </c>
      <c r="Q102" s="330" t="s">
        <v>1653</v>
      </c>
      <c r="R102" s="562">
        <v>0</v>
      </c>
      <c r="S102" s="333">
        <v>0</v>
      </c>
      <c r="T102" s="333">
        <v>-1937705.8600000003</v>
      </c>
      <c r="U102" s="333">
        <f t="shared" si="10"/>
        <v>-1937705.8600000003</v>
      </c>
      <c r="V102" s="333">
        <v>0</v>
      </c>
      <c r="W102" s="333">
        <v>0</v>
      </c>
      <c r="X102" s="333">
        <v>0</v>
      </c>
      <c r="Y102" s="333">
        <v>0</v>
      </c>
      <c r="Z102" s="333">
        <v>0</v>
      </c>
      <c r="AA102" s="333">
        <v>0</v>
      </c>
      <c r="AB102" s="333">
        <v>0</v>
      </c>
      <c r="AC102" s="333">
        <v>-11377.62</v>
      </c>
      <c r="AD102" s="333">
        <v>0</v>
      </c>
      <c r="AE102" s="333"/>
      <c r="AF102" s="333"/>
      <c r="AG102" s="333">
        <f t="shared" si="11"/>
        <v>-1949083.4800000004</v>
      </c>
      <c r="AH102" s="330"/>
      <c r="AI102" s="330">
        <v>11377.62</v>
      </c>
      <c r="AJ102" s="396">
        <f t="shared" si="12"/>
        <v>-1949083.4800000004</v>
      </c>
      <c r="AK102" s="563"/>
      <c r="AL102" s="285">
        <f t="shared" si="17"/>
        <v>0</v>
      </c>
      <c r="AM102" s="286"/>
      <c r="AO102" s="330" t="s">
        <v>2207</v>
      </c>
    </row>
    <row r="103" spans="1:41">
      <c r="A103" s="587">
        <f t="shared" si="13"/>
        <v>100</v>
      </c>
      <c r="B103" s="330" t="s">
        <v>1643</v>
      </c>
      <c r="C103" s="330" t="s">
        <v>2211</v>
      </c>
      <c r="D103" s="330" t="s">
        <v>1655</v>
      </c>
      <c r="E103" s="330" t="s">
        <v>2212</v>
      </c>
      <c r="F103" s="330" t="s">
        <v>1786</v>
      </c>
      <c r="G103" s="562">
        <v>1265</v>
      </c>
      <c r="H103" s="562">
        <v>813.33</v>
      </c>
      <c r="I103" s="562">
        <v>903.31</v>
      </c>
      <c r="J103" s="561" t="s">
        <v>1810</v>
      </c>
      <c r="K103" s="330" t="s">
        <v>2213</v>
      </c>
      <c r="L103" s="330" t="s">
        <v>2214</v>
      </c>
      <c r="M103" s="330" t="s">
        <v>2215</v>
      </c>
      <c r="N103" s="330" t="s">
        <v>12</v>
      </c>
      <c r="O103" s="395"/>
      <c r="P103" s="333">
        <v>7339238</v>
      </c>
      <c r="Q103" s="330" t="s">
        <v>1660</v>
      </c>
      <c r="R103" s="562">
        <v>0</v>
      </c>
      <c r="S103" s="333">
        <v>0</v>
      </c>
      <c r="T103" s="333">
        <v>-129000</v>
      </c>
      <c r="U103" s="333">
        <f t="shared" si="10"/>
        <v>-129000</v>
      </c>
      <c r="V103" s="333">
        <v>129000</v>
      </c>
      <c r="W103" s="333">
        <v>0</v>
      </c>
      <c r="X103" s="333">
        <v>0</v>
      </c>
      <c r="Y103" s="333">
        <v>0</v>
      </c>
      <c r="Z103" s="333">
        <v>0</v>
      </c>
      <c r="AA103" s="333">
        <v>0</v>
      </c>
      <c r="AB103" s="333">
        <v>0</v>
      </c>
      <c r="AC103" s="333">
        <v>0</v>
      </c>
      <c r="AD103" s="333">
        <v>0</v>
      </c>
      <c r="AE103" s="333"/>
      <c r="AF103" s="333"/>
      <c r="AG103" s="333">
        <f t="shared" si="11"/>
        <v>0</v>
      </c>
      <c r="AH103" s="330"/>
      <c r="AI103" s="330">
        <v>0</v>
      </c>
      <c r="AJ103" s="396">
        <f t="shared" si="12"/>
        <v>0</v>
      </c>
      <c r="AK103" s="563"/>
      <c r="AL103" s="285">
        <f t="shared" si="14"/>
        <v>0</v>
      </c>
      <c r="AM103" s="286"/>
      <c r="AO103" s="330" t="s">
        <v>2213</v>
      </c>
    </row>
    <row r="104" spans="1:41">
      <c r="A104" s="587">
        <f t="shared" si="13"/>
        <v>101</v>
      </c>
      <c r="B104" s="330" t="s">
        <v>1643</v>
      </c>
      <c r="C104" s="330" t="s">
        <v>2216</v>
      </c>
      <c r="D104" s="330" t="s">
        <v>1746</v>
      </c>
      <c r="E104" s="330" t="s">
        <v>1947</v>
      </c>
      <c r="F104" s="330" t="s">
        <v>1647</v>
      </c>
      <c r="G104" s="562">
        <v>1012</v>
      </c>
      <c r="H104" s="562">
        <v>653.59</v>
      </c>
      <c r="I104" s="562">
        <v>723.02</v>
      </c>
      <c r="J104" s="561" t="s">
        <v>1679</v>
      </c>
      <c r="K104" s="330" t="s">
        <v>2217</v>
      </c>
      <c r="L104" s="330" t="s">
        <v>2218</v>
      </c>
      <c r="M104" s="330" t="s">
        <v>2219</v>
      </c>
      <c r="N104" s="330" t="s">
        <v>2220</v>
      </c>
      <c r="O104" s="395">
        <v>45429</v>
      </c>
      <c r="P104" s="333">
        <v>5729194</v>
      </c>
      <c r="Q104" s="330" t="s">
        <v>1653</v>
      </c>
      <c r="R104" s="562">
        <v>0</v>
      </c>
      <c r="S104" s="333">
        <v>0</v>
      </c>
      <c r="T104" s="333">
        <v>-1771334.0199999998</v>
      </c>
      <c r="U104" s="333">
        <f t="shared" si="10"/>
        <v>-1771334.0199999998</v>
      </c>
      <c r="V104" s="333">
        <v>0</v>
      </c>
      <c r="W104" s="333">
        <v>0</v>
      </c>
      <c r="X104" s="333">
        <v>0</v>
      </c>
      <c r="Y104" s="333">
        <v>0</v>
      </c>
      <c r="Z104" s="333">
        <v>0</v>
      </c>
      <c r="AA104" s="333">
        <v>0</v>
      </c>
      <c r="AB104" s="333">
        <v>0</v>
      </c>
      <c r="AC104" s="333">
        <v>0</v>
      </c>
      <c r="AD104" s="333">
        <v>0</v>
      </c>
      <c r="AE104" s="333"/>
      <c r="AF104" s="333"/>
      <c r="AG104" s="333">
        <f t="shared" si="11"/>
        <v>-1771334.0199999998</v>
      </c>
      <c r="AH104" s="330"/>
      <c r="AI104" s="330">
        <v>0</v>
      </c>
      <c r="AJ104" s="396">
        <f t="shared" si="12"/>
        <v>-1771334.0199999998</v>
      </c>
      <c r="AK104" s="563"/>
      <c r="AL104" s="285">
        <f t="shared" si="14"/>
        <v>0</v>
      </c>
      <c r="AM104" s="286"/>
      <c r="AO104" s="330" t="s">
        <v>2217</v>
      </c>
    </row>
    <row r="105" spans="1:41">
      <c r="A105" s="587">
        <f t="shared" si="13"/>
        <v>102</v>
      </c>
      <c r="B105" s="330" t="s">
        <v>1643</v>
      </c>
      <c r="C105" s="330" t="s">
        <v>2221</v>
      </c>
      <c r="D105" s="330" t="s">
        <v>1662</v>
      </c>
      <c r="E105" s="330" t="s">
        <v>2100</v>
      </c>
      <c r="F105" s="330" t="s">
        <v>1647</v>
      </c>
      <c r="G105" s="562">
        <v>1114</v>
      </c>
      <c r="H105" s="562">
        <v>683.3</v>
      </c>
      <c r="I105" s="562">
        <v>795.57</v>
      </c>
      <c r="J105" s="561" t="s">
        <v>1648</v>
      </c>
      <c r="K105" s="330" t="s">
        <v>2222</v>
      </c>
      <c r="L105" s="330" t="s">
        <v>2223</v>
      </c>
      <c r="M105" s="330" t="s">
        <v>2224</v>
      </c>
      <c r="N105" s="330" t="s">
        <v>2225</v>
      </c>
      <c r="O105" s="395">
        <v>45427</v>
      </c>
      <c r="P105" s="333">
        <v>6287368</v>
      </c>
      <c r="Q105" s="330" t="s">
        <v>1653</v>
      </c>
      <c r="R105" s="562">
        <v>0</v>
      </c>
      <c r="S105" s="333">
        <v>0</v>
      </c>
      <c r="T105" s="333">
        <v>-1927842.16</v>
      </c>
      <c r="U105" s="333">
        <f t="shared" si="10"/>
        <v>-1927842.16</v>
      </c>
      <c r="V105" s="333">
        <v>0</v>
      </c>
      <c r="W105" s="333">
        <v>0</v>
      </c>
      <c r="X105" s="333">
        <v>0</v>
      </c>
      <c r="Y105" s="333">
        <v>0</v>
      </c>
      <c r="Z105" s="333">
        <v>0</v>
      </c>
      <c r="AA105" s="333">
        <v>0</v>
      </c>
      <c r="AB105" s="333">
        <v>0</v>
      </c>
      <c r="AC105" s="333">
        <v>-2381</v>
      </c>
      <c r="AD105" s="333">
        <v>0</v>
      </c>
      <c r="AE105" s="333"/>
      <c r="AF105" s="333"/>
      <c r="AG105" s="333">
        <f t="shared" si="11"/>
        <v>-1930223.16</v>
      </c>
      <c r="AH105" s="330"/>
      <c r="AI105" s="330">
        <v>2381</v>
      </c>
      <c r="AJ105" s="396">
        <f t="shared" si="12"/>
        <v>-1930223.16</v>
      </c>
      <c r="AK105" s="563"/>
      <c r="AL105" s="285">
        <f>+AC105+AI105</f>
        <v>0</v>
      </c>
      <c r="AM105" s="286"/>
      <c r="AO105" s="330" t="s">
        <v>2222</v>
      </c>
    </row>
    <row r="106" spans="1:41">
      <c r="A106" s="587">
        <f t="shared" si="13"/>
        <v>103</v>
      </c>
      <c r="B106" s="330" t="s">
        <v>1643</v>
      </c>
      <c r="C106" s="330" t="s">
        <v>2226</v>
      </c>
      <c r="D106" s="330" t="s">
        <v>1677</v>
      </c>
      <c r="E106" s="330" t="s">
        <v>2227</v>
      </c>
      <c r="F106" s="330" t="s">
        <v>1647</v>
      </c>
      <c r="G106" s="562">
        <v>1012</v>
      </c>
      <c r="H106" s="562">
        <v>653.59</v>
      </c>
      <c r="I106" s="562">
        <v>723.02</v>
      </c>
      <c r="J106" s="561" t="s">
        <v>1648</v>
      </c>
      <c r="K106" s="330" t="s">
        <v>2228</v>
      </c>
      <c r="L106" s="330" t="s">
        <v>2229</v>
      </c>
      <c r="M106" s="330" t="s">
        <v>2230</v>
      </c>
      <c r="N106" s="330" t="s">
        <v>12</v>
      </c>
      <c r="O106" s="395"/>
      <c r="P106" s="333">
        <v>6301714</v>
      </c>
      <c r="Q106" s="330" t="s">
        <v>1660</v>
      </c>
      <c r="R106" s="562">
        <v>0</v>
      </c>
      <c r="S106" s="333">
        <v>0</v>
      </c>
      <c r="T106" s="333">
        <v>0</v>
      </c>
      <c r="U106" s="333">
        <f t="shared" si="10"/>
        <v>0</v>
      </c>
      <c r="V106" s="333">
        <v>0</v>
      </c>
      <c r="W106" s="333">
        <v>0</v>
      </c>
      <c r="X106" s="333">
        <v>0</v>
      </c>
      <c r="Y106" s="333">
        <v>0</v>
      </c>
      <c r="Z106" s="333">
        <v>0</v>
      </c>
      <c r="AA106" s="333">
        <v>0</v>
      </c>
      <c r="AB106" s="333">
        <v>0</v>
      </c>
      <c r="AC106" s="333">
        <v>0</v>
      </c>
      <c r="AD106" s="333">
        <v>0</v>
      </c>
      <c r="AE106" s="333"/>
      <c r="AF106" s="333"/>
      <c r="AG106" s="333">
        <f t="shared" si="11"/>
        <v>0</v>
      </c>
      <c r="AH106" s="330"/>
      <c r="AI106" s="330">
        <v>0</v>
      </c>
      <c r="AJ106" s="396">
        <f t="shared" si="12"/>
        <v>0</v>
      </c>
      <c r="AK106" s="563"/>
      <c r="AL106" s="285">
        <f t="shared" si="14"/>
        <v>0</v>
      </c>
      <c r="AM106" s="286"/>
      <c r="AO106" s="330" t="s">
        <v>2228</v>
      </c>
    </row>
    <row r="107" spans="1:41">
      <c r="A107" s="587">
        <f t="shared" si="13"/>
        <v>104</v>
      </c>
      <c r="B107" s="330" t="s">
        <v>1643</v>
      </c>
      <c r="C107" s="330" t="s">
        <v>2231</v>
      </c>
      <c r="D107" s="330" t="s">
        <v>1662</v>
      </c>
      <c r="E107" s="330" t="s">
        <v>1803</v>
      </c>
      <c r="F107" s="330" t="s">
        <v>1671</v>
      </c>
      <c r="G107" s="562">
        <v>1375</v>
      </c>
      <c r="H107" s="562">
        <v>876.73</v>
      </c>
      <c r="I107" s="562">
        <v>982.22</v>
      </c>
      <c r="J107" s="561" t="s">
        <v>1648</v>
      </c>
      <c r="K107" s="330" t="s">
        <v>2232</v>
      </c>
      <c r="L107" s="330" t="s">
        <v>2233</v>
      </c>
      <c r="M107" s="330" t="s">
        <v>2234</v>
      </c>
      <c r="N107" s="330" t="s">
        <v>2235</v>
      </c>
      <c r="O107" s="395">
        <v>45443</v>
      </c>
      <c r="P107" s="333">
        <v>7762445</v>
      </c>
      <c r="Q107" s="330" t="s">
        <v>1653</v>
      </c>
      <c r="R107" s="562">
        <v>0</v>
      </c>
      <c r="S107" s="333">
        <v>0</v>
      </c>
      <c r="T107" s="333">
        <v>-2628833.3200000003</v>
      </c>
      <c r="U107" s="333">
        <f t="shared" si="10"/>
        <v>-2628833.3200000003</v>
      </c>
      <c r="V107" s="333">
        <v>-95238</v>
      </c>
      <c r="W107" s="333">
        <v>0</v>
      </c>
      <c r="X107" s="333">
        <v>0</v>
      </c>
      <c r="Y107" s="333">
        <v>0</v>
      </c>
      <c r="Z107" s="333">
        <v>0</v>
      </c>
      <c r="AA107" s="333">
        <v>0</v>
      </c>
      <c r="AB107" s="333">
        <v>0</v>
      </c>
      <c r="AC107" s="333">
        <v>0</v>
      </c>
      <c r="AD107" s="333">
        <v>0</v>
      </c>
      <c r="AE107" s="333"/>
      <c r="AF107" s="333"/>
      <c r="AG107" s="333">
        <f t="shared" si="11"/>
        <v>-2724071.3200000003</v>
      </c>
      <c r="AH107" s="330"/>
      <c r="AI107" s="330">
        <v>0</v>
      </c>
      <c r="AJ107" s="396">
        <f t="shared" si="12"/>
        <v>-2724071.3200000003</v>
      </c>
      <c r="AK107" s="563"/>
      <c r="AL107" s="285">
        <f>+AC107+AI107</f>
        <v>0</v>
      </c>
      <c r="AM107" s="286"/>
      <c r="AO107" s="330" t="s">
        <v>2232</v>
      </c>
    </row>
    <row r="108" spans="1:41">
      <c r="A108" s="587">
        <f t="shared" si="13"/>
        <v>105</v>
      </c>
      <c r="B108" s="330" t="s">
        <v>1643</v>
      </c>
      <c r="C108" s="330" t="s">
        <v>2236</v>
      </c>
      <c r="D108" s="330" t="s">
        <v>1662</v>
      </c>
      <c r="E108" s="330" t="s">
        <v>2237</v>
      </c>
      <c r="F108" s="330" t="s">
        <v>1647</v>
      </c>
      <c r="G108" s="562">
        <v>1012</v>
      </c>
      <c r="H108" s="562">
        <v>653.59</v>
      </c>
      <c r="I108" s="562">
        <v>723.02</v>
      </c>
      <c r="J108" s="561" t="s">
        <v>1648</v>
      </c>
      <c r="K108" s="330" t="s">
        <v>2238</v>
      </c>
      <c r="L108" s="330" t="s">
        <v>2239</v>
      </c>
      <c r="M108" s="330" t="s">
        <v>2240</v>
      </c>
      <c r="N108" s="330" t="s">
        <v>2241</v>
      </c>
      <c r="O108" s="395">
        <v>45439</v>
      </c>
      <c r="P108" s="333">
        <v>5698827</v>
      </c>
      <c r="Q108" s="330" t="s">
        <v>1653</v>
      </c>
      <c r="R108" s="562">
        <v>0</v>
      </c>
      <c r="S108" s="333">
        <v>0</v>
      </c>
      <c r="T108" s="333">
        <v>-1684647.5799999994</v>
      </c>
      <c r="U108" s="333">
        <f t="shared" si="10"/>
        <v>-1684647.5799999994</v>
      </c>
      <c r="V108" s="333">
        <v>-25000</v>
      </c>
      <c r="W108" s="333">
        <v>0</v>
      </c>
      <c r="X108" s="333">
        <v>0</v>
      </c>
      <c r="Y108" s="333">
        <v>0</v>
      </c>
      <c r="Z108" s="333">
        <v>0</v>
      </c>
      <c r="AA108" s="333">
        <v>0</v>
      </c>
      <c r="AB108" s="333">
        <v>0</v>
      </c>
      <c r="AC108" s="333">
        <v>0</v>
      </c>
      <c r="AD108" s="333">
        <v>0</v>
      </c>
      <c r="AE108" s="333"/>
      <c r="AF108" s="333"/>
      <c r="AG108" s="333">
        <f t="shared" si="11"/>
        <v>-1709647.5799999994</v>
      </c>
      <c r="AH108" s="330"/>
      <c r="AI108" s="330">
        <v>0</v>
      </c>
      <c r="AJ108" s="396">
        <f t="shared" si="12"/>
        <v>-1709647.5799999994</v>
      </c>
      <c r="AK108" s="563"/>
      <c r="AL108" s="285">
        <f t="shared" si="14"/>
        <v>0</v>
      </c>
      <c r="AM108" s="286"/>
      <c r="AO108" s="330" t="s">
        <v>2238</v>
      </c>
    </row>
    <row r="109" spans="1:41">
      <c r="A109" s="587">
        <f t="shared" si="13"/>
        <v>106</v>
      </c>
      <c r="B109" s="330" t="s">
        <v>1643</v>
      </c>
      <c r="C109" s="330" t="s">
        <v>2242</v>
      </c>
      <c r="D109" s="330" t="s">
        <v>1704</v>
      </c>
      <c r="E109" s="330" t="s">
        <v>2243</v>
      </c>
      <c r="F109" s="330" t="s">
        <v>1786</v>
      </c>
      <c r="G109" s="562">
        <v>1265</v>
      </c>
      <c r="H109" s="562">
        <v>813.33</v>
      </c>
      <c r="I109" s="562">
        <v>903.31</v>
      </c>
      <c r="J109" s="561" t="s">
        <v>1648</v>
      </c>
      <c r="K109" s="330" t="s">
        <v>2244</v>
      </c>
      <c r="L109" s="330" t="s">
        <v>2245</v>
      </c>
      <c r="M109" s="330" t="s">
        <v>2246</v>
      </c>
      <c r="N109" s="330" t="s">
        <v>2247</v>
      </c>
      <c r="O109" s="395">
        <v>45448</v>
      </c>
      <c r="P109" s="333">
        <v>7205333</v>
      </c>
      <c r="Q109" s="330" t="s">
        <v>1653</v>
      </c>
      <c r="R109" s="562">
        <v>0</v>
      </c>
      <c r="S109" s="333">
        <v>0</v>
      </c>
      <c r="T109" s="333">
        <v>-2233651.3299999982</v>
      </c>
      <c r="U109" s="333">
        <f t="shared" si="10"/>
        <v>-2233651.3299999982</v>
      </c>
      <c r="V109" s="333">
        <v>0</v>
      </c>
      <c r="W109" s="333">
        <v>0</v>
      </c>
      <c r="X109" s="333">
        <v>0</v>
      </c>
      <c r="Y109" s="333">
        <v>0</v>
      </c>
      <c r="Z109" s="333">
        <v>0</v>
      </c>
      <c r="AA109" s="333">
        <v>0</v>
      </c>
      <c r="AB109" s="333">
        <v>0</v>
      </c>
      <c r="AC109" s="333">
        <v>0</v>
      </c>
      <c r="AD109" s="333">
        <v>0</v>
      </c>
      <c r="AE109" s="333"/>
      <c r="AF109" s="333"/>
      <c r="AG109" s="333">
        <f t="shared" si="11"/>
        <v>-2233651.3299999982</v>
      </c>
      <c r="AH109" s="330"/>
      <c r="AI109" s="330">
        <v>0</v>
      </c>
      <c r="AJ109" s="396">
        <f t="shared" si="12"/>
        <v>-2233651.3299999982</v>
      </c>
      <c r="AK109" s="563"/>
      <c r="AL109" s="285">
        <f t="shared" si="14"/>
        <v>0</v>
      </c>
      <c r="AM109" s="286"/>
      <c r="AO109" s="330" t="s">
        <v>2244</v>
      </c>
    </row>
    <row r="110" spans="1:41">
      <c r="A110" s="587">
        <f t="shared" si="13"/>
        <v>107</v>
      </c>
      <c r="B110" s="330" t="s">
        <v>1643</v>
      </c>
      <c r="C110" s="330" t="s">
        <v>2248</v>
      </c>
      <c r="D110" s="330" t="s">
        <v>2153</v>
      </c>
      <c r="E110" s="330" t="s">
        <v>1775</v>
      </c>
      <c r="F110" s="330" t="s">
        <v>1671</v>
      </c>
      <c r="G110" s="562">
        <v>1498</v>
      </c>
      <c r="H110" s="562">
        <v>954.87</v>
      </c>
      <c r="I110" s="562">
        <v>1069.73</v>
      </c>
      <c r="J110" s="561" t="s">
        <v>1679</v>
      </c>
      <c r="K110" s="330" t="s">
        <v>2249</v>
      </c>
      <c r="L110" s="330" t="s">
        <v>2250</v>
      </c>
      <c r="M110" s="330" t="s">
        <v>2251</v>
      </c>
      <c r="N110" s="330" t="s">
        <v>2252</v>
      </c>
      <c r="O110" s="395">
        <v>45506</v>
      </c>
      <c r="P110" s="333">
        <v>9080286</v>
      </c>
      <c r="Q110" s="330" t="s">
        <v>1653</v>
      </c>
      <c r="R110" s="562">
        <v>0</v>
      </c>
      <c r="S110" s="333">
        <v>0</v>
      </c>
      <c r="T110" s="333">
        <v>-2724084.5600000005</v>
      </c>
      <c r="U110" s="333">
        <f t="shared" si="10"/>
        <v>-2724084.5600000005</v>
      </c>
      <c r="V110" s="333">
        <v>0</v>
      </c>
      <c r="W110" s="333">
        <v>0</v>
      </c>
      <c r="X110" s="333">
        <v>0</v>
      </c>
      <c r="Y110" s="333">
        <v>0</v>
      </c>
      <c r="Z110" s="333">
        <v>0</v>
      </c>
      <c r="AA110" s="333">
        <v>0</v>
      </c>
      <c r="AB110" s="333">
        <v>0</v>
      </c>
      <c r="AC110" s="333">
        <v>0</v>
      </c>
      <c r="AD110" s="333">
        <v>0</v>
      </c>
      <c r="AE110" s="333"/>
      <c r="AF110" s="333"/>
      <c r="AG110" s="333">
        <f t="shared" si="11"/>
        <v>-2724084.5600000005</v>
      </c>
      <c r="AH110" s="330"/>
      <c r="AI110" s="330">
        <v>0</v>
      </c>
      <c r="AJ110" s="396">
        <f t="shared" si="12"/>
        <v>-2724084.5600000005</v>
      </c>
      <c r="AK110" s="563"/>
      <c r="AL110" s="285">
        <f t="shared" si="14"/>
        <v>0</v>
      </c>
      <c r="AM110" s="286"/>
      <c r="AO110" s="330" t="s">
        <v>2249</v>
      </c>
    </row>
    <row r="111" spans="1:41">
      <c r="A111" s="587">
        <f t="shared" si="13"/>
        <v>108</v>
      </c>
      <c r="B111" s="330" t="s">
        <v>1643</v>
      </c>
      <c r="C111" s="330" t="s">
        <v>2253</v>
      </c>
      <c r="D111" s="330" t="s">
        <v>1704</v>
      </c>
      <c r="E111" s="330" t="s">
        <v>1880</v>
      </c>
      <c r="F111" s="330" t="s">
        <v>1647</v>
      </c>
      <c r="G111" s="562">
        <v>1114</v>
      </c>
      <c r="H111" s="562">
        <v>683.3</v>
      </c>
      <c r="I111" s="562">
        <v>795.57</v>
      </c>
      <c r="J111" s="561" t="s">
        <v>1810</v>
      </c>
      <c r="K111" s="330" t="s">
        <v>2254</v>
      </c>
      <c r="L111" s="330" t="s">
        <v>2255</v>
      </c>
      <c r="M111" s="330" t="s">
        <v>2256</v>
      </c>
      <c r="N111" s="330" t="s">
        <v>2257</v>
      </c>
      <c r="O111" s="395">
        <v>45455</v>
      </c>
      <c r="P111" s="333">
        <v>6459429</v>
      </c>
      <c r="Q111" s="330" t="s">
        <v>1653</v>
      </c>
      <c r="R111" s="562">
        <v>0</v>
      </c>
      <c r="S111" s="333">
        <v>0</v>
      </c>
      <c r="T111" s="333">
        <v>-1996523.8499999999</v>
      </c>
      <c r="U111" s="333">
        <f t="shared" si="10"/>
        <v>-1996523.8499999999</v>
      </c>
      <c r="V111" s="333">
        <v>0</v>
      </c>
      <c r="W111" s="333">
        <v>0</v>
      </c>
      <c r="X111" s="333">
        <v>0</v>
      </c>
      <c r="Y111" s="333">
        <v>0</v>
      </c>
      <c r="Z111" s="333">
        <v>0</v>
      </c>
      <c r="AA111" s="333">
        <v>0</v>
      </c>
      <c r="AB111" s="333">
        <v>0</v>
      </c>
      <c r="AC111" s="333">
        <v>0</v>
      </c>
      <c r="AD111" s="333">
        <v>0</v>
      </c>
      <c r="AE111" s="333"/>
      <c r="AF111" s="333"/>
      <c r="AG111" s="333">
        <f t="shared" si="11"/>
        <v>-1996523.8499999999</v>
      </c>
      <c r="AH111" s="330"/>
      <c r="AI111" s="330">
        <v>0</v>
      </c>
      <c r="AJ111" s="396">
        <f t="shared" si="12"/>
        <v>-1996523.8499999999</v>
      </c>
      <c r="AK111" s="563"/>
      <c r="AL111" s="285">
        <f t="shared" si="14"/>
        <v>0</v>
      </c>
      <c r="AM111" s="286"/>
      <c r="AO111" s="330" t="s">
        <v>2254</v>
      </c>
    </row>
    <row r="112" spans="1:41">
      <c r="A112" s="587">
        <f t="shared" si="13"/>
        <v>109</v>
      </c>
      <c r="B112" s="330" t="s">
        <v>1643</v>
      </c>
      <c r="C112" s="330" t="s">
        <v>2258</v>
      </c>
      <c r="D112" s="330" t="s">
        <v>1645</v>
      </c>
      <c r="E112" s="330" t="s">
        <v>2259</v>
      </c>
      <c r="F112" s="330" t="s">
        <v>1671</v>
      </c>
      <c r="G112" s="562">
        <v>1375</v>
      </c>
      <c r="H112" s="562">
        <v>876.73</v>
      </c>
      <c r="I112" s="562">
        <v>982.22</v>
      </c>
      <c r="J112" s="561" t="s">
        <v>1810</v>
      </c>
      <c r="K112" s="330" t="s">
        <v>2260</v>
      </c>
      <c r="L112" s="330" t="s">
        <v>2261</v>
      </c>
      <c r="M112" s="330" t="s">
        <v>2262</v>
      </c>
      <c r="N112" s="330" t="s">
        <v>12</v>
      </c>
      <c r="O112" s="395"/>
      <c r="P112" s="333">
        <v>9100001</v>
      </c>
      <c r="Q112" s="330" t="s">
        <v>1660</v>
      </c>
      <c r="R112" s="562">
        <v>0</v>
      </c>
      <c r="S112" s="333">
        <v>0</v>
      </c>
      <c r="T112" s="333">
        <v>0</v>
      </c>
      <c r="U112" s="333">
        <f t="shared" si="10"/>
        <v>0</v>
      </c>
      <c r="V112" s="333">
        <v>0</v>
      </c>
      <c r="W112" s="333">
        <v>0</v>
      </c>
      <c r="X112" s="333">
        <v>0</v>
      </c>
      <c r="Y112" s="333">
        <v>0</v>
      </c>
      <c r="Z112" s="333">
        <v>0</v>
      </c>
      <c r="AA112" s="333">
        <v>0</v>
      </c>
      <c r="AB112" s="333">
        <v>0</v>
      </c>
      <c r="AC112" s="333">
        <v>0</v>
      </c>
      <c r="AD112" s="333">
        <v>0</v>
      </c>
      <c r="AE112" s="333"/>
      <c r="AF112" s="333"/>
      <c r="AG112" s="333">
        <f t="shared" si="11"/>
        <v>0</v>
      </c>
      <c r="AH112" s="330"/>
      <c r="AI112" s="330">
        <v>0</v>
      </c>
      <c r="AJ112" s="396">
        <f t="shared" si="12"/>
        <v>0</v>
      </c>
      <c r="AK112" s="563"/>
      <c r="AL112" s="285">
        <f t="shared" si="14"/>
        <v>0</v>
      </c>
      <c r="AM112" s="286"/>
      <c r="AO112" s="330" t="s">
        <v>2260</v>
      </c>
    </row>
    <row r="113" spans="1:41">
      <c r="A113" s="587">
        <f t="shared" si="13"/>
        <v>110</v>
      </c>
      <c r="B113" s="330" t="s">
        <v>1643</v>
      </c>
      <c r="C113" s="330" t="s">
        <v>2263</v>
      </c>
      <c r="D113" s="330" t="s">
        <v>1655</v>
      </c>
      <c r="E113" s="330" t="s">
        <v>2264</v>
      </c>
      <c r="F113" s="330" t="s">
        <v>1647</v>
      </c>
      <c r="G113" s="562">
        <v>1114</v>
      </c>
      <c r="H113" s="562">
        <v>683.3</v>
      </c>
      <c r="I113" s="562">
        <v>795.57</v>
      </c>
      <c r="J113" s="561" t="s">
        <v>1810</v>
      </c>
      <c r="K113" s="330" t="s">
        <v>2265</v>
      </c>
      <c r="L113" s="330" t="s">
        <v>2266</v>
      </c>
      <c r="M113" s="330" t="s">
        <v>2267</v>
      </c>
      <c r="N113" s="330" t="s">
        <v>12</v>
      </c>
      <c r="O113" s="395"/>
      <c r="P113" s="333">
        <v>7205333</v>
      </c>
      <c r="Q113" s="330" t="s">
        <v>1660</v>
      </c>
      <c r="R113" s="562">
        <v>0</v>
      </c>
      <c r="S113" s="333">
        <v>0</v>
      </c>
      <c r="T113" s="333">
        <v>0</v>
      </c>
      <c r="U113" s="333">
        <f t="shared" si="10"/>
        <v>0</v>
      </c>
      <c r="V113" s="333">
        <v>0</v>
      </c>
      <c r="W113" s="333">
        <v>0</v>
      </c>
      <c r="X113" s="333">
        <v>0</v>
      </c>
      <c r="Y113" s="333">
        <v>0</v>
      </c>
      <c r="Z113" s="333">
        <v>0</v>
      </c>
      <c r="AA113" s="333">
        <v>0</v>
      </c>
      <c r="AB113" s="333">
        <v>0</v>
      </c>
      <c r="AC113" s="333">
        <v>0</v>
      </c>
      <c r="AD113" s="333">
        <v>0</v>
      </c>
      <c r="AE113" s="333"/>
      <c r="AF113" s="333"/>
      <c r="AG113" s="333">
        <f t="shared" si="11"/>
        <v>0</v>
      </c>
      <c r="AH113" s="330"/>
      <c r="AI113" s="330">
        <v>0</v>
      </c>
      <c r="AJ113" s="396">
        <f t="shared" si="12"/>
        <v>0</v>
      </c>
      <c r="AK113" s="563"/>
      <c r="AL113" s="285">
        <f t="shared" si="14"/>
        <v>0</v>
      </c>
      <c r="AM113" s="286"/>
      <c r="AO113" s="330" t="s">
        <v>2265</v>
      </c>
    </row>
    <row r="114" spans="1:41">
      <c r="A114" s="587">
        <f t="shared" si="13"/>
        <v>111</v>
      </c>
      <c r="B114" s="330" t="s">
        <v>1643</v>
      </c>
      <c r="C114" s="330" t="s">
        <v>2268</v>
      </c>
      <c r="D114" s="330" t="s">
        <v>1704</v>
      </c>
      <c r="E114" s="330" t="s">
        <v>2269</v>
      </c>
      <c r="F114" s="330" t="s">
        <v>1647</v>
      </c>
      <c r="G114" s="562">
        <v>1114</v>
      </c>
      <c r="H114" s="562">
        <v>683.3</v>
      </c>
      <c r="I114" s="562">
        <v>795.57</v>
      </c>
      <c r="J114" s="561" t="s">
        <v>1810</v>
      </c>
      <c r="K114" s="330" t="s">
        <v>2270</v>
      </c>
      <c r="L114" s="330" t="s">
        <v>2271</v>
      </c>
      <c r="M114" s="330" t="s">
        <v>2272</v>
      </c>
      <c r="N114" s="330" t="s">
        <v>2146</v>
      </c>
      <c r="O114" s="395">
        <v>45474</v>
      </c>
      <c r="P114" s="333">
        <v>6714286</v>
      </c>
      <c r="Q114" s="330" t="s">
        <v>1653</v>
      </c>
      <c r="R114" s="562">
        <v>0</v>
      </c>
      <c r="S114" s="333">
        <v>0</v>
      </c>
      <c r="T114" s="333">
        <v>-2081428.5600000008</v>
      </c>
      <c r="U114" s="333">
        <f t="shared" si="10"/>
        <v>-2081428.5600000008</v>
      </c>
      <c r="V114" s="333">
        <v>0</v>
      </c>
      <c r="W114" s="333">
        <v>0</v>
      </c>
      <c r="X114" s="333">
        <v>0</v>
      </c>
      <c r="Y114" s="333">
        <v>0</v>
      </c>
      <c r="Z114" s="333">
        <v>0</v>
      </c>
      <c r="AA114" s="333">
        <v>0</v>
      </c>
      <c r="AB114" s="333">
        <v>0</v>
      </c>
      <c r="AC114" s="333">
        <v>0</v>
      </c>
      <c r="AD114" s="333">
        <v>0</v>
      </c>
      <c r="AE114" s="333"/>
      <c r="AF114" s="333"/>
      <c r="AG114" s="333">
        <f t="shared" si="11"/>
        <v>-2081428.5600000008</v>
      </c>
      <c r="AH114" s="330"/>
      <c r="AI114" s="330">
        <v>0</v>
      </c>
      <c r="AJ114" s="396">
        <f t="shared" si="12"/>
        <v>-2081428.5600000008</v>
      </c>
      <c r="AK114" s="563"/>
      <c r="AL114" s="285">
        <f t="shared" si="14"/>
        <v>0</v>
      </c>
      <c r="AM114" s="286"/>
      <c r="AO114" s="330" t="s">
        <v>2270</v>
      </c>
    </row>
    <row r="115" spans="1:41">
      <c r="A115" s="587">
        <f t="shared" si="13"/>
        <v>112</v>
      </c>
      <c r="B115" s="330" t="s">
        <v>1643</v>
      </c>
      <c r="C115" s="330" t="s">
        <v>2273</v>
      </c>
      <c r="D115" s="330" t="s">
        <v>1746</v>
      </c>
      <c r="E115" s="330" t="s">
        <v>2274</v>
      </c>
      <c r="F115" s="330" t="s">
        <v>1647</v>
      </c>
      <c r="G115" s="562">
        <v>1012</v>
      </c>
      <c r="H115" s="562">
        <v>653.59</v>
      </c>
      <c r="I115" s="562">
        <v>723.02</v>
      </c>
      <c r="J115" s="561" t="s">
        <v>1810</v>
      </c>
      <c r="K115" s="330" t="s">
        <v>2275</v>
      </c>
      <c r="L115" s="330" t="s">
        <v>2276</v>
      </c>
      <c r="M115" s="330" t="s">
        <v>2277</v>
      </c>
      <c r="N115" s="330" t="s">
        <v>2278</v>
      </c>
      <c r="O115" s="395">
        <v>45462</v>
      </c>
      <c r="P115" s="333">
        <v>5808000</v>
      </c>
      <c r="Q115" s="330" t="s">
        <v>1653</v>
      </c>
      <c r="R115" s="562">
        <v>0</v>
      </c>
      <c r="S115" s="333">
        <v>0</v>
      </c>
      <c r="T115" s="333">
        <v>-1742400</v>
      </c>
      <c r="U115" s="333">
        <f t="shared" si="10"/>
        <v>-1742400</v>
      </c>
      <c r="V115" s="333">
        <v>0</v>
      </c>
      <c r="W115" s="333">
        <v>0</v>
      </c>
      <c r="X115" s="333">
        <v>0</v>
      </c>
      <c r="Y115" s="333">
        <v>0</v>
      </c>
      <c r="Z115" s="333">
        <v>0</v>
      </c>
      <c r="AA115" s="333">
        <v>0</v>
      </c>
      <c r="AB115" s="333">
        <v>0</v>
      </c>
      <c r="AC115" s="333">
        <v>0</v>
      </c>
      <c r="AD115" s="333">
        <v>0</v>
      </c>
      <c r="AE115" s="333"/>
      <c r="AF115" s="333"/>
      <c r="AG115" s="333">
        <f t="shared" si="11"/>
        <v>-1742400</v>
      </c>
      <c r="AH115" s="330"/>
      <c r="AI115" s="330">
        <v>0</v>
      </c>
      <c r="AJ115" s="396">
        <f t="shared" si="12"/>
        <v>-1742400</v>
      </c>
      <c r="AK115" s="563"/>
      <c r="AL115" s="285">
        <f t="shared" si="14"/>
        <v>0</v>
      </c>
      <c r="AM115" s="286"/>
      <c r="AO115" s="330" t="s">
        <v>2275</v>
      </c>
    </row>
    <row r="116" spans="1:41">
      <c r="A116" s="587">
        <f t="shared" si="13"/>
        <v>113</v>
      </c>
      <c r="B116" s="330" t="s">
        <v>1643</v>
      </c>
      <c r="C116" s="330" t="s">
        <v>2279</v>
      </c>
      <c r="D116" s="330" t="s">
        <v>1655</v>
      </c>
      <c r="E116" s="330" t="s">
        <v>2280</v>
      </c>
      <c r="F116" s="330" t="s">
        <v>1647</v>
      </c>
      <c r="G116" s="562">
        <v>1114</v>
      </c>
      <c r="H116" s="562">
        <v>683.3</v>
      </c>
      <c r="I116" s="562">
        <v>795.57</v>
      </c>
      <c r="J116" s="561" t="s">
        <v>1679</v>
      </c>
      <c r="K116" s="330" t="s">
        <v>2281</v>
      </c>
      <c r="L116" s="330" t="s">
        <v>2282</v>
      </c>
      <c r="M116" s="330" t="s">
        <v>2283</v>
      </c>
      <c r="N116" s="330" t="s">
        <v>12</v>
      </c>
      <c r="O116" s="395"/>
      <c r="P116" s="333">
        <v>6848190</v>
      </c>
      <c r="Q116" s="330" t="s">
        <v>1660</v>
      </c>
      <c r="R116" s="562">
        <v>0</v>
      </c>
      <c r="S116" s="333">
        <v>0</v>
      </c>
      <c r="T116" s="333">
        <v>-90000.000000000058</v>
      </c>
      <c r="U116" s="333">
        <f t="shared" si="10"/>
        <v>-90000.000000000058</v>
      </c>
      <c r="V116" s="333">
        <v>90000</v>
      </c>
      <c r="W116" s="333">
        <v>0</v>
      </c>
      <c r="X116" s="333">
        <v>0</v>
      </c>
      <c r="Y116" s="333">
        <v>0</v>
      </c>
      <c r="Z116" s="333">
        <v>0</v>
      </c>
      <c r="AA116" s="333">
        <v>0</v>
      </c>
      <c r="AB116" s="333">
        <v>0</v>
      </c>
      <c r="AC116" s="333">
        <v>0</v>
      </c>
      <c r="AD116" s="333">
        <v>0</v>
      </c>
      <c r="AE116" s="333"/>
      <c r="AF116" s="333"/>
      <c r="AG116" s="333">
        <f t="shared" si="11"/>
        <v>-5.8207660913467407E-11</v>
      </c>
      <c r="AH116" s="330"/>
      <c r="AI116" s="330">
        <v>0</v>
      </c>
      <c r="AJ116" s="396">
        <f t="shared" si="12"/>
        <v>-5.8207660913467407E-11</v>
      </c>
      <c r="AK116" s="563"/>
      <c r="AL116" s="285">
        <f t="shared" si="14"/>
        <v>0</v>
      </c>
      <c r="AM116" s="286"/>
      <c r="AO116" s="330" t="s">
        <v>2281</v>
      </c>
    </row>
    <row r="117" spans="1:41">
      <c r="A117" s="587">
        <f t="shared" si="13"/>
        <v>114</v>
      </c>
      <c r="B117" s="330" t="s">
        <v>1643</v>
      </c>
      <c r="C117" s="330" t="s">
        <v>2284</v>
      </c>
      <c r="D117" s="330" t="s">
        <v>1655</v>
      </c>
      <c r="E117" s="330" t="s">
        <v>1947</v>
      </c>
      <c r="F117" s="330" t="s">
        <v>1647</v>
      </c>
      <c r="G117" s="562">
        <v>1012</v>
      </c>
      <c r="H117" s="562">
        <v>653.59</v>
      </c>
      <c r="I117" s="562">
        <v>723.02</v>
      </c>
      <c r="J117" s="561" t="s">
        <v>1648</v>
      </c>
      <c r="K117" s="330" t="s">
        <v>2285</v>
      </c>
      <c r="L117" s="330" t="s">
        <v>2286</v>
      </c>
      <c r="M117" s="330" t="s">
        <v>2287</v>
      </c>
      <c r="N117" s="330" t="s">
        <v>12</v>
      </c>
      <c r="O117" s="395"/>
      <c r="P117" s="333">
        <v>6133905</v>
      </c>
      <c r="Q117" s="330" t="s">
        <v>1660</v>
      </c>
      <c r="R117" s="562">
        <v>0</v>
      </c>
      <c r="S117" s="333">
        <v>0</v>
      </c>
      <c r="T117" s="333">
        <v>-610400</v>
      </c>
      <c r="U117" s="333">
        <f t="shared" si="10"/>
        <v>-610400</v>
      </c>
      <c r="V117" s="333">
        <v>0</v>
      </c>
      <c r="W117" s="333">
        <v>0</v>
      </c>
      <c r="X117" s="333">
        <v>0</v>
      </c>
      <c r="Y117" s="333">
        <v>0</v>
      </c>
      <c r="Z117" s="333">
        <v>0</v>
      </c>
      <c r="AA117" s="333">
        <v>0</v>
      </c>
      <c r="AB117" s="333">
        <v>0</v>
      </c>
      <c r="AC117" s="333">
        <v>0</v>
      </c>
      <c r="AD117" s="333">
        <v>610400</v>
      </c>
      <c r="AE117" s="333"/>
      <c r="AF117" s="333"/>
      <c r="AG117" s="333">
        <f t="shared" si="11"/>
        <v>0</v>
      </c>
      <c r="AH117" s="330"/>
      <c r="AI117" s="330">
        <v>0</v>
      </c>
      <c r="AJ117" s="396">
        <f t="shared" si="12"/>
        <v>0</v>
      </c>
      <c r="AK117" s="563"/>
      <c r="AL117" s="285">
        <f t="shared" ref="AL117:AL119" si="18">+AC117+AI117</f>
        <v>0</v>
      </c>
      <c r="AM117" s="286"/>
      <c r="AO117" s="330" t="s">
        <v>2285</v>
      </c>
    </row>
    <row r="118" spans="1:41">
      <c r="A118" s="587">
        <f t="shared" si="13"/>
        <v>115</v>
      </c>
      <c r="B118" s="330" t="s">
        <v>1643</v>
      </c>
      <c r="C118" s="330" t="s">
        <v>2288</v>
      </c>
      <c r="D118" s="330" t="s">
        <v>1662</v>
      </c>
      <c r="E118" s="330" t="s">
        <v>2289</v>
      </c>
      <c r="F118" s="330" t="s">
        <v>1647</v>
      </c>
      <c r="G118" s="562">
        <v>1012</v>
      </c>
      <c r="H118" s="562">
        <v>653.59</v>
      </c>
      <c r="I118" s="562">
        <v>723.02</v>
      </c>
      <c r="J118" s="561" t="s">
        <v>1648</v>
      </c>
      <c r="K118" s="330" t="s">
        <v>2290</v>
      </c>
      <c r="L118" s="330" t="s">
        <v>2291</v>
      </c>
      <c r="M118" s="330" t="s">
        <v>2292</v>
      </c>
      <c r="N118" s="330" t="s">
        <v>2293</v>
      </c>
      <c r="O118" s="395">
        <v>45441</v>
      </c>
      <c r="P118" s="333">
        <v>5714010</v>
      </c>
      <c r="Q118" s="330" t="s">
        <v>1653</v>
      </c>
      <c r="R118" s="562">
        <v>0</v>
      </c>
      <c r="S118" s="333">
        <v>0</v>
      </c>
      <c r="T118" s="333">
        <v>-1619451.94</v>
      </c>
      <c r="U118" s="333">
        <f t="shared" si="10"/>
        <v>-1619451.94</v>
      </c>
      <c r="V118" s="333">
        <v>0</v>
      </c>
      <c r="W118" s="333">
        <v>0</v>
      </c>
      <c r="X118" s="333">
        <v>0</v>
      </c>
      <c r="Y118" s="333">
        <v>0</v>
      </c>
      <c r="Z118" s="333">
        <v>0</v>
      </c>
      <c r="AA118" s="333">
        <v>0</v>
      </c>
      <c r="AB118" s="333">
        <v>0</v>
      </c>
      <c r="AC118" s="333">
        <v>-4761.9599999999864</v>
      </c>
      <c r="AD118" s="333">
        <v>0</v>
      </c>
      <c r="AE118" s="333"/>
      <c r="AF118" s="333"/>
      <c r="AG118" s="333">
        <f t="shared" si="11"/>
        <v>-1624213.9</v>
      </c>
      <c r="AH118" s="330"/>
      <c r="AI118" s="330">
        <v>4761.96</v>
      </c>
      <c r="AJ118" s="396">
        <f t="shared" si="12"/>
        <v>-1624213.9</v>
      </c>
      <c r="AK118" s="563"/>
      <c r="AL118" s="285">
        <f t="shared" si="18"/>
        <v>1.3642420526593924E-11</v>
      </c>
      <c r="AM118" s="286"/>
      <c r="AO118" s="330" t="s">
        <v>2290</v>
      </c>
    </row>
    <row r="119" spans="1:41">
      <c r="A119" s="587">
        <f t="shared" si="13"/>
        <v>116</v>
      </c>
      <c r="B119" s="330" t="s">
        <v>1643</v>
      </c>
      <c r="C119" s="330" t="s">
        <v>2294</v>
      </c>
      <c r="D119" s="330" t="s">
        <v>2153</v>
      </c>
      <c r="E119" s="330" t="s">
        <v>2166</v>
      </c>
      <c r="F119" s="330" t="s">
        <v>1647</v>
      </c>
      <c r="G119" s="562">
        <v>1114</v>
      </c>
      <c r="H119" s="562">
        <v>683.3</v>
      </c>
      <c r="I119" s="562">
        <v>795.57</v>
      </c>
      <c r="J119" s="561" t="s">
        <v>1648</v>
      </c>
      <c r="K119" s="330" t="s">
        <v>2295</v>
      </c>
      <c r="L119" s="330" t="s">
        <v>2296</v>
      </c>
      <c r="M119" s="330" t="s">
        <v>2297</v>
      </c>
      <c r="N119" s="330" t="s">
        <v>12</v>
      </c>
      <c r="O119" s="395"/>
      <c r="P119" s="333">
        <v>6892857</v>
      </c>
      <c r="Q119" s="330" t="s">
        <v>1660</v>
      </c>
      <c r="R119" s="562">
        <v>0</v>
      </c>
      <c r="S119" s="333">
        <v>0</v>
      </c>
      <c r="T119" s="333">
        <v>-1204043.0000000002</v>
      </c>
      <c r="U119" s="333">
        <f t="shared" si="10"/>
        <v>-1204043.0000000002</v>
      </c>
      <c r="V119" s="333">
        <v>0</v>
      </c>
      <c r="W119" s="333">
        <v>0</v>
      </c>
      <c r="X119" s="333">
        <v>0</v>
      </c>
      <c r="Y119" s="333">
        <v>0</v>
      </c>
      <c r="Z119" s="333">
        <v>0</v>
      </c>
      <c r="AA119" s="333">
        <v>0</v>
      </c>
      <c r="AB119" s="333">
        <v>0</v>
      </c>
      <c r="AC119" s="333">
        <v>-64054</v>
      </c>
      <c r="AD119" s="333">
        <v>1236070</v>
      </c>
      <c r="AE119" s="333"/>
      <c r="AF119" s="333"/>
      <c r="AG119" s="333">
        <f t="shared" si="11"/>
        <v>-32027.000000000233</v>
      </c>
      <c r="AH119" s="330"/>
      <c r="AI119" s="330">
        <v>64054</v>
      </c>
      <c r="AJ119" s="396">
        <f t="shared" si="12"/>
        <v>-32027.000000000233</v>
      </c>
      <c r="AK119" s="563"/>
      <c r="AL119" s="285">
        <f t="shared" si="18"/>
        <v>0</v>
      </c>
      <c r="AM119" s="286"/>
      <c r="AO119" s="330" t="s">
        <v>2295</v>
      </c>
    </row>
    <row r="120" spans="1:41">
      <c r="A120" s="587">
        <f t="shared" si="13"/>
        <v>117</v>
      </c>
      <c r="B120" s="330" t="s">
        <v>1643</v>
      </c>
      <c r="C120" s="330" t="s">
        <v>2298</v>
      </c>
      <c r="D120" s="330" t="s">
        <v>1645</v>
      </c>
      <c r="E120" s="330" t="s">
        <v>2299</v>
      </c>
      <c r="F120" s="330" t="s">
        <v>1671</v>
      </c>
      <c r="G120" s="562">
        <v>1498</v>
      </c>
      <c r="H120" s="562">
        <v>954.87</v>
      </c>
      <c r="I120" s="562">
        <v>1069.73</v>
      </c>
      <c r="J120" s="561" t="s">
        <v>1648</v>
      </c>
      <c r="K120" s="330" t="s">
        <v>2300</v>
      </c>
      <c r="L120" s="330" t="s">
        <v>2301</v>
      </c>
      <c r="M120" s="330" t="s">
        <v>2302</v>
      </c>
      <c r="N120" s="330" t="s">
        <v>2303</v>
      </c>
      <c r="O120" s="395">
        <v>45474</v>
      </c>
      <c r="P120" s="333">
        <v>8544571</v>
      </c>
      <c r="Q120" s="330" t="s">
        <v>1653</v>
      </c>
      <c r="R120" s="562">
        <v>0</v>
      </c>
      <c r="S120" s="333">
        <v>0</v>
      </c>
      <c r="T120" s="333">
        <v>-2563370.419999999</v>
      </c>
      <c r="U120" s="333">
        <f t="shared" si="10"/>
        <v>-2563370.419999999</v>
      </c>
      <c r="V120" s="333">
        <v>0</v>
      </c>
      <c r="W120" s="333">
        <v>0</v>
      </c>
      <c r="X120" s="333">
        <v>0</v>
      </c>
      <c r="Y120" s="333">
        <v>0</v>
      </c>
      <c r="Z120" s="333">
        <v>0</v>
      </c>
      <c r="AA120" s="333">
        <v>0</v>
      </c>
      <c r="AB120" s="333">
        <v>0</v>
      </c>
      <c r="AC120" s="333">
        <v>0</v>
      </c>
      <c r="AD120" s="333">
        <v>0</v>
      </c>
      <c r="AE120" s="333"/>
      <c r="AF120" s="333"/>
      <c r="AG120" s="333">
        <f t="shared" si="11"/>
        <v>-2563370.419999999</v>
      </c>
      <c r="AH120" s="330"/>
      <c r="AI120" s="330">
        <v>0</v>
      </c>
      <c r="AJ120" s="396">
        <f t="shared" si="12"/>
        <v>-2563370.419999999</v>
      </c>
      <c r="AK120" s="563"/>
      <c r="AL120" s="285">
        <f t="shared" si="14"/>
        <v>0</v>
      </c>
      <c r="AM120" s="286"/>
      <c r="AO120" s="330" t="s">
        <v>2300</v>
      </c>
    </row>
    <row r="121" spans="1:41">
      <c r="A121" s="587">
        <f t="shared" si="13"/>
        <v>118</v>
      </c>
      <c r="B121" s="330" t="s">
        <v>1643</v>
      </c>
      <c r="C121" s="330" t="s">
        <v>2304</v>
      </c>
      <c r="D121" s="330" t="s">
        <v>1746</v>
      </c>
      <c r="E121" s="330" t="s">
        <v>2305</v>
      </c>
      <c r="F121" s="330" t="s">
        <v>1647</v>
      </c>
      <c r="G121" s="562">
        <v>1012</v>
      </c>
      <c r="H121" s="562">
        <v>653.59</v>
      </c>
      <c r="I121" s="562">
        <v>723.02</v>
      </c>
      <c r="J121" s="561" t="s">
        <v>1648</v>
      </c>
      <c r="K121" s="330" t="s">
        <v>2306</v>
      </c>
      <c r="L121" s="330" t="s">
        <v>2307</v>
      </c>
      <c r="M121" s="330" t="s">
        <v>2308</v>
      </c>
      <c r="N121" s="330" t="s">
        <v>2309</v>
      </c>
      <c r="O121" s="395">
        <v>45457</v>
      </c>
      <c r="P121" s="333">
        <v>5669619</v>
      </c>
      <c r="Q121" s="330" t="s">
        <v>1653</v>
      </c>
      <c r="R121" s="562">
        <v>0</v>
      </c>
      <c r="S121" s="333">
        <v>0</v>
      </c>
      <c r="T121" s="333">
        <v>-1754563.8899999997</v>
      </c>
      <c r="U121" s="333">
        <f t="shared" si="10"/>
        <v>-1754563.8899999997</v>
      </c>
      <c r="V121" s="333">
        <v>0</v>
      </c>
      <c r="W121" s="333">
        <v>0</v>
      </c>
      <c r="X121" s="333">
        <v>0</v>
      </c>
      <c r="Y121" s="333">
        <v>0</v>
      </c>
      <c r="Z121" s="333">
        <v>0</v>
      </c>
      <c r="AA121" s="333">
        <v>0</v>
      </c>
      <c r="AB121" s="333">
        <v>0</v>
      </c>
      <c r="AC121" s="333">
        <v>-3017.8899999999994</v>
      </c>
      <c r="AD121" s="333">
        <v>0</v>
      </c>
      <c r="AE121" s="333"/>
      <c r="AF121" s="333"/>
      <c r="AG121" s="333">
        <f t="shared" si="11"/>
        <v>-1757581.7799999996</v>
      </c>
      <c r="AH121" s="330"/>
      <c r="AI121" s="330">
        <v>3018</v>
      </c>
      <c r="AJ121" s="396">
        <f t="shared" si="12"/>
        <v>-1757581.7799999996</v>
      </c>
      <c r="AK121" s="563"/>
      <c r="AL121" s="285">
        <f t="shared" ref="AL121:AL122" si="19">+AC121+AI121</f>
        <v>0.11000000000058208</v>
      </c>
      <c r="AM121" s="286"/>
      <c r="AO121" s="330" t="s">
        <v>2306</v>
      </c>
    </row>
    <row r="122" spans="1:41">
      <c r="A122" s="587">
        <f t="shared" si="13"/>
        <v>119</v>
      </c>
      <c r="B122" s="330" t="s">
        <v>1643</v>
      </c>
      <c r="C122" s="330" t="s">
        <v>2310</v>
      </c>
      <c r="D122" s="330" t="s">
        <v>1746</v>
      </c>
      <c r="E122" s="330" t="s">
        <v>2177</v>
      </c>
      <c r="F122" s="330" t="s">
        <v>1647</v>
      </c>
      <c r="G122" s="562">
        <v>1114</v>
      </c>
      <c r="H122" s="562">
        <v>683.3</v>
      </c>
      <c r="I122" s="562">
        <v>795.57</v>
      </c>
      <c r="J122" s="561" t="s">
        <v>1648</v>
      </c>
      <c r="K122" s="330" t="s">
        <v>2311</v>
      </c>
      <c r="L122" s="330" t="s">
        <v>2312</v>
      </c>
      <c r="M122" s="330" t="s">
        <v>2313</v>
      </c>
      <c r="N122" s="330" t="s">
        <v>2314</v>
      </c>
      <c r="O122" s="395">
        <v>45434</v>
      </c>
      <c r="P122" s="333">
        <v>6320782</v>
      </c>
      <c r="Q122" s="330" t="s">
        <v>1653</v>
      </c>
      <c r="R122" s="562">
        <v>0</v>
      </c>
      <c r="S122" s="333">
        <v>0</v>
      </c>
      <c r="T122" s="333">
        <v>-1908811.2599999995</v>
      </c>
      <c r="U122" s="333">
        <f t="shared" si="10"/>
        <v>-1908811.2599999995</v>
      </c>
      <c r="V122" s="333">
        <v>-147620</v>
      </c>
      <c r="W122" s="333">
        <v>0</v>
      </c>
      <c r="X122" s="333">
        <v>0</v>
      </c>
      <c r="Y122" s="333">
        <v>0</v>
      </c>
      <c r="Z122" s="333">
        <v>0</v>
      </c>
      <c r="AA122" s="333">
        <v>0</v>
      </c>
      <c r="AB122" s="333">
        <v>0</v>
      </c>
      <c r="AC122" s="333">
        <v>-628.81999999999971</v>
      </c>
      <c r="AD122" s="333">
        <v>0</v>
      </c>
      <c r="AE122" s="333"/>
      <c r="AF122" s="333"/>
      <c r="AG122" s="333">
        <f t="shared" si="11"/>
        <v>-2057060.0799999996</v>
      </c>
      <c r="AH122" s="330"/>
      <c r="AI122" s="330">
        <v>628.82000000000005</v>
      </c>
      <c r="AJ122" s="396">
        <f t="shared" si="12"/>
        <v>-2057060.0799999996</v>
      </c>
      <c r="AK122" s="563"/>
      <c r="AL122" s="285">
        <f t="shared" si="19"/>
        <v>0</v>
      </c>
      <c r="AM122" s="286"/>
      <c r="AN122" s="286"/>
      <c r="AO122" s="330" t="s">
        <v>2311</v>
      </c>
    </row>
    <row r="123" spans="1:41">
      <c r="A123" s="587">
        <f t="shared" si="13"/>
        <v>120</v>
      </c>
      <c r="B123" s="330" t="s">
        <v>1643</v>
      </c>
      <c r="C123" s="330" t="s">
        <v>2315</v>
      </c>
      <c r="D123" s="330" t="s">
        <v>1704</v>
      </c>
      <c r="E123" s="330" t="s">
        <v>2316</v>
      </c>
      <c r="F123" s="330" t="s">
        <v>1647</v>
      </c>
      <c r="G123" s="562">
        <v>1012</v>
      </c>
      <c r="H123" s="562">
        <v>653.59</v>
      </c>
      <c r="I123" s="562">
        <v>723.02</v>
      </c>
      <c r="J123" s="561" t="s">
        <v>1648</v>
      </c>
      <c r="K123" s="330" t="s">
        <v>2317</v>
      </c>
      <c r="L123" s="330" t="s">
        <v>2318</v>
      </c>
      <c r="M123" s="330" t="s">
        <v>2319</v>
      </c>
      <c r="N123" s="330" t="s">
        <v>2320</v>
      </c>
      <c r="O123" s="395">
        <v>45461</v>
      </c>
      <c r="P123" s="333">
        <v>5808000</v>
      </c>
      <c r="Q123" s="330" t="s">
        <v>1653</v>
      </c>
      <c r="R123" s="562">
        <v>0</v>
      </c>
      <c r="S123" s="333">
        <v>0</v>
      </c>
      <c r="T123" s="333">
        <v>-1742400</v>
      </c>
      <c r="U123" s="333">
        <f t="shared" si="10"/>
        <v>-1742400</v>
      </c>
      <c r="V123" s="333">
        <v>0</v>
      </c>
      <c r="W123" s="333">
        <v>0</v>
      </c>
      <c r="X123" s="333">
        <v>0</v>
      </c>
      <c r="Y123" s="333">
        <v>0</v>
      </c>
      <c r="Z123" s="333">
        <v>0</v>
      </c>
      <c r="AA123" s="333">
        <v>0</v>
      </c>
      <c r="AB123" s="333">
        <v>0</v>
      </c>
      <c r="AC123" s="333">
        <v>0</v>
      </c>
      <c r="AD123" s="333">
        <v>0</v>
      </c>
      <c r="AE123" s="333"/>
      <c r="AF123" s="333"/>
      <c r="AG123" s="333">
        <f t="shared" si="11"/>
        <v>-1742400</v>
      </c>
      <c r="AH123" s="330"/>
      <c r="AI123" s="330">
        <v>0</v>
      </c>
      <c r="AJ123" s="396">
        <f t="shared" si="12"/>
        <v>-1742400</v>
      </c>
      <c r="AK123" s="563"/>
      <c r="AL123" s="285">
        <f t="shared" si="14"/>
        <v>0</v>
      </c>
      <c r="AM123" s="286"/>
      <c r="AO123" s="330" t="s">
        <v>2317</v>
      </c>
    </row>
    <row r="124" spans="1:41">
      <c r="A124" s="587">
        <f t="shared" si="13"/>
        <v>121</v>
      </c>
      <c r="B124" s="330" t="s">
        <v>1643</v>
      </c>
      <c r="C124" s="330" t="s">
        <v>2321</v>
      </c>
      <c r="D124" s="330" t="s">
        <v>1655</v>
      </c>
      <c r="E124" s="330" t="s">
        <v>2322</v>
      </c>
      <c r="F124" s="330" t="s">
        <v>1647</v>
      </c>
      <c r="G124" s="562">
        <v>1012</v>
      </c>
      <c r="H124" s="562">
        <v>653.59</v>
      </c>
      <c r="I124" s="562">
        <v>723.02</v>
      </c>
      <c r="J124" s="561" t="s">
        <v>1648</v>
      </c>
      <c r="K124" s="330" t="s">
        <v>2323</v>
      </c>
      <c r="L124" s="330" t="s">
        <v>2324</v>
      </c>
      <c r="M124" s="330" t="s">
        <v>2325</v>
      </c>
      <c r="N124" s="330" t="s">
        <v>12</v>
      </c>
      <c r="O124" s="395"/>
      <c r="P124" s="333">
        <v>6491048</v>
      </c>
      <c r="Q124" s="330" t="s">
        <v>1660</v>
      </c>
      <c r="R124" s="562">
        <v>0</v>
      </c>
      <c r="S124" s="333">
        <v>0</v>
      </c>
      <c r="T124" s="333">
        <v>0</v>
      </c>
      <c r="U124" s="333">
        <f t="shared" si="10"/>
        <v>0</v>
      </c>
      <c r="V124" s="333">
        <v>0</v>
      </c>
      <c r="W124" s="333">
        <v>0</v>
      </c>
      <c r="X124" s="333">
        <v>0</v>
      </c>
      <c r="Y124" s="333">
        <v>0</v>
      </c>
      <c r="Z124" s="333">
        <v>0</v>
      </c>
      <c r="AA124" s="333">
        <v>0</v>
      </c>
      <c r="AB124" s="333">
        <v>0</v>
      </c>
      <c r="AC124" s="333">
        <v>0</v>
      </c>
      <c r="AD124" s="333">
        <v>0</v>
      </c>
      <c r="AE124" s="333"/>
      <c r="AF124" s="333"/>
      <c r="AG124" s="333">
        <f t="shared" si="11"/>
        <v>0</v>
      </c>
      <c r="AH124" s="330"/>
      <c r="AI124" s="330">
        <v>0</v>
      </c>
      <c r="AJ124" s="396">
        <f t="shared" si="12"/>
        <v>0</v>
      </c>
      <c r="AK124" s="563"/>
      <c r="AL124" s="285">
        <f t="shared" si="14"/>
        <v>0</v>
      </c>
      <c r="AM124" s="286"/>
      <c r="AO124" s="330" t="s">
        <v>2323</v>
      </c>
    </row>
    <row r="125" spans="1:41">
      <c r="A125" s="587">
        <f t="shared" si="13"/>
        <v>122</v>
      </c>
      <c r="B125" s="330" t="s">
        <v>1643</v>
      </c>
      <c r="C125" s="330" t="s">
        <v>2326</v>
      </c>
      <c r="D125" s="330" t="s">
        <v>1704</v>
      </c>
      <c r="E125" s="330" t="s">
        <v>2280</v>
      </c>
      <c r="F125" s="330" t="s">
        <v>1647</v>
      </c>
      <c r="G125" s="562">
        <v>1114</v>
      </c>
      <c r="H125" s="562">
        <v>683.3</v>
      </c>
      <c r="I125" s="562">
        <v>795.57</v>
      </c>
      <c r="J125" s="561" t="s">
        <v>1648</v>
      </c>
      <c r="K125" s="330" t="s">
        <v>2327</v>
      </c>
      <c r="L125" s="330" t="s">
        <v>2328</v>
      </c>
      <c r="M125" s="330" t="s">
        <v>2329</v>
      </c>
      <c r="N125" s="330" t="s">
        <v>2330</v>
      </c>
      <c r="O125" s="395">
        <v>45448</v>
      </c>
      <c r="P125" s="333">
        <v>6401714</v>
      </c>
      <c r="Q125" s="330" t="s">
        <v>1653</v>
      </c>
      <c r="R125" s="562">
        <v>0</v>
      </c>
      <c r="S125" s="333">
        <v>0</v>
      </c>
      <c r="T125" s="333">
        <v>-1828847.62</v>
      </c>
      <c r="U125" s="333">
        <f t="shared" si="10"/>
        <v>-1828847.62</v>
      </c>
      <c r="V125" s="333">
        <v>0</v>
      </c>
      <c r="W125" s="333">
        <v>0</v>
      </c>
      <c r="X125" s="333">
        <v>0</v>
      </c>
      <c r="Y125" s="333">
        <v>0</v>
      </c>
      <c r="Z125" s="333">
        <v>0</v>
      </c>
      <c r="AA125" s="333">
        <v>0</v>
      </c>
      <c r="AB125" s="333">
        <v>0</v>
      </c>
      <c r="AC125" s="333">
        <v>-91666.66</v>
      </c>
      <c r="AD125" s="333">
        <v>0</v>
      </c>
      <c r="AE125" s="333"/>
      <c r="AF125" s="333"/>
      <c r="AG125" s="333">
        <f t="shared" si="11"/>
        <v>-1920514.28</v>
      </c>
      <c r="AH125" s="330"/>
      <c r="AI125" s="330">
        <v>91666.66</v>
      </c>
      <c r="AJ125" s="396">
        <f t="shared" si="12"/>
        <v>-1920514.28</v>
      </c>
      <c r="AK125" s="563"/>
      <c r="AL125" s="285">
        <f t="shared" ref="AL125:AL127" si="20">+AC125+AI125</f>
        <v>0</v>
      </c>
      <c r="AM125" s="286"/>
      <c r="AO125" s="330" t="s">
        <v>2327</v>
      </c>
    </row>
    <row r="126" spans="1:41">
      <c r="A126" s="587">
        <f t="shared" si="13"/>
        <v>123</v>
      </c>
      <c r="B126" s="330" t="s">
        <v>1643</v>
      </c>
      <c r="C126" s="330" t="s">
        <v>2331</v>
      </c>
      <c r="D126" s="330" t="s">
        <v>1662</v>
      </c>
      <c r="E126" s="330" t="s">
        <v>2332</v>
      </c>
      <c r="F126" s="330" t="s">
        <v>1671</v>
      </c>
      <c r="G126" s="562">
        <v>1375</v>
      </c>
      <c r="H126" s="562">
        <v>876.73</v>
      </c>
      <c r="I126" s="562">
        <v>982.22</v>
      </c>
      <c r="J126" s="561" t="s">
        <v>1810</v>
      </c>
      <c r="K126" s="330" t="s">
        <v>2333</v>
      </c>
      <c r="L126" s="330" t="s">
        <v>2334</v>
      </c>
      <c r="M126" s="330" t="s">
        <v>2335</v>
      </c>
      <c r="N126" s="330" t="s">
        <v>2336</v>
      </c>
      <c r="O126" s="395">
        <v>45428</v>
      </c>
      <c r="P126" s="333">
        <v>7745523</v>
      </c>
      <c r="Q126" s="330" t="s">
        <v>1653</v>
      </c>
      <c r="R126" s="562">
        <v>0</v>
      </c>
      <c r="S126" s="333">
        <v>0</v>
      </c>
      <c r="T126" s="333">
        <v>-2252909.1399999987</v>
      </c>
      <c r="U126" s="333">
        <f t="shared" si="10"/>
        <v>-2252909.1399999987</v>
      </c>
      <c r="V126" s="333">
        <v>-93985</v>
      </c>
      <c r="W126" s="333">
        <v>0</v>
      </c>
      <c r="X126" s="333">
        <v>0</v>
      </c>
      <c r="Y126" s="333">
        <v>0</v>
      </c>
      <c r="Z126" s="333">
        <v>0</v>
      </c>
      <c r="AA126" s="333">
        <v>0</v>
      </c>
      <c r="AB126" s="333">
        <v>0</v>
      </c>
      <c r="AC126" s="333">
        <v>4.0000000008149073E-2</v>
      </c>
      <c r="AD126" s="333">
        <v>0</v>
      </c>
      <c r="AE126" s="333"/>
      <c r="AF126" s="333"/>
      <c r="AG126" s="333">
        <f t="shared" si="11"/>
        <v>-2346894.0999999987</v>
      </c>
      <c r="AH126" s="330"/>
      <c r="AI126" s="330">
        <v>-3.999999999996362E-2</v>
      </c>
      <c r="AJ126" s="396">
        <f t="shared" si="12"/>
        <v>-2346894.0999999987</v>
      </c>
      <c r="AK126" s="563"/>
      <c r="AL126" s="285">
        <f t="shared" si="20"/>
        <v>8.1854523159563541E-12</v>
      </c>
      <c r="AM126" s="286"/>
      <c r="AO126" s="330" t="s">
        <v>2333</v>
      </c>
    </row>
    <row r="127" spans="1:41">
      <c r="A127" s="587">
        <f t="shared" si="13"/>
        <v>124</v>
      </c>
      <c r="B127" s="330" t="s">
        <v>1643</v>
      </c>
      <c r="C127" s="330" t="s">
        <v>2337</v>
      </c>
      <c r="D127" s="330" t="s">
        <v>1677</v>
      </c>
      <c r="E127" s="330" t="s">
        <v>1923</v>
      </c>
      <c r="F127" s="330" t="s">
        <v>1647</v>
      </c>
      <c r="G127" s="562">
        <v>1114</v>
      </c>
      <c r="H127" s="562">
        <v>683.3</v>
      </c>
      <c r="I127" s="562">
        <v>795.57</v>
      </c>
      <c r="J127" s="561" t="s">
        <v>1810</v>
      </c>
      <c r="K127" s="330" t="s">
        <v>2338</v>
      </c>
      <c r="L127" s="330" t="s">
        <v>2339</v>
      </c>
      <c r="M127" s="330" t="s">
        <v>2340</v>
      </c>
      <c r="N127" s="330" t="s">
        <v>12</v>
      </c>
      <c r="O127" s="395"/>
      <c r="P127" s="333">
        <v>6937428</v>
      </c>
      <c r="Q127" s="330" t="s">
        <v>1660</v>
      </c>
      <c r="R127" s="562">
        <v>0</v>
      </c>
      <c r="S127" s="333">
        <v>0</v>
      </c>
      <c r="T127" s="333">
        <v>-1209007.3799999999</v>
      </c>
      <c r="U127" s="333">
        <f t="shared" si="10"/>
        <v>-1209007.3799999999</v>
      </c>
      <c r="V127" s="333">
        <v>1237193</v>
      </c>
      <c r="W127" s="333">
        <v>0</v>
      </c>
      <c r="X127" s="333">
        <v>0</v>
      </c>
      <c r="Y127" s="333">
        <v>0</v>
      </c>
      <c r="Z127" s="333">
        <v>0</v>
      </c>
      <c r="AA127" s="333">
        <v>0</v>
      </c>
      <c r="AB127" s="333">
        <v>0</v>
      </c>
      <c r="AC127" s="333">
        <v>-56371.22</v>
      </c>
      <c r="AD127" s="333">
        <v>0</v>
      </c>
      <c r="AE127" s="333"/>
      <c r="AF127" s="333"/>
      <c r="AG127" s="333">
        <f t="shared" si="11"/>
        <v>-28185.599999999889</v>
      </c>
      <c r="AH127" s="330"/>
      <c r="AI127" s="330">
        <v>56371.219999999994</v>
      </c>
      <c r="AJ127" s="396">
        <f t="shared" si="12"/>
        <v>-28185.599999999889</v>
      </c>
      <c r="AK127" s="563"/>
      <c r="AL127" s="285">
        <f t="shared" si="20"/>
        <v>0</v>
      </c>
      <c r="AM127" s="286"/>
      <c r="AO127" s="330" t="s">
        <v>2338</v>
      </c>
    </row>
    <row r="128" spans="1:41">
      <c r="A128" s="587">
        <f t="shared" si="13"/>
        <v>125</v>
      </c>
      <c r="B128" s="330" t="s">
        <v>1643</v>
      </c>
      <c r="C128" s="330" t="s">
        <v>2341</v>
      </c>
      <c r="D128" s="330" t="s">
        <v>1669</v>
      </c>
      <c r="E128" s="330" t="s">
        <v>2085</v>
      </c>
      <c r="F128" s="330" t="s">
        <v>1671</v>
      </c>
      <c r="G128" s="562">
        <v>1787</v>
      </c>
      <c r="H128" s="562">
        <v>1138.51</v>
      </c>
      <c r="I128" s="562">
        <v>1276.29</v>
      </c>
      <c r="J128" s="561" t="s">
        <v>1679</v>
      </c>
      <c r="K128" s="330" t="s">
        <v>2342</v>
      </c>
      <c r="L128" s="330" t="s">
        <v>2343</v>
      </c>
      <c r="M128" s="330" t="s">
        <v>2344</v>
      </c>
      <c r="N128" s="330" t="s">
        <v>2345</v>
      </c>
      <c r="O128" s="395">
        <v>45441</v>
      </c>
      <c r="P128" s="333">
        <v>11000000</v>
      </c>
      <c r="Q128" s="330" t="s">
        <v>1653</v>
      </c>
      <c r="R128" s="562">
        <v>0</v>
      </c>
      <c r="S128" s="333">
        <v>0</v>
      </c>
      <c r="T128" s="333">
        <v>-3410000</v>
      </c>
      <c r="U128" s="333">
        <f t="shared" si="10"/>
        <v>-3410000</v>
      </c>
      <c r="V128" s="333">
        <v>0</v>
      </c>
      <c r="W128" s="333">
        <v>0</v>
      </c>
      <c r="X128" s="333">
        <v>0</v>
      </c>
      <c r="Y128" s="333">
        <v>0</v>
      </c>
      <c r="Z128" s="333">
        <v>0</v>
      </c>
      <c r="AA128" s="333">
        <v>0</v>
      </c>
      <c r="AB128" s="333">
        <v>0</v>
      </c>
      <c r="AC128" s="333">
        <v>0</v>
      </c>
      <c r="AD128" s="333">
        <v>0</v>
      </c>
      <c r="AE128" s="333"/>
      <c r="AF128" s="333"/>
      <c r="AG128" s="333">
        <f t="shared" si="11"/>
        <v>-3410000</v>
      </c>
      <c r="AH128" s="330"/>
      <c r="AI128" s="330">
        <v>0</v>
      </c>
      <c r="AJ128" s="396">
        <f t="shared" si="12"/>
        <v>-3410000</v>
      </c>
      <c r="AK128" s="563"/>
      <c r="AL128" s="285">
        <f t="shared" si="14"/>
        <v>0</v>
      </c>
      <c r="AM128" s="286"/>
      <c r="AO128" s="330" t="s">
        <v>2342</v>
      </c>
    </row>
    <row r="129" spans="1:41">
      <c r="A129" s="587">
        <f t="shared" si="13"/>
        <v>126</v>
      </c>
      <c r="B129" s="330" t="s">
        <v>1643</v>
      </c>
      <c r="C129" s="330" t="s">
        <v>2346</v>
      </c>
      <c r="D129" s="330" t="s">
        <v>1662</v>
      </c>
      <c r="E129" s="330" t="s">
        <v>2347</v>
      </c>
      <c r="F129" s="330" t="s">
        <v>1647</v>
      </c>
      <c r="G129" s="562">
        <v>1114</v>
      </c>
      <c r="H129" s="562">
        <v>683.3</v>
      </c>
      <c r="I129" s="562">
        <v>795.57</v>
      </c>
      <c r="J129" s="561" t="s">
        <v>1810</v>
      </c>
      <c r="K129" s="330" t="s">
        <v>2348</v>
      </c>
      <c r="L129" s="330" t="s">
        <v>2349</v>
      </c>
      <c r="M129" s="330" t="s">
        <v>2350</v>
      </c>
      <c r="N129" s="330" t="s">
        <v>2351</v>
      </c>
      <c r="O129" s="395">
        <v>45440</v>
      </c>
      <c r="P129" s="333">
        <v>6287368</v>
      </c>
      <c r="Q129" s="330" t="s">
        <v>1653</v>
      </c>
      <c r="R129" s="562">
        <v>0</v>
      </c>
      <c r="S129" s="333">
        <v>0</v>
      </c>
      <c r="T129" s="333">
        <v>-1784210.4799999993</v>
      </c>
      <c r="U129" s="333">
        <f t="shared" si="10"/>
        <v>-1784210.4799999993</v>
      </c>
      <c r="V129" s="333">
        <v>0</v>
      </c>
      <c r="W129" s="333">
        <v>0</v>
      </c>
      <c r="X129" s="333">
        <v>0</v>
      </c>
      <c r="Y129" s="333">
        <v>0</v>
      </c>
      <c r="Z129" s="333">
        <v>0</v>
      </c>
      <c r="AA129" s="333">
        <v>0</v>
      </c>
      <c r="AB129" s="333">
        <v>0</v>
      </c>
      <c r="AC129" s="333">
        <v>0</v>
      </c>
      <c r="AD129" s="333">
        <v>0</v>
      </c>
      <c r="AE129" s="333"/>
      <c r="AF129" s="333"/>
      <c r="AG129" s="333">
        <f t="shared" si="11"/>
        <v>-1784210.4799999993</v>
      </c>
      <c r="AH129" s="330"/>
      <c r="AI129" s="330">
        <v>0</v>
      </c>
      <c r="AJ129" s="396">
        <f t="shared" si="12"/>
        <v>-1784210.4799999993</v>
      </c>
      <c r="AK129" s="563"/>
      <c r="AL129" s="285">
        <f t="shared" si="14"/>
        <v>0</v>
      </c>
      <c r="AM129" s="286"/>
      <c r="AO129" s="330" t="s">
        <v>2348</v>
      </c>
    </row>
    <row r="130" spans="1:41">
      <c r="A130" s="587">
        <f t="shared" si="13"/>
        <v>127</v>
      </c>
      <c r="B130" s="330" t="s">
        <v>1643</v>
      </c>
      <c r="C130" s="330" t="s">
        <v>2352</v>
      </c>
      <c r="D130" s="330" t="s">
        <v>1746</v>
      </c>
      <c r="E130" s="330" t="s">
        <v>2353</v>
      </c>
      <c r="F130" s="330" t="s">
        <v>1671</v>
      </c>
      <c r="G130" s="562">
        <v>1375</v>
      </c>
      <c r="H130" s="562">
        <v>876.73</v>
      </c>
      <c r="I130" s="562">
        <v>982.22</v>
      </c>
      <c r="J130" s="561" t="s">
        <v>1648</v>
      </c>
      <c r="K130" s="330" t="s">
        <v>2354</v>
      </c>
      <c r="L130" s="330" t="s">
        <v>2355</v>
      </c>
      <c r="M130" s="330" t="s">
        <v>2356</v>
      </c>
      <c r="N130" s="330" t="s">
        <v>2357</v>
      </c>
      <c r="O130" s="395">
        <v>45446</v>
      </c>
      <c r="P130" s="333">
        <v>7750000</v>
      </c>
      <c r="Q130" s="330" t="s">
        <v>1653</v>
      </c>
      <c r="R130" s="562">
        <v>0</v>
      </c>
      <c r="S130" s="333">
        <v>0</v>
      </c>
      <c r="T130" s="333">
        <v>-2633873</v>
      </c>
      <c r="U130" s="333">
        <f t="shared" si="10"/>
        <v>-2633873</v>
      </c>
      <c r="V130" s="333">
        <v>256875</v>
      </c>
      <c r="W130" s="333">
        <v>0</v>
      </c>
      <c r="X130" s="333">
        <v>0</v>
      </c>
      <c r="Y130" s="333">
        <v>0</v>
      </c>
      <c r="Z130" s="333">
        <v>0</v>
      </c>
      <c r="AA130" s="333">
        <v>0</v>
      </c>
      <c r="AB130" s="333">
        <v>0</v>
      </c>
      <c r="AC130" s="333">
        <v>0</v>
      </c>
      <c r="AD130" s="333">
        <v>0</v>
      </c>
      <c r="AE130" s="333"/>
      <c r="AF130" s="333"/>
      <c r="AG130" s="333">
        <f t="shared" si="11"/>
        <v>-2376998</v>
      </c>
      <c r="AH130" s="330"/>
      <c r="AI130" s="330">
        <v>0</v>
      </c>
      <c r="AJ130" s="396">
        <f t="shared" si="12"/>
        <v>-2376998</v>
      </c>
      <c r="AK130" s="563"/>
      <c r="AL130" s="285">
        <f t="shared" si="14"/>
        <v>0</v>
      </c>
      <c r="AM130" s="286"/>
      <c r="AO130" s="330" t="s">
        <v>2354</v>
      </c>
    </row>
    <row r="131" spans="1:41">
      <c r="A131" s="587">
        <f t="shared" si="13"/>
        <v>128</v>
      </c>
      <c r="B131" s="330" t="s">
        <v>1643</v>
      </c>
      <c r="C131" s="330" t="s">
        <v>2358</v>
      </c>
      <c r="D131" s="330" t="s">
        <v>1746</v>
      </c>
      <c r="E131" s="330" t="s">
        <v>2359</v>
      </c>
      <c r="F131" s="330" t="s">
        <v>1671</v>
      </c>
      <c r="G131" s="562">
        <v>1375</v>
      </c>
      <c r="H131" s="562">
        <v>876.73</v>
      </c>
      <c r="I131" s="562">
        <v>982.22</v>
      </c>
      <c r="J131" s="561" t="s">
        <v>1648</v>
      </c>
      <c r="K131" s="330" t="s">
        <v>2360</v>
      </c>
      <c r="L131" s="330" t="s">
        <v>2355</v>
      </c>
      <c r="M131" s="330" t="s">
        <v>2356</v>
      </c>
      <c r="N131" s="330" t="s">
        <v>12</v>
      </c>
      <c r="O131" s="395"/>
      <c r="P131" s="333">
        <v>7750000</v>
      </c>
      <c r="Q131" s="330" t="s">
        <v>1660</v>
      </c>
      <c r="R131" s="562">
        <v>0</v>
      </c>
      <c r="S131" s="333">
        <v>0</v>
      </c>
      <c r="T131" s="333">
        <v>0</v>
      </c>
      <c r="U131" s="333">
        <f t="shared" si="10"/>
        <v>0</v>
      </c>
      <c r="V131" s="333">
        <v>0</v>
      </c>
      <c r="W131" s="333">
        <v>0</v>
      </c>
      <c r="X131" s="333">
        <v>0</v>
      </c>
      <c r="Y131" s="333">
        <v>0</v>
      </c>
      <c r="Z131" s="333">
        <v>0</v>
      </c>
      <c r="AA131" s="333">
        <v>0</v>
      </c>
      <c r="AB131" s="333">
        <v>0</v>
      </c>
      <c r="AC131" s="333">
        <v>0</v>
      </c>
      <c r="AD131" s="333">
        <v>0</v>
      </c>
      <c r="AE131" s="333"/>
      <c r="AF131" s="333"/>
      <c r="AG131" s="333">
        <f t="shared" si="11"/>
        <v>0</v>
      </c>
      <c r="AH131" s="330"/>
      <c r="AI131" s="330">
        <v>0</v>
      </c>
      <c r="AJ131" s="396">
        <f t="shared" si="12"/>
        <v>0</v>
      </c>
      <c r="AK131" s="563"/>
      <c r="AL131" s="285">
        <f t="shared" si="14"/>
        <v>0</v>
      </c>
      <c r="AM131" s="286"/>
      <c r="AO131" s="330" t="s">
        <v>2360</v>
      </c>
    </row>
    <row r="132" spans="1:41">
      <c r="A132" s="587">
        <f t="shared" si="13"/>
        <v>129</v>
      </c>
      <c r="B132" s="330" t="s">
        <v>1643</v>
      </c>
      <c r="C132" s="330" t="s">
        <v>2361</v>
      </c>
      <c r="D132" s="330" t="s">
        <v>1645</v>
      </c>
      <c r="E132" s="330" t="s">
        <v>2362</v>
      </c>
      <c r="F132" s="330" t="s">
        <v>1671</v>
      </c>
      <c r="G132" s="562">
        <v>1375</v>
      </c>
      <c r="H132" s="562">
        <v>876.73</v>
      </c>
      <c r="I132" s="562">
        <v>982.22</v>
      </c>
      <c r="J132" s="561" t="s">
        <v>1648</v>
      </c>
      <c r="K132" s="330" t="s">
        <v>2363</v>
      </c>
      <c r="L132" s="330" t="s">
        <v>2364</v>
      </c>
      <c r="M132" s="330" t="s">
        <v>2365</v>
      </c>
      <c r="N132" s="330" t="s">
        <v>2366</v>
      </c>
      <c r="O132" s="395">
        <v>45495</v>
      </c>
      <c r="P132" s="333">
        <v>7919619</v>
      </c>
      <c r="Q132" s="330" t="s">
        <v>1653</v>
      </c>
      <c r="R132" s="562">
        <v>0</v>
      </c>
      <c r="S132" s="333">
        <v>0</v>
      </c>
      <c r="T132" s="333">
        <v>-2375886.7000000002</v>
      </c>
      <c r="U132" s="333">
        <f t="shared" ref="U132:U195" si="21">SUM(R132:T132)</f>
        <v>-2375886.7000000002</v>
      </c>
      <c r="V132" s="333">
        <v>0</v>
      </c>
      <c r="W132" s="333">
        <v>0</v>
      </c>
      <c r="X132" s="333">
        <v>0</v>
      </c>
      <c r="Y132" s="333">
        <v>0</v>
      </c>
      <c r="Z132" s="333">
        <v>0</v>
      </c>
      <c r="AA132" s="333">
        <v>0</v>
      </c>
      <c r="AB132" s="333">
        <v>0</v>
      </c>
      <c r="AC132" s="333">
        <v>0</v>
      </c>
      <c r="AD132" s="333">
        <v>0</v>
      </c>
      <c r="AE132" s="333"/>
      <c r="AF132" s="333"/>
      <c r="AG132" s="333">
        <f t="shared" si="11"/>
        <v>-2375886.7000000002</v>
      </c>
      <c r="AH132" s="330"/>
      <c r="AI132" s="330">
        <v>0</v>
      </c>
      <c r="AJ132" s="396">
        <f t="shared" si="12"/>
        <v>-2375886.7000000002</v>
      </c>
      <c r="AK132" s="563"/>
      <c r="AL132" s="285">
        <f t="shared" si="14"/>
        <v>0</v>
      </c>
      <c r="AM132" s="286"/>
      <c r="AO132" s="330" t="s">
        <v>2363</v>
      </c>
    </row>
    <row r="133" spans="1:41">
      <c r="A133" s="587">
        <f t="shared" si="13"/>
        <v>130</v>
      </c>
      <c r="B133" s="330" t="s">
        <v>1643</v>
      </c>
      <c r="C133" s="330" t="s">
        <v>2367</v>
      </c>
      <c r="D133" s="330" t="s">
        <v>1655</v>
      </c>
      <c r="E133" s="330" t="s">
        <v>2368</v>
      </c>
      <c r="F133" s="330" t="s">
        <v>1647</v>
      </c>
      <c r="G133" s="562">
        <v>1114</v>
      </c>
      <c r="H133" s="562">
        <v>683.3</v>
      </c>
      <c r="I133" s="562">
        <v>795.57</v>
      </c>
      <c r="J133" s="561" t="s">
        <v>1810</v>
      </c>
      <c r="K133" s="330" t="s">
        <v>2369</v>
      </c>
      <c r="L133" s="330" t="s">
        <v>2370</v>
      </c>
      <c r="M133" s="330" t="s">
        <v>2371</v>
      </c>
      <c r="N133" s="330" t="s">
        <v>12</v>
      </c>
      <c r="O133" s="395"/>
      <c r="P133" s="333">
        <v>6848190</v>
      </c>
      <c r="Q133" s="330" t="s">
        <v>1660</v>
      </c>
      <c r="R133" s="562">
        <v>0</v>
      </c>
      <c r="S133" s="333">
        <v>0</v>
      </c>
      <c r="T133" s="333">
        <v>-1153112</v>
      </c>
      <c r="U133" s="333">
        <f t="shared" si="21"/>
        <v>-1153112</v>
      </c>
      <c r="V133" s="333">
        <v>0</v>
      </c>
      <c r="W133" s="333">
        <v>0</v>
      </c>
      <c r="X133" s="333">
        <v>0</v>
      </c>
      <c r="Y133" s="333">
        <v>0</v>
      </c>
      <c r="Z133" s="333">
        <v>0</v>
      </c>
      <c r="AA133" s="333">
        <v>0</v>
      </c>
      <c r="AB133" s="333">
        <v>0</v>
      </c>
      <c r="AC133" s="333">
        <v>0</v>
      </c>
      <c r="AD133" s="333">
        <v>0</v>
      </c>
      <c r="AE133" s="333"/>
      <c r="AF133" s="333"/>
      <c r="AG133" s="333">
        <f t="shared" ref="AG133:AG196" si="22">SUM(U133:AF133)</f>
        <v>-1153112</v>
      </c>
      <c r="AH133" s="330"/>
      <c r="AI133" s="330">
        <v>0</v>
      </c>
      <c r="AJ133" s="396">
        <f t="shared" ref="AJ133:AJ196" si="23">SUM(U133:AE133)</f>
        <v>-1153112</v>
      </c>
      <c r="AK133" s="563"/>
      <c r="AL133" s="285">
        <f t="shared" si="14"/>
        <v>0</v>
      </c>
      <c r="AM133" s="286"/>
      <c r="AO133" s="330" t="s">
        <v>2369</v>
      </c>
    </row>
    <row r="134" spans="1:41">
      <c r="A134" s="587">
        <f t="shared" ref="A134:A197" si="24">A133+1</f>
        <v>131</v>
      </c>
      <c r="B134" s="330" t="s">
        <v>1643</v>
      </c>
      <c r="C134" s="330" t="s">
        <v>2372</v>
      </c>
      <c r="D134" s="330" t="s">
        <v>1746</v>
      </c>
      <c r="E134" s="330" t="s">
        <v>2269</v>
      </c>
      <c r="F134" s="330" t="s">
        <v>1647</v>
      </c>
      <c r="G134" s="562">
        <v>1114</v>
      </c>
      <c r="H134" s="562">
        <v>683.3</v>
      </c>
      <c r="I134" s="562">
        <v>795.57</v>
      </c>
      <c r="J134" s="561" t="s">
        <v>1648</v>
      </c>
      <c r="K134" s="330" t="s">
        <v>2373</v>
      </c>
      <c r="L134" s="330" t="s">
        <v>2374</v>
      </c>
      <c r="M134" s="330" t="s">
        <v>2375</v>
      </c>
      <c r="N134" s="330" t="s">
        <v>2376</v>
      </c>
      <c r="O134" s="395">
        <v>45440</v>
      </c>
      <c r="P134" s="333">
        <v>6320782</v>
      </c>
      <c r="Q134" s="330" t="s">
        <v>1653</v>
      </c>
      <c r="R134" s="562">
        <v>0</v>
      </c>
      <c r="S134" s="333">
        <v>0</v>
      </c>
      <c r="T134" s="333">
        <v>-1957014.08</v>
      </c>
      <c r="U134" s="333">
        <f t="shared" si="21"/>
        <v>-1957014.08</v>
      </c>
      <c r="V134" s="333">
        <v>0</v>
      </c>
      <c r="W134" s="333">
        <v>0</v>
      </c>
      <c r="X134" s="333">
        <v>0</v>
      </c>
      <c r="Y134" s="333">
        <v>0</v>
      </c>
      <c r="Z134" s="333">
        <v>0</v>
      </c>
      <c r="AA134" s="333">
        <v>0</v>
      </c>
      <c r="AB134" s="333">
        <v>0</v>
      </c>
      <c r="AC134" s="333">
        <v>1.9999999996798579E-2</v>
      </c>
      <c r="AD134" s="333">
        <v>0</v>
      </c>
      <c r="AE134" s="333"/>
      <c r="AF134" s="333"/>
      <c r="AG134" s="333">
        <f t="shared" si="22"/>
        <v>-1957014.06</v>
      </c>
      <c r="AH134" s="330"/>
      <c r="AI134" s="330">
        <v>-1.999999999998181E-2</v>
      </c>
      <c r="AJ134" s="396">
        <f t="shared" si="23"/>
        <v>-1957014.06</v>
      </c>
      <c r="AK134" s="563"/>
      <c r="AL134" s="285">
        <f t="shared" si="14"/>
        <v>3.9999999996780389E-2</v>
      </c>
      <c r="AM134" s="286"/>
      <c r="AO134" s="330" t="s">
        <v>2373</v>
      </c>
    </row>
    <row r="135" spans="1:41">
      <c r="A135" s="587">
        <f t="shared" si="24"/>
        <v>132</v>
      </c>
      <c r="B135" s="330" t="s">
        <v>1643</v>
      </c>
      <c r="C135" s="330" t="s">
        <v>2377</v>
      </c>
      <c r="D135" s="330" t="s">
        <v>1704</v>
      </c>
      <c r="E135" s="330" t="s">
        <v>2044</v>
      </c>
      <c r="F135" s="330" t="s">
        <v>1647</v>
      </c>
      <c r="G135" s="562">
        <v>1012</v>
      </c>
      <c r="H135" s="562">
        <v>653.59</v>
      </c>
      <c r="I135" s="562">
        <v>723.02</v>
      </c>
      <c r="J135" s="561" t="s">
        <v>1648</v>
      </c>
      <c r="K135" s="330" t="s">
        <v>2378</v>
      </c>
      <c r="L135" s="330" t="s">
        <v>2379</v>
      </c>
      <c r="M135" s="330" t="s">
        <v>2380</v>
      </c>
      <c r="N135" s="330" t="s">
        <v>2381</v>
      </c>
      <c r="O135" s="395">
        <v>45464</v>
      </c>
      <c r="P135" s="333">
        <v>5776762</v>
      </c>
      <c r="Q135" s="330" t="s">
        <v>1653</v>
      </c>
      <c r="R135" s="562">
        <v>0</v>
      </c>
      <c r="S135" s="333">
        <v>0</v>
      </c>
      <c r="T135" s="333">
        <v>-1790792.18</v>
      </c>
      <c r="U135" s="333">
        <f t="shared" si="21"/>
        <v>-1790792.18</v>
      </c>
      <c r="V135" s="333">
        <v>0</v>
      </c>
      <c r="W135" s="333">
        <v>0</v>
      </c>
      <c r="X135" s="333">
        <v>0</v>
      </c>
      <c r="Y135" s="333">
        <v>0</v>
      </c>
      <c r="Z135" s="333">
        <v>0</v>
      </c>
      <c r="AA135" s="333">
        <v>0</v>
      </c>
      <c r="AB135" s="333">
        <v>0</v>
      </c>
      <c r="AC135" s="333">
        <v>0</v>
      </c>
      <c r="AD135" s="333">
        <v>0</v>
      </c>
      <c r="AE135" s="333"/>
      <c r="AF135" s="333"/>
      <c r="AG135" s="333">
        <f t="shared" si="22"/>
        <v>-1790792.18</v>
      </c>
      <c r="AH135" s="330"/>
      <c r="AI135" s="330">
        <v>0</v>
      </c>
      <c r="AJ135" s="396">
        <f t="shared" si="23"/>
        <v>-1790792.18</v>
      </c>
      <c r="AK135" s="563"/>
      <c r="AL135" s="285">
        <f t="shared" si="14"/>
        <v>0</v>
      </c>
      <c r="AM135" s="286"/>
      <c r="AO135" s="330" t="s">
        <v>2378</v>
      </c>
    </row>
    <row r="136" spans="1:41">
      <c r="A136" s="587">
        <f t="shared" si="24"/>
        <v>133</v>
      </c>
      <c r="B136" s="330" t="s">
        <v>1643</v>
      </c>
      <c r="C136" s="330" t="s">
        <v>2382</v>
      </c>
      <c r="D136" s="330" t="s">
        <v>1746</v>
      </c>
      <c r="E136" s="330" t="s">
        <v>2362</v>
      </c>
      <c r="F136" s="330" t="s">
        <v>1671</v>
      </c>
      <c r="G136" s="562">
        <v>1375</v>
      </c>
      <c r="H136" s="562">
        <v>876.73</v>
      </c>
      <c r="I136" s="562">
        <v>982.22</v>
      </c>
      <c r="J136" s="561" t="s">
        <v>1810</v>
      </c>
      <c r="K136" s="330" t="s">
        <v>2383</v>
      </c>
      <c r="L136" s="330" t="s">
        <v>2384</v>
      </c>
      <c r="M136" s="330" t="s">
        <v>2385</v>
      </c>
      <c r="N136" s="330" t="s">
        <v>2386</v>
      </c>
      <c r="O136" s="395">
        <v>45569</v>
      </c>
      <c r="P136" s="333">
        <v>8490952</v>
      </c>
      <c r="Q136" s="330" t="s">
        <v>1653</v>
      </c>
      <c r="R136" s="562">
        <v>0</v>
      </c>
      <c r="S136" s="333">
        <v>0</v>
      </c>
      <c r="T136" s="333">
        <v>-2547282.7199999997</v>
      </c>
      <c r="U136" s="333">
        <f t="shared" si="21"/>
        <v>-2547282.7199999997</v>
      </c>
      <c r="V136" s="333">
        <v>0</v>
      </c>
      <c r="W136" s="333">
        <v>0</v>
      </c>
      <c r="X136" s="333">
        <v>0</v>
      </c>
      <c r="Y136" s="333">
        <v>0</v>
      </c>
      <c r="Z136" s="333">
        <v>0</v>
      </c>
      <c r="AA136" s="333">
        <v>0</v>
      </c>
      <c r="AB136" s="333">
        <v>0</v>
      </c>
      <c r="AC136" s="333">
        <v>0</v>
      </c>
      <c r="AD136" s="333">
        <v>0</v>
      </c>
      <c r="AE136" s="333"/>
      <c r="AF136" s="333"/>
      <c r="AG136" s="333">
        <f t="shared" si="22"/>
        <v>-2547282.7199999997</v>
      </c>
      <c r="AH136" s="330"/>
      <c r="AI136" s="330">
        <v>0</v>
      </c>
      <c r="AJ136" s="396">
        <f t="shared" si="23"/>
        <v>-2547282.7199999997</v>
      </c>
      <c r="AK136" s="563"/>
      <c r="AL136" s="285">
        <f t="shared" ref="AL136:AL199" si="25">+AC136-AI136</f>
        <v>0</v>
      </c>
      <c r="AM136" s="286"/>
      <c r="AO136" s="330" t="s">
        <v>2383</v>
      </c>
    </row>
    <row r="137" spans="1:41">
      <c r="A137" s="587">
        <f t="shared" si="24"/>
        <v>134</v>
      </c>
      <c r="B137" s="330" t="s">
        <v>1643</v>
      </c>
      <c r="C137" s="330" t="s">
        <v>2387</v>
      </c>
      <c r="D137" s="330" t="s">
        <v>1746</v>
      </c>
      <c r="E137" s="330" t="s">
        <v>2388</v>
      </c>
      <c r="F137" s="330" t="s">
        <v>1647</v>
      </c>
      <c r="G137" s="562">
        <v>1114</v>
      </c>
      <c r="H137" s="562">
        <v>683.3</v>
      </c>
      <c r="I137" s="562">
        <v>795.57</v>
      </c>
      <c r="J137" s="561" t="s">
        <v>1648</v>
      </c>
      <c r="K137" s="330" t="s">
        <v>2389</v>
      </c>
      <c r="L137" s="330" t="s">
        <v>2390</v>
      </c>
      <c r="M137" s="330" t="s">
        <v>2391</v>
      </c>
      <c r="N137" s="330" t="s">
        <v>2392</v>
      </c>
      <c r="O137" s="395">
        <v>45468</v>
      </c>
      <c r="P137" s="333">
        <v>6312476</v>
      </c>
      <c r="Q137" s="330" t="s">
        <v>1653</v>
      </c>
      <c r="R137" s="562">
        <v>0</v>
      </c>
      <c r="S137" s="333">
        <v>0</v>
      </c>
      <c r="T137" s="333">
        <v>-1905605.86</v>
      </c>
      <c r="U137" s="333">
        <f t="shared" si="21"/>
        <v>-1905605.86</v>
      </c>
      <c r="V137" s="333">
        <v>0</v>
      </c>
      <c r="W137" s="333">
        <v>0</v>
      </c>
      <c r="X137" s="333">
        <v>0</v>
      </c>
      <c r="Y137" s="333">
        <v>0</v>
      </c>
      <c r="Z137" s="333">
        <v>0</v>
      </c>
      <c r="AA137" s="333">
        <v>0</v>
      </c>
      <c r="AB137" s="333">
        <v>0</v>
      </c>
      <c r="AC137" s="333">
        <v>0</v>
      </c>
      <c r="AD137" s="333">
        <v>0</v>
      </c>
      <c r="AE137" s="333"/>
      <c r="AF137" s="333"/>
      <c r="AG137" s="333">
        <f t="shared" si="22"/>
        <v>-1905605.86</v>
      </c>
      <c r="AH137" s="330"/>
      <c r="AI137" s="330">
        <v>0</v>
      </c>
      <c r="AJ137" s="396">
        <f t="shared" si="23"/>
        <v>-1905605.86</v>
      </c>
      <c r="AK137" s="563"/>
      <c r="AL137" s="285">
        <f t="shared" si="25"/>
        <v>0</v>
      </c>
      <c r="AM137" s="286"/>
      <c r="AO137" s="330" t="s">
        <v>2389</v>
      </c>
    </row>
    <row r="138" spans="1:41">
      <c r="A138" s="587">
        <f t="shared" si="24"/>
        <v>135</v>
      </c>
      <c r="B138" s="330" t="s">
        <v>1643</v>
      </c>
      <c r="C138" s="330" t="s">
        <v>2393</v>
      </c>
      <c r="D138" s="330" t="s">
        <v>1669</v>
      </c>
      <c r="E138" s="330" t="s">
        <v>2394</v>
      </c>
      <c r="F138" s="330" t="s">
        <v>1671</v>
      </c>
      <c r="G138" s="562">
        <v>1787</v>
      </c>
      <c r="H138" s="562">
        <v>1138.51</v>
      </c>
      <c r="I138" s="562">
        <v>1276.29</v>
      </c>
      <c r="J138" s="561" t="s">
        <v>1648</v>
      </c>
      <c r="K138" s="330" t="s">
        <v>2395</v>
      </c>
      <c r="L138" s="330" t="s">
        <v>2396</v>
      </c>
      <c r="M138" s="330" t="s">
        <v>2397</v>
      </c>
      <c r="N138" s="330" t="s">
        <v>2398</v>
      </c>
      <c r="O138" s="395">
        <v>45629</v>
      </c>
      <c r="P138" s="333">
        <v>13351333</v>
      </c>
      <c r="Q138" s="330" t="s">
        <v>1653</v>
      </c>
      <c r="R138" s="562">
        <v>0</v>
      </c>
      <c r="S138" s="333">
        <v>0</v>
      </c>
      <c r="T138" s="333">
        <v>-3895596.0000000005</v>
      </c>
      <c r="U138" s="333">
        <f t="shared" si="21"/>
        <v>-3895596.0000000005</v>
      </c>
      <c r="V138" s="333">
        <v>-360000</v>
      </c>
      <c r="W138" s="333">
        <v>0</v>
      </c>
      <c r="X138" s="333">
        <v>0</v>
      </c>
      <c r="Y138" s="333">
        <v>0</v>
      </c>
      <c r="Z138" s="333">
        <v>0</v>
      </c>
      <c r="AA138" s="333">
        <v>0</v>
      </c>
      <c r="AB138" s="333">
        <v>0</v>
      </c>
      <c r="AC138" s="333">
        <v>0</v>
      </c>
      <c r="AD138" s="333">
        <v>0</v>
      </c>
      <c r="AE138" s="333"/>
      <c r="AF138" s="333"/>
      <c r="AG138" s="333">
        <f t="shared" si="22"/>
        <v>-4255596</v>
      </c>
      <c r="AH138" s="330"/>
      <c r="AI138" s="330">
        <v>0</v>
      </c>
      <c r="AJ138" s="396">
        <f t="shared" si="23"/>
        <v>-4255596</v>
      </c>
      <c r="AK138" s="563"/>
      <c r="AL138" s="285">
        <f t="shared" si="25"/>
        <v>0</v>
      </c>
      <c r="AM138" s="286"/>
      <c r="AO138" s="330" t="s">
        <v>2395</v>
      </c>
    </row>
    <row r="139" spans="1:41">
      <c r="A139" s="587">
        <f t="shared" si="24"/>
        <v>136</v>
      </c>
      <c r="B139" s="330" t="s">
        <v>1643</v>
      </c>
      <c r="C139" s="330" t="s">
        <v>2399</v>
      </c>
      <c r="D139" s="330" t="s">
        <v>1655</v>
      </c>
      <c r="E139" s="330" t="s">
        <v>1792</v>
      </c>
      <c r="F139" s="330" t="s">
        <v>1647</v>
      </c>
      <c r="G139" s="562">
        <v>1114</v>
      </c>
      <c r="H139" s="562">
        <v>683.3</v>
      </c>
      <c r="I139" s="562">
        <v>795.57</v>
      </c>
      <c r="J139" s="561" t="s">
        <v>1648</v>
      </c>
      <c r="K139" s="330" t="s">
        <v>2400</v>
      </c>
      <c r="L139" s="330" t="s">
        <v>2401</v>
      </c>
      <c r="M139" s="330" t="s">
        <v>2402</v>
      </c>
      <c r="N139" s="330" t="s">
        <v>12</v>
      </c>
      <c r="O139" s="395"/>
      <c r="P139" s="333">
        <v>7240095</v>
      </c>
      <c r="Q139" s="330" t="s">
        <v>1660</v>
      </c>
      <c r="R139" s="562">
        <v>0</v>
      </c>
      <c r="S139" s="333">
        <v>0</v>
      </c>
      <c r="T139" s="333">
        <v>0</v>
      </c>
      <c r="U139" s="333">
        <f t="shared" si="21"/>
        <v>0</v>
      </c>
      <c r="V139" s="333">
        <v>0</v>
      </c>
      <c r="W139" s="333">
        <v>0</v>
      </c>
      <c r="X139" s="333">
        <v>0</v>
      </c>
      <c r="Y139" s="333">
        <v>0</v>
      </c>
      <c r="Z139" s="333">
        <v>0</v>
      </c>
      <c r="AA139" s="333">
        <v>0</v>
      </c>
      <c r="AB139" s="333">
        <v>0</v>
      </c>
      <c r="AC139" s="333">
        <v>0</v>
      </c>
      <c r="AD139" s="333">
        <v>0</v>
      </c>
      <c r="AE139" s="333"/>
      <c r="AF139" s="333"/>
      <c r="AG139" s="333">
        <f t="shared" si="22"/>
        <v>0</v>
      </c>
      <c r="AH139" s="330"/>
      <c r="AI139" s="330">
        <v>0</v>
      </c>
      <c r="AJ139" s="396">
        <f t="shared" si="23"/>
        <v>0</v>
      </c>
      <c r="AK139" s="563"/>
      <c r="AL139" s="285">
        <f t="shared" si="25"/>
        <v>0</v>
      </c>
      <c r="AM139" s="286"/>
      <c r="AO139" s="330" t="s">
        <v>2400</v>
      </c>
    </row>
    <row r="140" spans="1:41">
      <c r="A140" s="587">
        <f t="shared" si="24"/>
        <v>137</v>
      </c>
      <c r="B140" s="330" t="s">
        <v>1643</v>
      </c>
      <c r="C140" s="330" t="s">
        <v>2403</v>
      </c>
      <c r="D140" s="330" t="s">
        <v>1746</v>
      </c>
      <c r="E140" s="330" t="s">
        <v>2404</v>
      </c>
      <c r="F140" s="330" t="s">
        <v>1671</v>
      </c>
      <c r="G140" s="562">
        <v>1375</v>
      </c>
      <c r="H140" s="562">
        <v>876.73</v>
      </c>
      <c r="I140" s="562">
        <v>982.22</v>
      </c>
      <c r="J140" s="561" t="s">
        <v>1648</v>
      </c>
      <c r="K140" s="330" t="s">
        <v>2405</v>
      </c>
      <c r="L140" s="330" t="s">
        <v>2406</v>
      </c>
      <c r="M140" s="330" t="s">
        <v>2407</v>
      </c>
      <c r="N140" s="330" t="s">
        <v>2408</v>
      </c>
      <c r="O140" s="395">
        <v>45478</v>
      </c>
      <c r="P140" s="333">
        <v>8098190</v>
      </c>
      <c r="Q140" s="330" t="s">
        <v>1653</v>
      </c>
      <c r="R140" s="562">
        <v>0</v>
      </c>
      <c r="S140" s="333">
        <v>0</v>
      </c>
      <c r="T140" s="333">
        <v>-2429456.1400000006</v>
      </c>
      <c r="U140" s="333">
        <f t="shared" si="21"/>
        <v>-2429456.1400000006</v>
      </c>
      <c r="V140" s="333">
        <v>0</v>
      </c>
      <c r="W140" s="333">
        <v>0</v>
      </c>
      <c r="X140" s="333">
        <v>0</v>
      </c>
      <c r="Y140" s="333">
        <v>0</v>
      </c>
      <c r="Z140" s="333">
        <v>0</v>
      </c>
      <c r="AA140" s="333">
        <v>0</v>
      </c>
      <c r="AB140" s="333">
        <v>0</v>
      </c>
      <c r="AC140" s="333">
        <v>0</v>
      </c>
      <c r="AD140" s="333">
        <v>0</v>
      </c>
      <c r="AE140" s="333"/>
      <c r="AF140" s="333"/>
      <c r="AG140" s="333">
        <f t="shared" si="22"/>
        <v>-2429456.1400000006</v>
      </c>
      <c r="AH140" s="330"/>
      <c r="AI140" s="330">
        <v>0</v>
      </c>
      <c r="AJ140" s="396">
        <f t="shared" si="23"/>
        <v>-2429456.1400000006</v>
      </c>
      <c r="AK140" s="563"/>
      <c r="AL140" s="285">
        <f t="shared" si="25"/>
        <v>0</v>
      </c>
      <c r="AM140" s="286"/>
      <c r="AO140" s="330" t="s">
        <v>2405</v>
      </c>
    </row>
    <row r="141" spans="1:41">
      <c r="A141" s="587">
        <f t="shared" si="24"/>
        <v>138</v>
      </c>
      <c r="B141" s="330" t="s">
        <v>1643</v>
      </c>
      <c r="C141" s="330" t="s">
        <v>2409</v>
      </c>
      <c r="D141" s="330" t="s">
        <v>1645</v>
      </c>
      <c r="E141" s="330" t="s">
        <v>2227</v>
      </c>
      <c r="F141" s="330" t="s">
        <v>1647</v>
      </c>
      <c r="G141" s="562">
        <v>1012</v>
      </c>
      <c r="H141" s="562">
        <v>653.59</v>
      </c>
      <c r="I141" s="562">
        <v>723.02</v>
      </c>
      <c r="J141" s="561" t="s">
        <v>1810</v>
      </c>
      <c r="K141" s="330" t="s">
        <v>2410</v>
      </c>
      <c r="L141" s="330" t="s">
        <v>2411</v>
      </c>
      <c r="M141" s="330" t="s">
        <v>2412</v>
      </c>
      <c r="N141" s="330" t="s">
        <v>2413</v>
      </c>
      <c r="O141" s="395">
        <v>45443</v>
      </c>
      <c r="P141" s="333">
        <v>5729194</v>
      </c>
      <c r="Q141" s="330" t="s">
        <v>1653</v>
      </c>
      <c r="R141" s="562">
        <v>0</v>
      </c>
      <c r="S141" s="333">
        <v>0</v>
      </c>
      <c r="T141" s="333">
        <v>-1695046.4700000002</v>
      </c>
      <c r="U141" s="333">
        <f t="shared" si="21"/>
        <v>-1695046.4700000002</v>
      </c>
      <c r="V141" s="333">
        <v>0</v>
      </c>
      <c r="W141" s="333">
        <v>0</v>
      </c>
      <c r="X141" s="333">
        <v>0</v>
      </c>
      <c r="Y141" s="333">
        <v>0</v>
      </c>
      <c r="Z141" s="333">
        <v>0</v>
      </c>
      <c r="AA141" s="333">
        <v>0</v>
      </c>
      <c r="AB141" s="333">
        <v>0</v>
      </c>
      <c r="AC141" s="333">
        <v>-16568.619999999995</v>
      </c>
      <c r="AD141" s="333">
        <v>0</v>
      </c>
      <c r="AE141" s="333"/>
      <c r="AF141" s="333"/>
      <c r="AG141" s="333">
        <f t="shared" si="22"/>
        <v>-1711615.0900000003</v>
      </c>
      <c r="AH141" s="330"/>
      <c r="AI141" s="330">
        <v>16568.620000000003</v>
      </c>
      <c r="AJ141" s="396">
        <f t="shared" si="23"/>
        <v>-1711615.0900000003</v>
      </c>
      <c r="AK141" s="563"/>
      <c r="AL141" s="285">
        <f t="shared" ref="AL141:AL142" si="26">+AC141+AI141</f>
        <v>0</v>
      </c>
      <c r="AM141" s="286"/>
      <c r="AO141" s="330" t="s">
        <v>2410</v>
      </c>
    </row>
    <row r="142" spans="1:41">
      <c r="A142" s="587">
        <f t="shared" si="24"/>
        <v>139</v>
      </c>
      <c r="B142" s="330" t="s">
        <v>1643</v>
      </c>
      <c r="C142" s="330" t="s">
        <v>2414</v>
      </c>
      <c r="D142" s="330" t="s">
        <v>1645</v>
      </c>
      <c r="E142" s="330" t="s">
        <v>2368</v>
      </c>
      <c r="F142" s="330" t="s">
        <v>1647</v>
      </c>
      <c r="G142" s="562">
        <v>1114</v>
      </c>
      <c r="H142" s="562">
        <v>683.3</v>
      </c>
      <c r="I142" s="562">
        <v>795.57</v>
      </c>
      <c r="J142" s="561" t="s">
        <v>1648</v>
      </c>
      <c r="K142" s="330" t="s">
        <v>2415</v>
      </c>
      <c r="L142" s="330" t="s">
        <v>2416</v>
      </c>
      <c r="M142" s="330" t="s">
        <v>2417</v>
      </c>
      <c r="N142" s="330" t="s">
        <v>2418</v>
      </c>
      <c r="O142" s="395">
        <v>45435</v>
      </c>
      <c r="P142" s="333">
        <v>6320782</v>
      </c>
      <c r="Q142" s="330" t="s">
        <v>1653</v>
      </c>
      <c r="R142" s="562">
        <v>0</v>
      </c>
      <c r="S142" s="333">
        <v>0</v>
      </c>
      <c r="T142" s="333">
        <v>-1837448.26</v>
      </c>
      <c r="U142" s="333">
        <f t="shared" si="21"/>
        <v>-1837448.26</v>
      </c>
      <c r="V142" s="333">
        <v>-60000</v>
      </c>
      <c r="W142" s="333">
        <v>0</v>
      </c>
      <c r="X142" s="333">
        <v>0</v>
      </c>
      <c r="Y142" s="333">
        <v>0</v>
      </c>
      <c r="Z142" s="333">
        <v>0</v>
      </c>
      <c r="AA142" s="333">
        <v>0</v>
      </c>
      <c r="AB142" s="333">
        <v>0</v>
      </c>
      <c r="AC142" s="333">
        <v>-4286</v>
      </c>
      <c r="AD142" s="333">
        <v>0</v>
      </c>
      <c r="AE142" s="333"/>
      <c r="AF142" s="333"/>
      <c r="AG142" s="333">
        <f t="shared" si="22"/>
        <v>-1901734.26</v>
      </c>
      <c r="AH142" s="330"/>
      <c r="AI142" s="330">
        <v>4286</v>
      </c>
      <c r="AJ142" s="396">
        <f t="shared" si="23"/>
        <v>-1901734.26</v>
      </c>
      <c r="AK142" s="563"/>
      <c r="AL142" s="285">
        <f t="shared" si="26"/>
        <v>0</v>
      </c>
      <c r="AM142" s="286"/>
      <c r="AO142" s="330" t="s">
        <v>2415</v>
      </c>
    </row>
    <row r="143" spans="1:41">
      <c r="A143" s="587">
        <f t="shared" si="24"/>
        <v>140</v>
      </c>
      <c r="B143" s="330" t="s">
        <v>1643</v>
      </c>
      <c r="C143" s="330" t="s">
        <v>2419</v>
      </c>
      <c r="D143" s="330" t="s">
        <v>2153</v>
      </c>
      <c r="E143" s="330" t="s">
        <v>2023</v>
      </c>
      <c r="F143" s="330" t="s">
        <v>1647</v>
      </c>
      <c r="G143" s="562">
        <v>1114</v>
      </c>
      <c r="H143" s="562">
        <v>683.3</v>
      </c>
      <c r="I143" s="562">
        <v>795.57</v>
      </c>
      <c r="J143" s="561" t="s">
        <v>1648</v>
      </c>
      <c r="K143" s="330" t="s">
        <v>2420</v>
      </c>
      <c r="L143" s="330" t="s">
        <v>2421</v>
      </c>
      <c r="M143" s="330" t="s">
        <v>2422</v>
      </c>
      <c r="N143" s="330" t="s">
        <v>2423</v>
      </c>
      <c r="O143" s="395">
        <v>45456</v>
      </c>
      <c r="P143" s="333">
        <v>6691905</v>
      </c>
      <c r="Q143" s="330" t="s">
        <v>1653</v>
      </c>
      <c r="R143" s="562">
        <v>0</v>
      </c>
      <c r="S143" s="333">
        <v>0</v>
      </c>
      <c r="T143" s="333">
        <v>-2012256.42</v>
      </c>
      <c r="U143" s="333">
        <f t="shared" si="21"/>
        <v>-2012256.42</v>
      </c>
      <c r="V143" s="333">
        <v>0</v>
      </c>
      <c r="W143" s="333">
        <v>0</v>
      </c>
      <c r="X143" s="333">
        <v>0</v>
      </c>
      <c r="Y143" s="333">
        <v>0</v>
      </c>
      <c r="Z143" s="333">
        <v>0</v>
      </c>
      <c r="AA143" s="333">
        <v>0</v>
      </c>
      <c r="AB143" s="333">
        <v>0</v>
      </c>
      <c r="AC143" s="333">
        <v>0</v>
      </c>
      <c r="AD143" s="333">
        <v>0</v>
      </c>
      <c r="AE143" s="333"/>
      <c r="AF143" s="333"/>
      <c r="AG143" s="333">
        <f t="shared" si="22"/>
        <v>-2012256.42</v>
      </c>
      <c r="AH143" s="330"/>
      <c r="AI143" s="330">
        <v>0</v>
      </c>
      <c r="AJ143" s="396">
        <f t="shared" si="23"/>
        <v>-2012256.42</v>
      </c>
      <c r="AK143" s="563"/>
      <c r="AL143" s="285">
        <f t="shared" si="25"/>
        <v>0</v>
      </c>
      <c r="AM143" s="286"/>
      <c r="AO143" s="330" t="s">
        <v>2420</v>
      </c>
    </row>
    <row r="144" spans="1:41">
      <c r="A144" s="587">
        <f t="shared" si="24"/>
        <v>141</v>
      </c>
      <c r="B144" s="330" t="s">
        <v>1643</v>
      </c>
      <c r="C144" s="330" t="s">
        <v>2424</v>
      </c>
      <c r="D144" s="330" t="s">
        <v>1645</v>
      </c>
      <c r="E144" s="330" t="s">
        <v>2425</v>
      </c>
      <c r="F144" s="330" t="s">
        <v>1671</v>
      </c>
      <c r="G144" s="562">
        <v>1375</v>
      </c>
      <c r="H144" s="562">
        <v>876.73</v>
      </c>
      <c r="I144" s="562">
        <v>982.22</v>
      </c>
      <c r="J144" s="561" t="s">
        <v>1648</v>
      </c>
      <c r="K144" s="330" t="s">
        <v>2426</v>
      </c>
      <c r="L144" s="330" t="s">
        <v>2427</v>
      </c>
      <c r="M144" s="330" t="s">
        <v>2428</v>
      </c>
      <c r="N144" s="330" t="s">
        <v>2429</v>
      </c>
      <c r="O144" s="395">
        <v>45506</v>
      </c>
      <c r="P144" s="333">
        <v>7874953</v>
      </c>
      <c r="Q144" s="330" t="s">
        <v>1653</v>
      </c>
      <c r="R144" s="562">
        <v>0</v>
      </c>
      <c r="S144" s="333">
        <v>0</v>
      </c>
      <c r="T144" s="333">
        <v>-2362485.7000000002</v>
      </c>
      <c r="U144" s="333">
        <f t="shared" si="21"/>
        <v>-2362485.7000000002</v>
      </c>
      <c r="V144" s="333">
        <v>0</v>
      </c>
      <c r="W144" s="333">
        <v>0</v>
      </c>
      <c r="X144" s="333">
        <v>0</v>
      </c>
      <c r="Y144" s="333">
        <v>0</v>
      </c>
      <c r="Z144" s="333">
        <v>0</v>
      </c>
      <c r="AA144" s="333">
        <v>0</v>
      </c>
      <c r="AB144" s="333">
        <v>0</v>
      </c>
      <c r="AC144" s="333">
        <v>0</v>
      </c>
      <c r="AD144" s="333">
        <v>0</v>
      </c>
      <c r="AE144" s="333"/>
      <c r="AF144" s="333"/>
      <c r="AG144" s="333">
        <f t="shared" si="22"/>
        <v>-2362485.7000000002</v>
      </c>
      <c r="AH144" s="330"/>
      <c r="AI144" s="330">
        <v>0</v>
      </c>
      <c r="AJ144" s="396">
        <f t="shared" si="23"/>
        <v>-2362485.7000000002</v>
      </c>
      <c r="AK144" s="563"/>
      <c r="AL144" s="285">
        <f t="shared" si="25"/>
        <v>0</v>
      </c>
      <c r="AM144" s="286"/>
      <c r="AO144" s="330" t="s">
        <v>2426</v>
      </c>
    </row>
    <row r="145" spans="1:41">
      <c r="A145" s="587">
        <f t="shared" si="24"/>
        <v>142</v>
      </c>
      <c r="B145" s="330" t="s">
        <v>1643</v>
      </c>
      <c r="C145" s="330" t="s">
        <v>2430</v>
      </c>
      <c r="D145" s="330" t="s">
        <v>1704</v>
      </c>
      <c r="E145" s="330" t="s">
        <v>2264</v>
      </c>
      <c r="F145" s="330" t="s">
        <v>1647</v>
      </c>
      <c r="G145" s="562">
        <v>1114</v>
      </c>
      <c r="H145" s="562">
        <v>683.3</v>
      </c>
      <c r="I145" s="562">
        <v>795.57</v>
      </c>
      <c r="J145" s="561" t="s">
        <v>1648</v>
      </c>
      <c r="K145" s="330" t="s">
        <v>2431</v>
      </c>
      <c r="L145" s="330" t="s">
        <v>2432</v>
      </c>
      <c r="M145" s="330" t="s">
        <v>2433</v>
      </c>
      <c r="N145" s="330" t="s">
        <v>2434</v>
      </c>
      <c r="O145" s="395">
        <v>45443</v>
      </c>
      <c r="P145" s="333">
        <v>6401714</v>
      </c>
      <c r="Q145" s="330" t="s">
        <v>1653</v>
      </c>
      <c r="R145" s="562">
        <v>0</v>
      </c>
      <c r="S145" s="333">
        <v>0</v>
      </c>
      <c r="T145" s="333">
        <v>-1869514.2800000003</v>
      </c>
      <c r="U145" s="333">
        <f t="shared" si="21"/>
        <v>-1869514.2800000003</v>
      </c>
      <c r="V145" s="333">
        <v>-51000</v>
      </c>
      <c r="W145" s="333">
        <v>0</v>
      </c>
      <c r="X145" s="333">
        <v>0</v>
      </c>
      <c r="Y145" s="333">
        <v>0</v>
      </c>
      <c r="Z145" s="333">
        <v>0</v>
      </c>
      <c r="AA145" s="333">
        <v>0</v>
      </c>
      <c r="AB145" s="333">
        <v>0</v>
      </c>
      <c r="AC145" s="333">
        <v>0</v>
      </c>
      <c r="AD145" s="333">
        <v>0</v>
      </c>
      <c r="AE145" s="333"/>
      <c r="AF145" s="333"/>
      <c r="AG145" s="333">
        <f t="shared" si="22"/>
        <v>-1920514.2800000003</v>
      </c>
      <c r="AH145" s="330"/>
      <c r="AI145" s="330">
        <v>0</v>
      </c>
      <c r="AJ145" s="396">
        <f t="shared" si="23"/>
        <v>-1920514.2800000003</v>
      </c>
      <c r="AK145" s="563"/>
      <c r="AL145" s="285">
        <f t="shared" si="25"/>
        <v>0</v>
      </c>
      <c r="AM145" s="286"/>
      <c r="AO145" s="330" t="s">
        <v>2431</v>
      </c>
    </row>
    <row r="146" spans="1:41">
      <c r="A146" s="587">
        <f t="shared" si="24"/>
        <v>143</v>
      </c>
      <c r="B146" s="330" t="s">
        <v>1643</v>
      </c>
      <c r="C146" s="330" t="s">
        <v>2435</v>
      </c>
      <c r="D146" s="330" t="s">
        <v>1662</v>
      </c>
      <c r="E146" s="330" t="s">
        <v>2436</v>
      </c>
      <c r="F146" s="330" t="s">
        <v>1671</v>
      </c>
      <c r="G146" s="562">
        <v>1498</v>
      </c>
      <c r="H146" s="562">
        <v>954.87</v>
      </c>
      <c r="I146" s="562">
        <v>1069.73</v>
      </c>
      <c r="J146" s="561" t="s">
        <v>1648</v>
      </c>
      <c r="K146" s="330" t="s">
        <v>2437</v>
      </c>
      <c r="L146" s="330" t="s">
        <v>2438</v>
      </c>
      <c r="M146" s="330" t="s">
        <v>2439</v>
      </c>
      <c r="N146" s="330" t="s">
        <v>2440</v>
      </c>
      <c r="O146" s="395">
        <v>45468</v>
      </c>
      <c r="P146" s="333">
        <v>8607143</v>
      </c>
      <c r="Q146" s="330" t="s">
        <v>1653</v>
      </c>
      <c r="R146" s="562">
        <v>0</v>
      </c>
      <c r="S146" s="333">
        <v>0</v>
      </c>
      <c r="T146" s="333">
        <v>-2668215.2699999996</v>
      </c>
      <c r="U146" s="333">
        <f t="shared" si="21"/>
        <v>-2668215.2699999996</v>
      </c>
      <c r="V146" s="333">
        <v>0</v>
      </c>
      <c r="W146" s="333">
        <v>0</v>
      </c>
      <c r="X146" s="333">
        <v>0</v>
      </c>
      <c r="Y146" s="333">
        <v>0</v>
      </c>
      <c r="Z146" s="333">
        <v>0</v>
      </c>
      <c r="AA146" s="333">
        <v>0</v>
      </c>
      <c r="AB146" s="333">
        <v>0</v>
      </c>
      <c r="AC146" s="333">
        <v>0</v>
      </c>
      <c r="AD146" s="333">
        <v>0</v>
      </c>
      <c r="AE146" s="333"/>
      <c r="AF146" s="333"/>
      <c r="AG146" s="333">
        <f t="shared" si="22"/>
        <v>-2668215.2699999996</v>
      </c>
      <c r="AH146" s="330"/>
      <c r="AI146" s="330">
        <v>0</v>
      </c>
      <c r="AJ146" s="396">
        <f t="shared" si="23"/>
        <v>-2668215.2699999996</v>
      </c>
      <c r="AK146" s="563"/>
      <c r="AL146" s="285">
        <f t="shared" si="25"/>
        <v>0</v>
      </c>
      <c r="AM146" s="286"/>
      <c r="AO146" s="330" t="s">
        <v>2437</v>
      </c>
    </row>
    <row r="147" spans="1:41">
      <c r="A147" s="587">
        <f t="shared" si="24"/>
        <v>144</v>
      </c>
      <c r="B147" s="330" t="s">
        <v>1643</v>
      </c>
      <c r="C147" s="330" t="s">
        <v>2441</v>
      </c>
      <c r="D147" s="330" t="s">
        <v>1677</v>
      </c>
      <c r="E147" s="330" t="s">
        <v>1740</v>
      </c>
      <c r="F147" s="330" t="s">
        <v>1647</v>
      </c>
      <c r="G147" s="562">
        <v>1012</v>
      </c>
      <c r="H147" s="562">
        <v>653.59</v>
      </c>
      <c r="I147" s="562">
        <v>723.02</v>
      </c>
      <c r="J147" s="561" t="s">
        <v>1810</v>
      </c>
      <c r="K147" s="330" t="s">
        <v>2442</v>
      </c>
      <c r="L147" s="330" t="s">
        <v>2443</v>
      </c>
      <c r="M147" s="330" t="s">
        <v>2444</v>
      </c>
      <c r="N147" s="330" t="s">
        <v>12</v>
      </c>
      <c r="O147" s="395"/>
      <c r="P147" s="333">
        <v>6089238</v>
      </c>
      <c r="Q147" s="330" t="s">
        <v>1660</v>
      </c>
      <c r="R147" s="562">
        <v>0</v>
      </c>
      <c r="S147" s="333">
        <v>0</v>
      </c>
      <c r="T147" s="333">
        <v>-150000</v>
      </c>
      <c r="U147" s="333">
        <f t="shared" si="21"/>
        <v>-150000</v>
      </c>
      <c r="V147" s="333">
        <v>150000</v>
      </c>
      <c r="W147" s="333">
        <v>0</v>
      </c>
      <c r="X147" s="333">
        <v>0</v>
      </c>
      <c r="Y147" s="333">
        <v>0</v>
      </c>
      <c r="Z147" s="333">
        <v>0</v>
      </c>
      <c r="AA147" s="333">
        <v>0</v>
      </c>
      <c r="AB147" s="333">
        <v>0</v>
      </c>
      <c r="AC147" s="333">
        <v>0</v>
      </c>
      <c r="AD147" s="333">
        <v>0</v>
      </c>
      <c r="AE147" s="333"/>
      <c r="AF147" s="333"/>
      <c r="AG147" s="333">
        <f t="shared" si="22"/>
        <v>0</v>
      </c>
      <c r="AH147" s="330"/>
      <c r="AI147" s="330">
        <v>0</v>
      </c>
      <c r="AJ147" s="396">
        <f t="shared" si="23"/>
        <v>0</v>
      </c>
      <c r="AK147" s="563"/>
      <c r="AL147" s="285">
        <f t="shared" si="25"/>
        <v>0</v>
      </c>
      <c r="AM147" s="286"/>
      <c r="AO147" s="330" t="s">
        <v>2442</v>
      </c>
    </row>
    <row r="148" spans="1:41">
      <c r="A148" s="587">
        <f t="shared" si="24"/>
        <v>145</v>
      </c>
      <c r="B148" s="330" t="s">
        <v>1643</v>
      </c>
      <c r="C148" s="330" t="s">
        <v>2445</v>
      </c>
      <c r="D148" s="330" t="s">
        <v>1662</v>
      </c>
      <c r="E148" s="330" t="s">
        <v>1929</v>
      </c>
      <c r="F148" s="330" t="s">
        <v>1647</v>
      </c>
      <c r="G148" s="562">
        <v>1114</v>
      </c>
      <c r="H148" s="562">
        <v>683.3</v>
      </c>
      <c r="I148" s="562">
        <v>795.57</v>
      </c>
      <c r="J148" s="561" t="s">
        <v>1810</v>
      </c>
      <c r="K148" s="330" t="s">
        <v>2446</v>
      </c>
      <c r="L148" s="330" t="s">
        <v>2447</v>
      </c>
      <c r="M148" s="330" t="s">
        <v>2448</v>
      </c>
      <c r="N148" s="330" t="s">
        <v>2449</v>
      </c>
      <c r="O148" s="395">
        <v>45429</v>
      </c>
      <c r="P148" s="333">
        <v>6287368</v>
      </c>
      <c r="Q148" s="330" t="s">
        <v>1653</v>
      </c>
      <c r="R148" s="562">
        <v>0</v>
      </c>
      <c r="S148" s="333">
        <v>0</v>
      </c>
      <c r="T148" s="333">
        <v>-1897655.1600000001</v>
      </c>
      <c r="U148" s="333">
        <f t="shared" si="21"/>
        <v>-1897655.1600000001</v>
      </c>
      <c r="V148" s="333">
        <v>0</v>
      </c>
      <c r="W148" s="333">
        <v>0</v>
      </c>
      <c r="X148" s="333">
        <v>0</v>
      </c>
      <c r="Y148" s="333">
        <v>0</v>
      </c>
      <c r="Z148" s="333">
        <v>0</v>
      </c>
      <c r="AA148" s="333">
        <v>0</v>
      </c>
      <c r="AB148" s="333">
        <v>0</v>
      </c>
      <c r="AC148" s="333">
        <v>-2428.5800000000017</v>
      </c>
      <c r="AD148" s="333">
        <v>0</v>
      </c>
      <c r="AE148" s="333"/>
      <c r="AF148" s="333"/>
      <c r="AG148" s="333">
        <f t="shared" si="22"/>
        <v>-1900083.7400000002</v>
      </c>
      <c r="AH148" s="330"/>
      <c r="AI148" s="330">
        <v>2428.58</v>
      </c>
      <c r="AJ148" s="396">
        <f t="shared" si="23"/>
        <v>-1900083.7400000002</v>
      </c>
      <c r="AK148" s="563"/>
      <c r="AL148" s="285">
        <f>+AC148+AI148</f>
        <v>0</v>
      </c>
      <c r="AM148" s="286"/>
      <c r="AO148" s="330" t="s">
        <v>2446</v>
      </c>
    </row>
    <row r="149" spans="1:41">
      <c r="A149" s="587">
        <f t="shared" si="24"/>
        <v>146</v>
      </c>
      <c r="B149" s="330" t="s">
        <v>1643</v>
      </c>
      <c r="C149" s="330" t="s">
        <v>2450</v>
      </c>
      <c r="D149" s="330" t="s">
        <v>2153</v>
      </c>
      <c r="E149" s="330" t="s">
        <v>2347</v>
      </c>
      <c r="F149" s="330" t="s">
        <v>1647</v>
      </c>
      <c r="G149" s="562">
        <v>1114</v>
      </c>
      <c r="H149" s="562">
        <v>683.3</v>
      </c>
      <c r="I149" s="562">
        <v>795.57</v>
      </c>
      <c r="J149" s="561" t="s">
        <v>1648</v>
      </c>
      <c r="K149" s="330" t="s">
        <v>2451</v>
      </c>
      <c r="L149" s="330" t="s">
        <v>2452</v>
      </c>
      <c r="M149" s="330" t="s">
        <v>2453</v>
      </c>
      <c r="N149" s="330" t="s">
        <v>2454</v>
      </c>
      <c r="O149" s="395">
        <v>45448</v>
      </c>
      <c r="P149" s="333">
        <v>6535714</v>
      </c>
      <c r="Q149" s="330" t="s">
        <v>1653</v>
      </c>
      <c r="R149" s="562">
        <v>0</v>
      </c>
      <c r="S149" s="333">
        <v>0</v>
      </c>
      <c r="T149" s="333">
        <v>-1960713.44</v>
      </c>
      <c r="U149" s="333">
        <f t="shared" si="21"/>
        <v>-1960713.44</v>
      </c>
      <c r="V149" s="333">
        <v>0</v>
      </c>
      <c r="W149" s="333">
        <v>0</v>
      </c>
      <c r="X149" s="333">
        <v>0</v>
      </c>
      <c r="Y149" s="333">
        <v>0</v>
      </c>
      <c r="Z149" s="333">
        <v>0</v>
      </c>
      <c r="AA149" s="333">
        <v>0</v>
      </c>
      <c r="AB149" s="333">
        <v>0</v>
      </c>
      <c r="AC149" s="333">
        <v>1.9999999974970706E-2</v>
      </c>
      <c r="AD149" s="333">
        <v>0</v>
      </c>
      <c r="AE149" s="333"/>
      <c r="AF149" s="333"/>
      <c r="AG149" s="333">
        <f t="shared" si="22"/>
        <v>-1960713.42</v>
      </c>
      <c r="AH149" s="330"/>
      <c r="AI149" s="330">
        <v>-2.0000000004074536E-2</v>
      </c>
      <c r="AJ149" s="396">
        <f t="shared" si="23"/>
        <v>-1960713.42</v>
      </c>
      <c r="AK149" s="563"/>
      <c r="AL149" s="285">
        <f t="shared" si="25"/>
        <v>3.9999999979045242E-2</v>
      </c>
      <c r="AM149" s="286"/>
      <c r="AO149" s="330" t="s">
        <v>2451</v>
      </c>
    </row>
    <row r="150" spans="1:41">
      <c r="A150" s="587">
        <f t="shared" si="24"/>
        <v>147</v>
      </c>
      <c r="B150" s="330" t="s">
        <v>1643</v>
      </c>
      <c r="C150" s="330" t="s">
        <v>2455</v>
      </c>
      <c r="D150" s="330" t="s">
        <v>1746</v>
      </c>
      <c r="E150" s="330" t="s">
        <v>2050</v>
      </c>
      <c r="F150" s="330" t="s">
        <v>1671</v>
      </c>
      <c r="G150" s="562">
        <v>1498</v>
      </c>
      <c r="H150" s="562">
        <v>954.87</v>
      </c>
      <c r="I150" s="562">
        <v>1069.73</v>
      </c>
      <c r="J150" s="561" t="s">
        <v>1648</v>
      </c>
      <c r="K150" s="330" t="s">
        <v>2456</v>
      </c>
      <c r="L150" s="330" t="s">
        <v>2457</v>
      </c>
      <c r="M150" s="330" t="s">
        <v>2458</v>
      </c>
      <c r="N150" s="330" t="s">
        <v>2459</v>
      </c>
      <c r="O150" s="395">
        <v>45548</v>
      </c>
      <c r="P150" s="333">
        <v>9071428</v>
      </c>
      <c r="Q150" s="330" t="s">
        <v>1653</v>
      </c>
      <c r="R150" s="562">
        <v>0</v>
      </c>
      <c r="S150" s="333">
        <v>0</v>
      </c>
      <c r="T150" s="333">
        <v>-2713141.5799999991</v>
      </c>
      <c r="U150" s="333">
        <f t="shared" si="21"/>
        <v>-2713141.5799999991</v>
      </c>
      <c r="V150" s="333">
        <v>0</v>
      </c>
      <c r="W150" s="333">
        <v>0</v>
      </c>
      <c r="X150" s="333">
        <v>0</v>
      </c>
      <c r="Y150" s="333">
        <v>0</v>
      </c>
      <c r="Z150" s="333">
        <v>0</v>
      </c>
      <c r="AA150" s="333">
        <v>0</v>
      </c>
      <c r="AB150" s="333">
        <v>0</v>
      </c>
      <c r="AC150" s="333">
        <v>0</v>
      </c>
      <c r="AD150" s="333">
        <v>0</v>
      </c>
      <c r="AE150" s="333"/>
      <c r="AF150" s="333"/>
      <c r="AG150" s="333">
        <f t="shared" si="22"/>
        <v>-2713141.5799999991</v>
      </c>
      <c r="AH150" s="330"/>
      <c r="AI150" s="330">
        <v>0</v>
      </c>
      <c r="AJ150" s="396">
        <f t="shared" si="23"/>
        <v>-2713141.5799999991</v>
      </c>
      <c r="AK150" s="563"/>
      <c r="AL150" s="285">
        <f t="shared" si="25"/>
        <v>0</v>
      </c>
      <c r="AM150" s="286"/>
      <c r="AO150" s="330" t="s">
        <v>2456</v>
      </c>
    </row>
    <row r="151" spans="1:41">
      <c r="A151" s="587">
        <f t="shared" si="24"/>
        <v>148</v>
      </c>
      <c r="B151" s="330" t="s">
        <v>1643</v>
      </c>
      <c r="C151" s="330" t="s">
        <v>2460</v>
      </c>
      <c r="D151" s="330" t="s">
        <v>1746</v>
      </c>
      <c r="E151" s="330" t="s">
        <v>2264</v>
      </c>
      <c r="F151" s="330" t="s">
        <v>1647</v>
      </c>
      <c r="G151" s="562">
        <v>1114</v>
      </c>
      <c r="H151" s="562">
        <v>683.3</v>
      </c>
      <c r="I151" s="562">
        <v>795.57</v>
      </c>
      <c r="J151" s="561" t="s">
        <v>1810</v>
      </c>
      <c r="K151" s="330" t="s">
        <v>2461</v>
      </c>
      <c r="L151" s="330" t="s">
        <v>2462</v>
      </c>
      <c r="M151" s="330" t="s">
        <v>2463</v>
      </c>
      <c r="N151" s="330" t="s">
        <v>2464</v>
      </c>
      <c r="O151" s="395">
        <v>45476</v>
      </c>
      <c r="P151" s="333">
        <v>6864857</v>
      </c>
      <c r="Q151" s="330" t="s">
        <v>1653</v>
      </c>
      <c r="R151" s="562">
        <v>0</v>
      </c>
      <c r="S151" s="333">
        <v>0</v>
      </c>
      <c r="T151" s="333">
        <v>-2037168.7099999997</v>
      </c>
      <c r="U151" s="333">
        <f t="shared" si="21"/>
        <v>-2037168.7099999997</v>
      </c>
      <c r="V151" s="333">
        <v>9559.0000000000146</v>
      </c>
      <c r="W151" s="333">
        <v>0</v>
      </c>
      <c r="X151" s="333">
        <v>0</v>
      </c>
      <c r="Y151" s="333">
        <v>0</v>
      </c>
      <c r="Z151" s="333">
        <v>0</v>
      </c>
      <c r="AA151" s="333">
        <v>0</v>
      </c>
      <c r="AB151" s="333">
        <v>0</v>
      </c>
      <c r="AC151" s="333">
        <v>-101018.85</v>
      </c>
      <c r="AD151" s="333">
        <v>0</v>
      </c>
      <c r="AE151" s="333"/>
      <c r="AF151" s="333"/>
      <c r="AG151" s="333">
        <f t="shared" si="22"/>
        <v>-2128628.5599999996</v>
      </c>
      <c r="AH151" s="330"/>
      <c r="AI151" s="330">
        <v>101019</v>
      </c>
      <c r="AJ151" s="396">
        <f t="shared" si="23"/>
        <v>-2128628.5599999996</v>
      </c>
      <c r="AK151" s="563"/>
      <c r="AL151" s="285">
        <f>+AC151+AI151</f>
        <v>0.14999999999417923</v>
      </c>
      <c r="AM151" s="286"/>
      <c r="AO151" s="330" t="s">
        <v>2461</v>
      </c>
    </row>
    <row r="152" spans="1:41">
      <c r="A152" s="587">
        <f t="shared" si="24"/>
        <v>149</v>
      </c>
      <c r="B152" s="330" t="s">
        <v>1643</v>
      </c>
      <c r="C152" s="330" t="s">
        <v>2465</v>
      </c>
      <c r="D152" s="330" t="s">
        <v>1746</v>
      </c>
      <c r="E152" s="330" t="s">
        <v>1711</v>
      </c>
      <c r="F152" s="330" t="s">
        <v>1647</v>
      </c>
      <c r="G152" s="562">
        <v>1012</v>
      </c>
      <c r="H152" s="562">
        <v>653.59</v>
      </c>
      <c r="I152" s="562">
        <v>723.02</v>
      </c>
      <c r="J152" s="561" t="s">
        <v>1648</v>
      </c>
      <c r="K152" s="330" t="s">
        <v>2466</v>
      </c>
      <c r="L152" s="330" t="s">
        <v>2467</v>
      </c>
      <c r="M152" s="330" t="s">
        <v>2468</v>
      </c>
      <c r="N152" s="330" t="s">
        <v>2469</v>
      </c>
      <c r="O152" s="395">
        <v>45439</v>
      </c>
      <c r="P152" s="333">
        <v>5624952</v>
      </c>
      <c r="Q152" s="330" t="s">
        <v>1653</v>
      </c>
      <c r="R152" s="562">
        <v>0</v>
      </c>
      <c r="S152" s="333">
        <v>0</v>
      </c>
      <c r="T152" s="333">
        <v>-1587488.24</v>
      </c>
      <c r="U152" s="333">
        <f t="shared" si="21"/>
        <v>-1587488.24</v>
      </c>
      <c r="V152" s="333">
        <v>-100000</v>
      </c>
      <c r="W152" s="333">
        <v>0</v>
      </c>
      <c r="X152" s="333">
        <v>0</v>
      </c>
      <c r="Y152" s="333">
        <v>0</v>
      </c>
      <c r="Z152" s="333">
        <v>0</v>
      </c>
      <c r="AA152" s="333">
        <v>0</v>
      </c>
      <c r="AB152" s="333">
        <v>0</v>
      </c>
      <c r="AC152" s="333">
        <v>0</v>
      </c>
      <c r="AD152" s="333">
        <v>0</v>
      </c>
      <c r="AE152" s="333"/>
      <c r="AF152" s="333"/>
      <c r="AG152" s="333">
        <f t="shared" si="22"/>
        <v>-1687488.24</v>
      </c>
      <c r="AH152" s="330"/>
      <c r="AI152" s="330">
        <v>0</v>
      </c>
      <c r="AJ152" s="396">
        <f t="shared" si="23"/>
        <v>-1687488.24</v>
      </c>
      <c r="AK152" s="563"/>
      <c r="AL152" s="285">
        <f t="shared" si="25"/>
        <v>0</v>
      </c>
      <c r="AM152" s="286"/>
      <c r="AO152" s="330" t="s">
        <v>2466</v>
      </c>
    </row>
    <row r="153" spans="1:41">
      <c r="A153" s="587">
        <f t="shared" si="24"/>
        <v>150</v>
      </c>
      <c r="B153" s="330" t="s">
        <v>1643</v>
      </c>
      <c r="C153" s="330" t="s">
        <v>2470</v>
      </c>
      <c r="D153" s="330" t="s">
        <v>1704</v>
      </c>
      <c r="E153" s="330" t="s">
        <v>2166</v>
      </c>
      <c r="F153" s="330" t="s">
        <v>1647</v>
      </c>
      <c r="G153" s="562">
        <v>1012</v>
      </c>
      <c r="H153" s="562">
        <v>653.59</v>
      </c>
      <c r="I153" s="562">
        <v>723.02</v>
      </c>
      <c r="J153" s="561" t="s">
        <v>1648</v>
      </c>
      <c r="K153" s="330" t="s">
        <v>2471</v>
      </c>
      <c r="L153" s="330" t="s">
        <v>2472</v>
      </c>
      <c r="M153" s="330" t="s">
        <v>2473</v>
      </c>
      <c r="N153" s="330" t="s">
        <v>2474</v>
      </c>
      <c r="O153" s="395">
        <v>45454</v>
      </c>
      <c r="P153" s="333">
        <v>5783714</v>
      </c>
      <c r="Q153" s="330" t="s">
        <v>1653</v>
      </c>
      <c r="R153" s="562">
        <v>0</v>
      </c>
      <c r="S153" s="333">
        <v>0</v>
      </c>
      <c r="T153" s="333">
        <v>-1782137.1399999994</v>
      </c>
      <c r="U153" s="333">
        <f t="shared" si="21"/>
        <v>-1782137.1399999994</v>
      </c>
      <c r="V153" s="333">
        <v>0</v>
      </c>
      <c r="W153" s="333">
        <v>0</v>
      </c>
      <c r="X153" s="333">
        <v>0</v>
      </c>
      <c r="Y153" s="333">
        <v>0</v>
      </c>
      <c r="Z153" s="333">
        <v>0</v>
      </c>
      <c r="AA153" s="333">
        <v>0</v>
      </c>
      <c r="AB153" s="333">
        <v>0</v>
      </c>
      <c r="AC153" s="333">
        <v>-10814.28</v>
      </c>
      <c r="AD153" s="333">
        <v>0</v>
      </c>
      <c r="AE153" s="333"/>
      <c r="AF153" s="333"/>
      <c r="AG153" s="333">
        <f t="shared" si="22"/>
        <v>-1792951.4199999995</v>
      </c>
      <c r="AH153" s="330"/>
      <c r="AI153" s="330">
        <v>10814.28</v>
      </c>
      <c r="AJ153" s="396">
        <f t="shared" si="23"/>
        <v>-1792951.4199999995</v>
      </c>
      <c r="AK153" s="563"/>
      <c r="AL153" s="285">
        <f>+AC153+AI153</f>
        <v>0</v>
      </c>
      <c r="AM153" s="286"/>
      <c r="AO153" s="330" t="s">
        <v>2471</v>
      </c>
    </row>
    <row r="154" spans="1:41">
      <c r="A154" s="587">
        <f t="shared" si="24"/>
        <v>151</v>
      </c>
      <c r="B154" s="330" t="s">
        <v>1643</v>
      </c>
      <c r="C154" s="330" t="s">
        <v>2475</v>
      </c>
      <c r="D154" s="330" t="s">
        <v>1662</v>
      </c>
      <c r="E154" s="330" t="s">
        <v>2388</v>
      </c>
      <c r="F154" s="330" t="s">
        <v>1647</v>
      </c>
      <c r="G154" s="562">
        <v>1114</v>
      </c>
      <c r="H154" s="562">
        <v>683.3</v>
      </c>
      <c r="I154" s="562">
        <v>795.57</v>
      </c>
      <c r="J154" s="561" t="s">
        <v>1648</v>
      </c>
      <c r="K154" s="330" t="s">
        <v>2476</v>
      </c>
      <c r="L154" s="330" t="s">
        <v>2477</v>
      </c>
      <c r="M154" s="330" t="s">
        <v>2478</v>
      </c>
      <c r="N154" s="330" t="s">
        <v>2479</v>
      </c>
      <c r="O154" s="395">
        <v>45454</v>
      </c>
      <c r="P154" s="333">
        <v>6424095</v>
      </c>
      <c r="Q154" s="330" t="s">
        <v>1653</v>
      </c>
      <c r="R154" s="562">
        <v>0</v>
      </c>
      <c r="S154" s="333">
        <v>0</v>
      </c>
      <c r="T154" s="333">
        <v>-1927227.56</v>
      </c>
      <c r="U154" s="333">
        <f t="shared" si="21"/>
        <v>-1927227.56</v>
      </c>
      <c r="V154" s="333">
        <v>0</v>
      </c>
      <c r="W154" s="333">
        <v>0</v>
      </c>
      <c r="X154" s="333">
        <v>0</v>
      </c>
      <c r="Y154" s="333">
        <v>0</v>
      </c>
      <c r="Z154" s="333">
        <v>0</v>
      </c>
      <c r="AA154" s="333">
        <v>0</v>
      </c>
      <c r="AB154" s="333">
        <v>0</v>
      </c>
      <c r="AC154" s="333">
        <v>0</v>
      </c>
      <c r="AD154" s="333">
        <v>0</v>
      </c>
      <c r="AE154" s="333"/>
      <c r="AF154" s="333"/>
      <c r="AG154" s="333">
        <f t="shared" si="22"/>
        <v>-1927227.56</v>
      </c>
      <c r="AH154" s="330"/>
      <c r="AI154" s="330">
        <v>0</v>
      </c>
      <c r="AJ154" s="396">
        <f t="shared" si="23"/>
        <v>-1927227.56</v>
      </c>
      <c r="AK154" s="563"/>
      <c r="AL154" s="285">
        <f t="shared" si="25"/>
        <v>0</v>
      </c>
      <c r="AM154" s="286"/>
      <c r="AO154" s="330" t="s">
        <v>2476</v>
      </c>
    </row>
    <row r="155" spans="1:41">
      <c r="A155" s="587">
        <f t="shared" si="24"/>
        <v>152</v>
      </c>
      <c r="B155" s="330" t="s">
        <v>1643</v>
      </c>
      <c r="C155" s="330" t="s">
        <v>2480</v>
      </c>
      <c r="D155" s="330" t="s">
        <v>1704</v>
      </c>
      <c r="E155" s="330" t="s">
        <v>1728</v>
      </c>
      <c r="F155" s="330" t="s">
        <v>1647</v>
      </c>
      <c r="G155" s="562">
        <v>1012</v>
      </c>
      <c r="H155" s="562">
        <v>653.59</v>
      </c>
      <c r="I155" s="562">
        <v>723.02</v>
      </c>
      <c r="J155" s="561" t="s">
        <v>1648</v>
      </c>
      <c r="K155" s="330" t="s">
        <v>2481</v>
      </c>
      <c r="L155" s="330" t="s">
        <v>2482</v>
      </c>
      <c r="M155" s="330" t="s">
        <v>2483</v>
      </c>
      <c r="N155" s="330" t="s">
        <v>2484</v>
      </c>
      <c r="O155" s="395">
        <v>45454</v>
      </c>
      <c r="P155" s="333">
        <v>5776762</v>
      </c>
      <c r="Q155" s="330" t="s">
        <v>1653</v>
      </c>
      <c r="R155" s="562">
        <v>0</v>
      </c>
      <c r="S155" s="333">
        <v>0</v>
      </c>
      <c r="T155" s="333">
        <v>-1733029.1800000002</v>
      </c>
      <c r="U155" s="333">
        <f t="shared" si="21"/>
        <v>-1733029.1800000002</v>
      </c>
      <c r="V155" s="333">
        <v>0</v>
      </c>
      <c r="W155" s="333">
        <v>0</v>
      </c>
      <c r="X155" s="333">
        <v>0</v>
      </c>
      <c r="Y155" s="333">
        <v>0</v>
      </c>
      <c r="Z155" s="333">
        <v>0</v>
      </c>
      <c r="AA155" s="333">
        <v>0</v>
      </c>
      <c r="AB155" s="333">
        <v>0</v>
      </c>
      <c r="AC155" s="333">
        <v>0</v>
      </c>
      <c r="AD155" s="333">
        <v>0</v>
      </c>
      <c r="AE155" s="333"/>
      <c r="AF155" s="333"/>
      <c r="AG155" s="333">
        <f t="shared" si="22"/>
        <v>-1733029.1800000002</v>
      </c>
      <c r="AH155" s="330"/>
      <c r="AI155" s="330">
        <v>0</v>
      </c>
      <c r="AJ155" s="396">
        <f t="shared" si="23"/>
        <v>-1733029.1800000002</v>
      </c>
      <c r="AK155" s="563"/>
      <c r="AL155" s="285">
        <f t="shared" si="25"/>
        <v>0</v>
      </c>
      <c r="AM155" s="286"/>
      <c r="AO155" s="330" t="s">
        <v>2481</v>
      </c>
    </row>
    <row r="156" spans="1:41">
      <c r="A156" s="587">
        <f t="shared" si="24"/>
        <v>153</v>
      </c>
      <c r="B156" s="330" t="s">
        <v>1643</v>
      </c>
      <c r="C156" s="330" t="s">
        <v>2485</v>
      </c>
      <c r="D156" s="330" t="s">
        <v>1645</v>
      </c>
      <c r="E156" s="330" t="s">
        <v>2486</v>
      </c>
      <c r="F156" s="330" t="s">
        <v>1647</v>
      </c>
      <c r="G156" s="562">
        <v>1114</v>
      </c>
      <c r="H156" s="562">
        <v>683.3</v>
      </c>
      <c r="I156" s="562">
        <v>795.57</v>
      </c>
      <c r="J156" s="561" t="s">
        <v>1648</v>
      </c>
      <c r="K156" s="330" t="s">
        <v>2487</v>
      </c>
      <c r="L156" s="330" t="s">
        <v>2488</v>
      </c>
      <c r="M156" s="330" t="s">
        <v>2489</v>
      </c>
      <c r="N156" s="330" t="s">
        <v>2490</v>
      </c>
      <c r="O156" s="395">
        <v>45439</v>
      </c>
      <c r="P156" s="333">
        <v>6337489</v>
      </c>
      <c r="Q156" s="330" t="s">
        <v>1653</v>
      </c>
      <c r="R156" s="562">
        <v>0</v>
      </c>
      <c r="S156" s="333">
        <v>0</v>
      </c>
      <c r="T156" s="333">
        <v>-1417497.6600000006</v>
      </c>
      <c r="U156" s="333">
        <f t="shared" si="21"/>
        <v>-1417497.6600000006</v>
      </c>
      <c r="V156" s="333">
        <v>31687</v>
      </c>
      <c r="W156" s="333">
        <v>0</v>
      </c>
      <c r="X156" s="333">
        <v>0</v>
      </c>
      <c r="Y156" s="333">
        <v>0</v>
      </c>
      <c r="Z156" s="333">
        <v>0</v>
      </c>
      <c r="AA156" s="333">
        <v>0</v>
      </c>
      <c r="AB156" s="333">
        <v>0</v>
      </c>
      <c r="AC156" s="333">
        <v>-31687</v>
      </c>
      <c r="AD156" s="333">
        <v>0</v>
      </c>
      <c r="AE156" s="333"/>
      <c r="AF156" s="333"/>
      <c r="AG156" s="333">
        <f t="shared" si="22"/>
        <v>-1417497.6600000006</v>
      </c>
      <c r="AH156" s="330"/>
      <c r="AI156" s="330">
        <v>31687</v>
      </c>
      <c r="AJ156" s="396">
        <f t="shared" si="23"/>
        <v>-1417497.6600000006</v>
      </c>
      <c r="AK156" s="563"/>
      <c r="AL156" s="285">
        <f>+AC156+AI156</f>
        <v>0</v>
      </c>
      <c r="AM156" s="286"/>
      <c r="AO156" s="330" t="s">
        <v>2487</v>
      </c>
    </row>
    <row r="157" spans="1:41">
      <c r="A157" s="587">
        <f t="shared" si="24"/>
        <v>154</v>
      </c>
      <c r="B157" s="330" t="s">
        <v>1643</v>
      </c>
      <c r="C157" s="330" t="s">
        <v>2491</v>
      </c>
      <c r="D157" s="330" t="s">
        <v>1704</v>
      </c>
      <c r="E157" s="330" t="s">
        <v>1663</v>
      </c>
      <c r="F157" s="330" t="s">
        <v>1647</v>
      </c>
      <c r="G157" s="562">
        <v>1012</v>
      </c>
      <c r="H157" s="562">
        <v>653.59</v>
      </c>
      <c r="I157" s="562">
        <v>723.02</v>
      </c>
      <c r="J157" s="561" t="s">
        <v>1648</v>
      </c>
      <c r="K157" s="330" t="s">
        <v>2492</v>
      </c>
      <c r="L157" s="330" t="s">
        <v>2493</v>
      </c>
      <c r="M157" s="330" t="s">
        <v>2494</v>
      </c>
      <c r="N157" s="330" t="s">
        <v>2495</v>
      </c>
      <c r="O157" s="395">
        <v>45437</v>
      </c>
      <c r="P157" s="333">
        <v>5687429</v>
      </c>
      <c r="Q157" s="330" t="s">
        <v>1653</v>
      </c>
      <c r="R157" s="562">
        <v>0</v>
      </c>
      <c r="S157" s="333">
        <v>0</v>
      </c>
      <c r="T157" s="333">
        <v>-1607199.8499999996</v>
      </c>
      <c r="U157" s="333">
        <f t="shared" si="21"/>
        <v>-1607199.8499999996</v>
      </c>
      <c r="V157" s="333">
        <v>0</v>
      </c>
      <c r="W157" s="333">
        <v>0</v>
      </c>
      <c r="X157" s="333">
        <v>0</v>
      </c>
      <c r="Y157" s="333">
        <v>0</v>
      </c>
      <c r="Z157" s="333">
        <v>0</v>
      </c>
      <c r="AA157" s="333">
        <v>0</v>
      </c>
      <c r="AB157" s="333">
        <v>0</v>
      </c>
      <c r="AC157" s="333">
        <v>0</v>
      </c>
      <c r="AD157" s="333">
        <v>0</v>
      </c>
      <c r="AE157" s="333"/>
      <c r="AF157" s="333"/>
      <c r="AG157" s="333">
        <f t="shared" si="22"/>
        <v>-1607199.8499999996</v>
      </c>
      <c r="AH157" s="330"/>
      <c r="AI157" s="330">
        <v>0</v>
      </c>
      <c r="AJ157" s="396">
        <f t="shared" si="23"/>
        <v>-1607199.8499999996</v>
      </c>
      <c r="AK157" s="563"/>
      <c r="AL157" s="285">
        <f t="shared" si="25"/>
        <v>0</v>
      </c>
      <c r="AM157" s="286"/>
      <c r="AO157" s="330" t="s">
        <v>2492</v>
      </c>
    </row>
    <row r="158" spans="1:41">
      <c r="A158" s="587">
        <f t="shared" si="24"/>
        <v>155</v>
      </c>
      <c r="B158" s="330" t="s">
        <v>1643</v>
      </c>
      <c r="C158" s="330" t="s">
        <v>2496</v>
      </c>
      <c r="D158" s="330" t="s">
        <v>1645</v>
      </c>
      <c r="E158" s="330" t="s">
        <v>2497</v>
      </c>
      <c r="F158" s="330" t="s">
        <v>1671</v>
      </c>
      <c r="G158" s="562">
        <v>1375</v>
      </c>
      <c r="H158" s="562">
        <v>876.73</v>
      </c>
      <c r="I158" s="562">
        <v>982.22</v>
      </c>
      <c r="J158" s="561" t="s">
        <v>1648</v>
      </c>
      <c r="K158" s="330" t="s">
        <v>2498</v>
      </c>
      <c r="L158" s="330" t="s">
        <v>2499</v>
      </c>
      <c r="M158" s="330" t="s">
        <v>2500</v>
      </c>
      <c r="N158" s="330" t="s">
        <v>2501</v>
      </c>
      <c r="O158" s="395">
        <v>45441</v>
      </c>
      <c r="P158" s="333">
        <v>7803698</v>
      </c>
      <c r="Q158" s="330" t="s">
        <v>1653</v>
      </c>
      <c r="R158" s="562">
        <v>0</v>
      </c>
      <c r="S158" s="333">
        <v>0</v>
      </c>
      <c r="T158" s="333">
        <v>-2412005.4999999991</v>
      </c>
      <c r="U158" s="333">
        <f t="shared" si="21"/>
        <v>-2412005.4999999991</v>
      </c>
      <c r="V158" s="333">
        <v>0</v>
      </c>
      <c r="W158" s="333">
        <v>0</v>
      </c>
      <c r="X158" s="333">
        <v>0</v>
      </c>
      <c r="Y158" s="333">
        <v>0</v>
      </c>
      <c r="Z158" s="333">
        <v>0</v>
      </c>
      <c r="AA158" s="333">
        <v>0</v>
      </c>
      <c r="AB158" s="333">
        <v>0</v>
      </c>
      <c r="AC158" s="333">
        <v>-7142</v>
      </c>
      <c r="AD158" s="333">
        <v>0</v>
      </c>
      <c r="AE158" s="333"/>
      <c r="AF158" s="333"/>
      <c r="AG158" s="333">
        <f t="shared" si="22"/>
        <v>-2419147.4999999991</v>
      </c>
      <c r="AH158" s="330"/>
      <c r="AI158" s="330">
        <v>7142</v>
      </c>
      <c r="AJ158" s="396">
        <f t="shared" si="23"/>
        <v>-2419147.4999999991</v>
      </c>
      <c r="AK158" s="563"/>
      <c r="AL158" s="285">
        <f t="shared" ref="AL158:AL159" si="27">+AC158+AI158</f>
        <v>0</v>
      </c>
      <c r="AM158" s="286"/>
      <c r="AO158" s="330" t="s">
        <v>2498</v>
      </c>
    </row>
    <row r="159" spans="1:41">
      <c r="A159" s="587">
        <f t="shared" si="24"/>
        <v>156</v>
      </c>
      <c r="B159" s="330" t="s">
        <v>1643</v>
      </c>
      <c r="C159" s="330" t="s">
        <v>2502</v>
      </c>
      <c r="D159" s="330" t="s">
        <v>1669</v>
      </c>
      <c r="E159" s="330" t="s">
        <v>1691</v>
      </c>
      <c r="F159" s="330" t="s">
        <v>1671</v>
      </c>
      <c r="G159" s="562">
        <v>1787</v>
      </c>
      <c r="H159" s="562">
        <v>1138.51</v>
      </c>
      <c r="I159" s="562">
        <v>1276.29</v>
      </c>
      <c r="J159" s="561" t="s">
        <v>1648</v>
      </c>
      <c r="K159" s="330" t="s">
        <v>2503</v>
      </c>
      <c r="L159" s="330" t="s">
        <v>2504</v>
      </c>
      <c r="M159" s="330" t="s">
        <v>2505</v>
      </c>
      <c r="N159" s="330" t="s">
        <v>2506</v>
      </c>
      <c r="O159" s="395">
        <v>45433</v>
      </c>
      <c r="P159" s="333">
        <v>11088896</v>
      </c>
      <c r="Q159" s="330" t="s">
        <v>1653</v>
      </c>
      <c r="R159" s="562">
        <v>0</v>
      </c>
      <c r="S159" s="333">
        <v>0</v>
      </c>
      <c r="T159" s="333">
        <v>-3169523.5599999982</v>
      </c>
      <c r="U159" s="333">
        <f t="shared" si="21"/>
        <v>-3169523.5599999982</v>
      </c>
      <c r="V159" s="333">
        <v>-150000</v>
      </c>
      <c r="W159" s="333">
        <v>0</v>
      </c>
      <c r="X159" s="333">
        <v>0</v>
      </c>
      <c r="Y159" s="333">
        <v>0</v>
      </c>
      <c r="Z159" s="333">
        <v>0</v>
      </c>
      <c r="AA159" s="333">
        <v>0</v>
      </c>
      <c r="AB159" s="333">
        <v>0</v>
      </c>
      <c r="AC159" s="333">
        <v>-7142</v>
      </c>
      <c r="AD159" s="333">
        <v>0</v>
      </c>
      <c r="AE159" s="333"/>
      <c r="AF159" s="333"/>
      <c r="AG159" s="333">
        <f t="shared" si="22"/>
        <v>-3326665.5599999982</v>
      </c>
      <c r="AH159" s="330"/>
      <c r="AI159" s="330">
        <v>7142</v>
      </c>
      <c r="AJ159" s="396">
        <f t="shared" si="23"/>
        <v>-3326665.5599999982</v>
      </c>
      <c r="AK159" s="563"/>
      <c r="AL159" s="285">
        <f t="shared" si="27"/>
        <v>0</v>
      </c>
      <c r="AM159" s="286"/>
      <c r="AO159" s="330" t="s">
        <v>2503</v>
      </c>
    </row>
    <row r="160" spans="1:41">
      <c r="A160" s="587">
        <f t="shared" si="24"/>
        <v>157</v>
      </c>
      <c r="B160" s="330" t="s">
        <v>1643</v>
      </c>
      <c r="C160" s="330" t="s">
        <v>2507</v>
      </c>
      <c r="D160" s="330" t="s">
        <v>1669</v>
      </c>
      <c r="E160" s="330" t="s">
        <v>2508</v>
      </c>
      <c r="F160" s="330" t="s">
        <v>1671</v>
      </c>
      <c r="G160" s="562">
        <v>1787</v>
      </c>
      <c r="H160" s="562">
        <v>1138.51</v>
      </c>
      <c r="I160" s="562">
        <v>1276.29</v>
      </c>
      <c r="J160" s="561" t="s">
        <v>1810</v>
      </c>
      <c r="K160" s="330" t="s">
        <v>2509</v>
      </c>
      <c r="L160" s="330" t="s">
        <v>2510</v>
      </c>
      <c r="M160" s="330" t="s">
        <v>2511</v>
      </c>
      <c r="N160" s="330" t="s">
        <v>12</v>
      </c>
      <c r="O160" s="395"/>
      <c r="P160" s="333">
        <v>11633905</v>
      </c>
      <c r="Q160" s="330" t="s">
        <v>1660</v>
      </c>
      <c r="R160" s="562">
        <v>0</v>
      </c>
      <c r="S160" s="333">
        <v>0</v>
      </c>
      <c r="T160" s="333">
        <v>-300000</v>
      </c>
      <c r="U160" s="333">
        <f t="shared" si="21"/>
        <v>-300000</v>
      </c>
      <c r="V160" s="333">
        <v>300000</v>
      </c>
      <c r="W160" s="333">
        <v>0</v>
      </c>
      <c r="X160" s="333">
        <v>0</v>
      </c>
      <c r="Y160" s="333">
        <v>0</v>
      </c>
      <c r="Z160" s="333">
        <v>0</v>
      </c>
      <c r="AA160" s="333">
        <v>0</v>
      </c>
      <c r="AB160" s="333">
        <v>0</v>
      </c>
      <c r="AC160" s="333">
        <v>0</v>
      </c>
      <c r="AD160" s="333">
        <v>0</v>
      </c>
      <c r="AE160" s="333"/>
      <c r="AF160" s="333"/>
      <c r="AG160" s="333">
        <f t="shared" si="22"/>
        <v>0</v>
      </c>
      <c r="AH160" s="330"/>
      <c r="AI160" s="330">
        <v>0</v>
      </c>
      <c r="AJ160" s="396">
        <f t="shared" si="23"/>
        <v>0</v>
      </c>
      <c r="AK160" s="563"/>
      <c r="AL160" s="285">
        <f t="shared" si="25"/>
        <v>0</v>
      </c>
      <c r="AM160" s="286"/>
      <c r="AO160" s="330" t="s">
        <v>2509</v>
      </c>
    </row>
    <row r="161" spans="1:41">
      <c r="A161" s="587">
        <f t="shared" si="24"/>
        <v>158</v>
      </c>
      <c r="B161" s="330" t="s">
        <v>1643</v>
      </c>
      <c r="C161" s="330" t="s">
        <v>2512</v>
      </c>
      <c r="D161" s="330" t="s">
        <v>1645</v>
      </c>
      <c r="E161" s="330" t="s">
        <v>2513</v>
      </c>
      <c r="F161" s="330" t="s">
        <v>1647</v>
      </c>
      <c r="G161" s="562">
        <v>1114</v>
      </c>
      <c r="H161" s="562">
        <v>683.3</v>
      </c>
      <c r="I161" s="562">
        <v>795.57</v>
      </c>
      <c r="J161" s="561" t="s">
        <v>1810</v>
      </c>
      <c r="K161" s="330" t="s">
        <v>2514</v>
      </c>
      <c r="L161" s="330" t="s">
        <v>2515</v>
      </c>
      <c r="M161" s="330" t="s">
        <v>2516</v>
      </c>
      <c r="N161" s="330" t="s">
        <v>2066</v>
      </c>
      <c r="O161" s="395"/>
      <c r="P161" s="333">
        <v>7901714</v>
      </c>
      <c r="Q161" s="330" t="s">
        <v>1660</v>
      </c>
      <c r="R161" s="562">
        <v>0</v>
      </c>
      <c r="S161" s="333">
        <v>0</v>
      </c>
      <c r="T161" s="333">
        <v>0</v>
      </c>
      <c r="U161" s="333">
        <f t="shared" si="21"/>
        <v>0</v>
      </c>
      <c r="V161" s="333">
        <v>0</v>
      </c>
      <c r="W161" s="333">
        <v>0</v>
      </c>
      <c r="X161" s="333">
        <v>0</v>
      </c>
      <c r="Y161" s="333">
        <v>0</v>
      </c>
      <c r="Z161" s="333">
        <v>0</v>
      </c>
      <c r="AA161" s="333">
        <v>0</v>
      </c>
      <c r="AB161" s="333">
        <v>0</v>
      </c>
      <c r="AC161" s="333">
        <v>0</v>
      </c>
      <c r="AD161" s="333">
        <v>0</v>
      </c>
      <c r="AE161" s="333"/>
      <c r="AF161" s="333"/>
      <c r="AG161" s="333">
        <f t="shared" si="22"/>
        <v>0</v>
      </c>
      <c r="AH161" s="330"/>
      <c r="AI161" s="330">
        <v>0</v>
      </c>
      <c r="AJ161" s="396">
        <f t="shared" si="23"/>
        <v>0</v>
      </c>
      <c r="AK161" s="563"/>
      <c r="AL161" s="285">
        <f t="shared" si="25"/>
        <v>0</v>
      </c>
      <c r="AM161" s="286"/>
      <c r="AO161" s="330" t="s">
        <v>2514</v>
      </c>
    </row>
    <row r="162" spans="1:41">
      <c r="A162" s="587">
        <f t="shared" si="24"/>
        <v>159</v>
      </c>
      <c r="B162" s="330" t="s">
        <v>1643</v>
      </c>
      <c r="C162" s="330" t="s">
        <v>2517</v>
      </c>
      <c r="D162" s="330" t="s">
        <v>1746</v>
      </c>
      <c r="E162" s="330" t="s">
        <v>2425</v>
      </c>
      <c r="F162" s="330" t="s">
        <v>1671</v>
      </c>
      <c r="G162" s="562">
        <v>1375</v>
      </c>
      <c r="H162" s="562">
        <v>876.73</v>
      </c>
      <c r="I162" s="562">
        <v>982.22</v>
      </c>
      <c r="J162" s="561" t="s">
        <v>1810</v>
      </c>
      <c r="K162" s="330" t="s">
        <v>2518</v>
      </c>
      <c r="L162" s="330" t="s">
        <v>2519</v>
      </c>
      <c r="M162" s="330" t="s">
        <v>2520</v>
      </c>
      <c r="N162" s="330" t="s">
        <v>2521</v>
      </c>
      <c r="O162" s="395">
        <v>45944</v>
      </c>
      <c r="P162" s="333">
        <v>8711670</v>
      </c>
      <c r="Q162" s="330" t="s">
        <v>1653</v>
      </c>
      <c r="R162" s="562">
        <v>0</v>
      </c>
      <c r="S162" s="333">
        <v>0</v>
      </c>
      <c r="T162" s="333">
        <v>-148999.99999999997</v>
      </c>
      <c r="U162" s="333">
        <f t="shared" si="21"/>
        <v>-148999.99999999997</v>
      </c>
      <c r="V162" s="333">
        <v>-2682247.4000000004</v>
      </c>
      <c r="W162" s="333">
        <v>0</v>
      </c>
      <c r="X162" s="333">
        <v>0</v>
      </c>
      <c r="Y162" s="333">
        <v>0</v>
      </c>
      <c r="Z162" s="333">
        <v>552800</v>
      </c>
      <c r="AA162" s="333">
        <v>-552800</v>
      </c>
      <c r="AB162" s="333">
        <v>0</v>
      </c>
      <c r="AC162" s="333">
        <v>130675.06000000052</v>
      </c>
      <c r="AD162" s="333">
        <v>0</v>
      </c>
      <c r="AE162" s="333"/>
      <c r="AF162" s="333"/>
      <c r="AG162" s="333">
        <f t="shared" si="22"/>
        <v>-2700572.34</v>
      </c>
      <c r="AH162" s="330"/>
      <c r="AI162" s="330">
        <v>-130675.06</v>
      </c>
      <c r="AJ162" s="396">
        <f t="shared" si="23"/>
        <v>-2700572.34</v>
      </c>
      <c r="AK162" s="563"/>
      <c r="AL162" s="285">
        <f>+AC162+AI162</f>
        <v>5.2386894822120667E-10</v>
      </c>
      <c r="AM162" s="286"/>
      <c r="AO162" s="330" t="s">
        <v>2518</v>
      </c>
    </row>
    <row r="163" spans="1:41">
      <c r="A163" s="587">
        <f t="shared" si="24"/>
        <v>160</v>
      </c>
      <c r="B163" s="330" t="s">
        <v>1643</v>
      </c>
      <c r="C163" s="330" t="s">
        <v>2522</v>
      </c>
      <c r="D163" s="330" t="s">
        <v>1677</v>
      </c>
      <c r="E163" s="330" t="s">
        <v>1822</v>
      </c>
      <c r="F163" s="330" t="s">
        <v>1786</v>
      </c>
      <c r="G163" s="562">
        <v>1265</v>
      </c>
      <c r="H163" s="562">
        <v>813.33</v>
      </c>
      <c r="I163" s="562">
        <v>903.31</v>
      </c>
      <c r="J163" s="561" t="s">
        <v>1810</v>
      </c>
      <c r="K163" s="330" t="s">
        <v>2523</v>
      </c>
      <c r="L163" s="330" t="s">
        <v>2519</v>
      </c>
      <c r="M163" s="330" t="s">
        <v>2520</v>
      </c>
      <c r="N163" s="330" t="s">
        <v>12</v>
      </c>
      <c r="O163" s="395"/>
      <c r="P163" s="333">
        <v>7772286</v>
      </c>
      <c r="Q163" s="330" t="s">
        <v>1660</v>
      </c>
      <c r="R163" s="562">
        <v>0</v>
      </c>
      <c r="S163" s="333">
        <v>0</v>
      </c>
      <c r="T163" s="333">
        <v>0</v>
      </c>
      <c r="U163" s="333">
        <f t="shared" si="21"/>
        <v>0</v>
      </c>
      <c r="V163" s="333">
        <v>0</v>
      </c>
      <c r="W163" s="333">
        <v>0</v>
      </c>
      <c r="X163" s="333">
        <v>0</v>
      </c>
      <c r="Y163" s="333">
        <v>0</v>
      </c>
      <c r="Z163" s="333">
        <v>0</v>
      </c>
      <c r="AA163" s="333">
        <v>0</v>
      </c>
      <c r="AB163" s="333">
        <v>0</v>
      </c>
      <c r="AC163" s="333">
        <v>0</v>
      </c>
      <c r="AD163" s="333">
        <v>0</v>
      </c>
      <c r="AE163" s="333"/>
      <c r="AF163" s="333"/>
      <c r="AG163" s="333">
        <f t="shared" si="22"/>
        <v>0</v>
      </c>
      <c r="AH163" s="330"/>
      <c r="AI163" s="330">
        <v>0</v>
      </c>
      <c r="AJ163" s="396">
        <f t="shared" si="23"/>
        <v>0</v>
      </c>
      <c r="AK163" s="563"/>
      <c r="AL163" s="285">
        <f t="shared" si="25"/>
        <v>0</v>
      </c>
      <c r="AM163" s="286"/>
      <c r="AO163" s="330" t="s">
        <v>2523</v>
      </c>
    </row>
    <row r="164" spans="1:41">
      <c r="A164" s="587">
        <f t="shared" si="24"/>
        <v>161</v>
      </c>
      <c r="B164" s="330" t="s">
        <v>1643</v>
      </c>
      <c r="C164" s="330" t="s">
        <v>2524</v>
      </c>
      <c r="D164" s="330" t="s">
        <v>2153</v>
      </c>
      <c r="E164" s="330" t="s">
        <v>2368</v>
      </c>
      <c r="F164" s="330" t="s">
        <v>1647</v>
      </c>
      <c r="G164" s="562">
        <v>1114</v>
      </c>
      <c r="H164" s="562">
        <v>683.3</v>
      </c>
      <c r="I164" s="562">
        <v>795.57</v>
      </c>
      <c r="J164" s="561" t="s">
        <v>1648</v>
      </c>
      <c r="K164" s="330" t="s">
        <v>2525</v>
      </c>
      <c r="L164" s="330" t="s">
        <v>2526</v>
      </c>
      <c r="M164" s="330" t="s">
        <v>2527</v>
      </c>
      <c r="N164" s="330" t="s">
        <v>2528</v>
      </c>
      <c r="O164" s="395">
        <v>45456</v>
      </c>
      <c r="P164" s="333">
        <v>6696381</v>
      </c>
      <c r="Q164" s="330" t="s">
        <v>1653</v>
      </c>
      <c r="R164" s="562">
        <v>0</v>
      </c>
      <c r="S164" s="333">
        <v>0</v>
      </c>
      <c r="T164" s="333">
        <v>-1985876.0900000005</v>
      </c>
      <c r="U164" s="333">
        <f t="shared" si="21"/>
        <v>-1985876.0900000005</v>
      </c>
      <c r="V164" s="333">
        <v>0</v>
      </c>
      <c r="W164" s="333">
        <v>0</v>
      </c>
      <c r="X164" s="333">
        <v>0</v>
      </c>
      <c r="Y164" s="333">
        <v>0</v>
      </c>
      <c r="Z164" s="333">
        <v>0</v>
      </c>
      <c r="AA164" s="333">
        <v>0</v>
      </c>
      <c r="AB164" s="333">
        <v>0</v>
      </c>
      <c r="AC164" s="333">
        <v>0</v>
      </c>
      <c r="AD164" s="333">
        <v>0</v>
      </c>
      <c r="AE164" s="333"/>
      <c r="AF164" s="333"/>
      <c r="AG164" s="333">
        <f t="shared" si="22"/>
        <v>-1985876.0900000005</v>
      </c>
      <c r="AH164" s="330"/>
      <c r="AI164" s="330">
        <v>0</v>
      </c>
      <c r="AJ164" s="396">
        <f t="shared" si="23"/>
        <v>-1985876.0900000005</v>
      </c>
      <c r="AK164" s="563"/>
      <c r="AL164" s="285">
        <f t="shared" si="25"/>
        <v>0</v>
      </c>
      <c r="AM164" s="286"/>
      <c r="AO164" s="330" t="s">
        <v>2525</v>
      </c>
    </row>
    <row r="165" spans="1:41">
      <c r="A165" s="587">
        <f t="shared" si="24"/>
        <v>162</v>
      </c>
      <c r="B165" s="330" t="s">
        <v>1643</v>
      </c>
      <c r="C165" s="330" t="s">
        <v>2529</v>
      </c>
      <c r="D165" s="330" t="s">
        <v>1662</v>
      </c>
      <c r="E165" s="330" t="s">
        <v>2530</v>
      </c>
      <c r="F165" s="330" t="s">
        <v>1671</v>
      </c>
      <c r="G165" s="562">
        <v>1375</v>
      </c>
      <c r="H165" s="562">
        <v>876.73</v>
      </c>
      <c r="I165" s="562">
        <v>982.22</v>
      </c>
      <c r="J165" s="561" t="s">
        <v>1648</v>
      </c>
      <c r="K165" s="330" t="s">
        <v>2531</v>
      </c>
      <c r="L165" s="330" t="s">
        <v>2532</v>
      </c>
      <c r="M165" s="330" t="s">
        <v>2533</v>
      </c>
      <c r="N165" s="330" t="s">
        <v>2534</v>
      </c>
      <c r="O165" s="395">
        <v>45454</v>
      </c>
      <c r="P165" s="333">
        <v>7785714</v>
      </c>
      <c r="Q165" s="330" t="s">
        <v>1653</v>
      </c>
      <c r="R165" s="562">
        <v>0</v>
      </c>
      <c r="S165" s="333">
        <v>0</v>
      </c>
      <c r="T165" s="333">
        <v>-2413571.2799999993</v>
      </c>
      <c r="U165" s="333">
        <f t="shared" si="21"/>
        <v>-2413571.2799999993</v>
      </c>
      <c r="V165" s="333">
        <v>0</v>
      </c>
      <c r="W165" s="333">
        <v>0</v>
      </c>
      <c r="X165" s="333">
        <v>0</v>
      </c>
      <c r="Y165" s="333">
        <v>0</v>
      </c>
      <c r="Z165" s="333">
        <v>0</v>
      </c>
      <c r="AA165" s="333">
        <v>0</v>
      </c>
      <c r="AB165" s="333">
        <v>0</v>
      </c>
      <c r="AC165" s="333">
        <v>0</v>
      </c>
      <c r="AD165" s="333">
        <v>0</v>
      </c>
      <c r="AE165" s="333"/>
      <c r="AF165" s="333"/>
      <c r="AG165" s="333">
        <f t="shared" si="22"/>
        <v>-2413571.2799999993</v>
      </c>
      <c r="AH165" s="330"/>
      <c r="AI165" s="330">
        <v>0</v>
      </c>
      <c r="AJ165" s="396">
        <f t="shared" si="23"/>
        <v>-2413571.2799999993</v>
      </c>
      <c r="AK165" s="563"/>
      <c r="AL165" s="285">
        <f t="shared" si="25"/>
        <v>0</v>
      </c>
      <c r="AM165" s="286"/>
      <c r="AO165" s="330" t="s">
        <v>2531</v>
      </c>
    </row>
    <row r="166" spans="1:41">
      <c r="A166" s="587">
        <f t="shared" si="24"/>
        <v>163</v>
      </c>
      <c r="B166" s="330" t="s">
        <v>1643</v>
      </c>
      <c r="C166" s="330" t="s">
        <v>2535</v>
      </c>
      <c r="D166" s="330" t="s">
        <v>1704</v>
      </c>
      <c r="E166" s="330" t="s">
        <v>2536</v>
      </c>
      <c r="F166" s="330" t="s">
        <v>1647</v>
      </c>
      <c r="G166" s="562">
        <v>1265</v>
      </c>
      <c r="H166" s="562">
        <v>813.33</v>
      </c>
      <c r="I166" s="562">
        <v>903.31</v>
      </c>
      <c r="J166" s="561" t="s">
        <v>1810</v>
      </c>
      <c r="K166" s="330" t="s">
        <v>2537</v>
      </c>
      <c r="L166" s="330" t="s">
        <v>2538</v>
      </c>
      <c r="M166" s="330" t="s">
        <v>2539</v>
      </c>
      <c r="N166" s="330" t="s">
        <v>2540</v>
      </c>
      <c r="O166" s="395">
        <v>45526</v>
      </c>
      <c r="P166" s="333">
        <v>7428571</v>
      </c>
      <c r="Q166" s="330" t="s">
        <v>1653</v>
      </c>
      <c r="R166" s="562">
        <v>0</v>
      </c>
      <c r="S166" s="333">
        <v>0</v>
      </c>
      <c r="T166" s="333">
        <v>-2302857.129999999</v>
      </c>
      <c r="U166" s="333">
        <f t="shared" si="21"/>
        <v>-2302857.129999999</v>
      </c>
      <c r="V166" s="333">
        <v>0</v>
      </c>
      <c r="W166" s="333">
        <v>0</v>
      </c>
      <c r="X166" s="333">
        <v>0</v>
      </c>
      <c r="Y166" s="333">
        <v>0</v>
      </c>
      <c r="Z166" s="333">
        <v>0</v>
      </c>
      <c r="AA166" s="333">
        <v>0</v>
      </c>
      <c r="AB166" s="333">
        <v>0</v>
      </c>
      <c r="AC166" s="333">
        <v>0</v>
      </c>
      <c r="AD166" s="333">
        <v>0</v>
      </c>
      <c r="AE166" s="333"/>
      <c r="AF166" s="333"/>
      <c r="AG166" s="333">
        <f t="shared" si="22"/>
        <v>-2302857.129999999</v>
      </c>
      <c r="AH166" s="330"/>
      <c r="AI166" s="330">
        <v>0</v>
      </c>
      <c r="AJ166" s="396">
        <f t="shared" si="23"/>
        <v>-2302857.129999999</v>
      </c>
      <c r="AK166" s="563"/>
      <c r="AL166" s="285">
        <f t="shared" si="25"/>
        <v>0</v>
      </c>
      <c r="AM166" s="286"/>
      <c r="AO166" s="330" t="s">
        <v>2537</v>
      </c>
    </row>
    <row r="167" spans="1:41">
      <c r="A167" s="587">
        <f t="shared" si="24"/>
        <v>164</v>
      </c>
      <c r="B167" s="330" t="s">
        <v>1643</v>
      </c>
      <c r="C167" s="330" t="s">
        <v>2541</v>
      </c>
      <c r="D167" s="330" t="s">
        <v>1677</v>
      </c>
      <c r="E167" s="330" t="s">
        <v>2542</v>
      </c>
      <c r="F167" s="330" t="s">
        <v>1647</v>
      </c>
      <c r="G167" s="562">
        <v>1012</v>
      </c>
      <c r="H167" s="562">
        <v>653.59</v>
      </c>
      <c r="I167" s="562">
        <v>723.02</v>
      </c>
      <c r="J167" s="561" t="s">
        <v>1648</v>
      </c>
      <c r="K167" s="330" t="s">
        <v>2543</v>
      </c>
      <c r="L167" s="330" t="s">
        <v>2544</v>
      </c>
      <c r="M167" s="330" t="s">
        <v>2545</v>
      </c>
      <c r="N167" s="330" t="s">
        <v>12</v>
      </c>
      <c r="O167" s="395"/>
      <c r="P167" s="333">
        <v>6089238</v>
      </c>
      <c r="Q167" s="330" t="s">
        <v>1660</v>
      </c>
      <c r="R167" s="562">
        <v>0</v>
      </c>
      <c r="S167" s="333">
        <v>0</v>
      </c>
      <c r="T167" s="333">
        <v>-150000</v>
      </c>
      <c r="U167" s="333">
        <f t="shared" si="21"/>
        <v>-150000</v>
      </c>
      <c r="V167" s="333">
        <v>150000</v>
      </c>
      <c r="W167" s="333">
        <v>0</v>
      </c>
      <c r="X167" s="333">
        <v>0</v>
      </c>
      <c r="Y167" s="333">
        <v>0</v>
      </c>
      <c r="Z167" s="333">
        <v>0</v>
      </c>
      <c r="AA167" s="333">
        <v>0</v>
      </c>
      <c r="AB167" s="333">
        <v>0</v>
      </c>
      <c r="AC167" s="333">
        <v>0</v>
      </c>
      <c r="AD167" s="333">
        <v>0</v>
      </c>
      <c r="AE167" s="333"/>
      <c r="AF167" s="333"/>
      <c r="AG167" s="333">
        <f t="shared" si="22"/>
        <v>0</v>
      </c>
      <c r="AH167" s="330"/>
      <c r="AI167" s="330">
        <v>0</v>
      </c>
      <c r="AJ167" s="396">
        <f t="shared" si="23"/>
        <v>0</v>
      </c>
      <c r="AK167" s="563"/>
      <c r="AL167" s="285">
        <f t="shared" si="25"/>
        <v>0</v>
      </c>
      <c r="AM167" s="286"/>
      <c r="AO167" s="330" t="s">
        <v>2543</v>
      </c>
    </row>
    <row r="168" spans="1:41">
      <c r="A168" s="587">
        <f t="shared" si="24"/>
        <v>165</v>
      </c>
      <c r="B168" s="330" t="s">
        <v>1643</v>
      </c>
      <c r="C168" s="330" t="s">
        <v>2546</v>
      </c>
      <c r="D168" s="330" t="s">
        <v>1677</v>
      </c>
      <c r="E168" s="330" t="s">
        <v>2547</v>
      </c>
      <c r="F168" s="330" t="s">
        <v>1671</v>
      </c>
      <c r="G168" s="562">
        <v>1375</v>
      </c>
      <c r="H168" s="562">
        <v>876.73</v>
      </c>
      <c r="I168" s="562">
        <v>982.22</v>
      </c>
      <c r="J168" s="561" t="s">
        <v>1648</v>
      </c>
      <c r="K168" s="330" t="s">
        <v>2548</v>
      </c>
      <c r="L168" s="330" t="s">
        <v>2549</v>
      </c>
      <c r="M168" s="330" t="s">
        <v>2550</v>
      </c>
      <c r="N168" s="330" t="s">
        <v>12</v>
      </c>
      <c r="O168" s="395"/>
      <c r="P168" s="333">
        <v>8339238</v>
      </c>
      <c r="Q168" s="330" t="s">
        <v>1660</v>
      </c>
      <c r="R168" s="562">
        <v>0</v>
      </c>
      <c r="S168" s="333">
        <v>0</v>
      </c>
      <c r="T168" s="333">
        <v>-1034577</v>
      </c>
      <c r="U168" s="333">
        <f t="shared" si="21"/>
        <v>-1034577</v>
      </c>
      <c r="V168" s="333">
        <v>0</v>
      </c>
      <c r="W168" s="333">
        <v>0</v>
      </c>
      <c r="X168" s="333">
        <v>0</v>
      </c>
      <c r="Y168" s="333">
        <v>0</v>
      </c>
      <c r="Z168" s="333">
        <v>0</v>
      </c>
      <c r="AA168" s="333">
        <v>0</v>
      </c>
      <c r="AB168" s="333">
        <v>0</v>
      </c>
      <c r="AC168" s="333">
        <v>-25726.489999999998</v>
      </c>
      <c r="AD168" s="333">
        <v>1047440</v>
      </c>
      <c r="AE168" s="333"/>
      <c r="AF168" s="333"/>
      <c r="AG168" s="333">
        <f t="shared" si="22"/>
        <v>-12863.489999999991</v>
      </c>
      <c r="AH168" s="330"/>
      <c r="AI168" s="330">
        <v>25726</v>
      </c>
      <c r="AJ168" s="396">
        <f t="shared" si="23"/>
        <v>-12863.489999999991</v>
      </c>
      <c r="AK168" s="563"/>
      <c r="AL168" s="285">
        <f>+AC168+AI168</f>
        <v>-0.48999999999796273</v>
      </c>
      <c r="AM168" s="286"/>
      <c r="AO168" s="330" t="s">
        <v>2548</v>
      </c>
    </row>
    <row r="169" spans="1:41">
      <c r="A169" s="587">
        <f t="shared" si="24"/>
        <v>166</v>
      </c>
      <c r="B169" s="330" t="s">
        <v>1643</v>
      </c>
      <c r="C169" s="330" t="s">
        <v>2551</v>
      </c>
      <c r="D169" s="330" t="s">
        <v>1704</v>
      </c>
      <c r="E169" s="330" t="s">
        <v>2394</v>
      </c>
      <c r="F169" s="330" t="s">
        <v>1647</v>
      </c>
      <c r="G169" s="562">
        <v>1114</v>
      </c>
      <c r="H169" s="562">
        <v>683.3</v>
      </c>
      <c r="I169" s="562">
        <v>795.57</v>
      </c>
      <c r="J169" s="561" t="s">
        <v>1648</v>
      </c>
      <c r="K169" s="330" t="s">
        <v>2552</v>
      </c>
      <c r="L169" s="330" t="s">
        <v>2553</v>
      </c>
      <c r="M169" s="330" t="s">
        <v>2554</v>
      </c>
      <c r="N169" s="330" t="s">
        <v>2555</v>
      </c>
      <c r="O169" s="395">
        <v>45469</v>
      </c>
      <c r="P169" s="333">
        <v>6428571</v>
      </c>
      <c r="Q169" s="330" t="s">
        <v>1653</v>
      </c>
      <c r="R169" s="562">
        <v>0</v>
      </c>
      <c r="S169" s="333">
        <v>0</v>
      </c>
      <c r="T169" s="333">
        <v>-1978568.1300000001</v>
      </c>
      <c r="U169" s="333">
        <f t="shared" si="21"/>
        <v>-1978568.1300000001</v>
      </c>
      <c r="V169" s="333">
        <v>0</v>
      </c>
      <c r="W169" s="333">
        <v>0</v>
      </c>
      <c r="X169" s="333">
        <v>0</v>
      </c>
      <c r="Y169" s="333">
        <v>0</v>
      </c>
      <c r="Z169" s="333">
        <v>0</v>
      </c>
      <c r="AA169" s="333">
        <v>0</v>
      </c>
      <c r="AB169" s="333">
        <v>0</v>
      </c>
      <c r="AC169" s="333">
        <v>0</v>
      </c>
      <c r="AD169" s="333">
        <v>0</v>
      </c>
      <c r="AE169" s="333"/>
      <c r="AF169" s="333"/>
      <c r="AG169" s="333">
        <f t="shared" si="22"/>
        <v>-1978568.1300000001</v>
      </c>
      <c r="AH169" s="330"/>
      <c r="AI169" s="330">
        <v>0</v>
      </c>
      <c r="AJ169" s="396">
        <f t="shared" si="23"/>
        <v>-1978568.1300000001</v>
      </c>
      <c r="AK169" s="563"/>
      <c r="AL169" s="285">
        <f t="shared" si="25"/>
        <v>0</v>
      </c>
      <c r="AM169" s="286"/>
      <c r="AO169" s="330" t="s">
        <v>2552</v>
      </c>
    </row>
    <row r="170" spans="1:41">
      <c r="A170" s="587">
        <f t="shared" si="24"/>
        <v>167</v>
      </c>
      <c r="B170" s="330" t="s">
        <v>1643</v>
      </c>
      <c r="C170" s="330" t="s">
        <v>2556</v>
      </c>
      <c r="D170" s="330" t="s">
        <v>1662</v>
      </c>
      <c r="E170" s="330" t="s">
        <v>2028</v>
      </c>
      <c r="F170" s="330" t="s">
        <v>1647</v>
      </c>
      <c r="G170" s="562">
        <v>1012</v>
      </c>
      <c r="H170" s="562">
        <v>653.59</v>
      </c>
      <c r="I170" s="562">
        <v>723.02</v>
      </c>
      <c r="J170" s="561" t="s">
        <v>1648</v>
      </c>
      <c r="K170" s="330" t="s">
        <v>2557</v>
      </c>
      <c r="L170" s="330" t="s">
        <v>2558</v>
      </c>
      <c r="M170" s="330" t="s">
        <v>2559</v>
      </c>
      <c r="N170" s="330" t="s">
        <v>2560</v>
      </c>
      <c r="O170" s="395">
        <v>45446</v>
      </c>
      <c r="P170" s="333">
        <v>5714010</v>
      </c>
      <c r="Q170" s="330" t="s">
        <v>1653</v>
      </c>
      <c r="R170" s="562">
        <v>0</v>
      </c>
      <c r="S170" s="333">
        <v>0</v>
      </c>
      <c r="T170" s="333">
        <v>-1706275.8399999999</v>
      </c>
      <c r="U170" s="333">
        <f t="shared" si="21"/>
        <v>-1706275.8399999999</v>
      </c>
      <c r="V170" s="333">
        <v>0</v>
      </c>
      <c r="W170" s="333">
        <v>0</v>
      </c>
      <c r="X170" s="333">
        <v>0</v>
      </c>
      <c r="Y170" s="333">
        <v>0</v>
      </c>
      <c r="Z170" s="333">
        <v>0</v>
      </c>
      <c r="AA170" s="333">
        <v>0</v>
      </c>
      <c r="AB170" s="333">
        <v>0</v>
      </c>
      <c r="AC170" s="333">
        <v>-7142</v>
      </c>
      <c r="AD170" s="333">
        <v>0</v>
      </c>
      <c r="AE170" s="333"/>
      <c r="AF170" s="333"/>
      <c r="AG170" s="333">
        <f t="shared" si="22"/>
        <v>-1713417.8399999999</v>
      </c>
      <c r="AH170" s="330"/>
      <c r="AI170" s="330">
        <v>7142</v>
      </c>
      <c r="AJ170" s="396">
        <f t="shared" si="23"/>
        <v>-1713417.8399999999</v>
      </c>
      <c r="AK170" s="563"/>
      <c r="AL170" s="285">
        <f>+AC170+AI170</f>
        <v>0</v>
      </c>
      <c r="AM170" s="286"/>
      <c r="AO170" s="330" t="s">
        <v>2557</v>
      </c>
    </row>
    <row r="171" spans="1:41">
      <c r="A171" s="587">
        <f t="shared" si="24"/>
        <v>168</v>
      </c>
      <c r="B171" s="330" t="s">
        <v>1643</v>
      </c>
      <c r="C171" s="330" t="s">
        <v>2561</v>
      </c>
      <c r="D171" s="330" t="s">
        <v>1669</v>
      </c>
      <c r="E171" s="330" t="s">
        <v>1947</v>
      </c>
      <c r="F171" s="330" t="s">
        <v>1671</v>
      </c>
      <c r="G171" s="562">
        <v>1787</v>
      </c>
      <c r="H171" s="562">
        <v>1138.51</v>
      </c>
      <c r="I171" s="562">
        <v>1276.29</v>
      </c>
      <c r="J171" s="561" t="s">
        <v>1648</v>
      </c>
      <c r="K171" s="330" t="s">
        <v>2562</v>
      </c>
      <c r="L171" s="330" t="s">
        <v>2563</v>
      </c>
      <c r="M171" s="330" t="s">
        <v>2564</v>
      </c>
      <c r="N171" s="330" t="s">
        <v>2565</v>
      </c>
      <c r="O171" s="395">
        <v>45925</v>
      </c>
      <c r="P171" s="333">
        <v>13544571</v>
      </c>
      <c r="Q171" s="330" t="s">
        <v>1653</v>
      </c>
      <c r="R171" s="562">
        <v>0</v>
      </c>
      <c r="S171" s="333">
        <v>0</v>
      </c>
      <c r="T171" s="333">
        <v>-4198816.1300000008</v>
      </c>
      <c r="U171" s="333">
        <f t="shared" si="21"/>
        <v>-4198816.1300000008</v>
      </c>
      <c r="V171" s="333">
        <v>0</v>
      </c>
      <c r="W171" s="333">
        <v>0</v>
      </c>
      <c r="X171" s="333">
        <v>0</v>
      </c>
      <c r="Y171" s="333">
        <v>0</v>
      </c>
      <c r="Z171" s="333">
        <v>0</v>
      </c>
      <c r="AA171" s="333">
        <v>0</v>
      </c>
      <c r="AB171" s="333">
        <v>0</v>
      </c>
      <c r="AC171" s="333">
        <v>0</v>
      </c>
      <c r="AD171" s="333">
        <v>0</v>
      </c>
      <c r="AE171" s="333"/>
      <c r="AF171" s="333"/>
      <c r="AG171" s="333">
        <f t="shared" si="22"/>
        <v>-4198816.1300000008</v>
      </c>
      <c r="AH171" s="330"/>
      <c r="AI171" s="330">
        <v>0</v>
      </c>
      <c r="AJ171" s="396">
        <f t="shared" si="23"/>
        <v>-4198816.1300000008</v>
      </c>
      <c r="AK171" s="563"/>
      <c r="AL171" s="285">
        <f t="shared" si="25"/>
        <v>0</v>
      </c>
      <c r="AM171" s="286"/>
      <c r="AO171" s="330" t="s">
        <v>2562</v>
      </c>
    </row>
    <row r="172" spans="1:41">
      <c r="A172" s="587">
        <f t="shared" si="24"/>
        <v>169</v>
      </c>
      <c r="B172" s="330" t="s">
        <v>1643</v>
      </c>
      <c r="C172" s="330" t="s">
        <v>2566</v>
      </c>
      <c r="D172" s="330" t="s">
        <v>1655</v>
      </c>
      <c r="E172" s="330" t="s">
        <v>2567</v>
      </c>
      <c r="F172" s="330" t="s">
        <v>1671</v>
      </c>
      <c r="G172" s="562">
        <v>1498</v>
      </c>
      <c r="H172" s="562">
        <v>954.87</v>
      </c>
      <c r="I172" s="562">
        <v>1069.73</v>
      </c>
      <c r="J172" s="561" t="s">
        <v>1648</v>
      </c>
      <c r="K172" s="330" t="s">
        <v>2568</v>
      </c>
      <c r="L172" s="330" t="s">
        <v>2569</v>
      </c>
      <c r="M172" s="330" t="s">
        <v>2570</v>
      </c>
      <c r="N172" s="330" t="s">
        <v>12</v>
      </c>
      <c r="O172" s="395"/>
      <c r="P172" s="333">
        <v>9348190</v>
      </c>
      <c r="Q172" s="330" t="s">
        <v>1660</v>
      </c>
      <c r="R172" s="562">
        <v>0</v>
      </c>
      <c r="S172" s="333">
        <v>0</v>
      </c>
      <c r="T172" s="333">
        <v>2429</v>
      </c>
      <c r="U172" s="333">
        <f t="shared" si="21"/>
        <v>2429</v>
      </c>
      <c r="V172" s="333">
        <v>0</v>
      </c>
      <c r="W172" s="333">
        <v>0</v>
      </c>
      <c r="X172" s="333">
        <v>0</v>
      </c>
      <c r="Y172" s="333">
        <v>0</v>
      </c>
      <c r="Z172" s="333">
        <v>0</v>
      </c>
      <c r="AA172" s="333">
        <v>0</v>
      </c>
      <c r="AB172" s="333">
        <v>0</v>
      </c>
      <c r="AC172" s="333">
        <v>-4858</v>
      </c>
      <c r="AD172" s="333">
        <v>0</v>
      </c>
      <c r="AE172" s="333"/>
      <c r="AF172" s="333"/>
      <c r="AG172" s="333">
        <f t="shared" si="22"/>
        <v>-2429</v>
      </c>
      <c r="AH172" s="330"/>
      <c r="AI172" s="330">
        <v>4858</v>
      </c>
      <c r="AJ172" s="396">
        <f t="shared" si="23"/>
        <v>-2429</v>
      </c>
      <c r="AK172" s="563"/>
      <c r="AL172" s="285">
        <f>+AC172+AI172</f>
        <v>0</v>
      </c>
      <c r="AM172" s="286"/>
      <c r="AO172" s="330" t="s">
        <v>2568</v>
      </c>
    </row>
    <row r="173" spans="1:41">
      <c r="A173" s="587">
        <f t="shared" si="24"/>
        <v>170</v>
      </c>
      <c r="B173" s="330" t="s">
        <v>1643</v>
      </c>
      <c r="C173" s="330" t="s">
        <v>2571</v>
      </c>
      <c r="D173" s="330" t="s">
        <v>1704</v>
      </c>
      <c r="E173" s="330" t="s">
        <v>2572</v>
      </c>
      <c r="F173" s="330" t="s">
        <v>1647</v>
      </c>
      <c r="G173" s="562">
        <v>1012</v>
      </c>
      <c r="H173" s="562">
        <v>653.59</v>
      </c>
      <c r="I173" s="562">
        <v>723.02</v>
      </c>
      <c r="J173" s="561" t="s">
        <v>1648</v>
      </c>
      <c r="K173" s="330" t="s">
        <v>2573</v>
      </c>
      <c r="L173" s="330" t="s">
        <v>2574</v>
      </c>
      <c r="M173" s="330" t="s">
        <v>2575</v>
      </c>
      <c r="N173" s="330" t="s">
        <v>2576</v>
      </c>
      <c r="O173" s="395">
        <v>45464</v>
      </c>
      <c r="P173" s="333">
        <v>5888381</v>
      </c>
      <c r="Q173" s="330" t="s">
        <v>1653</v>
      </c>
      <c r="R173" s="562">
        <v>0</v>
      </c>
      <c r="S173" s="333">
        <v>0</v>
      </c>
      <c r="T173" s="333">
        <v>-1825496.0899999999</v>
      </c>
      <c r="U173" s="333">
        <f t="shared" si="21"/>
        <v>-1825496.0899999999</v>
      </c>
      <c r="V173" s="333">
        <v>0</v>
      </c>
      <c r="W173" s="333">
        <v>0</v>
      </c>
      <c r="X173" s="333">
        <v>0</v>
      </c>
      <c r="Y173" s="333">
        <v>0</v>
      </c>
      <c r="Z173" s="333">
        <v>0</v>
      </c>
      <c r="AA173" s="333">
        <v>0</v>
      </c>
      <c r="AB173" s="333">
        <v>0</v>
      </c>
      <c r="AC173" s="333">
        <v>0</v>
      </c>
      <c r="AD173" s="333">
        <v>0</v>
      </c>
      <c r="AE173" s="333"/>
      <c r="AF173" s="333"/>
      <c r="AG173" s="333">
        <f t="shared" si="22"/>
        <v>-1825496.0899999999</v>
      </c>
      <c r="AH173" s="330"/>
      <c r="AI173" s="330">
        <v>0</v>
      </c>
      <c r="AJ173" s="396">
        <f t="shared" si="23"/>
        <v>-1825496.0899999999</v>
      </c>
      <c r="AK173" s="563"/>
      <c r="AL173" s="285">
        <f t="shared" si="25"/>
        <v>0</v>
      </c>
      <c r="AM173" s="286"/>
      <c r="AO173" s="330" t="s">
        <v>2573</v>
      </c>
    </row>
    <row r="174" spans="1:41">
      <c r="A174" s="587">
        <f t="shared" si="24"/>
        <v>171</v>
      </c>
      <c r="B174" s="564" t="s">
        <v>1643</v>
      </c>
      <c r="C174" s="564" t="s">
        <v>2577</v>
      </c>
      <c r="D174" s="330" t="s">
        <v>1746</v>
      </c>
      <c r="E174" s="330" t="s">
        <v>2189</v>
      </c>
      <c r="F174" s="330" t="s">
        <v>1671</v>
      </c>
      <c r="G174" s="562">
        <v>1498</v>
      </c>
      <c r="H174" s="562">
        <v>954.87</v>
      </c>
      <c r="I174" s="562">
        <v>1069.73</v>
      </c>
      <c r="J174" s="561" t="s">
        <v>1648</v>
      </c>
      <c r="K174" s="564" t="s">
        <v>2578</v>
      </c>
      <c r="L174" s="564" t="s">
        <v>2579</v>
      </c>
      <c r="M174" s="330" t="s">
        <v>2580</v>
      </c>
      <c r="N174" s="330" t="s">
        <v>12</v>
      </c>
      <c r="O174" s="395"/>
      <c r="P174" s="333">
        <v>8633905</v>
      </c>
      <c r="Q174" s="330" t="s">
        <v>1660</v>
      </c>
      <c r="R174" s="562">
        <v>0</v>
      </c>
      <c r="S174" s="333">
        <v>0</v>
      </c>
      <c r="T174" s="333">
        <v>51000</v>
      </c>
      <c r="U174" s="333">
        <f t="shared" si="21"/>
        <v>51000</v>
      </c>
      <c r="V174" s="333">
        <v>0</v>
      </c>
      <c r="W174" s="333">
        <v>0</v>
      </c>
      <c r="X174" s="333">
        <v>0</v>
      </c>
      <c r="Y174" s="333">
        <v>0</v>
      </c>
      <c r="Z174" s="333">
        <v>0</v>
      </c>
      <c r="AA174" s="333">
        <v>0</v>
      </c>
      <c r="AB174" s="333">
        <v>0</v>
      </c>
      <c r="AC174" s="333">
        <v>0</v>
      </c>
      <c r="AD174" s="333">
        <v>0</v>
      </c>
      <c r="AE174" s="333"/>
      <c r="AF174" s="333"/>
      <c r="AG174" s="565">
        <f t="shared" si="22"/>
        <v>51000</v>
      </c>
      <c r="AH174" s="330"/>
      <c r="AI174" s="330">
        <v>0</v>
      </c>
      <c r="AJ174" s="396">
        <f t="shared" si="23"/>
        <v>51000</v>
      </c>
      <c r="AK174" s="563"/>
      <c r="AL174" s="285">
        <f t="shared" si="25"/>
        <v>0</v>
      </c>
      <c r="AM174" s="286"/>
      <c r="AO174" s="330" t="s">
        <v>2578</v>
      </c>
    </row>
    <row r="175" spans="1:41">
      <c r="A175" s="587">
        <f t="shared" si="24"/>
        <v>172</v>
      </c>
      <c r="B175" s="330" t="s">
        <v>1643</v>
      </c>
      <c r="C175" s="330" t="s">
        <v>2581</v>
      </c>
      <c r="D175" s="330" t="s">
        <v>1662</v>
      </c>
      <c r="E175" s="330" t="s">
        <v>1734</v>
      </c>
      <c r="F175" s="330" t="s">
        <v>1647</v>
      </c>
      <c r="G175" s="562">
        <v>1012</v>
      </c>
      <c r="H175" s="562">
        <v>653.59</v>
      </c>
      <c r="I175" s="562">
        <v>723.02</v>
      </c>
      <c r="J175" s="561" t="s">
        <v>1648</v>
      </c>
      <c r="K175" s="330" t="s">
        <v>2582</v>
      </c>
      <c r="L175" s="330" t="s">
        <v>2583</v>
      </c>
      <c r="M175" s="330" t="s">
        <v>2584</v>
      </c>
      <c r="N175" s="330" t="s">
        <v>12</v>
      </c>
      <c r="O175" s="395"/>
      <c r="P175" s="333">
        <v>5910667</v>
      </c>
      <c r="Q175" s="330" t="s">
        <v>1660</v>
      </c>
      <c r="R175" s="562">
        <v>0</v>
      </c>
      <c r="S175" s="333">
        <v>0</v>
      </c>
      <c r="T175" s="333">
        <v>0</v>
      </c>
      <c r="U175" s="333">
        <f t="shared" si="21"/>
        <v>0</v>
      </c>
      <c r="V175" s="333">
        <v>0</v>
      </c>
      <c r="W175" s="333">
        <v>0</v>
      </c>
      <c r="X175" s="333">
        <v>0</v>
      </c>
      <c r="Y175" s="333">
        <v>0</v>
      </c>
      <c r="Z175" s="333">
        <v>0</v>
      </c>
      <c r="AA175" s="333">
        <v>0</v>
      </c>
      <c r="AB175" s="333">
        <v>0</v>
      </c>
      <c r="AC175" s="333">
        <v>0</v>
      </c>
      <c r="AD175" s="333">
        <v>0</v>
      </c>
      <c r="AE175" s="333"/>
      <c r="AF175" s="333"/>
      <c r="AG175" s="333">
        <f t="shared" si="22"/>
        <v>0</v>
      </c>
      <c r="AH175" s="330"/>
      <c r="AI175" s="330">
        <v>0</v>
      </c>
      <c r="AJ175" s="396">
        <f t="shared" si="23"/>
        <v>0</v>
      </c>
      <c r="AK175" s="563"/>
      <c r="AL175" s="285">
        <f t="shared" si="25"/>
        <v>0</v>
      </c>
      <c r="AM175" s="286"/>
      <c r="AO175" s="330" t="s">
        <v>2582</v>
      </c>
    </row>
    <row r="176" spans="1:41">
      <c r="A176" s="587">
        <f t="shared" si="24"/>
        <v>173</v>
      </c>
      <c r="B176" s="330" t="s">
        <v>1643</v>
      </c>
      <c r="C176" s="330" t="s">
        <v>2581</v>
      </c>
      <c r="D176" s="330" t="s">
        <v>1662</v>
      </c>
      <c r="E176" s="330" t="s">
        <v>1734</v>
      </c>
      <c r="F176" s="330" t="s">
        <v>1647</v>
      </c>
      <c r="G176" s="562">
        <v>1012</v>
      </c>
      <c r="H176" s="562">
        <v>653.59</v>
      </c>
      <c r="I176" s="562">
        <v>723.02</v>
      </c>
      <c r="J176" s="561" t="s">
        <v>1648</v>
      </c>
      <c r="K176" s="330" t="s">
        <v>2585</v>
      </c>
      <c r="L176" s="330" t="s">
        <v>2583</v>
      </c>
      <c r="M176" s="330" t="s">
        <v>2584</v>
      </c>
      <c r="N176" s="330" t="s">
        <v>2586</v>
      </c>
      <c r="O176" s="395">
        <v>45713</v>
      </c>
      <c r="P176" s="333">
        <v>5910667</v>
      </c>
      <c r="Q176" s="330" t="s">
        <v>1653</v>
      </c>
      <c r="R176" s="562">
        <v>0</v>
      </c>
      <c r="S176" s="333">
        <v>0</v>
      </c>
      <c r="T176" s="333">
        <v>-407048.97999999975</v>
      </c>
      <c r="U176" s="333">
        <f t="shared" si="21"/>
        <v>-407048.97999999975</v>
      </c>
      <c r="V176" s="333">
        <v>-1424153</v>
      </c>
      <c r="W176" s="333">
        <v>0</v>
      </c>
      <c r="X176" s="333">
        <v>0</v>
      </c>
      <c r="Y176" s="333">
        <v>0</v>
      </c>
      <c r="Z176" s="333">
        <v>0</v>
      </c>
      <c r="AA176" s="333">
        <v>0</v>
      </c>
      <c r="AB176" s="333">
        <v>0</v>
      </c>
      <c r="AC176" s="333">
        <v>0</v>
      </c>
      <c r="AD176" s="333">
        <v>0</v>
      </c>
      <c r="AE176" s="333"/>
      <c r="AF176" s="333"/>
      <c r="AG176" s="333">
        <f t="shared" si="22"/>
        <v>-1831201.9799999997</v>
      </c>
      <c r="AH176" s="330"/>
      <c r="AI176" s="330">
        <v>0</v>
      </c>
      <c r="AJ176" s="396">
        <f t="shared" si="23"/>
        <v>-1831201.9799999997</v>
      </c>
      <c r="AK176" s="563"/>
      <c r="AL176" s="285">
        <f t="shared" si="25"/>
        <v>0</v>
      </c>
      <c r="AM176" s="286"/>
      <c r="AO176" s="330" t="s">
        <v>2585</v>
      </c>
    </row>
    <row r="177" spans="1:41">
      <c r="A177" s="587">
        <f t="shared" si="24"/>
        <v>174</v>
      </c>
      <c r="B177" s="330" t="s">
        <v>1643</v>
      </c>
      <c r="C177" s="330" t="s">
        <v>2587</v>
      </c>
      <c r="D177" s="330" t="s">
        <v>2153</v>
      </c>
      <c r="E177" s="330" t="s">
        <v>2588</v>
      </c>
      <c r="F177" s="330" t="s">
        <v>1647</v>
      </c>
      <c r="G177" s="562">
        <v>1114</v>
      </c>
      <c r="H177" s="562">
        <v>683.3</v>
      </c>
      <c r="I177" s="562">
        <v>795.57</v>
      </c>
      <c r="J177" s="561" t="s">
        <v>1648</v>
      </c>
      <c r="K177" s="330" t="s">
        <v>2589</v>
      </c>
      <c r="L177" s="330" t="s">
        <v>2590</v>
      </c>
      <c r="M177" s="330" t="s">
        <v>2591</v>
      </c>
      <c r="N177" s="330" t="s">
        <v>2592</v>
      </c>
      <c r="O177" s="395">
        <v>45446</v>
      </c>
      <c r="P177" s="333">
        <v>6714286</v>
      </c>
      <c r="Q177" s="330" t="s">
        <v>1653</v>
      </c>
      <c r="R177" s="562">
        <v>0</v>
      </c>
      <c r="S177" s="333">
        <v>0</v>
      </c>
      <c r="T177" s="333">
        <v>-2019925.7000000004</v>
      </c>
      <c r="U177" s="333">
        <f t="shared" si="21"/>
        <v>-2019925.7000000004</v>
      </c>
      <c r="V177" s="333">
        <v>0</v>
      </c>
      <c r="W177" s="333">
        <v>0</v>
      </c>
      <c r="X177" s="333">
        <v>0</v>
      </c>
      <c r="Y177" s="333">
        <v>0</v>
      </c>
      <c r="Z177" s="333">
        <v>0</v>
      </c>
      <c r="AA177" s="333">
        <v>0</v>
      </c>
      <c r="AB177" s="333">
        <v>0</v>
      </c>
      <c r="AC177" s="333">
        <v>0</v>
      </c>
      <c r="AD177" s="333">
        <v>0</v>
      </c>
      <c r="AE177" s="333"/>
      <c r="AF177" s="333"/>
      <c r="AG177" s="333">
        <f t="shared" si="22"/>
        <v>-2019925.7000000004</v>
      </c>
      <c r="AH177" s="330"/>
      <c r="AI177" s="330">
        <v>0</v>
      </c>
      <c r="AJ177" s="396">
        <f t="shared" si="23"/>
        <v>-2019925.7000000004</v>
      </c>
      <c r="AK177" s="563"/>
      <c r="AL177" s="285">
        <f t="shared" si="25"/>
        <v>0</v>
      </c>
      <c r="AM177" s="286"/>
      <c r="AO177" s="330" t="s">
        <v>2589</v>
      </c>
    </row>
    <row r="178" spans="1:41">
      <c r="A178" s="587">
        <f t="shared" si="24"/>
        <v>175</v>
      </c>
      <c r="B178" s="330" t="s">
        <v>1643</v>
      </c>
      <c r="C178" s="330" t="s">
        <v>2593</v>
      </c>
      <c r="D178" s="330" t="s">
        <v>1746</v>
      </c>
      <c r="E178" s="330" t="s">
        <v>2594</v>
      </c>
      <c r="F178" s="330" t="s">
        <v>1647</v>
      </c>
      <c r="G178" s="562">
        <v>1114</v>
      </c>
      <c r="H178" s="562">
        <v>683.3</v>
      </c>
      <c r="I178" s="562">
        <v>795.57</v>
      </c>
      <c r="J178" s="561" t="s">
        <v>1648</v>
      </c>
      <c r="K178" s="330" t="s">
        <v>2595</v>
      </c>
      <c r="L178" s="330" t="s">
        <v>2596</v>
      </c>
      <c r="M178" s="330" t="s">
        <v>2597</v>
      </c>
      <c r="N178" s="330" t="s">
        <v>2598</v>
      </c>
      <c r="O178" s="395">
        <v>45455</v>
      </c>
      <c r="P178" s="333">
        <v>6304075</v>
      </c>
      <c r="Q178" s="330" t="s">
        <v>1653</v>
      </c>
      <c r="R178" s="562">
        <v>0</v>
      </c>
      <c r="S178" s="333">
        <v>0</v>
      </c>
      <c r="T178" s="333">
        <v>-1804478.8600000003</v>
      </c>
      <c r="U178" s="333">
        <f t="shared" si="21"/>
        <v>-1804478.8600000003</v>
      </c>
      <c r="V178" s="333">
        <v>-150000</v>
      </c>
      <c r="W178" s="333">
        <v>0</v>
      </c>
      <c r="X178" s="333">
        <v>0</v>
      </c>
      <c r="Y178" s="333">
        <v>0</v>
      </c>
      <c r="Z178" s="333">
        <v>0</v>
      </c>
      <c r="AA178" s="333">
        <v>0</v>
      </c>
      <c r="AB178" s="333">
        <v>0</v>
      </c>
      <c r="AC178" s="333">
        <v>0</v>
      </c>
      <c r="AD178" s="333">
        <v>0</v>
      </c>
      <c r="AE178" s="333"/>
      <c r="AF178" s="333"/>
      <c r="AG178" s="333">
        <f t="shared" si="22"/>
        <v>-1954478.8600000003</v>
      </c>
      <c r="AH178" s="330"/>
      <c r="AI178" s="330">
        <v>0</v>
      </c>
      <c r="AJ178" s="396">
        <f t="shared" si="23"/>
        <v>-1954478.8600000003</v>
      </c>
      <c r="AK178" s="563"/>
      <c r="AL178" s="285">
        <f t="shared" ref="AL178:AL180" si="28">+AC178+AI178</f>
        <v>0</v>
      </c>
      <c r="AM178" s="286"/>
      <c r="AO178" s="330" t="s">
        <v>2595</v>
      </c>
    </row>
    <row r="179" spans="1:41">
      <c r="A179" s="587">
        <f t="shared" si="24"/>
        <v>176</v>
      </c>
      <c r="B179" s="330" t="s">
        <v>1643</v>
      </c>
      <c r="C179" s="330" t="s">
        <v>2599</v>
      </c>
      <c r="D179" s="330" t="s">
        <v>1662</v>
      </c>
      <c r="E179" s="330" t="s">
        <v>2600</v>
      </c>
      <c r="F179" s="330" t="s">
        <v>1786</v>
      </c>
      <c r="G179" s="562">
        <v>1265</v>
      </c>
      <c r="H179" s="562">
        <v>813.33</v>
      </c>
      <c r="I179" s="562">
        <v>903.31</v>
      </c>
      <c r="J179" s="561" t="s">
        <v>1648</v>
      </c>
      <c r="K179" s="330" t="s">
        <v>2601</v>
      </c>
      <c r="L179" s="330" t="s">
        <v>2602</v>
      </c>
      <c r="M179" s="330" t="s">
        <v>2603</v>
      </c>
      <c r="N179" s="330" t="s">
        <v>2604</v>
      </c>
      <c r="O179" s="395">
        <v>45434</v>
      </c>
      <c r="P179" s="333">
        <v>7164190</v>
      </c>
      <c r="Q179" s="330" t="s">
        <v>1653</v>
      </c>
      <c r="R179" s="562">
        <v>0</v>
      </c>
      <c r="S179" s="333">
        <v>0</v>
      </c>
      <c r="T179" s="333">
        <v>-2142114.1400000006</v>
      </c>
      <c r="U179" s="333">
        <f t="shared" si="21"/>
        <v>-2142114.1400000006</v>
      </c>
      <c r="V179" s="333">
        <v>0</v>
      </c>
      <c r="W179" s="333">
        <v>0</v>
      </c>
      <c r="X179" s="333">
        <v>0</v>
      </c>
      <c r="Y179" s="333">
        <v>0</v>
      </c>
      <c r="Z179" s="333">
        <v>0</v>
      </c>
      <c r="AA179" s="333">
        <v>0</v>
      </c>
      <c r="AB179" s="333">
        <v>0</v>
      </c>
      <c r="AC179" s="333">
        <v>-7143</v>
      </c>
      <c r="AD179" s="333">
        <v>0</v>
      </c>
      <c r="AE179" s="333"/>
      <c r="AF179" s="333"/>
      <c r="AG179" s="333">
        <f t="shared" si="22"/>
        <v>-2149257.1400000006</v>
      </c>
      <c r="AH179" s="330"/>
      <c r="AI179" s="330">
        <v>7143</v>
      </c>
      <c r="AJ179" s="396">
        <f t="shared" si="23"/>
        <v>-2149257.1400000006</v>
      </c>
      <c r="AK179" s="563"/>
      <c r="AL179" s="285">
        <f t="shared" si="28"/>
        <v>0</v>
      </c>
      <c r="AM179" s="286"/>
      <c r="AO179" s="330" t="s">
        <v>2601</v>
      </c>
    </row>
    <row r="180" spans="1:41">
      <c r="A180" s="587">
        <f t="shared" si="24"/>
        <v>177</v>
      </c>
      <c r="B180" s="330" t="s">
        <v>1643</v>
      </c>
      <c r="C180" s="330" t="s">
        <v>2605</v>
      </c>
      <c r="D180" s="330" t="s">
        <v>1655</v>
      </c>
      <c r="E180" s="330" t="s">
        <v>2606</v>
      </c>
      <c r="F180" s="330" t="s">
        <v>1647</v>
      </c>
      <c r="G180" s="562">
        <v>1012</v>
      </c>
      <c r="H180" s="562">
        <v>653.59</v>
      </c>
      <c r="I180" s="562">
        <v>723.02</v>
      </c>
      <c r="J180" s="561" t="s">
        <v>1810</v>
      </c>
      <c r="K180" s="330" t="s">
        <v>2607</v>
      </c>
      <c r="L180" s="330" t="s">
        <v>2608</v>
      </c>
      <c r="M180" s="330" t="s">
        <v>2609</v>
      </c>
      <c r="N180" s="330" t="s">
        <v>12</v>
      </c>
      <c r="O180" s="395"/>
      <c r="P180" s="333">
        <v>6008857</v>
      </c>
      <c r="Q180" s="330" t="s">
        <v>1653</v>
      </c>
      <c r="R180" s="562">
        <v>0</v>
      </c>
      <c r="S180" s="333">
        <v>0</v>
      </c>
      <c r="T180" s="333">
        <v>-576518</v>
      </c>
      <c r="U180" s="333">
        <f t="shared" si="21"/>
        <v>-576518</v>
      </c>
      <c r="V180" s="333">
        <v>0</v>
      </c>
      <c r="W180" s="333">
        <v>0</v>
      </c>
      <c r="X180" s="333">
        <v>0</v>
      </c>
      <c r="Y180" s="333">
        <v>0</v>
      </c>
      <c r="Z180" s="333">
        <v>0</v>
      </c>
      <c r="AA180" s="333">
        <v>0</v>
      </c>
      <c r="AB180" s="333">
        <v>0</v>
      </c>
      <c r="AC180" s="333">
        <v>-4081.63</v>
      </c>
      <c r="AD180" s="333">
        <v>0</v>
      </c>
      <c r="AE180" s="333"/>
      <c r="AF180" s="333"/>
      <c r="AG180" s="333">
        <f t="shared" si="22"/>
        <v>-580599.63</v>
      </c>
      <c r="AH180" s="330"/>
      <c r="AI180" s="330">
        <v>4082</v>
      </c>
      <c r="AJ180" s="396">
        <f t="shared" si="23"/>
        <v>-580599.63</v>
      </c>
      <c r="AK180" s="563"/>
      <c r="AL180" s="285">
        <f t="shared" si="28"/>
        <v>0.36999999999989086</v>
      </c>
      <c r="AM180" s="286"/>
      <c r="AO180" s="330" t="s">
        <v>2607</v>
      </c>
    </row>
    <row r="181" spans="1:41">
      <c r="A181" s="587">
        <f t="shared" si="24"/>
        <v>178</v>
      </c>
      <c r="B181" s="330" t="s">
        <v>1643</v>
      </c>
      <c r="C181" s="330" t="s">
        <v>2610</v>
      </c>
      <c r="D181" s="330" t="s">
        <v>1746</v>
      </c>
      <c r="E181" s="330" t="s">
        <v>1886</v>
      </c>
      <c r="F181" s="330" t="s">
        <v>1647</v>
      </c>
      <c r="G181" s="562">
        <v>1114</v>
      </c>
      <c r="H181" s="562">
        <v>683.3</v>
      </c>
      <c r="I181" s="562">
        <v>795.57</v>
      </c>
      <c r="J181" s="561" t="s">
        <v>2611</v>
      </c>
      <c r="K181" s="330" t="s">
        <v>2612</v>
      </c>
      <c r="L181" s="330" t="s">
        <v>2613</v>
      </c>
      <c r="M181" s="330" t="s">
        <v>2614</v>
      </c>
      <c r="N181" s="330" t="s">
        <v>2615</v>
      </c>
      <c r="O181" s="395">
        <v>45443</v>
      </c>
      <c r="P181" s="333">
        <v>6258857</v>
      </c>
      <c r="Q181" s="330" t="s">
        <v>1660</v>
      </c>
      <c r="R181" s="562">
        <v>0</v>
      </c>
      <c r="S181" s="333">
        <v>0</v>
      </c>
      <c r="T181" s="333">
        <v>0</v>
      </c>
      <c r="U181" s="333">
        <f t="shared" si="21"/>
        <v>0</v>
      </c>
      <c r="V181" s="333">
        <v>0</v>
      </c>
      <c r="W181" s="333">
        <v>0</v>
      </c>
      <c r="X181" s="333">
        <v>0</v>
      </c>
      <c r="Y181" s="333">
        <v>0</v>
      </c>
      <c r="Z181" s="333">
        <v>0</v>
      </c>
      <c r="AA181" s="333">
        <v>0</v>
      </c>
      <c r="AB181" s="333">
        <v>0</v>
      </c>
      <c r="AC181" s="333">
        <v>0</v>
      </c>
      <c r="AD181" s="333">
        <v>0</v>
      </c>
      <c r="AE181" s="333"/>
      <c r="AF181" s="333"/>
      <c r="AG181" s="333">
        <f t="shared" si="22"/>
        <v>0</v>
      </c>
      <c r="AH181" s="330"/>
      <c r="AI181" s="330">
        <v>0</v>
      </c>
      <c r="AJ181" s="396">
        <f t="shared" si="23"/>
        <v>0</v>
      </c>
      <c r="AK181" s="563"/>
      <c r="AL181" s="285">
        <f t="shared" si="25"/>
        <v>0</v>
      </c>
      <c r="AM181" s="286"/>
      <c r="AO181" s="330" t="s">
        <v>2612</v>
      </c>
    </row>
    <row r="182" spans="1:41">
      <c r="A182" s="587">
        <f t="shared" si="24"/>
        <v>179</v>
      </c>
      <c r="B182" s="330" t="s">
        <v>1643</v>
      </c>
      <c r="C182" s="330" t="s">
        <v>2616</v>
      </c>
      <c r="D182" s="330" t="s">
        <v>1662</v>
      </c>
      <c r="E182" s="330" t="s">
        <v>1874</v>
      </c>
      <c r="F182" s="330" t="s">
        <v>1786</v>
      </c>
      <c r="G182" s="562">
        <v>1265</v>
      </c>
      <c r="H182" s="562">
        <v>813.33</v>
      </c>
      <c r="I182" s="562">
        <v>903.31</v>
      </c>
      <c r="J182" s="561" t="s">
        <v>2611</v>
      </c>
      <c r="K182" s="330" t="s">
        <v>2617</v>
      </c>
      <c r="L182" s="330" t="s">
        <v>2613</v>
      </c>
      <c r="M182" s="330" t="s">
        <v>2614</v>
      </c>
      <c r="N182" s="330" t="s">
        <v>2615</v>
      </c>
      <c r="O182" s="395">
        <v>45440</v>
      </c>
      <c r="P182" s="333">
        <v>7202130</v>
      </c>
      <c r="Q182" s="330" t="s">
        <v>1653</v>
      </c>
      <c r="R182" s="562">
        <v>0</v>
      </c>
      <c r="S182" s="333">
        <v>0</v>
      </c>
      <c r="T182" s="333">
        <v>-2032660.0400000005</v>
      </c>
      <c r="U182" s="333">
        <f t="shared" si="21"/>
        <v>-2032660.0400000005</v>
      </c>
      <c r="V182" s="333">
        <v>-200000</v>
      </c>
      <c r="W182" s="333">
        <v>0</v>
      </c>
      <c r="X182" s="333">
        <v>0</v>
      </c>
      <c r="Y182" s="333">
        <v>0</v>
      </c>
      <c r="Z182" s="333">
        <v>0</v>
      </c>
      <c r="AA182" s="333">
        <v>0</v>
      </c>
      <c r="AB182" s="333">
        <v>0</v>
      </c>
      <c r="AC182" s="333">
        <v>0</v>
      </c>
      <c r="AD182" s="333">
        <v>0</v>
      </c>
      <c r="AE182" s="333"/>
      <c r="AF182" s="333"/>
      <c r="AG182" s="333">
        <f t="shared" si="22"/>
        <v>-2232660.0400000005</v>
      </c>
      <c r="AH182" s="330"/>
      <c r="AI182" s="330">
        <v>0</v>
      </c>
      <c r="AJ182" s="396">
        <f t="shared" si="23"/>
        <v>-2232660.0400000005</v>
      </c>
      <c r="AK182" s="563"/>
      <c r="AL182" s="285">
        <f t="shared" si="25"/>
        <v>0</v>
      </c>
      <c r="AM182" s="286"/>
      <c r="AO182" s="330" t="s">
        <v>2617</v>
      </c>
    </row>
    <row r="183" spans="1:41">
      <c r="A183" s="587">
        <f t="shared" si="24"/>
        <v>180</v>
      </c>
      <c r="B183" s="330" t="s">
        <v>1643</v>
      </c>
      <c r="C183" s="330" t="s">
        <v>2618</v>
      </c>
      <c r="D183" s="330" t="s">
        <v>1746</v>
      </c>
      <c r="E183" s="330" t="s">
        <v>2619</v>
      </c>
      <c r="F183" s="330" t="s">
        <v>1647</v>
      </c>
      <c r="G183" s="562">
        <v>1012</v>
      </c>
      <c r="H183" s="562">
        <v>653.59</v>
      </c>
      <c r="I183" s="562">
        <v>723.02</v>
      </c>
      <c r="J183" s="561" t="s">
        <v>1648</v>
      </c>
      <c r="K183" s="330" t="s">
        <v>2620</v>
      </c>
      <c r="L183" s="330" t="s">
        <v>2621</v>
      </c>
      <c r="M183" s="330" t="s">
        <v>2622</v>
      </c>
      <c r="N183" s="330" t="s">
        <v>2623</v>
      </c>
      <c r="O183" s="395">
        <v>45447</v>
      </c>
      <c r="P183" s="333">
        <v>5729194</v>
      </c>
      <c r="Q183" s="330" t="s">
        <v>1653</v>
      </c>
      <c r="R183" s="562">
        <v>0</v>
      </c>
      <c r="S183" s="333">
        <v>0</v>
      </c>
      <c r="T183" s="333">
        <v>-953104.07999999984</v>
      </c>
      <c r="U183" s="333">
        <f t="shared" si="21"/>
        <v>-953104.07999999984</v>
      </c>
      <c r="V183" s="333">
        <v>0</v>
      </c>
      <c r="W183" s="333">
        <v>0</v>
      </c>
      <c r="X183" s="333">
        <v>0</v>
      </c>
      <c r="Y183" s="333">
        <v>0</v>
      </c>
      <c r="Z183" s="333">
        <v>0</v>
      </c>
      <c r="AA183" s="333">
        <v>0</v>
      </c>
      <c r="AB183" s="333">
        <v>0</v>
      </c>
      <c r="AC183" s="333">
        <v>0</v>
      </c>
      <c r="AD183" s="333">
        <v>0</v>
      </c>
      <c r="AE183" s="333"/>
      <c r="AF183" s="333"/>
      <c r="AG183" s="333">
        <f t="shared" si="22"/>
        <v>-953104.07999999984</v>
      </c>
      <c r="AH183" s="330"/>
      <c r="AI183" s="330">
        <v>0</v>
      </c>
      <c r="AJ183" s="396">
        <f t="shared" si="23"/>
        <v>-953104.07999999984</v>
      </c>
      <c r="AK183" s="563"/>
      <c r="AL183" s="285">
        <f t="shared" si="25"/>
        <v>0</v>
      </c>
      <c r="AM183" s="286"/>
      <c r="AO183" s="330" t="s">
        <v>2620</v>
      </c>
    </row>
    <row r="184" spans="1:41">
      <c r="A184" s="587">
        <f t="shared" si="24"/>
        <v>181</v>
      </c>
      <c r="B184" s="330" t="s">
        <v>1643</v>
      </c>
      <c r="C184" s="330" t="s">
        <v>2624</v>
      </c>
      <c r="D184" s="330" t="s">
        <v>1669</v>
      </c>
      <c r="E184" s="330" t="s">
        <v>2625</v>
      </c>
      <c r="F184" s="330" t="s">
        <v>1671</v>
      </c>
      <c r="G184" s="562">
        <v>1787</v>
      </c>
      <c r="H184" s="562">
        <v>1138.51</v>
      </c>
      <c r="I184" s="562">
        <v>1276.29</v>
      </c>
      <c r="J184" s="561" t="s">
        <v>1648</v>
      </c>
      <c r="K184" s="330" t="s">
        <v>2626</v>
      </c>
      <c r="L184" s="330" t="s">
        <v>2627</v>
      </c>
      <c r="M184" s="330" t="s">
        <v>2628</v>
      </c>
      <c r="N184" s="330" t="s">
        <v>12</v>
      </c>
      <c r="O184" s="395"/>
      <c r="P184" s="333">
        <v>13991048</v>
      </c>
      <c r="Q184" s="330" t="s">
        <v>1660</v>
      </c>
      <c r="R184" s="562">
        <v>0</v>
      </c>
      <c r="S184" s="333">
        <v>0</v>
      </c>
      <c r="T184" s="333">
        <v>0</v>
      </c>
      <c r="U184" s="333">
        <f t="shared" si="21"/>
        <v>0</v>
      </c>
      <c r="V184" s="333">
        <v>0</v>
      </c>
      <c r="W184" s="333">
        <v>0</v>
      </c>
      <c r="X184" s="333">
        <v>0</v>
      </c>
      <c r="Y184" s="333">
        <v>0</v>
      </c>
      <c r="Z184" s="333">
        <v>0</v>
      </c>
      <c r="AA184" s="333">
        <v>0</v>
      </c>
      <c r="AB184" s="333">
        <v>0</v>
      </c>
      <c r="AC184" s="333">
        <v>0</v>
      </c>
      <c r="AD184" s="333">
        <v>0</v>
      </c>
      <c r="AE184" s="333"/>
      <c r="AF184" s="333"/>
      <c r="AG184" s="333">
        <f t="shared" si="22"/>
        <v>0</v>
      </c>
      <c r="AH184" s="330"/>
      <c r="AI184" s="330">
        <v>0</v>
      </c>
      <c r="AJ184" s="396">
        <f t="shared" si="23"/>
        <v>0</v>
      </c>
      <c r="AK184" s="563"/>
      <c r="AL184" s="285">
        <f t="shared" si="25"/>
        <v>0</v>
      </c>
      <c r="AM184" s="286"/>
      <c r="AO184" s="330" t="s">
        <v>2626</v>
      </c>
    </row>
    <row r="185" spans="1:41">
      <c r="A185" s="587">
        <f t="shared" si="24"/>
        <v>182</v>
      </c>
      <c r="B185" s="330" t="s">
        <v>1643</v>
      </c>
      <c r="C185" s="330" t="s">
        <v>2629</v>
      </c>
      <c r="D185" s="330" t="s">
        <v>1655</v>
      </c>
      <c r="E185" s="330" t="s">
        <v>2028</v>
      </c>
      <c r="F185" s="330" t="s">
        <v>1647</v>
      </c>
      <c r="G185" s="562">
        <v>1012</v>
      </c>
      <c r="H185" s="562">
        <v>653.59</v>
      </c>
      <c r="I185" s="562">
        <v>723.02</v>
      </c>
      <c r="J185" s="561" t="s">
        <v>1648</v>
      </c>
      <c r="K185" s="330" t="s">
        <v>2630</v>
      </c>
      <c r="L185" s="330" t="s">
        <v>2631</v>
      </c>
      <c r="M185" s="330" t="s">
        <v>2632</v>
      </c>
      <c r="N185" s="330" t="s">
        <v>12</v>
      </c>
      <c r="O185" s="395"/>
      <c r="P185" s="333">
        <v>6044572</v>
      </c>
      <c r="Q185" s="330" t="s">
        <v>1660</v>
      </c>
      <c r="R185" s="562">
        <v>0</v>
      </c>
      <c r="S185" s="333">
        <v>0</v>
      </c>
      <c r="T185" s="333">
        <v>-643200</v>
      </c>
      <c r="U185" s="333">
        <f t="shared" si="21"/>
        <v>-643200</v>
      </c>
      <c r="V185" s="333">
        <v>0</v>
      </c>
      <c r="W185" s="333">
        <v>0</v>
      </c>
      <c r="X185" s="333">
        <v>0</v>
      </c>
      <c r="Y185" s="333">
        <v>0</v>
      </c>
      <c r="Z185" s="333">
        <v>0</v>
      </c>
      <c r="AA185" s="333">
        <v>0</v>
      </c>
      <c r="AB185" s="333">
        <v>0</v>
      </c>
      <c r="AC185" s="333">
        <v>0</v>
      </c>
      <c r="AD185" s="333">
        <v>0</v>
      </c>
      <c r="AE185" s="333"/>
      <c r="AF185" s="333"/>
      <c r="AG185" s="333">
        <f t="shared" si="22"/>
        <v>-643200</v>
      </c>
      <c r="AH185" s="330"/>
      <c r="AI185" s="330">
        <v>0</v>
      </c>
      <c r="AJ185" s="396">
        <f t="shared" si="23"/>
        <v>-643200</v>
      </c>
      <c r="AK185" s="563"/>
      <c r="AL185" s="285">
        <f t="shared" si="25"/>
        <v>0</v>
      </c>
      <c r="AM185" s="286"/>
      <c r="AO185" s="330" t="s">
        <v>2630</v>
      </c>
    </row>
    <row r="186" spans="1:41">
      <c r="A186" s="587">
        <f t="shared" si="24"/>
        <v>183</v>
      </c>
      <c r="B186" s="330" t="s">
        <v>1643</v>
      </c>
      <c r="C186" s="330" t="s">
        <v>2633</v>
      </c>
      <c r="D186" s="330" t="s">
        <v>1704</v>
      </c>
      <c r="E186" s="330" t="s">
        <v>2212</v>
      </c>
      <c r="F186" s="330" t="s">
        <v>1786</v>
      </c>
      <c r="G186" s="562">
        <v>1265</v>
      </c>
      <c r="H186" s="562">
        <v>813.33</v>
      </c>
      <c r="I186" s="562">
        <v>903.31</v>
      </c>
      <c r="J186" s="561" t="s">
        <v>1648</v>
      </c>
      <c r="K186" s="330" t="s">
        <v>2634</v>
      </c>
      <c r="L186" s="330" t="s">
        <v>2635</v>
      </c>
      <c r="M186" s="330" t="s">
        <v>2636</v>
      </c>
      <c r="N186" s="330" t="s">
        <v>2637</v>
      </c>
      <c r="O186" s="395">
        <v>45467</v>
      </c>
      <c r="P186" s="333">
        <v>7116000</v>
      </c>
      <c r="Q186" s="330" t="s">
        <v>1653</v>
      </c>
      <c r="R186" s="562">
        <v>0</v>
      </c>
      <c r="S186" s="333">
        <v>0</v>
      </c>
      <c r="T186" s="333">
        <v>-2205958</v>
      </c>
      <c r="U186" s="333">
        <f t="shared" si="21"/>
        <v>-2205958</v>
      </c>
      <c r="V186" s="333">
        <v>0</v>
      </c>
      <c r="W186" s="333">
        <v>0</v>
      </c>
      <c r="X186" s="333">
        <v>0</v>
      </c>
      <c r="Y186" s="333">
        <v>0</v>
      </c>
      <c r="Z186" s="333">
        <v>0</v>
      </c>
      <c r="AA186" s="333">
        <v>0</v>
      </c>
      <c r="AB186" s="333">
        <v>0</v>
      </c>
      <c r="AC186" s="333">
        <v>0</v>
      </c>
      <c r="AD186" s="333">
        <v>0</v>
      </c>
      <c r="AE186" s="333"/>
      <c r="AF186" s="333"/>
      <c r="AG186" s="333">
        <f t="shared" si="22"/>
        <v>-2205958</v>
      </c>
      <c r="AH186" s="330"/>
      <c r="AI186" s="330">
        <v>0</v>
      </c>
      <c r="AJ186" s="396">
        <f t="shared" si="23"/>
        <v>-2205958</v>
      </c>
      <c r="AK186" s="563"/>
      <c r="AL186" s="285">
        <f t="shared" si="25"/>
        <v>0</v>
      </c>
      <c r="AM186" s="286"/>
      <c r="AO186" s="330" t="s">
        <v>2634</v>
      </c>
    </row>
    <row r="187" spans="1:41">
      <c r="A187" s="587">
        <f t="shared" si="24"/>
        <v>184</v>
      </c>
      <c r="B187" s="330" t="s">
        <v>1643</v>
      </c>
      <c r="C187" s="330" t="s">
        <v>2638</v>
      </c>
      <c r="D187" s="330" t="s">
        <v>1677</v>
      </c>
      <c r="E187" s="330" t="s">
        <v>2274</v>
      </c>
      <c r="F187" s="330" t="s">
        <v>1647</v>
      </c>
      <c r="G187" s="562">
        <v>1012</v>
      </c>
      <c r="H187" s="562">
        <v>653.59</v>
      </c>
      <c r="I187" s="562">
        <v>723.02</v>
      </c>
      <c r="J187" s="561" t="s">
        <v>1810</v>
      </c>
      <c r="K187" s="330" t="s">
        <v>2639</v>
      </c>
      <c r="L187" s="330" t="s">
        <v>2640</v>
      </c>
      <c r="M187" s="330" t="s">
        <v>2641</v>
      </c>
      <c r="N187" s="330" t="s">
        <v>12</v>
      </c>
      <c r="O187" s="395"/>
      <c r="P187" s="333">
        <v>6067524</v>
      </c>
      <c r="Q187" s="330" t="s">
        <v>1660</v>
      </c>
      <c r="R187" s="562">
        <v>0</v>
      </c>
      <c r="S187" s="333">
        <v>0</v>
      </c>
      <c r="T187" s="333">
        <v>-544100</v>
      </c>
      <c r="U187" s="333">
        <f t="shared" si="21"/>
        <v>-544100</v>
      </c>
      <c r="V187" s="333">
        <v>544100</v>
      </c>
      <c r="W187" s="333">
        <v>0</v>
      </c>
      <c r="X187" s="333">
        <v>0</v>
      </c>
      <c r="Y187" s="333">
        <v>0</v>
      </c>
      <c r="Z187" s="333">
        <v>0</v>
      </c>
      <c r="AA187" s="333">
        <v>0</v>
      </c>
      <c r="AB187" s="333">
        <v>0</v>
      </c>
      <c r="AC187" s="333">
        <v>0</v>
      </c>
      <c r="AD187" s="333">
        <v>0</v>
      </c>
      <c r="AE187" s="333"/>
      <c r="AF187" s="333"/>
      <c r="AG187" s="333">
        <f t="shared" si="22"/>
        <v>0</v>
      </c>
      <c r="AH187" s="330"/>
      <c r="AI187" s="330">
        <v>0</v>
      </c>
      <c r="AJ187" s="396">
        <f t="shared" si="23"/>
        <v>0</v>
      </c>
      <c r="AK187" s="563"/>
      <c r="AL187" s="285">
        <f t="shared" si="25"/>
        <v>0</v>
      </c>
      <c r="AM187" s="286"/>
      <c r="AO187" s="330" t="s">
        <v>2639</v>
      </c>
    </row>
    <row r="188" spans="1:41">
      <c r="A188" s="587">
        <f t="shared" si="24"/>
        <v>185</v>
      </c>
      <c r="B188" s="330" t="s">
        <v>1643</v>
      </c>
      <c r="C188" s="330" t="s">
        <v>2642</v>
      </c>
      <c r="D188" s="330" t="s">
        <v>1655</v>
      </c>
      <c r="E188" s="330" t="s">
        <v>2289</v>
      </c>
      <c r="F188" s="330" t="s">
        <v>1647</v>
      </c>
      <c r="G188" s="562">
        <v>1012</v>
      </c>
      <c r="H188" s="562">
        <v>653.59</v>
      </c>
      <c r="I188" s="562">
        <v>723.02</v>
      </c>
      <c r="J188" s="561" t="s">
        <v>1810</v>
      </c>
      <c r="K188" s="330" t="s">
        <v>2643</v>
      </c>
      <c r="L188" s="330" t="s">
        <v>2644</v>
      </c>
      <c r="M188" s="330" t="s">
        <v>2645</v>
      </c>
      <c r="N188" s="330" t="s">
        <v>12</v>
      </c>
      <c r="O188" s="395"/>
      <c r="P188" s="333">
        <v>6508960</v>
      </c>
      <c r="Q188" s="330" t="s">
        <v>1660</v>
      </c>
      <c r="R188" s="562">
        <v>0</v>
      </c>
      <c r="S188" s="333">
        <v>0</v>
      </c>
      <c r="T188" s="333">
        <v>0</v>
      </c>
      <c r="U188" s="333">
        <f t="shared" si="21"/>
        <v>0</v>
      </c>
      <c r="V188" s="333">
        <v>-5.1159076974727213E-13</v>
      </c>
      <c r="W188" s="333">
        <v>0</v>
      </c>
      <c r="X188" s="333">
        <v>0</v>
      </c>
      <c r="Y188" s="333">
        <v>0</v>
      </c>
      <c r="Z188" s="333">
        <v>0</v>
      </c>
      <c r="AA188" s="333">
        <v>0</v>
      </c>
      <c r="AB188" s="333">
        <v>0</v>
      </c>
      <c r="AC188" s="333">
        <v>0</v>
      </c>
      <c r="AD188" s="333">
        <v>0</v>
      </c>
      <c r="AE188" s="333"/>
      <c r="AF188" s="333"/>
      <c r="AG188" s="333">
        <f t="shared" si="22"/>
        <v>-5.1159076974727213E-13</v>
      </c>
      <c r="AH188" s="330"/>
      <c r="AI188" s="330">
        <v>0</v>
      </c>
      <c r="AJ188" s="396">
        <f t="shared" si="23"/>
        <v>-5.1159076974727213E-13</v>
      </c>
      <c r="AK188" s="563"/>
      <c r="AL188" s="285">
        <f t="shared" si="25"/>
        <v>0</v>
      </c>
      <c r="AM188" s="286"/>
      <c r="AO188" s="330" t="s">
        <v>2643</v>
      </c>
    </row>
    <row r="189" spans="1:41">
      <c r="A189" s="587">
        <f t="shared" si="24"/>
        <v>186</v>
      </c>
      <c r="B189" s="330" t="s">
        <v>1643</v>
      </c>
      <c r="C189" s="330" t="s">
        <v>2646</v>
      </c>
      <c r="D189" s="330" t="s">
        <v>1677</v>
      </c>
      <c r="E189" s="330" t="s">
        <v>2647</v>
      </c>
      <c r="F189" s="330" t="s">
        <v>1647</v>
      </c>
      <c r="G189" s="562">
        <v>1012</v>
      </c>
      <c r="H189" s="562">
        <v>653.59</v>
      </c>
      <c r="I189" s="562">
        <v>723.02</v>
      </c>
      <c r="J189" s="561" t="s">
        <v>1679</v>
      </c>
      <c r="K189" s="330" t="s">
        <v>2648</v>
      </c>
      <c r="L189" s="330" t="s">
        <v>2649</v>
      </c>
      <c r="M189" s="330" t="s">
        <v>2650</v>
      </c>
      <c r="N189" s="330" t="s">
        <v>12</v>
      </c>
      <c r="O189" s="395"/>
      <c r="P189" s="333">
        <v>6350000</v>
      </c>
      <c r="Q189" s="330" t="s">
        <v>1660</v>
      </c>
      <c r="R189" s="562">
        <v>0</v>
      </c>
      <c r="S189" s="333">
        <v>0</v>
      </c>
      <c r="T189" s="333">
        <v>0</v>
      </c>
      <c r="U189" s="333">
        <f t="shared" si="21"/>
        <v>0</v>
      </c>
      <c r="V189" s="333">
        <v>0</v>
      </c>
      <c r="W189" s="333">
        <v>0</v>
      </c>
      <c r="X189" s="333">
        <v>0</v>
      </c>
      <c r="Y189" s="333">
        <v>0</v>
      </c>
      <c r="Z189" s="333">
        <v>0</v>
      </c>
      <c r="AA189" s="333">
        <v>0</v>
      </c>
      <c r="AB189" s="333">
        <v>0</v>
      </c>
      <c r="AC189" s="333">
        <v>0</v>
      </c>
      <c r="AD189" s="333">
        <v>0</v>
      </c>
      <c r="AE189" s="333"/>
      <c r="AF189" s="333"/>
      <c r="AG189" s="333">
        <f t="shared" si="22"/>
        <v>0</v>
      </c>
      <c r="AH189" s="330"/>
      <c r="AI189" s="330">
        <v>0</v>
      </c>
      <c r="AJ189" s="396">
        <f t="shared" si="23"/>
        <v>0</v>
      </c>
      <c r="AK189" s="563"/>
      <c r="AL189" s="285">
        <f t="shared" si="25"/>
        <v>0</v>
      </c>
      <c r="AM189" s="286"/>
      <c r="AO189" s="330" t="s">
        <v>2648</v>
      </c>
    </row>
    <row r="190" spans="1:41">
      <c r="A190" s="587">
        <f t="shared" si="24"/>
        <v>187</v>
      </c>
      <c r="B190" s="330" t="s">
        <v>1643</v>
      </c>
      <c r="C190" s="330" t="s">
        <v>1757</v>
      </c>
      <c r="D190" s="330" t="s">
        <v>1746</v>
      </c>
      <c r="E190" s="330" t="s">
        <v>1758</v>
      </c>
      <c r="F190" s="330" t="s">
        <v>1671</v>
      </c>
      <c r="G190" s="562">
        <v>1498</v>
      </c>
      <c r="H190" s="562">
        <v>954.87</v>
      </c>
      <c r="I190" s="562">
        <v>1069.73</v>
      </c>
      <c r="J190" s="561" t="s">
        <v>1810</v>
      </c>
      <c r="K190" s="330" t="s">
        <v>2651</v>
      </c>
      <c r="L190" s="330" t="s">
        <v>2652</v>
      </c>
      <c r="M190" s="330" t="s">
        <v>2653</v>
      </c>
      <c r="N190" s="330" t="s">
        <v>1762</v>
      </c>
      <c r="O190" s="395">
        <v>45474</v>
      </c>
      <c r="P190" s="333">
        <v>9312477</v>
      </c>
      <c r="Q190" s="330" t="s">
        <v>1660</v>
      </c>
      <c r="R190" s="562">
        <v>0</v>
      </c>
      <c r="S190" s="333">
        <v>0</v>
      </c>
      <c r="T190" s="333">
        <v>-7.3625761572094192E-13</v>
      </c>
      <c r="U190" s="333">
        <f t="shared" si="21"/>
        <v>-7.3625761572094192E-13</v>
      </c>
      <c r="V190" s="333">
        <v>0</v>
      </c>
      <c r="W190" s="333">
        <v>0</v>
      </c>
      <c r="X190" s="333">
        <v>0</v>
      </c>
      <c r="Y190" s="333">
        <v>0</v>
      </c>
      <c r="Z190" s="333">
        <v>0</v>
      </c>
      <c r="AA190" s="333">
        <v>0</v>
      </c>
      <c r="AB190" s="333">
        <v>0</v>
      </c>
      <c r="AC190" s="333">
        <v>0</v>
      </c>
      <c r="AD190" s="333">
        <v>0</v>
      </c>
      <c r="AE190" s="333"/>
      <c r="AF190" s="333"/>
      <c r="AG190" s="333">
        <f t="shared" si="22"/>
        <v>-7.3625761572094192E-13</v>
      </c>
      <c r="AH190" s="330"/>
      <c r="AI190" s="330">
        <v>0</v>
      </c>
      <c r="AJ190" s="396">
        <f t="shared" si="23"/>
        <v>-7.3625761572094192E-13</v>
      </c>
      <c r="AK190" s="563"/>
      <c r="AL190" s="285">
        <f t="shared" si="25"/>
        <v>0</v>
      </c>
      <c r="AM190" s="286"/>
      <c r="AO190" s="330" t="s">
        <v>2651</v>
      </c>
    </row>
    <row r="191" spans="1:41">
      <c r="A191" s="587">
        <f t="shared" si="24"/>
        <v>188</v>
      </c>
      <c r="B191" s="330" t="s">
        <v>1643</v>
      </c>
      <c r="C191" s="330" t="s">
        <v>2654</v>
      </c>
      <c r="D191" s="330" t="s">
        <v>1704</v>
      </c>
      <c r="E191" s="330" t="s">
        <v>2655</v>
      </c>
      <c r="F191" s="330" t="s">
        <v>1647</v>
      </c>
      <c r="G191" s="562">
        <v>1114</v>
      </c>
      <c r="H191" s="562">
        <v>683.3</v>
      </c>
      <c r="I191" s="562">
        <v>795.57</v>
      </c>
      <c r="J191" s="561" t="s">
        <v>1648</v>
      </c>
      <c r="K191" s="330" t="s">
        <v>2656</v>
      </c>
      <c r="L191" s="330" t="s">
        <v>2657</v>
      </c>
      <c r="M191" s="330" t="s">
        <v>2658</v>
      </c>
      <c r="N191" s="330" t="s">
        <v>2659</v>
      </c>
      <c r="O191" s="395">
        <v>45448</v>
      </c>
      <c r="P191" s="333">
        <v>6415143</v>
      </c>
      <c r="Q191" s="330" t="s">
        <v>1653</v>
      </c>
      <c r="R191" s="562">
        <v>0</v>
      </c>
      <c r="S191" s="333">
        <v>0</v>
      </c>
      <c r="T191" s="333">
        <v>-2084922.4100000001</v>
      </c>
      <c r="U191" s="333">
        <f t="shared" si="21"/>
        <v>-2084922.4100000001</v>
      </c>
      <c r="V191" s="333">
        <v>0</v>
      </c>
      <c r="W191" s="333">
        <v>0</v>
      </c>
      <c r="X191" s="333">
        <v>0</v>
      </c>
      <c r="Y191" s="333">
        <v>0</v>
      </c>
      <c r="Z191" s="333">
        <v>0</v>
      </c>
      <c r="AA191" s="333">
        <v>0</v>
      </c>
      <c r="AB191" s="333">
        <v>0</v>
      </c>
      <c r="AC191" s="333">
        <v>96227.159999999916</v>
      </c>
      <c r="AD191" s="333">
        <v>0</v>
      </c>
      <c r="AE191" s="333"/>
      <c r="AF191" s="333"/>
      <c r="AG191" s="333">
        <f t="shared" si="22"/>
        <v>-1988695.2500000002</v>
      </c>
      <c r="AH191" s="330"/>
      <c r="AI191" s="330">
        <v>-96227.16</v>
      </c>
      <c r="AJ191" s="396">
        <f t="shared" si="23"/>
        <v>-1988695.2500000002</v>
      </c>
      <c r="AK191" s="563"/>
      <c r="AL191" s="285">
        <f>+AC191+AI191</f>
        <v>0</v>
      </c>
      <c r="AM191" s="286"/>
      <c r="AO191" s="330" t="s">
        <v>2656</v>
      </c>
    </row>
    <row r="192" spans="1:41">
      <c r="A192" s="587">
        <f t="shared" si="24"/>
        <v>189</v>
      </c>
      <c r="B192" s="330" t="s">
        <v>1643</v>
      </c>
      <c r="C192" s="330" t="s">
        <v>2660</v>
      </c>
      <c r="D192" s="330" t="s">
        <v>1704</v>
      </c>
      <c r="E192" s="330" t="s">
        <v>2661</v>
      </c>
      <c r="F192" s="330" t="s">
        <v>1647</v>
      </c>
      <c r="G192" s="562">
        <v>1012</v>
      </c>
      <c r="H192" s="562">
        <v>653.59</v>
      </c>
      <c r="I192" s="562">
        <v>723.02</v>
      </c>
      <c r="J192" s="561" t="s">
        <v>1810</v>
      </c>
      <c r="K192" s="330" t="s">
        <v>2662</v>
      </c>
      <c r="L192" s="330" t="s">
        <v>2663</v>
      </c>
      <c r="M192" s="330" t="s">
        <v>2664</v>
      </c>
      <c r="N192" s="330" t="s">
        <v>2665</v>
      </c>
      <c r="O192" s="395">
        <v>45443</v>
      </c>
      <c r="P192" s="333">
        <v>5776762</v>
      </c>
      <c r="Q192" s="330" t="s">
        <v>1653</v>
      </c>
      <c r="R192" s="562">
        <v>0</v>
      </c>
      <c r="S192" s="333">
        <v>0</v>
      </c>
      <c r="T192" s="333">
        <v>-1784028.5599999998</v>
      </c>
      <c r="U192" s="333">
        <f t="shared" si="21"/>
        <v>-1784028.5599999998</v>
      </c>
      <c r="V192" s="333">
        <v>51000</v>
      </c>
      <c r="W192" s="333">
        <v>0</v>
      </c>
      <c r="X192" s="333">
        <v>0</v>
      </c>
      <c r="Y192" s="333">
        <v>0</v>
      </c>
      <c r="Z192" s="333">
        <v>0</v>
      </c>
      <c r="AA192" s="333">
        <v>-51000</v>
      </c>
      <c r="AB192" s="333">
        <v>0</v>
      </c>
      <c r="AC192" s="333">
        <v>0</v>
      </c>
      <c r="AD192" s="333">
        <v>0</v>
      </c>
      <c r="AE192" s="333"/>
      <c r="AF192" s="333"/>
      <c r="AG192" s="333">
        <f t="shared" si="22"/>
        <v>-1784028.5599999998</v>
      </c>
      <c r="AH192" s="330"/>
      <c r="AI192" s="330">
        <v>0</v>
      </c>
      <c r="AJ192" s="396">
        <f t="shared" si="23"/>
        <v>-1784028.5599999998</v>
      </c>
      <c r="AK192" s="563"/>
      <c r="AL192" s="285">
        <f t="shared" si="25"/>
        <v>0</v>
      </c>
      <c r="AM192" s="286"/>
      <c r="AO192" s="330" t="s">
        <v>2662</v>
      </c>
    </row>
    <row r="193" spans="1:41">
      <c r="A193" s="587">
        <f t="shared" si="24"/>
        <v>190</v>
      </c>
      <c r="B193" s="330" t="s">
        <v>1643</v>
      </c>
      <c r="C193" s="330" t="s">
        <v>2666</v>
      </c>
      <c r="D193" s="330" t="s">
        <v>1746</v>
      </c>
      <c r="E193" s="330" t="s">
        <v>1696</v>
      </c>
      <c r="F193" s="330" t="s">
        <v>1647</v>
      </c>
      <c r="G193" s="562">
        <v>1012</v>
      </c>
      <c r="H193" s="562">
        <v>653.59</v>
      </c>
      <c r="I193" s="562">
        <v>723.02</v>
      </c>
      <c r="J193" s="561" t="s">
        <v>1648</v>
      </c>
      <c r="K193" s="330" t="s">
        <v>2667</v>
      </c>
      <c r="L193" s="330" t="s">
        <v>2668</v>
      </c>
      <c r="M193" s="330" t="s">
        <v>2669</v>
      </c>
      <c r="N193" s="330" t="s">
        <v>2670</v>
      </c>
      <c r="O193" s="395">
        <v>45449</v>
      </c>
      <c r="P193" s="333">
        <v>5683644</v>
      </c>
      <c r="Q193" s="330" t="s">
        <v>1660</v>
      </c>
      <c r="R193" s="562">
        <v>0</v>
      </c>
      <c r="S193" s="333">
        <v>0</v>
      </c>
      <c r="T193" s="333">
        <v>-1904252.3499999996</v>
      </c>
      <c r="U193" s="333">
        <f t="shared" si="21"/>
        <v>-1904252.3499999996</v>
      </c>
      <c r="V193" s="333">
        <v>1939272.3499999999</v>
      </c>
      <c r="W193" s="333">
        <v>0</v>
      </c>
      <c r="X193" s="333">
        <v>0</v>
      </c>
      <c r="Y193" s="333">
        <v>0</v>
      </c>
      <c r="Z193" s="333">
        <v>0</v>
      </c>
      <c r="AA193" s="333">
        <v>0</v>
      </c>
      <c r="AB193" s="333">
        <v>0</v>
      </c>
      <c r="AC193" s="333">
        <v>-85044</v>
      </c>
      <c r="AD193" s="333">
        <v>0</v>
      </c>
      <c r="AE193" s="333"/>
      <c r="AF193" s="333"/>
      <c r="AG193" s="333">
        <f t="shared" si="22"/>
        <v>-50023.999999999767</v>
      </c>
      <c r="AH193" s="330"/>
      <c r="AI193" s="330">
        <v>85044</v>
      </c>
      <c r="AJ193" s="396">
        <f t="shared" si="23"/>
        <v>-50023.999999999767</v>
      </c>
      <c r="AK193" s="563"/>
      <c r="AL193" s="285">
        <f>+AC193+AI193</f>
        <v>0</v>
      </c>
      <c r="AM193" s="286"/>
      <c r="AO193" s="330" t="s">
        <v>2667</v>
      </c>
    </row>
    <row r="194" spans="1:41">
      <c r="A194" s="587">
        <f t="shared" si="24"/>
        <v>191</v>
      </c>
      <c r="B194" s="330" t="s">
        <v>1643</v>
      </c>
      <c r="C194" s="330" t="s">
        <v>2671</v>
      </c>
      <c r="D194" s="330" t="s">
        <v>1677</v>
      </c>
      <c r="E194" s="330" t="s">
        <v>2368</v>
      </c>
      <c r="F194" s="330" t="s">
        <v>1647</v>
      </c>
      <c r="G194" s="562">
        <v>1114</v>
      </c>
      <c r="H194" s="562">
        <v>683.3</v>
      </c>
      <c r="I194" s="562">
        <v>795.57</v>
      </c>
      <c r="J194" s="561" t="s">
        <v>1648</v>
      </c>
      <c r="K194" s="330" t="s">
        <v>2672</v>
      </c>
      <c r="L194" s="330" t="s">
        <v>2673</v>
      </c>
      <c r="M194" s="330" t="s">
        <v>2674</v>
      </c>
      <c r="N194" s="330" t="s">
        <v>12</v>
      </c>
      <c r="O194" s="395"/>
      <c r="P194" s="333">
        <v>7116071</v>
      </c>
      <c r="Q194" s="330" t="s">
        <v>1660</v>
      </c>
      <c r="R194" s="562">
        <v>0</v>
      </c>
      <c r="S194" s="333">
        <v>0</v>
      </c>
      <c r="T194" s="333">
        <v>0</v>
      </c>
      <c r="U194" s="333">
        <f t="shared" si="21"/>
        <v>0</v>
      </c>
      <c r="V194" s="333">
        <v>-100000</v>
      </c>
      <c r="W194" s="333">
        <v>0</v>
      </c>
      <c r="X194" s="333">
        <v>0</v>
      </c>
      <c r="Y194" s="333">
        <v>0</v>
      </c>
      <c r="Z194" s="333">
        <v>0</v>
      </c>
      <c r="AA194" s="333">
        <v>0</v>
      </c>
      <c r="AB194" s="333">
        <v>0</v>
      </c>
      <c r="AC194" s="333">
        <v>0</v>
      </c>
      <c r="AD194" s="333">
        <v>0</v>
      </c>
      <c r="AE194" s="333"/>
      <c r="AF194" s="333"/>
      <c r="AG194" s="333">
        <f t="shared" si="22"/>
        <v>-100000</v>
      </c>
      <c r="AH194" s="330"/>
      <c r="AI194" s="330">
        <v>0</v>
      </c>
      <c r="AJ194" s="396">
        <f t="shared" si="23"/>
        <v>-100000</v>
      </c>
      <c r="AK194" s="563"/>
      <c r="AL194" s="285">
        <f t="shared" si="25"/>
        <v>0</v>
      </c>
      <c r="AM194" s="286"/>
      <c r="AO194" s="330" t="s">
        <v>2672</v>
      </c>
    </row>
    <row r="195" spans="1:41">
      <c r="A195" s="587">
        <f t="shared" si="24"/>
        <v>192</v>
      </c>
      <c r="B195" s="330" t="s">
        <v>1643</v>
      </c>
      <c r="C195" s="330" t="s">
        <v>2675</v>
      </c>
      <c r="D195" s="330" t="s">
        <v>1677</v>
      </c>
      <c r="E195" s="330" t="s">
        <v>1840</v>
      </c>
      <c r="F195" s="330" t="s">
        <v>1647</v>
      </c>
      <c r="G195" s="562">
        <v>1012</v>
      </c>
      <c r="H195" s="562">
        <v>653.59</v>
      </c>
      <c r="I195" s="562">
        <v>723.02</v>
      </c>
      <c r="J195" s="561" t="s">
        <v>1810</v>
      </c>
      <c r="K195" s="330" t="s">
        <v>2676</v>
      </c>
      <c r="L195" s="330" t="s">
        <v>2677</v>
      </c>
      <c r="M195" s="330" t="s">
        <v>2678</v>
      </c>
      <c r="N195" s="330" t="s">
        <v>12</v>
      </c>
      <c r="O195" s="395"/>
      <c r="P195" s="333">
        <v>6089238</v>
      </c>
      <c r="Q195" s="330" t="s">
        <v>1660</v>
      </c>
      <c r="R195" s="562">
        <v>0</v>
      </c>
      <c r="S195" s="333">
        <v>0</v>
      </c>
      <c r="T195" s="333">
        <v>-545400</v>
      </c>
      <c r="U195" s="333">
        <f t="shared" si="21"/>
        <v>-545400</v>
      </c>
      <c r="V195" s="333">
        <v>545400</v>
      </c>
      <c r="W195" s="333">
        <v>0</v>
      </c>
      <c r="X195" s="333">
        <v>0</v>
      </c>
      <c r="Y195" s="333">
        <v>0</v>
      </c>
      <c r="Z195" s="333">
        <v>0</v>
      </c>
      <c r="AA195" s="333">
        <v>0</v>
      </c>
      <c r="AB195" s="333">
        <v>0</v>
      </c>
      <c r="AC195" s="333">
        <v>0</v>
      </c>
      <c r="AD195" s="333">
        <v>0</v>
      </c>
      <c r="AE195" s="333"/>
      <c r="AF195" s="333"/>
      <c r="AG195" s="333">
        <f t="shared" si="22"/>
        <v>0</v>
      </c>
      <c r="AH195" s="330"/>
      <c r="AI195" s="330">
        <v>0</v>
      </c>
      <c r="AJ195" s="396">
        <f t="shared" si="23"/>
        <v>0</v>
      </c>
      <c r="AK195" s="563"/>
      <c r="AL195" s="285">
        <f t="shared" si="25"/>
        <v>0</v>
      </c>
      <c r="AM195" s="286"/>
      <c r="AO195" s="330" t="s">
        <v>2676</v>
      </c>
    </row>
    <row r="196" spans="1:41">
      <c r="A196" s="587">
        <f t="shared" si="24"/>
        <v>193</v>
      </c>
      <c r="B196" s="330" t="s">
        <v>1643</v>
      </c>
      <c r="C196" s="330" t="s">
        <v>2679</v>
      </c>
      <c r="D196" s="330" t="s">
        <v>1662</v>
      </c>
      <c r="E196" s="330" t="s">
        <v>1670</v>
      </c>
      <c r="F196" s="330" t="s">
        <v>1671</v>
      </c>
      <c r="G196" s="562">
        <v>1375</v>
      </c>
      <c r="H196" s="562">
        <v>876.73</v>
      </c>
      <c r="I196" s="562">
        <v>982.22</v>
      </c>
      <c r="J196" s="561" t="s">
        <v>1648</v>
      </c>
      <c r="K196" s="330" t="s">
        <v>2680</v>
      </c>
      <c r="L196" s="330" t="s">
        <v>2681</v>
      </c>
      <c r="M196" s="330" t="s">
        <v>2682</v>
      </c>
      <c r="N196" s="330" t="s">
        <v>2683</v>
      </c>
      <c r="O196" s="395">
        <v>45443</v>
      </c>
      <c r="P196" s="333">
        <v>7633904</v>
      </c>
      <c r="Q196" s="330" t="s">
        <v>1653</v>
      </c>
      <c r="R196" s="562">
        <v>0</v>
      </c>
      <c r="S196" s="333">
        <v>0</v>
      </c>
      <c r="T196" s="333">
        <v>-2290173.1499999994</v>
      </c>
      <c r="U196" s="333">
        <f t="shared" ref="U196:U259" si="29">SUM(R196:T196)</f>
        <v>-2290173.1499999994</v>
      </c>
      <c r="V196" s="333">
        <v>0</v>
      </c>
      <c r="W196" s="333">
        <v>0</v>
      </c>
      <c r="X196" s="333">
        <v>0</v>
      </c>
      <c r="Y196" s="333">
        <v>0</v>
      </c>
      <c r="Z196" s="333">
        <v>0</v>
      </c>
      <c r="AA196" s="333">
        <v>0</v>
      </c>
      <c r="AB196" s="333">
        <v>0</v>
      </c>
      <c r="AC196" s="333">
        <v>0</v>
      </c>
      <c r="AD196" s="333">
        <v>0</v>
      </c>
      <c r="AE196" s="333"/>
      <c r="AF196" s="333"/>
      <c r="AG196" s="333">
        <f t="shared" si="22"/>
        <v>-2290173.1499999994</v>
      </c>
      <c r="AH196" s="330"/>
      <c r="AI196" s="330">
        <v>0</v>
      </c>
      <c r="AJ196" s="396">
        <f t="shared" si="23"/>
        <v>-2290173.1499999994</v>
      </c>
      <c r="AK196" s="563"/>
      <c r="AL196" s="285">
        <f t="shared" si="25"/>
        <v>0</v>
      </c>
      <c r="AM196" s="286"/>
      <c r="AO196" s="330" t="s">
        <v>2680</v>
      </c>
    </row>
    <row r="197" spans="1:41">
      <c r="A197" s="587">
        <f t="shared" si="24"/>
        <v>194</v>
      </c>
      <c r="B197" s="330" t="s">
        <v>1643</v>
      </c>
      <c r="C197" s="330" t="s">
        <v>2684</v>
      </c>
      <c r="D197" s="330" t="s">
        <v>1704</v>
      </c>
      <c r="E197" s="330" t="s">
        <v>2685</v>
      </c>
      <c r="F197" s="330" t="s">
        <v>1647</v>
      </c>
      <c r="G197" s="562">
        <v>1114</v>
      </c>
      <c r="H197" s="562">
        <v>683.3</v>
      </c>
      <c r="I197" s="562">
        <v>795.57</v>
      </c>
      <c r="J197" s="561" t="s">
        <v>1648</v>
      </c>
      <c r="K197" s="330" t="s">
        <v>2686</v>
      </c>
      <c r="L197" s="330" t="s">
        <v>2687</v>
      </c>
      <c r="M197" s="330" t="s">
        <v>2688</v>
      </c>
      <c r="N197" s="330" t="s">
        <v>2689</v>
      </c>
      <c r="O197" s="395">
        <v>45512</v>
      </c>
      <c r="P197" s="333">
        <v>6401714</v>
      </c>
      <c r="Q197" s="330" t="s">
        <v>1653</v>
      </c>
      <c r="R197" s="562">
        <v>0</v>
      </c>
      <c r="S197" s="333">
        <v>0</v>
      </c>
      <c r="T197" s="333">
        <v>-1920514.2799999991</v>
      </c>
      <c r="U197" s="333">
        <f t="shared" si="29"/>
        <v>-1920514.2799999991</v>
      </c>
      <c r="V197" s="333">
        <v>0</v>
      </c>
      <c r="W197" s="333">
        <v>0</v>
      </c>
      <c r="X197" s="333">
        <v>0</v>
      </c>
      <c r="Y197" s="333">
        <v>0</v>
      </c>
      <c r="Z197" s="333">
        <v>0</v>
      </c>
      <c r="AA197" s="333">
        <v>0</v>
      </c>
      <c r="AB197" s="333">
        <v>0</v>
      </c>
      <c r="AC197" s="333">
        <v>0</v>
      </c>
      <c r="AD197" s="333">
        <v>0</v>
      </c>
      <c r="AE197" s="333"/>
      <c r="AF197" s="333"/>
      <c r="AG197" s="333">
        <f t="shared" ref="AG197:AG260" si="30">SUM(U197:AF197)</f>
        <v>-1920514.2799999991</v>
      </c>
      <c r="AH197" s="330"/>
      <c r="AI197" s="330">
        <v>0</v>
      </c>
      <c r="AJ197" s="396">
        <f t="shared" ref="AJ197:AJ260" si="31">SUM(U197:AE197)</f>
        <v>-1920514.2799999991</v>
      </c>
      <c r="AK197" s="563"/>
      <c r="AL197" s="285">
        <f t="shared" si="25"/>
        <v>0</v>
      </c>
      <c r="AM197" s="286"/>
      <c r="AO197" s="330" t="s">
        <v>2686</v>
      </c>
    </row>
    <row r="198" spans="1:41">
      <c r="A198" s="587">
        <f t="shared" ref="A198:A261" si="32">A197+1</f>
        <v>195</v>
      </c>
      <c r="B198" s="330" t="s">
        <v>1643</v>
      </c>
      <c r="C198" s="330" t="s">
        <v>2690</v>
      </c>
      <c r="D198" s="330" t="s">
        <v>1662</v>
      </c>
      <c r="E198" s="330" t="s">
        <v>1840</v>
      </c>
      <c r="F198" s="330" t="s">
        <v>1647</v>
      </c>
      <c r="G198" s="562">
        <v>1012</v>
      </c>
      <c r="H198" s="562">
        <v>653.59</v>
      </c>
      <c r="I198" s="562">
        <v>723.02</v>
      </c>
      <c r="J198" s="561" t="s">
        <v>1648</v>
      </c>
      <c r="K198" s="330" t="s">
        <v>2691</v>
      </c>
      <c r="L198" s="330" t="s">
        <v>2692</v>
      </c>
      <c r="M198" s="330" t="s">
        <v>2693</v>
      </c>
      <c r="N198" s="330" t="s">
        <v>2694</v>
      </c>
      <c r="O198" s="395">
        <v>45443</v>
      </c>
      <c r="P198" s="333">
        <v>5668460</v>
      </c>
      <c r="Q198" s="330" t="s">
        <v>1653</v>
      </c>
      <c r="R198" s="562">
        <v>0</v>
      </c>
      <c r="S198" s="333">
        <v>0</v>
      </c>
      <c r="T198" s="333">
        <v>-1607221.1</v>
      </c>
      <c r="U198" s="333">
        <f t="shared" si="29"/>
        <v>-1607221.1</v>
      </c>
      <c r="V198" s="333">
        <v>0</v>
      </c>
      <c r="W198" s="333">
        <v>0</v>
      </c>
      <c r="X198" s="333">
        <v>0</v>
      </c>
      <c r="Y198" s="333">
        <v>0</v>
      </c>
      <c r="Z198" s="333">
        <v>0</v>
      </c>
      <c r="AA198" s="333">
        <v>0</v>
      </c>
      <c r="AB198" s="333">
        <v>0</v>
      </c>
      <c r="AC198" s="333">
        <v>0</v>
      </c>
      <c r="AD198" s="333">
        <v>0</v>
      </c>
      <c r="AE198" s="333"/>
      <c r="AF198" s="333"/>
      <c r="AG198" s="333">
        <f t="shared" si="30"/>
        <v>-1607221.1</v>
      </c>
      <c r="AH198" s="330"/>
      <c r="AI198" s="330">
        <v>0</v>
      </c>
      <c r="AJ198" s="396">
        <f t="shared" si="31"/>
        <v>-1607221.1</v>
      </c>
      <c r="AK198" s="563"/>
      <c r="AL198" s="285">
        <f t="shared" si="25"/>
        <v>0</v>
      </c>
      <c r="AM198" s="286"/>
      <c r="AO198" s="330" t="s">
        <v>2691</v>
      </c>
    </row>
    <row r="199" spans="1:41">
      <c r="A199" s="587">
        <f t="shared" si="32"/>
        <v>196</v>
      </c>
      <c r="B199" s="330" t="s">
        <v>1643</v>
      </c>
      <c r="C199" s="330" t="s">
        <v>2695</v>
      </c>
      <c r="D199" s="330" t="s">
        <v>1662</v>
      </c>
      <c r="E199" s="330" t="s">
        <v>2696</v>
      </c>
      <c r="F199" s="330" t="s">
        <v>1671</v>
      </c>
      <c r="G199" s="562">
        <v>1498</v>
      </c>
      <c r="H199" s="562">
        <v>954.87</v>
      </c>
      <c r="I199" s="562">
        <v>1069.73</v>
      </c>
      <c r="J199" s="561" t="s">
        <v>1648</v>
      </c>
      <c r="K199" s="330" t="s">
        <v>2697</v>
      </c>
      <c r="L199" s="330" t="s">
        <v>2698</v>
      </c>
      <c r="M199" s="330" t="s">
        <v>2699</v>
      </c>
      <c r="N199" s="330" t="s">
        <v>2700</v>
      </c>
      <c r="O199" s="395">
        <v>45548</v>
      </c>
      <c r="P199" s="333">
        <v>9013333</v>
      </c>
      <c r="Q199" s="330" t="s">
        <v>1653</v>
      </c>
      <c r="R199" s="562">
        <v>0</v>
      </c>
      <c r="S199" s="333">
        <v>0</v>
      </c>
      <c r="T199" s="333">
        <v>-2794133.0000000009</v>
      </c>
      <c r="U199" s="333">
        <f t="shared" si="29"/>
        <v>-2794133.0000000009</v>
      </c>
      <c r="V199" s="333">
        <v>0</v>
      </c>
      <c r="W199" s="333">
        <v>0</v>
      </c>
      <c r="X199" s="333">
        <v>0</v>
      </c>
      <c r="Y199" s="333">
        <v>0</v>
      </c>
      <c r="Z199" s="333">
        <v>0</v>
      </c>
      <c r="AA199" s="333">
        <v>0</v>
      </c>
      <c r="AB199" s="333">
        <v>0</v>
      </c>
      <c r="AC199" s="333">
        <v>0</v>
      </c>
      <c r="AD199" s="333">
        <v>0</v>
      </c>
      <c r="AE199" s="333"/>
      <c r="AF199" s="333"/>
      <c r="AG199" s="333">
        <f t="shared" si="30"/>
        <v>-2794133.0000000009</v>
      </c>
      <c r="AH199" s="330"/>
      <c r="AI199" s="330">
        <v>0</v>
      </c>
      <c r="AJ199" s="396">
        <f t="shared" si="31"/>
        <v>-2794133.0000000009</v>
      </c>
      <c r="AK199" s="563"/>
      <c r="AL199" s="285">
        <f t="shared" si="25"/>
        <v>0</v>
      </c>
      <c r="AM199" s="286"/>
      <c r="AO199" s="330" t="s">
        <v>2697</v>
      </c>
    </row>
    <row r="200" spans="1:41">
      <c r="A200" s="587">
        <f t="shared" si="32"/>
        <v>197</v>
      </c>
      <c r="B200" s="330" t="s">
        <v>1643</v>
      </c>
      <c r="C200" s="330" t="s">
        <v>2701</v>
      </c>
      <c r="D200" s="330" t="s">
        <v>1662</v>
      </c>
      <c r="E200" s="330" t="s">
        <v>1678</v>
      </c>
      <c r="F200" s="330" t="s">
        <v>1647</v>
      </c>
      <c r="G200" s="562">
        <v>1012</v>
      </c>
      <c r="H200" s="562">
        <v>653.59</v>
      </c>
      <c r="I200" s="562">
        <v>723.02</v>
      </c>
      <c r="J200" s="561" t="s">
        <v>1648</v>
      </c>
      <c r="K200" s="330" t="s">
        <v>2702</v>
      </c>
      <c r="L200" s="330" t="s">
        <v>2703</v>
      </c>
      <c r="M200" s="330" t="s">
        <v>2704</v>
      </c>
      <c r="N200" s="330" t="s">
        <v>2705</v>
      </c>
      <c r="O200" s="395">
        <v>45408</v>
      </c>
      <c r="P200" s="333">
        <v>5698827</v>
      </c>
      <c r="Q200" s="330" t="s">
        <v>1653</v>
      </c>
      <c r="R200" s="562">
        <v>0</v>
      </c>
      <c r="S200" s="333">
        <v>0</v>
      </c>
      <c r="T200" s="333">
        <v>-1589061.5799999998</v>
      </c>
      <c r="U200" s="333">
        <f t="shared" si="29"/>
        <v>-1589061.5799999998</v>
      </c>
      <c r="V200" s="333">
        <v>-150000</v>
      </c>
      <c r="W200" s="333">
        <v>0</v>
      </c>
      <c r="X200" s="333">
        <v>0</v>
      </c>
      <c r="Y200" s="333">
        <v>0</v>
      </c>
      <c r="Z200" s="333">
        <v>0</v>
      </c>
      <c r="AA200" s="333">
        <v>0</v>
      </c>
      <c r="AB200" s="333">
        <v>0</v>
      </c>
      <c r="AC200" s="333">
        <v>0</v>
      </c>
      <c r="AD200" s="333">
        <v>0</v>
      </c>
      <c r="AE200" s="333"/>
      <c r="AF200" s="333"/>
      <c r="AG200" s="333">
        <f t="shared" si="30"/>
        <v>-1739061.5799999998</v>
      </c>
      <c r="AH200" s="330"/>
      <c r="AI200" s="330">
        <v>0</v>
      </c>
      <c r="AJ200" s="396">
        <f t="shared" si="31"/>
        <v>-1739061.5799999998</v>
      </c>
      <c r="AK200" s="563"/>
      <c r="AL200" s="285">
        <f t="shared" ref="AL200:AL202" si="33">+AC200+AI200</f>
        <v>0</v>
      </c>
      <c r="AM200" s="286"/>
      <c r="AO200" s="330" t="s">
        <v>2702</v>
      </c>
    </row>
    <row r="201" spans="1:41">
      <c r="A201" s="587">
        <f t="shared" si="32"/>
        <v>198</v>
      </c>
      <c r="B201" s="330" t="s">
        <v>1643</v>
      </c>
      <c r="C201" s="330" t="s">
        <v>2706</v>
      </c>
      <c r="D201" s="330" t="s">
        <v>1677</v>
      </c>
      <c r="E201" s="330" t="s">
        <v>2394</v>
      </c>
      <c r="F201" s="330" t="s">
        <v>1647</v>
      </c>
      <c r="G201" s="562">
        <v>1114</v>
      </c>
      <c r="H201" s="562">
        <v>683.3</v>
      </c>
      <c r="I201" s="562">
        <v>795.57</v>
      </c>
      <c r="J201" s="561" t="s">
        <v>1648</v>
      </c>
      <c r="K201" s="330" t="s">
        <v>2707</v>
      </c>
      <c r="L201" s="330" t="s">
        <v>2708</v>
      </c>
      <c r="M201" s="330" t="s">
        <v>2709</v>
      </c>
      <c r="N201" s="330" t="s">
        <v>12</v>
      </c>
      <c r="O201" s="395"/>
      <c r="P201" s="333">
        <v>6955334</v>
      </c>
      <c r="Q201" s="330" t="s">
        <v>1660</v>
      </c>
      <c r="R201" s="562">
        <v>0</v>
      </c>
      <c r="S201" s="333">
        <v>0</v>
      </c>
      <c r="T201" s="333">
        <v>0</v>
      </c>
      <c r="U201" s="333">
        <f t="shared" si="29"/>
        <v>0</v>
      </c>
      <c r="V201" s="333">
        <v>0</v>
      </c>
      <c r="W201" s="333">
        <v>0</v>
      </c>
      <c r="X201" s="333">
        <v>0</v>
      </c>
      <c r="Y201" s="333">
        <v>0</v>
      </c>
      <c r="Z201" s="333">
        <v>0</v>
      </c>
      <c r="AA201" s="333">
        <v>0</v>
      </c>
      <c r="AB201" s="333">
        <v>0</v>
      </c>
      <c r="AC201" s="333">
        <v>0</v>
      </c>
      <c r="AD201" s="333">
        <v>0</v>
      </c>
      <c r="AE201" s="333"/>
      <c r="AF201" s="333"/>
      <c r="AG201" s="333">
        <f t="shared" si="30"/>
        <v>0</v>
      </c>
      <c r="AH201" s="330"/>
      <c r="AI201" s="330">
        <v>0</v>
      </c>
      <c r="AJ201" s="396">
        <f t="shared" si="31"/>
        <v>0</v>
      </c>
      <c r="AK201" s="563"/>
      <c r="AL201" s="285">
        <f t="shared" si="33"/>
        <v>0</v>
      </c>
      <c r="AM201" s="286"/>
      <c r="AO201" s="330" t="s">
        <v>2707</v>
      </c>
    </row>
    <row r="202" spans="1:41">
      <c r="A202" s="587">
        <f t="shared" si="32"/>
        <v>199</v>
      </c>
      <c r="B202" s="330" t="s">
        <v>1643</v>
      </c>
      <c r="C202" s="330" t="s">
        <v>2710</v>
      </c>
      <c r="D202" s="330" t="s">
        <v>1662</v>
      </c>
      <c r="E202" s="330" t="s">
        <v>2085</v>
      </c>
      <c r="F202" s="330" t="s">
        <v>1671</v>
      </c>
      <c r="G202" s="562">
        <v>1375</v>
      </c>
      <c r="H202" s="562">
        <v>876.73</v>
      </c>
      <c r="I202" s="562">
        <v>982.22</v>
      </c>
      <c r="J202" s="561" t="s">
        <v>1648</v>
      </c>
      <c r="K202" s="330" t="s">
        <v>2711</v>
      </c>
      <c r="L202" s="330" t="s">
        <v>2708</v>
      </c>
      <c r="M202" s="330" t="s">
        <v>2709</v>
      </c>
      <c r="N202" s="330" t="s">
        <v>2712</v>
      </c>
      <c r="O202" s="395">
        <v>45826</v>
      </c>
      <c r="P202" s="333">
        <v>8366000</v>
      </c>
      <c r="Q202" s="330" t="s">
        <v>1653</v>
      </c>
      <c r="R202" s="562">
        <v>0</v>
      </c>
      <c r="S202" s="333">
        <v>-615700</v>
      </c>
      <c r="T202" s="333">
        <v>-266355</v>
      </c>
      <c r="U202" s="333">
        <f t="shared" si="29"/>
        <v>-882055</v>
      </c>
      <c r="V202" s="333">
        <v>-2342795</v>
      </c>
      <c r="W202" s="333">
        <v>0</v>
      </c>
      <c r="X202" s="333">
        <v>0</v>
      </c>
      <c r="Y202" s="333">
        <v>0</v>
      </c>
      <c r="Z202" s="333">
        <v>615700</v>
      </c>
      <c r="AA202" s="333">
        <v>-98800</v>
      </c>
      <c r="AB202" s="333">
        <v>0</v>
      </c>
      <c r="AC202" s="333">
        <v>125490</v>
      </c>
      <c r="AD202" s="333">
        <v>0</v>
      </c>
      <c r="AE202" s="333"/>
      <c r="AF202" s="333"/>
      <c r="AG202" s="333">
        <f t="shared" si="30"/>
        <v>-2582460</v>
      </c>
      <c r="AH202" s="330"/>
      <c r="AI202" s="330">
        <v>-125490</v>
      </c>
      <c r="AJ202" s="396">
        <f t="shared" si="31"/>
        <v>-2582460</v>
      </c>
      <c r="AK202" s="563"/>
      <c r="AL202" s="285">
        <f t="shared" si="33"/>
        <v>0</v>
      </c>
      <c r="AM202" s="286"/>
      <c r="AO202" s="330" t="s">
        <v>2711</v>
      </c>
    </row>
    <row r="203" spans="1:41">
      <c r="A203" s="587">
        <f t="shared" si="32"/>
        <v>200</v>
      </c>
      <c r="B203" s="330" t="s">
        <v>1643</v>
      </c>
      <c r="C203" s="330" t="s">
        <v>2713</v>
      </c>
      <c r="D203" s="330" t="s">
        <v>1655</v>
      </c>
      <c r="E203" s="330" t="s">
        <v>1691</v>
      </c>
      <c r="F203" s="330" t="s">
        <v>1647</v>
      </c>
      <c r="G203" s="562">
        <v>1012</v>
      </c>
      <c r="H203" s="562">
        <v>653.59</v>
      </c>
      <c r="I203" s="562">
        <v>723.02</v>
      </c>
      <c r="J203" s="561" t="s">
        <v>1810</v>
      </c>
      <c r="K203" s="330" t="s">
        <v>2714</v>
      </c>
      <c r="L203" s="330" t="s">
        <v>2715</v>
      </c>
      <c r="M203" s="330" t="s">
        <v>2716</v>
      </c>
      <c r="N203" s="330" t="s">
        <v>12</v>
      </c>
      <c r="O203" s="395"/>
      <c r="P203" s="333">
        <v>6133905</v>
      </c>
      <c r="Q203" s="330" t="s">
        <v>1660</v>
      </c>
      <c r="R203" s="562">
        <v>0</v>
      </c>
      <c r="S203" s="333">
        <v>0</v>
      </c>
      <c r="T203" s="333">
        <v>-526912</v>
      </c>
      <c r="U203" s="333">
        <f t="shared" si="29"/>
        <v>-526912</v>
      </c>
      <c r="V203" s="333">
        <v>0</v>
      </c>
      <c r="W203" s="333">
        <v>0</v>
      </c>
      <c r="X203" s="333">
        <v>0</v>
      </c>
      <c r="Y203" s="333">
        <v>0</v>
      </c>
      <c r="Z203" s="333">
        <v>0</v>
      </c>
      <c r="AA203" s="333">
        <v>0</v>
      </c>
      <c r="AB203" s="333">
        <v>0</v>
      </c>
      <c r="AC203" s="333">
        <v>0</v>
      </c>
      <c r="AD203" s="333">
        <v>0</v>
      </c>
      <c r="AE203" s="333"/>
      <c r="AF203" s="333"/>
      <c r="AG203" s="333">
        <f t="shared" si="30"/>
        <v>-526912</v>
      </c>
      <c r="AH203" s="330"/>
      <c r="AI203" s="330">
        <v>0</v>
      </c>
      <c r="AJ203" s="396">
        <f t="shared" si="31"/>
        <v>-526912</v>
      </c>
      <c r="AK203" s="563"/>
      <c r="AL203" s="285">
        <f t="shared" ref="AL203:AL266" si="34">+AC203-AI203</f>
        <v>0</v>
      </c>
      <c r="AM203" s="286"/>
      <c r="AO203" s="330" t="s">
        <v>2714</v>
      </c>
    </row>
    <row r="204" spans="1:41">
      <c r="A204" s="587">
        <f t="shared" si="32"/>
        <v>201</v>
      </c>
      <c r="B204" s="330" t="s">
        <v>1643</v>
      </c>
      <c r="C204" s="330" t="s">
        <v>2717</v>
      </c>
      <c r="D204" s="330" t="s">
        <v>1704</v>
      </c>
      <c r="E204" s="330" t="s">
        <v>2718</v>
      </c>
      <c r="F204" s="330" t="s">
        <v>1671</v>
      </c>
      <c r="G204" s="562">
        <v>1375</v>
      </c>
      <c r="H204" s="562">
        <v>876.73</v>
      </c>
      <c r="I204" s="562">
        <v>982.22</v>
      </c>
      <c r="J204" s="561" t="s">
        <v>1648</v>
      </c>
      <c r="K204" s="330" t="s">
        <v>2719</v>
      </c>
      <c r="L204" s="330" t="s">
        <v>2720</v>
      </c>
      <c r="M204" s="330" t="s">
        <v>2721</v>
      </c>
      <c r="N204" s="330" t="s">
        <v>2722</v>
      </c>
      <c r="O204" s="395">
        <v>45845</v>
      </c>
      <c r="P204" s="333">
        <v>8633929</v>
      </c>
      <c r="Q204" s="330" t="s">
        <v>1653</v>
      </c>
      <c r="R204" s="562">
        <v>0</v>
      </c>
      <c r="S204" s="333">
        <v>0</v>
      </c>
      <c r="T204" s="333">
        <v>0</v>
      </c>
      <c r="U204" s="333">
        <f t="shared" si="29"/>
        <v>0</v>
      </c>
      <c r="V204" s="333">
        <v>-2806026.93</v>
      </c>
      <c r="W204" s="333">
        <v>0</v>
      </c>
      <c r="X204" s="333">
        <v>0</v>
      </c>
      <c r="Y204" s="333">
        <v>0</v>
      </c>
      <c r="Z204" s="333">
        <v>634400</v>
      </c>
      <c r="AA204" s="333">
        <v>-634400</v>
      </c>
      <c r="AB204" s="333">
        <v>0</v>
      </c>
      <c r="AC204" s="333">
        <v>129508.93999999971</v>
      </c>
      <c r="AD204" s="333">
        <v>0</v>
      </c>
      <c r="AE204" s="333"/>
      <c r="AF204" s="333"/>
      <c r="AG204" s="333">
        <f t="shared" si="30"/>
        <v>-2676517.9900000002</v>
      </c>
      <c r="AH204" s="330"/>
      <c r="AI204" s="330">
        <v>-129508.94</v>
      </c>
      <c r="AJ204" s="396">
        <f t="shared" si="31"/>
        <v>-2676517.9900000002</v>
      </c>
      <c r="AK204" s="563"/>
      <c r="AL204" s="285">
        <f>+AC204+AI204</f>
        <v>-2.9103830456733704E-10</v>
      </c>
      <c r="AM204" s="286"/>
      <c r="AO204" s="330" t="s">
        <v>2719</v>
      </c>
    </row>
    <row r="205" spans="1:41">
      <c r="A205" s="587">
        <f t="shared" si="32"/>
        <v>202</v>
      </c>
      <c r="B205" s="330" t="s">
        <v>1643</v>
      </c>
      <c r="C205" s="330" t="s">
        <v>2723</v>
      </c>
      <c r="D205" s="330" t="s">
        <v>1655</v>
      </c>
      <c r="E205" s="330" t="s">
        <v>1678</v>
      </c>
      <c r="F205" s="330" t="s">
        <v>1647</v>
      </c>
      <c r="G205" s="562">
        <v>1012</v>
      </c>
      <c r="H205" s="562">
        <v>653.59</v>
      </c>
      <c r="I205" s="562">
        <v>723.02</v>
      </c>
      <c r="J205" s="561" t="s">
        <v>1679</v>
      </c>
      <c r="K205" s="330" t="s">
        <v>2724</v>
      </c>
      <c r="L205" s="330" t="s">
        <v>2725</v>
      </c>
      <c r="M205" s="330" t="s">
        <v>2726</v>
      </c>
      <c r="N205" s="330" t="s">
        <v>12</v>
      </c>
      <c r="O205" s="395"/>
      <c r="P205" s="333">
        <v>6900000</v>
      </c>
      <c r="Q205" s="330" t="s">
        <v>1660</v>
      </c>
      <c r="R205" s="562">
        <v>0</v>
      </c>
      <c r="S205" s="333">
        <v>0</v>
      </c>
      <c r="T205" s="333">
        <v>0</v>
      </c>
      <c r="U205" s="333">
        <f t="shared" si="29"/>
        <v>0</v>
      </c>
      <c r="V205" s="333">
        <v>0</v>
      </c>
      <c r="W205" s="333">
        <v>0</v>
      </c>
      <c r="X205" s="333">
        <v>0</v>
      </c>
      <c r="Y205" s="333">
        <v>0</v>
      </c>
      <c r="Z205" s="333">
        <v>0</v>
      </c>
      <c r="AA205" s="333">
        <v>0</v>
      </c>
      <c r="AB205" s="333">
        <v>0</v>
      </c>
      <c r="AC205" s="333">
        <v>0</v>
      </c>
      <c r="AD205" s="333">
        <v>0</v>
      </c>
      <c r="AE205" s="333"/>
      <c r="AF205" s="333"/>
      <c r="AG205" s="333">
        <f t="shared" si="30"/>
        <v>0</v>
      </c>
      <c r="AH205" s="330"/>
      <c r="AI205" s="330">
        <v>0</v>
      </c>
      <c r="AJ205" s="396">
        <f t="shared" si="31"/>
        <v>0</v>
      </c>
      <c r="AK205" s="563"/>
      <c r="AL205" s="285">
        <f t="shared" si="34"/>
        <v>0</v>
      </c>
      <c r="AM205" s="286"/>
      <c r="AO205" s="330" t="s">
        <v>2724</v>
      </c>
    </row>
    <row r="206" spans="1:41">
      <c r="A206" s="587">
        <f t="shared" si="32"/>
        <v>203</v>
      </c>
      <c r="B206" s="330" t="s">
        <v>1643</v>
      </c>
      <c r="C206" s="330" t="s">
        <v>2727</v>
      </c>
      <c r="D206" s="330" t="s">
        <v>1704</v>
      </c>
      <c r="E206" s="330" t="s">
        <v>2227</v>
      </c>
      <c r="F206" s="330" t="s">
        <v>1647</v>
      </c>
      <c r="G206" s="562">
        <v>1012</v>
      </c>
      <c r="H206" s="562">
        <v>653.59</v>
      </c>
      <c r="I206" s="562">
        <v>723.02</v>
      </c>
      <c r="J206" s="561" t="s">
        <v>1679</v>
      </c>
      <c r="K206" s="330" t="s">
        <v>2728</v>
      </c>
      <c r="L206" s="330" t="s">
        <v>2729</v>
      </c>
      <c r="M206" s="330" t="s">
        <v>2730</v>
      </c>
      <c r="N206" s="330" t="s">
        <v>2731</v>
      </c>
      <c r="O206" s="395">
        <v>45468</v>
      </c>
      <c r="P206" s="333">
        <v>5806285</v>
      </c>
      <c r="Q206" s="330" t="s">
        <v>1653</v>
      </c>
      <c r="R206" s="562">
        <v>0</v>
      </c>
      <c r="S206" s="333">
        <v>0</v>
      </c>
      <c r="T206" s="333">
        <v>-1799948.5699999998</v>
      </c>
      <c r="U206" s="333">
        <f t="shared" si="29"/>
        <v>-1799948.5699999998</v>
      </c>
      <c r="V206" s="333">
        <v>0</v>
      </c>
      <c r="W206" s="333">
        <v>0</v>
      </c>
      <c r="X206" s="333">
        <v>0</v>
      </c>
      <c r="Y206" s="333">
        <v>0</v>
      </c>
      <c r="Z206" s="333">
        <v>0</v>
      </c>
      <c r="AA206" s="333">
        <v>0</v>
      </c>
      <c r="AB206" s="333">
        <v>0</v>
      </c>
      <c r="AC206" s="333">
        <v>0</v>
      </c>
      <c r="AD206" s="333">
        <v>0</v>
      </c>
      <c r="AE206" s="333"/>
      <c r="AF206" s="333"/>
      <c r="AG206" s="333">
        <f t="shared" si="30"/>
        <v>-1799948.5699999998</v>
      </c>
      <c r="AH206" s="330"/>
      <c r="AI206" s="330">
        <v>0</v>
      </c>
      <c r="AJ206" s="396">
        <f t="shared" si="31"/>
        <v>-1799948.5699999998</v>
      </c>
      <c r="AK206" s="563"/>
      <c r="AL206" s="285">
        <f t="shared" si="34"/>
        <v>0</v>
      </c>
      <c r="AM206" s="286"/>
      <c r="AO206" s="330" t="s">
        <v>2728</v>
      </c>
    </row>
    <row r="207" spans="1:41">
      <c r="A207" s="587">
        <f t="shared" si="32"/>
        <v>204</v>
      </c>
      <c r="B207" s="330" t="s">
        <v>1643</v>
      </c>
      <c r="C207" s="330" t="s">
        <v>2732</v>
      </c>
      <c r="D207" s="330" t="s">
        <v>1662</v>
      </c>
      <c r="E207" s="330" t="s">
        <v>2733</v>
      </c>
      <c r="F207" s="330" t="s">
        <v>1647</v>
      </c>
      <c r="G207" s="562">
        <v>1012</v>
      </c>
      <c r="H207" s="562">
        <v>653.59</v>
      </c>
      <c r="I207" s="562">
        <v>723.02</v>
      </c>
      <c r="J207" s="561" t="s">
        <v>1810</v>
      </c>
      <c r="K207" s="330" t="s">
        <v>2734</v>
      </c>
      <c r="L207" s="330" t="s">
        <v>2735</v>
      </c>
      <c r="M207" s="330" t="s">
        <v>2736</v>
      </c>
      <c r="N207" s="330" t="s">
        <v>2737</v>
      </c>
      <c r="O207" s="395">
        <v>45467</v>
      </c>
      <c r="P207" s="333">
        <v>5668460</v>
      </c>
      <c r="Q207" s="330" t="s">
        <v>1653</v>
      </c>
      <c r="R207" s="562">
        <v>0</v>
      </c>
      <c r="S207" s="333">
        <v>0</v>
      </c>
      <c r="T207" s="333">
        <v>-1740217.7000000002</v>
      </c>
      <c r="U207" s="333">
        <f t="shared" si="29"/>
        <v>-1740217.7000000002</v>
      </c>
      <c r="V207" s="333">
        <v>0</v>
      </c>
      <c r="W207" s="333">
        <v>0</v>
      </c>
      <c r="X207" s="333">
        <v>0</v>
      </c>
      <c r="Y207" s="333">
        <v>0</v>
      </c>
      <c r="Z207" s="333">
        <v>0</v>
      </c>
      <c r="AA207" s="333">
        <v>0</v>
      </c>
      <c r="AB207" s="333">
        <v>0</v>
      </c>
      <c r="AC207" s="333">
        <v>0</v>
      </c>
      <c r="AD207" s="333">
        <v>0</v>
      </c>
      <c r="AE207" s="333"/>
      <c r="AF207" s="333"/>
      <c r="AG207" s="333">
        <f t="shared" si="30"/>
        <v>-1740217.7000000002</v>
      </c>
      <c r="AH207" s="330"/>
      <c r="AI207" s="330">
        <v>0</v>
      </c>
      <c r="AJ207" s="396">
        <f t="shared" si="31"/>
        <v>-1740217.7000000002</v>
      </c>
      <c r="AK207" s="563"/>
      <c r="AL207" s="285">
        <f>+AC207+AI207</f>
        <v>0</v>
      </c>
      <c r="AM207" s="286"/>
      <c r="AO207" s="330" t="s">
        <v>2734</v>
      </c>
    </row>
    <row r="208" spans="1:41">
      <c r="A208" s="587">
        <f t="shared" si="32"/>
        <v>205</v>
      </c>
      <c r="B208" s="330" t="s">
        <v>1643</v>
      </c>
      <c r="C208" s="330" t="s">
        <v>2738</v>
      </c>
      <c r="D208" s="330" t="s">
        <v>1655</v>
      </c>
      <c r="E208" s="330" t="s">
        <v>2739</v>
      </c>
      <c r="F208" s="330" t="s">
        <v>1647</v>
      </c>
      <c r="G208" s="562">
        <v>1012</v>
      </c>
      <c r="H208" s="562">
        <v>653.59</v>
      </c>
      <c r="I208" s="562">
        <v>723.02</v>
      </c>
      <c r="J208" s="561" t="s">
        <v>1648</v>
      </c>
      <c r="K208" s="330" t="s">
        <v>2740</v>
      </c>
      <c r="L208" s="330" t="s">
        <v>2741</v>
      </c>
      <c r="M208" s="330" t="s">
        <v>2742</v>
      </c>
      <c r="N208" s="330" t="s">
        <v>12</v>
      </c>
      <c r="O208" s="395"/>
      <c r="P208" s="333">
        <v>6089238</v>
      </c>
      <c r="Q208" s="330" t="s">
        <v>1660</v>
      </c>
      <c r="R208" s="562">
        <v>0</v>
      </c>
      <c r="S208" s="333">
        <v>0</v>
      </c>
      <c r="T208" s="333">
        <v>-648300</v>
      </c>
      <c r="U208" s="333">
        <f t="shared" si="29"/>
        <v>-648300</v>
      </c>
      <c r="V208" s="333">
        <v>648300</v>
      </c>
      <c r="W208" s="333">
        <v>0</v>
      </c>
      <c r="X208" s="333">
        <v>0</v>
      </c>
      <c r="Y208" s="333">
        <v>0</v>
      </c>
      <c r="Z208" s="333">
        <v>0</v>
      </c>
      <c r="AA208" s="333">
        <v>0</v>
      </c>
      <c r="AB208" s="333">
        <v>0</v>
      </c>
      <c r="AC208" s="333">
        <v>0</v>
      </c>
      <c r="AD208" s="333">
        <v>0</v>
      </c>
      <c r="AE208" s="333"/>
      <c r="AF208" s="333"/>
      <c r="AG208" s="333">
        <f t="shared" si="30"/>
        <v>0</v>
      </c>
      <c r="AH208" s="330"/>
      <c r="AI208" s="330">
        <v>0</v>
      </c>
      <c r="AJ208" s="396">
        <f t="shared" si="31"/>
        <v>0</v>
      </c>
      <c r="AK208" s="563"/>
      <c r="AL208" s="285">
        <f t="shared" si="34"/>
        <v>0</v>
      </c>
      <c r="AM208" s="286"/>
      <c r="AO208" s="330" t="s">
        <v>2740</v>
      </c>
    </row>
    <row r="209" spans="1:41">
      <c r="A209" s="587">
        <f t="shared" si="32"/>
        <v>206</v>
      </c>
      <c r="B209" s="330" t="s">
        <v>1643</v>
      </c>
      <c r="C209" s="330" t="s">
        <v>2743</v>
      </c>
      <c r="D209" s="330" t="s">
        <v>1645</v>
      </c>
      <c r="E209" s="330" t="s">
        <v>2744</v>
      </c>
      <c r="F209" s="330" t="s">
        <v>1671</v>
      </c>
      <c r="G209" s="562">
        <v>1498</v>
      </c>
      <c r="H209" s="562">
        <v>954.87</v>
      </c>
      <c r="I209" s="562">
        <v>1069.73</v>
      </c>
      <c r="J209" s="561" t="s">
        <v>1648</v>
      </c>
      <c r="K209" s="330" t="s">
        <v>2745</v>
      </c>
      <c r="L209" s="330" t="s">
        <v>2746</v>
      </c>
      <c r="M209" s="330" t="s">
        <v>2747</v>
      </c>
      <c r="N209" s="330" t="s">
        <v>2748</v>
      </c>
      <c r="O209" s="395">
        <v>45467</v>
      </c>
      <c r="P209" s="333">
        <v>8544571</v>
      </c>
      <c r="Q209" s="330" t="s">
        <v>1653</v>
      </c>
      <c r="R209" s="562">
        <v>0</v>
      </c>
      <c r="S209" s="333">
        <v>0</v>
      </c>
      <c r="T209" s="333">
        <v>-2648181.129999999</v>
      </c>
      <c r="U209" s="333">
        <f t="shared" si="29"/>
        <v>-2648181.129999999</v>
      </c>
      <c r="V209" s="333">
        <v>-635</v>
      </c>
      <c r="W209" s="333">
        <v>0</v>
      </c>
      <c r="X209" s="333">
        <v>0</v>
      </c>
      <c r="Y209" s="333">
        <v>0</v>
      </c>
      <c r="Z209" s="333">
        <v>0</v>
      </c>
      <c r="AA209" s="333">
        <v>0</v>
      </c>
      <c r="AB209" s="333">
        <v>0</v>
      </c>
      <c r="AC209" s="333">
        <v>0</v>
      </c>
      <c r="AD209" s="333">
        <v>0</v>
      </c>
      <c r="AE209" s="333"/>
      <c r="AF209" s="333"/>
      <c r="AG209" s="333">
        <f t="shared" si="30"/>
        <v>-2648816.129999999</v>
      </c>
      <c r="AH209" s="330"/>
      <c r="AI209" s="330">
        <v>0</v>
      </c>
      <c r="AJ209" s="396">
        <f t="shared" si="31"/>
        <v>-2648816.129999999</v>
      </c>
      <c r="AK209" s="563"/>
      <c r="AL209" s="285">
        <f t="shared" si="34"/>
        <v>0</v>
      </c>
      <c r="AM209" s="286"/>
      <c r="AO209" s="330" t="s">
        <v>2745</v>
      </c>
    </row>
    <row r="210" spans="1:41">
      <c r="A210" s="587">
        <f t="shared" si="32"/>
        <v>207</v>
      </c>
      <c r="B210" s="330" t="s">
        <v>1643</v>
      </c>
      <c r="C210" s="330" t="s">
        <v>2749</v>
      </c>
      <c r="D210" s="330" t="s">
        <v>1662</v>
      </c>
      <c r="E210" s="330" t="s">
        <v>2002</v>
      </c>
      <c r="F210" s="330" t="s">
        <v>1647</v>
      </c>
      <c r="G210" s="562">
        <v>1114</v>
      </c>
      <c r="H210" s="562">
        <v>683.3</v>
      </c>
      <c r="I210" s="562">
        <v>795.57</v>
      </c>
      <c r="J210" s="561" t="s">
        <v>1810</v>
      </c>
      <c r="K210" s="330" t="s">
        <v>2750</v>
      </c>
      <c r="L210" s="330" t="s">
        <v>2751</v>
      </c>
      <c r="M210" s="330" t="s">
        <v>2752</v>
      </c>
      <c r="N210" s="330" t="s">
        <v>2753</v>
      </c>
      <c r="O210" s="395">
        <v>45457</v>
      </c>
      <c r="P210" s="333">
        <v>6248385</v>
      </c>
      <c r="Q210" s="330" t="s">
        <v>1653</v>
      </c>
      <c r="R210" s="562">
        <v>0</v>
      </c>
      <c r="S210" s="333">
        <v>0</v>
      </c>
      <c r="T210" s="333">
        <v>-1740175.0799999996</v>
      </c>
      <c r="U210" s="333">
        <f t="shared" si="29"/>
        <v>-1740175.0799999996</v>
      </c>
      <c r="V210" s="333">
        <v>-171825</v>
      </c>
      <c r="W210" s="333">
        <v>0</v>
      </c>
      <c r="X210" s="333">
        <v>0</v>
      </c>
      <c r="Y210" s="333">
        <v>0</v>
      </c>
      <c r="Z210" s="333">
        <v>0</v>
      </c>
      <c r="AA210" s="333">
        <v>0</v>
      </c>
      <c r="AB210" s="333">
        <v>0</v>
      </c>
      <c r="AC210" s="333">
        <v>0</v>
      </c>
      <c r="AD210" s="333">
        <v>0</v>
      </c>
      <c r="AE210" s="333"/>
      <c r="AF210" s="333"/>
      <c r="AG210" s="333">
        <f t="shared" si="30"/>
        <v>-1912000.0799999996</v>
      </c>
      <c r="AH210" s="330"/>
      <c r="AI210" s="330">
        <v>0</v>
      </c>
      <c r="AJ210" s="396">
        <f t="shared" si="31"/>
        <v>-1912000.0799999996</v>
      </c>
      <c r="AK210" s="563"/>
      <c r="AL210" s="285">
        <f t="shared" si="34"/>
        <v>0</v>
      </c>
      <c r="AM210" s="286"/>
      <c r="AO210" s="330" t="s">
        <v>2750</v>
      </c>
    </row>
    <row r="211" spans="1:41">
      <c r="A211" s="587">
        <f t="shared" si="32"/>
        <v>208</v>
      </c>
      <c r="B211" s="330" t="s">
        <v>1643</v>
      </c>
      <c r="C211" s="330" t="s">
        <v>2754</v>
      </c>
      <c r="D211" s="330" t="s">
        <v>1746</v>
      </c>
      <c r="E211" s="330" t="s">
        <v>1717</v>
      </c>
      <c r="F211" s="330" t="s">
        <v>1647</v>
      </c>
      <c r="G211" s="562">
        <v>1114</v>
      </c>
      <c r="H211" s="562">
        <v>683.3</v>
      </c>
      <c r="I211" s="562">
        <v>795.57</v>
      </c>
      <c r="J211" s="561" t="s">
        <v>1648</v>
      </c>
      <c r="K211" s="330" t="s">
        <v>2755</v>
      </c>
      <c r="L211" s="330" t="s">
        <v>2756</v>
      </c>
      <c r="M211" s="330" t="s">
        <v>2757</v>
      </c>
      <c r="N211" s="330" t="s">
        <v>2758</v>
      </c>
      <c r="O211" s="395">
        <v>45455</v>
      </c>
      <c r="P211" s="333">
        <v>6304075</v>
      </c>
      <c r="Q211" s="330" t="s">
        <v>1653</v>
      </c>
      <c r="R211" s="562">
        <v>0</v>
      </c>
      <c r="S211" s="333">
        <v>0</v>
      </c>
      <c r="T211" s="333">
        <v>-1951405.8600000003</v>
      </c>
      <c r="U211" s="333">
        <f t="shared" si="29"/>
        <v>-1951405.8600000003</v>
      </c>
      <c r="V211" s="333">
        <v>0</v>
      </c>
      <c r="W211" s="333">
        <v>0</v>
      </c>
      <c r="X211" s="333">
        <v>0</v>
      </c>
      <c r="Y211" s="333">
        <v>0</v>
      </c>
      <c r="Z211" s="333">
        <v>0</v>
      </c>
      <c r="AA211" s="333">
        <v>0</v>
      </c>
      <c r="AB211" s="333">
        <v>0</v>
      </c>
      <c r="AC211" s="333">
        <v>0</v>
      </c>
      <c r="AD211" s="333">
        <v>0</v>
      </c>
      <c r="AE211" s="333"/>
      <c r="AF211" s="333"/>
      <c r="AG211" s="333">
        <f t="shared" si="30"/>
        <v>-1951405.8600000003</v>
      </c>
      <c r="AH211" s="330"/>
      <c r="AI211" s="330">
        <v>0</v>
      </c>
      <c r="AJ211" s="396">
        <f t="shared" si="31"/>
        <v>-1951405.8600000003</v>
      </c>
      <c r="AK211" s="563"/>
      <c r="AL211" s="285">
        <f t="shared" si="34"/>
        <v>0</v>
      </c>
      <c r="AM211" s="286"/>
      <c r="AO211" s="330" t="s">
        <v>2755</v>
      </c>
    </row>
    <row r="212" spans="1:41">
      <c r="A212" s="587">
        <f t="shared" si="32"/>
        <v>209</v>
      </c>
      <c r="B212" s="330" t="s">
        <v>1643</v>
      </c>
      <c r="C212" s="330" t="s">
        <v>2759</v>
      </c>
      <c r="D212" s="330" t="s">
        <v>1746</v>
      </c>
      <c r="E212" s="330" t="s">
        <v>2280</v>
      </c>
      <c r="F212" s="330" t="s">
        <v>1647</v>
      </c>
      <c r="G212" s="562">
        <v>1114</v>
      </c>
      <c r="H212" s="562">
        <v>683.3</v>
      </c>
      <c r="I212" s="562">
        <v>795.57</v>
      </c>
      <c r="J212" s="561" t="s">
        <v>1648</v>
      </c>
      <c r="K212" s="330" t="s">
        <v>2760</v>
      </c>
      <c r="L212" s="330" t="s">
        <v>2761</v>
      </c>
      <c r="M212" s="330" t="s">
        <v>2762</v>
      </c>
      <c r="N212" s="330" t="s">
        <v>2763</v>
      </c>
      <c r="O212" s="395">
        <v>45443</v>
      </c>
      <c r="P212" s="333">
        <v>6304075</v>
      </c>
      <c r="Q212" s="330" t="s">
        <v>1653</v>
      </c>
      <c r="R212" s="562">
        <v>0</v>
      </c>
      <c r="S212" s="333">
        <v>0</v>
      </c>
      <c r="T212" s="333">
        <v>-1947120.6099999999</v>
      </c>
      <c r="U212" s="333">
        <f t="shared" si="29"/>
        <v>-1947120.6099999999</v>
      </c>
      <c r="V212" s="333">
        <v>0</v>
      </c>
      <c r="W212" s="333">
        <v>0</v>
      </c>
      <c r="X212" s="333">
        <v>0</v>
      </c>
      <c r="Y212" s="333">
        <v>0</v>
      </c>
      <c r="Z212" s="333">
        <v>0</v>
      </c>
      <c r="AA212" s="333">
        <v>0</v>
      </c>
      <c r="AB212" s="333">
        <v>0</v>
      </c>
      <c r="AC212" s="333">
        <v>-7142</v>
      </c>
      <c r="AD212" s="333">
        <v>0</v>
      </c>
      <c r="AE212" s="333"/>
      <c r="AF212" s="333"/>
      <c r="AG212" s="333">
        <f t="shared" si="30"/>
        <v>-1954262.6099999999</v>
      </c>
      <c r="AH212" s="330"/>
      <c r="AI212" s="330">
        <v>7142</v>
      </c>
      <c r="AJ212" s="396">
        <f t="shared" si="31"/>
        <v>-1954262.6099999999</v>
      </c>
      <c r="AK212" s="563"/>
      <c r="AL212" s="285">
        <f t="shared" ref="AL212:AL213" si="35">+AC212+AI212</f>
        <v>0</v>
      </c>
      <c r="AM212" s="286"/>
      <c r="AO212" s="330" t="s">
        <v>2760</v>
      </c>
    </row>
    <row r="213" spans="1:41">
      <c r="A213" s="587">
        <f t="shared" si="32"/>
        <v>210</v>
      </c>
      <c r="B213" s="330" t="s">
        <v>1643</v>
      </c>
      <c r="C213" s="330" t="s">
        <v>2764</v>
      </c>
      <c r="D213" s="330" t="s">
        <v>1662</v>
      </c>
      <c r="E213" s="330" t="s">
        <v>1701</v>
      </c>
      <c r="F213" s="330" t="s">
        <v>1647</v>
      </c>
      <c r="G213" s="562">
        <v>1114</v>
      </c>
      <c r="H213" s="562">
        <v>683.3</v>
      </c>
      <c r="I213" s="562">
        <v>795.57</v>
      </c>
      <c r="J213" s="561" t="s">
        <v>1810</v>
      </c>
      <c r="K213" s="330" t="s">
        <v>2765</v>
      </c>
      <c r="L213" s="330" t="s">
        <v>2766</v>
      </c>
      <c r="M213" s="330" t="s">
        <v>2767</v>
      </c>
      <c r="N213" s="330" t="s">
        <v>2768</v>
      </c>
      <c r="O213" s="395">
        <v>45442</v>
      </c>
      <c r="P213" s="333">
        <v>6337489</v>
      </c>
      <c r="Q213" s="330" t="s">
        <v>1653</v>
      </c>
      <c r="R213" s="562">
        <v>0</v>
      </c>
      <c r="S213" s="333">
        <v>0</v>
      </c>
      <c r="T213" s="333">
        <v>-1894103.6600000006</v>
      </c>
      <c r="U213" s="333">
        <f t="shared" si="29"/>
        <v>-1894103.6600000006</v>
      </c>
      <c r="V213" s="333">
        <v>0</v>
      </c>
      <c r="W213" s="333">
        <v>0</v>
      </c>
      <c r="X213" s="333">
        <v>0</v>
      </c>
      <c r="Y213" s="333">
        <v>0</v>
      </c>
      <c r="Z213" s="333">
        <v>0</v>
      </c>
      <c r="AA213" s="333">
        <v>0</v>
      </c>
      <c r="AB213" s="333">
        <v>0</v>
      </c>
      <c r="AC213" s="333">
        <v>-7142</v>
      </c>
      <c r="AD213" s="333">
        <v>0</v>
      </c>
      <c r="AE213" s="333"/>
      <c r="AF213" s="333"/>
      <c r="AG213" s="333">
        <f t="shared" si="30"/>
        <v>-1901245.6600000006</v>
      </c>
      <c r="AH213" s="330"/>
      <c r="AI213" s="330">
        <v>7142</v>
      </c>
      <c r="AJ213" s="396">
        <f t="shared" si="31"/>
        <v>-1901245.6600000006</v>
      </c>
      <c r="AK213" s="563"/>
      <c r="AL213" s="285">
        <f t="shared" si="35"/>
        <v>0</v>
      </c>
      <c r="AM213" s="286"/>
      <c r="AO213" s="330" t="s">
        <v>2765</v>
      </c>
    </row>
    <row r="214" spans="1:41">
      <c r="A214" s="587">
        <f t="shared" si="32"/>
        <v>211</v>
      </c>
      <c r="B214" s="330" t="s">
        <v>1643</v>
      </c>
      <c r="C214" s="330" t="s">
        <v>2769</v>
      </c>
      <c r="D214" s="330" t="s">
        <v>2153</v>
      </c>
      <c r="E214" s="330" t="s">
        <v>1728</v>
      </c>
      <c r="F214" s="330" t="s">
        <v>1647</v>
      </c>
      <c r="G214" s="562">
        <v>1114</v>
      </c>
      <c r="H214" s="562">
        <v>683.3</v>
      </c>
      <c r="I214" s="562">
        <v>795.57</v>
      </c>
      <c r="J214" s="561" t="s">
        <v>1648</v>
      </c>
      <c r="K214" s="330" t="s">
        <v>2770</v>
      </c>
      <c r="L214" s="330" t="s">
        <v>2771</v>
      </c>
      <c r="M214" s="330" t="s">
        <v>2772</v>
      </c>
      <c r="N214" s="330" t="s">
        <v>2773</v>
      </c>
      <c r="O214" s="395">
        <v>45467</v>
      </c>
      <c r="P214" s="333">
        <v>6691905</v>
      </c>
      <c r="Q214" s="330" t="s">
        <v>1653</v>
      </c>
      <c r="R214" s="562">
        <v>0</v>
      </c>
      <c r="S214" s="333">
        <v>0</v>
      </c>
      <c r="T214" s="333">
        <v>-2074492.4699999997</v>
      </c>
      <c r="U214" s="333">
        <f t="shared" si="29"/>
        <v>-2074492.4699999997</v>
      </c>
      <c r="V214" s="333">
        <v>0</v>
      </c>
      <c r="W214" s="333">
        <v>0</v>
      </c>
      <c r="X214" s="333">
        <v>0</v>
      </c>
      <c r="Y214" s="333">
        <v>0</v>
      </c>
      <c r="Z214" s="333">
        <v>0</v>
      </c>
      <c r="AA214" s="333">
        <v>0</v>
      </c>
      <c r="AB214" s="333">
        <v>0</v>
      </c>
      <c r="AC214" s="333">
        <v>0</v>
      </c>
      <c r="AD214" s="333">
        <v>0</v>
      </c>
      <c r="AE214" s="333"/>
      <c r="AF214" s="333"/>
      <c r="AG214" s="333">
        <f t="shared" si="30"/>
        <v>-2074492.4699999997</v>
      </c>
      <c r="AH214" s="330"/>
      <c r="AI214" s="330">
        <v>0</v>
      </c>
      <c r="AJ214" s="396">
        <f t="shared" si="31"/>
        <v>-2074492.4699999997</v>
      </c>
      <c r="AK214" s="563"/>
      <c r="AL214" s="285">
        <f t="shared" si="34"/>
        <v>0</v>
      </c>
      <c r="AM214" s="286"/>
      <c r="AO214" s="330" t="s">
        <v>2770</v>
      </c>
    </row>
    <row r="215" spans="1:41">
      <c r="A215" s="587">
        <f t="shared" si="32"/>
        <v>212</v>
      </c>
      <c r="B215" s="330" t="s">
        <v>1643</v>
      </c>
      <c r="C215" s="330" t="s">
        <v>2774</v>
      </c>
      <c r="D215" s="330" t="s">
        <v>1704</v>
      </c>
      <c r="E215" s="330" t="s">
        <v>1897</v>
      </c>
      <c r="F215" s="330" t="s">
        <v>1647</v>
      </c>
      <c r="G215" s="562">
        <v>1114</v>
      </c>
      <c r="H215" s="562">
        <v>683.3</v>
      </c>
      <c r="I215" s="562">
        <v>795.57</v>
      </c>
      <c r="J215" s="561" t="s">
        <v>1648</v>
      </c>
      <c r="K215" s="330" t="s">
        <v>2775</v>
      </c>
      <c r="L215" s="330" t="s">
        <v>2776</v>
      </c>
      <c r="M215" s="330" t="s">
        <v>2777</v>
      </c>
      <c r="N215" s="330" t="s">
        <v>2778</v>
      </c>
      <c r="O215" s="395">
        <v>45471</v>
      </c>
      <c r="P215" s="333">
        <v>6178571</v>
      </c>
      <c r="Q215" s="330" t="s">
        <v>1653</v>
      </c>
      <c r="R215" s="562">
        <v>0</v>
      </c>
      <c r="S215" s="333">
        <v>0</v>
      </c>
      <c r="T215" s="333">
        <v>-1864356.1299999997</v>
      </c>
      <c r="U215" s="333">
        <f t="shared" si="29"/>
        <v>-1864356.1299999997</v>
      </c>
      <c r="V215" s="333">
        <v>-51000</v>
      </c>
      <c r="W215" s="333">
        <v>0</v>
      </c>
      <c r="X215" s="333">
        <v>0</v>
      </c>
      <c r="Y215" s="333">
        <v>0</v>
      </c>
      <c r="Z215" s="333">
        <v>0</v>
      </c>
      <c r="AA215" s="333">
        <v>0</v>
      </c>
      <c r="AB215" s="333">
        <v>0</v>
      </c>
      <c r="AC215" s="333">
        <v>0</v>
      </c>
      <c r="AD215" s="333">
        <v>0</v>
      </c>
      <c r="AE215" s="333"/>
      <c r="AF215" s="333"/>
      <c r="AG215" s="333">
        <f t="shared" si="30"/>
        <v>-1915356.1299999997</v>
      </c>
      <c r="AH215" s="330"/>
      <c r="AI215" s="330">
        <v>0</v>
      </c>
      <c r="AJ215" s="396">
        <f t="shared" si="31"/>
        <v>-1915356.1299999997</v>
      </c>
      <c r="AK215" s="563"/>
      <c r="AL215" s="285">
        <f t="shared" si="34"/>
        <v>0</v>
      </c>
      <c r="AM215" s="286"/>
      <c r="AO215" s="330" t="s">
        <v>2775</v>
      </c>
    </row>
    <row r="216" spans="1:41">
      <c r="A216" s="587">
        <f t="shared" si="32"/>
        <v>213</v>
      </c>
      <c r="B216" s="330" t="s">
        <v>1643</v>
      </c>
      <c r="C216" s="330" t="s">
        <v>2779</v>
      </c>
      <c r="D216" s="330" t="s">
        <v>1645</v>
      </c>
      <c r="E216" s="330" t="s">
        <v>1996</v>
      </c>
      <c r="F216" s="330" t="s">
        <v>1647</v>
      </c>
      <c r="G216" s="562">
        <v>1114</v>
      </c>
      <c r="H216" s="562">
        <v>683.3</v>
      </c>
      <c r="I216" s="562">
        <v>795.57</v>
      </c>
      <c r="J216" s="561" t="s">
        <v>1810</v>
      </c>
      <c r="K216" s="330" t="s">
        <v>2780</v>
      </c>
      <c r="L216" s="330" t="s">
        <v>2781</v>
      </c>
      <c r="M216" s="330" t="s">
        <v>2782</v>
      </c>
      <c r="N216" s="330" t="s">
        <v>2783</v>
      </c>
      <c r="O216" s="395">
        <v>45454</v>
      </c>
      <c r="P216" s="333">
        <v>6279238</v>
      </c>
      <c r="Q216" s="330" t="s">
        <v>1653</v>
      </c>
      <c r="R216" s="562">
        <v>0</v>
      </c>
      <c r="S216" s="333">
        <v>0</v>
      </c>
      <c r="T216" s="333">
        <v>-1883771.4200000002</v>
      </c>
      <c r="U216" s="333">
        <f t="shared" si="29"/>
        <v>-1883771.4200000002</v>
      </c>
      <c r="V216" s="333">
        <v>0</v>
      </c>
      <c r="W216" s="333">
        <v>0</v>
      </c>
      <c r="X216" s="333">
        <v>0</v>
      </c>
      <c r="Y216" s="333">
        <v>0</v>
      </c>
      <c r="Z216" s="333">
        <v>0</v>
      </c>
      <c r="AA216" s="333">
        <v>0</v>
      </c>
      <c r="AB216" s="333">
        <v>0</v>
      </c>
      <c r="AC216" s="333">
        <v>0</v>
      </c>
      <c r="AD216" s="333">
        <v>0</v>
      </c>
      <c r="AE216" s="333"/>
      <c r="AF216" s="333"/>
      <c r="AG216" s="333">
        <f t="shared" si="30"/>
        <v>-1883771.4200000002</v>
      </c>
      <c r="AH216" s="330"/>
      <c r="AI216" s="330">
        <v>0</v>
      </c>
      <c r="AJ216" s="396">
        <f t="shared" si="31"/>
        <v>-1883771.4200000002</v>
      </c>
      <c r="AK216" s="563"/>
      <c r="AL216" s="285">
        <f t="shared" si="34"/>
        <v>0</v>
      </c>
      <c r="AM216" s="286"/>
      <c r="AO216" s="330" t="s">
        <v>2780</v>
      </c>
    </row>
    <row r="217" spans="1:41">
      <c r="A217" s="587">
        <f t="shared" si="32"/>
        <v>214</v>
      </c>
      <c r="B217" s="330" t="s">
        <v>1643</v>
      </c>
      <c r="C217" s="330" t="s">
        <v>2784</v>
      </c>
      <c r="D217" s="330" t="s">
        <v>1645</v>
      </c>
      <c r="E217" s="330" t="s">
        <v>2785</v>
      </c>
      <c r="F217" s="330" t="s">
        <v>1671</v>
      </c>
      <c r="G217" s="562">
        <v>1375</v>
      </c>
      <c r="H217" s="562">
        <v>876.73</v>
      </c>
      <c r="I217" s="562">
        <v>982.22</v>
      </c>
      <c r="J217" s="561" t="s">
        <v>1648</v>
      </c>
      <c r="K217" s="330" t="s">
        <v>2786</v>
      </c>
      <c r="L217" s="330" t="s">
        <v>2787</v>
      </c>
      <c r="M217" s="330" t="s">
        <v>2788</v>
      </c>
      <c r="N217" s="330" t="s">
        <v>2789</v>
      </c>
      <c r="O217" s="395">
        <v>45468</v>
      </c>
      <c r="P217" s="333">
        <v>7783072</v>
      </c>
      <c r="Q217" s="330" t="s">
        <v>1653</v>
      </c>
      <c r="R217" s="562">
        <v>0</v>
      </c>
      <c r="S217" s="333">
        <v>0</v>
      </c>
      <c r="T217" s="333">
        <v>-2405607.6400000006</v>
      </c>
      <c r="U217" s="333">
        <f t="shared" si="29"/>
        <v>-2405607.6400000006</v>
      </c>
      <c r="V217" s="333">
        <v>0</v>
      </c>
      <c r="W217" s="333">
        <v>0</v>
      </c>
      <c r="X217" s="333">
        <v>0</v>
      </c>
      <c r="Y217" s="333">
        <v>0</v>
      </c>
      <c r="Z217" s="333">
        <v>0</v>
      </c>
      <c r="AA217" s="333">
        <v>0</v>
      </c>
      <c r="AB217" s="333">
        <v>0</v>
      </c>
      <c r="AC217" s="333">
        <v>0</v>
      </c>
      <c r="AD217" s="333">
        <v>0</v>
      </c>
      <c r="AE217" s="333"/>
      <c r="AF217" s="333"/>
      <c r="AG217" s="333">
        <f t="shared" si="30"/>
        <v>-2405607.6400000006</v>
      </c>
      <c r="AH217" s="330"/>
      <c r="AI217" s="330">
        <v>0</v>
      </c>
      <c r="AJ217" s="396">
        <f t="shared" si="31"/>
        <v>-2405607.6400000006</v>
      </c>
      <c r="AK217" s="563"/>
      <c r="AL217" s="285">
        <f t="shared" si="34"/>
        <v>0</v>
      </c>
      <c r="AM217" s="286"/>
      <c r="AO217" s="330" t="s">
        <v>2786</v>
      </c>
    </row>
    <row r="218" spans="1:41">
      <c r="A218" s="587">
        <f t="shared" si="32"/>
        <v>215</v>
      </c>
      <c r="B218" s="330" t="s">
        <v>1643</v>
      </c>
      <c r="C218" s="330" t="s">
        <v>2790</v>
      </c>
      <c r="D218" s="330" t="s">
        <v>1746</v>
      </c>
      <c r="E218" s="330" t="s">
        <v>2486</v>
      </c>
      <c r="F218" s="330" t="s">
        <v>1647</v>
      </c>
      <c r="G218" s="562">
        <v>1114</v>
      </c>
      <c r="H218" s="562">
        <v>683.3</v>
      </c>
      <c r="I218" s="562">
        <v>795.57</v>
      </c>
      <c r="J218" s="561" t="s">
        <v>1648</v>
      </c>
      <c r="K218" s="330" t="s">
        <v>2791</v>
      </c>
      <c r="L218" s="330" t="s">
        <v>2792</v>
      </c>
      <c r="M218" s="330" t="s">
        <v>2793</v>
      </c>
      <c r="N218" s="330" t="s">
        <v>2794</v>
      </c>
      <c r="O218" s="395">
        <v>45446</v>
      </c>
      <c r="P218" s="333">
        <v>6312476</v>
      </c>
      <c r="Q218" s="330" t="s">
        <v>1660</v>
      </c>
      <c r="R218" s="562">
        <v>0</v>
      </c>
      <c r="S218" s="333">
        <v>0</v>
      </c>
      <c r="T218" s="333">
        <v>0</v>
      </c>
      <c r="U218" s="333">
        <f t="shared" si="29"/>
        <v>0</v>
      </c>
      <c r="V218" s="333">
        <v>0</v>
      </c>
      <c r="W218" s="333">
        <v>0</v>
      </c>
      <c r="X218" s="333">
        <v>0</v>
      </c>
      <c r="Y218" s="333">
        <v>0</v>
      </c>
      <c r="Z218" s="333">
        <v>0</v>
      </c>
      <c r="AA218" s="333">
        <v>0</v>
      </c>
      <c r="AB218" s="333">
        <v>0</v>
      </c>
      <c r="AC218" s="333">
        <v>0</v>
      </c>
      <c r="AD218" s="333">
        <v>0</v>
      </c>
      <c r="AE218" s="333"/>
      <c r="AF218" s="333"/>
      <c r="AG218" s="333">
        <f t="shared" si="30"/>
        <v>0</v>
      </c>
      <c r="AH218" s="330"/>
      <c r="AI218" s="330">
        <v>0</v>
      </c>
      <c r="AJ218" s="396">
        <f t="shared" si="31"/>
        <v>0</v>
      </c>
      <c r="AK218" s="563"/>
      <c r="AL218" s="285">
        <f t="shared" si="34"/>
        <v>0</v>
      </c>
      <c r="AM218" s="286"/>
      <c r="AO218" s="330" t="s">
        <v>2791</v>
      </c>
    </row>
    <row r="219" spans="1:41">
      <c r="A219" s="587">
        <f t="shared" si="32"/>
        <v>216</v>
      </c>
      <c r="B219" s="330" t="s">
        <v>1643</v>
      </c>
      <c r="C219" s="330" t="s">
        <v>2795</v>
      </c>
      <c r="D219" s="330" t="s">
        <v>1746</v>
      </c>
      <c r="E219" s="330" t="s">
        <v>2002</v>
      </c>
      <c r="F219" s="330" t="s">
        <v>1647</v>
      </c>
      <c r="G219" s="562">
        <v>1114</v>
      </c>
      <c r="H219" s="562">
        <v>683.3</v>
      </c>
      <c r="I219" s="562">
        <v>795.57</v>
      </c>
      <c r="J219" s="561" t="s">
        <v>1648</v>
      </c>
      <c r="K219" s="330" t="s">
        <v>2796</v>
      </c>
      <c r="L219" s="330" t="s">
        <v>2797</v>
      </c>
      <c r="M219" s="330" t="s">
        <v>2798</v>
      </c>
      <c r="N219" s="330" t="s">
        <v>2799</v>
      </c>
      <c r="O219" s="395">
        <v>45429</v>
      </c>
      <c r="P219" s="333">
        <v>6248385</v>
      </c>
      <c r="Q219" s="330" t="s">
        <v>1653</v>
      </c>
      <c r="R219" s="562">
        <v>0</v>
      </c>
      <c r="S219" s="333">
        <v>0</v>
      </c>
      <c r="T219" s="333">
        <v>-1932238.6699999995</v>
      </c>
      <c r="U219" s="333">
        <f t="shared" si="29"/>
        <v>-1932238.6699999995</v>
      </c>
      <c r="V219" s="333">
        <v>0</v>
      </c>
      <c r="W219" s="333">
        <v>0</v>
      </c>
      <c r="X219" s="333">
        <v>0</v>
      </c>
      <c r="Y219" s="333">
        <v>0</v>
      </c>
      <c r="Z219" s="333">
        <v>0</v>
      </c>
      <c r="AA219" s="333">
        <v>0</v>
      </c>
      <c r="AB219" s="333">
        <v>0</v>
      </c>
      <c r="AC219" s="333">
        <v>-4762</v>
      </c>
      <c r="AD219" s="333">
        <v>0</v>
      </c>
      <c r="AE219" s="333"/>
      <c r="AF219" s="333"/>
      <c r="AG219" s="333">
        <f t="shared" si="30"/>
        <v>-1937000.6699999995</v>
      </c>
      <c r="AH219" s="330"/>
      <c r="AI219" s="330">
        <v>4762</v>
      </c>
      <c r="AJ219" s="396">
        <f t="shared" si="31"/>
        <v>-1937000.6699999995</v>
      </c>
      <c r="AK219" s="563"/>
      <c r="AL219" s="285">
        <f>+AC219+AI219</f>
        <v>0</v>
      </c>
      <c r="AM219" s="286"/>
      <c r="AO219" s="330" t="s">
        <v>2796</v>
      </c>
    </row>
    <row r="220" spans="1:41">
      <c r="A220" s="587">
        <f t="shared" si="32"/>
        <v>217</v>
      </c>
      <c r="B220" s="330" t="s">
        <v>1643</v>
      </c>
      <c r="C220" s="330" t="s">
        <v>2800</v>
      </c>
      <c r="D220" s="330" t="s">
        <v>1655</v>
      </c>
      <c r="E220" s="330" t="s">
        <v>2733</v>
      </c>
      <c r="F220" s="330" t="s">
        <v>1647</v>
      </c>
      <c r="G220" s="562">
        <v>1012</v>
      </c>
      <c r="H220" s="562">
        <v>653.59</v>
      </c>
      <c r="I220" s="562">
        <v>723.02</v>
      </c>
      <c r="J220" s="561" t="s">
        <v>1648</v>
      </c>
      <c r="K220" s="330" t="s">
        <v>2801</v>
      </c>
      <c r="L220" s="330" t="s">
        <v>2802</v>
      </c>
      <c r="M220" s="330" t="s">
        <v>2803</v>
      </c>
      <c r="N220" s="330" t="s">
        <v>12</v>
      </c>
      <c r="O220" s="395"/>
      <c r="P220" s="333">
        <v>6675000</v>
      </c>
      <c r="Q220" s="330" t="s">
        <v>1660</v>
      </c>
      <c r="R220" s="562">
        <v>0</v>
      </c>
      <c r="S220" s="333">
        <v>0</v>
      </c>
      <c r="T220" s="333">
        <v>0</v>
      </c>
      <c r="U220" s="333">
        <f t="shared" si="29"/>
        <v>0</v>
      </c>
      <c r="V220" s="333">
        <v>0</v>
      </c>
      <c r="W220" s="333">
        <v>0</v>
      </c>
      <c r="X220" s="333">
        <v>0</v>
      </c>
      <c r="Y220" s="333">
        <v>0</v>
      </c>
      <c r="Z220" s="333">
        <v>0</v>
      </c>
      <c r="AA220" s="333">
        <v>0</v>
      </c>
      <c r="AB220" s="333">
        <v>0</v>
      </c>
      <c r="AC220" s="333">
        <v>0</v>
      </c>
      <c r="AD220" s="333">
        <v>0</v>
      </c>
      <c r="AE220" s="333"/>
      <c r="AF220" s="333"/>
      <c r="AG220" s="333">
        <f t="shared" si="30"/>
        <v>0</v>
      </c>
      <c r="AH220" s="330"/>
      <c r="AI220" s="330">
        <v>0</v>
      </c>
      <c r="AJ220" s="396">
        <f t="shared" si="31"/>
        <v>0</v>
      </c>
      <c r="AK220" s="563"/>
      <c r="AL220" s="285">
        <f t="shared" si="34"/>
        <v>0</v>
      </c>
      <c r="AM220" s="286"/>
      <c r="AO220" s="330" t="s">
        <v>2801</v>
      </c>
    </row>
    <row r="221" spans="1:41">
      <c r="A221" s="587">
        <f t="shared" si="32"/>
        <v>218</v>
      </c>
      <c r="B221" s="330" t="s">
        <v>1643</v>
      </c>
      <c r="C221" s="330" t="s">
        <v>2804</v>
      </c>
      <c r="D221" s="330" t="s">
        <v>1645</v>
      </c>
      <c r="E221" s="330" t="s">
        <v>1792</v>
      </c>
      <c r="F221" s="330" t="s">
        <v>1647</v>
      </c>
      <c r="G221" s="562">
        <v>1114</v>
      </c>
      <c r="H221" s="562">
        <v>683.3</v>
      </c>
      <c r="I221" s="562">
        <v>795.57</v>
      </c>
      <c r="J221" s="561" t="s">
        <v>1810</v>
      </c>
      <c r="K221" s="330" t="s">
        <v>2805</v>
      </c>
      <c r="L221" s="330" t="s">
        <v>2806</v>
      </c>
      <c r="M221" s="330" t="s">
        <v>2807</v>
      </c>
      <c r="N221" s="330" t="s">
        <v>2808</v>
      </c>
      <c r="O221" s="395">
        <v>45412</v>
      </c>
      <c r="P221" s="333">
        <v>6287368</v>
      </c>
      <c r="Q221" s="330" t="s">
        <v>1653</v>
      </c>
      <c r="R221" s="562">
        <v>0</v>
      </c>
      <c r="S221" s="333">
        <v>0</v>
      </c>
      <c r="T221" s="333">
        <v>-1949175.1599999997</v>
      </c>
      <c r="U221" s="333">
        <f t="shared" si="29"/>
        <v>-1949175.1599999997</v>
      </c>
      <c r="V221" s="333">
        <v>0</v>
      </c>
      <c r="W221" s="333">
        <v>0</v>
      </c>
      <c r="X221" s="333">
        <v>0</v>
      </c>
      <c r="Y221" s="333">
        <v>0</v>
      </c>
      <c r="Z221" s="333">
        <v>0</v>
      </c>
      <c r="AA221" s="333">
        <v>0</v>
      </c>
      <c r="AB221" s="333">
        <v>0</v>
      </c>
      <c r="AC221" s="333">
        <v>0</v>
      </c>
      <c r="AD221" s="333">
        <v>0</v>
      </c>
      <c r="AE221" s="333"/>
      <c r="AF221" s="333"/>
      <c r="AG221" s="333">
        <f t="shared" si="30"/>
        <v>-1949175.1599999997</v>
      </c>
      <c r="AH221" s="330"/>
      <c r="AI221" s="330">
        <v>0</v>
      </c>
      <c r="AJ221" s="396">
        <f t="shared" si="31"/>
        <v>-1949175.1599999997</v>
      </c>
      <c r="AK221" s="563"/>
      <c r="AL221" s="285">
        <f t="shared" si="34"/>
        <v>0</v>
      </c>
      <c r="AM221" s="286"/>
      <c r="AO221" s="330" t="s">
        <v>2805</v>
      </c>
    </row>
    <row r="222" spans="1:41">
      <c r="A222" s="587">
        <f t="shared" si="32"/>
        <v>219</v>
      </c>
      <c r="B222" s="330" t="s">
        <v>1643</v>
      </c>
      <c r="C222" s="330" t="s">
        <v>2809</v>
      </c>
      <c r="D222" s="330" t="s">
        <v>1662</v>
      </c>
      <c r="E222" s="330" t="s">
        <v>2269</v>
      </c>
      <c r="F222" s="330" t="s">
        <v>1647</v>
      </c>
      <c r="G222" s="562">
        <v>1114</v>
      </c>
      <c r="H222" s="562">
        <v>683.3</v>
      </c>
      <c r="I222" s="562">
        <v>795.57</v>
      </c>
      <c r="J222" s="561" t="s">
        <v>1648</v>
      </c>
      <c r="K222" s="330" t="s">
        <v>2810</v>
      </c>
      <c r="L222" s="330" t="s">
        <v>2811</v>
      </c>
      <c r="M222" s="330" t="s">
        <v>2812</v>
      </c>
      <c r="N222" s="330" t="s">
        <v>2813</v>
      </c>
      <c r="O222" s="395">
        <v>45442</v>
      </c>
      <c r="P222" s="333">
        <v>6320782</v>
      </c>
      <c r="Q222" s="330" t="s">
        <v>1653</v>
      </c>
      <c r="R222" s="562">
        <v>0</v>
      </c>
      <c r="S222" s="333">
        <v>0</v>
      </c>
      <c r="T222" s="333">
        <v>-1889093.0800000003</v>
      </c>
      <c r="U222" s="333">
        <f t="shared" si="29"/>
        <v>-1889093.0800000003</v>
      </c>
      <c r="V222" s="333">
        <v>0</v>
      </c>
      <c r="W222" s="333">
        <v>0</v>
      </c>
      <c r="X222" s="333">
        <v>0</v>
      </c>
      <c r="Y222" s="333">
        <v>0</v>
      </c>
      <c r="Z222" s="333">
        <v>0</v>
      </c>
      <c r="AA222" s="333">
        <v>0</v>
      </c>
      <c r="AB222" s="333">
        <v>0</v>
      </c>
      <c r="AC222" s="333">
        <v>-7142</v>
      </c>
      <c r="AD222" s="333">
        <v>0</v>
      </c>
      <c r="AE222" s="333"/>
      <c r="AF222" s="333"/>
      <c r="AG222" s="333">
        <f t="shared" si="30"/>
        <v>-1896235.0800000003</v>
      </c>
      <c r="AH222" s="330"/>
      <c r="AI222" s="330">
        <v>7142</v>
      </c>
      <c r="AJ222" s="396">
        <f t="shared" si="31"/>
        <v>-1896235.0800000003</v>
      </c>
      <c r="AK222" s="563"/>
      <c r="AL222" s="285">
        <f t="shared" ref="AL222:AL225" si="36">+AC222+AI222</f>
        <v>0</v>
      </c>
      <c r="AM222" s="286"/>
      <c r="AO222" s="330" t="s">
        <v>2810</v>
      </c>
    </row>
    <row r="223" spans="1:41">
      <c r="A223" s="587">
        <f t="shared" si="32"/>
        <v>220</v>
      </c>
      <c r="B223" s="330" t="s">
        <v>1643</v>
      </c>
      <c r="C223" s="330" t="s">
        <v>2814</v>
      </c>
      <c r="D223" s="330" t="s">
        <v>1669</v>
      </c>
      <c r="E223" s="330" t="s">
        <v>2815</v>
      </c>
      <c r="F223" s="330" t="s">
        <v>1671</v>
      </c>
      <c r="G223" s="562">
        <v>2108</v>
      </c>
      <c r="H223" s="562">
        <v>1138.51</v>
      </c>
      <c r="I223" s="562">
        <v>1505.99</v>
      </c>
      <c r="J223" s="561" t="s">
        <v>1810</v>
      </c>
      <c r="K223" s="330" t="s">
        <v>2816</v>
      </c>
      <c r="L223" s="330" t="s">
        <v>2817</v>
      </c>
      <c r="M223" s="330" t="s">
        <v>2818</v>
      </c>
      <c r="N223" s="330" t="s">
        <v>2819</v>
      </c>
      <c r="O223" s="395">
        <v>45462</v>
      </c>
      <c r="P223" s="333">
        <v>12650326</v>
      </c>
      <c r="Q223" s="330" t="s">
        <v>1653</v>
      </c>
      <c r="R223" s="562">
        <v>0</v>
      </c>
      <c r="S223" s="333">
        <v>0</v>
      </c>
      <c r="T223" s="333">
        <v>-3495099.0999999996</v>
      </c>
      <c r="U223" s="333">
        <f t="shared" si="29"/>
        <v>-3495099.0999999996</v>
      </c>
      <c r="V223" s="333">
        <v>-285714</v>
      </c>
      <c r="W223" s="333">
        <v>0</v>
      </c>
      <c r="X223" s="333">
        <v>0</v>
      </c>
      <c r="Y223" s="333">
        <v>0</v>
      </c>
      <c r="Z223" s="333">
        <v>0</v>
      </c>
      <c r="AA223" s="333">
        <v>0</v>
      </c>
      <c r="AB223" s="333">
        <v>0</v>
      </c>
      <c r="AC223" s="333">
        <v>0</v>
      </c>
      <c r="AD223" s="333">
        <v>0</v>
      </c>
      <c r="AE223" s="333"/>
      <c r="AF223" s="333"/>
      <c r="AG223" s="333">
        <f t="shared" si="30"/>
        <v>-3780813.0999999996</v>
      </c>
      <c r="AH223" s="330"/>
      <c r="AI223" s="330">
        <v>0</v>
      </c>
      <c r="AJ223" s="396">
        <f t="shared" si="31"/>
        <v>-3780813.0999999996</v>
      </c>
      <c r="AK223" s="563"/>
      <c r="AL223" s="285">
        <f t="shared" si="36"/>
        <v>0</v>
      </c>
      <c r="AM223" s="286"/>
      <c r="AO223" s="330" t="s">
        <v>2816</v>
      </c>
    </row>
    <row r="224" spans="1:41">
      <c r="A224" s="587">
        <f t="shared" si="32"/>
        <v>221</v>
      </c>
      <c r="B224" s="330" t="s">
        <v>1643</v>
      </c>
      <c r="C224" s="330" t="s">
        <v>2820</v>
      </c>
      <c r="D224" s="330" t="s">
        <v>1645</v>
      </c>
      <c r="E224" s="330" t="s">
        <v>1663</v>
      </c>
      <c r="F224" s="330" t="s">
        <v>1647</v>
      </c>
      <c r="G224" s="562">
        <v>1012</v>
      </c>
      <c r="H224" s="562">
        <v>653.59</v>
      </c>
      <c r="I224" s="562">
        <v>723.02</v>
      </c>
      <c r="J224" s="561" t="s">
        <v>1648</v>
      </c>
      <c r="K224" s="330" t="s">
        <v>2821</v>
      </c>
      <c r="L224" s="330" t="s">
        <v>2822</v>
      </c>
      <c r="M224" s="330" t="s">
        <v>2823</v>
      </c>
      <c r="N224" s="330" t="s">
        <v>2824</v>
      </c>
      <c r="O224" s="395">
        <v>45462</v>
      </c>
      <c r="P224" s="333">
        <v>5698827</v>
      </c>
      <c r="Q224" s="330" t="s">
        <v>1653</v>
      </c>
      <c r="R224" s="562">
        <v>0</v>
      </c>
      <c r="S224" s="333">
        <v>0</v>
      </c>
      <c r="T224" s="333">
        <v>-1759493.5800000003</v>
      </c>
      <c r="U224" s="333">
        <f t="shared" si="29"/>
        <v>-1759493.5800000003</v>
      </c>
      <c r="V224" s="333">
        <v>0</v>
      </c>
      <c r="W224" s="333">
        <v>0</v>
      </c>
      <c r="X224" s="333">
        <v>0</v>
      </c>
      <c r="Y224" s="333">
        <v>0</v>
      </c>
      <c r="Z224" s="333">
        <v>0</v>
      </c>
      <c r="AA224" s="333">
        <v>0</v>
      </c>
      <c r="AB224" s="333">
        <v>0</v>
      </c>
      <c r="AC224" s="333">
        <v>-7143</v>
      </c>
      <c r="AD224" s="333">
        <v>0</v>
      </c>
      <c r="AE224" s="333"/>
      <c r="AF224" s="333"/>
      <c r="AG224" s="333">
        <f t="shared" si="30"/>
        <v>-1766636.5800000003</v>
      </c>
      <c r="AH224" s="330"/>
      <c r="AI224" s="330">
        <v>7143</v>
      </c>
      <c r="AJ224" s="396">
        <f t="shared" si="31"/>
        <v>-1766636.5800000003</v>
      </c>
      <c r="AK224" s="563"/>
      <c r="AL224" s="285">
        <f t="shared" si="36"/>
        <v>0</v>
      </c>
      <c r="AM224" s="286"/>
      <c r="AO224" s="330" t="s">
        <v>2821</v>
      </c>
    </row>
    <row r="225" spans="1:41">
      <c r="A225" s="587">
        <f t="shared" si="32"/>
        <v>222</v>
      </c>
      <c r="B225" s="330" t="s">
        <v>1643</v>
      </c>
      <c r="C225" s="330" t="s">
        <v>2825</v>
      </c>
      <c r="D225" s="330" t="s">
        <v>1704</v>
      </c>
      <c r="E225" s="330" t="s">
        <v>2826</v>
      </c>
      <c r="F225" s="330" t="s">
        <v>1647</v>
      </c>
      <c r="G225" s="562">
        <v>1375</v>
      </c>
      <c r="H225" s="562">
        <v>876.73</v>
      </c>
      <c r="I225" s="562">
        <v>982.22</v>
      </c>
      <c r="J225" s="561" t="s">
        <v>1648</v>
      </c>
      <c r="K225" s="330" t="s">
        <v>2827</v>
      </c>
      <c r="L225" s="330" t="s">
        <v>2828</v>
      </c>
      <c r="M225" s="330" t="s">
        <v>2829</v>
      </c>
      <c r="N225" s="330" t="s">
        <v>2830</v>
      </c>
      <c r="O225" s="395">
        <v>45814</v>
      </c>
      <c r="P225" s="333">
        <v>8790095</v>
      </c>
      <c r="Q225" s="330" t="s">
        <v>1653</v>
      </c>
      <c r="R225" s="562">
        <v>0</v>
      </c>
      <c r="S225" s="333">
        <v>0</v>
      </c>
      <c r="T225" s="333">
        <v>0</v>
      </c>
      <c r="U225" s="333">
        <f t="shared" si="29"/>
        <v>0</v>
      </c>
      <c r="V225" s="333">
        <v>-2768879</v>
      </c>
      <c r="W225" s="333">
        <v>0</v>
      </c>
      <c r="X225" s="333">
        <v>0</v>
      </c>
      <c r="Y225" s="333">
        <v>0</v>
      </c>
      <c r="Z225" s="333">
        <v>645400</v>
      </c>
      <c r="AA225" s="333">
        <v>-645400</v>
      </c>
      <c r="AB225" s="333">
        <v>0</v>
      </c>
      <c r="AC225" s="333">
        <v>131851.43999999994</v>
      </c>
      <c r="AD225" s="333">
        <v>0</v>
      </c>
      <c r="AE225" s="333"/>
      <c r="AF225" s="333"/>
      <c r="AG225" s="333">
        <f t="shared" si="30"/>
        <v>-2637027.56</v>
      </c>
      <c r="AH225" s="330"/>
      <c r="AI225" s="330">
        <v>-131851.44</v>
      </c>
      <c r="AJ225" s="396">
        <f t="shared" si="31"/>
        <v>-2637027.56</v>
      </c>
      <c r="AK225" s="563"/>
      <c r="AL225" s="285">
        <f t="shared" si="36"/>
        <v>0</v>
      </c>
      <c r="AM225" s="286"/>
      <c r="AO225" s="330" t="s">
        <v>2827</v>
      </c>
    </row>
    <row r="226" spans="1:41">
      <c r="A226" s="587">
        <f t="shared" si="32"/>
        <v>223</v>
      </c>
      <c r="B226" s="330" t="s">
        <v>1643</v>
      </c>
      <c r="C226" s="330" t="s">
        <v>2831</v>
      </c>
      <c r="D226" s="330" t="s">
        <v>2153</v>
      </c>
      <c r="E226" s="330" t="s">
        <v>1918</v>
      </c>
      <c r="F226" s="330" t="s">
        <v>1647</v>
      </c>
      <c r="G226" s="562">
        <v>1114</v>
      </c>
      <c r="H226" s="562">
        <v>683.3</v>
      </c>
      <c r="I226" s="562">
        <v>795.57</v>
      </c>
      <c r="J226" s="561" t="s">
        <v>1648</v>
      </c>
      <c r="K226" s="330" t="s">
        <v>2832</v>
      </c>
      <c r="L226" s="330" t="s">
        <v>2833</v>
      </c>
      <c r="M226" s="330" t="s">
        <v>2834</v>
      </c>
      <c r="N226" s="330" t="s">
        <v>2835</v>
      </c>
      <c r="O226" s="395">
        <v>45456</v>
      </c>
      <c r="P226" s="333">
        <v>6714285</v>
      </c>
      <c r="Q226" s="330" t="s">
        <v>1653</v>
      </c>
      <c r="R226" s="562">
        <v>0</v>
      </c>
      <c r="S226" s="333">
        <v>0</v>
      </c>
      <c r="T226" s="333">
        <v>-2081428.5700000008</v>
      </c>
      <c r="U226" s="333">
        <f t="shared" si="29"/>
        <v>-2081428.5700000008</v>
      </c>
      <c r="V226" s="333">
        <v>0</v>
      </c>
      <c r="W226" s="333">
        <v>0</v>
      </c>
      <c r="X226" s="333">
        <v>0</v>
      </c>
      <c r="Y226" s="333">
        <v>0</v>
      </c>
      <c r="Z226" s="333">
        <v>0</v>
      </c>
      <c r="AA226" s="333">
        <v>0</v>
      </c>
      <c r="AB226" s="333">
        <v>0</v>
      </c>
      <c r="AC226" s="333">
        <v>0</v>
      </c>
      <c r="AD226" s="333">
        <v>0</v>
      </c>
      <c r="AE226" s="333"/>
      <c r="AF226" s="333"/>
      <c r="AG226" s="333">
        <f t="shared" si="30"/>
        <v>-2081428.5700000008</v>
      </c>
      <c r="AH226" s="330"/>
      <c r="AI226" s="330">
        <v>0</v>
      </c>
      <c r="AJ226" s="396">
        <f t="shared" si="31"/>
        <v>-2081428.5700000008</v>
      </c>
      <c r="AK226" s="563"/>
      <c r="AL226" s="285">
        <f t="shared" si="34"/>
        <v>0</v>
      </c>
      <c r="AM226" s="286"/>
      <c r="AO226" s="330" t="s">
        <v>2832</v>
      </c>
    </row>
    <row r="227" spans="1:41">
      <c r="A227" s="587">
        <f t="shared" si="32"/>
        <v>224</v>
      </c>
      <c r="B227" s="330" t="s">
        <v>1643</v>
      </c>
      <c r="C227" s="330" t="s">
        <v>2836</v>
      </c>
      <c r="D227" s="330" t="s">
        <v>1662</v>
      </c>
      <c r="E227" s="330" t="s">
        <v>2322</v>
      </c>
      <c r="F227" s="330" t="s">
        <v>1647</v>
      </c>
      <c r="G227" s="562">
        <v>1012</v>
      </c>
      <c r="H227" s="562">
        <v>653.59</v>
      </c>
      <c r="I227" s="562">
        <v>723.02</v>
      </c>
      <c r="J227" s="561" t="s">
        <v>1648</v>
      </c>
      <c r="K227" s="330" t="s">
        <v>2837</v>
      </c>
      <c r="L227" s="330" t="s">
        <v>2838</v>
      </c>
      <c r="M227" s="330" t="s">
        <v>2839</v>
      </c>
      <c r="N227" s="330" t="s">
        <v>2840</v>
      </c>
      <c r="O227" s="395">
        <v>45433</v>
      </c>
      <c r="P227" s="333">
        <v>5662992</v>
      </c>
      <c r="Q227" s="330" t="s">
        <v>1653</v>
      </c>
      <c r="R227" s="562">
        <v>0</v>
      </c>
      <c r="S227" s="333">
        <v>0</v>
      </c>
      <c r="T227" s="333">
        <v>-1691755.0400000012</v>
      </c>
      <c r="U227" s="333">
        <f t="shared" si="29"/>
        <v>-1691755.0400000012</v>
      </c>
      <c r="V227" s="333">
        <v>0</v>
      </c>
      <c r="W227" s="333">
        <v>0</v>
      </c>
      <c r="X227" s="333">
        <v>0</v>
      </c>
      <c r="Y227" s="333">
        <v>0</v>
      </c>
      <c r="Z227" s="333">
        <v>0</v>
      </c>
      <c r="AA227" s="333">
        <v>0</v>
      </c>
      <c r="AB227" s="333">
        <v>0</v>
      </c>
      <c r="AC227" s="333">
        <v>0</v>
      </c>
      <c r="AD227" s="333">
        <v>0</v>
      </c>
      <c r="AE227" s="333"/>
      <c r="AF227" s="333"/>
      <c r="AG227" s="333">
        <f t="shared" si="30"/>
        <v>-1691755.0400000012</v>
      </c>
      <c r="AH227" s="330"/>
      <c r="AI227" s="330">
        <v>0</v>
      </c>
      <c r="AJ227" s="396">
        <f t="shared" si="31"/>
        <v>-1691755.0400000012</v>
      </c>
      <c r="AK227" s="563"/>
      <c r="AL227" s="285">
        <f t="shared" si="34"/>
        <v>0</v>
      </c>
      <c r="AM227" s="286"/>
      <c r="AO227" s="330" t="s">
        <v>2837</v>
      </c>
    </row>
    <row r="228" spans="1:41">
      <c r="A228" s="587">
        <f t="shared" si="32"/>
        <v>225</v>
      </c>
      <c r="B228" s="330" t="s">
        <v>1643</v>
      </c>
      <c r="C228" s="330" t="s">
        <v>2841</v>
      </c>
      <c r="D228" s="330" t="s">
        <v>1746</v>
      </c>
      <c r="E228" s="330" t="s">
        <v>2842</v>
      </c>
      <c r="F228" s="330" t="s">
        <v>1671</v>
      </c>
      <c r="G228" s="562">
        <v>1375</v>
      </c>
      <c r="H228" s="562">
        <v>876.73</v>
      </c>
      <c r="I228" s="562">
        <v>982.22</v>
      </c>
      <c r="J228" s="561" t="s">
        <v>1648</v>
      </c>
      <c r="K228" s="330" t="s">
        <v>2843</v>
      </c>
      <c r="L228" s="330" t="s">
        <v>2844</v>
      </c>
      <c r="M228" s="330" t="s">
        <v>2845</v>
      </c>
      <c r="N228" s="330" t="s">
        <v>2846</v>
      </c>
      <c r="O228" s="395">
        <v>45435</v>
      </c>
      <c r="P228" s="333">
        <v>7803698</v>
      </c>
      <c r="Q228" s="330" t="s">
        <v>1653</v>
      </c>
      <c r="R228" s="562">
        <v>0</v>
      </c>
      <c r="S228" s="333">
        <v>0</v>
      </c>
      <c r="T228" s="333">
        <v>-2112355.5</v>
      </c>
      <c r="U228" s="333">
        <f t="shared" si="29"/>
        <v>-2112355.5</v>
      </c>
      <c r="V228" s="333">
        <v>-255792</v>
      </c>
      <c r="W228" s="333">
        <v>0</v>
      </c>
      <c r="X228" s="333">
        <v>0</v>
      </c>
      <c r="Y228" s="333">
        <v>0</v>
      </c>
      <c r="Z228" s="333">
        <v>0</v>
      </c>
      <c r="AA228" s="333">
        <v>0</v>
      </c>
      <c r="AB228" s="333">
        <v>0</v>
      </c>
      <c r="AC228" s="333">
        <v>0</v>
      </c>
      <c r="AD228" s="333">
        <v>0</v>
      </c>
      <c r="AE228" s="333"/>
      <c r="AF228" s="333"/>
      <c r="AG228" s="333">
        <f t="shared" si="30"/>
        <v>-2368147.5</v>
      </c>
      <c r="AH228" s="330"/>
      <c r="AI228" s="330">
        <v>0</v>
      </c>
      <c r="AJ228" s="396">
        <f t="shared" si="31"/>
        <v>-2368147.5</v>
      </c>
      <c r="AK228" s="563"/>
      <c r="AL228" s="285">
        <f t="shared" si="34"/>
        <v>0</v>
      </c>
      <c r="AM228" s="286"/>
      <c r="AO228" s="330" t="s">
        <v>2843</v>
      </c>
    </row>
    <row r="229" spans="1:41">
      <c r="A229" s="587">
        <f t="shared" si="32"/>
        <v>226</v>
      </c>
      <c r="B229" s="330" t="s">
        <v>1643</v>
      </c>
      <c r="C229" s="330" t="s">
        <v>2847</v>
      </c>
      <c r="D229" s="330" t="s">
        <v>1746</v>
      </c>
      <c r="E229" s="330" t="s">
        <v>2739</v>
      </c>
      <c r="F229" s="330" t="s">
        <v>1647</v>
      </c>
      <c r="G229" s="562">
        <v>1012</v>
      </c>
      <c r="H229" s="562">
        <v>653.59</v>
      </c>
      <c r="I229" s="562">
        <v>723.02</v>
      </c>
      <c r="J229" s="561" t="s">
        <v>1810</v>
      </c>
      <c r="K229" s="330" t="s">
        <v>2848</v>
      </c>
      <c r="L229" s="330" t="s">
        <v>2849</v>
      </c>
      <c r="M229" s="330" t="s">
        <v>2850</v>
      </c>
      <c r="N229" s="330" t="s">
        <v>2851</v>
      </c>
      <c r="O229" s="395">
        <v>45456</v>
      </c>
      <c r="P229" s="333">
        <v>5714010</v>
      </c>
      <c r="Q229" s="330" t="s">
        <v>1653</v>
      </c>
      <c r="R229" s="562">
        <v>0</v>
      </c>
      <c r="S229" s="333">
        <v>0</v>
      </c>
      <c r="T229" s="333">
        <v>-1660394.8399999994</v>
      </c>
      <c r="U229" s="333">
        <f t="shared" si="29"/>
        <v>-1660394.8399999994</v>
      </c>
      <c r="V229" s="333">
        <v>-49000</v>
      </c>
      <c r="W229" s="333">
        <v>0</v>
      </c>
      <c r="X229" s="333">
        <v>0</v>
      </c>
      <c r="Y229" s="333">
        <v>0</v>
      </c>
      <c r="Z229" s="333">
        <v>0</v>
      </c>
      <c r="AA229" s="333">
        <v>0</v>
      </c>
      <c r="AB229" s="333">
        <v>0</v>
      </c>
      <c r="AC229" s="333">
        <v>-4800</v>
      </c>
      <c r="AD229" s="333">
        <v>0</v>
      </c>
      <c r="AE229" s="333"/>
      <c r="AF229" s="333"/>
      <c r="AG229" s="333">
        <f t="shared" si="30"/>
        <v>-1714194.8399999994</v>
      </c>
      <c r="AH229" s="330"/>
      <c r="AI229" s="330">
        <v>4800</v>
      </c>
      <c r="AJ229" s="396">
        <f t="shared" si="31"/>
        <v>-1714194.8399999994</v>
      </c>
      <c r="AK229" s="563"/>
      <c r="AL229" s="285">
        <f>+AC229+AI229</f>
        <v>0</v>
      </c>
      <c r="AM229" s="286"/>
      <c r="AO229" s="330" t="s">
        <v>2848</v>
      </c>
    </row>
    <row r="230" spans="1:41">
      <c r="A230" s="587">
        <f t="shared" si="32"/>
        <v>227</v>
      </c>
      <c r="B230" s="330" t="s">
        <v>1643</v>
      </c>
      <c r="C230" s="330" t="s">
        <v>2852</v>
      </c>
      <c r="D230" s="330" t="s">
        <v>2153</v>
      </c>
      <c r="E230" s="330" t="s">
        <v>2394</v>
      </c>
      <c r="F230" s="330" t="s">
        <v>1647</v>
      </c>
      <c r="G230" s="562">
        <v>1114</v>
      </c>
      <c r="H230" s="562">
        <v>683.3</v>
      </c>
      <c r="I230" s="562">
        <v>795.57</v>
      </c>
      <c r="J230" s="561" t="s">
        <v>1648</v>
      </c>
      <c r="K230" s="330" t="s">
        <v>2853</v>
      </c>
      <c r="L230" s="330" t="s">
        <v>2854</v>
      </c>
      <c r="M230" s="330" t="s">
        <v>2855</v>
      </c>
      <c r="N230" s="330" t="s">
        <v>2856</v>
      </c>
      <c r="O230" s="395">
        <v>45455</v>
      </c>
      <c r="P230" s="333">
        <v>6687429</v>
      </c>
      <c r="Q230" s="330" t="s">
        <v>1653</v>
      </c>
      <c r="R230" s="562">
        <v>0</v>
      </c>
      <c r="S230" s="333">
        <v>0</v>
      </c>
      <c r="T230" s="333">
        <v>-2027292.95</v>
      </c>
      <c r="U230" s="333">
        <f t="shared" si="29"/>
        <v>-2027292.95</v>
      </c>
      <c r="V230" s="333">
        <v>0</v>
      </c>
      <c r="W230" s="333">
        <v>0</v>
      </c>
      <c r="X230" s="333">
        <v>0</v>
      </c>
      <c r="Y230" s="333">
        <v>0</v>
      </c>
      <c r="Z230" s="333">
        <v>0</v>
      </c>
      <c r="AA230" s="333">
        <v>0</v>
      </c>
      <c r="AB230" s="333">
        <v>0</v>
      </c>
      <c r="AC230" s="333">
        <v>0</v>
      </c>
      <c r="AD230" s="333">
        <v>0</v>
      </c>
      <c r="AE230" s="333"/>
      <c r="AF230" s="333"/>
      <c r="AG230" s="333">
        <f t="shared" si="30"/>
        <v>-2027292.95</v>
      </c>
      <c r="AH230" s="330"/>
      <c r="AI230" s="330">
        <v>0</v>
      </c>
      <c r="AJ230" s="396">
        <f t="shared" si="31"/>
        <v>-2027292.95</v>
      </c>
      <c r="AK230" s="563"/>
      <c r="AL230" s="285">
        <f t="shared" si="34"/>
        <v>0</v>
      </c>
      <c r="AM230" s="286"/>
      <c r="AO230" s="330" t="s">
        <v>2853</v>
      </c>
    </row>
    <row r="231" spans="1:41">
      <c r="A231" s="587">
        <f t="shared" si="32"/>
        <v>228</v>
      </c>
      <c r="B231" s="330" t="s">
        <v>1643</v>
      </c>
      <c r="C231" s="330" t="s">
        <v>2857</v>
      </c>
      <c r="D231" s="330" t="s">
        <v>1704</v>
      </c>
      <c r="E231" s="330" t="s">
        <v>2368</v>
      </c>
      <c r="F231" s="330" t="s">
        <v>1647</v>
      </c>
      <c r="G231" s="562">
        <v>1114</v>
      </c>
      <c r="H231" s="562">
        <v>683.3</v>
      </c>
      <c r="I231" s="562">
        <v>795.57</v>
      </c>
      <c r="J231" s="561" t="s">
        <v>1648</v>
      </c>
      <c r="K231" s="330" t="s">
        <v>2858</v>
      </c>
      <c r="L231" s="330" t="s">
        <v>2859</v>
      </c>
      <c r="M231" s="330" t="s">
        <v>2860</v>
      </c>
      <c r="N231" s="330" t="s">
        <v>2861</v>
      </c>
      <c r="O231" s="395">
        <v>45454</v>
      </c>
      <c r="P231" s="333">
        <v>6415142</v>
      </c>
      <c r="Q231" s="330" t="s">
        <v>1653</v>
      </c>
      <c r="R231" s="562">
        <v>0</v>
      </c>
      <c r="S231" s="333">
        <v>0</v>
      </c>
      <c r="T231" s="333">
        <v>-2020768</v>
      </c>
      <c r="U231" s="333">
        <f t="shared" si="29"/>
        <v>-2020768</v>
      </c>
      <c r="V231" s="333">
        <v>0</v>
      </c>
      <c r="W231" s="333">
        <v>0</v>
      </c>
      <c r="X231" s="333">
        <v>0</v>
      </c>
      <c r="Y231" s="333">
        <v>0</v>
      </c>
      <c r="Z231" s="333">
        <v>0</v>
      </c>
      <c r="AA231" s="333">
        <v>0</v>
      </c>
      <c r="AB231" s="333">
        <v>0</v>
      </c>
      <c r="AC231" s="333">
        <v>96227.139999999898</v>
      </c>
      <c r="AD231" s="333">
        <v>0</v>
      </c>
      <c r="AE231" s="333"/>
      <c r="AF231" s="333"/>
      <c r="AG231" s="333">
        <f t="shared" si="30"/>
        <v>-1924540.86</v>
      </c>
      <c r="AH231" s="330"/>
      <c r="AI231" s="330">
        <v>-96227.14</v>
      </c>
      <c r="AJ231" s="396">
        <f t="shared" si="31"/>
        <v>-1924540.86</v>
      </c>
      <c r="AK231" s="563"/>
      <c r="AL231" s="285">
        <f t="shared" ref="AL231:AL233" si="37">+AC231+AI231</f>
        <v>0</v>
      </c>
      <c r="AM231" s="286"/>
      <c r="AO231" s="330" t="s">
        <v>2858</v>
      </c>
    </row>
    <row r="232" spans="1:41">
      <c r="A232" s="587">
        <f t="shared" si="32"/>
        <v>229</v>
      </c>
      <c r="B232" s="330" t="s">
        <v>1643</v>
      </c>
      <c r="C232" s="330" t="s">
        <v>2862</v>
      </c>
      <c r="D232" s="330" t="s">
        <v>1662</v>
      </c>
      <c r="E232" s="330" t="s">
        <v>1897</v>
      </c>
      <c r="F232" s="330" t="s">
        <v>1647</v>
      </c>
      <c r="G232" s="562">
        <v>1114</v>
      </c>
      <c r="H232" s="562">
        <v>683.3</v>
      </c>
      <c r="I232" s="562">
        <v>795.57</v>
      </c>
      <c r="J232" s="561" t="s">
        <v>1810</v>
      </c>
      <c r="K232" s="330" t="s">
        <v>2863</v>
      </c>
      <c r="L232" s="330" t="s">
        <v>2864</v>
      </c>
      <c r="M232" s="330" t="s">
        <v>2865</v>
      </c>
      <c r="N232" s="330" t="s">
        <v>2866</v>
      </c>
      <c r="O232" s="395">
        <v>45467</v>
      </c>
      <c r="P232" s="333">
        <v>6248385</v>
      </c>
      <c r="Q232" s="330" t="s">
        <v>1653</v>
      </c>
      <c r="R232" s="562">
        <v>0</v>
      </c>
      <c r="S232" s="333">
        <v>0</v>
      </c>
      <c r="T232" s="333">
        <v>-1929856.0700000003</v>
      </c>
      <c r="U232" s="333">
        <f t="shared" si="29"/>
        <v>-1929856.0700000003</v>
      </c>
      <c r="V232" s="333">
        <v>0</v>
      </c>
      <c r="W232" s="333">
        <v>0</v>
      </c>
      <c r="X232" s="333">
        <v>0</v>
      </c>
      <c r="Y232" s="333">
        <v>0</v>
      </c>
      <c r="Z232" s="333">
        <v>0</v>
      </c>
      <c r="AA232" s="333">
        <v>0</v>
      </c>
      <c r="AB232" s="333">
        <v>0</v>
      </c>
      <c r="AC232" s="333">
        <v>-7142</v>
      </c>
      <c r="AD232" s="333">
        <v>0</v>
      </c>
      <c r="AE232" s="333"/>
      <c r="AF232" s="333"/>
      <c r="AG232" s="333">
        <f t="shared" si="30"/>
        <v>-1936998.0700000003</v>
      </c>
      <c r="AH232" s="330"/>
      <c r="AI232" s="330">
        <v>7142</v>
      </c>
      <c r="AJ232" s="396">
        <f t="shared" si="31"/>
        <v>-1936998.0700000003</v>
      </c>
      <c r="AK232" s="563"/>
      <c r="AL232" s="285">
        <f t="shared" si="37"/>
        <v>0</v>
      </c>
      <c r="AM232" s="286"/>
      <c r="AO232" s="330" t="s">
        <v>2863</v>
      </c>
    </row>
    <row r="233" spans="1:41">
      <c r="A233" s="587">
        <f t="shared" si="32"/>
        <v>230</v>
      </c>
      <c r="B233" s="330" t="s">
        <v>1643</v>
      </c>
      <c r="C233" s="330" t="s">
        <v>2867</v>
      </c>
      <c r="D233" s="330" t="s">
        <v>1662</v>
      </c>
      <c r="E233" s="330" t="s">
        <v>1656</v>
      </c>
      <c r="F233" s="330" t="s">
        <v>1647</v>
      </c>
      <c r="G233" s="562">
        <v>1114</v>
      </c>
      <c r="H233" s="562">
        <v>683.3</v>
      </c>
      <c r="I233" s="562">
        <v>795.57</v>
      </c>
      <c r="J233" s="561" t="s">
        <v>1648</v>
      </c>
      <c r="K233" s="330" t="s">
        <v>2868</v>
      </c>
      <c r="L233" s="330" t="s">
        <v>2869</v>
      </c>
      <c r="M233" s="330" t="s">
        <v>2870</v>
      </c>
      <c r="N233" s="330" t="s">
        <v>2871</v>
      </c>
      <c r="O233" s="395">
        <v>45462</v>
      </c>
      <c r="P233" s="333">
        <v>6540096</v>
      </c>
      <c r="Q233" s="330" t="s">
        <v>1653</v>
      </c>
      <c r="R233" s="562">
        <v>0</v>
      </c>
      <c r="S233" s="333">
        <v>0</v>
      </c>
      <c r="T233" s="333">
        <v>-2027426.5199999998</v>
      </c>
      <c r="U233" s="333">
        <f t="shared" si="29"/>
        <v>-2027426.5199999998</v>
      </c>
      <c r="V233" s="333">
        <v>0</v>
      </c>
      <c r="W233" s="333">
        <v>0</v>
      </c>
      <c r="X233" s="333">
        <v>0</v>
      </c>
      <c r="Y233" s="333">
        <v>0</v>
      </c>
      <c r="Z233" s="333">
        <v>0</v>
      </c>
      <c r="AA233" s="333">
        <v>0</v>
      </c>
      <c r="AB233" s="333">
        <v>0</v>
      </c>
      <c r="AC233" s="333">
        <v>-2429</v>
      </c>
      <c r="AD233" s="333">
        <v>0</v>
      </c>
      <c r="AE233" s="333"/>
      <c r="AF233" s="333"/>
      <c r="AG233" s="333">
        <f t="shared" si="30"/>
        <v>-2029855.5199999998</v>
      </c>
      <c r="AH233" s="330"/>
      <c r="AI233" s="330">
        <v>2429</v>
      </c>
      <c r="AJ233" s="396">
        <f t="shared" si="31"/>
        <v>-2029855.5199999998</v>
      </c>
      <c r="AK233" s="563"/>
      <c r="AL233" s="285">
        <f t="shared" si="37"/>
        <v>0</v>
      </c>
      <c r="AM233" s="286"/>
      <c r="AO233" s="330" t="s">
        <v>2868</v>
      </c>
    </row>
    <row r="234" spans="1:41">
      <c r="A234" s="587">
        <f t="shared" si="32"/>
        <v>231</v>
      </c>
      <c r="B234" s="330" t="s">
        <v>1643</v>
      </c>
      <c r="C234" s="330" t="s">
        <v>2872</v>
      </c>
      <c r="D234" s="330" t="s">
        <v>1677</v>
      </c>
      <c r="E234" s="330" t="s">
        <v>2873</v>
      </c>
      <c r="F234" s="330" t="s">
        <v>1647</v>
      </c>
      <c r="G234" s="562">
        <v>1012</v>
      </c>
      <c r="H234" s="562">
        <v>653.59</v>
      </c>
      <c r="I234" s="562">
        <v>723.02</v>
      </c>
      <c r="J234" s="561" t="s">
        <v>1648</v>
      </c>
      <c r="K234" s="330" t="s">
        <v>2874</v>
      </c>
      <c r="L234" s="330" t="s">
        <v>2875</v>
      </c>
      <c r="M234" s="330" t="s">
        <v>2876</v>
      </c>
      <c r="N234" s="330" t="s">
        <v>12</v>
      </c>
      <c r="O234" s="395"/>
      <c r="P234" s="333">
        <v>6089238</v>
      </c>
      <c r="Q234" s="330" t="s">
        <v>1660</v>
      </c>
      <c r="R234" s="562">
        <v>0</v>
      </c>
      <c r="S234" s="333">
        <v>0</v>
      </c>
      <c r="T234" s="333">
        <v>0</v>
      </c>
      <c r="U234" s="333">
        <f t="shared" si="29"/>
        <v>0</v>
      </c>
      <c r="V234" s="333">
        <v>0</v>
      </c>
      <c r="W234" s="333">
        <v>0</v>
      </c>
      <c r="X234" s="333">
        <v>0</v>
      </c>
      <c r="Y234" s="333">
        <v>0</v>
      </c>
      <c r="Z234" s="333">
        <v>0</v>
      </c>
      <c r="AA234" s="333">
        <v>0</v>
      </c>
      <c r="AB234" s="333">
        <v>0</v>
      </c>
      <c r="AC234" s="333">
        <v>0</v>
      </c>
      <c r="AD234" s="333">
        <v>0</v>
      </c>
      <c r="AE234" s="333"/>
      <c r="AF234" s="333"/>
      <c r="AG234" s="333">
        <f t="shared" si="30"/>
        <v>0</v>
      </c>
      <c r="AH234" s="330"/>
      <c r="AI234" s="330">
        <v>0</v>
      </c>
      <c r="AJ234" s="396">
        <f t="shared" si="31"/>
        <v>0</v>
      </c>
      <c r="AK234" s="563"/>
      <c r="AL234" s="285">
        <f t="shared" si="34"/>
        <v>0</v>
      </c>
      <c r="AM234" s="286"/>
      <c r="AO234" s="330" t="s">
        <v>2874</v>
      </c>
    </row>
    <row r="235" spans="1:41">
      <c r="A235" s="587">
        <f t="shared" si="32"/>
        <v>232</v>
      </c>
      <c r="B235" s="330" t="s">
        <v>1643</v>
      </c>
      <c r="C235" s="330" t="s">
        <v>2877</v>
      </c>
      <c r="D235" s="330" t="s">
        <v>1669</v>
      </c>
      <c r="E235" s="330" t="s">
        <v>2073</v>
      </c>
      <c r="F235" s="330" t="s">
        <v>1671</v>
      </c>
      <c r="G235" s="562">
        <v>1787</v>
      </c>
      <c r="H235" s="562">
        <v>1138.51</v>
      </c>
      <c r="I235" s="562">
        <v>1276.29</v>
      </c>
      <c r="J235" s="561" t="s">
        <v>1648</v>
      </c>
      <c r="K235" s="330" t="s">
        <v>2878</v>
      </c>
      <c r="L235" s="330" t="s">
        <v>2879</v>
      </c>
      <c r="M235" s="330" t="s">
        <v>2880</v>
      </c>
      <c r="N235" s="330" t="s">
        <v>2881</v>
      </c>
      <c r="O235" s="395">
        <v>45428</v>
      </c>
      <c r="P235" s="333">
        <v>11171089</v>
      </c>
      <c r="Q235" s="330" t="s">
        <v>1653</v>
      </c>
      <c r="R235" s="562">
        <v>0</v>
      </c>
      <c r="S235" s="333">
        <v>0</v>
      </c>
      <c r="T235" s="333">
        <v>-2773133.6599999997</v>
      </c>
      <c r="U235" s="333">
        <f t="shared" si="29"/>
        <v>-2773133.6599999997</v>
      </c>
      <c r="V235" s="333">
        <v>-286482.15000000002</v>
      </c>
      <c r="W235" s="333">
        <v>0</v>
      </c>
      <c r="X235" s="333">
        <v>0</v>
      </c>
      <c r="Y235" s="333">
        <v>0</v>
      </c>
      <c r="Z235" s="333">
        <v>0</v>
      </c>
      <c r="AA235" s="333">
        <v>0</v>
      </c>
      <c r="AB235" s="333">
        <v>0</v>
      </c>
      <c r="AC235" s="333">
        <v>0</v>
      </c>
      <c r="AD235" s="333">
        <v>0</v>
      </c>
      <c r="AE235" s="333"/>
      <c r="AF235" s="333"/>
      <c r="AG235" s="333">
        <f t="shared" si="30"/>
        <v>-3059615.8099999996</v>
      </c>
      <c r="AH235" s="330"/>
      <c r="AI235" s="330">
        <v>0</v>
      </c>
      <c r="AJ235" s="396">
        <f t="shared" si="31"/>
        <v>-3059615.8099999996</v>
      </c>
      <c r="AK235" s="563"/>
      <c r="AL235" s="285">
        <f t="shared" si="34"/>
        <v>0</v>
      </c>
      <c r="AM235" s="286"/>
      <c r="AO235" s="330" t="s">
        <v>2878</v>
      </c>
    </row>
    <row r="236" spans="1:41">
      <c r="A236" s="587">
        <f t="shared" si="32"/>
        <v>233</v>
      </c>
      <c r="B236" s="330" t="s">
        <v>1643</v>
      </c>
      <c r="C236" s="330" t="s">
        <v>2882</v>
      </c>
      <c r="D236" s="330" t="s">
        <v>1662</v>
      </c>
      <c r="E236" s="330" t="s">
        <v>2883</v>
      </c>
      <c r="F236" s="330" t="s">
        <v>1671</v>
      </c>
      <c r="G236" s="562">
        <v>1498</v>
      </c>
      <c r="H236" s="562">
        <v>954.87</v>
      </c>
      <c r="I236" s="562">
        <v>1069.73</v>
      </c>
      <c r="J236" s="561" t="s">
        <v>1648</v>
      </c>
      <c r="K236" s="330" t="s">
        <v>2884</v>
      </c>
      <c r="L236" s="330" t="s">
        <v>2885</v>
      </c>
      <c r="M236" s="330" t="s">
        <v>2886</v>
      </c>
      <c r="N236" s="330" t="s">
        <v>2887</v>
      </c>
      <c r="O236" s="395">
        <v>45429</v>
      </c>
      <c r="P236" s="333">
        <v>8603809</v>
      </c>
      <c r="Q236" s="330" t="s">
        <v>1653</v>
      </c>
      <c r="R236" s="562">
        <v>0</v>
      </c>
      <c r="S236" s="333">
        <v>0</v>
      </c>
      <c r="T236" s="333">
        <v>-2538125.86</v>
      </c>
      <c r="U236" s="333">
        <f t="shared" si="29"/>
        <v>-2538125.86</v>
      </c>
      <c r="V236" s="333">
        <v>0</v>
      </c>
      <c r="W236" s="333">
        <v>0</v>
      </c>
      <c r="X236" s="333">
        <v>0</v>
      </c>
      <c r="Y236" s="333">
        <v>0</v>
      </c>
      <c r="Z236" s="333">
        <v>0</v>
      </c>
      <c r="AA236" s="333">
        <v>0</v>
      </c>
      <c r="AB236" s="333">
        <v>0</v>
      </c>
      <c r="AC236" s="333">
        <v>-43019.099999999977</v>
      </c>
      <c r="AD236" s="333">
        <v>0</v>
      </c>
      <c r="AE236" s="333"/>
      <c r="AF236" s="333"/>
      <c r="AG236" s="333">
        <f t="shared" si="30"/>
        <v>-2581144.96</v>
      </c>
      <c r="AH236" s="330"/>
      <c r="AI236" s="330">
        <v>43019.1</v>
      </c>
      <c r="AJ236" s="396">
        <f t="shared" si="31"/>
        <v>-2581144.96</v>
      </c>
      <c r="AK236" s="563"/>
      <c r="AL236" s="285">
        <f t="shared" ref="AL236:AL238" si="38">+AC236+AI236</f>
        <v>0</v>
      </c>
      <c r="AM236" s="286"/>
      <c r="AO236" s="330" t="s">
        <v>2884</v>
      </c>
    </row>
    <row r="237" spans="1:41">
      <c r="A237" s="587">
        <f t="shared" si="32"/>
        <v>234</v>
      </c>
      <c r="B237" s="330" t="s">
        <v>1643</v>
      </c>
      <c r="C237" s="330" t="s">
        <v>2888</v>
      </c>
      <c r="D237" s="330" t="s">
        <v>1662</v>
      </c>
      <c r="E237" s="330" t="s">
        <v>2368</v>
      </c>
      <c r="F237" s="330" t="s">
        <v>1647</v>
      </c>
      <c r="G237" s="562">
        <v>1114</v>
      </c>
      <c r="H237" s="562">
        <v>683.3</v>
      </c>
      <c r="I237" s="562">
        <v>795.57</v>
      </c>
      <c r="J237" s="561" t="s">
        <v>1648</v>
      </c>
      <c r="K237" s="330" t="s">
        <v>2889</v>
      </c>
      <c r="L237" s="330" t="s">
        <v>2890</v>
      </c>
      <c r="M237" s="330" t="s">
        <v>2891</v>
      </c>
      <c r="N237" s="330" t="s">
        <v>2892</v>
      </c>
      <c r="O237" s="395">
        <v>45429</v>
      </c>
      <c r="P237" s="333">
        <v>6320782</v>
      </c>
      <c r="Q237" s="330" t="s">
        <v>1653</v>
      </c>
      <c r="R237" s="562">
        <v>0</v>
      </c>
      <c r="S237" s="333">
        <v>0</v>
      </c>
      <c r="T237" s="333">
        <v>-1952250.26</v>
      </c>
      <c r="U237" s="333">
        <f t="shared" si="29"/>
        <v>-1952250.26</v>
      </c>
      <c r="V237" s="333">
        <v>0</v>
      </c>
      <c r="W237" s="333">
        <v>0</v>
      </c>
      <c r="X237" s="333">
        <v>0</v>
      </c>
      <c r="Y237" s="333">
        <v>0</v>
      </c>
      <c r="Z237" s="333">
        <v>0</v>
      </c>
      <c r="AA237" s="333">
        <v>0</v>
      </c>
      <c r="AB237" s="333">
        <v>0</v>
      </c>
      <c r="AC237" s="333">
        <v>-7190.4800000000105</v>
      </c>
      <c r="AD237" s="333">
        <v>0</v>
      </c>
      <c r="AE237" s="333"/>
      <c r="AF237" s="333"/>
      <c r="AG237" s="333">
        <f t="shared" si="30"/>
        <v>-1959440.74</v>
      </c>
      <c r="AH237" s="330"/>
      <c r="AI237" s="330">
        <v>7190.48</v>
      </c>
      <c r="AJ237" s="396">
        <f t="shared" si="31"/>
        <v>-1959440.74</v>
      </c>
      <c r="AK237" s="563"/>
      <c r="AL237" s="285">
        <f t="shared" si="38"/>
        <v>-1.0913936421275139E-11</v>
      </c>
      <c r="AM237" s="286"/>
      <c r="AO237" s="330" t="s">
        <v>2889</v>
      </c>
    </row>
    <row r="238" spans="1:41">
      <c r="A238" s="587">
        <f t="shared" si="32"/>
        <v>235</v>
      </c>
      <c r="B238" s="330" t="s">
        <v>1643</v>
      </c>
      <c r="C238" s="330" t="s">
        <v>2893</v>
      </c>
      <c r="D238" s="330" t="s">
        <v>1662</v>
      </c>
      <c r="E238" s="330" t="s">
        <v>1711</v>
      </c>
      <c r="F238" s="330" t="s">
        <v>1647</v>
      </c>
      <c r="G238" s="562">
        <v>1012</v>
      </c>
      <c r="H238" s="562">
        <v>653.59</v>
      </c>
      <c r="I238" s="562">
        <v>723.02</v>
      </c>
      <c r="J238" s="561" t="s">
        <v>1679</v>
      </c>
      <c r="K238" s="330" t="s">
        <v>2894</v>
      </c>
      <c r="L238" s="330" t="s">
        <v>2895</v>
      </c>
      <c r="M238" s="330" t="s">
        <v>2896</v>
      </c>
      <c r="N238" s="330" t="s">
        <v>2897</v>
      </c>
      <c r="O238" s="395">
        <v>45469</v>
      </c>
      <c r="P238" s="333">
        <v>5668460</v>
      </c>
      <c r="Q238" s="330" t="s">
        <v>1653</v>
      </c>
      <c r="R238" s="562">
        <v>0</v>
      </c>
      <c r="S238" s="333">
        <v>0</v>
      </c>
      <c r="T238" s="333">
        <v>-1543696.0999999992</v>
      </c>
      <c r="U238" s="333">
        <f t="shared" si="29"/>
        <v>-1543696.0999999992</v>
      </c>
      <c r="V238" s="333">
        <v>-147514</v>
      </c>
      <c r="W238" s="333">
        <v>0</v>
      </c>
      <c r="X238" s="333">
        <v>0</v>
      </c>
      <c r="Y238" s="333">
        <v>0</v>
      </c>
      <c r="Z238" s="333">
        <v>0</v>
      </c>
      <c r="AA238" s="333">
        <v>0</v>
      </c>
      <c r="AB238" s="333">
        <v>0</v>
      </c>
      <c r="AC238" s="333">
        <v>-2185</v>
      </c>
      <c r="AD238" s="333">
        <v>0</v>
      </c>
      <c r="AE238" s="333"/>
      <c r="AF238" s="333"/>
      <c r="AG238" s="333">
        <f t="shared" si="30"/>
        <v>-1693395.0999999992</v>
      </c>
      <c r="AH238" s="330"/>
      <c r="AI238" s="330">
        <v>2185</v>
      </c>
      <c r="AJ238" s="396">
        <f t="shared" si="31"/>
        <v>-1693395.0999999992</v>
      </c>
      <c r="AK238" s="563"/>
      <c r="AL238" s="285">
        <f t="shared" si="38"/>
        <v>0</v>
      </c>
      <c r="AM238" s="286"/>
      <c r="AO238" s="330" t="s">
        <v>2894</v>
      </c>
    </row>
    <row r="239" spans="1:41">
      <c r="A239" s="587">
        <f t="shared" si="32"/>
        <v>236</v>
      </c>
      <c r="B239" s="330" t="s">
        <v>1643</v>
      </c>
      <c r="C239" s="330" t="s">
        <v>2898</v>
      </c>
      <c r="D239" s="330" t="s">
        <v>2153</v>
      </c>
      <c r="E239" s="330" t="s">
        <v>1696</v>
      </c>
      <c r="F239" s="330" t="s">
        <v>1647</v>
      </c>
      <c r="G239" s="562">
        <v>1114</v>
      </c>
      <c r="H239" s="562">
        <v>683.3</v>
      </c>
      <c r="I239" s="562">
        <v>795.57</v>
      </c>
      <c r="J239" s="561" t="s">
        <v>1648</v>
      </c>
      <c r="K239" s="330" t="s">
        <v>2899</v>
      </c>
      <c r="L239" s="330" t="s">
        <v>2900</v>
      </c>
      <c r="M239" s="330" t="s">
        <v>2901</v>
      </c>
      <c r="N239" s="330" t="s">
        <v>2902</v>
      </c>
      <c r="O239" s="395">
        <v>45446</v>
      </c>
      <c r="P239" s="333">
        <v>6535714</v>
      </c>
      <c r="Q239" s="330" t="s">
        <v>1653</v>
      </c>
      <c r="R239" s="562">
        <v>0</v>
      </c>
      <c r="S239" s="333">
        <v>0</v>
      </c>
      <c r="T239" s="333">
        <v>-2026073.4200000002</v>
      </c>
      <c r="U239" s="333">
        <f t="shared" si="29"/>
        <v>-2026073.4200000002</v>
      </c>
      <c r="V239" s="333">
        <v>0</v>
      </c>
      <c r="W239" s="333">
        <v>0</v>
      </c>
      <c r="X239" s="333">
        <v>0</v>
      </c>
      <c r="Y239" s="333">
        <v>0</v>
      </c>
      <c r="Z239" s="333">
        <v>0</v>
      </c>
      <c r="AA239" s="333">
        <v>0</v>
      </c>
      <c r="AB239" s="333">
        <v>0</v>
      </c>
      <c r="AC239" s="333">
        <v>0</v>
      </c>
      <c r="AD239" s="333">
        <v>0</v>
      </c>
      <c r="AE239" s="333"/>
      <c r="AF239" s="333"/>
      <c r="AG239" s="333">
        <f t="shared" si="30"/>
        <v>-2026073.4200000002</v>
      </c>
      <c r="AH239" s="330"/>
      <c r="AI239" s="330">
        <v>0</v>
      </c>
      <c r="AJ239" s="396">
        <f t="shared" si="31"/>
        <v>-2026073.4200000002</v>
      </c>
      <c r="AK239" s="563"/>
      <c r="AL239" s="285">
        <f t="shared" si="34"/>
        <v>0</v>
      </c>
      <c r="AM239" s="286"/>
      <c r="AO239" s="330" t="s">
        <v>2899</v>
      </c>
    </row>
    <row r="240" spans="1:41">
      <c r="A240" s="587">
        <f t="shared" si="32"/>
        <v>237</v>
      </c>
      <c r="B240" s="330" t="s">
        <v>1643</v>
      </c>
      <c r="C240" s="330" t="s">
        <v>2315</v>
      </c>
      <c r="D240" s="330" t="s">
        <v>1704</v>
      </c>
      <c r="E240" s="330" t="s">
        <v>2316</v>
      </c>
      <c r="F240" s="330" t="s">
        <v>1647</v>
      </c>
      <c r="G240" s="562">
        <v>1012</v>
      </c>
      <c r="H240" s="562">
        <v>653.59</v>
      </c>
      <c r="I240" s="562">
        <v>723.02</v>
      </c>
      <c r="J240" s="561" t="s">
        <v>1648</v>
      </c>
      <c r="K240" s="330" t="s">
        <v>2903</v>
      </c>
      <c r="L240" s="330" t="s">
        <v>2904</v>
      </c>
      <c r="M240" s="330" t="s">
        <v>2905</v>
      </c>
      <c r="N240" s="330" t="s">
        <v>2320</v>
      </c>
      <c r="O240" s="395">
        <v>45461</v>
      </c>
      <c r="P240" s="333">
        <v>5776762</v>
      </c>
      <c r="Q240" s="330" t="s">
        <v>1660</v>
      </c>
      <c r="R240" s="562">
        <v>0</v>
      </c>
      <c r="S240" s="333">
        <v>0</v>
      </c>
      <c r="T240" s="333">
        <v>0</v>
      </c>
      <c r="U240" s="333">
        <f t="shared" si="29"/>
        <v>0</v>
      </c>
      <c r="V240" s="333">
        <v>0</v>
      </c>
      <c r="W240" s="333">
        <v>0</v>
      </c>
      <c r="X240" s="333">
        <v>0</v>
      </c>
      <c r="Y240" s="333">
        <v>0</v>
      </c>
      <c r="Z240" s="333">
        <v>0</v>
      </c>
      <c r="AA240" s="333">
        <v>0</v>
      </c>
      <c r="AB240" s="333">
        <v>0</v>
      </c>
      <c r="AC240" s="333">
        <v>0</v>
      </c>
      <c r="AD240" s="333">
        <v>0</v>
      </c>
      <c r="AE240" s="333"/>
      <c r="AF240" s="333"/>
      <c r="AG240" s="333">
        <f t="shared" si="30"/>
        <v>0</v>
      </c>
      <c r="AH240" s="330"/>
      <c r="AI240" s="330">
        <v>0</v>
      </c>
      <c r="AJ240" s="396">
        <f t="shared" si="31"/>
        <v>0</v>
      </c>
      <c r="AK240" s="563"/>
      <c r="AL240" s="285">
        <f t="shared" si="34"/>
        <v>0</v>
      </c>
      <c r="AM240" s="286"/>
      <c r="AO240" s="330" t="s">
        <v>2903</v>
      </c>
    </row>
    <row r="241" spans="1:41">
      <c r="A241" s="587">
        <f t="shared" si="32"/>
        <v>238</v>
      </c>
      <c r="B241" s="330" t="s">
        <v>1643</v>
      </c>
      <c r="C241" s="330" t="s">
        <v>2906</v>
      </c>
      <c r="D241" s="330" t="s">
        <v>1677</v>
      </c>
      <c r="E241" s="330" t="s">
        <v>2907</v>
      </c>
      <c r="F241" s="330" t="s">
        <v>1647</v>
      </c>
      <c r="G241" s="562">
        <v>1012</v>
      </c>
      <c r="H241" s="562">
        <v>653.59</v>
      </c>
      <c r="I241" s="562">
        <v>723.02</v>
      </c>
      <c r="J241" s="561" t="s">
        <v>1679</v>
      </c>
      <c r="K241" s="330" t="s">
        <v>2908</v>
      </c>
      <c r="L241" s="330" t="s">
        <v>2909</v>
      </c>
      <c r="M241" s="330" t="s">
        <v>2910</v>
      </c>
      <c r="N241" s="330" t="s">
        <v>12</v>
      </c>
      <c r="O241" s="395"/>
      <c r="P241" s="333">
        <v>6084762</v>
      </c>
      <c r="Q241" s="330" t="s">
        <v>1653</v>
      </c>
      <c r="R241" s="562">
        <v>0</v>
      </c>
      <c r="S241" s="333">
        <v>0</v>
      </c>
      <c r="T241" s="333">
        <v>-311381</v>
      </c>
      <c r="U241" s="333">
        <f t="shared" si="29"/>
        <v>-311381</v>
      </c>
      <c r="V241" s="333">
        <v>0</v>
      </c>
      <c r="W241" s="333">
        <v>0</v>
      </c>
      <c r="X241" s="333">
        <v>0</v>
      </c>
      <c r="Y241" s="333">
        <v>0</v>
      </c>
      <c r="Z241" s="333">
        <v>0</v>
      </c>
      <c r="AA241" s="333">
        <v>0</v>
      </c>
      <c r="AB241" s="333">
        <v>0</v>
      </c>
      <c r="AC241" s="333">
        <v>-8069</v>
      </c>
      <c r="AD241" s="333">
        <v>0</v>
      </c>
      <c r="AE241" s="333"/>
      <c r="AF241" s="333"/>
      <c r="AG241" s="333">
        <f t="shared" si="30"/>
        <v>-319450</v>
      </c>
      <c r="AH241" s="330"/>
      <c r="AI241" s="330">
        <v>8069</v>
      </c>
      <c r="AJ241" s="396">
        <f t="shared" si="31"/>
        <v>-319450</v>
      </c>
      <c r="AK241" s="563"/>
      <c r="AL241" s="285">
        <f t="shared" ref="AL241:AL243" si="39">+AC241+AI241</f>
        <v>0</v>
      </c>
      <c r="AM241" s="286"/>
      <c r="AO241" s="330" t="s">
        <v>2908</v>
      </c>
    </row>
    <row r="242" spans="1:41">
      <c r="A242" s="587">
        <f t="shared" si="32"/>
        <v>239</v>
      </c>
      <c r="B242" s="330" t="s">
        <v>1643</v>
      </c>
      <c r="C242" s="330" t="s">
        <v>2911</v>
      </c>
      <c r="D242" s="330" t="s">
        <v>1669</v>
      </c>
      <c r="E242" s="330" t="s">
        <v>2513</v>
      </c>
      <c r="F242" s="330" t="s">
        <v>1671</v>
      </c>
      <c r="G242" s="562">
        <v>1787</v>
      </c>
      <c r="H242" s="562">
        <v>1138.51</v>
      </c>
      <c r="I242" s="562">
        <v>1276.29</v>
      </c>
      <c r="J242" s="561" t="s">
        <v>1648</v>
      </c>
      <c r="K242" s="330" t="s">
        <v>2912</v>
      </c>
      <c r="L242" s="330" t="s">
        <v>2913</v>
      </c>
      <c r="M242" s="330" t="s">
        <v>2914</v>
      </c>
      <c r="N242" s="330" t="s">
        <v>2915</v>
      </c>
      <c r="O242" s="395">
        <v>45436</v>
      </c>
      <c r="P242" s="333">
        <v>11312476</v>
      </c>
      <c r="Q242" s="330" t="s">
        <v>1653</v>
      </c>
      <c r="R242" s="562">
        <v>0</v>
      </c>
      <c r="S242" s="333">
        <v>0</v>
      </c>
      <c r="T242" s="333">
        <v>-3563429</v>
      </c>
      <c r="U242" s="333">
        <f t="shared" si="29"/>
        <v>-3563429</v>
      </c>
      <c r="V242" s="333">
        <v>3450305</v>
      </c>
      <c r="W242" s="333">
        <v>0</v>
      </c>
      <c r="X242" s="333">
        <v>0</v>
      </c>
      <c r="Y242" s="333">
        <v>0</v>
      </c>
      <c r="Z242" s="333">
        <v>0</v>
      </c>
      <c r="AA242" s="333">
        <v>0</v>
      </c>
      <c r="AB242" s="333">
        <v>0</v>
      </c>
      <c r="AC242" s="333">
        <v>169687.1</v>
      </c>
      <c r="AD242" s="333">
        <v>-3450305</v>
      </c>
      <c r="AE242" s="333"/>
      <c r="AF242" s="333"/>
      <c r="AG242" s="333">
        <f t="shared" si="30"/>
        <v>-3393741.9</v>
      </c>
      <c r="AH242" s="330"/>
      <c r="AI242" s="330">
        <v>-169687.1</v>
      </c>
      <c r="AJ242" s="396">
        <f t="shared" si="31"/>
        <v>-3393741.9</v>
      </c>
      <c r="AK242" s="563"/>
      <c r="AL242" s="285">
        <f t="shared" si="39"/>
        <v>0</v>
      </c>
      <c r="AM242" s="286"/>
      <c r="AO242" s="330" t="s">
        <v>2912</v>
      </c>
    </row>
    <row r="243" spans="1:41">
      <c r="A243" s="587">
        <f t="shared" si="32"/>
        <v>240</v>
      </c>
      <c r="B243" s="330" t="s">
        <v>1643</v>
      </c>
      <c r="C243" s="330" t="s">
        <v>2916</v>
      </c>
      <c r="D243" s="330" t="s">
        <v>1669</v>
      </c>
      <c r="E243" s="330" t="s">
        <v>1990</v>
      </c>
      <c r="F243" s="330" t="s">
        <v>1671</v>
      </c>
      <c r="G243" s="562">
        <v>1840</v>
      </c>
      <c r="H243" s="562">
        <v>1138.51</v>
      </c>
      <c r="I243" s="562">
        <v>1314.23</v>
      </c>
      <c r="J243" s="561" t="s">
        <v>1810</v>
      </c>
      <c r="K243" s="330" t="s">
        <v>2917</v>
      </c>
      <c r="L243" s="330" t="s">
        <v>2918</v>
      </c>
      <c r="M243" s="330" t="s">
        <v>2919</v>
      </c>
      <c r="N243" s="330" t="s">
        <v>2920</v>
      </c>
      <c r="O243" s="395">
        <v>45439</v>
      </c>
      <c r="P243" s="333">
        <v>11315525</v>
      </c>
      <c r="Q243" s="330" t="s">
        <v>1653</v>
      </c>
      <c r="R243" s="562">
        <v>0</v>
      </c>
      <c r="S243" s="333">
        <v>0</v>
      </c>
      <c r="T243" s="333">
        <v>-3494478.1199999992</v>
      </c>
      <c r="U243" s="333">
        <f t="shared" si="29"/>
        <v>-3494478.1199999992</v>
      </c>
      <c r="V243" s="333">
        <v>0</v>
      </c>
      <c r="W243" s="333">
        <v>0</v>
      </c>
      <c r="X243" s="333">
        <v>0</v>
      </c>
      <c r="Y243" s="333">
        <v>0</v>
      </c>
      <c r="Z243" s="333">
        <v>0</v>
      </c>
      <c r="AA243" s="333">
        <v>0</v>
      </c>
      <c r="AB243" s="333">
        <v>0</v>
      </c>
      <c r="AC243" s="333">
        <v>-14332</v>
      </c>
      <c r="AD243" s="333">
        <v>0</v>
      </c>
      <c r="AE243" s="333"/>
      <c r="AF243" s="333"/>
      <c r="AG243" s="333">
        <f t="shared" si="30"/>
        <v>-3508810.1199999992</v>
      </c>
      <c r="AH243" s="330"/>
      <c r="AI243" s="330">
        <v>14332</v>
      </c>
      <c r="AJ243" s="396">
        <f t="shared" si="31"/>
        <v>-3508810.1199999992</v>
      </c>
      <c r="AK243" s="563"/>
      <c r="AL243" s="285">
        <f t="shared" si="39"/>
        <v>0</v>
      </c>
      <c r="AM243" s="286"/>
      <c r="AO243" s="330" t="s">
        <v>2917</v>
      </c>
    </row>
    <row r="244" spans="1:41">
      <c r="A244" s="587">
        <f t="shared" si="32"/>
        <v>241</v>
      </c>
      <c r="B244" s="330" t="s">
        <v>1643</v>
      </c>
      <c r="C244" s="330" t="s">
        <v>2921</v>
      </c>
      <c r="D244" s="330" t="s">
        <v>1655</v>
      </c>
      <c r="E244" s="330" t="s">
        <v>1846</v>
      </c>
      <c r="F244" s="330" t="s">
        <v>1647</v>
      </c>
      <c r="G244" s="562">
        <v>1114</v>
      </c>
      <c r="H244" s="562">
        <v>683.3</v>
      </c>
      <c r="I244" s="562">
        <v>795.57</v>
      </c>
      <c r="J244" s="561" t="s">
        <v>1648</v>
      </c>
      <c r="K244" s="330" t="s">
        <v>2922</v>
      </c>
      <c r="L244" s="330" t="s">
        <v>2923</v>
      </c>
      <c r="M244" s="330" t="s">
        <v>2924</v>
      </c>
      <c r="N244" s="330" t="s">
        <v>12</v>
      </c>
      <c r="O244" s="395"/>
      <c r="P244" s="333">
        <v>6848190</v>
      </c>
      <c r="Q244" s="330" t="s">
        <v>1653</v>
      </c>
      <c r="R244" s="562">
        <v>0</v>
      </c>
      <c r="S244" s="333">
        <v>0</v>
      </c>
      <c r="T244" s="333">
        <v>-659400</v>
      </c>
      <c r="U244" s="333">
        <f t="shared" si="29"/>
        <v>-659400</v>
      </c>
      <c r="V244" s="333">
        <v>0</v>
      </c>
      <c r="W244" s="333">
        <v>0</v>
      </c>
      <c r="X244" s="333">
        <v>0</v>
      </c>
      <c r="Y244" s="333">
        <v>0</v>
      </c>
      <c r="Z244" s="333">
        <v>0</v>
      </c>
      <c r="AA244" s="333">
        <v>0</v>
      </c>
      <c r="AB244" s="333">
        <v>0</v>
      </c>
      <c r="AC244" s="333">
        <v>0</v>
      </c>
      <c r="AD244" s="333">
        <v>0</v>
      </c>
      <c r="AE244" s="333"/>
      <c r="AF244" s="333"/>
      <c r="AG244" s="333">
        <f t="shared" si="30"/>
        <v>-659400</v>
      </c>
      <c r="AH244" s="330"/>
      <c r="AI244" s="330">
        <v>0</v>
      </c>
      <c r="AJ244" s="396">
        <f t="shared" si="31"/>
        <v>-659400</v>
      </c>
      <c r="AK244" s="563"/>
      <c r="AL244" s="285">
        <f t="shared" si="34"/>
        <v>0</v>
      </c>
      <c r="AM244" s="286"/>
      <c r="AO244" s="330" t="s">
        <v>2922</v>
      </c>
    </row>
    <row r="245" spans="1:41">
      <c r="A245" s="587">
        <f t="shared" si="32"/>
        <v>242</v>
      </c>
      <c r="B245" s="330" t="s">
        <v>1643</v>
      </c>
      <c r="C245" s="330" t="s">
        <v>2925</v>
      </c>
      <c r="D245" s="330" t="s">
        <v>1746</v>
      </c>
      <c r="E245" s="330" t="s">
        <v>1978</v>
      </c>
      <c r="F245" s="330" t="s">
        <v>1647</v>
      </c>
      <c r="G245" s="562">
        <v>1012</v>
      </c>
      <c r="H245" s="562">
        <v>653.59</v>
      </c>
      <c r="I245" s="562">
        <v>723.02</v>
      </c>
      <c r="J245" s="561" t="s">
        <v>1648</v>
      </c>
      <c r="K245" s="330" t="s">
        <v>2926</v>
      </c>
      <c r="L245" s="330" t="s">
        <v>2927</v>
      </c>
      <c r="M245" s="330" t="s">
        <v>2928</v>
      </c>
      <c r="N245" s="330" t="s">
        <v>2929</v>
      </c>
      <c r="O245" s="395">
        <v>45428</v>
      </c>
      <c r="P245" s="333">
        <v>5683644</v>
      </c>
      <c r="Q245" s="330" t="s">
        <v>1653</v>
      </c>
      <c r="R245" s="562">
        <v>0</v>
      </c>
      <c r="S245" s="333">
        <v>0</v>
      </c>
      <c r="T245" s="333">
        <v>-1760988.3399999996</v>
      </c>
      <c r="U245" s="333">
        <f t="shared" si="29"/>
        <v>-1760988.3399999996</v>
      </c>
      <c r="V245" s="333">
        <v>31520</v>
      </c>
      <c r="W245" s="333">
        <v>0</v>
      </c>
      <c r="X245" s="333">
        <v>0</v>
      </c>
      <c r="Y245" s="333">
        <v>0</v>
      </c>
      <c r="Z245" s="333">
        <v>0</v>
      </c>
      <c r="AA245" s="333">
        <v>0</v>
      </c>
      <c r="AB245" s="333">
        <v>0</v>
      </c>
      <c r="AC245" s="333">
        <v>-7142</v>
      </c>
      <c r="AD245" s="333">
        <v>0</v>
      </c>
      <c r="AE245" s="333"/>
      <c r="AF245" s="333"/>
      <c r="AG245" s="333">
        <f t="shared" si="30"/>
        <v>-1736610.3399999996</v>
      </c>
      <c r="AH245" s="330"/>
      <c r="AI245" s="330">
        <v>7142</v>
      </c>
      <c r="AJ245" s="396">
        <f t="shared" si="31"/>
        <v>-1736610.3399999996</v>
      </c>
      <c r="AK245" s="563"/>
      <c r="AL245" s="285">
        <f t="shared" ref="AL245:AL246" si="40">+AC245+AI245</f>
        <v>0</v>
      </c>
      <c r="AM245" s="286"/>
      <c r="AO245" s="330" t="s">
        <v>2926</v>
      </c>
    </row>
    <row r="246" spans="1:41">
      <c r="A246" s="587">
        <f t="shared" si="32"/>
        <v>243</v>
      </c>
      <c r="B246" s="330" t="s">
        <v>1643</v>
      </c>
      <c r="C246" s="330" t="s">
        <v>2930</v>
      </c>
      <c r="D246" s="330" t="s">
        <v>1662</v>
      </c>
      <c r="E246" s="330" t="s">
        <v>2873</v>
      </c>
      <c r="F246" s="330" t="s">
        <v>1647</v>
      </c>
      <c r="G246" s="562">
        <v>1012</v>
      </c>
      <c r="H246" s="562">
        <v>653.59</v>
      </c>
      <c r="I246" s="562">
        <v>723.02</v>
      </c>
      <c r="J246" s="561" t="s">
        <v>1648</v>
      </c>
      <c r="K246" s="330" t="s">
        <v>2931</v>
      </c>
      <c r="L246" s="330" t="s">
        <v>2932</v>
      </c>
      <c r="M246" s="330" t="s">
        <v>2933</v>
      </c>
      <c r="N246" s="330" t="s">
        <v>2934</v>
      </c>
      <c r="O246" s="395">
        <v>45446</v>
      </c>
      <c r="P246" s="333">
        <v>5714010</v>
      </c>
      <c r="Q246" s="330" t="s">
        <v>1653</v>
      </c>
      <c r="R246" s="562">
        <v>0</v>
      </c>
      <c r="S246" s="333">
        <v>0</v>
      </c>
      <c r="T246" s="333">
        <v>-1764200.8399999999</v>
      </c>
      <c r="U246" s="333">
        <f t="shared" si="29"/>
        <v>-1764200.8399999999</v>
      </c>
      <c r="V246" s="333">
        <v>0</v>
      </c>
      <c r="W246" s="333">
        <v>0</v>
      </c>
      <c r="X246" s="333">
        <v>0</v>
      </c>
      <c r="Y246" s="333">
        <v>0</v>
      </c>
      <c r="Z246" s="333">
        <v>0</v>
      </c>
      <c r="AA246" s="333">
        <v>0</v>
      </c>
      <c r="AB246" s="333">
        <v>0</v>
      </c>
      <c r="AC246" s="333">
        <v>-7142</v>
      </c>
      <c r="AD246" s="333">
        <v>0</v>
      </c>
      <c r="AE246" s="333"/>
      <c r="AF246" s="333"/>
      <c r="AG246" s="333">
        <f t="shared" si="30"/>
        <v>-1771342.8399999999</v>
      </c>
      <c r="AH246" s="330"/>
      <c r="AI246" s="330">
        <v>7142</v>
      </c>
      <c r="AJ246" s="396">
        <f t="shared" si="31"/>
        <v>-1771342.8399999999</v>
      </c>
      <c r="AK246" s="563"/>
      <c r="AL246" s="285">
        <f t="shared" si="40"/>
        <v>0</v>
      </c>
      <c r="AM246" s="286"/>
      <c r="AO246" s="330" t="s">
        <v>2931</v>
      </c>
    </row>
    <row r="247" spans="1:41">
      <c r="A247" s="587">
        <f t="shared" si="32"/>
        <v>244</v>
      </c>
      <c r="B247" s="330" t="s">
        <v>1643</v>
      </c>
      <c r="C247" s="330" t="s">
        <v>2935</v>
      </c>
      <c r="D247" s="330" t="s">
        <v>1669</v>
      </c>
      <c r="E247" s="330" t="s">
        <v>1863</v>
      </c>
      <c r="F247" s="330" t="s">
        <v>1671</v>
      </c>
      <c r="G247" s="562">
        <v>1787</v>
      </c>
      <c r="H247" s="562">
        <v>1138.51</v>
      </c>
      <c r="I247" s="562">
        <v>1276.29</v>
      </c>
      <c r="J247" s="561" t="s">
        <v>1648</v>
      </c>
      <c r="K247" s="330" t="s">
        <v>2936</v>
      </c>
      <c r="L247" s="330" t="s">
        <v>2937</v>
      </c>
      <c r="M247" s="330" t="s">
        <v>2938</v>
      </c>
      <c r="N247" s="330" t="s">
        <v>2066</v>
      </c>
      <c r="O247" s="395"/>
      <c r="P247" s="333">
        <v>11103191</v>
      </c>
      <c r="Q247" s="330" t="s">
        <v>1660</v>
      </c>
      <c r="R247" s="562">
        <v>0</v>
      </c>
      <c r="S247" s="333">
        <v>0</v>
      </c>
      <c r="T247" s="333">
        <v>0</v>
      </c>
      <c r="U247" s="333">
        <f t="shared" si="29"/>
        <v>0</v>
      </c>
      <c r="V247" s="333">
        <v>0</v>
      </c>
      <c r="W247" s="333">
        <v>0</v>
      </c>
      <c r="X247" s="333">
        <v>0</v>
      </c>
      <c r="Y247" s="333">
        <v>0</v>
      </c>
      <c r="Z247" s="333">
        <v>0</v>
      </c>
      <c r="AA247" s="333">
        <v>0</v>
      </c>
      <c r="AB247" s="333">
        <v>0</v>
      </c>
      <c r="AC247" s="333">
        <v>0</v>
      </c>
      <c r="AD247" s="333">
        <v>0</v>
      </c>
      <c r="AE247" s="333"/>
      <c r="AF247" s="333"/>
      <c r="AG247" s="333">
        <f t="shared" si="30"/>
        <v>0</v>
      </c>
      <c r="AH247" s="330"/>
      <c r="AI247" s="330">
        <v>0</v>
      </c>
      <c r="AJ247" s="396">
        <f t="shared" si="31"/>
        <v>0</v>
      </c>
      <c r="AK247" s="563"/>
      <c r="AL247" s="285">
        <f t="shared" si="34"/>
        <v>0</v>
      </c>
      <c r="AM247" s="286"/>
      <c r="AO247" s="330" t="s">
        <v>2936</v>
      </c>
    </row>
    <row r="248" spans="1:41">
      <c r="A248" s="587">
        <f t="shared" si="32"/>
        <v>245</v>
      </c>
      <c r="B248" s="330" t="s">
        <v>1643</v>
      </c>
      <c r="C248" s="330" t="s">
        <v>2939</v>
      </c>
      <c r="D248" s="330" t="s">
        <v>1662</v>
      </c>
      <c r="E248" s="330" t="s">
        <v>2606</v>
      </c>
      <c r="F248" s="330" t="s">
        <v>1647</v>
      </c>
      <c r="G248" s="562">
        <v>1012</v>
      </c>
      <c r="H248" s="562">
        <v>653.59</v>
      </c>
      <c r="I248" s="562">
        <v>723.02</v>
      </c>
      <c r="J248" s="561" t="s">
        <v>1648</v>
      </c>
      <c r="K248" s="330" t="s">
        <v>2940</v>
      </c>
      <c r="L248" s="330" t="s">
        <v>2941</v>
      </c>
      <c r="M248" s="330" t="s">
        <v>2942</v>
      </c>
      <c r="N248" s="330" t="s">
        <v>2943</v>
      </c>
      <c r="O248" s="395">
        <v>45429</v>
      </c>
      <c r="P248" s="333">
        <v>5683644</v>
      </c>
      <c r="Q248" s="330" t="s">
        <v>1653</v>
      </c>
      <c r="R248" s="562">
        <v>0</v>
      </c>
      <c r="S248" s="333">
        <v>0</v>
      </c>
      <c r="T248" s="333">
        <v>-1720276.3399999999</v>
      </c>
      <c r="U248" s="333">
        <f t="shared" si="29"/>
        <v>-1720276.3399999999</v>
      </c>
      <c r="V248" s="333">
        <v>0</v>
      </c>
      <c r="W248" s="333">
        <v>0</v>
      </c>
      <c r="X248" s="333">
        <v>0</v>
      </c>
      <c r="Y248" s="333">
        <v>0</v>
      </c>
      <c r="Z248" s="333">
        <v>0</v>
      </c>
      <c r="AA248" s="333">
        <v>0</v>
      </c>
      <c r="AB248" s="333">
        <v>0</v>
      </c>
      <c r="AC248" s="333">
        <v>-41651</v>
      </c>
      <c r="AD248" s="333">
        <v>0</v>
      </c>
      <c r="AE248" s="333"/>
      <c r="AF248" s="333"/>
      <c r="AG248" s="333">
        <f t="shared" si="30"/>
        <v>-1761927.3399999999</v>
      </c>
      <c r="AH248" s="330"/>
      <c r="AI248" s="330">
        <v>41651</v>
      </c>
      <c r="AJ248" s="396">
        <f t="shared" si="31"/>
        <v>-1761927.3399999999</v>
      </c>
      <c r="AK248" s="563"/>
      <c r="AL248" s="285">
        <f>+AC248+AI248</f>
        <v>0</v>
      </c>
      <c r="AM248" s="286"/>
      <c r="AO248" s="330" t="s">
        <v>2940</v>
      </c>
    </row>
    <row r="249" spans="1:41">
      <c r="A249" s="587">
        <f t="shared" si="32"/>
        <v>246</v>
      </c>
      <c r="B249" s="330" t="s">
        <v>1643</v>
      </c>
      <c r="C249" s="330" t="s">
        <v>2944</v>
      </c>
      <c r="D249" s="330" t="s">
        <v>1669</v>
      </c>
      <c r="E249" s="330" t="s">
        <v>2945</v>
      </c>
      <c r="F249" s="330" t="s">
        <v>1671</v>
      </c>
      <c r="G249" s="562">
        <v>1787</v>
      </c>
      <c r="H249" s="562">
        <v>1138.51</v>
      </c>
      <c r="I249" s="562">
        <v>1276.29</v>
      </c>
      <c r="J249" s="561" t="s">
        <v>1810</v>
      </c>
      <c r="K249" s="330" t="s">
        <v>2946</v>
      </c>
      <c r="L249" s="330" t="s">
        <v>2947</v>
      </c>
      <c r="M249" s="330" t="s">
        <v>2948</v>
      </c>
      <c r="N249" s="330" t="s">
        <v>2949</v>
      </c>
      <c r="O249" s="395">
        <v>45506</v>
      </c>
      <c r="P249" s="333">
        <v>13131551</v>
      </c>
      <c r="Q249" s="330" t="s">
        <v>1660</v>
      </c>
      <c r="R249" s="562">
        <v>0</v>
      </c>
      <c r="S249" s="333">
        <v>0</v>
      </c>
      <c r="T249" s="333">
        <v>-409557</v>
      </c>
      <c r="U249" s="333">
        <f t="shared" si="29"/>
        <v>-409557</v>
      </c>
      <c r="V249" s="333">
        <v>123843</v>
      </c>
      <c r="W249" s="333">
        <v>0</v>
      </c>
      <c r="X249" s="333">
        <v>0</v>
      </c>
      <c r="Y249" s="333">
        <v>0</v>
      </c>
      <c r="Z249" s="333">
        <v>0</v>
      </c>
      <c r="AA249" s="333">
        <v>0</v>
      </c>
      <c r="AB249" s="333">
        <v>0</v>
      </c>
      <c r="AC249" s="333">
        <v>0</v>
      </c>
      <c r="AD249" s="333">
        <v>0</v>
      </c>
      <c r="AE249" s="333"/>
      <c r="AF249" s="333"/>
      <c r="AG249" s="333">
        <f t="shared" si="30"/>
        <v>-285714</v>
      </c>
      <c r="AH249" s="330"/>
      <c r="AI249" s="330">
        <v>0</v>
      </c>
      <c r="AJ249" s="396">
        <f t="shared" si="31"/>
        <v>-285714</v>
      </c>
      <c r="AK249" s="563"/>
      <c r="AL249" s="285">
        <f t="shared" si="34"/>
        <v>0</v>
      </c>
      <c r="AM249" s="286"/>
      <c r="AO249" s="330" t="s">
        <v>2946</v>
      </c>
    </row>
    <row r="250" spans="1:41">
      <c r="A250" s="587">
        <f t="shared" si="32"/>
        <v>247</v>
      </c>
      <c r="B250" s="330" t="s">
        <v>1643</v>
      </c>
      <c r="C250" s="330" t="s">
        <v>2950</v>
      </c>
      <c r="D250" s="330" t="s">
        <v>1677</v>
      </c>
      <c r="E250" s="330" t="s">
        <v>1663</v>
      </c>
      <c r="F250" s="330" t="s">
        <v>1647</v>
      </c>
      <c r="G250" s="562">
        <v>1012</v>
      </c>
      <c r="H250" s="562">
        <v>653.59</v>
      </c>
      <c r="I250" s="562">
        <v>723.02</v>
      </c>
      <c r="J250" s="561" t="s">
        <v>1810</v>
      </c>
      <c r="K250" s="330" t="s">
        <v>2951</v>
      </c>
      <c r="L250" s="330" t="s">
        <v>2952</v>
      </c>
      <c r="M250" s="330" t="s">
        <v>2953</v>
      </c>
      <c r="N250" s="330" t="s">
        <v>12</v>
      </c>
      <c r="O250" s="395"/>
      <c r="P250" s="333">
        <v>6508960</v>
      </c>
      <c r="Q250" s="330" t="s">
        <v>1660</v>
      </c>
      <c r="R250" s="562">
        <v>0</v>
      </c>
      <c r="S250" s="333">
        <v>0</v>
      </c>
      <c r="T250" s="333">
        <v>0</v>
      </c>
      <c r="U250" s="333">
        <f t="shared" si="29"/>
        <v>0</v>
      </c>
      <c r="V250" s="333">
        <v>0</v>
      </c>
      <c r="W250" s="333">
        <v>0</v>
      </c>
      <c r="X250" s="333">
        <v>0</v>
      </c>
      <c r="Y250" s="333">
        <v>0</v>
      </c>
      <c r="Z250" s="333">
        <v>0</v>
      </c>
      <c r="AA250" s="333">
        <v>0</v>
      </c>
      <c r="AB250" s="333">
        <v>0</v>
      </c>
      <c r="AC250" s="333">
        <v>0</v>
      </c>
      <c r="AD250" s="333">
        <v>0</v>
      </c>
      <c r="AE250" s="333"/>
      <c r="AF250" s="333"/>
      <c r="AG250" s="333">
        <f t="shared" si="30"/>
        <v>0</v>
      </c>
      <c r="AH250" s="330"/>
      <c r="AI250" s="330">
        <v>0</v>
      </c>
      <c r="AJ250" s="396">
        <f t="shared" si="31"/>
        <v>0</v>
      </c>
      <c r="AK250" s="563"/>
      <c r="AL250" s="285">
        <f t="shared" si="34"/>
        <v>0</v>
      </c>
      <c r="AM250" s="286"/>
      <c r="AO250" s="330" t="s">
        <v>2951</v>
      </c>
    </row>
    <row r="251" spans="1:41">
      <c r="A251" s="587">
        <f t="shared" si="32"/>
        <v>248</v>
      </c>
      <c r="B251" s="330" t="s">
        <v>1643</v>
      </c>
      <c r="C251" s="330" t="s">
        <v>2954</v>
      </c>
      <c r="D251" s="330" t="s">
        <v>1645</v>
      </c>
      <c r="E251" s="330" t="s">
        <v>2655</v>
      </c>
      <c r="F251" s="330" t="s">
        <v>1647</v>
      </c>
      <c r="G251" s="562">
        <v>1114</v>
      </c>
      <c r="H251" s="562">
        <v>683.3</v>
      </c>
      <c r="I251" s="562">
        <v>795.57</v>
      </c>
      <c r="J251" s="561" t="s">
        <v>1810</v>
      </c>
      <c r="K251" s="330" t="s">
        <v>2955</v>
      </c>
      <c r="L251" s="330" t="s">
        <v>2956</v>
      </c>
      <c r="M251" s="330" t="s">
        <v>2957</v>
      </c>
      <c r="N251" s="330" t="s">
        <v>2958</v>
      </c>
      <c r="O251" s="395">
        <v>45443</v>
      </c>
      <c r="P251" s="333">
        <v>6320782</v>
      </c>
      <c r="Q251" s="330" t="s">
        <v>1653</v>
      </c>
      <c r="R251" s="562">
        <v>0</v>
      </c>
      <c r="S251" s="333">
        <v>0</v>
      </c>
      <c r="T251" s="333">
        <v>-1719892.26</v>
      </c>
      <c r="U251" s="333">
        <f t="shared" si="29"/>
        <v>-1719892.26</v>
      </c>
      <c r="V251" s="333">
        <v>-169199</v>
      </c>
      <c r="W251" s="333">
        <v>0</v>
      </c>
      <c r="X251" s="333">
        <v>0</v>
      </c>
      <c r="Y251" s="333">
        <v>0</v>
      </c>
      <c r="Z251" s="333">
        <v>0</v>
      </c>
      <c r="AA251" s="333">
        <v>0</v>
      </c>
      <c r="AB251" s="333">
        <v>0</v>
      </c>
      <c r="AC251" s="333">
        <v>-7142</v>
      </c>
      <c r="AD251" s="333">
        <v>0</v>
      </c>
      <c r="AE251" s="333"/>
      <c r="AF251" s="333"/>
      <c r="AG251" s="333">
        <f t="shared" si="30"/>
        <v>-1896233.26</v>
      </c>
      <c r="AH251" s="330"/>
      <c r="AI251" s="330">
        <v>7142</v>
      </c>
      <c r="AJ251" s="396">
        <f t="shared" si="31"/>
        <v>-1896233.26</v>
      </c>
      <c r="AK251" s="563"/>
      <c r="AL251" s="285">
        <f t="shared" ref="AL251:AL252" si="41">+AC251+AI251</f>
        <v>0</v>
      </c>
      <c r="AM251" s="286"/>
      <c r="AO251" s="330" t="s">
        <v>2955</v>
      </c>
    </row>
    <row r="252" spans="1:41">
      <c r="A252" s="587">
        <f t="shared" si="32"/>
        <v>249</v>
      </c>
      <c r="B252" s="330" t="s">
        <v>1643</v>
      </c>
      <c r="C252" s="330" t="s">
        <v>2959</v>
      </c>
      <c r="D252" s="330" t="s">
        <v>1662</v>
      </c>
      <c r="E252" s="330" t="s">
        <v>2154</v>
      </c>
      <c r="F252" s="330" t="s">
        <v>1671</v>
      </c>
      <c r="G252" s="562">
        <v>1375</v>
      </c>
      <c r="H252" s="562">
        <v>876.73</v>
      </c>
      <c r="I252" s="562">
        <v>982.22</v>
      </c>
      <c r="J252" s="561" t="s">
        <v>1648</v>
      </c>
      <c r="K252" s="330" t="s">
        <v>2960</v>
      </c>
      <c r="L252" s="330" t="s">
        <v>2961</v>
      </c>
      <c r="M252" s="330" t="s">
        <v>2962</v>
      </c>
      <c r="N252" s="330" t="s">
        <v>2963</v>
      </c>
      <c r="O252" s="395">
        <v>45432</v>
      </c>
      <c r="P252" s="333">
        <v>7767809</v>
      </c>
      <c r="Q252" s="330" t="s">
        <v>1653</v>
      </c>
      <c r="R252" s="562">
        <v>0</v>
      </c>
      <c r="S252" s="333">
        <v>0</v>
      </c>
      <c r="T252" s="333">
        <v>-2400878.9500000002</v>
      </c>
      <c r="U252" s="333">
        <f t="shared" si="29"/>
        <v>-2400878.9500000002</v>
      </c>
      <c r="V252" s="333">
        <v>0</v>
      </c>
      <c r="W252" s="333">
        <v>0</v>
      </c>
      <c r="X252" s="333">
        <v>0</v>
      </c>
      <c r="Y252" s="333">
        <v>0</v>
      </c>
      <c r="Z252" s="333">
        <v>0</v>
      </c>
      <c r="AA252" s="333">
        <v>0</v>
      </c>
      <c r="AB252" s="333">
        <v>0</v>
      </c>
      <c r="AC252" s="333">
        <v>-7142</v>
      </c>
      <c r="AD252" s="333">
        <v>0</v>
      </c>
      <c r="AE252" s="333"/>
      <c r="AF252" s="333"/>
      <c r="AG252" s="333">
        <f t="shared" si="30"/>
        <v>-2408020.9500000002</v>
      </c>
      <c r="AH252" s="330"/>
      <c r="AI252" s="330">
        <v>7142</v>
      </c>
      <c r="AJ252" s="396">
        <f t="shared" si="31"/>
        <v>-2408020.9500000002</v>
      </c>
      <c r="AK252" s="563"/>
      <c r="AL252" s="285">
        <f t="shared" si="41"/>
        <v>0</v>
      </c>
      <c r="AM252" s="286"/>
      <c r="AO252" s="330" t="s">
        <v>2960</v>
      </c>
    </row>
    <row r="253" spans="1:41">
      <c r="A253" s="587">
        <f t="shared" si="32"/>
        <v>250</v>
      </c>
      <c r="B253" s="330" t="s">
        <v>1643</v>
      </c>
      <c r="C253" s="330" t="s">
        <v>2964</v>
      </c>
      <c r="D253" s="330" t="s">
        <v>1645</v>
      </c>
      <c r="E253" s="330" t="s">
        <v>2594</v>
      </c>
      <c r="F253" s="330" t="s">
        <v>1647</v>
      </c>
      <c r="G253" s="562">
        <v>1114</v>
      </c>
      <c r="H253" s="562">
        <v>683.3</v>
      </c>
      <c r="I253" s="562">
        <v>795.57</v>
      </c>
      <c r="J253" s="561" t="s">
        <v>1648</v>
      </c>
      <c r="K253" s="330" t="s">
        <v>2965</v>
      </c>
      <c r="L253" s="330" t="s">
        <v>2966</v>
      </c>
      <c r="M253" s="330" t="s">
        <v>2967</v>
      </c>
      <c r="N253" s="330" t="s">
        <v>2968</v>
      </c>
      <c r="O253" s="395">
        <v>45406</v>
      </c>
      <c r="P253" s="333">
        <v>6304075</v>
      </c>
      <c r="Q253" s="330" t="s">
        <v>1653</v>
      </c>
      <c r="R253" s="562">
        <v>0</v>
      </c>
      <c r="S253" s="333">
        <v>0</v>
      </c>
      <c r="T253" s="333">
        <v>-1757772.0700000003</v>
      </c>
      <c r="U253" s="333">
        <f t="shared" si="29"/>
        <v>-1757772.0700000003</v>
      </c>
      <c r="V253" s="333">
        <v>-150000</v>
      </c>
      <c r="W253" s="333">
        <v>0</v>
      </c>
      <c r="X253" s="333">
        <v>0</v>
      </c>
      <c r="Y253" s="333">
        <v>0</v>
      </c>
      <c r="Z253" s="333">
        <v>0</v>
      </c>
      <c r="AA253" s="333">
        <v>0</v>
      </c>
      <c r="AB253" s="333">
        <v>0</v>
      </c>
      <c r="AC253" s="333">
        <v>0</v>
      </c>
      <c r="AD253" s="333">
        <v>0</v>
      </c>
      <c r="AE253" s="333"/>
      <c r="AF253" s="333"/>
      <c r="AG253" s="333">
        <f t="shared" si="30"/>
        <v>-1907772.0700000003</v>
      </c>
      <c r="AH253" s="330"/>
      <c r="AI253" s="330">
        <v>0</v>
      </c>
      <c r="AJ253" s="396">
        <f t="shared" si="31"/>
        <v>-1907772.0700000003</v>
      </c>
      <c r="AK253" s="563"/>
      <c r="AL253" s="285">
        <f t="shared" si="34"/>
        <v>0</v>
      </c>
      <c r="AM253" s="286"/>
      <c r="AO253" s="330" t="s">
        <v>2965</v>
      </c>
    </row>
    <row r="254" spans="1:41">
      <c r="A254" s="587">
        <f t="shared" si="32"/>
        <v>251</v>
      </c>
      <c r="B254" s="330" t="s">
        <v>1643</v>
      </c>
      <c r="C254" s="330" t="s">
        <v>2969</v>
      </c>
      <c r="D254" s="330" t="s">
        <v>2153</v>
      </c>
      <c r="E254" s="330" t="s">
        <v>1978</v>
      </c>
      <c r="F254" s="330" t="s">
        <v>1647</v>
      </c>
      <c r="G254" s="562">
        <v>1114</v>
      </c>
      <c r="H254" s="562">
        <v>683.3</v>
      </c>
      <c r="I254" s="562">
        <v>795.57</v>
      </c>
      <c r="J254" s="561" t="s">
        <v>1648</v>
      </c>
      <c r="K254" s="330" t="s">
        <v>2970</v>
      </c>
      <c r="L254" s="330" t="s">
        <v>2971</v>
      </c>
      <c r="M254" s="330" t="s">
        <v>2972</v>
      </c>
      <c r="N254" s="330" t="s">
        <v>2973</v>
      </c>
      <c r="O254" s="395">
        <v>45456</v>
      </c>
      <c r="P254" s="333">
        <v>6446381</v>
      </c>
      <c r="Q254" s="330" t="s">
        <v>1653</v>
      </c>
      <c r="R254" s="562">
        <v>0</v>
      </c>
      <c r="S254" s="333">
        <v>0</v>
      </c>
      <c r="T254" s="333">
        <v>-1933915.09</v>
      </c>
      <c r="U254" s="333">
        <f t="shared" si="29"/>
        <v>-1933915.09</v>
      </c>
      <c r="V254" s="333">
        <v>0</v>
      </c>
      <c r="W254" s="333">
        <v>0</v>
      </c>
      <c r="X254" s="333">
        <v>0</v>
      </c>
      <c r="Y254" s="333">
        <v>0</v>
      </c>
      <c r="Z254" s="333">
        <v>0</v>
      </c>
      <c r="AA254" s="333">
        <v>0</v>
      </c>
      <c r="AB254" s="333">
        <v>0</v>
      </c>
      <c r="AC254" s="333">
        <v>0</v>
      </c>
      <c r="AD254" s="333">
        <v>0</v>
      </c>
      <c r="AE254" s="333"/>
      <c r="AF254" s="333"/>
      <c r="AG254" s="333">
        <f t="shared" si="30"/>
        <v>-1933915.09</v>
      </c>
      <c r="AH254" s="330"/>
      <c r="AI254" s="330">
        <v>0</v>
      </c>
      <c r="AJ254" s="396">
        <f t="shared" si="31"/>
        <v>-1933915.09</v>
      </c>
      <c r="AK254" s="563"/>
      <c r="AL254" s="285">
        <f t="shared" si="34"/>
        <v>0</v>
      </c>
      <c r="AM254" s="286"/>
      <c r="AO254" s="330" t="s">
        <v>2970</v>
      </c>
    </row>
    <row r="255" spans="1:41">
      <c r="A255" s="587">
        <f t="shared" si="32"/>
        <v>252</v>
      </c>
      <c r="B255" s="330" t="s">
        <v>1643</v>
      </c>
      <c r="C255" s="330" t="s">
        <v>2974</v>
      </c>
      <c r="D255" s="330" t="s">
        <v>1746</v>
      </c>
      <c r="E255" s="330" t="s">
        <v>2975</v>
      </c>
      <c r="F255" s="330" t="s">
        <v>1647</v>
      </c>
      <c r="G255" s="562">
        <v>1114</v>
      </c>
      <c r="H255" s="562">
        <v>683.3</v>
      </c>
      <c r="I255" s="562">
        <v>795.57</v>
      </c>
      <c r="J255" s="561" t="s">
        <v>1810</v>
      </c>
      <c r="K255" s="330" t="s">
        <v>2976</v>
      </c>
      <c r="L255" s="330" t="s">
        <v>2977</v>
      </c>
      <c r="M255" s="330" t="s">
        <v>2978</v>
      </c>
      <c r="N255" s="330" t="s">
        <v>2979</v>
      </c>
      <c r="O255" s="395">
        <v>45446</v>
      </c>
      <c r="P255" s="333">
        <v>6337489</v>
      </c>
      <c r="Q255" s="330" t="s">
        <v>1653</v>
      </c>
      <c r="R255" s="562">
        <v>0</v>
      </c>
      <c r="S255" s="333">
        <v>0</v>
      </c>
      <c r="T255" s="333">
        <v>-1864621.5500000005</v>
      </c>
      <c r="U255" s="333">
        <f t="shared" si="29"/>
        <v>-1864621.5500000005</v>
      </c>
      <c r="V255" s="333">
        <v>-100000</v>
      </c>
      <c r="W255" s="333">
        <v>0</v>
      </c>
      <c r="X255" s="333">
        <v>0</v>
      </c>
      <c r="Y255" s="333">
        <v>0</v>
      </c>
      <c r="Z255" s="333">
        <v>0</v>
      </c>
      <c r="AA255" s="333">
        <v>0</v>
      </c>
      <c r="AB255" s="333">
        <v>0</v>
      </c>
      <c r="AC255" s="333">
        <v>0</v>
      </c>
      <c r="AD255" s="333">
        <v>0</v>
      </c>
      <c r="AE255" s="333"/>
      <c r="AF255" s="333"/>
      <c r="AG255" s="333">
        <f t="shared" si="30"/>
        <v>-1964621.5500000005</v>
      </c>
      <c r="AH255" s="330"/>
      <c r="AI255" s="330">
        <v>0</v>
      </c>
      <c r="AJ255" s="396">
        <f t="shared" si="31"/>
        <v>-1964621.5500000005</v>
      </c>
      <c r="AK255" s="563"/>
      <c r="AL255" s="285">
        <f t="shared" ref="AL255:AL256" si="42">+AC255+AI255</f>
        <v>0</v>
      </c>
      <c r="AM255" s="286"/>
      <c r="AO255" s="330" t="s">
        <v>2976</v>
      </c>
    </row>
    <row r="256" spans="1:41">
      <c r="A256" s="587">
        <f t="shared" si="32"/>
        <v>253</v>
      </c>
      <c r="B256" s="330" t="s">
        <v>1643</v>
      </c>
      <c r="C256" s="330" t="s">
        <v>2980</v>
      </c>
      <c r="D256" s="330" t="s">
        <v>1645</v>
      </c>
      <c r="E256" s="330" t="s">
        <v>2981</v>
      </c>
      <c r="F256" s="330" t="s">
        <v>1647</v>
      </c>
      <c r="G256" s="562">
        <v>1114</v>
      </c>
      <c r="H256" s="562">
        <v>683.3</v>
      </c>
      <c r="I256" s="562">
        <v>795.57</v>
      </c>
      <c r="J256" s="561" t="s">
        <v>1648</v>
      </c>
      <c r="K256" s="330" t="s">
        <v>2982</v>
      </c>
      <c r="L256" s="330" t="s">
        <v>2983</v>
      </c>
      <c r="M256" s="330" t="s">
        <v>2984</v>
      </c>
      <c r="N256" s="330" t="s">
        <v>2985</v>
      </c>
      <c r="O256" s="395">
        <v>45435</v>
      </c>
      <c r="P256" s="333">
        <v>6304075</v>
      </c>
      <c r="Q256" s="330" t="s">
        <v>1653</v>
      </c>
      <c r="R256" s="562">
        <v>0</v>
      </c>
      <c r="S256" s="333">
        <v>0</v>
      </c>
      <c r="T256" s="333">
        <v>-1944738.6099999994</v>
      </c>
      <c r="U256" s="333">
        <f t="shared" si="29"/>
        <v>-1944738.6099999994</v>
      </c>
      <c r="V256" s="333">
        <v>0</v>
      </c>
      <c r="W256" s="333">
        <v>0</v>
      </c>
      <c r="X256" s="333">
        <v>0</v>
      </c>
      <c r="Y256" s="333">
        <v>0</v>
      </c>
      <c r="Z256" s="333">
        <v>0</v>
      </c>
      <c r="AA256" s="333">
        <v>0</v>
      </c>
      <c r="AB256" s="333">
        <v>0</v>
      </c>
      <c r="AC256" s="333">
        <v>-9523</v>
      </c>
      <c r="AD256" s="333">
        <v>0</v>
      </c>
      <c r="AE256" s="333"/>
      <c r="AF256" s="333"/>
      <c r="AG256" s="333">
        <f t="shared" si="30"/>
        <v>-1954261.6099999994</v>
      </c>
      <c r="AH256" s="330"/>
      <c r="AI256" s="330">
        <v>9523</v>
      </c>
      <c r="AJ256" s="396">
        <f t="shared" si="31"/>
        <v>-1954261.6099999994</v>
      </c>
      <c r="AK256" s="563"/>
      <c r="AL256" s="285">
        <f t="shared" si="42"/>
        <v>0</v>
      </c>
      <c r="AM256" s="286"/>
      <c r="AO256" s="330" t="s">
        <v>2982</v>
      </c>
    </row>
    <row r="257" spans="1:41">
      <c r="A257" s="587">
        <f t="shared" si="32"/>
        <v>254</v>
      </c>
      <c r="B257" s="330" t="s">
        <v>1643</v>
      </c>
      <c r="C257" s="330" t="s">
        <v>2986</v>
      </c>
      <c r="D257" s="330" t="s">
        <v>1645</v>
      </c>
      <c r="E257" s="330" t="s">
        <v>2987</v>
      </c>
      <c r="F257" s="330" t="s">
        <v>1671</v>
      </c>
      <c r="G257" s="562">
        <v>1375</v>
      </c>
      <c r="H257" s="562">
        <v>876.73</v>
      </c>
      <c r="I257" s="562">
        <v>982.22</v>
      </c>
      <c r="J257" s="561" t="s">
        <v>1648</v>
      </c>
      <c r="K257" s="330" t="s">
        <v>2988</v>
      </c>
      <c r="L257" s="330" t="s">
        <v>2989</v>
      </c>
      <c r="M257" s="330" t="s">
        <v>2990</v>
      </c>
      <c r="N257" s="330" t="s">
        <v>2991</v>
      </c>
      <c r="O257" s="395">
        <v>45635</v>
      </c>
      <c r="P257" s="333">
        <v>8232095</v>
      </c>
      <c r="Q257" s="330" t="s">
        <v>1653</v>
      </c>
      <c r="R257" s="562">
        <v>0</v>
      </c>
      <c r="S257" s="333">
        <v>0</v>
      </c>
      <c r="T257" s="333">
        <v>-2469627.5599999996</v>
      </c>
      <c r="U257" s="333">
        <f t="shared" si="29"/>
        <v>-2469627.5599999996</v>
      </c>
      <c r="V257" s="333">
        <v>0</v>
      </c>
      <c r="W257" s="333">
        <v>0</v>
      </c>
      <c r="X257" s="333">
        <v>0</v>
      </c>
      <c r="Y257" s="333">
        <v>0</v>
      </c>
      <c r="Z257" s="333">
        <v>0</v>
      </c>
      <c r="AA257" s="333">
        <v>0</v>
      </c>
      <c r="AB257" s="333">
        <v>0</v>
      </c>
      <c r="AC257" s="333">
        <v>0</v>
      </c>
      <c r="AD257" s="333">
        <v>0</v>
      </c>
      <c r="AE257" s="333"/>
      <c r="AF257" s="333"/>
      <c r="AG257" s="333">
        <f t="shared" si="30"/>
        <v>-2469627.5599999996</v>
      </c>
      <c r="AH257" s="330"/>
      <c r="AI257" s="330">
        <v>0</v>
      </c>
      <c r="AJ257" s="396">
        <f t="shared" si="31"/>
        <v>-2469627.5599999996</v>
      </c>
      <c r="AK257" s="563"/>
      <c r="AL257" s="285">
        <f t="shared" si="34"/>
        <v>0</v>
      </c>
      <c r="AM257" s="286"/>
      <c r="AO257" s="330" t="s">
        <v>2988</v>
      </c>
    </row>
    <row r="258" spans="1:41">
      <c r="A258" s="587">
        <f t="shared" si="32"/>
        <v>255</v>
      </c>
      <c r="B258" s="330" t="s">
        <v>1643</v>
      </c>
      <c r="C258" s="330" t="s">
        <v>2992</v>
      </c>
      <c r="D258" s="330" t="s">
        <v>1662</v>
      </c>
      <c r="E258" s="330" t="s">
        <v>2160</v>
      </c>
      <c r="F258" s="330" t="s">
        <v>1786</v>
      </c>
      <c r="G258" s="562">
        <v>1265</v>
      </c>
      <c r="H258" s="562">
        <v>813.33</v>
      </c>
      <c r="I258" s="562">
        <v>903.31</v>
      </c>
      <c r="J258" s="561" t="s">
        <v>1648</v>
      </c>
      <c r="K258" s="330" t="s">
        <v>2993</v>
      </c>
      <c r="L258" s="330" t="s">
        <v>2994</v>
      </c>
      <c r="M258" s="330" t="s">
        <v>2995</v>
      </c>
      <c r="N258" s="330" t="s">
        <v>2996</v>
      </c>
      <c r="O258" s="395">
        <v>45520</v>
      </c>
      <c r="P258" s="333">
        <v>7089238</v>
      </c>
      <c r="Q258" s="330" t="s">
        <v>1653</v>
      </c>
      <c r="R258" s="562">
        <v>0</v>
      </c>
      <c r="S258" s="333">
        <v>0</v>
      </c>
      <c r="T258" s="333">
        <v>-2197663.4200000009</v>
      </c>
      <c r="U258" s="333">
        <f t="shared" si="29"/>
        <v>-2197663.4200000009</v>
      </c>
      <c r="V258" s="333">
        <v>0</v>
      </c>
      <c r="W258" s="333">
        <v>0</v>
      </c>
      <c r="X258" s="333">
        <v>0</v>
      </c>
      <c r="Y258" s="333">
        <v>0</v>
      </c>
      <c r="Z258" s="333">
        <v>0</v>
      </c>
      <c r="AA258" s="333">
        <v>0</v>
      </c>
      <c r="AB258" s="333">
        <v>0</v>
      </c>
      <c r="AC258" s="333">
        <v>0</v>
      </c>
      <c r="AD258" s="333">
        <v>0</v>
      </c>
      <c r="AE258" s="333"/>
      <c r="AF258" s="333"/>
      <c r="AG258" s="333">
        <f t="shared" si="30"/>
        <v>-2197663.4200000009</v>
      </c>
      <c r="AH258" s="330"/>
      <c r="AI258" s="330">
        <v>0</v>
      </c>
      <c r="AJ258" s="396">
        <f t="shared" si="31"/>
        <v>-2197663.4200000009</v>
      </c>
      <c r="AK258" s="563"/>
      <c r="AL258" s="285">
        <f t="shared" si="34"/>
        <v>0</v>
      </c>
      <c r="AM258" s="286"/>
      <c r="AO258" s="330" t="s">
        <v>2993</v>
      </c>
    </row>
    <row r="259" spans="1:41">
      <c r="A259" s="587">
        <f t="shared" si="32"/>
        <v>256</v>
      </c>
      <c r="B259" s="564" t="s">
        <v>1643</v>
      </c>
      <c r="C259" s="564" t="s">
        <v>2997</v>
      </c>
      <c r="D259" s="330" t="s">
        <v>1704</v>
      </c>
      <c r="E259" s="330" t="s">
        <v>2299</v>
      </c>
      <c r="F259" s="330" t="s">
        <v>1671</v>
      </c>
      <c r="G259" s="562">
        <v>1498</v>
      </c>
      <c r="H259" s="562">
        <v>954.87</v>
      </c>
      <c r="I259" s="562">
        <v>1069.73</v>
      </c>
      <c r="J259" s="561" t="s">
        <v>1810</v>
      </c>
      <c r="K259" s="564" t="s">
        <v>2998</v>
      </c>
      <c r="L259" s="564" t="s">
        <v>2999</v>
      </c>
      <c r="M259" s="330" t="s">
        <v>3000</v>
      </c>
      <c r="N259" s="330" t="s">
        <v>12</v>
      </c>
      <c r="O259" s="395"/>
      <c r="P259" s="333">
        <v>9013333</v>
      </c>
      <c r="Q259" s="330" t="s">
        <v>1660</v>
      </c>
      <c r="R259" s="562">
        <v>0</v>
      </c>
      <c r="S259" s="333">
        <v>0</v>
      </c>
      <c r="T259" s="333">
        <v>-180366</v>
      </c>
      <c r="U259" s="333">
        <f t="shared" si="29"/>
        <v>-180366</v>
      </c>
      <c r="V259" s="333">
        <v>180266</v>
      </c>
      <c r="W259" s="333">
        <v>0</v>
      </c>
      <c r="X259" s="333">
        <v>0</v>
      </c>
      <c r="Y259" s="333">
        <v>0</v>
      </c>
      <c r="Z259" s="333">
        <v>0</v>
      </c>
      <c r="AA259" s="333">
        <v>0</v>
      </c>
      <c r="AB259" s="333">
        <v>0</v>
      </c>
      <c r="AC259" s="333">
        <v>135200</v>
      </c>
      <c r="AD259" s="333">
        <v>0</v>
      </c>
      <c r="AE259" s="333"/>
      <c r="AF259" s="333"/>
      <c r="AG259" s="565">
        <f t="shared" si="30"/>
        <v>135100</v>
      </c>
      <c r="AH259" s="330"/>
      <c r="AI259" s="330">
        <v>-135200</v>
      </c>
      <c r="AJ259" s="396">
        <f t="shared" si="31"/>
        <v>135100</v>
      </c>
      <c r="AK259" s="563"/>
      <c r="AL259" s="285">
        <f>+AC259+AI259</f>
        <v>0</v>
      </c>
      <c r="AM259" s="286"/>
      <c r="AO259" s="330" t="s">
        <v>2998</v>
      </c>
    </row>
    <row r="260" spans="1:41">
      <c r="A260" s="587">
        <f t="shared" si="32"/>
        <v>257</v>
      </c>
      <c r="B260" s="330" t="s">
        <v>1643</v>
      </c>
      <c r="C260" s="330" t="s">
        <v>3001</v>
      </c>
      <c r="D260" s="330" t="s">
        <v>2153</v>
      </c>
      <c r="E260" s="330" t="s">
        <v>1857</v>
      </c>
      <c r="F260" s="330" t="s">
        <v>1647</v>
      </c>
      <c r="G260" s="562">
        <v>1114</v>
      </c>
      <c r="H260" s="562">
        <v>683.3</v>
      </c>
      <c r="I260" s="562">
        <v>795.57</v>
      </c>
      <c r="J260" s="561" t="s">
        <v>1679</v>
      </c>
      <c r="K260" s="330" t="s">
        <v>3002</v>
      </c>
      <c r="L260" s="330" t="s">
        <v>3003</v>
      </c>
      <c r="M260" s="330" t="s">
        <v>3004</v>
      </c>
      <c r="N260" s="330" t="s">
        <v>3005</v>
      </c>
      <c r="O260" s="395">
        <v>45450</v>
      </c>
      <c r="P260" s="333">
        <v>6517810</v>
      </c>
      <c r="Q260" s="330" t="s">
        <v>1653</v>
      </c>
      <c r="R260" s="562">
        <v>0</v>
      </c>
      <c r="S260" s="333">
        <v>0</v>
      </c>
      <c r="T260" s="333">
        <v>-2005343.8399999999</v>
      </c>
      <c r="U260" s="333">
        <f t="shared" ref="U260:U323" si="43">SUM(R260:T260)</f>
        <v>-2005343.8399999999</v>
      </c>
      <c r="V260" s="333">
        <v>0</v>
      </c>
      <c r="W260" s="333">
        <v>0</v>
      </c>
      <c r="X260" s="333">
        <v>0</v>
      </c>
      <c r="Y260" s="333">
        <v>0</v>
      </c>
      <c r="Z260" s="333">
        <v>0</v>
      </c>
      <c r="AA260" s="333">
        <v>0</v>
      </c>
      <c r="AB260" s="333">
        <v>0</v>
      </c>
      <c r="AC260" s="333">
        <v>0</v>
      </c>
      <c r="AD260" s="333">
        <v>0</v>
      </c>
      <c r="AE260" s="333"/>
      <c r="AF260" s="333"/>
      <c r="AG260" s="333">
        <f t="shared" si="30"/>
        <v>-2005343.8399999999</v>
      </c>
      <c r="AH260" s="330"/>
      <c r="AI260" s="330">
        <v>0</v>
      </c>
      <c r="AJ260" s="396">
        <f t="shared" si="31"/>
        <v>-2005343.8399999999</v>
      </c>
      <c r="AK260" s="563"/>
      <c r="AL260" s="285">
        <f t="shared" si="34"/>
        <v>0</v>
      </c>
      <c r="AM260" s="286"/>
      <c r="AO260" s="330" t="s">
        <v>3002</v>
      </c>
    </row>
    <row r="261" spans="1:41">
      <c r="A261" s="587">
        <f t="shared" si="32"/>
        <v>258</v>
      </c>
      <c r="B261" s="330" t="s">
        <v>1643</v>
      </c>
      <c r="C261" s="330" t="s">
        <v>3006</v>
      </c>
      <c r="D261" s="330" t="s">
        <v>1655</v>
      </c>
      <c r="E261" s="330" t="s">
        <v>3007</v>
      </c>
      <c r="F261" s="330" t="s">
        <v>1647</v>
      </c>
      <c r="G261" s="562">
        <v>1012</v>
      </c>
      <c r="H261" s="562">
        <v>653.59</v>
      </c>
      <c r="I261" s="562">
        <v>723.02</v>
      </c>
      <c r="J261" s="561" t="s">
        <v>1679</v>
      </c>
      <c r="K261" s="330" t="s">
        <v>3008</v>
      </c>
      <c r="L261" s="330" t="s">
        <v>3009</v>
      </c>
      <c r="M261" s="330" t="s">
        <v>3010</v>
      </c>
      <c r="N261" s="330" t="s">
        <v>12</v>
      </c>
      <c r="O261" s="395"/>
      <c r="P261" s="333">
        <v>6133905</v>
      </c>
      <c r="Q261" s="330" t="s">
        <v>1660</v>
      </c>
      <c r="R261" s="562">
        <v>0</v>
      </c>
      <c r="S261" s="333">
        <v>0</v>
      </c>
      <c r="T261" s="333">
        <v>0</v>
      </c>
      <c r="U261" s="333">
        <f t="shared" si="43"/>
        <v>0</v>
      </c>
      <c r="V261" s="333">
        <v>0</v>
      </c>
      <c r="W261" s="333">
        <v>0</v>
      </c>
      <c r="X261" s="333">
        <v>0</v>
      </c>
      <c r="Y261" s="333">
        <v>0</v>
      </c>
      <c r="Z261" s="333">
        <v>0</v>
      </c>
      <c r="AA261" s="333">
        <v>0</v>
      </c>
      <c r="AB261" s="333">
        <v>0</v>
      </c>
      <c r="AC261" s="333">
        <v>0</v>
      </c>
      <c r="AD261" s="333">
        <v>0</v>
      </c>
      <c r="AE261" s="333"/>
      <c r="AF261" s="333"/>
      <c r="AG261" s="333">
        <f t="shared" ref="AG261:AG323" si="44">SUM(U261:AF261)</f>
        <v>0</v>
      </c>
      <c r="AH261" s="330"/>
      <c r="AI261" s="330">
        <v>0</v>
      </c>
      <c r="AJ261" s="396">
        <f t="shared" ref="AJ261:AJ324" si="45">SUM(U261:AE261)</f>
        <v>0</v>
      </c>
      <c r="AK261" s="563"/>
      <c r="AL261" s="285">
        <f t="shared" si="34"/>
        <v>0</v>
      </c>
      <c r="AM261" s="286"/>
      <c r="AO261" s="330" t="s">
        <v>3008</v>
      </c>
    </row>
    <row r="262" spans="1:41">
      <c r="A262" s="587">
        <f t="shared" ref="A262:A325" si="46">A261+1</f>
        <v>259</v>
      </c>
      <c r="B262" s="330" t="s">
        <v>1643</v>
      </c>
      <c r="C262" s="330" t="s">
        <v>3011</v>
      </c>
      <c r="D262" s="330" t="s">
        <v>1704</v>
      </c>
      <c r="E262" s="330" t="s">
        <v>3012</v>
      </c>
      <c r="F262" s="330" t="s">
        <v>1647</v>
      </c>
      <c r="G262" s="562">
        <v>1114</v>
      </c>
      <c r="H262" s="562">
        <v>683.3</v>
      </c>
      <c r="I262" s="562">
        <v>795.57</v>
      </c>
      <c r="J262" s="561" t="s">
        <v>1810</v>
      </c>
      <c r="K262" s="330" t="s">
        <v>3013</v>
      </c>
      <c r="L262" s="330" t="s">
        <v>3014</v>
      </c>
      <c r="M262" s="330" t="s">
        <v>3015</v>
      </c>
      <c r="N262" s="330" t="s">
        <v>3016</v>
      </c>
      <c r="O262" s="395">
        <v>45455</v>
      </c>
      <c r="P262" s="333">
        <v>6432381</v>
      </c>
      <c r="Q262" s="330" t="s">
        <v>1653</v>
      </c>
      <c r="R262" s="562">
        <v>0</v>
      </c>
      <c r="S262" s="333">
        <v>0</v>
      </c>
      <c r="T262" s="333">
        <v>-1929714.28</v>
      </c>
      <c r="U262" s="333">
        <f t="shared" si="43"/>
        <v>-1929714.28</v>
      </c>
      <c r="V262" s="333">
        <v>0</v>
      </c>
      <c r="W262" s="333">
        <v>0</v>
      </c>
      <c r="X262" s="333">
        <v>0</v>
      </c>
      <c r="Y262" s="333">
        <v>0</v>
      </c>
      <c r="Z262" s="333">
        <v>0</v>
      </c>
      <c r="AA262" s="333">
        <v>0</v>
      </c>
      <c r="AB262" s="333">
        <v>0</v>
      </c>
      <c r="AC262" s="333">
        <v>0</v>
      </c>
      <c r="AD262" s="333">
        <v>0</v>
      </c>
      <c r="AE262" s="333"/>
      <c r="AF262" s="333"/>
      <c r="AG262" s="333">
        <f t="shared" si="44"/>
        <v>-1929714.28</v>
      </c>
      <c r="AH262" s="330"/>
      <c r="AI262" s="330">
        <v>0</v>
      </c>
      <c r="AJ262" s="396">
        <f t="shared" si="45"/>
        <v>-1929714.28</v>
      </c>
      <c r="AK262" s="563"/>
      <c r="AL262" s="285">
        <f t="shared" si="34"/>
        <v>0</v>
      </c>
      <c r="AM262" s="286"/>
      <c r="AO262" s="330" t="s">
        <v>3013</v>
      </c>
    </row>
    <row r="263" spans="1:41">
      <c r="A263" s="587">
        <f t="shared" si="46"/>
        <v>260</v>
      </c>
      <c r="B263" s="330" t="s">
        <v>1643</v>
      </c>
      <c r="C263" s="330" t="s">
        <v>3017</v>
      </c>
      <c r="D263" s="330" t="s">
        <v>2153</v>
      </c>
      <c r="E263" s="330" t="s">
        <v>1678</v>
      </c>
      <c r="F263" s="330" t="s">
        <v>1647</v>
      </c>
      <c r="G263" s="562">
        <v>1114</v>
      </c>
      <c r="H263" s="562">
        <v>683.3</v>
      </c>
      <c r="I263" s="562">
        <v>795.57</v>
      </c>
      <c r="J263" s="561" t="s">
        <v>1648</v>
      </c>
      <c r="K263" s="330" t="s">
        <v>3018</v>
      </c>
      <c r="L263" s="330" t="s">
        <v>3019</v>
      </c>
      <c r="M263" s="330" t="s">
        <v>3020</v>
      </c>
      <c r="N263" s="330" t="s">
        <v>3021</v>
      </c>
      <c r="O263" s="395">
        <v>45457</v>
      </c>
      <c r="P263" s="333">
        <v>6691905</v>
      </c>
      <c r="Q263" s="330" t="s">
        <v>1653</v>
      </c>
      <c r="R263" s="562">
        <v>0</v>
      </c>
      <c r="S263" s="333">
        <v>0</v>
      </c>
      <c r="T263" s="333">
        <v>-2025735.6499999994</v>
      </c>
      <c r="U263" s="333">
        <f t="shared" si="43"/>
        <v>-2025735.6499999994</v>
      </c>
      <c r="V263" s="333">
        <v>0</v>
      </c>
      <c r="W263" s="333">
        <v>0</v>
      </c>
      <c r="X263" s="333">
        <v>0</v>
      </c>
      <c r="Y263" s="333">
        <v>0</v>
      </c>
      <c r="Z263" s="333">
        <v>0</v>
      </c>
      <c r="AA263" s="333">
        <v>0</v>
      </c>
      <c r="AB263" s="333">
        <v>0</v>
      </c>
      <c r="AC263" s="333">
        <v>0</v>
      </c>
      <c r="AD263" s="333">
        <v>0</v>
      </c>
      <c r="AE263" s="333"/>
      <c r="AF263" s="333"/>
      <c r="AG263" s="333">
        <f t="shared" si="44"/>
        <v>-2025735.6499999994</v>
      </c>
      <c r="AH263" s="330"/>
      <c r="AI263" s="330">
        <v>0</v>
      </c>
      <c r="AJ263" s="396">
        <f t="shared" si="45"/>
        <v>-2025735.6499999994</v>
      </c>
      <c r="AK263" s="563"/>
      <c r="AL263" s="285">
        <f t="shared" si="34"/>
        <v>0</v>
      </c>
      <c r="AM263" s="286"/>
      <c r="AO263" s="330" t="s">
        <v>3018</v>
      </c>
    </row>
    <row r="264" spans="1:41">
      <c r="A264" s="587">
        <f t="shared" si="46"/>
        <v>261</v>
      </c>
      <c r="B264" s="330" t="s">
        <v>1643</v>
      </c>
      <c r="C264" s="330" t="s">
        <v>3022</v>
      </c>
      <c r="D264" s="330" t="s">
        <v>1746</v>
      </c>
      <c r="E264" s="330" t="s">
        <v>1705</v>
      </c>
      <c r="F264" s="330" t="s">
        <v>1647</v>
      </c>
      <c r="G264" s="562">
        <v>1114</v>
      </c>
      <c r="H264" s="562">
        <v>683.3</v>
      </c>
      <c r="I264" s="562">
        <v>795.57</v>
      </c>
      <c r="J264" s="561" t="s">
        <v>1648</v>
      </c>
      <c r="K264" s="330" t="s">
        <v>3023</v>
      </c>
      <c r="L264" s="330" t="s">
        <v>3024</v>
      </c>
      <c r="M264" s="330" t="s">
        <v>3025</v>
      </c>
      <c r="N264" s="330" t="s">
        <v>3026</v>
      </c>
      <c r="O264" s="395">
        <v>45443</v>
      </c>
      <c r="P264" s="333">
        <v>6304075</v>
      </c>
      <c r="Q264" s="330" t="s">
        <v>1653</v>
      </c>
      <c r="R264" s="562">
        <v>0</v>
      </c>
      <c r="S264" s="333">
        <v>0</v>
      </c>
      <c r="T264" s="333">
        <v>-1895469.6999999997</v>
      </c>
      <c r="U264" s="333">
        <f t="shared" si="43"/>
        <v>-1895469.6999999997</v>
      </c>
      <c r="V264" s="333">
        <v>0</v>
      </c>
      <c r="W264" s="333">
        <v>0</v>
      </c>
      <c r="X264" s="333">
        <v>0</v>
      </c>
      <c r="Y264" s="333">
        <v>0</v>
      </c>
      <c r="Z264" s="333">
        <v>0</v>
      </c>
      <c r="AA264" s="333">
        <v>0</v>
      </c>
      <c r="AB264" s="333">
        <v>0</v>
      </c>
      <c r="AC264" s="333">
        <v>-8468</v>
      </c>
      <c r="AD264" s="333">
        <v>0</v>
      </c>
      <c r="AE264" s="333"/>
      <c r="AF264" s="333"/>
      <c r="AG264" s="333">
        <f t="shared" si="44"/>
        <v>-1903937.6999999997</v>
      </c>
      <c r="AH264" s="330"/>
      <c r="AI264" s="330">
        <v>8468</v>
      </c>
      <c r="AJ264" s="396">
        <f t="shared" si="45"/>
        <v>-1903937.6999999997</v>
      </c>
      <c r="AK264" s="563"/>
      <c r="AL264" s="285">
        <f t="shared" ref="AL264:AL265" si="47">+AC264+AI264</f>
        <v>0</v>
      </c>
      <c r="AM264" s="286"/>
      <c r="AO264" s="330" t="s">
        <v>3023</v>
      </c>
    </row>
    <row r="265" spans="1:41">
      <c r="A265" s="587">
        <f t="shared" si="46"/>
        <v>262</v>
      </c>
      <c r="B265" s="330" t="s">
        <v>1643</v>
      </c>
      <c r="C265" s="330" t="s">
        <v>3027</v>
      </c>
      <c r="D265" s="330" t="s">
        <v>1645</v>
      </c>
      <c r="E265" s="330" t="s">
        <v>2132</v>
      </c>
      <c r="F265" s="330" t="s">
        <v>1647</v>
      </c>
      <c r="G265" s="562">
        <v>1012</v>
      </c>
      <c r="H265" s="562">
        <v>653.59</v>
      </c>
      <c r="I265" s="562">
        <v>723.02</v>
      </c>
      <c r="J265" s="561" t="s">
        <v>1648</v>
      </c>
      <c r="K265" s="330" t="s">
        <v>3028</v>
      </c>
      <c r="L265" s="330" t="s">
        <v>3029</v>
      </c>
      <c r="M265" s="330" t="s">
        <v>3030</v>
      </c>
      <c r="N265" s="330" t="s">
        <v>3031</v>
      </c>
      <c r="O265" s="395">
        <v>45428</v>
      </c>
      <c r="P265" s="333">
        <v>5683644</v>
      </c>
      <c r="Q265" s="330" t="s">
        <v>1653</v>
      </c>
      <c r="R265" s="562">
        <v>0</v>
      </c>
      <c r="S265" s="333">
        <v>0</v>
      </c>
      <c r="T265" s="333">
        <v>-1750235.3399999999</v>
      </c>
      <c r="U265" s="333">
        <f t="shared" si="43"/>
        <v>-1750235.3399999999</v>
      </c>
      <c r="V265" s="333">
        <v>0</v>
      </c>
      <c r="W265" s="333">
        <v>0</v>
      </c>
      <c r="X265" s="333">
        <v>0</v>
      </c>
      <c r="Y265" s="333">
        <v>0</v>
      </c>
      <c r="Z265" s="333">
        <v>0</v>
      </c>
      <c r="AA265" s="333">
        <v>0</v>
      </c>
      <c r="AB265" s="333">
        <v>0</v>
      </c>
      <c r="AC265" s="333">
        <v>-11692.96000000001</v>
      </c>
      <c r="AD265" s="333">
        <v>0</v>
      </c>
      <c r="AE265" s="333"/>
      <c r="AF265" s="333"/>
      <c r="AG265" s="333">
        <f t="shared" si="44"/>
        <v>-1761928.2999999998</v>
      </c>
      <c r="AH265" s="330"/>
      <c r="AI265" s="330">
        <v>11692.960000000001</v>
      </c>
      <c r="AJ265" s="396">
        <f t="shared" si="45"/>
        <v>-1761928.2999999998</v>
      </c>
      <c r="AK265" s="563"/>
      <c r="AL265" s="285">
        <f t="shared" si="47"/>
        <v>0</v>
      </c>
      <c r="AM265" s="286"/>
      <c r="AO265" s="330" t="s">
        <v>3028</v>
      </c>
    </row>
    <row r="266" spans="1:41">
      <c r="A266" s="587">
        <f t="shared" si="46"/>
        <v>263</v>
      </c>
      <c r="B266" s="330" t="s">
        <v>1643</v>
      </c>
      <c r="C266" s="330" t="s">
        <v>3032</v>
      </c>
      <c r="D266" s="330" t="s">
        <v>1669</v>
      </c>
      <c r="E266" s="330" t="s">
        <v>2062</v>
      </c>
      <c r="F266" s="330" t="s">
        <v>1671</v>
      </c>
      <c r="G266" s="562">
        <v>1787</v>
      </c>
      <c r="H266" s="562">
        <v>1138.51</v>
      </c>
      <c r="I266" s="562">
        <v>1276.29</v>
      </c>
      <c r="J266" s="561" t="s">
        <v>1810</v>
      </c>
      <c r="K266" s="330" t="s">
        <v>3033</v>
      </c>
      <c r="L266" s="330" t="s">
        <v>3034</v>
      </c>
      <c r="M266" s="330" t="s">
        <v>3035</v>
      </c>
      <c r="N266" s="330" t="s">
        <v>12</v>
      </c>
      <c r="O266" s="395"/>
      <c r="P266" s="333">
        <v>12785714</v>
      </c>
      <c r="Q266" s="330" t="s">
        <v>1660</v>
      </c>
      <c r="R266" s="562">
        <v>0</v>
      </c>
      <c r="S266" s="333">
        <v>0</v>
      </c>
      <c r="T266" s="333">
        <v>0</v>
      </c>
      <c r="U266" s="333">
        <f t="shared" si="43"/>
        <v>0</v>
      </c>
      <c r="V266" s="333">
        <v>0</v>
      </c>
      <c r="W266" s="333">
        <v>0</v>
      </c>
      <c r="X266" s="333">
        <v>0</v>
      </c>
      <c r="Y266" s="333">
        <v>0</v>
      </c>
      <c r="Z266" s="333">
        <v>0</v>
      </c>
      <c r="AA266" s="333">
        <v>0</v>
      </c>
      <c r="AB266" s="333">
        <v>0</v>
      </c>
      <c r="AC266" s="333">
        <v>0</v>
      </c>
      <c r="AD266" s="333">
        <v>0</v>
      </c>
      <c r="AE266" s="333"/>
      <c r="AF266" s="333"/>
      <c r="AG266" s="333">
        <f t="shared" si="44"/>
        <v>0</v>
      </c>
      <c r="AH266" s="330"/>
      <c r="AI266" s="330">
        <v>0</v>
      </c>
      <c r="AJ266" s="396">
        <f t="shared" si="45"/>
        <v>0</v>
      </c>
      <c r="AK266" s="563"/>
      <c r="AL266" s="285">
        <f t="shared" si="34"/>
        <v>0</v>
      </c>
      <c r="AM266" s="286"/>
      <c r="AO266" s="330" t="s">
        <v>3033</v>
      </c>
    </row>
    <row r="267" spans="1:41">
      <c r="A267" s="587">
        <f t="shared" si="46"/>
        <v>264</v>
      </c>
      <c r="B267" s="330" t="s">
        <v>1643</v>
      </c>
      <c r="C267" s="330" t="s">
        <v>3036</v>
      </c>
      <c r="D267" s="330" t="s">
        <v>1704</v>
      </c>
      <c r="E267" s="330" t="s">
        <v>1678</v>
      </c>
      <c r="F267" s="330" t="s">
        <v>1647</v>
      </c>
      <c r="G267" s="562">
        <v>1012</v>
      </c>
      <c r="H267" s="562">
        <v>653.59</v>
      </c>
      <c r="I267" s="562">
        <v>723.02</v>
      </c>
      <c r="J267" s="561" t="s">
        <v>1648</v>
      </c>
      <c r="K267" s="330" t="s">
        <v>3037</v>
      </c>
      <c r="L267" s="330" t="s">
        <v>3038</v>
      </c>
      <c r="M267" s="330" t="s">
        <v>3039</v>
      </c>
      <c r="N267" s="330" t="s">
        <v>3040</v>
      </c>
      <c r="O267" s="395">
        <v>45455</v>
      </c>
      <c r="P267" s="333">
        <v>5642857</v>
      </c>
      <c r="Q267" s="330" t="s">
        <v>1653</v>
      </c>
      <c r="R267" s="562">
        <v>0</v>
      </c>
      <c r="S267" s="333">
        <v>0</v>
      </c>
      <c r="T267" s="333">
        <v>-1743155.7099999997</v>
      </c>
      <c r="U267" s="333">
        <f t="shared" si="43"/>
        <v>-1743155.7099999997</v>
      </c>
      <c r="V267" s="333">
        <v>0</v>
      </c>
      <c r="W267" s="333">
        <v>0</v>
      </c>
      <c r="X267" s="333">
        <v>0</v>
      </c>
      <c r="Y267" s="333">
        <v>0</v>
      </c>
      <c r="Z267" s="333">
        <v>0</v>
      </c>
      <c r="AA267" s="333">
        <v>0</v>
      </c>
      <c r="AB267" s="333">
        <v>0</v>
      </c>
      <c r="AC267" s="333">
        <v>-6131</v>
      </c>
      <c r="AD267" s="333">
        <v>0</v>
      </c>
      <c r="AE267" s="333"/>
      <c r="AF267" s="333"/>
      <c r="AG267" s="333">
        <f t="shared" si="44"/>
        <v>-1749286.7099999997</v>
      </c>
      <c r="AH267" s="330"/>
      <c r="AI267" s="330">
        <v>6131</v>
      </c>
      <c r="AJ267" s="396">
        <f t="shared" si="45"/>
        <v>-1749286.7099999997</v>
      </c>
      <c r="AK267" s="563"/>
      <c r="AL267" s="285">
        <f t="shared" ref="AL267:AL269" si="48">+AC267+AI267</f>
        <v>0</v>
      </c>
      <c r="AM267" s="286"/>
      <c r="AO267" s="330" t="s">
        <v>3037</v>
      </c>
    </row>
    <row r="268" spans="1:41">
      <c r="A268" s="587">
        <f t="shared" si="46"/>
        <v>265</v>
      </c>
      <c r="B268" s="330" t="s">
        <v>1643</v>
      </c>
      <c r="C268" s="330" t="s">
        <v>3041</v>
      </c>
      <c r="D268" s="330" t="s">
        <v>1746</v>
      </c>
      <c r="E268" s="330" t="s">
        <v>2023</v>
      </c>
      <c r="F268" s="330" t="s">
        <v>1647</v>
      </c>
      <c r="G268" s="562">
        <v>1012</v>
      </c>
      <c r="H268" s="562">
        <v>653.59</v>
      </c>
      <c r="I268" s="562">
        <v>723.02</v>
      </c>
      <c r="J268" s="561" t="s">
        <v>1648</v>
      </c>
      <c r="K268" s="330" t="s">
        <v>3042</v>
      </c>
      <c r="L268" s="330" t="s">
        <v>3043</v>
      </c>
      <c r="M268" s="330" t="s">
        <v>3044</v>
      </c>
      <c r="N268" s="330" t="s">
        <v>3045</v>
      </c>
      <c r="O268" s="395">
        <v>45428</v>
      </c>
      <c r="P268" s="333">
        <v>5729194</v>
      </c>
      <c r="Q268" s="330" t="s">
        <v>1653</v>
      </c>
      <c r="R268" s="562">
        <v>0</v>
      </c>
      <c r="S268" s="333">
        <v>0</v>
      </c>
      <c r="T268" s="333">
        <v>-1868559.8399999999</v>
      </c>
      <c r="U268" s="333">
        <f t="shared" si="43"/>
        <v>-1868559.8399999999</v>
      </c>
      <c r="V268" s="333">
        <v>0</v>
      </c>
      <c r="W268" s="333">
        <v>0</v>
      </c>
      <c r="X268" s="333">
        <v>0</v>
      </c>
      <c r="Y268" s="333">
        <v>0</v>
      </c>
      <c r="Z268" s="333">
        <v>0</v>
      </c>
      <c r="AA268" s="333">
        <v>0</v>
      </c>
      <c r="AB268" s="333">
        <v>0</v>
      </c>
      <c r="AC268" s="333">
        <v>-7490.18</v>
      </c>
      <c r="AD268" s="333">
        <v>0</v>
      </c>
      <c r="AE268" s="333"/>
      <c r="AF268" s="333"/>
      <c r="AG268" s="333">
        <f t="shared" si="44"/>
        <v>-1876050.0199999998</v>
      </c>
      <c r="AH268" s="330"/>
      <c r="AI268" s="330">
        <v>7490.18</v>
      </c>
      <c r="AJ268" s="396">
        <f t="shared" si="45"/>
        <v>-1876050.0199999998</v>
      </c>
      <c r="AK268" s="563"/>
      <c r="AL268" s="285">
        <f t="shared" si="48"/>
        <v>0</v>
      </c>
      <c r="AM268" s="286"/>
      <c r="AO268" s="330" t="s">
        <v>3042</v>
      </c>
    </row>
    <row r="269" spans="1:41">
      <c r="A269" s="587">
        <f t="shared" si="46"/>
        <v>266</v>
      </c>
      <c r="B269" s="330" t="s">
        <v>1643</v>
      </c>
      <c r="C269" s="330" t="s">
        <v>3046</v>
      </c>
      <c r="D269" s="330" t="s">
        <v>1662</v>
      </c>
      <c r="E269" s="330" t="s">
        <v>3047</v>
      </c>
      <c r="F269" s="330" t="s">
        <v>1647</v>
      </c>
      <c r="G269" s="562">
        <v>1012</v>
      </c>
      <c r="H269" s="562">
        <v>653.59</v>
      </c>
      <c r="I269" s="562">
        <v>723.02</v>
      </c>
      <c r="J269" s="561" t="s">
        <v>1810</v>
      </c>
      <c r="K269" s="330" t="s">
        <v>3048</v>
      </c>
      <c r="L269" s="330" t="s">
        <v>3049</v>
      </c>
      <c r="M269" s="330" t="s">
        <v>3050</v>
      </c>
      <c r="N269" s="330" t="s">
        <v>3051</v>
      </c>
      <c r="O269" s="395">
        <v>45428</v>
      </c>
      <c r="P269" s="333">
        <v>5683644</v>
      </c>
      <c r="Q269" s="330" t="s">
        <v>1653</v>
      </c>
      <c r="R269" s="562">
        <v>0</v>
      </c>
      <c r="S269" s="333">
        <v>0</v>
      </c>
      <c r="T269" s="333">
        <v>-1754785.5599999996</v>
      </c>
      <c r="U269" s="333">
        <f t="shared" si="43"/>
        <v>-1754785.5599999996</v>
      </c>
      <c r="V269" s="333">
        <v>0</v>
      </c>
      <c r="W269" s="333">
        <v>0</v>
      </c>
      <c r="X269" s="333">
        <v>0</v>
      </c>
      <c r="Y269" s="333">
        <v>0</v>
      </c>
      <c r="Z269" s="333">
        <v>0</v>
      </c>
      <c r="AA269" s="333">
        <v>0</v>
      </c>
      <c r="AB269" s="333">
        <v>0</v>
      </c>
      <c r="AC269" s="333">
        <v>-7142</v>
      </c>
      <c r="AD269" s="333">
        <v>0</v>
      </c>
      <c r="AE269" s="333"/>
      <c r="AF269" s="333"/>
      <c r="AG269" s="333">
        <f t="shared" si="44"/>
        <v>-1761927.5599999996</v>
      </c>
      <c r="AH269" s="330"/>
      <c r="AI269" s="330">
        <v>7142</v>
      </c>
      <c r="AJ269" s="396">
        <f t="shared" si="45"/>
        <v>-1761927.5599999996</v>
      </c>
      <c r="AK269" s="563"/>
      <c r="AL269" s="285">
        <f t="shared" si="48"/>
        <v>0</v>
      </c>
      <c r="AM269" s="286"/>
      <c r="AO269" s="330" t="s">
        <v>3048</v>
      </c>
    </row>
    <row r="270" spans="1:41">
      <c r="A270" s="587">
        <f t="shared" si="46"/>
        <v>267</v>
      </c>
      <c r="B270" s="330" t="s">
        <v>1643</v>
      </c>
      <c r="C270" s="330" t="s">
        <v>3052</v>
      </c>
      <c r="D270" s="330" t="s">
        <v>1704</v>
      </c>
      <c r="E270" s="330" t="s">
        <v>2095</v>
      </c>
      <c r="F270" s="330" t="s">
        <v>1647</v>
      </c>
      <c r="G270" s="562">
        <v>1498</v>
      </c>
      <c r="H270" s="562">
        <v>954.87</v>
      </c>
      <c r="I270" s="562">
        <v>1069.73</v>
      </c>
      <c r="J270" s="561" t="s">
        <v>1648</v>
      </c>
      <c r="K270" s="330" t="s">
        <v>3053</v>
      </c>
      <c r="L270" s="330" t="s">
        <v>3054</v>
      </c>
      <c r="M270" s="330" t="s">
        <v>3055</v>
      </c>
      <c r="N270" s="330" t="s">
        <v>3056</v>
      </c>
      <c r="O270" s="395">
        <v>45562</v>
      </c>
      <c r="P270" s="333">
        <v>9303524</v>
      </c>
      <c r="Q270" s="330" t="s">
        <v>1653</v>
      </c>
      <c r="R270" s="562">
        <v>0</v>
      </c>
      <c r="S270" s="333">
        <v>0</v>
      </c>
      <c r="T270" s="333">
        <v>-2884091.1399999987</v>
      </c>
      <c r="U270" s="333">
        <f t="shared" si="43"/>
        <v>-2884091.1399999987</v>
      </c>
      <c r="V270" s="333">
        <v>0</v>
      </c>
      <c r="W270" s="333">
        <v>0</v>
      </c>
      <c r="X270" s="333">
        <v>0</v>
      </c>
      <c r="Y270" s="333">
        <v>0</v>
      </c>
      <c r="Z270" s="333">
        <v>0</v>
      </c>
      <c r="AA270" s="333">
        <v>0</v>
      </c>
      <c r="AB270" s="333">
        <v>0</v>
      </c>
      <c r="AC270" s="333">
        <v>0</v>
      </c>
      <c r="AD270" s="333">
        <v>0</v>
      </c>
      <c r="AE270" s="333"/>
      <c r="AF270" s="333"/>
      <c r="AG270" s="333">
        <f t="shared" si="44"/>
        <v>-2884091.1399999987</v>
      </c>
      <c r="AH270" s="330"/>
      <c r="AI270" s="330">
        <v>0</v>
      </c>
      <c r="AJ270" s="396">
        <f t="shared" si="45"/>
        <v>-2884091.1399999987</v>
      </c>
      <c r="AK270" s="563"/>
      <c r="AL270" s="285">
        <f t="shared" ref="AL270:AL323" si="49">+AC270-AI270</f>
        <v>0</v>
      </c>
      <c r="AM270" s="286"/>
      <c r="AO270" s="330" t="s">
        <v>3053</v>
      </c>
    </row>
    <row r="271" spans="1:41">
      <c r="A271" s="587">
        <f t="shared" si="46"/>
        <v>268</v>
      </c>
      <c r="B271" s="330" t="s">
        <v>1643</v>
      </c>
      <c r="C271" s="330" t="s">
        <v>3057</v>
      </c>
      <c r="D271" s="330" t="s">
        <v>2153</v>
      </c>
      <c r="E271" s="330" t="s">
        <v>1984</v>
      </c>
      <c r="F271" s="330" t="s">
        <v>1647</v>
      </c>
      <c r="G271" s="562">
        <v>1114</v>
      </c>
      <c r="H271" s="562">
        <v>683.3</v>
      </c>
      <c r="I271" s="562">
        <v>795.57</v>
      </c>
      <c r="J271" s="561" t="s">
        <v>1810</v>
      </c>
      <c r="K271" s="330" t="s">
        <v>3058</v>
      </c>
      <c r="L271" s="330" t="s">
        <v>3059</v>
      </c>
      <c r="M271" s="330" t="s">
        <v>3060</v>
      </c>
      <c r="N271" s="330" t="s">
        <v>3061</v>
      </c>
      <c r="O271" s="395">
        <v>45454</v>
      </c>
      <c r="P271" s="333">
        <v>6459429</v>
      </c>
      <c r="Q271" s="330" t="s">
        <v>1660</v>
      </c>
      <c r="R271" s="562">
        <v>0</v>
      </c>
      <c r="S271" s="333">
        <v>0</v>
      </c>
      <c r="T271" s="333">
        <v>-2816078.56</v>
      </c>
      <c r="U271" s="333">
        <f t="shared" si="43"/>
        <v>-2816078.56</v>
      </c>
      <c r="V271" s="333">
        <v>0</v>
      </c>
      <c r="W271" s="333">
        <v>0</v>
      </c>
      <c r="X271" s="333">
        <v>0</v>
      </c>
      <c r="Y271" s="333">
        <v>0</v>
      </c>
      <c r="Z271" s="333">
        <v>0</v>
      </c>
      <c r="AA271" s="333">
        <v>0</v>
      </c>
      <c r="AB271" s="333">
        <v>0</v>
      </c>
      <c r="AC271" s="333">
        <v>-197829.41000000015</v>
      </c>
      <c r="AD271" s="333">
        <v>2816079.6</v>
      </c>
      <c r="AE271" s="333"/>
      <c r="AF271" s="333"/>
      <c r="AG271" s="333">
        <f t="shared" si="44"/>
        <v>-197828.37000000011</v>
      </c>
      <c r="AH271" s="330"/>
      <c r="AI271" s="330">
        <v>214581.08000000002</v>
      </c>
      <c r="AJ271" s="396">
        <f t="shared" si="45"/>
        <v>-197828.37000000011</v>
      </c>
      <c r="AK271" s="563"/>
      <c r="AL271" s="285">
        <f>+AC271+AI271</f>
        <v>16751.669999999867</v>
      </c>
      <c r="AM271" s="286" t="s">
        <v>3062</v>
      </c>
      <c r="AO271" s="330" t="s">
        <v>3058</v>
      </c>
    </row>
    <row r="272" spans="1:41">
      <c r="A272" s="587">
        <f t="shared" si="46"/>
        <v>269</v>
      </c>
      <c r="B272" s="330" t="s">
        <v>1643</v>
      </c>
      <c r="C272" s="330" t="s">
        <v>3063</v>
      </c>
      <c r="D272" s="330" t="s">
        <v>1704</v>
      </c>
      <c r="E272" s="330" t="s">
        <v>3064</v>
      </c>
      <c r="F272" s="330" t="s">
        <v>1647</v>
      </c>
      <c r="G272" s="562">
        <v>1375</v>
      </c>
      <c r="H272" s="562">
        <v>876.73</v>
      </c>
      <c r="I272" s="562">
        <v>982.22</v>
      </c>
      <c r="J272" s="561" t="s">
        <v>1648</v>
      </c>
      <c r="K272" s="330" t="s">
        <v>3065</v>
      </c>
      <c r="L272" s="330" t="s">
        <v>3066</v>
      </c>
      <c r="M272" s="330" t="s">
        <v>3067</v>
      </c>
      <c r="N272" s="330" t="s">
        <v>3068</v>
      </c>
      <c r="O272" s="395">
        <v>45476</v>
      </c>
      <c r="P272" s="333">
        <v>7964286</v>
      </c>
      <c r="Q272" s="330" t="s">
        <v>1653</v>
      </c>
      <c r="R272" s="562">
        <v>0</v>
      </c>
      <c r="S272" s="333">
        <v>0</v>
      </c>
      <c r="T272" s="333">
        <v>-2452999.5600000005</v>
      </c>
      <c r="U272" s="333">
        <f t="shared" si="43"/>
        <v>-2452999.5600000005</v>
      </c>
      <c r="V272" s="333">
        <v>0</v>
      </c>
      <c r="W272" s="333">
        <v>0</v>
      </c>
      <c r="X272" s="333">
        <v>0</v>
      </c>
      <c r="Y272" s="333">
        <v>0</v>
      </c>
      <c r="Z272" s="333">
        <v>0</v>
      </c>
      <c r="AA272" s="333">
        <v>0</v>
      </c>
      <c r="AB272" s="333">
        <v>0</v>
      </c>
      <c r="AC272" s="333">
        <v>0</v>
      </c>
      <c r="AD272" s="333">
        <v>0</v>
      </c>
      <c r="AE272" s="333"/>
      <c r="AF272" s="333"/>
      <c r="AG272" s="333">
        <f t="shared" si="44"/>
        <v>-2452999.5600000005</v>
      </c>
      <c r="AH272" s="330"/>
      <c r="AI272" s="330">
        <v>0</v>
      </c>
      <c r="AJ272" s="396">
        <f t="shared" si="45"/>
        <v>-2452999.5600000005</v>
      </c>
      <c r="AK272" s="563"/>
      <c r="AL272" s="285">
        <f t="shared" si="49"/>
        <v>0</v>
      </c>
      <c r="AM272" s="286"/>
      <c r="AO272" s="330" t="s">
        <v>3065</v>
      </c>
    </row>
    <row r="273" spans="1:41">
      <c r="A273" s="587">
        <f t="shared" si="46"/>
        <v>270</v>
      </c>
      <c r="B273" s="330" t="s">
        <v>1643</v>
      </c>
      <c r="C273" s="330" t="s">
        <v>3069</v>
      </c>
      <c r="D273" s="330" t="s">
        <v>1662</v>
      </c>
      <c r="E273" s="330" t="s">
        <v>3070</v>
      </c>
      <c r="F273" s="330" t="s">
        <v>1671</v>
      </c>
      <c r="G273" s="562">
        <v>1375</v>
      </c>
      <c r="H273" s="562">
        <v>876.73</v>
      </c>
      <c r="I273" s="562">
        <v>982.22</v>
      </c>
      <c r="J273" s="561" t="s">
        <v>1648</v>
      </c>
      <c r="K273" s="330" t="s">
        <v>3071</v>
      </c>
      <c r="L273" s="330" t="s">
        <v>3072</v>
      </c>
      <c r="M273" s="330" t="s">
        <v>3073</v>
      </c>
      <c r="N273" s="330" t="s">
        <v>2066</v>
      </c>
      <c r="O273" s="395"/>
      <c r="P273" s="333">
        <v>7624953</v>
      </c>
      <c r="Q273" s="330" t="s">
        <v>1660</v>
      </c>
      <c r="R273" s="562">
        <v>0</v>
      </c>
      <c r="S273" s="333">
        <v>0</v>
      </c>
      <c r="T273" s="333">
        <v>0</v>
      </c>
      <c r="U273" s="333">
        <f t="shared" si="43"/>
        <v>0</v>
      </c>
      <c r="V273" s="333">
        <v>0</v>
      </c>
      <c r="W273" s="333">
        <v>0</v>
      </c>
      <c r="X273" s="333">
        <v>0</v>
      </c>
      <c r="Y273" s="333">
        <v>0</v>
      </c>
      <c r="Z273" s="333">
        <v>0</v>
      </c>
      <c r="AA273" s="333">
        <v>0</v>
      </c>
      <c r="AB273" s="333">
        <v>0</v>
      </c>
      <c r="AC273" s="333">
        <v>0</v>
      </c>
      <c r="AD273" s="333">
        <v>0</v>
      </c>
      <c r="AE273" s="333"/>
      <c r="AF273" s="333"/>
      <c r="AG273" s="333">
        <f>SUM(U273:AF273)*0</f>
        <v>0</v>
      </c>
      <c r="AH273" s="330"/>
      <c r="AI273" s="330">
        <v>0</v>
      </c>
      <c r="AJ273" s="396">
        <f t="shared" si="45"/>
        <v>0</v>
      </c>
      <c r="AK273" s="563"/>
      <c r="AL273" s="285">
        <f t="shared" si="49"/>
        <v>0</v>
      </c>
      <c r="AM273" s="286"/>
      <c r="AO273" s="330" t="s">
        <v>3071</v>
      </c>
    </row>
    <row r="274" spans="1:41">
      <c r="A274" s="587">
        <f t="shared" si="46"/>
        <v>271</v>
      </c>
      <c r="B274" s="330" t="s">
        <v>1643</v>
      </c>
      <c r="C274" s="330" t="s">
        <v>3074</v>
      </c>
      <c r="D274" s="330" t="s">
        <v>1704</v>
      </c>
      <c r="E274" s="330" t="s">
        <v>1656</v>
      </c>
      <c r="F274" s="330" t="s">
        <v>1647</v>
      </c>
      <c r="G274" s="562">
        <v>1114</v>
      </c>
      <c r="H274" s="562">
        <v>683.3</v>
      </c>
      <c r="I274" s="562">
        <v>795.57</v>
      </c>
      <c r="J274" s="561" t="s">
        <v>1648</v>
      </c>
      <c r="K274" s="330" t="s">
        <v>3075</v>
      </c>
      <c r="L274" s="330" t="s">
        <v>3076</v>
      </c>
      <c r="M274" s="330" t="s">
        <v>3077</v>
      </c>
      <c r="N274" s="330" t="s">
        <v>3078</v>
      </c>
      <c r="O274" s="395">
        <v>45435</v>
      </c>
      <c r="P274" s="333">
        <v>6357143</v>
      </c>
      <c r="Q274" s="330" t="s">
        <v>1653</v>
      </c>
      <c r="R274" s="562">
        <v>0</v>
      </c>
      <c r="S274" s="333">
        <v>0</v>
      </c>
      <c r="T274" s="333">
        <v>-1907142.2700000007</v>
      </c>
      <c r="U274" s="333">
        <f t="shared" si="43"/>
        <v>-1907142.2700000007</v>
      </c>
      <c r="V274" s="333">
        <v>0</v>
      </c>
      <c r="W274" s="333">
        <v>0</v>
      </c>
      <c r="X274" s="333">
        <v>0</v>
      </c>
      <c r="Y274" s="333">
        <v>0</v>
      </c>
      <c r="Z274" s="333">
        <v>0</v>
      </c>
      <c r="AA274" s="333">
        <v>0</v>
      </c>
      <c r="AB274" s="333">
        <v>0</v>
      </c>
      <c r="AC274" s="333">
        <v>0</v>
      </c>
      <c r="AD274" s="333">
        <v>0</v>
      </c>
      <c r="AE274" s="333"/>
      <c r="AF274" s="333"/>
      <c r="AG274" s="333">
        <f t="shared" si="44"/>
        <v>-1907142.2700000007</v>
      </c>
      <c r="AH274" s="330"/>
      <c r="AI274" s="330">
        <v>0</v>
      </c>
      <c r="AJ274" s="396">
        <f t="shared" si="45"/>
        <v>-1907142.2700000007</v>
      </c>
      <c r="AK274" s="563"/>
      <c r="AL274" s="285">
        <f t="shared" si="49"/>
        <v>0</v>
      </c>
      <c r="AM274" s="286"/>
      <c r="AO274" s="330" t="s">
        <v>3075</v>
      </c>
    </row>
    <row r="275" spans="1:41">
      <c r="A275" s="587">
        <f t="shared" si="46"/>
        <v>272</v>
      </c>
      <c r="B275" s="330" t="s">
        <v>1643</v>
      </c>
      <c r="C275" s="330" t="s">
        <v>3079</v>
      </c>
      <c r="D275" s="330" t="s">
        <v>1645</v>
      </c>
      <c r="E275" s="330" t="s">
        <v>1852</v>
      </c>
      <c r="F275" s="330" t="s">
        <v>1647</v>
      </c>
      <c r="G275" s="562">
        <v>1012</v>
      </c>
      <c r="H275" s="562">
        <v>653.59</v>
      </c>
      <c r="I275" s="562">
        <v>723.02</v>
      </c>
      <c r="J275" s="561" t="s">
        <v>1648</v>
      </c>
      <c r="K275" s="330" t="s">
        <v>3080</v>
      </c>
      <c r="L275" s="330" t="s">
        <v>3081</v>
      </c>
      <c r="M275" s="330" t="s">
        <v>3082</v>
      </c>
      <c r="N275" s="330" t="s">
        <v>3083</v>
      </c>
      <c r="O275" s="395">
        <v>45491</v>
      </c>
      <c r="P275" s="333">
        <v>5648216</v>
      </c>
      <c r="Q275" s="330" t="s">
        <v>1653</v>
      </c>
      <c r="R275" s="562">
        <v>0</v>
      </c>
      <c r="S275" s="333">
        <v>0</v>
      </c>
      <c r="T275" s="333">
        <v>-1757046.7600000002</v>
      </c>
      <c r="U275" s="333">
        <f t="shared" si="43"/>
        <v>-1757046.7600000002</v>
      </c>
      <c r="V275" s="333">
        <v>0</v>
      </c>
      <c r="W275" s="333">
        <v>0</v>
      </c>
      <c r="X275" s="333">
        <v>0</v>
      </c>
      <c r="Y275" s="333">
        <v>0</v>
      </c>
      <c r="Z275" s="333">
        <v>0</v>
      </c>
      <c r="AA275" s="333">
        <v>0</v>
      </c>
      <c r="AB275" s="333">
        <v>0</v>
      </c>
      <c r="AC275" s="333">
        <v>-4761.8999999999942</v>
      </c>
      <c r="AD275" s="333">
        <v>0</v>
      </c>
      <c r="AE275" s="333"/>
      <c r="AF275" s="333"/>
      <c r="AG275" s="333">
        <f t="shared" si="44"/>
        <v>-1761808.6600000001</v>
      </c>
      <c r="AH275" s="330"/>
      <c r="AI275" s="330">
        <v>4761.8999999999996</v>
      </c>
      <c r="AJ275" s="396">
        <f t="shared" si="45"/>
        <v>-1761808.6600000001</v>
      </c>
      <c r="AK275" s="563"/>
      <c r="AL275" s="285">
        <f>+AC275+AI275</f>
        <v>0</v>
      </c>
      <c r="AM275" s="286"/>
      <c r="AO275" s="330" t="s">
        <v>3080</v>
      </c>
    </row>
    <row r="276" spans="1:41">
      <c r="A276" s="587">
        <f t="shared" si="46"/>
        <v>273</v>
      </c>
      <c r="B276" s="330" t="s">
        <v>1643</v>
      </c>
      <c r="C276" s="330" t="s">
        <v>3084</v>
      </c>
      <c r="D276" s="330" t="s">
        <v>1677</v>
      </c>
      <c r="E276" s="330" t="s">
        <v>2095</v>
      </c>
      <c r="F276" s="330" t="s">
        <v>1671</v>
      </c>
      <c r="G276" s="562">
        <v>1498</v>
      </c>
      <c r="H276" s="562">
        <v>954.87</v>
      </c>
      <c r="I276" s="562">
        <v>1069.73</v>
      </c>
      <c r="J276" s="561" t="s">
        <v>1810</v>
      </c>
      <c r="K276" s="330" t="s">
        <v>3085</v>
      </c>
      <c r="L276" s="330" t="s">
        <v>3086</v>
      </c>
      <c r="M276" s="330" t="s">
        <v>3087</v>
      </c>
      <c r="N276" s="330" t="s">
        <v>12</v>
      </c>
      <c r="O276" s="395"/>
      <c r="P276" s="333">
        <v>9214286</v>
      </c>
      <c r="Q276" s="330" t="s">
        <v>1653</v>
      </c>
      <c r="R276" s="562">
        <v>0</v>
      </c>
      <c r="S276" s="333">
        <v>0</v>
      </c>
      <c r="T276" s="333">
        <v>-150000</v>
      </c>
      <c r="U276" s="333">
        <f t="shared" si="43"/>
        <v>-150000</v>
      </c>
      <c r="V276" s="333">
        <v>-456800</v>
      </c>
      <c r="W276" s="333">
        <v>0</v>
      </c>
      <c r="X276" s="333">
        <v>0</v>
      </c>
      <c r="Y276" s="333">
        <v>0</v>
      </c>
      <c r="Z276" s="333">
        <v>0</v>
      </c>
      <c r="AA276" s="333">
        <v>0</v>
      </c>
      <c r="AB276" s="333">
        <v>0</v>
      </c>
      <c r="AC276" s="333">
        <v>0</v>
      </c>
      <c r="AD276" s="333">
        <v>0</v>
      </c>
      <c r="AE276" s="333"/>
      <c r="AF276" s="333"/>
      <c r="AG276" s="333">
        <f t="shared" si="44"/>
        <v>-606800</v>
      </c>
      <c r="AH276" s="330"/>
      <c r="AI276" s="330">
        <v>0</v>
      </c>
      <c r="AJ276" s="396">
        <f t="shared" si="45"/>
        <v>-606800</v>
      </c>
      <c r="AK276" s="563"/>
      <c r="AL276" s="285">
        <f t="shared" si="49"/>
        <v>0</v>
      </c>
      <c r="AM276" s="286"/>
      <c r="AO276" s="330" t="s">
        <v>3085</v>
      </c>
    </row>
    <row r="277" spans="1:41">
      <c r="A277" s="587">
        <f t="shared" si="46"/>
        <v>274</v>
      </c>
      <c r="B277" s="330" t="s">
        <v>1643</v>
      </c>
      <c r="C277" s="330" t="s">
        <v>3088</v>
      </c>
      <c r="D277" s="330" t="s">
        <v>1746</v>
      </c>
      <c r="E277" s="330" t="s">
        <v>1678</v>
      </c>
      <c r="F277" s="330" t="s">
        <v>1647</v>
      </c>
      <c r="G277" s="562">
        <v>1012</v>
      </c>
      <c r="H277" s="562">
        <v>653.59</v>
      </c>
      <c r="I277" s="562">
        <v>723.02</v>
      </c>
      <c r="J277" s="561" t="s">
        <v>1810</v>
      </c>
      <c r="K277" s="330" t="s">
        <v>3089</v>
      </c>
      <c r="L277" s="330" t="s">
        <v>3090</v>
      </c>
      <c r="M277" s="330" t="s">
        <v>3091</v>
      </c>
      <c r="N277" s="330" t="s">
        <v>3092</v>
      </c>
      <c r="O277" s="395">
        <v>45454</v>
      </c>
      <c r="P277" s="333">
        <v>5705333</v>
      </c>
      <c r="Q277" s="330" t="s">
        <v>1653</v>
      </c>
      <c r="R277" s="562">
        <v>0</v>
      </c>
      <c r="S277" s="333">
        <v>0</v>
      </c>
      <c r="T277" s="333">
        <v>-1768633.0000000002</v>
      </c>
      <c r="U277" s="333">
        <f t="shared" si="43"/>
        <v>-1768633.0000000002</v>
      </c>
      <c r="V277" s="333">
        <v>0</v>
      </c>
      <c r="W277" s="333">
        <v>0</v>
      </c>
      <c r="X277" s="333">
        <v>0</v>
      </c>
      <c r="Y277" s="333">
        <v>0</v>
      </c>
      <c r="Z277" s="333">
        <v>0</v>
      </c>
      <c r="AA277" s="333">
        <v>0</v>
      </c>
      <c r="AB277" s="333">
        <v>0</v>
      </c>
      <c r="AC277" s="333">
        <v>0</v>
      </c>
      <c r="AD277" s="333">
        <v>0</v>
      </c>
      <c r="AE277" s="333"/>
      <c r="AF277" s="333"/>
      <c r="AG277" s="333">
        <f t="shared" si="44"/>
        <v>-1768633.0000000002</v>
      </c>
      <c r="AH277" s="330"/>
      <c r="AI277" s="330">
        <v>0</v>
      </c>
      <c r="AJ277" s="396">
        <f t="shared" si="45"/>
        <v>-1768633.0000000002</v>
      </c>
      <c r="AK277" s="563"/>
      <c r="AL277" s="285">
        <f t="shared" si="49"/>
        <v>0</v>
      </c>
      <c r="AM277" s="286"/>
      <c r="AO277" s="330" t="s">
        <v>3089</v>
      </c>
    </row>
    <row r="278" spans="1:41">
      <c r="A278" s="587">
        <f t="shared" si="46"/>
        <v>275</v>
      </c>
      <c r="B278" s="330" t="s">
        <v>1643</v>
      </c>
      <c r="C278" s="330" t="s">
        <v>3093</v>
      </c>
      <c r="D278" s="330" t="s">
        <v>1645</v>
      </c>
      <c r="E278" s="330" t="s">
        <v>1717</v>
      </c>
      <c r="F278" s="330" t="s">
        <v>1647</v>
      </c>
      <c r="G278" s="562">
        <v>1114</v>
      </c>
      <c r="H278" s="562">
        <v>683.3</v>
      </c>
      <c r="I278" s="562">
        <v>795.57</v>
      </c>
      <c r="J278" s="561" t="s">
        <v>1648</v>
      </c>
      <c r="K278" s="330" t="s">
        <v>3094</v>
      </c>
      <c r="L278" s="330" t="s">
        <v>3095</v>
      </c>
      <c r="M278" s="330" t="s">
        <v>3096</v>
      </c>
      <c r="N278" s="330" t="s">
        <v>3097</v>
      </c>
      <c r="O278" s="395">
        <v>45441</v>
      </c>
      <c r="P278" s="333">
        <v>6304075</v>
      </c>
      <c r="Q278" s="330" t="s">
        <v>1653</v>
      </c>
      <c r="R278" s="562">
        <v>0</v>
      </c>
      <c r="S278" s="333">
        <v>0</v>
      </c>
      <c r="T278" s="333">
        <v>-1455328.8600000003</v>
      </c>
      <c r="U278" s="333">
        <f t="shared" si="43"/>
        <v>-1455328.8600000003</v>
      </c>
      <c r="V278" s="333">
        <v>-599000</v>
      </c>
      <c r="W278" s="333">
        <v>0</v>
      </c>
      <c r="X278" s="333">
        <v>0</v>
      </c>
      <c r="Y278" s="333">
        <v>0</v>
      </c>
      <c r="Z278" s="333">
        <v>0</v>
      </c>
      <c r="AA278" s="333">
        <v>0</v>
      </c>
      <c r="AB278" s="333">
        <v>0</v>
      </c>
      <c r="AC278" s="333">
        <v>0</v>
      </c>
      <c r="AD278" s="333">
        <v>0</v>
      </c>
      <c r="AE278" s="333"/>
      <c r="AF278" s="333"/>
      <c r="AG278" s="333">
        <f t="shared" si="44"/>
        <v>-2054328.8600000003</v>
      </c>
      <c r="AH278" s="330"/>
      <c r="AI278" s="330">
        <v>0</v>
      </c>
      <c r="AJ278" s="396">
        <f t="shared" si="45"/>
        <v>-2054328.8600000003</v>
      </c>
      <c r="AK278" s="563"/>
      <c r="AL278" s="285">
        <f t="shared" ref="AL278:AL280" si="50">+AC278+AI278</f>
        <v>0</v>
      </c>
      <c r="AM278" s="286"/>
      <c r="AO278" s="330" t="s">
        <v>3094</v>
      </c>
    </row>
    <row r="279" spans="1:41">
      <c r="A279" s="587">
        <f t="shared" si="46"/>
        <v>276</v>
      </c>
      <c r="B279" s="330" t="s">
        <v>1643</v>
      </c>
      <c r="C279" s="330" t="s">
        <v>3098</v>
      </c>
      <c r="D279" s="330" t="s">
        <v>1746</v>
      </c>
      <c r="E279" s="330" t="s">
        <v>2073</v>
      </c>
      <c r="F279" s="330" t="s">
        <v>1647</v>
      </c>
      <c r="G279" s="562">
        <v>1114</v>
      </c>
      <c r="H279" s="562">
        <v>683.3</v>
      </c>
      <c r="I279" s="562">
        <v>795.57</v>
      </c>
      <c r="J279" s="561" t="s">
        <v>1648</v>
      </c>
      <c r="K279" s="330" t="s">
        <v>3099</v>
      </c>
      <c r="L279" s="330" t="s">
        <v>3100</v>
      </c>
      <c r="M279" s="330" t="s">
        <v>3101</v>
      </c>
      <c r="N279" s="330" t="s">
        <v>3102</v>
      </c>
      <c r="O279" s="395">
        <v>45440</v>
      </c>
      <c r="P279" s="333">
        <v>6287368</v>
      </c>
      <c r="Q279" s="330" t="s">
        <v>1653</v>
      </c>
      <c r="R279" s="562">
        <v>0</v>
      </c>
      <c r="S279" s="333">
        <v>0</v>
      </c>
      <c r="T279" s="333">
        <v>-1881449.1600000001</v>
      </c>
      <c r="U279" s="333">
        <f t="shared" si="43"/>
        <v>-1881449.1600000001</v>
      </c>
      <c r="V279" s="333">
        <v>0</v>
      </c>
      <c r="W279" s="333">
        <v>0</v>
      </c>
      <c r="X279" s="333">
        <v>0</v>
      </c>
      <c r="Y279" s="333">
        <v>0</v>
      </c>
      <c r="Z279" s="333">
        <v>0</v>
      </c>
      <c r="AA279" s="333">
        <v>0</v>
      </c>
      <c r="AB279" s="333">
        <v>0</v>
      </c>
      <c r="AC279" s="333">
        <v>-4762</v>
      </c>
      <c r="AD279" s="333">
        <v>0</v>
      </c>
      <c r="AE279" s="333"/>
      <c r="AF279" s="333"/>
      <c r="AG279" s="333">
        <f t="shared" si="44"/>
        <v>-1886211.1600000001</v>
      </c>
      <c r="AH279" s="330"/>
      <c r="AI279" s="330">
        <v>4762</v>
      </c>
      <c r="AJ279" s="396">
        <f t="shared" si="45"/>
        <v>-1886211.1600000001</v>
      </c>
      <c r="AK279" s="563"/>
      <c r="AL279" s="285">
        <f t="shared" si="50"/>
        <v>0</v>
      </c>
      <c r="AM279" s="286"/>
      <c r="AO279" s="330" t="s">
        <v>3099</v>
      </c>
    </row>
    <row r="280" spans="1:41">
      <c r="A280" s="587">
        <f t="shared" si="46"/>
        <v>277</v>
      </c>
      <c r="B280" s="330" t="s">
        <v>1643</v>
      </c>
      <c r="C280" s="330" t="s">
        <v>3103</v>
      </c>
      <c r="D280" s="330" t="s">
        <v>1655</v>
      </c>
      <c r="E280" s="330" t="s">
        <v>2588</v>
      </c>
      <c r="F280" s="330" t="s">
        <v>1647</v>
      </c>
      <c r="G280" s="562">
        <v>1012</v>
      </c>
      <c r="H280" s="562">
        <v>653.59</v>
      </c>
      <c r="I280" s="562">
        <v>723.02</v>
      </c>
      <c r="J280" s="561" t="s">
        <v>1648</v>
      </c>
      <c r="K280" s="330" t="s">
        <v>3104</v>
      </c>
      <c r="L280" s="330" t="s">
        <v>3105</v>
      </c>
      <c r="M280" s="330" t="s">
        <v>3106</v>
      </c>
      <c r="N280" s="330" t="s">
        <v>12</v>
      </c>
      <c r="O280" s="395"/>
      <c r="P280" s="333">
        <v>6117048</v>
      </c>
      <c r="Q280" s="330" t="s">
        <v>1660</v>
      </c>
      <c r="R280" s="562">
        <v>0</v>
      </c>
      <c r="S280" s="333">
        <v>0</v>
      </c>
      <c r="T280" s="333">
        <v>-1015930.0000000002</v>
      </c>
      <c r="U280" s="333">
        <f t="shared" si="43"/>
        <v>-1015930.0000000002</v>
      </c>
      <c r="V280" s="333">
        <v>0</v>
      </c>
      <c r="W280" s="333">
        <v>0</v>
      </c>
      <c r="X280" s="333">
        <v>0</v>
      </c>
      <c r="Y280" s="333">
        <v>0</v>
      </c>
      <c r="Z280" s="333">
        <v>0</v>
      </c>
      <c r="AA280" s="333">
        <v>0</v>
      </c>
      <c r="AB280" s="333">
        <v>0</v>
      </c>
      <c r="AC280" s="333">
        <v>-23460</v>
      </c>
      <c r="AD280" s="333">
        <v>1039390</v>
      </c>
      <c r="AE280" s="333"/>
      <c r="AF280" s="333"/>
      <c r="AG280" s="333">
        <f t="shared" si="44"/>
        <v>0</v>
      </c>
      <c r="AH280" s="330"/>
      <c r="AI280" s="330">
        <v>23460</v>
      </c>
      <c r="AJ280" s="396">
        <f t="shared" si="45"/>
        <v>0</v>
      </c>
      <c r="AK280" s="563"/>
      <c r="AL280" s="285">
        <f t="shared" si="50"/>
        <v>0</v>
      </c>
      <c r="AM280" s="286"/>
      <c r="AO280" s="330" t="s">
        <v>3104</v>
      </c>
    </row>
    <row r="281" spans="1:41">
      <c r="A281" s="587">
        <f t="shared" si="46"/>
        <v>278</v>
      </c>
      <c r="B281" s="330" t="s">
        <v>1643</v>
      </c>
      <c r="C281" s="330" t="s">
        <v>2997</v>
      </c>
      <c r="D281" s="330" t="s">
        <v>1704</v>
      </c>
      <c r="E281" s="330" t="s">
        <v>2299</v>
      </c>
      <c r="F281" s="330" t="s">
        <v>1671</v>
      </c>
      <c r="G281" s="562">
        <v>1498</v>
      </c>
      <c r="H281" s="562">
        <v>954.87</v>
      </c>
      <c r="I281" s="562">
        <v>1069.73</v>
      </c>
      <c r="J281" s="561" t="s">
        <v>1648</v>
      </c>
      <c r="K281" s="330" t="s">
        <v>3107</v>
      </c>
      <c r="L281" s="330" t="s">
        <v>3108</v>
      </c>
      <c r="M281" s="330" t="s">
        <v>3109</v>
      </c>
      <c r="N281" s="330" t="s">
        <v>3110</v>
      </c>
      <c r="O281" s="395">
        <v>45880</v>
      </c>
      <c r="P281" s="333">
        <v>9013333</v>
      </c>
      <c r="Q281" s="330" t="s">
        <v>1653</v>
      </c>
      <c r="R281" s="562">
        <v>0</v>
      </c>
      <c r="S281" s="333">
        <v>0</v>
      </c>
      <c r="T281" s="333">
        <v>0</v>
      </c>
      <c r="U281" s="333">
        <f t="shared" si="43"/>
        <v>0</v>
      </c>
      <c r="V281" s="333">
        <v>-2929332.9</v>
      </c>
      <c r="W281" s="333">
        <v>0</v>
      </c>
      <c r="X281" s="333">
        <v>0</v>
      </c>
      <c r="Y281" s="333">
        <v>0</v>
      </c>
      <c r="Z281" s="333">
        <v>661000</v>
      </c>
      <c r="AA281" s="333">
        <v>-661000</v>
      </c>
      <c r="AB281" s="333">
        <v>0</v>
      </c>
      <c r="AC281" s="333">
        <v>0</v>
      </c>
      <c r="AD281" s="333">
        <v>0</v>
      </c>
      <c r="AE281" s="333"/>
      <c r="AF281" s="333"/>
      <c r="AG281" s="333">
        <f t="shared" si="44"/>
        <v>-2929332.9</v>
      </c>
      <c r="AH281" s="330"/>
      <c r="AI281" s="330">
        <v>0</v>
      </c>
      <c r="AJ281" s="396">
        <f t="shared" si="45"/>
        <v>-2929332.9</v>
      </c>
      <c r="AK281" s="563"/>
      <c r="AL281" s="285">
        <f t="shared" si="49"/>
        <v>0</v>
      </c>
      <c r="AM281" s="286"/>
      <c r="AO281" s="330" t="s">
        <v>3107</v>
      </c>
    </row>
    <row r="282" spans="1:41">
      <c r="A282" s="587">
        <f t="shared" si="46"/>
        <v>279</v>
      </c>
      <c r="B282" s="330" t="s">
        <v>1643</v>
      </c>
      <c r="C282" s="330" t="s">
        <v>3111</v>
      </c>
      <c r="D282" s="330" t="s">
        <v>1746</v>
      </c>
      <c r="E282" s="330" t="s">
        <v>1646</v>
      </c>
      <c r="F282" s="330" t="s">
        <v>1647</v>
      </c>
      <c r="G282" s="562">
        <v>1012</v>
      </c>
      <c r="H282" s="562">
        <v>653.59</v>
      </c>
      <c r="I282" s="562">
        <v>723.02</v>
      </c>
      <c r="J282" s="561" t="s">
        <v>1648</v>
      </c>
      <c r="K282" s="330" t="s">
        <v>3112</v>
      </c>
      <c r="L282" s="330" t="s">
        <v>3113</v>
      </c>
      <c r="M282" s="330" t="s">
        <v>3114</v>
      </c>
      <c r="N282" s="330" t="s">
        <v>3115</v>
      </c>
      <c r="O282" s="395">
        <v>45429</v>
      </c>
      <c r="P282" s="333">
        <v>5683644</v>
      </c>
      <c r="Q282" s="330" t="s">
        <v>1653</v>
      </c>
      <c r="R282" s="562">
        <v>0</v>
      </c>
      <c r="S282" s="333">
        <v>0</v>
      </c>
      <c r="T282" s="333">
        <v>-1611929.3399999999</v>
      </c>
      <c r="U282" s="333">
        <f t="shared" si="43"/>
        <v>-1611929.3399999999</v>
      </c>
      <c r="V282" s="333">
        <v>-142858</v>
      </c>
      <c r="W282" s="333">
        <v>0</v>
      </c>
      <c r="X282" s="333">
        <v>0</v>
      </c>
      <c r="Y282" s="333">
        <v>0</v>
      </c>
      <c r="Z282" s="333">
        <v>0</v>
      </c>
      <c r="AA282" s="333">
        <v>0</v>
      </c>
      <c r="AB282" s="333">
        <v>0</v>
      </c>
      <c r="AC282" s="333">
        <v>0</v>
      </c>
      <c r="AD282" s="333">
        <v>0</v>
      </c>
      <c r="AE282" s="333"/>
      <c r="AF282" s="333"/>
      <c r="AG282" s="333">
        <f t="shared" si="44"/>
        <v>-1754787.3399999999</v>
      </c>
      <c r="AH282" s="330"/>
      <c r="AI282" s="330">
        <v>0</v>
      </c>
      <c r="AJ282" s="396">
        <f t="shared" si="45"/>
        <v>-1754787.3399999999</v>
      </c>
      <c r="AK282" s="563"/>
      <c r="AL282" s="285">
        <f t="shared" ref="AL282:AL283" si="51">+AC282+AI282</f>
        <v>0</v>
      </c>
      <c r="AM282" s="286"/>
      <c r="AO282" s="330" t="s">
        <v>3112</v>
      </c>
    </row>
    <row r="283" spans="1:41">
      <c r="A283" s="587">
        <f t="shared" si="46"/>
        <v>280</v>
      </c>
      <c r="B283" s="330" t="s">
        <v>1643</v>
      </c>
      <c r="C283" s="330" t="s">
        <v>3116</v>
      </c>
      <c r="D283" s="330" t="s">
        <v>1746</v>
      </c>
      <c r="E283" s="330" t="s">
        <v>1880</v>
      </c>
      <c r="F283" s="330" t="s">
        <v>1647</v>
      </c>
      <c r="G283" s="562">
        <v>1114</v>
      </c>
      <c r="H283" s="562">
        <v>683.3</v>
      </c>
      <c r="I283" s="562">
        <v>795.57</v>
      </c>
      <c r="J283" s="561" t="s">
        <v>1648</v>
      </c>
      <c r="K283" s="330" t="s">
        <v>3117</v>
      </c>
      <c r="L283" s="330" t="s">
        <v>3118</v>
      </c>
      <c r="M283" s="330" t="s">
        <v>3119</v>
      </c>
      <c r="N283" s="330" t="s">
        <v>3120</v>
      </c>
      <c r="O283" s="395">
        <v>45439</v>
      </c>
      <c r="P283" s="333">
        <v>6337489</v>
      </c>
      <c r="Q283" s="330" t="s">
        <v>1653</v>
      </c>
      <c r="R283" s="562">
        <v>0</v>
      </c>
      <c r="S283" s="333">
        <v>0</v>
      </c>
      <c r="T283" s="333">
        <v>-1891722.6600000008</v>
      </c>
      <c r="U283" s="333">
        <f t="shared" si="43"/>
        <v>-1891722.6600000008</v>
      </c>
      <c r="V283" s="333">
        <v>0</v>
      </c>
      <c r="W283" s="333">
        <v>0</v>
      </c>
      <c r="X283" s="333">
        <v>0</v>
      </c>
      <c r="Y283" s="333">
        <v>0</v>
      </c>
      <c r="Z283" s="333">
        <v>0</v>
      </c>
      <c r="AA283" s="333">
        <v>0</v>
      </c>
      <c r="AB283" s="333">
        <v>0</v>
      </c>
      <c r="AC283" s="333">
        <v>-9524</v>
      </c>
      <c r="AD283" s="333">
        <v>0</v>
      </c>
      <c r="AE283" s="333"/>
      <c r="AF283" s="333"/>
      <c r="AG283" s="333">
        <f t="shared" si="44"/>
        <v>-1901246.6600000008</v>
      </c>
      <c r="AH283" s="330"/>
      <c r="AI283" s="330">
        <v>9524</v>
      </c>
      <c r="AJ283" s="396">
        <f t="shared" si="45"/>
        <v>-1901246.6600000008</v>
      </c>
      <c r="AK283" s="563"/>
      <c r="AL283" s="285">
        <f t="shared" si="51"/>
        <v>0</v>
      </c>
      <c r="AM283" s="286"/>
      <c r="AO283" s="330" t="s">
        <v>3117</v>
      </c>
    </row>
    <row r="284" spans="1:41">
      <c r="A284" s="587">
        <f t="shared" si="46"/>
        <v>281</v>
      </c>
      <c r="B284" s="330" t="s">
        <v>1643</v>
      </c>
      <c r="C284" s="330" t="s">
        <v>3121</v>
      </c>
      <c r="D284" s="330" t="s">
        <v>1655</v>
      </c>
      <c r="E284" s="330" t="s">
        <v>2647</v>
      </c>
      <c r="F284" s="330" t="s">
        <v>1647</v>
      </c>
      <c r="G284" s="562">
        <v>1012</v>
      </c>
      <c r="H284" s="562">
        <v>653.59</v>
      </c>
      <c r="I284" s="562">
        <v>723.02</v>
      </c>
      <c r="J284" s="561" t="s">
        <v>1648</v>
      </c>
      <c r="K284" s="330" t="s">
        <v>3122</v>
      </c>
      <c r="L284" s="330" t="s">
        <v>3123</v>
      </c>
      <c r="M284" s="330" t="s">
        <v>3124</v>
      </c>
      <c r="N284" s="330" t="s">
        <v>12</v>
      </c>
      <c r="O284" s="395"/>
      <c r="P284" s="333">
        <v>6301715</v>
      </c>
      <c r="Q284" s="330" t="s">
        <v>1653</v>
      </c>
      <c r="R284" s="562">
        <v>0</v>
      </c>
      <c r="S284" s="333">
        <v>0</v>
      </c>
      <c r="T284" s="333">
        <v>-799200</v>
      </c>
      <c r="U284" s="333">
        <f t="shared" si="43"/>
        <v>-799200</v>
      </c>
      <c r="V284" s="333">
        <v>0</v>
      </c>
      <c r="W284" s="333">
        <v>0</v>
      </c>
      <c r="X284" s="333">
        <v>0</v>
      </c>
      <c r="Y284" s="333">
        <v>0</v>
      </c>
      <c r="Z284" s="333">
        <v>0</v>
      </c>
      <c r="AA284" s="333">
        <v>0</v>
      </c>
      <c r="AB284" s="333">
        <v>0</v>
      </c>
      <c r="AC284" s="333">
        <v>0</v>
      </c>
      <c r="AD284" s="333">
        <v>0</v>
      </c>
      <c r="AE284" s="333"/>
      <c r="AF284" s="333"/>
      <c r="AG284" s="333">
        <f t="shared" si="44"/>
        <v>-799200</v>
      </c>
      <c r="AH284" s="330"/>
      <c r="AI284" s="330">
        <v>0</v>
      </c>
      <c r="AJ284" s="396">
        <f t="shared" si="45"/>
        <v>-799200</v>
      </c>
      <c r="AK284" s="563"/>
      <c r="AL284" s="285">
        <f t="shared" si="49"/>
        <v>0</v>
      </c>
      <c r="AM284" s="286"/>
      <c r="AO284" s="330" t="s">
        <v>3122</v>
      </c>
    </row>
    <row r="285" spans="1:41">
      <c r="A285" s="587">
        <f t="shared" si="46"/>
        <v>282</v>
      </c>
      <c r="B285" s="330" t="s">
        <v>1643</v>
      </c>
      <c r="C285" s="330" t="s">
        <v>3125</v>
      </c>
      <c r="D285" s="330" t="s">
        <v>1645</v>
      </c>
      <c r="E285" s="330" t="s">
        <v>1785</v>
      </c>
      <c r="F285" s="330" t="s">
        <v>1786</v>
      </c>
      <c r="G285" s="562">
        <v>1265</v>
      </c>
      <c r="H285" s="562">
        <v>813.33</v>
      </c>
      <c r="I285" s="562">
        <v>903.31</v>
      </c>
      <c r="J285" s="561" t="s">
        <v>1648</v>
      </c>
      <c r="K285" s="330" t="s">
        <v>3126</v>
      </c>
      <c r="L285" s="330" t="s">
        <v>3127</v>
      </c>
      <c r="M285" s="330" t="s">
        <v>3128</v>
      </c>
      <c r="N285" s="330" t="s">
        <v>3129</v>
      </c>
      <c r="O285" s="395">
        <v>45427</v>
      </c>
      <c r="P285" s="333">
        <v>7147239</v>
      </c>
      <c r="Q285" s="330" t="s">
        <v>1653</v>
      </c>
      <c r="R285" s="562">
        <v>0</v>
      </c>
      <c r="S285" s="333">
        <v>0</v>
      </c>
      <c r="T285" s="333">
        <v>-2294202.4000000004</v>
      </c>
      <c r="U285" s="333">
        <f t="shared" si="43"/>
        <v>-2294202.4000000004</v>
      </c>
      <c r="V285" s="333">
        <v>0</v>
      </c>
      <c r="W285" s="333">
        <v>0</v>
      </c>
      <c r="X285" s="333">
        <v>0</v>
      </c>
      <c r="Y285" s="333">
        <v>0</v>
      </c>
      <c r="Z285" s="333">
        <v>0</v>
      </c>
      <c r="AA285" s="333">
        <v>0</v>
      </c>
      <c r="AB285" s="333">
        <v>0</v>
      </c>
      <c r="AC285" s="333">
        <v>-2.6193447411060333E-10</v>
      </c>
      <c r="AD285" s="333">
        <v>0</v>
      </c>
      <c r="AE285" s="333"/>
      <c r="AF285" s="333"/>
      <c r="AG285" s="333">
        <f t="shared" si="44"/>
        <v>-2294202.4000000008</v>
      </c>
      <c r="AH285" s="330"/>
      <c r="AI285" s="330">
        <v>0</v>
      </c>
      <c r="AJ285" s="396">
        <f t="shared" si="45"/>
        <v>-2294202.4000000008</v>
      </c>
      <c r="AK285" s="563"/>
      <c r="AL285" s="285">
        <f t="shared" si="49"/>
        <v>-2.6193447411060333E-10</v>
      </c>
      <c r="AM285" s="286"/>
      <c r="AO285" s="330" t="s">
        <v>3126</v>
      </c>
    </row>
    <row r="286" spans="1:41">
      <c r="A286" s="587">
        <f t="shared" si="46"/>
        <v>283</v>
      </c>
      <c r="B286" s="330" t="s">
        <v>1643</v>
      </c>
      <c r="C286" s="330" t="s">
        <v>3130</v>
      </c>
      <c r="D286" s="330" t="s">
        <v>1645</v>
      </c>
      <c r="E286" s="330" t="s">
        <v>2404</v>
      </c>
      <c r="F286" s="330" t="s">
        <v>1671</v>
      </c>
      <c r="G286" s="562">
        <v>1375</v>
      </c>
      <c r="H286" s="562">
        <v>876.73</v>
      </c>
      <c r="I286" s="562">
        <v>982.22</v>
      </c>
      <c r="J286" s="561" t="s">
        <v>1810</v>
      </c>
      <c r="K286" s="330" t="s">
        <v>3131</v>
      </c>
      <c r="L286" s="330" t="s">
        <v>3132</v>
      </c>
      <c r="M286" s="330" t="s">
        <v>3133</v>
      </c>
      <c r="N286" s="330" t="s">
        <v>3134</v>
      </c>
      <c r="O286" s="395">
        <v>45427</v>
      </c>
      <c r="P286" s="333">
        <v>7670476</v>
      </c>
      <c r="Q286" s="330" t="s">
        <v>1653</v>
      </c>
      <c r="R286" s="562">
        <v>0</v>
      </c>
      <c r="S286" s="333">
        <v>0</v>
      </c>
      <c r="T286" s="333">
        <v>-1906493.8599999999</v>
      </c>
      <c r="U286" s="333">
        <f t="shared" si="43"/>
        <v>-1906493.8599999999</v>
      </c>
      <c r="V286" s="333">
        <v>-402700</v>
      </c>
      <c r="W286" s="333">
        <v>0</v>
      </c>
      <c r="X286" s="333">
        <v>0</v>
      </c>
      <c r="Y286" s="333">
        <v>0</v>
      </c>
      <c r="Z286" s="333">
        <v>0</v>
      </c>
      <c r="AA286" s="333">
        <v>0</v>
      </c>
      <c r="AB286" s="333">
        <v>0</v>
      </c>
      <c r="AC286" s="333">
        <v>0</v>
      </c>
      <c r="AD286" s="333">
        <v>0</v>
      </c>
      <c r="AE286" s="333"/>
      <c r="AF286" s="333"/>
      <c r="AG286" s="333">
        <f t="shared" si="44"/>
        <v>-2309193.86</v>
      </c>
      <c r="AH286" s="330"/>
      <c r="AI286" s="330">
        <v>0</v>
      </c>
      <c r="AJ286" s="396">
        <f t="shared" si="45"/>
        <v>-2309193.86</v>
      </c>
      <c r="AK286" s="563"/>
      <c r="AL286" s="285">
        <f t="shared" si="49"/>
        <v>0</v>
      </c>
      <c r="AM286" s="286"/>
      <c r="AO286" s="330" t="s">
        <v>3131</v>
      </c>
    </row>
    <row r="287" spans="1:41">
      <c r="A287" s="587">
        <f t="shared" si="46"/>
        <v>284</v>
      </c>
      <c r="B287" s="330" t="s">
        <v>1643</v>
      </c>
      <c r="C287" s="330" t="s">
        <v>3135</v>
      </c>
      <c r="D287" s="330" t="s">
        <v>1645</v>
      </c>
      <c r="E287" s="330" t="s">
        <v>1923</v>
      </c>
      <c r="F287" s="330" t="s">
        <v>1647</v>
      </c>
      <c r="G287" s="562">
        <v>1114</v>
      </c>
      <c r="H287" s="562">
        <v>683.3</v>
      </c>
      <c r="I287" s="562">
        <v>795.57</v>
      </c>
      <c r="J287" s="561" t="s">
        <v>1810</v>
      </c>
      <c r="K287" s="330" t="s">
        <v>3136</v>
      </c>
      <c r="L287" s="330" t="s">
        <v>3137</v>
      </c>
      <c r="M287" s="330" t="s">
        <v>3138</v>
      </c>
      <c r="N287" s="330" t="s">
        <v>3139</v>
      </c>
      <c r="O287" s="395">
        <v>45443</v>
      </c>
      <c r="P287" s="333">
        <v>6320782</v>
      </c>
      <c r="Q287" s="330" t="s">
        <v>1653</v>
      </c>
      <c r="R287" s="562">
        <v>0</v>
      </c>
      <c r="S287" s="333">
        <v>0</v>
      </c>
      <c r="T287" s="333">
        <v>-2005188.2599999995</v>
      </c>
      <c r="U287" s="333">
        <f t="shared" si="43"/>
        <v>-2005188.2599999995</v>
      </c>
      <c r="V287" s="333">
        <v>0</v>
      </c>
      <c r="W287" s="333">
        <v>0</v>
      </c>
      <c r="X287" s="333">
        <v>0</v>
      </c>
      <c r="Y287" s="333">
        <v>0</v>
      </c>
      <c r="Z287" s="333">
        <v>0</v>
      </c>
      <c r="AA287" s="333">
        <v>0</v>
      </c>
      <c r="AB287" s="333">
        <v>0</v>
      </c>
      <c r="AC287" s="333">
        <v>0</v>
      </c>
      <c r="AD287" s="333">
        <v>0</v>
      </c>
      <c r="AE287" s="333"/>
      <c r="AF287" s="333"/>
      <c r="AG287" s="333">
        <f t="shared" si="44"/>
        <v>-2005188.2599999995</v>
      </c>
      <c r="AH287" s="330"/>
      <c r="AI287" s="330">
        <v>0</v>
      </c>
      <c r="AJ287" s="396">
        <f t="shared" si="45"/>
        <v>-2005188.2599999995</v>
      </c>
      <c r="AK287" s="563"/>
      <c r="AL287" s="285">
        <f t="shared" si="49"/>
        <v>0</v>
      </c>
      <c r="AM287" s="286"/>
      <c r="AO287" s="330" t="s">
        <v>3136</v>
      </c>
    </row>
    <row r="288" spans="1:41">
      <c r="A288" s="587">
        <f t="shared" si="46"/>
        <v>285</v>
      </c>
      <c r="B288" s="330" t="s">
        <v>1643</v>
      </c>
      <c r="C288" s="330" t="s">
        <v>3140</v>
      </c>
      <c r="D288" s="330" t="s">
        <v>1746</v>
      </c>
      <c r="E288" s="330" t="s">
        <v>2212</v>
      </c>
      <c r="F288" s="330" t="s">
        <v>1786</v>
      </c>
      <c r="G288" s="562">
        <v>1265</v>
      </c>
      <c r="H288" s="562">
        <v>813.33</v>
      </c>
      <c r="I288" s="562">
        <v>903.31</v>
      </c>
      <c r="J288" s="561" t="s">
        <v>1810</v>
      </c>
      <c r="K288" s="330" t="s">
        <v>3141</v>
      </c>
      <c r="L288" s="330" t="s">
        <v>3142</v>
      </c>
      <c r="M288" s="330" t="s">
        <v>3143</v>
      </c>
      <c r="N288" s="330" t="s">
        <v>12</v>
      </c>
      <c r="O288" s="395"/>
      <c r="P288" s="333">
        <v>7919640</v>
      </c>
      <c r="Q288" s="330" t="s">
        <v>1660</v>
      </c>
      <c r="R288" s="562">
        <v>0</v>
      </c>
      <c r="S288" s="333">
        <v>0</v>
      </c>
      <c r="T288" s="333">
        <v>-150000</v>
      </c>
      <c r="U288" s="333">
        <f t="shared" si="43"/>
        <v>-150000</v>
      </c>
      <c r="V288" s="333">
        <v>-673643</v>
      </c>
      <c r="W288" s="333">
        <v>0</v>
      </c>
      <c r="X288" s="333">
        <v>0</v>
      </c>
      <c r="Y288" s="333">
        <v>0</v>
      </c>
      <c r="Z288" s="333">
        <v>0</v>
      </c>
      <c r="AA288" s="333">
        <v>-505201</v>
      </c>
      <c r="AB288" s="333">
        <v>0</v>
      </c>
      <c r="AC288" s="333">
        <v>-7142</v>
      </c>
      <c r="AD288" s="333">
        <v>0</v>
      </c>
      <c r="AE288" s="333"/>
      <c r="AF288" s="333"/>
      <c r="AG288" s="333">
        <f t="shared" si="44"/>
        <v>-1335986</v>
      </c>
      <c r="AH288" s="330"/>
      <c r="AI288" s="330">
        <v>7142</v>
      </c>
      <c r="AJ288" s="396">
        <f t="shared" si="45"/>
        <v>-1335986</v>
      </c>
      <c r="AK288" s="563"/>
      <c r="AL288" s="285">
        <f t="shared" ref="AL288:AL291" si="52">+AC288+AI288</f>
        <v>0</v>
      </c>
      <c r="AM288" s="286"/>
      <c r="AO288" s="330" t="s">
        <v>3141</v>
      </c>
    </row>
    <row r="289" spans="1:41">
      <c r="A289" s="587">
        <f t="shared" si="46"/>
        <v>286</v>
      </c>
      <c r="B289" s="330" t="s">
        <v>1643</v>
      </c>
      <c r="C289" s="330" t="s">
        <v>3144</v>
      </c>
      <c r="D289" s="330" t="s">
        <v>1662</v>
      </c>
      <c r="E289" s="330" t="s">
        <v>2394</v>
      </c>
      <c r="F289" s="330" t="s">
        <v>1647</v>
      </c>
      <c r="G289" s="562">
        <v>1114</v>
      </c>
      <c r="H289" s="562">
        <v>683.3</v>
      </c>
      <c r="I289" s="562">
        <v>795.57</v>
      </c>
      <c r="J289" s="561" t="s">
        <v>1648</v>
      </c>
      <c r="K289" s="330" t="s">
        <v>3145</v>
      </c>
      <c r="L289" s="330" t="s">
        <v>3146</v>
      </c>
      <c r="M289" s="330" t="s">
        <v>3147</v>
      </c>
      <c r="N289" s="330" t="s">
        <v>3148</v>
      </c>
      <c r="O289" s="395">
        <v>45428</v>
      </c>
      <c r="P289" s="333">
        <v>6320782</v>
      </c>
      <c r="Q289" s="330" t="s">
        <v>1653</v>
      </c>
      <c r="R289" s="562">
        <v>0</v>
      </c>
      <c r="S289" s="333">
        <v>0</v>
      </c>
      <c r="T289" s="333">
        <v>-1842131.080000001</v>
      </c>
      <c r="U289" s="333">
        <f t="shared" si="43"/>
        <v>-1842131.080000001</v>
      </c>
      <c r="V289" s="333">
        <v>0</v>
      </c>
      <c r="W289" s="333">
        <v>0</v>
      </c>
      <c r="X289" s="333">
        <v>0</v>
      </c>
      <c r="Y289" s="333">
        <v>0</v>
      </c>
      <c r="Z289" s="333">
        <v>0</v>
      </c>
      <c r="AA289" s="333">
        <v>0</v>
      </c>
      <c r="AB289" s="333">
        <v>0</v>
      </c>
      <c r="AC289" s="333">
        <v>-54103.900000000023</v>
      </c>
      <c r="AD289" s="333">
        <v>0</v>
      </c>
      <c r="AE289" s="333"/>
      <c r="AF289" s="333"/>
      <c r="AG289" s="333">
        <f t="shared" si="44"/>
        <v>-1896234.9800000009</v>
      </c>
      <c r="AH289" s="330"/>
      <c r="AI289" s="330">
        <v>54103.9</v>
      </c>
      <c r="AJ289" s="396">
        <f t="shared" si="45"/>
        <v>-1896234.9800000009</v>
      </c>
      <c r="AK289" s="563"/>
      <c r="AL289" s="285">
        <f t="shared" si="52"/>
        <v>0</v>
      </c>
      <c r="AM289" s="286"/>
      <c r="AO289" s="330" t="s">
        <v>3145</v>
      </c>
    </row>
    <row r="290" spans="1:41">
      <c r="A290" s="587">
        <f t="shared" si="46"/>
        <v>287</v>
      </c>
      <c r="B290" s="330" t="s">
        <v>1643</v>
      </c>
      <c r="C290" s="330" t="s">
        <v>3149</v>
      </c>
      <c r="D290" s="330" t="s">
        <v>1669</v>
      </c>
      <c r="E290" s="330" t="s">
        <v>2195</v>
      </c>
      <c r="F290" s="330" t="s">
        <v>1671</v>
      </c>
      <c r="G290" s="562">
        <v>1787</v>
      </c>
      <c r="H290" s="562">
        <v>1138.51</v>
      </c>
      <c r="I290" s="562">
        <v>1276.29</v>
      </c>
      <c r="J290" s="561" t="s">
        <v>1648</v>
      </c>
      <c r="K290" s="330" t="s">
        <v>3150</v>
      </c>
      <c r="L290" s="330" t="s">
        <v>3151</v>
      </c>
      <c r="M290" s="330" t="s">
        <v>3152</v>
      </c>
      <c r="N290" s="330" t="s">
        <v>3153</v>
      </c>
      <c r="O290" s="395">
        <v>45436</v>
      </c>
      <c r="P290" s="333">
        <v>11103191</v>
      </c>
      <c r="Q290" s="330" t="s">
        <v>1653</v>
      </c>
      <c r="R290" s="562">
        <v>0</v>
      </c>
      <c r="S290" s="333">
        <v>0</v>
      </c>
      <c r="T290" s="333">
        <v>-3418289.0300000017</v>
      </c>
      <c r="U290" s="333">
        <f t="shared" si="43"/>
        <v>-3418289.0300000017</v>
      </c>
      <c r="V290" s="333">
        <v>0</v>
      </c>
      <c r="W290" s="333">
        <v>0</v>
      </c>
      <c r="X290" s="333">
        <v>0</v>
      </c>
      <c r="Y290" s="333">
        <v>0</v>
      </c>
      <c r="Z290" s="333">
        <v>0</v>
      </c>
      <c r="AA290" s="333">
        <v>0</v>
      </c>
      <c r="AB290" s="333">
        <v>0</v>
      </c>
      <c r="AC290" s="333">
        <v>-4762.1000000000004</v>
      </c>
      <c r="AD290" s="333">
        <v>0</v>
      </c>
      <c r="AE290" s="333"/>
      <c r="AF290" s="333"/>
      <c r="AG290" s="333">
        <f t="shared" si="44"/>
        <v>-3423051.1300000018</v>
      </c>
      <c r="AH290" s="330"/>
      <c r="AI290" s="330">
        <v>4762.0999999999995</v>
      </c>
      <c r="AJ290" s="396">
        <f t="shared" si="45"/>
        <v>-3423051.1300000018</v>
      </c>
      <c r="AK290" s="563"/>
      <c r="AL290" s="285">
        <f t="shared" si="52"/>
        <v>0</v>
      </c>
      <c r="AM290" s="286"/>
      <c r="AO290" s="330" t="s">
        <v>3150</v>
      </c>
    </row>
    <row r="291" spans="1:41">
      <c r="A291" s="587">
        <f t="shared" si="46"/>
        <v>288</v>
      </c>
      <c r="B291" s="330" t="s">
        <v>1643</v>
      </c>
      <c r="C291" s="330" t="s">
        <v>3154</v>
      </c>
      <c r="D291" s="330" t="s">
        <v>1746</v>
      </c>
      <c r="E291" s="330" t="s">
        <v>2661</v>
      </c>
      <c r="F291" s="330" t="s">
        <v>1647</v>
      </c>
      <c r="G291" s="562">
        <v>1012</v>
      </c>
      <c r="H291" s="562">
        <v>653.59</v>
      </c>
      <c r="I291" s="562">
        <v>723.02</v>
      </c>
      <c r="J291" s="561" t="s">
        <v>1648</v>
      </c>
      <c r="K291" s="330" t="s">
        <v>3155</v>
      </c>
      <c r="L291" s="330" t="s">
        <v>3156</v>
      </c>
      <c r="M291" s="330" t="s">
        <v>3157</v>
      </c>
      <c r="N291" s="330" t="s">
        <v>3158</v>
      </c>
      <c r="O291" s="395">
        <v>45436</v>
      </c>
      <c r="P291" s="333">
        <v>5698827</v>
      </c>
      <c r="Q291" s="330" t="s">
        <v>1653</v>
      </c>
      <c r="R291" s="562">
        <v>0</v>
      </c>
      <c r="S291" s="333">
        <v>0</v>
      </c>
      <c r="T291" s="333">
        <v>-598705.57999999984</v>
      </c>
      <c r="U291" s="333">
        <f t="shared" si="43"/>
        <v>-598705.57999999984</v>
      </c>
      <c r="V291" s="333">
        <v>-1000000</v>
      </c>
      <c r="W291" s="333">
        <v>0</v>
      </c>
      <c r="X291" s="333">
        <v>0</v>
      </c>
      <c r="Y291" s="333">
        <v>0</v>
      </c>
      <c r="Z291" s="333">
        <v>0</v>
      </c>
      <c r="AA291" s="333">
        <v>0</v>
      </c>
      <c r="AB291" s="333">
        <v>0</v>
      </c>
      <c r="AC291" s="333">
        <v>-54761</v>
      </c>
      <c r="AD291" s="333">
        <v>0</v>
      </c>
      <c r="AE291" s="333"/>
      <c r="AF291" s="333"/>
      <c r="AG291" s="333">
        <f t="shared" si="44"/>
        <v>-1653466.5799999998</v>
      </c>
      <c r="AH291" s="330"/>
      <c r="AI291" s="330">
        <v>54761</v>
      </c>
      <c r="AJ291" s="396">
        <f t="shared" si="45"/>
        <v>-1653466.5799999998</v>
      </c>
      <c r="AK291" s="563"/>
      <c r="AL291" s="285">
        <f t="shared" si="52"/>
        <v>0</v>
      </c>
      <c r="AM291" s="286"/>
      <c r="AO291" s="330" t="s">
        <v>3155</v>
      </c>
    </row>
    <row r="292" spans="1:41">
      <c r="A292" s="587">
        <f t="shared" si="46"/>
        <v>289</v>
      </c>
      <c r="B292" s="330" t="s">
        <v>1643</v>
      </c>
      <c r="C292" s="330" t="s">
        <v>3159</v>
      </c>
      <c r="D292" s="330" t="s">
        <v>1677</v>
      </c>
      <c r="E292" s="330" t="s">
        <v>2264</v>
      </c>
      <c r="F292" s="330" t="s">
        <v>1647</v>
      </c>
      <c r="G292" s="562">
        <v>1114</v>
      </c>
      <c r="H292" s="562">
        <v>683.3</v>
      </c>
      <c r="I292" s="562">
        <v>795.57</v>
      </c>
      <c r="J292" s="561" t="s">
        <v>1648</v>
      </c>
      <c r="K292" s="330" t="s">
        <v>3160</v>
      </c>
      <c r="L292" s="330" t="s">
        <v>3161</v>
      </c>
      <c r="M292" s="330" t="s">
        <v>3162</v>
      </c>
      <c r="N292" s="330" t="s">
        <v>12</v>
      </c>
      <c r="O292" s="395"/>
      <c r="P292" s="333">
        <v>7138381</v>
      </c>
      <c r="Q292" s="330" t="s">
        <v>1660</v>
      </c>
      <c r="R292" s="562">
        <v>0</v>
      </c>
      <c r="S292" s="333">
        <v>0</v>
      </c>
      <c r="T292" s="333">
        <v>0</v>
      </c>
      <c r="U292" s="333">
        <f t="shared" si="43"/>
        <v>0</v>
      </c>
      <c r="V292" s="333">
        <v>0</v>
      </c>
      <c r="W292" s="333">
        <v>0</v>
      </c>
      <c r="X292" s="333">
        <v>0</v>
      </c>
      <c r="Y292" s="333">
        <v>0</v>
      </c>
      <c r="Z292" s="333">
        <v>0</v>
      </c>
      <c r="AA292" s="333">
        <v>0</v>
      </c>
      <c r="AB292" s="333">
        <v>0</v>
      </c>
      <c r="AC292" s="333">
        <v>0</v>
      </c>
      <c r="AD292" s="333">
        <v>0</v>
      </c>
      <c r="AE292" s="333"/>
      <c r="AF292" s="333"/>
      <c r="AG292" s="333">
        <f t="shared" si="44"/>
        <v>0</v>
      </c>
      <c r="AH292" s="330"/>
      <c r="AI292" s="330">
        <v>0</v>
      </c>
      <c r="AJ292" s="396">
        <f t="shared" si="45"/>
        <v>0</v>
      </c>
      <c r="AK292" s="563"/>
      <c r="AL292" s="285">
        <f t="shared" si="49"/>
        <v>0</v>
      </c>
      <c r="AM292" s="286"/>
      <c r="AO292" s="330" t="s">
        <v>3160</v>
      </c>
    </row>
    <row r="293" spans="1:41">
      <c r="A293" s="587">
        <f t="shared" si="46"/>
        <v>290</v>
      </c>
      <c r="B293" s="330" t="s">
        <v>1643</v>
      </c>
      <c r="C293" s="330" t="s">
        <v>1695</v>
      </c>
      <c r="D293" s="330" t="s">
        <v>1655</v>
      </c>
      <c r="E293" s="330" t="s">
        <v>1696</v>
      </c>
      <c r="F293" s="330" t="s">
        <v>1647</v>
      </c>
      <c r="G293" s="562">
        <v>1012</v>
      </c>
      <c r="H293" s="562">
        <v>653.59</v>
      </c>
      <c r="I293" s="562">
        <v>723.02</v>
      </c>
      <c r="J293" s="561" t="s">
        <v>1648</v>
      </c>
      <c r="K293" s="330" t="s">
        <v>3163</v>
      </c>
      <c r="L293" s="330" t="s">
        <v>3164</v>
      </c>
      <c r="M293" s="330" t="s">
        <v>3165</v>
      </c>
      <c r="N293" s="330" t="s">
        <v>12</v>
      </c>
      <c r="O293" s="395"/>
      <c r="P293" s="333">
        <v>6223143</v>
      </c>
      <c r="Q293" s="330" t="s">
        <v>1660</v>
      </c>
      <c r="R293" s="562">
        <v>0</v>
      </c>
      <c r="S293" s="333">
        <v>0</v>
      </c>
      <c r="T293" s="333">
        <v>-51000</v>
      </c>
      <c r="U293" s="333">
        <f t="shared" si="43"/>
        <v>-51000</v>
      </c>
      <c r="V293" s="333">
        <v>51000</v>
      </c>
      <c r="W293" s="333">
        <v>0</v>
      </c>
      <c r="X293" s="333">
        <v>0</v>
      </c>
      <c r="Y293" s="333">
        <v>0</v>
      </c>
      <c r="Z293" s="333">
        <v>0</v>
      </c>
      <c r="AA293" s="333">
        <v>0</v>
      </c>
      <c r="AB293" s="333">
        <v>0</v>
      </c>
      <c r="AC293" s="333">
        <v>0</v>
      </c>
      <c r="AD293" s="333">
        <v>0</v>
      </c>
      <c r="AE293" s="333"/>
      <c r="AF293" s="333"/>
      <c r="AG293" s="333">
        <f t="shared" si="44"/>
        <v>0</v>
      </c>
      <c r="AH293" s="330"/>
      <c r="AI293" s="330">
        <v>0</v>
      </c>
      <c r="AJ293" s="396">
        <f t="shared" si="45"/>
        <v>0</v>
      </c>
      <c r="AK293" s="563"/>
      <c r="AL293" s="285">
        <f t="shared" si="49"/>
        <v>0</v>
      </c>
      <c r="AM293" s="286"/>
      <c r="AO293" s="330" t="s">
        <v>3163</v>
      </c>
    </row>
    <row r="294" spans="1:41">
      <c r="A294" s="587">
        <f t="shared" si="46"/>
        <v>291</v>
      </c>
      <c r="B294" s="330" t="s">
        <v>1643</v>
      </c>
      <c r="C294" s="330" t="s">
        <v>3166</v>
      </c>
      <c r="D294" s="330" t="s">
        <v>1662</v>
      </c>
      <c r="E294" s="330" t="s">
        <v>2353</v>
      </c>
      <c r="F294" s="330" t="s">
        <v>1671</v>
      </c>
      <c r="G294" s="562">
        <v>1375</v>
      </c>
      <c r="H294" s="562">
        <v>876.73</v>
      </c>
      <c r="I294" s="562">
        <v>982.22</v>
      </c>
      <c r="J294" s="561" t="s">
        <v>1810</v>
      </c>
      <c r="K294" s="330" t="s">
        <v>3167</v>
      </c>
      <c r="L294" s="330" t="s">
        <v>3168</v>
      </c>
      <c r="M294" s="330" t="s">
        <v>3169</v>
      </c>
      <c r="N294" s="330" t="s">
        <v>3170</v>
      </c>
      <c r="O294" s="395">
        <v>45428</v>
      </c>
      <c r="P294" s="333">
        <v>7799048</v>
      </c>
      <c r="Q294" s="330" t="s">
        <v>1653</v>
      </c>
      <c r="R294" s="562">
        <v>0</v>
      </c>
      <c r="S294" s="333">
        <v>0</v>
      </c>
      <c r="T294" s="333">
        <v>-2410561.2800000003</v>
      </c>
      <c r="U294" s="333">
        <f t="shared" si="43"/>
        <v>-2410561.2800000003</v>
      </c>
      <c r="V294" s="333">
        <v>0</v>
      </c>
      <c r="W294" s="333">
        <v>0</v>
      </c>
      <c r="X294" s="333">
        <v>0</v>
      </c>
      <c r="Y294" s="333">
        <v>0</v>
      </c>
      <c r="Z294" s="333">
        <v>0</v>
      </c>
      <c r="AA294" s="333">
        <v>0</v>
      </c>
      <c r="AB294" s="333">
        <v>0</v>
      </c>
      <c r="AC294" s="333">
        <v>-1.9999999989522621E-2</v>
      </c>
      <c r="AD294" s="333">
        <v>0</v>
      </c>
      <c r="AE294" s="333"/>
      <c r="AF294" s="333"/>
      <c r="AG294" s="333">
        <f t="shared" si="44"/>
        <v>-2410561.3000000003</v>
      </c>
      <c r="AH294" s="330"/>
      <c r="AI294" s="330">
        <v>2.0000000000436557E-2</v>
      </c>
      <c r="AJ294" s="396">
        <f t="shared" si="45"/>
        <v>-2410561.3000000003</v>
      </c>
      <c r="AK294" s="563"/>
      <c r="AL294" s="285">
        <f t="shared" si="49"/>
        <v>-3.9999999989959178E-2</v>
      </c>
      <c r="AM294" s="286"/>
      <c r="AO294" s="330" t="s">
        <v>3167</v>
      </c>
    </row>
    <row r="295" spans="1:41">
      <c r="A295" s="587">
        <f t="shared" si="46"/>
        <v>292</v>
      </c>
      <c r="B295" s="330" t="s">
        <v>1643</v>
      </c>
      <c r="C295" s="330" t="s">
        <v>3171</v>
      </c>
      <c r="D295" s="330" t="s">
        <v>1669</v>
      </c>
      <c r="E295" s="330" t="s">
        <v>3172</v>
      </c>
      <c r="F295" s="330" t="s">
        <v>1671</v>
      </c>
      <c r="G295" s="562">
        <v>1787</v>
      </c>
      <c r="H295" s="562">
        <v>1138.51</v>
      </c>
      <c r="I295" s="562">
        <v>1276.29</v>
      </c>
      <c r="J295" s="561" t="s">
        <v>1810</v>
      </c>
      <c r="K295" s="330" t="s">
        <v>3173</v>
      </c>
      <c r="L295" s="330" t="s">
        <v>3174</v>
      </c>
      <c r="M295" s="330" t="s">
        <v>3175</v>
      </c>
      <c r="N295" s="330" t="s">
        <v>3176</v>
      </c>
      <c r="O295" s="395">
        <v>45429</v>
      </c>
      <c r="P295" s="333">
        <v>11171089</v>
      </c>
      <c r="Q295" s="330" t="s">
        <v>1653</v>
      </c>
      <c r="R295" s="562">
        <v>0</v>
      </c>
      <c r="S295" s="333">
        <v>0</v>
      </c>
      <c r="T295" s="333">
        <v>-3331358.1100000008</v>
      </c>
      <c r="U295" s="333">
        <f t="shared" si="43"/>
        <v>-3331358.1100000008</v>
      </c>
      <c r="V295" s="333">
        <v>50174.899999999994</v>
      </c>
      <c r="W295" s="333">
        <v>0</v>
      </c>
      <c r="X295" s="333">
        <v>0</v>
      </c>
      <c r="Y295" s="333">
        <v>0</v>
      </c>
      <c r="Z295" s="333">
        <v>0</v>
      </c>
      <c r="AA295" s="333">
        <v>0</v>
      </c>
      <c r="AB295" s="333">
        <v>0</v>
      </c>
      <c r="AC295" s="333">
        <v>-14286</v>
      </c>
      <c r="AD295" s="333">
        <v>0</v>
      </c>
      <c r="AE295" s="333"/>
      <c r="AF295" s="333"/>
      <c r="AG295" s="333">
        <f t="shared" si="44"/>
        <v>-3295469.2100000009</v>
      </c>
      <c r="AH295" s="330"/>
      <c r="AI295" s="330">
        <v>14286</v>
      </c>
      <c r="AJ295" s="396">
        <f t="shared" si="45"/>
        <v>-3295469.2100000009</v>
      </c>
      <c r="AK295" s="563"/>
      <c r="AL295" s="285">
        <f t="shared" ref="AL295:AL296" si="53">+AC295+AI295</f>
        <v>0</v>
      </c>
      <c r="AM295" s="286"/>
      <c r="AO295" s="330" t="s">
        <v>3173</v>
      </c>
    </row>
    <row r="296" spans="1:41">
      <c r="A296" s="587">
        <f t="shared" si="46"/>
        <v>293</v>
      </c>
      <c r="B296" s="330" t="s">
        <v>1643</v>
      </c>
      <c r="C296" s="330" t="s">
        <v>3177</v>
      </c>
      <c r="D296" s="330" t="s">
        <v>1645</v>
      </c>
      <c r="E296" s="330" t="s">
        <v>2696</v>
      </c>
      <c r="F296" s="330" t="s">
        <v>1671</v>
      </c>
      <c r="G296" s="562">
        <v>1498</v>
      </c>
      <c r="H296" s="562">
        <v>954.87</v>
      </c>
      <c r="I296" s="562">
        <v>1069.73</v>
      </c>
      <c r="J296" s="561" t="s">
        <v>1810</v>
      </c>
      <c r="K296" s="330" t="s">
        <v>3178</v>
      </c>
      <c r="L296" s="330" t="s">
        <v>3179</v>
      </c>
      <c r="M296" s="330" t="s">
        <v>3180</v>
      </c>
      <c r="N296" s="330" t="s">
        <v>2066</v>
      </c>
      <c r="O296" s="395"/>
      <c r="P296" s="333">
        <v>8506464</v>
      </c>
      <c r="Q296" s="330" t="s">
        <v>1660</v>
      </c>
      <c r="R296" s="562">
        <v>0</v>
      </c>
      <c r="S296" s="333">
        <v>0</v>
      </c>
      <c r="T296" s="333">
        <v>-71430</v>
      </c>
      <c r="U296" s="333">
        <f t="shared" si="43"/>
        <v>-71430</v>
      </c>
      <c r="V296" s="333">
        <v>0</v>
      </c>
      <c r="W296" s="333">
        <v>0</v>
      </c>
      <c r="X296" s="333">
        <v>0</v>
      </c>
      <c r="Y296" s="333">
        <v>0</v>
      </c>
      <c r="Z296" s="333">
        <v>0</v>
      </c>
      <c r="AA296" s="333">
        <v>0</v>
      </c>
      <c r="AB296" s="333">
        <v>0</v>
      </c>
      <c r="AC296" s="333">
        <v>-137097.70000000001</v>
      </c>
      <c r="AD296" s="333">
        <v>0</v>
      </c>
      <c r="AE296" s="333"/>
      <c r="AF296" s="333"/>
      <c r="AG296" s="333">
        <f t="shared" si="44"/>
        <v>-208527.7</v>
      </c>
      <c r="AH296" s="330"/>
      <c r="AI296" s="330">
        <v>137097.70000000001</v>
      </c>
      <c r="AJ296" s="396">
        <f t="shared" si="45"/>
        <v>-208527.7</v>
      </c>
      <c r="AK296" s="563"/>
      <c r="AL296" s="285">
        <f t="shared" si="53"/>
        <v>0</v>
      </c>
      <c r="AM296" s="286"/>
      <c r="AO296" s="330" t="s">
        <v>3178</v>
      </c>
    </row>
    <row r="297" spans="1:41">
      <c r="A297" s="587">
        <f t="shared" si="46"/>
        <v>294</v>
      </c>
      <c r="B297" s="330" t="s">
        <v>1643</v>
      </c>
      <c r="C297" s="330" t="s">
        <v>3181</v>
      </c>
      <c r="D297" s="330" t="s">
        <v>1746</v>
      </c>
      <c r="E297" s="330" t="s">
        <v>1670</v>
      </c>
      <c r="F297" s="330" t="s">
        <v>1671</v>
      </c>
      <c r="G297" s="562">
        <v>1375</v>
      </c>
      <c r="H297" s="562">
        <v>876.73</v>
      </c>
      <c r="I297" s="562">
        <v>982.22</v>
      </c>
      <c r="J297" s="561" t="s">
        <v>1648</v>
      </c>
      <c r="K297" s="330" t="s">
        <v>3182</v>
      </c>
      <c r="L297" s="330" t="s">
        <v>3183</v>
      </c>
      <c r="M297" s="330" t="s">
        <v>3184</v>
      </c>
      <c r="N297" s="330" t="s">
        <v>3185</v>
      </c>
      <c r="O297" s="395">
        <v>45680</v>
      </c>
      <c r="P297" s="333">
        <v>8187429</v>
      </c>
      <c r="Q297" s="330" t="s">
        <v>1653</v>
      </c>
      <c r="R297" s="562">
        <v>0</v>
      </c>
      <c r="S297" s="333">
        <v>0</v>
      </c>
      <c r="T297" s="333">
        <v>-2540232.8500000006</v>
      </c>
      <c r="U297" s="333">
        <f t="shared" si="43"/>
        <v>-2540232.8500000006</v>
      </c>
      <c r="V297" s="333">
        <v>0</v>
      </c>
      <c r="W297" s="333">
        <v>0</v>
      </c>
      <c r="X297" s="333">
        <v>0</v>
      </c>
      <c r="Y297" s="333">
        <v>0</v>
      </c>
      <c r="Z297" s="333">
        <v>0</v>
      </c>
      <c r="AA297" s="333">
        <v>0</v>
      </c>
      <c r="AB297" s="333">
        <v>0</v>
      </c>
      <c r="AC297" s="333">
        <v>0</v>
      </c>
      <c r="AD297" s="333">
        <v>0</v>
      </c>
      <c r="AE297" s="333"/>
      <c r="AF297" s="333"/>
      <c r="AG297" s="333">
        <f t="shared" si="44"/>
        <v>-2540232.8500000006</v>
      </c>
      <c r="AH297" s="330"/>
      <c r="AI297" s="330">
        <v>0</v>
      </c>
      <c r="AJ297" s="396">
        <f t="shared" si="45"/>
        <v>-2540232.8500000006</v>
      </c>
      <c r="AK297" s="563"/>
      <c r="AL297" s="285">
        <f t="shared" si="49"/>
        <v>0</v>
      </c>
      <c r="AM297" s="286"/>
      <c r="AO297" s="330" t="s">
        <v>3182</v>
      </c>
    </row>
    <row r="298" spans="1:41">
      <c r="A298" s="587">
        <f t="shared" si="46"/>
        <v>295</v>
      </c>
      <c r="B298" s="330" t="s">
        <v>1643</v>
      </c>
      <c r="C298" s="330" t="s">
        <v>3186</v>
      </c>
      <c r="D298" s="330" t="s">
        <v>1677</v>
      </c>
      <c r="E298" s="330" t="s">
        <v>1656</v>
      </c>
      <c r="F298" s="330" t="s">
        <v>1647</v>
      </c>
      <c r="G298" s="562">
        <v>1114</v>
      </c>
      <c r="H298" s="562">
        <v>683.3</v>
      </c>
      <c r="I298" s="562">
        <v>795.57</v>
      </c>
      <c r="J298" s="561" t="s">
        <v>1648</v>
      </c>
      <c r="K298" s="330" t="s">
        <v>3187</v>
      </c>
      <c r="L298" s="330" t="s">
        <v>3188</v>
      </c>
      <c r="M298" s="330" t="s">
        <v>3189</v>
      </c>
      <c r="N298" s="330" t="s">
        <v>12</v>
      </c>
      <c r="O298" s="395"/>
      <c r="P298" s="333">
        <v>6848190</v>
      </c>
      <c r="Q298" s="330" t="s">
        <v>1660</v>
      </c>
      <c r="R298" s="562">
        <v>0</v>
      </c>
      <c r="S298" s="333">
        <v>0</v>
      </c>
      <c r="T298" s="333">
        <v>-50000</v>
      </c>
      <c r="U298" s="333">
        <f t="shared" si="43"/>
        <v>-50000</v>
      </c>
      <c r="V298" s="333">
        <v>50000</v>
      </c>
      <c r="W298" s="333">
        <v>0</v>
      </c>
      <c r="X298" s="333">
        <v>0</v>
      </c>
      <c r="Y298" s="333">
        <v>0</v>
      </c>
      <c r="Z298" s="333">
        <v>0</v>
      </c>
      <c r="AA298" s="333">
        <v>0</v>
      </c>
      <c r="AB298" s="333">
        <v>0</v>
      </c>
      <c r="AC298" s="333">
        <v>0</v>
      </c>
      <c r="AD298" s="333">
        <v>0</v>
      </c>
      <c r="AE298" s="333"/>
      <c r="AF298" s="333"/>
      <c r="AG298" s="333">
        <f t="shared" si="44"/>
        <v>0</v>
      </c>
      <c r="AH298" s="330"/>
      <c r="AI298" s="330">
        <v>0</v>
      </c>
      <c r="AJ298" s="396">
        <f t="shared" si="45"/>
        <v>0</v>
      </c>
      <c r="AK298" s="563"/>
      <c r="AL298" s="285">
        <f t="shared" si="49"/>
        <v>0</v>
      </c>
      <c r="AM298" s="286"/>
      <c r="AO298" s="330" t="s">
        <v>3187</v>
      </c>
    </row>
    <row r="299" spans="1:41">
      <c r="A299" s="587">
        <f t="shared" si="46"/>
        <v>296</v>
      </c>
      <c r="B299" s="330" t="s">
        <v>1643</v>
      </c>
      <c r="C299" s="330" t="s">
        <v>3190</v>
      </c>
      <c r="D299" s="330" t="s">
        <v>1645</v>
      </c>
      <c r="E299" s="330" t="s">
        <v>3007</v>
      </c>
      <c r="F299" s="330" t="s">
        <v>1647</v>
      </c>
      <c r="G299" s="562">
        <v>1012</v>
      </c>
      <c r="H299" s="562">
        <v>653.59</v>
      </c>
      <c r="I299" s="562">
        <v>723.02</v>
      </c>
      <c r="J299" s="561" t="s">
        <v>1810</v>
      </c>
      <c r="K299" s="330" t="s">
        <v>3191</v>
      </c>
      <c r="L299" s="330" t="s">
        <v>3192</v>
      </c>
      <c r="M299" s="330" t="s">
        <v>3193</v>
      </c>
      <c r="N299" s="330" t="s">
        <v>3194</v>
      </c>
      <c r="O299" s="395">
        <v>45454</v>
      </c>
      <c r="P299" s="333">
        <v>5669619</v>
      </c>
      <c r="Q299" s="330" t="s">
        <v>1653</v>
      </c>
      <c r="R299" s="562">
        <v>0</v>
      </c>
      <c r="S299" s="333">
        <v>0</v>
      </c>
      <c r="T299" s="333">
        <v>-1700885.7000000002</v>
      </c>
      <c r="U299" s="333">
        <f t="shared" si="43"/>
        <v>-1700885.7000000002</v>
      </c>
      <c r="V299" s="333">
        <v>0</v>
      </c>
      <c r="W299" s="333">
        <v>0</v>
      </c>
      <c r="X299" s="333">
        <v>0</v>
      </c>
      <c r="Y299" s="333">
        <v>0</v>
      </c>
      <c r="Z299" s="333">
        <v>0</v>
      </c>
      <c r="AA299" s="333">
        <v>0</v>
      </c>
      <c r="AB299" s="333">
        <v>0</v>
      </c>
      <c r="AC299" s="333">
        <v>0</v>
      </c>
      <c r="AD299" s="333">
        <v>0</v>
      </c>
      <c r="AE299" s="333"/>
      <c r="AF299" s="333"/>
      <c r="AG299" s="333">
        <f t="shared" si="44"/>
        <v>-1700885.7000000002</v>
      </c>
      <c r="AH299" s="330"/>
      <c r="AI299" s="330">
        <v>0</v>
      </c>
      <c r="AJ299" s="396">
        <f t="shared" si="45"/>
        <v>-1700885.7000000002</v>
      </c>
      <c r="AK299" s="563"/>
      <c r="AL299" s="285">
        <f>+AC299+AI299</f>
        <v>0</v>
      </c>
      <c r="AM299" s="286"/>
      <c r="AO299" s="330" t="s">
        <v>3191</v>
      </c>
    </row>
    <row r="300" spans="1:41">
      <c r="A300" s="587">
        <f t="shared" si="46"/>
        <v>297</v>
      </c>
      <c r="B300" s="330" t="s">
        <v>1643</v>
      </c>
      <c r="C300" s="330" t="s">
        <v>3195</v>
      </c>
      <c r="D300" s="330" t="s">
        <v>1645</v>
      </c>
      <c r="E300" s="330" t="s">
        <v>2160</v>
      </c>
      <c r="F300" s="330" t="s">
        <v>1786</v>
      </c>
      <c r="G300" s="562">
        <v>1498</v>
      </c>
      <c r="H300" s="562">
        <v>954.87</v>
      </c>
      <c r="I300" s="562">
        <v>1069.73</v>
      </c>
      <c r="J300" s="561" t="s">
        <v>1648</v>
      </c>
      <c r="K300" s="330" t="s">
        <v>3196</v>
      </c>
      <c r="L300" s="330" t="s">
        <v>3197</v>
      </c>
      <c r="M300" s="330" t="s">
        <v>3198</v>
      </c>
      <c r="N300" s="330" t="s">
        <v>3199</v>
      </c>
      <c r="O300" s="395">
        <v>45435</v>
      </c>
      <c r="P300" s="333">
        <v>8517810</v>
      </c>
      <c r="Q300" s="330" t="s">
        <v>1653</v>
      </c>
      <c r="R300" s="562">
        <v>0</v>
      </c>
      <c r="S300" s="333">
        <v>0</v>
      </c>
      <c r="T300" s="333">
        <v>-2555341.94</v>
      </c>
      <c r="U300" s="333">
        <f t="shared" si="43"/>
        <v>-2555341.94</v>
      </c>
      <c r="V300" s="333">
        <v>0</v>
      </c>
      <c r="W300" s="333">
        <v>0</v>
      </c>
      <c r="X300" s="333">
        <v>0</v>
      </c>
      <c r="Y300" s="333">
        <v>0</v>
      </c>
      <c r="Z300" s="333">
        <v>0</v>
      </c>
      <c r="AA300" s="333">
        <v>0</v>
      </c>
      <c r="AB300" s="333">
        <v>0</v>
      </c>
      <c r="AC300" s="333">
        <v>0</v>
      </c>
      <c r="AD300" s="333">
        <v>0</v>
      </c>
      <c r="AE300" s="333"/>
      <c r="AF300" s="333"/>
      <c r="AG300" s="333">
        <f t="shared" si="44"/>
        <v>-2555341.94</v>
      </c>
      <c r="AH300" s="330"/>
      <c r="AI300" s="330">
        <v>0</v>
      </c>
      <c r="AJ300" s="396">
        <f t="shared" si="45"/>
        <v>-2555341.94</v>
      </c>
      <c r="AK300" s="563"/>
      <c r="AL300" s="285">
        <f t="shared" si="49"/>
        <v>0</v>
      </c>
      <c r="AM300" s="286"/>
      <c r="AO300" s="330" t="s">
        <v>3196</v>
      </c>
    </row>
    <row r="301" spans="1:41">
      <c r="A301" s="587">
        <f t="shared" si="46"/>
        <v>298</v>
      </c>
      <c r="B301" s="330" t="s">
        <v>1643</v>
      </c>
      <c r="C301" s="330" t="s">
        <v>3200</v>
      </c>
      <c r="D301" s="330" t="s">
        <v>1704</v>
      </c>
      <c r="E301" s="330" t="s">
        <v>3047</v>
      </c>
      <c r="F301" s="330" t="s">
        <v>1647</v>
      </c>
      <c r="G301" s="562">
        <v>1012</v>
      </c>
      <c r="H301" s="562">
        <v>653.59</v>
      </c>
      <c r="I301" s="562">
        <v>723.02</v>
      </c>
      <c r="J301" s="561" t="s">
        <v>1648</v>
      </c>
      <c r="K301" s="330" t="s">
        <v>3201</v>
      </c>
      <c r="L301" s="330" t="s">
        <v>3202</v>
      </c>
      <c r="M301" s="330" t="s">
        <v>3203</v>
      </c>
      <c r="N301" s="330" t="s">
        <v>3204</v>
      </c>
      <c r="O301" s="395">
        <v>45474</v>
      </c>
      <c r="P301" s="333">
        <v>5732095</v>
      </c>
      <c r="Q301" s="330" t="s">
        <v>1653</v>
      </c>
      <c r="R301" s="562">
        <v>0</v>
      </c>
      <c r="S301" s="333">
        <v>0</v>
      </c>
      <c r="T301" s="333">
        <v>-214918.56000000006</v>
      </c>
      <c r="U301" s="333">
        <f t="shared" si="43"/>
        <v>-214918.56000000006</v>
      </c>
      <c r="V301" s="333">
        <v>-1504674</v>
      </c>
      <c r="W301" s="333">
        <v>0</v>
      </c>
      <c r="X301" s="333">
        <v>0</v>
      </c>
      <c r="Y301" s="333">
        <v>0</v>
      </c>
      <c r="Z301" s="333">
        <v>0</v>
      </c>
      <c r="AA301" s="333">
        <v>0</v>
      </c>
      <c r="AB301" s="333">
        <v>0</v>
      </c>
      <c r="AC301" s="333">
        <v>0</v>
      </c>
      <c r="AD301" s="333">
        <v>0</v>
      </c>
      <c r="AE301" s="333"/>
      <c r="AF301" s="333"/>
      <c r="AG301" s="333">
        <f t="shared" si="44"/>
        <v>-1719592.56</v>
      </c>
      <c r="AH301" s="330"/>
      <c r="AI301" s="330">
        <v>0</v>
      </c>
      <c r="AJ301" s="396">
        <f t="shared" si="45"/>
        <v>-1719592.56</v>
      </c>
      <c r="AK301" s="563"/>
      <c r="AL301" s="285">
        <f t="shared" si="49"/>
        <v>0</v>
      </c>
      <c r="AM301" s="286"/>
      <c r="AO301" s="330" t="s">
        <v>3201</v>
      </c>
    </row>
    <row r="302" spans="1:41">
      <c r="A302" s="587">
        <f t="shared" si="46"/>
        <v>299</v>
      </c>
      <c r="B302" s="330" t="s">
        <v>1643</v>
      </c>
      <c r="C302" s="330" t="s">
        <v>3205</v>
      </c>
      <c r="D302" s="330" t="s">
        <v>1746</v>
      </c>
      <c r="E302" s="330" t="s">
        <v>2785</v>
      </c>
      <c r="F302" s="330" t="s">
        <v>1671</v>
      </c>
      <c r="G302" s="562">
        <v>1375</v>
      </c>
      <c r="H302" s="562">
        <v>876.73</v>
      </c>
      <c r="I302" s="562">
        <v>982.22</v>
      </c>
      <c r="J302" s="561" t="s">
        <v>1648</v>
      </c>
      <c r="K302" s="330" t="s">
        <v>3206</v>
      </c>
      <c r="L302" s="330" t="s">
        <v>3207</v>
      </c>
      <c r="M302" s="330" t="s">
        <v>3208</v>
      </c>
      <c r="N302" s="330" t="s">
        <v>3209</v>
      </c>
      <c r="O302" s="395">
        <v>45481</v>
      </c>
      <c r="P302" s="333">
        <v>8081048</v>
      </c>
      <c r="Q302" s="330" t="s">
        <v>1653</v>
      </c>
      <c r="R302" s="562">
        <v>0</v>
      </c>
      <c r="S302" s="333">
        <v>0</v>
      </c>
      <c r="T302" s="333">
        <v>-2424315.2800000012</v>
      </c>
      <c r="U302" s="333">
        <f t="shared" si="43"/>
        <v>-2424315.2800000012</v>
      </c>
      <c r="V302" s="333">
        <v>0</v>
      </c>
      <c r="W302" s="333">
        <v>0</v>
      </c>
      <c r="X302" s="333">
        <v>0</v>
      </c>
      <c r="Y302" s="333">
        <v>0</v>
      </c>
      <c r="Z302" s="333">
        <v>0</v>
      </c>
      <c r="AA302" s="333">
        <v>0</v>
      </c>
      <c r="AB302" s="333">
        <v>0</v>
      </c>
      <c r="AC302" s="333">
        <v>0</v>
      </c>
      <c r="AD302" s="333">
        <v>0</v>
      </c>
      <c r="AE302" s="333"/>
      <c r="AF302" s="333"/>
      <c r="AG302" s="333">
        <f t="shared" si="44"/>
        <v>-2424315.2800000012</v>
      </c>
      <c r="AH302" s="330"/>
      <c r="AI302" s="330">
        <v>0</v>
      </c>
      <c r="AJ302" s="396">
        <f t="shared" si="45"/>
        <v>-2424315.2800000012</v>
      </c>
      <c r="AK302" s="563"/>
      <c r="AL302" s="285">
        <f t="shared" si="49"/>
        <v>0</v>
      </c>
      <c r="AM302" s="286"/>
      <c r="AO302" s="330" t="s">
        <v>3206</v>
      </c>
    </row>
    <row r="303" spans="1:41">
      <c r="A303" s="587">
        <f t="shared" si="46"/>
        <v>300</v>
      </c>
      <c r="B303" s="330" t="s">
        <v>1643</v>
      </c>
      <c r="C303" s="330" t="s">
        <v>2710</v>
      </c>
      <c r="D303" s="330" t="s">
        <v>1662</v>
      </c>
      <c r="E303" s="330" t="s">
        <v>2085</v>
      </c>
      <c r="F303" s="330" t="s">
        <v>1671</v>
      </c>
      <c r="G303" s="562">
        <v>1375</v>
      </c>
      <c r="H303" s="562">
        <v>876.73</v>
      </c>
      <c r="I303" s="562">
        <v>982.22</v>
      </c>
      <c r="J303" s="561" t="s">
        <v>1648</v>
      </c>
      <c r="K303" s="330" t="s">
        <v>3210</v>
      </c>
      <c r="L303" s="330" t="s">
        <v>3211</v>
      </c>
      <c r="M303" s="330" t="s">
        <v>3212</v>
      </c>
      <c r="N303" s="330" t="s">
        <v>2066</v>
      </c>
      <c r="O303" s="395"/>
      <c r="P303" s="333">
        <v>7651714</v>
      </c>
      <c r="Q303" s="330" t="s">
        <v>1660</v>
      </c>
      <c r="R303" s="562">
        <v>0</v>
      </c>
      <c r="S303" s="333">
        <v>0</v>
      </c>
      <c r="T303" s="333">
        <v>-50000</v>
      </c>
      <c r="U303" s="333">
        <f t="shared" si="43"/>
        <v>-50000</v>
      </c>
      <c r="V303" s="333">
        <v>0</v>
      </c>
      <c r="W303" s="333">
        <v>0</v>
      </c>
      <c r="X303" s="333">
        <v>0</v>
      </c>
      <c r="Y303" s="333">
        <v>0</v>
      </c>
      <c r="Z303" s="333">
        <v>0</v>
      </c>
      <c r="AA303" s="333">
        <v>0</v>
      </c>
      <c r="AB303" s="333">
        <v>0</v>
      </c>
      <c r="AC303" s="333">
        <v>0</v>
      </c>
      <c r="AD303" s="333">
        <v>0</v>
      </c>
      <c r="AE303" s="333"/>
      <c r="AF303" s="333"/>
      <c r="AG303" s="333">
        <f t="shared" si="44"/>
        <v>-50000</v>
      </c>
      <c r="AH303" s="330"/>
      <c r="AI303" s="330">
        <v>0</v>
      </c>
      <c r="AJ303" s="396">
        <f t="shared" si="45"/>
        <v>-50000</v>
      </c>
      <c r="AK303" s="563"/>
      <c r="AL303" s="285">
        <f t="shared" si="49"/>
        <v>0</v>
      </c>
      <c r="AM303" s="286"/>
      <c r="AO303" s="330" t="s">
        <v>3210</v>
      </c>
    </row>
    <row r="304" spans="1:41">
      <c r="A304" s="587">
        <f t="shared" si="46"/>
        <v>301</v>
      </c>
      <c r="B304" s="330" t="s">
        <v>1643</v>
      </c>
      <c r="C304" s="330" t="s">
        <v>3213</v>
      </c>
      <c r="D304" s="330" t="s">
        <v>1677</v>
      </c>
      <c r="E304" s="330" t="s">
        <v>2023</v>
      </c>
      <c r="F304" s="330" t="s">
        <v>1647</v>
      </c>
      <c r="G304" s="562">
        <v>1012</v>
      </c>
      <c r="H304" s="562">
        <v>653.59</v>
      </c>
      <c r="I304" s="562">
        <v>723.02</v>
      </c>
      <c r="J304" s="561" t="s">
        <v>1648</v>
      </c>
      <c r="K304" s="330" t="s">
        <v>3214</v>
      </c>
      <c r="L304" s="330" t="s">
        <v>3215</v>
      </c>
      <c r="M304" s="330" t="s">
        <v>3216</v>
      </c>
      <c r="N304" s="330" t="s">
        <v>12</v>
      </c>
      <c r="O304" s="395"/>
      <c r="P304" s="333">
        <v>6000000</v>
      </c>
      <c r="Q304" s="330" t="s">
        <v>1653</v>
      </c>
      <c r="R304" s="562">
        <v>0</v>
      </c>
      <c r="S304" s="333">
        <v>0</v>
      </c>
      <c r="T304" s="333">
        <v>-150000</v>
      </c>
      <c r="U304" s="333">
        <f t="shared" si="43"/>
        <v>-150000</v>
      </c>
      <c r="V304" s="333">
        <v>0</v>
      </c>
      <c r="W304" s="333">
        <v>0</v>
      </c>
      <c r="X304" s="333">
        <v>0</v>
      </c>
      <c r="Y304" s="333">
        <v>0</v>
      </c>
      <c r="Z304" s="333">
        <v>0</v>
      </c>
      <c r="AA304" s="333">
        <v>0</v>
      </c>
      <c r="AB304" s="333">
        <v>0</v>
      </c>
      <c r="AC304" s="333">
        <v>0</v>
      </c>
      <c r="AD304" s="333">
        <v>0</v>
      </c>
      <c r="AE304" s="333"/>
      <c r="AF304" s="333"/>
      <c r="AG304" s="333">
        <f t="shared" si="44"/>
        <v>-150000</v>
      </c>
      <c r="AH304" s="330"/>
      <c r="AI304" s="330">
        <v>0</v>
      </c>
      <c r="AJ304" s="396">
        <f t="shared" si="45"/>
        <v>-150000</v>
      </c>
      <c r="AK304" s="563"/>
      <c r="AL304" s="285">
        <f t="shared" si="49"/>
        <v>0</v>
      </c>
      <c r="AM304" s="286"/>
      <c r="AO304" s="330" t="s">
        <v>3214</v>
      </c>
    </row>
    <row r="305" spans="1:41">
      <c r="A305" s="587">
        <f t="shared" si="46"/>
        <v>302</v>
      </c>
      <c r="B305" s="330" t="s">
        <v>1643</v>
      </c>
      <c r="C305" s="330" t="s">
        <v>3217</v>
      </c>
      <c r="D305" s="330" t="s">
        <v>1746</v>
      </c>
      <c r="E305" s="330" t="s">
        <v>1857</v>
      </c>
      <c r="F305" s="330" t="s">
        <v>1647</v>
      </c>
      <c r="G305" s="562">
        <v>1114</v>
      </c>
      <c r="H305" s="562">
        <v>683.3</v>
      </c>
      <c r="I305" s="562">
        <v>795.57</v>
      </c>
      <c r="J305" s="561" t="s">
        <v>1648</v>
      </c>
      <c r="K305" s="330" t="s">
        <v>3218</v>
      </c>
      <c r="L305" s="330" t="s">
        <v>3219</v>
      </c>
      <c r="M305" s="330" t="s">
        <v>3220</v>
      </c>
      <c r="N305" s="330" t="s">
        <v>3221</v>
      </c>
      <c r="O305" s="395">
        <v>45428</v>
      </c>
      <c r="P305" s="333">
        <v>6276762</v>
      </c>
      <c r="Q305" s="330" t="s">
        <v>1653</v>
      </c>
      <c r="R305" s="562">
        <v>0</v>
      </c>
      <c r="S305" s="333">
        <v>0</v>
      </c>
      <c r="T305" s="333">
        <v>-1875888.1800000004</v>
      </c>
      <c r="U305" s="333">
        <f t="shared" si="43"/>
        <v>-1875888.1800000004</v>
      </c>
      <c r="V305" s="333">
        <v>0</v>
      </c>
      <c r="W305" s="333">
        <v>0</v>
      </c>
      <c r="X305" s="333">
        <v>0</v>
      </c>
      <c r="Y305" s="333">
        <v>0</v>
      </c>
      <c r="Z305" s="333">
        <v>0</v>
      </c>
      <c r="AA305" s="333">
        <v>0</v>
      </c>
      <c r="AB305" s="333">
        <v>0</v>
      </c>
      <c r="AC305" s="333">
        <v>-7142.5</v>
      </c>
      <c r="AD305" s="333">
        <v>0</v>
      </c>
      <c r="AE305" s="333"/>
      <c r="AF305" s="333"/>
      <c r="AG305" s="333">
        <f t="shared" si="44"/>
        <v>-1883030.6800000004</v>
      </c>
      <c r="AH305" s="330"/>
      <c r="AI305" s="330">
        <v>7142.5</v>
      </c>
      <c r="AJ305" s="396">
        <f t="shared" si="45"/>
        <v>-1883030.6800000004</v>
      </c>
      <c r="AK305" s="563"/>
      <c r="AL305" s="285">
        <f>+AC305+AI305</f>
        <v>0</v>
      </c>
      <c r="AM305" s="286"/>
      <c r="AO305" s="330" t="s">
        <v>3218</v>
      </c>
    </row>
    <row r="306" spans="1:41">
      <c r="A306" s="587">
        <f t="shared" si="46"/>
        <v>303</v>
      </c>
      <c r="B306" s="330" t="s">
        <v>1643</v>
      </c>
      <c r="C306" s="330" t="s">
        <v>3222</v>
      </c>
      <c r="D306" s="330" t="s">
        <v>1655</v>
      </c>
      <c r="E306" s="330" t="s">
        <v>2873</v>
      </c>
      <c r="F306" s="330" t="s">
        <v>1647</v>
      </c>
      <c r="G306" s="562">
        <v>1012</v>
      </c>
      <c r="H306" s="562">
        <v>653.59</v>
      </c>
      <c r="I306" s="562">
        <v>723.02</v>
      </c>
      <c r="J306" s="561" t="s">
        <v>1648</v>
      </c>
      <c r="K306" s="330" t="s">
        <v>3223</v>
      </c>
      <c r="L306" s="330" t="s">
        <v>3224</v>
      </c>
      <c r="M306" s="330" t="s">
        <v>3225</v>
      </c>
      <c r="N306" s="330" t="s">
        <v>12</v>
      </c>
      <c r="O306" s="395"/>
      <c r="P306" s="333">
        <v>6133905</v>
      </c>
      <c r="Q306" s="330" t="s">
        <v>1660</v>
      </c>
      <c r="R306" s="562">
        <v>0</v>
      </c>
      <c r="S306" s="333">
        <v>0</v>
      </c>
      <c r="T306" s="333">
        <v>0</v>
      </c>
      <c r="U306" s="333">
        <f t="shared" si="43"/>
        <v>0</v>
      </c>
      <c r="V306" s="333">
        <v>0</v>
      </c>
      <c r="W306" s="333">
        <v>0</v>
      </c>
      <c r="X306" s="333">
        <v>0</v>
      </c>
      <c r="Y306" s="333">
        <v>0</v>
      </c>
      <c r="Z306" s="333">
        <v>0</v>
      </c>
      <c r="AA306" s="333">
        <v>0</v>
      </c>
      <c r="AB306" s="333">
        <v>0</v>
      </c>
      <c r="AC306" s="333">
        <v>0</v>
      </c>
      <c r="AD306" s="333">
        <v>0</v>
      </c>
      <c r="AE306" s="333"/>
      <c r="AF306" s="333"/>
      <c r="AG306" s="333">
        <f t="shared" si="44"/>
        <v>0</v>
      </c>
      <c r="AH306" s="330"/>
      <c r="AI306" s="330">
        <v>0</v>
      </c>
      <c r="AJ306" s="396">
        <f t="shared" si="45"/>
        <v>0</v>
      </c>
      <c r="AK306" s="563"/>
      <c r="AL306" s="285">
        <f t="shared" si="49"/>
        <v>0</v>
      </c>
      <c r="AM306" s="286"/>
      <c r="AO306" s="330" t="s">
        <v>3223</v>
      </c>
    </row>
    <row r="307" spans="1:41">
      <c r="A307" s="587">
        <f t="shared" si="46"/>
        <v>304</v>
      </c>
      <c r="B307" s="330" t="s">
        <v>1643</v>
      </c>
      <c r="C307" s="330" t="s">
        <v>3226</v>
      </c>
      <c r="D307" s="330" t="s">
        <v>2153</v>
      </c>
      <c r="E307" s="330" t="s">
        <v>3227</v>
      </c>
      <c r="F307" s="330" t="s">
        <v>1647</v>
      </c>
      <c r="G307" s="562">
        <v>1114</v>
      </c>
      <c r="H307" s="562">
        <v>683.3</v>
      </c>
      <c r="I307" s="562">
        <v>795.57</v>
      </c>
      <c r="J307" s="561" t="s">
        <v>1679</v>
      </c>
      <c r="K307" s="330" t="s">
        <v>3228</v>
      </c>
      <c r="L307" s="330" t="s">
        <v>3229</v>
      </c>
      <c r="M307" s="330" t="s">
        <v>3230</v>
      </c>
      <c r="N307" s="330" t="s">
        <v>3231</v>
      </c>
      <c r="O307" s="395">
        <v>45467</v>
      </c>
      <c r="P307" s="333">
        <v>6446381</v>
      </c>
      <c r="Q307" s="330" t="s">
        <v>1653</v>
      </c>
      <c r="R307" s="562">
        <v>0</v>
      </c>
      <c r="S307" s="333">
        <v>0</v>
      </c>
      <c r="T307" s="333">
        <v>-1933914.28</v>
      </c>
      <c r="U307" s="333">
        <f t="shared" si="43"/>
        <v>-1933914.28</v>
      </c>
      <c r="V307" s="333">
        <v>0</v>
      </c>
      <c r="W307" s="333">
        <v>0</v>
      </c>
      <c r="X307" s="333">
        <v>0</v>
      </c>
      <c r="Y307" s="333">
        <v>0</v>
      </c>
      <c r="Z307" s="333">
        <v>0</v>
      </c>
      <c r="AA307" s="333">
        <v>0</v>
      </c>
      <c r="AB307" s="333">
        <v>0</v>
      </c>
      <c r="AC307" s="333">
        <v>0</v>
      </c>
      <c r="AD307" s="333">
        <v>0</v>
      </c>
      <c r="AE307" s="333"/>
      <c r="AF307" s="333"/>
      <c r="AG307" s="333">
        <f t="shared" si="44"/>
        <v>-1933914.28</v>
      </c>
      <c r="AH307" s="330"/>
      <c r="AI307" s="330">
        <v>0</v>
      </c>
      <c r="AJ307" s="396">
        <f t="shared" si="45"/>
        <v>-1933914.28</v>
      </c>
      <c r="AK307" s="563"/>
      <c r="AL307" s="285">
        <f t="shared" si="49"/>
        <v>0</v>
      </c>
      <c r="AM307" s="286"/>
      <c r="AO307" s="330" t="s">
        <v>3228</v>
      </c>
    </row>
    <row r="308" spans="1:41">
      <c r="A308" s="587">
        <f t="shared" si="46"/>
        <v>305</v>
      </c>
      <c r="B308" s="330" t="s">
        <v>1643</v>
      </c>
      <c r="C308" s="330" t="s">
        <v>3232</v>
      </c>
      <c r="D308" s="330" t="s">
        <v>1655</v>
      </c>
      <c r="E308" s="330" t="s">
        <v>2106</v>
      </c>
      <c r="F308" s="330" t="s">
        <v>1647</v>
      </c>
      <c r="G308" s="562">
        <v>1114</v>
      </c>
      <c r="H308" s="562">
        <v>683.3</v>
      </c>
      <c r="I308" s="562">
        <v>795.57</v>
      </c>
      <c r="J308" s="561" t="s">
        <v>1648</v>
      </c>
      <c r="K308" s="330" t="s">
        <v>3233</v>
      </c>
      <c r="L308" s="330" t="s">
        <v>3234</v>
      </c>
      <c r="M308" s="330" t="s">
        <v>3235</v>
      </c>
      <c r="N308" s="330" t="s">
        <v>12</v>
      </c>
      <c r="O308" s="395"/>
      <c r="P308" s="333">
        <v>6937428</v>
      </c>
      <c r="Q308" s="330" t="s">
        <v>1653</v>
      </c>
      <c r="R308" s="562">
        <v>0</v>
      </c>
      <c r="S308" s="333">
        <v>0</v>
      </c>
      <c r="T308" s="333">
        <v>-879915</v>
      </c>
      <c r="U308" s="333">
        <f t="shared" si="43"/>
        <v>-879915</v>
      </c>
      <c r="V308" s="333">
        <v>879915.00000000012</v>
      </c>
      <c r="W308" s="333">
        <v>0</v>
      </c>
      <c r="X308" s="333">
        <v>0</v>
      </c>
      <c r="Y308" s="333">
        <v>0</v>
      </c>
      <c r="Z308" s="333">
        <v>0</v>
      </c>
      <c r="AA308" s="333">
        <v>0</v>
      </c>
      <c r="AB308" s="333">
        <v>0</v>
      </c>
      <c r="AC308" s="333">
        <v>0</v>
      </c>
      <c r="AD308" s="333">
        <v>0</v>
      </c>
      <c r="AE308" s="333"/>
      <c r="AF308" s="333"/>
      <c r="AG308" s="333">
        <f t="shared" si="44"/>
        <v>1.1641532182693481E-10</v>
      </c>
      <c r="AH308" s="330"/>
      <c r="AI308" s="330">
        <v>0</v>
      </c>
      <c r="AJ308" s="396">
        <f t="shared" si="45"/>
        <v>1.1641532182693481E-10</v>
      </c>
      <c r="AK308" s="563"/>
      <c r="AL308" s="285">
        <f t="shared" si="49"/>
        <v>0</v>
      </c>
      <c r="AM308" s="286"/>
      <c r="AO308" s="330" t="s">
        <v>3233</v>
      </c>
    </row>
    <row r="309" spans="1:41">
      <c r="A309" s="587">
        <f t="shared" si="46"/>
        <v>306</v>
      </c>
      <c r="B309" s="330" t="s">
        <v>1643</v>
      </c>
      <c r="C309" s="330" t="s">
        <v>3236</v>
      </c>
      <c r="D309" s="330" t="s">
        <v>2153</v>
      </c>
      <c r="E309" s="330" t="s">
        <v>1846</v>
      </c>
      <c r="F309" s="330" t="s">
        <v>1647</v>
      </c>
      <c r="G309" s="562">
        <v>1114</v>
      </c>
      <c r="H309" s="562">
        <v>683.3</v>
      </c>
      <c r="I309" s="562">
        <v>795.57</v>
      </c>
      <c r="J309" s="561" t="s">
        <v>1810</v>
      </c>
      <c r="K309" s="330" t="s">
        <v>3237</v>
      </c>
      <c r="L309" s="330" t="s">
        <v>3238</v>
      </c>
      <c r="M309" s="330" t="s">
        <v>3239</v>
      </c>
      <c r="N309" s="330" t="s">
        <v>3240</v>
      </c>
      <c r="O309" s="395">
        <v>45455</v>
      </c>
      <c r="P309" s="333">
        <v>6580286</v>
      </c>
      <c r="Q309" s="330" t="s">
        <v>1653</v>
      </c>
      <c r="R309" s="562">
        <v>0</v>
      </c>
      <c r="S309" s="333">
        <v>0</v>
      </c>
      <c r="T309" s="333">
        <v>-2039887.7</v>
      </c>
      <c r="U309" s="333">
        <f t="shared" si="43"/>
        <v>-2039887.7</v>
      </c>
      <c r="V309" s="333">
        <v>0</v>
      </c>
      <c r="W309" s="333">
        <v>0</v>
      </c>
      <c r="X309" s="333">
        <v>0</v>
      </c>
      <c r="Y309" s="333">
        <v>0</v>
      </c>
      <c r="Z309" s="333">
        <v>0</v>
      </c>
      <c r="AA309" s="333">
        <v>0</v>
      </c>
      <c r="AB309" s="333">
        <v>0</v>
      </c>
      <c r="AC309" s="333">
        <v>0</v>
      </c>
      <c r="AD309" s="333">
        <v>0</v>
      </c>
      <c r="AE309" s="333"/>
      <c r="AF309" s="333"/>
      <c r="AG309" s="333">
        <f t="shared" si="44"/>
        <v>-2039887.7</v>
      </c>
      <c r="AH309" s="330"/>
      <c r="AI309" s="330">
        <v>0</v>
      </c>
      <c r="AJ309" s="396">
        <f t="shared" si="45"/>
        <v>-2039887.7</v>
      </c>
      <c r="AK309" s="563"/>
      <c r="AL309" s="285">
        <f t="shared" si="49"/>
        <v>0</v>
      </c>
      <c r="AM309" s="286"/>
      <c r="AO309" s="330" t="s">
        <v>3237</v>
      </c>
    </row>
    <row r="310" spans="1:41">
      <c r="A310" s="587">
        <f t="shared" si="46"/>
        <v>307</v>
      </c>
      <c r="B310" s="330" t="s">
        <v>1643</v>
      </c>
      <c r="C310" s="330" t="s">
        <v>3241</v>
      </c>
      <c r="D310" s="330" t="s">
        <v>1669</v>
      </c>
      <c r="E310" s="330" t="s">
        <v>2696</v>
      </c>
      <c r="F310" s="330" t="s">
        <v>1671</v>
      </c>
      <c r="G310" s="562">
        <v>1787</v>
      </c>
      <c r="H310" s="562">
        <v>1138.51</v>
      </c>
      <c r="I310" s="562">
        <v>1276.29</v>
      </c>
      <c r="J310" s="561" t="s">
        <v>1679</v>
      </c>
      <c r="K310" s="330" t="s">
        <v>3242</v>
      </c>
      <c r="L310" s="330" t="s">
        <v>3243</v>
      </c>
      <c r="M310" s="330" t="s">
        <v>3244</v>
      </c>
      <c r="N310" s="330" t="s">
        <v>12</v>
      </c>
      <c r="O310" s="395"/>
      <c r="P310" s="333">
        <v>13544571</v>
      </c>
      <c r="Q310" s="330" t="s">
        <v>1660</v>
      </c>
      <c r="R310" s="562">
        <v>0</v>
      </c>
      <c r="S310" s="333">
        <v>0</v>
      </c>
      <c r="T310" s="333">
        <v>-1120734</v>
      </c>
      <c r="U310" s="333">
        <f t="shared" si="43"/>
        <v>-1120734</v>
      </c>
      <c r="V310" s="333">
        <v>0</v>
      </c>
      <c r="W310" s="333">
        <v>0</v>
      </c>
      <c r="X310" s="333">
        <v>0</v>
      </c>
      <c r="Y310" s="333">
        <v>0</v>
      </c>
      <c r="Z310" s="333">
        <v>0</v>
      </c>
      <c r="AA310" s="333">
        <v>0</v>
      </c>
      <c r="AB310" s="333">
        <v>0</v>
      </c>
      <c r="AC310" s="333">
        <v>-12803.71</v>
      </c>
      <c r="AD310" s="333">
        <v>0</v>
      </c>
      <c r="AE310" s="333"/>
      <c r="AF310" s="333"/>
      <c r="AG310" s="333">
        <f t="shared" si="44"/>
        <v>-1133537.71</v>
      </c>
      <c r="AH310" s="330"/>
      <c r="AI310" s="330">
        <v>12804</v>
      </c>
      <c r="AJ310" s="396">
        <f t="shared" si="45"/>
        <v>-1133537.71</v>
      </c>
      <c r="AK310" s="563"/>
      <c r="AL310" s="285">
        <f>+AC310+AI310</f>
        <v>0.29000000000087311</v>
      </c>
      <c r="AM310" s="286"/>
      <c r="AO310" s="330" t="s">
        <v>3242</v>
      </c>
    </row>
    <row r="311" spans="1:41">
      <c r="A311" s="587">
        <f t="shared" si="46"/>
        <v>308</v>
      </c>
      <c r="B311" s="330" t="s">
        <v>1643</v>
      </c>
      <c r="C311" s="330" t="s">
        <v>3245</v>
      </c>
      <c r="D311" s="330" t="s">
        <v>1704</v>
      </c>
      <c r="E311" s="330" t="s">
        <v>2132</v>
      </c>
      <c r="F311" s="330" t="s">
        <v>1647</v>
      </c>
      <c r="G311" s="562">
        <v>1012</v>
      </c>
      <c r="H311" s="562">
        <v>653.59</v>
      </c>
      <c r="I311" s="562">
        <v>723.02</v>
      </c>
      <c r="J311" s="561" t="s">
        <v>1648</v>
      </c>
      <c r="K311" s="330" t="s">
        <v>3246</v>
      </c>
      <c r="L311" s="330" t="s">
        <v>3247</v>
      </c>
      <c r="M311" s="330" t="s">
        <v>3248</v>
      </c>
      <c r="N311" s="330" t="s">
        <v>3249</v>
      </c>
      <c r="O311" s="395">
        <v>45440</v>
      </c>
      <c r="P311" s="333">
        <v>5687428</v>
      </c>
      <c r="Q311" s="330" t="s">
        <v>1653</v>
      </c>
      <c r="R311" s="562">
        <v>0</v>
      </c>
      <c r="S311" s="333">
        <v>0</v>
      </c>
      <c r="T311" s="333">
        <v>-1763101.8600000006</v>
      </c>
      <c r="U311" s="333">
        <f t="shared" si="43"/>
        <v>-1763101.8600000006</v>
      </c>
      <c r="V311" s="333">
        <v>0</v>
      </c>
      <c r="W311" s="333">
        <v>0</v>
      </c>
      <c r="X311" s="333">
        <v>0</v>
      </c>
      <c r="Y311" s="333">
        <v>0</v>
      </c>
      <c r="Z311" s="333">
        <v>0</v>
      </c>
      <c r="AA311" s="333">
        <v>0</v>
      </c>
      <c r="AB311" s="333">
        <v>0</v>
      </c>
      <c r="AC311" s="333">
        <v>0</v>
      </c>
      <c r="AD311" s="333">
        <v>0</v>
      </c>
      <c r="AE311" s="333"/>
      <c r="AF311" s="333"/>
      <c r="AG311" s="333">
        <f t="shared" si="44"/>
        <v>-1763101.8600000006</v>
      </c>
      <c r="AH311" s="330"/>
      <c r="AI311" s="330">
        <v>0</v>
      </c>
      <c r="AJ311" s="396">
        <f t="shared" si="45"/>
        <v>-1763101.8600000006</v>
      </c>
      <c r="AK311" s="563"/>
      <c r="AL311" s="285">
        <f t="shared" si="49"/>
        <v>0</v>
      </c>
      <c r="AM311" s="286"/>
      <c r="AO311" s="330" t="s">
        <v>3246</v>
      </c>
    </row>
    <row r="312" spans="1:41">
      <c r="A312" s="587">
        <f t="shared" si="46"/>
        <v>309</v>
      </c>
      <c r="B312" s="330" t="s">
        <v>1643</v>
      </c>
      <c r="C312" s="330" t="s">
        <v>3250</v>
      </c>
      <c r="D312" s="330" t="s">
        <v>1746</v>
      </c>
      <c r="E312" s="330" t="s">
        <v>2572</v>
      </c>
      <c r="F312" s="330" t="s">
        <v>1647</v>
      </c>
      <c r="G312" s="562">
        <v>1012</v>
      </c>
      <c r="H312" s="562">
        <v>653.59</v>
      </c>
      <c r="I312" s="562">
        <v>723.02</v>
      </c>
      <c r="J312" s="561" t="s">
        <v>1810</v>
      </c>
      <c r="K312" s="330" t="s">
        <v>3251</v>
      </c>
      <c r="L312" s="330" t="s">
        <v>3252</v>
      </c>
      <c r="M312" s="330" t="s">
        <v>3253</v>
      </c>
      <c r="N312" s="330" t="s">
        <v>3254</v>
      </c>
      <c r="O312" s="395">
        <v>45506</v>
      </c>
      <c r="P312" s="333">
        <v>5648216</v>
      </c>
      <c r="Q312" s="330" t="s">
        <v>1660</v>
      </c>
      <c r="R312" s="562">
        <v>0</v>
      </c>
      <c r="S312" s="333">
        <v>0</v>
      </c>
      <c r="T312" s="333">
        <v>-375059</v>
      </c>
      <c r="U312" s="333">
        <f t="shared" si="43"/>
        <v>-375059</v>
      </c>
      <c r="V312" s="333">
        <v>276535</v>
      </c>
      <c r="W312" s="333">
        <v>0</v>
      </c>
      <c r="X312" s="333">
        <v>0</v>
      </c>
      <c r="Y312" s="333">
        <v>0</v>
      </c>
      <c r="Z312" s="333">
        <v>0</v>
      </c>
      <c r="AA312" s="333">
        <v>0</v>
      </c>
      <c r="AB312" s="333">
        <v>0</v>
      </c>
      <c r="AC312" s="333">
        <v>-1476</v>
      </c>
      <c r="AD312" s="333">
        <v>0</v>
      </c>
      <c r="AE312" s="333"/>
      <c r="AF312" s="333"/>
      <c r="AG312" s="333">
        <f t="shared" si="44"/>
        <v>-100000</v>
      </c>
      <c r="AH312" s="330"/>
      <c r="AI312" s="330">
        <v>1476</v>
      </c>
      <c r="AJ312" s="396">
        <f t="shared" si="45"/>
        <v>-100000</v>
      </c>
      <c r="AK312" s="563"/>
      <c r="AL312" s="285">
        <f>+AC312+AI312</f>
        <v>0</v>
      </c>
      <c r="AM312" s="286"/>
      <c r="AO312" s="330" t="s">
        <v>3251</v>
      </c>
    </row>
    <row r="313" spans="1:41">
      <c r="A313" s="587">
        <f t="shared" si="46"/>
        <v>310</v>
      </c>
      <c r="B313" s="330" t="s">
        <v>1643</v>
      </c>
      <c r="C313" s="330" t="s">
        <v>3255</v>
      </c>
      <c r="D313" s="330" t="s">
        <v>1746</v>
      </c>
      <c r="E313" s="330" t="s">
        <v>3256</v>
      </c>
      <c r="F313" s="330" t="s">
        <v>1671</v>
      </c>
      <c r="G313" s="562">
        <v>1498</v>
      </c>
      <c r="H313" s="562">
        <v>954.87</v>
      </c>
      <c r="I313" s="562">
        <v>1069.73</v>
      </c>
      <c r="J313" s="561" t="s">
        <v>1679</v>
      </c>
      <c r="K313" s="330" t="s">
        <v>3257</v>
      </c>
      <c r="L313" s="330" t="s">
        <v>3258</v>
      </c>
      <c r="M313" s="330" t="s">
        <v>3259</v>
      </c>
      <c r="N313" s="330" t="s">
        <v>12</v>
      </c>
      <c r="O313" s="395"/>
      <c r="P313" s="333">
        <v>10260000</v>
      </c>
      <c r="Q313" s="330" t="s">
        <v>1660</v>
      </c>
      <c r="R313" s="562">
        <v>0</v>
      </c>
      <c r="S313" s="333">
        <v>0</v>
      </c>
      <c r="T313" s="333">
        <v>-95000</v>
      </c>
      <c r="U313" s="333">
        <f t="shared" si="43"/>
        <v>-95000</v>
      </c>
      <c r="V313" s="333">
        <v>0</v>
      </c>
      <c r="W313" s="333">
        <v>0</v>
      </c>
      <c r="X313" s="333">
        <v>0</v>
      </c>
      <c r="Y313" s="333">
        <v>0</v>
      </c>
      <c r="Z313" s="333">
        <v>0</v>
      </c>
      <c r="AA313" s="333">
        <v>0</v>
      </c>
      <c r="AB313" s="333">
        <v>0</v>
      </c>
      <c r="AC313" s="333">
        <v>0</v>
      </c>
      <c r="AD313" s="333">
        <v>0</v>
      </c>
      <c r="AE313" s="333"/>
      <c r="AF313" s="333"/>
      <c r="AG313" s="333">
        <f t="shared" si="44"/>
        <v>-95000</v>
      </c>
      <c r="AH313" s="330"/>
      <c r="AI313" s="330">
        <v>0</v>
      </c>
      <c r="AJ313" s="396">
        <f t="shared" si="45"/>
        <v>-95000</v>
      </c>
      <c r="AK313" s="563"/>
      <c r="AL313" s="285">
        <f t="shared" si="49"/>
        <v>0</v>
      </c>
      <c r="AM313" s="286"/>
      <c r="AO313" s="330" t="s">
        <v>3257</v>
      </c>
    </row>
    <row r="314" spans="1:41">
      <c r="A314" s="587">
        <f t="shared" si="46"/>
        <v>311</v>
      </c>
      <c r="B314" s="330" t="s">
        <v>1643</v>
      </c>
      <c r="C314" s="330" t="s">
        <v>3260</v>
      </c>
      <c r="D314" s="330" t="s">
        <v>1746</v>
      </c>
      <c r="E314" s="330" t="s">
        <v>1852</v>
      </c>
      <c r="F314" s="330" t="s">
        <v>1647</v>
      </c>
      <c r="G314" s="562">
        <v>1012</v>
      </c>
      <c r="H314" s="562">
        <v>653.59</v>
      </c>
      <c r="I314" s="562">
        <v>723.02</v>
      </c>
      <c r="J314" s="561" t="s">
        <v>1648</v>
      </c>
      <c r="K314" s="330" t="s">
        <v>3261</v>
      </c>
      <c r="L314" s="330" t="s">
        <v>3262</v>
      </c>
      <c r="M314" s="330" t="s">
        <v>3263</v>
      </c>
      <c r="N314" s="330" t="s">
        <v>3264</v>
      </c>
      <c r="O314" s="395">
        <v>45442</v>
      </c>
      <c r="P314" s="333">
        <v>5648216</v>
      </c>
      <c r="Q314" s="330" t="s">
        <v>1653</v>
      </c>
      <c r="R314" s="562">
        <v>0</v>
      </c>
      <c r="S314" s="333">
        <v>0</v>
      </c>
      <c r="T314" s="333">
        <v>-1686322.9200000004</v>
      </c>
      <c r="U314" s="333">
        <f t="shared" si="43"/>
        <v>-1686322.9200000004</v>
      </c>
      <c r="V314" s="333">
        <v>0</v>
      </c>
      <c r="W314" s="333">
        <v>0</v>
      </c>
      <c r="X314" s="333">
        <v>0</v>
      </c>
      <c r="Y314" s="333">
        <v>0</v>
      </c>
      <c r="Z314" s="333">
        <v>0</v>
      </c>
      <c r="AA314" s="333">
        <v>0</v>
      </c>
      <c r="AB314" s="333">
        <v>0</v>
      </c>
      <c r="AC314" s="333">
        <v>-7142.859999999986</v>
      </c>
      <c r="AD314" s="333">
        <v>0</v>
      </c>
      <c r="AE314" s="333"/>
      <c r="AF314" s="333"/>
      <c r="AG314" s="333">
        <f t="shared" si="44"/>
        <v>-1693465.7800000003</v>
      </c>
      <c r="AH314" s="330"/>
      <c r="AI314" s="330">
        <v>7142.86</v>
      </c>
      <c r="AJ314" s="396">
        <f t="shared" si="45"/>
        <v>-1693465.7800000003</v>
      </c>
      <c r="AK314" s="563"/>
      <c r="AL314" s="285">
        <f>+AC314+AI314</f>
        <v>1.3642420526593924E-11</v>
      </c>
      <c r="AM314" s="286"/>
      <c r="AO314" s="330" t="s">
        <v>3261</v>
      </c>
    </row>
    <row r="315" spans="1:41">
      <c r="A315" s="587">
        <f t="shared" si="46"/>
        <v>312</v>
      </c>
      <c r="B315" s="330" t="s">
        <v>1643</v>
      </c>
      <c r="C315" s="330" t="s">
        <v>1727</v>
      </c>
      <c r="D315" s="330" t="s">
        <v>1662</v>
      </c>
      <c r="E315" s="330" t="s">
        <v>1728</v>
      </c>
      <c r="F315" s="330" t="s">
        <v>1647</v>
      </c>
      <c r="G315" s="562">
        <v>1012</v>
      </c>
      <c r="H315" s="562">
        <v>653.59</v>
      </c>
      <c r="I315" s="562">
        <v>723.02</v>
      </c>
      <c r="J315" s="561" t="s">
        <v>1810</v>
      </c>
      <c r="K315" s="330" t="s">
        <v>3265</v>
      </c>
      <c r="L315" s="330" t="s">
        <v>3266</v>
      </c>
      <c r="M315" s="330" t="s">
        <v>3267</v>
      </c>
      <c r="N315" s="330" t="s">
        <v>12</v>
      </c>
      <c r="O315" s="395"/>
      <c r="P315" s="333">
        <v>6187333</v>
      </c>
      <c r="Q315" s="330" t="s">
        <v>1660</v>
      </c>
      <c r="R315" s="562">
        <v>0</v>
      </c>
      <c r="S315" s="333">
        <v>0</v>
      </c>
      <c r="T315" s="333">
        <v>0</v>
      </c>
      <c r="U315" s="333">
        <f t="shared" si="43"/>
        <v>0</v>
      </c>
      <c r="V315" s="333">
        <v>0</v>
      </c>
      <c r="W315" s="333">
        <v>0</v>
      </c>
      <c r="X315" s="333">
        <v>0</v>
      </c>
      <c r="Y315" s="333">
        <v>0</v>
      </c>
      <c r="Z315" s="333">
        <v>0</v>
      </c>
      <c r="AA315" s="333">
        <v>0</v>
      </c>
      <c r="AB315" s="333">
        <v>0</v>
      </c>
      <c r="AC315" s="333">
        <v>0</v>
      </c>
      <c r="AD315" s="333">
        <v>0</v>
      </c>
      <c r="AE315" s="333"/>
      <c r="AF315" s="333"/>
      <c r="AG315" s="333">
        <f t="shared" si="44"/>
        <v>0</v>
      </c>
      <c r="AH315" s="330"/>
      <c r="AI315" s="330">
        <v>0</v>
      </c>
      <c r="AJ315" s="396">
        <f t="shared" si="45"/>
        <v>0</v>
      </c>
      <c r="AK315" s="563"/>
      <c r="AL315" s="285">
        <f t="shared" si="49"/>
        <v>0</v>
      </c>
      <c r="AM315" s="286"/>
      <c r="AO315" s="330" t="s">
        <v>3265</v>
      </c>
    </row>
    <row r="316" spans="1:41">
      <c r="A316" s="587">
        <f t="shared" si="46"/>
        <v>313</v>
      </c>
      <c r="B316" s="330" t="s">
        <v>1643</v>
      </c>
      <c r="C316" s="330" t="s">
        <v>3268</v>
      </c>
      <c r="D316" s="330" t="s">
        <v>1746</v>
      </c>
      <c r="E316" s="330" t="s">
        <v>2299</v>
      </c>
      <c r="F316" s="330" t="s">
        <v>1671</v>
      </c>
      <c r="G316" s="562">
        <v>1498</v>
      </c>
      <c r="H316" s="562">
        <v>954.87</v>
      </c>
      <c r="I316" s="562">
        <v>1069.73</v>
      </c>
      <c r="J316" s="561" t="s">
        <v>1648</v>
      </c>
      <c r="K316" s="330" t="s">
        <v>3269</v>
      </c>
      <c r="L316" s="330" t="s">
        <v>3270</v>
      </c>
      <c r="M316" s="330" t="s">
        <v>3271</v>
      </c>
      <c r="N316" s="330" t="s">
        <v>3272</v>
      </c>
      <c r="O316" s="395">
        <v>45454</v>
      </c>
      <c r="P316" s="333">
        <v>8544571</v>
      </c>
      <c r="Q316" s="330" t="s">
        <v>1653</v>
      </c>
      <c r="R316" s="562">
        <v>0</v>
      </c>
      <c r="S316" s="333">
        <v>0</v>
      </c>
      <c r="T316" s="333">
        <v>-2563372.129999999</v>
      </c>
      <c r="U316" s="333">
        <f t="shared" si="43"/>
        <v>-2563372.129999999</v>
      </c>
      <c r="V316" s="333">
        <v>0</v>
      </c>
      <c r="W316" s="333">
        <v>0</v>
      </c>
      <c r="X316" s="333">
        <v>0</v>
      </c>
      <c r="Y316" s="333">
        <v>0</v>
      </c>
      <c r="Z316" s="333">
        <v>0</v>
      </c>
      <c r="AA316" s="333">
        <v>0</v>
      </c>
      <c r="AB316" s="333">
        <v>0</v>
      </c>
      <c r="AC316" s="333">
        <v>0</v>
      </c>
      <c r="AD316" s="333">
        <v>0</v>
      </c>
      <c r="AE316" s="333"/>
      <c r="AF316" s="333"/>
      <c r="AG316" s="333">
        <f t="shared" si="44"/>
        <v>-2563372.129999999</v>
      </c>
      <c r="AH316" s="330"/>
      <c r="AI316" s="330">
        <v>0</v>
      </c>
      <c r="AJ316" s="396">
        <f t="shared" si="45"/>
        <v>-2563372.129999999</v>
      </c>
      <c r="AK316" s="563"/>
      <c r="AL316" s="285">
        <f t="shared" si="49"/>
        <v>0</v>
      </c>
      <c r="AM316" s="286"/>
      <c r="AO316" s="330" t="s">
        <v>3269</v>
      </c>
    </row>
    <row r="317" spans="1:41">
      <c r="A317" s="587">
        <f t="shared" si="46"/>
        <v>314</v>
      </c>
      <c r="B317" s="330" t="s">
        <v>1643</v>
      </c>
      <c r="C317" s="330" t="s">
        <v>3273</v>
      </c>
      <c r="D317" s="330" t="s">
        <v>1746</v>
      </c>
      <c r="E317" s="330" t="s">
        <v>3070</v>
      </c>
      <c r="F317" s="330" t="s">
        <v>1671</v>
      </c>
      <c r="G317" s="562">
        <v>1375</v>
      </c>
      <c r="H317" s="562">
        <v>876.73</v>
      </c>
      <c r="I317" s="562">
        <v>982.22</v>
      </c>
      <c r="J317" s="561" t="s">
        <v>1648</v>
      </c>
      <c r="K317" s="330" t="s">
        <v>3274</v>
      </c>
      <c r="L317" s="330" t="s">
        <v>3275</v>
      </c>
      <c r="M317" s="330" t="s">
        <v>3276</v>
      </c>
      <c r="N317" s="330" t="s">
        <v>3277</v>
      </c>
      <c r="O317" s="395">
        <v>45560</v>
      </c>
      <c r="P317" s="333">
        <v>8053524</v>
      </c>
      <c r="Q317" s="330" t="s">
        <v>1653</v>
      </c>
      <c r="R317" s="562">
        <v>0</v>
      </c>
      <c r="S317" s="333">
        <v>0</v>
      </c>
      <c r="T317" s="333">
        <v>-2494520.919999999</v>
      </c>
      <c r="U317" s="333">
        <f t="shared" si="43"/>
        <v>-2494520.919999999</v>
      </c>
      <c r="V317" s="333">
        <v>0</v>
      </c>
      <c r="W317" s="333">
        <v>0</v>
      </c>
      <c r="X317" s="333">
        <v>0</v>
      </c>
      <c r="Y317" s="333">
        <v>0</v>
      </c>
      <c r="Z317" s="333">
        <v>0</v>
      </c>
      <c r="AA317" s="333">
        <v>0</v>
      </c>
      <c r="AB317" s="333">
        <v>0</v>
      </c>
      <c r="AC317" s="333">
        <v>0</v>
      </c>
      <c r="AD317" s="333">
        <v>0</v>
      </c>
      <c r="AE317" s="333"/>
      <c r="AF317" s="333"/>
      <c r="AG317" s="333">
        <f t="shared" si="44"/>
        <v>-2494520.919999999</v>
      </c>
      <c r="AH317" s="330"/>
      <c r="AI317" s="330">
        <v>0</v>
      </c>
      <c r="AJ317" s="396">
        <f t="shared" si="45"/>
        <v>-2494520.919999999</v>
      </c>
      <c r="AK317" s="563"/>
      <c r="AL317" s="285">
        <f t="shared" si="49"/>
        <v>0</v>
      </c>
      <c r="AM317" s="286"/>
      <c r="AO317" s="330" t="s">
        <v>3274</v>
      </c>
    </row>
    <row r="318" spans="1:41">
      <c r="A318" s="587">
        <f t="shared" si="46"/>
        <v>315</v>
      </c>
      <c r="B318" s="330" t="s">
        <v>1643</v>
      </c>
      <c r="C318" s="330" t="s">
        <v>3278</v>
      </c>
      <c r="D318" s="330" t="s">
        <v>1746</v>
      </c>
      <c r="E318" s="330" t="s">
        <v>2227</v>
      </c>
      <c r="F318" s="330" t="s">
        <v>1647</v>
      </c>
      <c r="G318" s="562">
        <v>1012</v>
      </c>
      <c r="H318" s="562">
        <v>653.59</v>
      </c>
      <c r="I318" s="562">
        <v>723.02</v>
      </c>
      <c r="J318" s="561" t="s">
        <v>1648</v>
      </c>
      <c r="K318" s="330" t="s">
        <v>3279</v>
      </c>
      <c r="L318" s="330" t="s">
        <v>3280</v>
      </c>
      <c r="M318" s="330" t="s">
        <v>3281</v>
      </c>
      <c r="N318" s="330" t="s">
        <v>3282</v>
      </c>
      <c r="O318" s="395">
        <v>45433</v>
      </c>
      <c r="P318" s="333">
        <v>5729194</v>
      </c>
      <c r="Q318" s="330" t="s">
        <v>1653</v>
      </c>
      <c r="R318" s="562">
        <v>0</v>
      </c>
      <c r="S318" s="333">
        <v>0</v>
      </c>
      <c r="T318" s="333">
        <v>-1620989.08</v>
      </c>
      <c r="U318" s="333">
        <f t="shared" si="43"/>
        <v>-1620989.08</v>
      </c>
      <c r="V318" s="333">
        <v>-147918</v>
      </c>
      <c r="W318" s="333">
        <v>0</v>
      </c>
      <c r="X318" s="333">
        <v>0</v>
      </c>
      <c r="Y318" s="333">
        <v>0</v>
      </c>
      <c r="Z318" s="333">
        <v>0</v>
      </c>
      <c r="AA318" s="333">
        <v>0</v>
      </c>
      <c r="AB318" s="333">
        <v>0</v>
      </c>
      <c r="AC318" s="333">
        <v>-7142</v>
      </c>
      <c r="AD318" s="333">
        <v>0</v>
      </c>
      <c r="AE318" s="333"/>
      <c r="AF318" s="333"/>
      <c r="AG318" s="333">
        <f t="shared" si="44"/>
        <v>-1776049.08</v>
      </c>
      <c r="AH318" s="330"/>
      <c r="AI318" s="330">
        <v>7142</v>
      </c>
      <c r="AJ318" s="396">
        <f t="shared" si="45"/>
        <v>-1776049.08</v>
      </c>
      <c r="AK318" s="563"/>
      <c r="AL318" s="285">
        <f>+AC318+AI318</f>
        <v>0</v>
      </c>
      <c r="AM318" s="286"/>
      <c r="AO318" s="330" t="s">
        <v>3279</v>
      </c>
    </row>
    <row r="319" spans="1:41">
      <c r="A319" s="587">
        <f t="shared" si="46"/>
        <v>316</v>
      </c>
      <c r="B319" s="330" t="s">
        <v>1643</v>
      </c>
      <c r="C319" s="330" t="s">
        <v>3283</v>
      </c>
      <c r="D319" s="330" t="s">
        <v>1645</v>
      </c>
      <c r="E319" s="330" t="s">
        <v>2547</v>
      </c>
      <c r="F319" s="330" t="s">
        <v>1671</v>
      </c>
      <c r="G319" s="562">
        <v>1375</v>
      </c>
      <c r="H319" s="562">
        <v>876.73</v>
      </c>
      <c r="I319" s="562">
        <v>982.22</v>
      </c>
      <c r="J319" s="561" t="s">
        <v>1679</v>
      </c>
      <c r="K319" s="330" t="s">
        <v>3284</v>
      </c>
      <c r="L319" s="330" t="s">
        <v>3285</v>
      </c>
      <c r="M319" s="330" t="s">
        <v>3286</v>
      </c>
      <c r="N319" s="330" t="s">
        <v>2066</v>
      </c>
      <c r="O319" s="395"/>
      <c r="P319" s="333">
        <v>7803698</v>
      </c>
      <c r="Q319" s="330" t="s">
        <v>1660</v>
      </c>
      <c r="R319" s="562">
        <v>0</v>
      </c>
      <c r="S319" s="333">
        <v>0</v>
      </c>
      <c r="T319" s="333">
        <v>-402558</v>
      </c>
      <c r="U319" s="333">
        <f t="shared" si="43"/>
        <v>-402558</v>
      </c>
      <c r="V319" s="333">
        <v>259700</v>
      </c>
      <c r="W319" s="333">
        <v>0</v>
      </c>
      <c r="X319" s="333">
        <v>0</v>
      </c>
      <c r="Y319" s="333">
        <v>0</v>
      </c>
      <c r="Z319" s="333">
        <v>0</v>
      </c>
      <c r="AA319" s="333">
        <v>0</v>
      </c>
      <c r="AB319" s="333">
        <v>0</v>
      </c>
      <c r="AC319" s="333">
        <v>0</v>
      </c>
      <c r="AD319" s="333">
        <v>0</v>
      </c>
      <c r="AE319" s="333"/>
      <c r="AF319" s="333"/>
      <c r="AG319" s="333">
        <f t="shared" si="44"/>
        <v>-142858</v>
      </c>
      <c r="AH319" s="330"/>
      <c r="AI319" s="330">
        <v>0</v>
      </c>
      <c r="AJ319" s="396">
        <f t="shared" si="45"/>
        <v>-142858</v>
      </c>
      <c r="AK319" s="563"/>
      <c r="AL319" s="285">
        <f t="shared" si="49"/>
        <v>0</v>
      </c>
      <c r="AM319" s="286"/>
      <c r="AO319" s="330" t="s">
        <v>3284</v>
      </c>
    </row>
    <row r="320" spans="1:41">
      <c r="A320" s="587">
        <f t="shared" si="46"/>
        <v>317</v>
      </c>
      <c r="B320" s="330" t="s">
        <v>1643</v>
      </c>
      <c r="C320" s="330" t="s">
        <v>3287</v>
      </c>
      <c r="D320" s="330" t="s">
        <v>1645</v>
      </c>
      <c r="E320" s="330" t="s">
        <v>3064</v>
      </c>
      <c r="F320" s="330" t="s">
        <v>1671</v>
      </c>
      <c r="G320" s="562">
        <v>1375</v>
      </c>
      <c r="H320" s="562">
        <v>876.73</v>
      </c>
      <c r="I320" s="562">
        <v>982.22</v>
      </c>
      <c r="J320" s="561" t="s">
        <v>1648</v>
      </c>
      <c r="K320" s="330" t="s">
        <v>3288</v>
      </c>
      <c r="L320" s="330" t="s">
        <v>3289</v>
      </c>
      <c r="M320" s="330" t="s">
        <v>3290</v>
      </c>
      <c r="N320" s="330" t="s">
        <v>3291</v>
      </c>
      <c r="O320" s="395">
        <v>45506</v>
      </c>
      <c r="P320" s="333">
        <v>7874952</v>
      </c>
      <c r="Q320" s="330" t="s">
        <v>1653</v>
      </c>
      <c r="R320" s="562">
        <v>0</v>
      </c>
      <c r="S320" s="333">
        <v>0</v>
      </c>
      <c r="T320" s="333">
        <v>-2362484.7199999988</v>
      </c>
      <c r="U320" s="333">
        <f t="shared" si="43"/>
        <v>-2362484.7199999988</v>
      </c>
      <c r="V320" s="333">
        <v>0</v>
      </c>
      <c r="W320" s="333">
        <v>0</v>
      </c>
      <c r="X320" s="333">
        <v>0</v>
      </c>
      <c r="Y320" s="333">
        <v>0</v>
      </c>
      <c r="Z320" s="333">
        <v>0</v>
      </c>
      <c r="AA320" s="333">
        <v>0</v>
      </c>
      <c r="AB320" s="333">
        <v>0</v>
      </c>
      <c r="AC320" s="333">
        <v>0</v>
      </c>
      <c r="AD320" s="333">
        <v>0</v>
      </c>
      <c r="AE320" s="333"/>
      <c r="AF320" s="333"/>
      <c r="AG320" s="333">
        <f t="shared" si="44"/>
        <v>-2362484.7199999988</v>
      </c>
      <c r="AH320" s="330"/>
      <c r="AI320" s="330">
        <v>0</v>
      </c>
      <c r="AJ320" s="396">
        <f t="shared" si="45"/>
        <v>-2362484.7199999988</v>
      </c>
      <c r="AK320" s="563"/>
      <c r="AL320" s="285">
        <f t="shared" si="49"/>
        <v>0</v>
      </c>
      <c r="AM320" s="286"/>
      <c r="AO320" s="330" t="s">
        <v>3288</v>
      </c>
    </row>
    <row r="321" spans="1:41">
      <c r="A321" s="587">
        <f t="shared" si="46"/>
        <v>318</v>
      </c>
      <c r="B321" s="330" t="s">
        <v>1643</v>
      </c>
      <c r="C321" s="330" t="s">
        <v>3292</v>
      </c>
      <c r="D321" s="330" t="s">
        <v>1645</v>
      </c>
      <c r="E321" s="330" t="s">
        <v>1947</v>
      </c>
      <c r="F321" s="330" t="s">
        <v>1647</v>
      </c>
      <c r="G321" s="562">
        <v>1012</v>
      </c>
      <c r="H321" s="562">
        <v>653.59</v>
      </c>
      <c r="I321" s="562">
        <v>723.02</v>
      </c>
      <c r="J321" s="561" t="s">
        <v>1648</v>
      </c>
      <c r="K321" s="330" t="s">
        <v>3293</v>
      </c>
      <c r="L321" s="330" t="s">
        <v>3294</v>
      </c>
      <c r="M321" s="330" t="s">
        <v>3295</v>
      </c>
      <c r="N321" s="330" t="s">
        <v>3296</v>
      </c>
      <c r="O321" s="395">
        <v>45443</v>
      </c>
      <c r="P321" s="333">
        <v>5729194</v>
      </c>
      <c r="Q321" s="330" t="s">
        <v>1653</v>
      </c>
      <c r="R321" s="562">
        <v>0</v>
      </c>
      <c r="S321" s="333">
        <v>0</v>
      </c>
      <c r="T321" s="333">
        <v>-1704434.0200000005</v>
      </c>
      <c r="U321" s="333">
        <f t="shared" si="43"/>
        <v>-1704434.0200000005</v>
      </c>
      <c r="V321" s="333">
        <v>0</v>
      </c>
      <c r="W321" s="333">
        <v>0</v>
      </c>
      <c r="X321" s="333">
        <v>0</v>
      </c>
      <c r="Y321" s="333">
        <v>0</v>
      </c>
      <c r="Z321" s="333">
        <v>0</v>
      </c>
      <c r="AA321" s="333">
        <v>0</v>
      </c>
      <c r="AB321" s="333">
        <v>0</v>
      </c>
      <c r="AC321" s="333">
        <v>-14322</v>
      </c>
      <c r="AD321" s="333">
        <v>0</v>
      </c>
      <c r="AE321" s="333"/>
      <c r="AF321" s="333"/>
      <c r="AG321" s="333">
        <f t="shared" si="44"/>
        <v>-1718756.0200000005</v>
      </c>
      <c r="AH321" s="330"/>
      <c r="AI321" s="330">
        <v>14322</v>
      </c>
      <c r="AJ321" s="396">
        <f t="shared" si="45"/>
        <v>-1718756.0200000005</v>
      </c>
      <c r="AK321" s="563"/>
      <c r="AL321" s="285">
        <f>+AC321+AI321</f>
        <v>0</v>
      </c>
      <c r="AM321" s="286"/>
      <c r="AO321" s="330" t="s">
        <v>3293</v>
      </c>
    </row>
    <row r="322" spans="1:41">
      <c r="A322" s="587">
        <f t="shared" si="46"/>
        <v>319</v>
      </c>
      <c r="B322" s="330" t="s">
        <v>1643</v>
      </c>
      <c r="C322" s="330" t="s">
        <v>3297</v>
      </c>
      <c r="D322" s="330" t="s">
        <v>1704</v>
      </c>
      <c r="E322" s="330" t="s">
        <v>2981</v>
      </c>
      <c r="F322" s="330" t="s">
        <v>1647</v>
      </c>
      <c r="G322" s="562">
        <v>1114</v>
      </c>
      <c r="H322" s="562">
        <v>683.3</v>
      </c>
      <c r="I322" s="562">
        <v>795.57</v>
      </c>
      <c r="J322" s="561" t="s">
        <v>1648</v>
      </c>
      <c r="K322" s="330" t="s">
        <v>3298</v>
      </c>
      <c r="L322" s="330" t="s">
        <v>3299</v>
      </c>
      <c r="M322" s="330" t="s">
        <v>3300</v>
      </c>
      <c r="N322" s="330" t="s">
        <v>3301</v>
      </c>
      <c r="O322" s="395">
        <v>45455</v>
      </c>
      <c r="P322" s="333">
        <v>6401714</v>
      </c>
      <c r="Q322" s="330" t="s">
        <v>1653</v>
      </c>
      <c r="R322" s="562">
        <v>0</v>
      </c>
      <c r="S322" s="333">
        <v>0</v>
      </c>
      <c r="T322" s="333">
        <v>-1920514.2799999996</v>
      </c>
      <c r="U322" s="333">
        <f t="shared" si="43"/>
        <v>-1920514.2799999996</v>
      </c>
      <c r="V322" s="333">
        <v>0</v>
      </c>
      <c r="W322" s="333">
        <v>0</v>
      </c>
      <c r="X322" s="333">
        <v>0</v>
      </c>
      <c r="Y322" s="333">
        <v>0</v>
      </c>
      <c r="Z322" s="333">
        <v>0</v>
      </c>
      <c r="AA322" s="333">
        <v>0</v>
      </c>
      <c r="AB322" s="333">
        <v>0</v>
      </c>
      <c r="AC322" s="333">
        <v>0</v>
      </c>
      <c r="AD322" s="333">
        <v>0</v>
      </c>
      <c r="AE322" s="333"/>
      <c r="AF322" s="333"/>
      <c r="AG322" s="333">
        <f t="shared" si="44"/>
        <v>-1920514.2799999996</v>
      </c>
      <c r="AH322" s="330"/>
      <c r="AI322" s="330">
        <v>0</v>
      </c>
      <c r="AJ322" s="396">
        <f t="shared" si="45"/>
        <v>-1920514.2799999996</v>
      </c>
      <c r="AK322" s="563"/>
      <c r="AL322" s="285">
        <f t="shared" si="49"/>
        <v>0</v>
      </c>
      <c r="AM322" s="286"/>
      <c r="AO322" s="330" t="s">
        <v>3298</v>
      </c>
    </row>
    <row r="323" spans="1:41">
      <c r="A323" s="587">
        <f t="shared" si="46"/>
        <v>320</v>
      </c>
      <c r="B323" s="330" t="s">
        <v>1643</v>
      </c>
      <c r="C323" s="330" t="s">
        <v>3302</v>
      </c>
      <c r="D323" s="330" t="s">
        <v>1645</v>
      </c>
      <c r="E323" s="330" t="s">
        <v>2206</v>
      </c>
      <c r="F323" s="330" t="s">
        <v>1647</v>
      </c>
      <c r="G323" s="562">
        <v>1114</v>
      </c>
      <c r="H323" s="562">
        <v>683.3</v>
      </c>
      <c r="I323" s="562">
        <v>795.57</v>
      </c>
      <c r="J323" s="561" t="s">
        <v>1648</v>
      </c>
      <c r="K323" s="330" t="s">
        <v>3303</v>
      </c>
      <c r="L323" s="330" t="s">
        <v>3304</v>
      </c>
      <c r="M323" s="330" t="s">
        <v>3305</v>
      </c>
      <c r="N323" s="330" t="s">
        <v>3306</v>
      </c>
      <c r="O323" s="395">
        <v>45433</v>
      </c>
      <c r="P323" s="333">
        <v>6287368</v>
      </c>
      <c r="Q323" s="330" t="s">
        <v>1653</v>
      </c>
      <c r="R323" s="562">
        <v>0</v>
      </c>
      <c r="S323" s="333">
        <v>0</v>
      </c>
      <c r="T323" s="333">
        <v>-1799084.1599999992</v>
      </c>
      <c r="U323" s="333">
        <f t="shared" si="43"/>
        <v>-1799084.1599999992</v>
      </c>
      <c r="V323" s="333">
        <v>0</v>
      </c>
      <c r="W323" s="333">
        <v>0</v>
      </c>
      <c r="X323" s="333">
        <v>0</v>
      </c>
      <c r="Y323" s="333">
        <v>0</v>
      </c>
      <c r="Z323" s="333">
        <v>0</v>
      </c>
      <c r="AA323" s="333">
        <v>0</v>
      </c>
      <c r="AB323" s="333">
        <v>0</v>
      </c>
      <c r="AC323" s="333">
        <v>0</v>
      </c>
      <c r="AD323" s="333">
        <v>0</v>
      </c>
      <c r="AE323" s="333"/>
      <c r="AF323" s="333"/>
      <c r="AG323" s="333">
        <f t="shared" si="44"/>
        <v>-1799084.1599999992</v>
      </c>
      <c r="AH323" s="330"/>
      <c r="AI323" s="330">
        <v>0</v>
      </c>
      <c r="AJ323" s="396">
        <f t="shared" si="45"/>
        <v>-1799084.1599999992</v>
      </c>
      <c r="AK323" s="563"/>
      <c r="AL323" s="285">
        <f t="shared" si="49"/>
        <v>0</v>
      </c>
      <c r="AM323" s="286"/>
      <c r="AO323" s="330" t="s">
        <v>3303</v>
      </c>
    </row>
    <row r="324" spans="1:41">
      <c r="A324" s="587">
        <f t="shared" si="46"/>
        <v>321</v>
      </c>
      <c r="B324" s="330" t="s">
        <v>1643</v>
      </c>
      <c r="C324" s="330" t="s">
        <v>3307</v>
      </c>
      <c r="D324" s="330" t="s">
        <v>1746</v>
      </c>
      <c r="E324" s="330" t="s">
        <v>2132</v>
      </c>
      <c r="F324" s="330" t="s">
        <v>1647</v>
      </c>
      <c r="G324" s="562">
        <v>1012</v>
      </c>
      <c r="H324" s="562">
        <v>653.59</v>
      </c>
      <c r="I324" s="562">
        <v>723.02</v>
      </c>
      <c r="J324" s="561" t="s">
        <v>1648</v>
      </c>
      <c r="K324" s="330" t="s">
        <v>3308</v>
      </c>
      <c r="L324" s="330" t="s">
        <v>3309</v>
      </c>
      <c r="M324" s="330" t="s">
        <v>3310</v>
      </c>
      <c r="N324" s="330" t="s">
        <v>3311</v>
      </c>
      <c r="O324" s="395">
        <v>45433</v>
      </c>
      <c r="P324" s="333">
        <v>5683644</v>
      </c>
      <c r="Q324" s="330" t="s">
        <v>1653</v>
      </c>
      <c r="R324" s="562">
        <v>0</v>
      </c>
      <c r="S324" s="333">
        <v>0</v>
      </c>
      <c r="T324" s="333">
        <v>-1747645.3399999999</v>
      </c>
      <c r="U324" s="333">
        <f t="shared" ref="U324:U387" si="54">SUM(R324:T324)</f>
        <v>-1747645.3399999999</v>
      </c>
      <c r="V324" s="333">
        <v>0</v>
      </c>
      <c r="W324" s="333">
        <v>0</v>
      </c>
      <c r="X324" s="333">
        <v>0</v>
      </c>
      <c r="Y324" s="333">
        <v>0</v>
      </c>
      <c r="Z324" s="333">
        <v>0</v>
      </c>
      <c r="AA324" s="333">
        <v>0</v>
      </c>
      <c r="AB324" s="333">
        <v>0</v>
      </c>
      <c r="AC324" s="333">
        <v>-7143</v>
      </c>
      <c r="AD324" s="333">
        <v>0</v>
      </c>
      <c r="AE324" s="333"/>
      <c r="AF324" s="333"/>
      <c r="AG324" s="333">
        <f t="shared" ref="AG324:AG387" si="55">SUM(U324:AF324)</f>
        <v>-1754788.3399999999</v>
      </c>
      <c r="AH324" s="330"/>
      <c r="AI324" s="330">
        <v>7143</v>
      </c>
      <c r="AJ324" s="396">
        <f t="shared" si="45"/>
        <v>-1754788.3399999999</v>
      </c>
      <c r="AK324" s="563"/>
      <c r="AL324" s="285">
        <f t="shared" ref="AL324:AL325" si="56">+AC324+AI324</f>
        <v>0</v>
      </c>
      <c r="AM324" s="286"/>
      <c r="AO324" s="330" t="s">
        <v>3308</v>
      </c>
    </row>
    <row r="325" spans="1:41">
      <c r="A325" s="587">
        <f t="shared" si="46"/>
        <v>322</v>
      </c>
      <c r="B325" s="330" t="s">
        <v>1643</v>
      </c>
      <c r="C325" s="330" t="s">
        <v>3312</v>
      </c>
      <c r="D325" s="330" t="s">
        <v>1746</v>
      </c>
      <c r="E325" s="330" t="s">
        <v>2106</v>
      </c>
      <c r="F325" s="330" t="s">
        <v>1647</v>
      </c>
      <c r="G325" s="562">
        <v>1114</v>
      </c>
      <c r="H325" s="562">
        <v>683.3</v>
      </c>
      <c r="I325" s="562">
        <v>795.57</v>
      </c>
      <c r="J325" s="561" t="s">
        <v>1648</v>
      </c>
      <c r="K325" s="330" t="s">
        <v>3313</v>
      </c>
      <c r="L325" s="330" t="s">
        <v>3314</v>
      </c>
      <c r="M325" s="330" t="s">
        <v>3315</v>
      </c>
      <c r="N325" s="330" t="s">
        <v>3316</v>
      </c>
      <c r="O325" s="395">
        <v>45540</v>
      </c>
      <c r="P325" s="333">
        <v>6337489</v>
      </c>
      <c r="Q325" s="330" t="s">
        <v>1653</v>
      </c>
      <c r="R325" s="562">
        <v>0</v>
      </c>
      <c r="S325" s="333">
        <v>0</v>
      </c>
      <c r="T325" s="333">
        <v>-1894104.6600000008</v>
      </c>
      <c r="U325" s="333">
        <f t="shared" si="54"/>
        <v>-1894104.6600000008</v>
      </c>
      <c r="V325" s="333">
        <v>0</v>
      </c>
      <c r="W325" s="333">
        <v>0</v>
      </c>
      <c r="X325" s="333">
        <v>0</v>
      </c>
      <c r="Y325" s="333">
        <v>0</v>
      </c>
      <c r="Z325" s="333">
        <v>0</v>
      </c>
      <c r="AA325" s="333">
        <v>0</v>
      </c>
      <c r="AB325" s="333">
        <v>0</v>
      </c>
      <c r="AC325" s="333">
        <v>-7142</v>
      </c>
      <c r="AD325" s="333">
        <v>0</v>
      </c>
      <c r="AE325" s="333"/>
      <c r="AF325" s="333"/>
      <c r="AG325" s="333">
        <f t="shared" si="55"/>
        <v>-1901246.6600000008</v>
      </c>
      <c r="AH325" s="330"/>
      <c r="AI325" s="330">
        <v>7142</v>
      </c>
      <c r="AJ325" s="396">
        <f t="shared" ref="AJ325:AJ388" si="57">SUM(U325:AE325)</f>
        <v>-1901246.6600000008</v>
      </c>
      <c r="AK325" s="563"/>
      <c r="AL325" s="285">
        <f t="shared" si="56"/>
        <v>0</v>
      </c>
      <c r="AM325" s="286"/>
      <c r="AO325" s="330" t="s">
        <v>3313</v>
      </c>
    </row>
    <row r="326" spans="1:41">
      <c r="A326" s="587">
        <f t="shared" ref="A326:A389" si="58">A325+1</f>
        <v>323</v>
      </c>
      <c r="B326" s="330" t="s">
        <v>1643</v>
      </c>
      <c r="C326" s="330" t="s">
        <v>3317</v>
      </c>
      <c r="D326" s="330" t="s">
        <v>1645</v>
      </c>
      <c r="E326" s="330" t="s">
        <v>2023</v>
      </c>
      <c r="F326" s="330" t="s">
        <v>1647</v>
      </c>
      <c r="G326" s="562">
        <v>1012</v>
      </c>
      <c r="H326" s="562">
        <v>653.59</v>
      </c>
      <c r="I326" s="562">
        <v>723.02</v>
      </c>
      <c r="J326" s="561" t="s">
        <v>1648</v>
      </c>
      <c r="K326" s="330" t="s">
        <v>3318</v>
      </c>
      <c r="L326" s="330" t="s">
        <v>3319</v>
      </c>
      <c r="M326" s="330" t="s">
        <v>3320</v>
      </c>
      <c r="N326" s="330" t="s">
        <v>3321</v>
      </c>
      <c r="O326" s="395">
        <v>45443</v>
      </c>
      <c r="P326" s="333">
        <v>5710667</v>
      </c>
      <c r="Q326" s="330" t="s">
        <v>1653</v>
      </c>
      <c r="R326" s="562">
        <v>0</v>
      </c>
      <c r="S326" s="333">
        <v>0</v>
      </c>
      <c r="T326" s="333">
        <v>-1770306.6499999997</v>
      </c>
      <c r="U326" s="333">
        <f t="shared" si="54"/>
        <v>-1770306.6499999997</v>
      </c>
      <c r="V326" s="333">
        <v>0</v>
      </c>
      <c r="W326" s="333">
        <v>0</v>
      </c>
      <c r="X326" s="333">
        <v>0</v>
      </c>
      <c r="Y326" s="333">
        <v>0</v>
      </c>
      <c r="Z326" s="333">
        <v>0</v>
      </c>
      <c r="AA326" s="333">
        <v>0</v>
      </c>
      <c r="AB326" s="333">
        <v>0</v>
      </c>
      <c r="AC326" s="333">
        <v>0</v>
      </c>
      <c r="AD326" s="333">
        <v>0</v>
      </c>
      <c r="AE326" s="333"/>
      <c r="AF326" s="333"/>
      <c r="AG326" s="333">
        <f t="shared" si="55"/>
        <v>-1770306.6499999997</v>
      </c>
      <c r="AH326" s="330"/>
      <c r="AI326" s="330">
        <v>0</v>
      </c>
      <c r="AJ326" s="396">
        <f t="shared" si="57"/>
        <v>-1770306.6499999997</v>
      </c>
      <c r="AK326" s="563"/>
      <c r="AL326" s="285">
        <f t="shared" ref="AL326:AL384" si="59">+AC326-AI326</f>
        <v>0</v>
      </c>
      <c r="AM326" s="286"/>
      <c r="AO326" s="330" t="s">
        <v>3318</v>
      </c>
    </row>
    <row r="327" spans="1:41">
      <c r="A327" s="587">
        <f t="shared" si="58"/>
        <v>324</v>
      </c>
      <c r="B327" s="330" t="s">
        <v>1643</v>
      </c>
      <c r="C327" s="330" t="s">
        <v>3322</v>
      </c>
      <c r="D327" s="330" t="s">
        <v>1645</v>
      </c>
      <c r="E327" s="330" t="s">
        <v>3323</v>
      </c>
      <c r="F327" s="330" t="s">
        <v>1671</v>
      </c>
      <c r="G327" s="562">
        <v>1375</v>
      </c>
      <c r="H327" s="562">
        <v>876.73</v>
      </c>
      <c r="I327" s="562">
        <v>982.22</v>
      </c>
      <c r="J327" s="561" t="s">
        <v>1648</v>
      </c>
      <c r="K327" s="330" t="s">
        <v>3324</v>
      </c>
      <c r="L327" s="330" t="s">
        <v>3325</v>
      </c>
      <c r="M327" s="330" t="s">
        <v>3326</v>
      </c>
      <c r="N327" s="330" t="s">
        <v>3327</v>
      </c>
      <c r="O327" s="395">
        <v>45685</v>
      </c>
      <c r="P327" s="333">
        <v>8485714</v>
      </c>
      <c r="Q327" s="330" t="s">
        <v>1653</v>
      </c>
      <c r="R327" s="562">
        <v>0</v>
      </c>
      <c r="S327" s="333">
        <v>0</v>
      </c>
      <c r="T327" s="333">
        <v>-2628189.3799999994</v>
      </c>
      <c r="U327" s="333">
        <f t="shared" si="54"/>
        <v>-2628189.3799999994</v>
      </c>
      <c r="V327" s="333">
        <v>2672999</v>
      </c>
      <c r="W327" s="333">
        <v>0</v>
      </c>
      <c r="X327" s="333">
        <v>0</v>
      </c>
      <c r="Y327" s="333">
        <v>0</v>
      </c>
      <c r="Z327" s="333">
        <v>0</v>
      </c>
      <c r="AA327" s="333">
        <v>0</v>
      </c>
      <c r="AB327" s="333">
        <v>0</v>
      </c>
      <c r="AC327" s="333">
        <v>-132047.51999999984</v>
      </c>
      <c r="AD327" s="333">
        <v>0</v>
      </c>
      <c r="AE327" s="333"/>
      <c r="AF327" s="333"/>
      <c r="AG327" s="333">
        <f t="shared" si="55"/>
        <v>-87237.899999999267</v>
      </c>
      <c r="AH327" s="330"/>
      <c r="AI327" s="330">
        <v>132047.51999999999</v>
      </c>
      <c r="AJ327" s="396">
        <f t="shared" si="57"/>
        <v>-87237.899999999267</v>
      </c>
      <c r="AK327" s="563"/>
      <c r="AL327" s="285">
        <f>+AC327+AI327</f>
        <v>0</v>
      </c>
      <c r="AM327" s="286"/>
      <c r="AO327" s="330" t="s">
        <v>3324</v>
      </c>
    </row>
    <row r="328" spans="1:41">
      <c r="A328" s="587">
        <f t="shared" si="58"/>
        <v>325</v>
      </c>
      <c r="B328" s="330" t="s">
        <v>1643</v>
      </c>
      <c r="C328" s="330" t="s">
        <v>3328</v>
      </c>
      <c r="D328" s="330" t="s">
        <v>1655</v>
      </c>
      <c r="E328" s="330" t="s">
        <v>3329</v>
      </c>
      <c r="F328" s="330" t="s">
        <v>1647</v>
      </c>
      <c r="G328" s="562">
        <v>1114</v>
      </c>
      <c r="H328" s="562">
        <v>683.3</v>
      </c>
      <c r="I328" s="562">
        <v>795.57</v>
      </c>
      <c r="J328" s="561" t="s">
        <v>1648</v>
      </c>
      <c r="K328" s="330" t="s">
        <v>3330</v>
      </c>
      <c r="L328" s="330" t="s">
        <v>3331</v>
      </c>
      <c r="M328" s="330" t="s">
        <v>3332</v>
      </c>
      <c r="N328" s="330" t="s">
        <v>12</v>
      </c>
      <c r="O328" s="395"/>
      <c r="P328" s="333">
        <v>6848190</v>
      </c>
      <c r="Q328" s="330" t="s">
        <v>1653</v>
      </c>
      <c r="R328" s="562">
        <v>0</v>
      </c>
      <c r="S328" s="333">
        <v>0</v>
      </c>
      <c r="T328" s="333">
        <v>-868930</v>
      </c>
      <c r="U328" s="333">
        <f t="shared" si="54"/>
        <v>-868930</v>
      </c>
      <c r="V328" s="333">
        <v>868930</v>
      </c>
      <c r="W328" s="333">
        <v>0</v>
      </c>
      <c r="X328" s="333">
        <v>0</v>
      </c>
      <c r="Y328" s="333">
        <v>0</v>
      </c>
      <c r="Z328" s="333">
        <v>0</v>
      </c>
      <c r="AA328" s="333">
        <v>0</v>
      </c>
      <c r="AB328" s="333">
        <v>0</v>
      </c>
      <c r="AC328" s="333">
        <v>0</v>
      </c>
      <c r="AD328" s="333">
        <v>0</v>
      </c>
      <c r="AE328" s="333"/>
      <c r="AF328" s="333"/>
      <c r="AG328" s="333">
        <f t="shared" si="55"/>
        <v>0</v>
      </c>
      <c r="AH328" s="330"/>
      <c r="AI328" s="330">
        <v>0</v>
      </c>
      <c r="AJ328" s="396">
        <f t="shared" si="57"/>
        <v>0</v>
      </c>
      <c r="AK328" s="563"/>
      <c r="AL328" s="285">
        <f t="shared" si="59"/>
        <v>0</v>
      </c>
      <c r="AM328" s="286"/>
      <c r="AO328" s="330" t="s">
        <v>3330</v>
      </c>
    </row>
    <row r="329" spans="1:41">
      <c r="A329" s="587">
        <f t="shared" si="58"/>
        <v>326</v>
      </c>
      <c r="B329" s="330" t="s">
        <v>1643</v>
      </c>
      <c r="C329" s="330" t="s">
        <v>3333</v>
      </c>
      <c r="D329" s="330" t="s">
        <v>1662</v>
      </c>
      <c r="E329" s="330" t="s">
        <v>3334</v>
      </c>
      <c r="F329" s="330" t="s">
        <v>1671</v>
      </c>
      <c r="G329" s="562">
        <v>1498</v>
      </c>
      <c r="H329" s="562">
        <v>954.87</v>
      </c>
      <c r="I329" s="562">
        <v>1069.73</v>
      </c>
      <c r="J329" s="561" t="s">
        <v>1810</v>
      </c>
      <c r="K329" s="330" t="s">
        <v>3335</v>
      </c>
      <c r="L329" s="330" t="s">
        <v>3336</v>
      </c>
      <c r="M329" s="330" t="s">
        <v>3337</v>
      </c>
      <c r="N329" s="330" t="s">
        <v>2066</v>
      </c>
      <c r="O329" s="395"/>
      <c r="P329" s="333">
        <v>8581345</v>
      </c>
      <c r="Q329" s="330" t="s">
        <v>1660</v>
      </c>
      <c r="R329" s="562">
        <v>0</v>
      </c>
      <c r="S329" s="333">
        <v>0</v>
      </c>
      <c r="T329" s="333">
        <v>0</v>
      </c>
      <c r="U329" s="333">
        <f t="shared" si="54"/>
        <v>0</v>
      </c>
      <c r="V329" s="333">
        <v>0</v>
      </c>
      <c r="W329" s="333">
        <v>0</v>
      </c>
      <c r="X329" s="333">
        <v>0</v>
      </c>
      <c r="Y329" s="333">
        <v>0</v>
      </c>
      <c r="Z329" s="333">
        <v>0</v>
      </c>
      <c r="AA329" s="333">
        <v>0</v>
      </c>
      <c r="AB329" s="333">
        <v>0</v>
      </c>
      <c r="AC329" s="333">
        <v>0</v>
      </c>
      <c r="AD329" s="333">
        <v>0</v>
      </c>
      <c r="AE329" s="333"/>
      <c r="AF329" s="333"/>
      <c r="AG329" s="333">
        <f t="shared" si="55"/>
        <v>0</v>
      </c>
      <c r="AH329" s="330"/>
      <c r="AI329" s="330">
        <v>0</v>
      </c>
      <c r="AJ329" s="396">
        <f t="shared" si="57"/>
        <v>0</v>
      </c>
      <c r="AK329" s="563"/>
      <c r="AL329" s="285">
        <f t="shared" si="59"/>
        <v>0</v>
      </c>
      <c r="AM329" s="286"/>
      <c r="AO329" s="330" t="s">
        <v>3335</v>
      </c>
    </row>
    <row r="330" spans="1:41">
      <c r="A330" s="587">
        <f t="shared" si="58"/>
        <v>327</v>
      </c>
      <c r="B330" s="330" t="s">
        <v>1643</v>
      </c>
      <c r="C330" s="330" t="s">
        <v>3338</v>
      </c>
      <c r="D330" s="330" t="s">
        <v>1645</v>
      </c>
      <c r="E330" s="330" t="s">
        <v>2322</v>
      </c>
      <c r="F330" s="330" t="s">
        <v>1647</v>
      </c>
      <c r="G330" s="562">
        <v>1012</v>
      </c>
      <c r="H330" s="562">
        <v>653.59</v>
      </c>
      <c r="I330" s="562">
        <v>723.02</v>
      </c>
      <c r="J330" s="561" t="s">
        <v>1648</v>
      </c>
      <c r="K330" s="330" t="s">
        <v>3339</v>
      </c>
      <c r="L330" s="330" t="s">
        <v>3340</v>
      </c>
      <c r="M330" s="330" t="s">
        <v>3341</v>
      </c>
      <c r="N330" s="330" t="s">
        <v>3342</v>
      </c>
      <c r="O330" s="395">
        <v>45406</v>
      </c>
      <c r="P330" s="333">
        <v>5714010</v>
      </c>
      <c r="Q330" s="330" t="s">
        <v>1653</v>
      </c>
      <c r="R330" s="562">
        <v>0</v>
      </c>
      <c r="S330" s="333">
        <v>0</v>
      </c>
      <c r="T330" s="333">
        <v>-1685630.8899999997</v>
      </c>
      <c r="U330" s="333">
        <f t="shared" si="54"/>
        <v>-1685630.8899999997</v>
      </c>
      <c r="V330" s="333">
        <v>0</v>
      </c>
      <c r="W330" s="333">
        <v>0</v>
      </c>
      <c r="X330" s="333">
        <v>0</v>
      </c>
      <c r="Y330" s="333">
        <v>0</v>
      </c>
      <c r="Z330" s="333">
        <v>0</v>
      </c>
      <c r="AA330" s="333">
        <v>0</v>
      </c>
      <c r="AB330" s="333">
        <v>0</v>
      </c>
      <c r="AC330" s="333">
        <v>-28570</v>
      </c>
      <c r="AD330" s="333">
        <v>0</v>
      </c>
      <c r="AE330" s="333"/>
      <c r="AF330" s="333"/>
      <c r="AG330" s="333">
        <f t="shared" si="55"/>
        <v>-1714200.8899999997</v>
      </c>
      <c r="AH330" s="330"/>
      <c r="AI330" s="330">
        <v>28570</v>
      </c>
      <c r="AJ330" s="396">
        <f t="shared" si="57"/>
        <v>-1714200.8899999997</v>
      </c>
      <c r="AK330" s="563"/>
      <c r="AL330" s="285">
        <f>+AC330+AI330</f>
        <v>0</v>
      </c>
      <c r="AM330" s="286"/>
      <c r="AO330" s="330" t="s">
        <v>3339</v>
      </c>
    </row>
    <row r="331" spans="1:41">
      <c r="A331" s="587">
        <f t="shared" si="58"/>
        <v>328</v>
      </c>
      <c r="B331" s="330" t="s">
        <v>1643</v>
      </c>
      <c r="C331" s="330" t="s">
        <v>3343</v>
      </c>
      <c r="D331" s="330" t="s">
        <v>1645</v>
      </c>
      <c r="E331" s="330" t="s">
        <v>3344</v>
      </c>
      <c r="F331" s="330" t="s">
        <v>1647</v>
      </c>
      <c r="G331" s="562">
        <v>1012</v>
      </c>
      <c r="H331" s="562">
        <v>653.59</v>
      </c>
      <c r="I331" s="562">
        <v>723.02</v>
      </c>
      <c r="J331" s="561" t="s">
        <v>1810</v>
      </c>
      <c r="K331" s="330" t="s">
        <v>3345</v>
      </c>
      <c r="L331" s="330" t="s">
        <v>3346</v>
      </c>
      <c r="M331" s="330" t="s">
        <v>3347</v>
      </c>
      <c r="N331" s="330" t="s">
        <v>3348</v>
      </c>
      <c r="O331" s="395">
        <v>45435</v>
      </c>
      <c r="P331" s="333">
        <v>5698827</v>
      </c>
      <c r="Q331" s="330" t="s">
        <v>1653</v>
      </c>
      <c r="R331" s="562">
        <v>0</v>
      </c>
      <c r="S331" s="333">
        <v>0</v>
      </c>
      <c r="T331" s="333">
        <v>-1559647.5799999998</v>
      </c>
      <c r="U331" s="333">
        <f t="shared" si="54"/>
        <v>-1559647.5799999998</v>
      </c>
      <c r="V331" s="333">
        <v>-142858</v>
      </c>
      <c r="W331" s="333">
        <v>0</v>
      </c>
      <c r="X331" s="333">
        <v>0</v>
      </c>
      <c r="Y331" s="333">
        <v>0</v>
      </c>
      <c r="Z331" s="333">
        <v>0</v>
      </c>
      <c r="AA331" s="333">
        <v>0</v>
      </c>
      <c r="AB331" s="333">
        <v>0</v>
      </c>
      <c r="AC331" s="333">
        <v>4.0000000008149073E-2</v>
      </c>
      <c r="AD331" s="333">
        <v>0</v>
      </c>
      <c r="AE331" s="333"/>
      <c r="AF331" s="333"/>
      <c r="AG331" s="333">
        <f t="shared" si="55"/>
        <v>-1702505.5399999998</v>
      </c>
      <c r="AH331" s="330"/>
      <c r="AI331" s="330">
        <v>-3.999999999996362E-2</v>
      </c>
      <c r="AJ331" s="396">
        <f t="shared" si="57"/>
        <v>-1702505.5399999998</v>
      </c>
      <c r="AK331" s="563"/>
      <c r="AL331" s="285">
        <f t="shared" si="59"/>
        <v>8.0000000008112693E-2</v>
      </c>
      <c r="AM331" s="286"/>
      <c r="AO331" s="330" t="s">
        <v>3345</v>
      </c>
    </row>
    <row r="332" spans="1:41">
      <c r="A332" s="587">
        <f t="shared" si="58"/>
        <v>329</v>
      </c>
      <c r="B332" s="330" t="s">
        <v>1643</v>
      </c>
      <c r="C332" s="330" t="s">
        <v>3349</v>
      </c>
      <c r="D332" s="330" t="s">
        <v>1704</v>
      </c>
      <c r="E332" s="330" t="s">
        <v>3350</v>
      </c>
      <c r="F332" s="330" t="s">
        <v>1647</v>
      </c>
      <c r="G332" s="562">
        <v>1012</v>
      </c>
      <c r="H332" s="562">
        <v>653.59</v>
      </c>
      <c r="I332" s="562">
        <v>723.02</v>
      </c>
      <c r="J332" s="561" t="s">
        <v>1648</v>
      </c>
      <c r="K332" s="330" t="s">
        <v>3351</v>
      </c>
      <c r="L332" s="330" t="s">
        <v>3352</v>
      </c>
      <c r="M332" s="330" t="s">
        <v>3353</v>
      </c>
      <c r="N332" s="330" t="s">
        <v>3354</v>
      </c>
      <c r="O332" s="395">
        <v>45456</v>
      </c>
      <c r="P332" s="333">
        <v>5754381</v>
      </c>
      <c r="Q332" s="330" t="s">
        <v>1653</v>
      </c>
      <c r="R332" s="562">
        <v>0</v>
      </c>
      <c r="S332" s="333">
        <v>0</v>
      </c>
      <c r="T332" s="333">
        <v>-1783860.1000000008</v>
      </c>
      <c r="U332" s="333">
        <f t="shared" si="54"/>
        <v>-1783860.1000000008</v>
      </c>
      <c r="V332" s="333">
        <v>0</v>
      </c>
      <c r="W332" s="333">
        <v>0</v>
      </c>
      <c r="X332" s="333">
        <v>0</v>
      </c>
      <c r="Y332" s="333">
        <v>0</v>
      </c>
      <c r="Z332" s="333">
        <v>0</v>
      </c>
      <c r="AA332" s="333">
        <v>0</v>
      </c>
      <c r="AB332" s="333">
        <v>0</v>
      </c>
      <c r="AC332" s="333">
        <v>0</v>
      </c>
      <c r="AD332" s="333">
        <v>0</v>
      </c>
      <c r="AE332" s="333"/>
      <c r="AF332" s="333"/>
      <c r="AG332" s="333">
        <f t="shared" si="55"/>
        <v>-1783860.1000000008</v>
      </c>
      <c r="AH332" s="330"/>
      <c r="AI332" s="330">
        <v>0</v>
      </c>
      <c r="AJ332" s="396">
        <f t="shared" si="57"/>
        <v>-1783860.1000000008</v>
      </c>
      <c r="AK332" s="563"/>
      <c r="AL332" s="285">
        <f t="shared" si="59"/>
        <v>0</v>
      </c>
      <c r="AM332" s="286"/>
      <c r="AO332" s="330" t="s">
        <v>3351</v>
      </c>
    </row>
    <row r="333" spans="1:41">
      <c r="A333" s="587">
        <f t="shared" si="58"/>
        <v>330</v>
      </c>
      <c r="B333" s="330" t="s">
        <v>1643</v>
      </c>
      <c r="C333" s="330" t="s">
        <v>3355</v>
      </c>
      <c r="D333" s="330" t="s">
        <v>1662</v>
      </c>
      <c r="E333" s="330" t="s">
        <v>3356</v>
      </c>
      <c r="F333" s="330" t="s">
        <v>1671</v>
      </c>
      <c r="G333" s="562">
        <v>1498</v>
      </c>
      <c r="H333" s="562">
        <v>954.87</v>
      </c>
      <c r="I333" s="562">
        <v>1069.73</v>
      </c>
      <c r="J333" s="561" t="s">
        <v>1648</v>
      </c>
      <c r="K333" s="330" t="s">
        <v>3357</v>
      </c>
      <c r="L333" s="330" t="s">
        <v>3358</v>
      </c>
      <c r="M333" s="330" t="s">
        <v>3359</v>
      </c>
      <c r="N333" s="330" t="s">
        <v>12</v>
      </c>
      <c r="O333" s="395"/>
      <c r="P333" s="333">
        <v>8991048</v>
      </c>
      <c r="Q333" s="330" t="s">
        <v>1660</v>
      </c>
      <c r="R333" s="562">
        <v>0</v>
      </c>
      <c r="S333" s="333">
        <v>0</v>
      </c>
      <c r="T333" s="333">
        <v>0</v>
      </c>
      <c r="U333" s="333">
        <f t="shared" si="54"/>
        <v>0</v>
      </c>
      <c r="V333" s="333">
        <v>0</v>
      </c>
      <c r="W333" s="333">
        <v>0</v>
      </c>
      <c r="X333" s="333">
        <v>0</v>
      </c>
      <c r="Y333" s="333">
        <v>0</v>
      </c>
      <c r="Z333" s="333">
        <v>0</v>
      </c>
      <c r="AA333" s="333">
        <v>0</v>
      </c>
      <c r="AB333" s="333">
        <v>0</v>
      </c>
      <c r="AC333" s="333">
        <v>0</v>
      </c>
      <c r="AD333" s="333">
        <v>0</v>
      </c>
      <c r="AE333" s="333"/>
      <c r="AF333" s="333"/>
      <c r="AG333" s="333">
        <f t="shared" si="55"/>
        <v>0</v>
      </c>
      <c r="AH333" s="330"/>
      <c r="AI333" s="330">
        <v>0</v>
      </c>
      <c r="AJ333" s="396">
        <f t="shared" si="57"/>
        <v>0</v>
      </c>
      <c r="AK333" s="563"/>
      <c r="AL333" s="285">
        <f t="shared" si="59"/>
        <v>0</v>
      </c>
      <c r="AM333" s="286"/>
      <c r="AO333" s="330" t="s">
        <v>3357</v>
      </c>
    </row>
    <row r="334" spans="1:41">
      <c r="A334" s="587">
        <f t="shared" si="58"/>
        <v>331</v>
      </c>
      <c r="B334" s="330" t="s">
        <v>1643</v>
      </c>
      <c r="C334" s="330" t="s">
        <v>3360</v>
      </c>
      <c r="D334" s="330" t="s">
        <v>1662</v>
      </c>
      <c r="E334" s="330" t="s">
        <v>3012</v>
      </c>
      <c r="F334" s="330" t="s">
        <v>1647</v>
      </c>
      <c r="G334" s="562">
        <v>1114</v>
      </c>
      <c r="H334" s="562">
        <v>683.3</v>
      </c>
      <c r="I334" s="562">
        <v>795.57</v>
      </c>
      <c r="J334" s="561" t="s">
        <v>1810</v>
      </c>
      <c r="K334" s="330" t="s">
        <v>3361</v>
      </c>
      <c r="L334" s="330" t="s">
        <v>3362</v>
      </c>
      <c r="M334" s="330" t="s">
        <v>3363</v>
      </c>
      <c r="N334" s="330" t="s">
        <v>3364</v>
      </c>
      <c r="O334" s="395">
        <v>45435</v>
      </c>
      <c r="P334" s="333">
        <v>6270661</v>
      </c>
      <c r="Q334" s="330" t="s">
        <v>1653</v>
      </c>
      <c r="R334" s="562">
        <v>0</v>
      </c>
      <c r="S334" s="333">
        <v>0</v>
      </c>
      <c r="T334" s="333">
        <v>-1730492.6900000009</v>
      </c>
      <c r="U334" s="333">
        <f t="shared" si="54"/>
        <v>-1730492.6900000009</v>
      </c>
      <c r="V334" s="333">
        <v>-51000</v>
      </c>
      <c r="W334" s="333">
        <v>0</v>
      </c>
      <c r="X334" s="333">
        <v>0</v>
      </c>
      <c r="Y334" s="333">
        <v>0</v>
      </c>
      <c r="Z334" s="333">
        <v>0</v>
      </c>
      <c r="AA334" s="333">
        <v>0</v>
      </c>
      <c r="AB334" s="333">
        <v>0</v>
      </c>
      <c r="AC334" s="333">
        <v>-6977</v>
      </c>
      <c r="AD334" s="333">
        <v>0</v>
      </c>
      <c r="AE334" s="333"/>
      <c r="AF334" s="333"/>
      <c r="AG334" s="333">
        <f t="shared" si="55"/>
        <v>-1788469.6900000009</v>
      </c>
      <c r="AH334" s="330"/>
      <c r="AI334" s="330">
        <v>6977</v>
      </c>
      <c r="AJ334" s="396">
        <f t="shared" si="57"/>
        <v>-1788469.6900000009</v>
      </c>
      <c r="AK334" s="563"/>
      <c r="AL334" s="285">
        <f>+AC334+AI334</f>
        <v>0</v>
      </c>
      <c r="AM334" s="286"/>
      <c r="AO334" s="330" t="s">
        <v>3361</v>
      </c>
    </row>
    <row r="335" spans="1:41">
      <c r="A335" s="587">
        <f t="shared" si="58"/>
        <v>332</v>
      </c>
      <c r="B335" s="330" t="s">
        <v>1643</v>
      </c>
      <c r="C335" s="330" t="s">
        <v>3365</v>
      </c>
      <c r="D335" s="330" t="s">
        <v>1645</v>
      </c>
      <c r="E335" s="330" t="s">
        <v>3366</v>
      </c>
      <c r="F335" s="330" t="s">
        <v>1671</v>
      </c>
      <c r="G335" s="562">
        <v>1375</v>
      </c>
      <c r="H335" s="562">
        <v>876.73</v>
      </c>
      <c r="I335" s="562">
        <v>982.22</v>
      </c>
      <c r="J335" s="561" t="s">
        <v>1648</v>
      </c>
      <c r="K335" s="330" t="s">
        <v>3367</v>
      </c>
      <c r="L335" s="330" t="s">
        <v>3368</v>
      </c>
      <c r="M335" s="330" t="s">
        <v>3369</v>
      </c>
      <c r="N335" s="330" t="s">
        <v>3370</v>
      </c>
      <c r="O335" s="395">
        <v>45437</v>
      </c>
      <c r="P335" s="333">
        <v>7741048</v>
      </c>
      <c r="Q335" s="330" t="s">
        <v>1653</v>
      </c>
      <c r="R335" s="562">
        <v>0</v>
      </c>
      <c r="S335" s="333">
        <v>0</v>
      </c>
      <c r="T335" s="333">
        <v>-2399725.2800000003</v>
      </c>
      <c r="U335" s="333">
        <f t="shared" si="54"/>
        <v>-2399725.2800000003</v>
      </c>
      <c r="V335" s="333">
        <v>0</v>
      </c>
      <c r="W335" s="333">
        <v>0</v>
      </c>
      <c r="X335" s="333">
        <v>0</v>
      </c>
      <c r="Y335" s="333">
        <v>0</v>
      </c>
      <c r="Z335" s="333">
        <v>0</v>
      </c>
      <c r="AA335" s="333">
        <v>0</v>
      </c>
      <c r="AB335" s="333">
        <v>0</v>
      </c>
      <c r="AC335" s="333">
        <v>0</v>
      </c>
      <c r="AD335" s="333">
        <v>0</v>
      </c>
      <c r="AE335" s="333"/>
      <c r="AF335" s="333"/>
      <c r="AG335" s="333">
        <f t="shared" si="55"/>
        <v>-2399725.2800000003</v>
      </c>
      <c r="AH335" s="330"/>
      <c r="AI335" s="330">
        <v>0</v>
      </c>
      <c r="AJ335" s="396">
        <f t="shared" si="57"/>
        <v>-2399725.2800000003</v>
      </c>
      <c r="AK335" s="563"/>
      <c r="AL335" s="285">
        <f t="shared" si="59"/>
        <v>0</v>
      </c>
      <c r="AM335" s="286"/>
      <c r="AO335" s="330" t="s">
        <v>3367</v>
      </c>
    </row>
    <row r="336" spans="1:41">
      <c r="A336" s="587">
        <f t="shared" si="58"/>
        <v>333</v>
      </c>
      <c r="B336" s="330" t="s">
        <v>1643</v>
      </c>
      <c r="C336" s="330" t="s">
        <v>3371</v>
      </c>
      <c r="D336" s="330" t="s">
        <v>1677</v>
      </c>
      <c r="E336" s="330" t="s">
        <v>1929</v>
      </c>
      <c r="F336" s="330" t="s">
        <v>1647</v>
      </c>
      <c r="G336" s="562">
        <v>1114</v>
      </c>
      <c r="H336" s="562">
        <v>683.3</v>
      </c>
      <c r="I336" s="562">
        <v>795.57</v>
      </c>
      <c r="J336" s="561" t="s">
        <v>1648</v>
      </c>
      <c r="K336" s="330" t="s">
        <v>3372</v>
      </c>
      <c r="L336" s="330" t="s">
        <v>3373</v>
      </c>
      <c r="M336" s="330" t="s">
        <v>3374</v>
      </c>
      <c r="N336" s="330" t="s">
        <v>12</v>
      </c>
      <c r="O336" s="395"/>
      <c r="P336" s="333">
        <v>7200455</v>
      </c>
      <c r="Q336" s="330" t="s">
        <v>1660</v>
      </c>
      <c r="R336" s="562">
        <v>0</v>
      </c>
      <c r="S336" s="333">
        <v>0</v>
      </c>
      <c r="T336" s="333">
        <v>-908600</v>
      </c>
      <c r="U336" s="333">
        <f t="shared" si="54"/>
        <v>-908600</v>
      </c>
      <c r="V336" s="333">
        <v>908600</v>
      </c>
      <c r="W336" s="333">
        <v>0</v>
      </c>
      <c r="X336" s="333">
        <v>0</v>
      </c>
      <c r="Y336" s="333">
        <v>0</v>
      </c>
      <c r="Z336" s="333">
        <v>0</v>
      </c>
      <c r="AA336" s="333">
        <v>0</v>
      </c>
      <c r="AB336" s="333">
        <v>0</v>
      </c>
      <c r="AC336" s="333">
        <v>0</v>
      </c>
      <c r="AD336" s="333">
        <v>0</v>
      </c>
      <c r="AE336" s="333"/>
      <c r="AF336" s="333"/>
      <c r="AG336" s="333">
        <f t="shared" si="55"/>
        <v>0</v>
      </c>
      <c r="AH336" s="330"/>
      <c r="AI336" s="330">
        <v>0</v>
      </c>
      <c r="AJ336" s="396">
        <f t="shared" si="57"/>
        <v>0</v>
      </c>
      <c r="AK336" s="563"/>
      <c r="AL336" s="285">
        <f t="shared" si="59"/>
        <v>0</v>
      </c>
      <c r="AM336" s="286"/>
      <c r="AO336" s="330" t="s">
        <v>3372</v>
      </c>
    </row>
    <row r="337" spans="1:41">
      <c r="A337" s="587">
        <f t="shared" si="58"/>
        <v>334</v>
      </c>
      <c r="B337" s="330" t="s">
        <v>1643</v>
      </c>
      <c r="C337" s="330" t="s">
        <v>3375</v>
      </c>
      <c r="D337" s="330" t="s">
        <v>1746</v>
      </c>
      <c r="E337" s="330" t="s">
        <v>1656</v>
      </c>
      <c r="F337" s="330" t="s">
        <v>1647</v>
      </c>
      <c r="G337" s="562">
        <v>1114</v>
      </c>
      <c r="H337" s="562">
        <v>683.3</v>
      </c>
      <c r="I337" s="562">
        <v>795.57</v>
      </c>
      <c r="J337" s="561" t="s">
        <v>1648</v>
      </c>
      <c r="K337" s="330" t="s">
        <v>3376</v>
      </c>
      <c r="L337" s="330" t="s">
        <v>3377</v>
      </c>
      <c r="M337" s="330" t="s">
        <v>3378</v>
      </c>
      <c r="N337" s="330" t="s">
        <v>3379</v>
      </c>
      <c r="O337" s="395">
        <v>45434</v>
      </c>
      <c r="P337" s="333">
        <v>6304075</v>
      </c>
      <c r="Q337" s="330" t="s">
        <v>1653</v>
      </c>
      <c r="R337" s="562">
        <v>0</v>
      </c>
      <c r="S337" s="333">
        <v>0</v>
      </c>
      <c r="T337" s="333">
        <v>-1947119.6100000003</v>
      </c>
      <c r="U337" s="333">
        <f t="shared" si="54"/>
        <v>-1947119.6100000003</v>
      </c>
      <c r="V337" s="333">
        <v>0</v>
      </c>
      <c r="W337" s="333">
        <v>0</v>
      </c>
      <c r="X337" s="333">
        <v>0</v>
      </c>
      <c r="Y337" s="333">
        <v>0</v>
      </c>
      <c r="Z337" s="333">
        <v>0</v>
      </c>
      <c r="AA337" s="333">
        <v>0</v>
      </c>
      <c r="AB337" s="333">
        <v>0</v>
      </c>
      <c r="AC337" s="333">
        <v>-7143</v>
      </c>
      <c r="AD337" s="333">
        <v>0</v>
      </c>
      <c r="AE337" s="333"/>
      <c r="AF337" s="333"/>
      <c r="AG337" s="333">
        <f t="shared" si="55"/>
        <v>-1954262.6100000003</v>
      </c>
      <c r="AH337" s="330"/>
      <c r="AI337" s="330">
        <v>7143</v>
      </c>
      <c r="AJ337" s="396">
        <f t="shared" si="57"/>
        <v>-1954262.6100000003</v>
      </c>
      <c r="AK337" s="563"/>
      <c r="AL337" s="285">
        <f t="shared" ref="AL337:AL340" si="60">+AC337+AI337</f>
        <v>0</v>
      </c>
      <c r="AM337" s="286"/>
      <c r="AO337" s="330" t="s">
        <v>3376</v>
      </c>
    </row>
    <row r="338" spans="1:41">
      <c r="A338" s="587">
        <f t="shared" si="58"/>
        <v>335</v>
      </c>
      <c r="B338" s="330" t="s">
        <v>1643</v>
      </c>
      <c r="C338" s="330" t="s">
        <v>3380</v>
      </c>
      <c r="D338" s="330" t="s">
        <v>1662</v>
      </c>
      <c r="E338" s="330" t="s">
        <v>2619</v>
      </c>
      <c r="F338" s="330" t="s">
        <v>1647</v>
      </c>
      <c r="G338" s="562">
        <v>1012</v>
      </c>
      <c r="H338" s="562">
        <v>653.59</v>
      </c>
      <c r="I338" s="562">
        <v>723.02</v>
      </c>
      <c r="J338" s="561" t="s">
        <v>1810</v>
      </c>
      <c r="K338" s="330" t="s">
        <v>3381</v>
      </c>
      <c r="L338" s="330" t="s">
        <v>3382</v>
      </c>
      <c r="M338" s="330" t="s">
        <v>3383</v>
      </c>
      <c r="N338" s="330" t="s">
        <v>3384</v>
      </c>
      <c r="O338" s="395">
        <v>45435</v>
      </c>
      <c r="P338" s="333">
        <v>5705333</v>
      </c>
      <c r="Q338" s="330" t="s">
        <v>1653</v>
      </c>
      <c r="R338" s="562">
        <v>0</v>
      </c>
      <c r="S338" s="333">
        <v>0</v>
      </c>
      <c r="T338" s="333">
        <v>-1540487.9999999998</v>
      </c>
      <c r="U338" s="333">
        <f t="shared" si="54"/>
        <v>-1540487.9999999998</v>
      </c>
      <c r="V338" s="333">
        <v>-10000</v>
      </c>
      <c r="W338" s="333">
        <v>0</v>
      </c>
      <c r="X338" s="333">
        <v>0</v>
      </c>
      <c r="Y338" s="333">
        <v>0</v>
      </c>
      <c r="Z338" s="333">
        <v>0</v>
      </c>
      <c r="AA338" s="333">
        <v>0</v>
      </c>
      <c r="AB338" s="333">
        <v>0</v>
      </c>
      <c r="AC338" s="333">
        <v>-21112.140000000014</v>
      </c>
      <c r="AD338" s="333">
        <v>0</v>
      </c>
      <c r="AE338" s="333"/>
      <c r="AF338" s="333"/>
      <c r="AG338" s="333">
        <f t="shared" si="55"/>
        <v>-1571600.1399999997</v>
      </c>
      <c r="AH338" s="330"/>
      <c r="AI338" s="330">
        <v>21112.14</v>
      </c>
      <c r="AJ338" s="396">
        <f t="shared" si="57"/>
        <v>-1571600.1399999997</v>
      </c>
      <c r="AK338" s="563"/>
      <c r="AL338" s="285">
        <f t="shared" si="60"/>
        <v>0</v>
      </c>
      <c r="AM338" s="286"/>
      <c r="AO338" s="330" t="s">
        <v>3381</v>
      </c>
    </row>
    <row r="339" spans="1:41">
      <c r="A339" s="587">
        <f t="shared" si="58"/>
        <v>336</v>
      </c>
      <c r="B339" s="330" t="s">
        <v>1643</v>
      </c>
      <c r="C339" s="330" t="s">
        <v>3385</v>
      </c>
      <c r="D339" s="330" t="s">
        <v>1662</v>
      </c>
      <c r="E339" s="330" t="s">
        <v>3350</v>
      </c>
      <c r="F339" s="330" t="s">
        <v>1647</v>
      </c>
      <c r="G339" s="562">
        <v>1012</v>
      </c>
      <c r="H339" s="562">
        <v>653.59</v>
      </c>
      <c r="I339" s="562">
        <v>723.02</v>
      </c>
      <c r="J339" s="561" t="s">
        <v>1810</v>
      </c>
      <c r="K339" s="330" t="s">
        <v>3386</v>
      </c>
      <c r="L339" s="330" t="s">
        <v>3387</v>
      </c>
      <c r="M339" s="330" t="s">
        <v>3388</v>
      </c>
      <c r="N339" s="330" t="s">
        <v>3389</v>
      </c>
      <c r="O339" s="395">
        <v>45441</v>
      </c>
      <c r="P339" s="333">
        <v>5683644</v>
      </c>
      <c r="Q339" s="330" t="s">
        <v>1653</v>
      </c>
      <c r="R339" s="562">
        <v>0</v>
      </c>
      <c r="S339" s="333">
        <v>0</v>
      </c>
      <c r="T339" s="333">
        <v>-1805050.34</v>
      </c>
      <c r="U339" s="333">
        <f t="shared" si="54"/>
        <v>-1805050.34</v>
      </c>
      <c r="V339" s="333">
        <v>0</v>
      </c>
      <c r="W339" s="333">
        <v>0</v>
      </c>
      <c r="X339" s="333">
        <v>0</v>
      </c>
      <c r="Y339" s="333">
        <v>0</v>
      </c>
      <c r="Z339" s="333">
        <v>0</v>
      </c>
      <c r="AA339" s="333">
        <v>0</v>
      </c>
      <c r="AB339" s="333">
        <v>0</v>
      </c>
      <c r="AC339" s="333">
        <v>-2156.0500000000002</v>
      </c>
      <c r="AD339" s="333">
        <v>0</v>
      </c>
      <c r="AE339" s="333"/>
      <c r="AF339" s="333"/>
      <c r="AG339" s="333">
        <f t="shared" si="55"/>
        <v>-1807206.3900000001</v>
      </c>
      <c r="AH339" s="330"/>
      <c r="AI339" s="330">
        <v>2156</v>
      </c>
      <c r="AJ339" s="396">
        <f t="shared" si="57"/>
        <v>-1807206.3900000001</v>
      </c>
      <c r="AK339" s="563"/>
      <c r="AL339" s="285">
        <f t="shared" si="60"/>
        <v>-5.0000000000181899E-2</v>
      </c>
      <c r="AM339" s="286"/>
      <c r="AO339" s="330" t="s">
        <v>3386</v>
      </c>
    </row>
    <row r="340" spans="1:41">
      <c r="A340" s="587">
        <f t="shared" si="58"/>
        <v>337</v>
      </c>
      <c r="B340" s="330" t="s">
        <v>1643</v>
      </c>
      <c r="C340" s="330" t="s">
        <v>3390</v>
      </c>
      <c r="D340" s="330" t="s">
        <v>1704</v>
      </c>
      <c r="E340" s="330" t="s">
        <v>3391</v>
      </c>
      <c r="F340" s="330" t="s">
        <v>1671</v>
      </c>
      <c r="G340" s="562">
        <v>1375</v>
      </c>
      <c r="H340" s="562">
        <v>876.73</v>
      </c>
      <c r="I340" s="562">
        <v>982.22</v>
      </c>
      <c r="J340" s="561" t="s">
        <v>1810</v>
      </c>
      <c r="K340" s="330" t="s">
        <v>3392</v>
      </c>
      <c r="L340" s="330" t="s">
        <v>3393</v>
      </c>
      <c r="M340" s="330" t="s">
        <v>3394</v>
      </c>
      <c r="N340" s="330" t="s">
        <v>3395</v>
      </c>
      <c r="O340" s="395">
        <v>45750</v>
      </c>
      <c r="P340" s="333">
        <v>8485714</v>
      </c>
      <c r="Q340" s="330" t="s">
        <v>1653</v>
      </c>
      <c r="R340" s="562">
        <v>0</v>
      </c>
      <c r="S340" s="333">
        <v>0</v>
      </c>
      <c r="T340" s="333">
        <v>-429378</v>
      </c>
      <c r="U340" s="333">
        <f t="shared" si="54"/>
        <v>-429378</v>
      </c>
      <c r="V340" s="333">
        <v>-2227500</v>
      </c>
      <c r="W340" s="333">
        <v>0</v>
      </c>
      <c r="X340" s="333">
        <v>0</v>
      </c>
      <c r="Y340" s="333">
        <v>0</v>
      </c>
      <c r="Z340" s="333">
        <v>0</v>
      </c>
      <c r="AA340" s="333">
        <v>0</v>
      </c>
      <c r="AB340" s="333">
        <v>0</v>
      </c>
      <c r="AC340" s="333">
        <v>106071.71999999986</v>
      </c>
      <c r="AD340" s="333">
        <v>0</v>
      </c>
      <c r="AE340" s="333"/>
      <c r="AF340" s="333"/>
      <c r="AG340" s="333">
        <f t="shared" si="55"/>
        <v>-2550806.2800000003</v>
      </c>
      <c r="AH340" s="330"/>
      <c r="AI340" s="330">
        <v>-106071.72</v>
      </c>
      <c r="AJ340" s="396">
        <f t="shared" si="57"/>
        <v>-2550806.2800000003</v>
      </c>
      <c r="AK340" s="563"/>
      <c r="AL340" s="285">
        <f t="shared" si="60"/>
        <v>-1.4551915228366852E-10</v>
      </c>
      <c r="AM340" s="286"/>
      <c r="AO340" s="330" t="s">
        <v>3392</v>
      </c>
    </row>
    <row r="341" spans="1:41">
      <c r="A341" s="587">
        <f t="shared" si="58"/>
        <v>338</v>
      </c>
      <c r="B341" s="330" t="s">
        <v>1643</v>
      </c>
      <c r="C341" s="330" t="s">
        <v>2616</v>
      </c>
      <c r="D341" s="330" t="s">
        <v>1662</v>
      </c>
      <c r="E341" s="330" t="s">
        <v>1874</v>
      </c>
      <c r="F341" s="330" t="s">
        <v>1685</v>
      </c>
      <c r="G341" s="562">
        <v>1265</v>
      </c>
      <c r="H341" s="562">
        <v>813.33</v>
      </c>
      <c r="I341" s="562">
        <v>903.31</v>
      </c>
      <c r="J341" s="561" t="s">
        <v>1648</v>
      </c>
      <c r="K341" s="330" t="s">
        <v>3396</v>
      </c>
      <c r="L341" s="330" t="s">
        <v>3397</v>
      </c>
      <c r="M341" s="330" t="s">
        <v>3398</v>
      </c>
      <c r="N341" s="330" t="s">
        <v>2615</v>
      </c>
      <c r="O341" s="395">
        <v>45440</v>
      </c>
      <c r="P341" s="333">
        <v>7202130</v>
      </c>
      <c r="Q341" s="330" t="s">
        <v>1660</v>
      </c>
      <c r="R341" s="562">
        <v>0</v>
      </c>
      <c r="S341" s="333">
        <v>0</v>
      </c>
      <c r="T341" s="333">
        <v>0</v>
      </c>
      <c r="U341" s="333">
        <f t="shared" si="54"/>
        <v>0</v>
      </c>
      <c r="V341" s="333">
        <v>0</v>
      </c>
      <c r="W341" s="333">
        <v>0</v>
      </c>
      <c r="X341" s="333">
        <v>0</v>
      </c>
      <c r="Y341" s="333">
        <v>0</v>
      </c>
      <c r="Z341" s="333">
        <v>0</v>
      </c>
      <c r="AA341" s="333">
        <v>0</v>
      </c>
      <c r="AB341" s="333">
        <v>0</v>
      </c>
      <c r="AC341" s="333">
        <v>0</v>
      </c>
      <c r="AD341" s="333">
        <v>0</v>
      </c>
      <c r="AE341" s="333"/>
      <c r="AF341" s="333"/>
      <c r="AG341" s="333">
        <f t="shared" si="55"/>
        <v>0</v>
      </c>
      <c r="AH341" s="330"/>
      <c r="AI341" s="330">
        <v>0.13999999999941792</v>
      </c>
      <c r="AJ341" s="396">
        <f t="shared" si="57"/>
        <v>0</v>
      </c>
      <c r="AK341" s="563"/>
      <c r="AL341" s="285">
        <f t="shared" si="59"/>
        <v>-0.13999999999941792</v>
      </c>
      <c r="AM341" s="286"/>
      <c r="AO341" s="330" t="s">
        <v>3396</v>
      </c>
    </row>
    <row r="342" spans="1:41">
      <c r="A342" s="587">
        <f t="shared" si="58"/>
        <v>339</v>
      </c>
      <c r="B342" s="330" t="s">
        <v>1643</v>
      </c>
      <c r="C342" s="330" t="s">
        <v>2610</v>
      </c>
      <c r="D342" s="330" t="s">
        <v>1746</v>
      </c>
      <c r="E342" s="330" t="s">
        <v>1886</v>
      </c>
      <c r="F342" s="330" t="s">
        <v>1647</v>
      </c>
      <c r="G342" s="562">
        <v>1114</v>
      </c>
      <c r="H342" s="562">
        <v>683.3</v>
      </c>
      <c r="I342" s="562">
        <v>795.57</v>
      </c>
      <c r="J342" s="561" t="s">
        <v>1648</v>
      </c>
      <c r="K342" s="330" t="s">
        <v>3399</v>
      </c>
      <c r="L342" s="330" t="s">
        <v>3397</v>
      </c>
      <c r="M342" s="330" t="s">
        <v>3398</v>
      </c>
      <c r="N342" s="330" t="s">
        <v>3400</v>
      </c>
      <c r="O342" s="395">
        <v>45454</v>
      </c>
      <c r="P342" s="333">
        <v>6258857</v>
      </c>
      <c r="Q342" s="330" t="s">
        <v>1653</v>
      </c>
      <c r="R342" s="562">
        <v>0</v>
      </c>
      <c r="S342" s="333">
        <v>0</v>
      </c>
      <c r="T342" s="333">
        <v>-1827654.57</v>
      </c>
      <c r="U342" s="333">
        <f t="shared" si="54"/>
        <v>-1827654.57</v>
      </c>
      <c r="V342" s="333">
        <v>-49999.999999999935</v>
      </c>
      <c r="W342" s="333">
        <v>0</v>
      </c>
      <c r="X342" s="333">
        <v>0</v>
      </c>
      <c r="Y342" s="333">
        <v>0</v>
      </c>
      <c r="Z342" s="333">
        <v>0</v>
      </c>
      <c r="AA342" s="333">
        <v>0</v>
      </c>
      <c r="AB342" s="333">
        <v>0</v>
      </c>
      <c r="AC342" s="333">
        <v>1.0000000096624717E-2</v>
      </c>
      <c r="AD342" s="333">
        <v>0</v>
      </c>
      <c r="AE342" s="333"/>
      <c r="AF342" s="333"/>
      <c r="AG342" s="333">
        <f t="shared" si="55"/>
        <v>-1877654.56</v>
      </c>
      <c r="AH342" s="330"/>
      <c r="AI342" s="330">
        <v>0</v>
      </c>
      <c r="AJ342" s="396">
        <f t="shared" si="57"/>
        <v>-1877654.56</v>
      </c>
      <c r="AK342" s="563"/>
      <c r="AL342" s="285">
        <f t="shared" si="59"/>
        <v>1.0000000096624717E-2</v>
      </c>
      <c r="AM342" s="286"/>
      <c r="AO342" s="330" t="s">
        <v>3399</v>
      </c>
    </row>
    <row r="343" spans="1:41">
      <c r="A343" s="587">
        <f t="shared" si="58"/>
        <v>340</v>
      </c>
      <c r="B343" s="330" t="s">
        <v>1643</v>
      </c>
      <c r="C343" s="330" t="s">
        <v>3401</v>
      </c>
      <c r="D343" s="330" t="s">
        <v>1662</v>
      </c>
      <c r="E343" s="330" t="s">
        <v>2299</v>
      </c>
      <c r="F343" s="330" t="s">
        <v>1671</v>
      </c>
      <c r="G343" s="562">
        <v>1498</v>
      </c>
      <c r="H343" s="562">
        <v>954.87</v>
      </c>
      <c r="I343" s="562">
        <v>1069.73</v>
      </c>
      <c r="J343" s="561" t="s">
        <v>1648</v>
      </c>
      <c r="K343" s="330" t="s">
        <v>3402</v>
      </c>
      <c r="L343" s="330" t="s">
        <v>3403</v>
      </c>
      <c r="M343" s="330" t="s">
        <v>3404</v>
      </c>
      <c r="N343" s="330" t="s">
        <v>12</v>
      </c>
      <c r="O343" s="395"/>
      <c r="P343" s="333">
        <v>8616000</v>
      </c>
      <c r="Q343" s="330" t="s">
        <v>1660</v>
      </c>
      <c r="R343" s="562">
        <v>0</v>
      </c>
      <c r="S343" s="333">
        <v>0</v>
      </c>
      <c r="T343" s="333">
        <v>43080</v>
      </c>
      <c r="U343" s="333">
        <f t="shared" si="54"/>
        <v>43080</v>
      </c>
      <c r="V343" s="333">
        <v>0</v>
      </c>
      <c r="W343" s="333">
        <v>0</v>
      </c>
      <c r="X343" s="333">
        <v>0</v>
      </c>
      <c r="Y343" s="333">
        <v>0</v>
      </c>
      <c r="Z343" s="333">
        <v>0</v>
      </c>
      <c r="AA343" s="333">
        <v>0</v>
      </c>
      <c r="AB343" s="333">
        <v>0</v>
      </c>
      <c r="AC343" s="333">
        <v>-86160</v>
      </c>
      <c r="AD343" s="333">
        <v>0</v>
      </c>
      <c r="AE343" s="333"/>
      <c r="AF343" s="333"/>
      <c r="AG343" s="333">
        <f t="shared" si="55"/>
        <v>-43080</v>
      </c>
      <c r="AH343" s="330"/>
      <c r="AI343" s="330">
        <v>86160</v>
      </c>
      <c r="AJ343" s="396">
        <f t="shared" si="57"/>
        <v>-43080</v>
      </c>
      <c r="AK343" s="563"/>
      <c r="AL343" s="285">
        <f>+AC343+AI343</f>
        <v>0</v>
      </c>
      <c r="AM343" s="286"/>
      <c r="AO343" s="330" t="s">
        <v>3402</v>
      </c>
    </row>
    <row r="344" spans="1:41">
      <c r="A344" s="587">
        <f t="shared" si="58"/>
        <v>341</v>
      </c>
      <c r="B344" s="330" t="s">
        <v>1643</v>
      </c>
      <c r="C344" s="330" t="s">
        <v>3405</v>
      </c>
      <c r="D344" s="330" t="s">
        <v>1704</v>
      </c>
      <c r="E344" s="330" t="s">
        <v>2073</v>
      </c>
      <c r="F344" s="330" t="s">
        <v>1647</v>
      </c>
      <c r="G344" s="562">
        <v>1114</v>
      </c>
      <c r="H344" s="562">
        <v>683.3</v>
      </c>
      <c r="I344" s="562">
        <v>795.57</v>
      </c>
      <c r="J344" s="561" t="s">
        <v>1648</v>
      </c>
      <c r="K344" s="330" t="s">
        <v>3406</v>
      </c>
      <c r="L344" s="330" t="s">
        <v>3407</v>
      </c>
      <c r="M344" s="330" t="s">
        <v>3408</v>
      </c>
      <c r="N344" s="330" t="s">
        <v>3409</v>
      </c>
      <c r="O344" s="395">
        <v>45456</v>
      </c>
      <c r="P344" s="333">
        <v>6357143</v>
      </c>
      <c r="Q344" s="330" t="s">
        <v>1653</v>
      </c>
      <c r="R344" s="562">
        <v>0</v>
      </c>
      <c r="S344" s="333">
        <v>0</v>
      </c>
      <c r="T344" s="333">
        <v>-1894713.2700000003</v>
      </c>
      <c r="U344" s="333">
        <f t="shared" si="54"/>
        <v>-1894713.2700000003</v>
      </c>
      <c r="V344" s="333">
        <v>0</v>
      </c>
      <c r="W344" s="333">
        <v>0</v>
      </c>
      <c r="X344" s="333">
        <v>0</v>
      </c>
      <c r="Y344" s="333">
        <v>0</v>
      </c>
      <c r="Z344" s="333">
        <v>0</v>
      </c>
      <c r="AA344" s="333">
        <v>0</v>
      </c>
      <c r="AB344" s="333">
        <v>0</v>
      </c>
      <c r="AC344" s="333">
        <v>0</v>
      </c>
      <c r="AD344" s="333">
        <v>0</v>
      </c>
      <c r="AE344" s="333"/>
      <c r="AF344" s="333"/>
      <c r="AG344" s="333">
        <f t="shared" si="55"/>
        <v>-1894713.2700000003</v>
      </c>
      <c r="AH344" s="330"/>
      <c r="AI344" s="330">
        <v>0</v>
      </c>
      <c r="AJ344" s="396">
        <f t="shared" si="57"/>
        <v>-1894713.2700000003</v>
      </c>
      <c r="AK344" s="563"/>
      <c r="AL344" s="285">
        <f t="shared" si="59"/>
        <v>0</v>
      </c>
      <c r="AM344" s="286"/>
      <c r="AO344" s="330" t="s">
        <v>3406</v>
      </c>
    </row>
    <row r="345" spans="1:41">
      <c r="A345" s="587">
        <f t="shared" si="58"/>
        <v>342</v>
      </c>
      <c r="B345" s="330" t="s">
        <v>1643</v>
      </c>
      <c r="C345" s="330" t="s">
        <v>3410</v>
      </c>
      <c r="D345" s="330" t="s">
        <v>1746</v>
      </c>
      <c r="E345" s="330" t="s">
        <v>2536</v>
      </c>
      <c r="F345" s="330" t="s">
        <v>1786</v>
      </c>
      <c r="G345" s="562">
        <v>1265</v>
      </c>
      <c r="H345" s="562">
        <v>813.33</v>
      </c>
      <c r="I345" s="562">
        <v>903.31</v>
      </c>
      <c r="J345" s="561" t="s">
        <v>1648</v>
      </c>
      <c r="K345" s="330" t="s">
        <v>3411</v>
      </c>
      <c r="L345" s="330" t="s">
        <v>3412</v>
      </c>
      <c r="M345" s="330" t="s">
        <v>3413</v>
      </c>
      <c r="N345" s="330" t="s">
        <v>3414</v>
      </c>
      <c r="O345" s="395">
        <v>45468</v>
      </c>
      <c r="P345" s="333">
        <v>6937429</v>
      </c>
      <c r="Q345" s="330" t="s">
        <v>1653</v>
      </c>
      <c r="R345" s="562">
        <v>0</v>
      </c>
      <c r="S345" s="333">
        <v>0</v>
      </c>
      <c r="T345" s="333">
        <v>-1866826.5600000003</v>
      </c>
      <c r="U345" s="333">
        <f t="shared" si="54"/>
        <v>-1866826.5600000003</v>
      </c>
      <c r="V345" s="333">
        <v>0</v>
      </c>
      <c r="W345" s="333">
        <v>0</v>
      </c>
      <c r="X345" s="333">
        <v>0</v>
      </c>
      <c r="Y345" s="333">
        <v>0</v>
      </c>
      <c r="Z345" s="333">
        <v>0</v>
      </c>
      <c r="AA345" s="333">
        <v>0</v>
      </c>
      <c r="AB345" s="333">
        <v>0</v>
      </c>
      <c r="AC345" s="333">
        <v>0</v>
      </c>
      <c r="AD345" s="333">
        <v>0</v>
      </c>
      <c r="AE345" s="333"/>
      <c r="AF345" s="333"/>
      <c r="AG345" s="333">
        <f t="shared" si="55"/>
        <v>-1866826.5600000003</v>
      </c>
      <c r="AH345" s="330"/>
      <c r="AI345" s="330">
        <v>0</v>
      </c>
      <c r="AJ345" s="396">
        <f t="shared" si="57"/>
        <v>-1866826.5600000003</v>
      </c>
      <c r="AK345" s="563"/>
      <c r="AL345" s="285">
        <f t="shared" si="59"/>
        <v>0</v>
      </c>
      <c r="AM345" s="286"/>
      <c r="AO345" s="330" t="s">
        <v>3411</v>
      </c>
    </row>
    <row r="346" spans="1:41">
      <c r="A346" s="587">
        <f t="shared" si="58"/>
        <v>343</v>
      </c>
      <c r="B346" s="330" t="s">
        <v>1643</v>
      </c>
      <c r="C346" s="330" t="s">
        <v>3415</v>
      </c>
      <c r="D346" s="330" t="s">
        <v>1645</v>
      </c>
      <c r="E346" s="330" t="s">
        <v>3416</v>
      </c>
      <c r="F346" s="330" t="s">
        <v>1671</v>
      </c>
      <c r="G346" s="562">
        <v>1375</v>
      </c>
      <c r="H346" s="562">
        <v>876.73</v>
      </c>
      <c r="I346" s="562">
        <v>982.22</v>
      </c>
      <c r="J346" s="561" t="s">
        <v>1648</v>
      </c>
      <c r="K346" s="330" t="s">
        <v>3417</v>
      </c>
      <c r="L346" s="330" t="s">
        <v>3418</v>
      </c>
      <c r="M346" s="330" t="s">
        <v>3419</v>
      </c>
      <c r="N346" s="330" t="s">
        <v>3420</v>
      </c>
      <c r="O346" s="395">
        <v>45443</v>
      </c>
      <c r="P346" s="333">
        <v>7705333</v>
      </c>
      <c r="Q346" s="330" t="s">
        <v>1653</v>
      </c>
      <c r="R346" s="562">
        <v>0</v>
      </c>
      <c r="S346" s="333">
        <v>0</v>
      </c>
      <c r="T346" s="333">
        <v>-2388653</v>
      </c>
      <c r="U346" s="333">
        <f t="shared" si="54"/>
        <v>-2388653</v>
      </c>
      <c r="V346" s="333">
        <v>0</v>
      </c>
      <c r="W346" s="333">
        <v>0</v>
      </c>
      <c r="X346" s="333">
        <v>0</v>
      </c>
      <c r="Y346" s="333">
        <v>0</v>
      </c>
      <c r="Z346" s="333">
        <v>0</v>
      </c>
      <c r="AA346" s="333">
        <v>0</v>
      </c>
      <c r="AB346" s="333">
        <v>0</v>
      </c>
      <c r="AC346" s="333">
        <v>0</v>
      </c>
      <c r="AD346" s="333">
        <v>0</v>
      </c>
      <c r="AE346" s="333"/>
      <c r="AF346" s="333"/>
      <c r="AG346" s="333">
        <f t="shared" si="55"/>
        <v>-2388653</v>
      </c>
      <c r="AH346" s="330"/>
      <c r="AI346" s="330">
        <v>0</v>
      </c>
      <c r="AJ346" s="396">
        <f t="shared" si="57"/>
        <v>-2388653</v>
      </c>
      <c r="AK346" s="563"/>
      <c r="AL346" s="285">
        <f t="shared" ref="AL346:AL347" si="61">+AC346+AI346</f>
        <v>0</v>
      </c>
      <c r="AM346" s="286"/>
      <c r="AO346" s="330" t="s">
        <v>3417</v>
      </c>
    </row>
    <row r="347" spans="1:41">
      <c r="A347" s="587">
        <f t="shared" si="58"/>
        <v>344</v>
      </c>
      <c r="B347" s="330" t="s">
        <v>1643</v>
      </c>
      <c r="C347" s="330" t="s">
        <v>3421</v>
      </c>
      <c r="D347" s="330" t="s">
        <v>1746</v>
      </c>
      <c r="E347" s="330" t="s">
        <v>2606</v>
      </c>
      <c r="F347" s="330" t="s">
        <v>1647</v>
      </c>
      <c r="G347" s="562">
        <v>1012</v>
      </c>
      <c r="H347" s="562">
        <v>653.59</v>
      </c>
      <c r="I347" s="562">
        <v>723.02</v>
      </c>
      <c r="J347" s="561" t="s">
        <v>1648</v>
      </c>
      <c r="K347" s="330" t="s">
        <v>3422</v>
      </c>
      <c r="L347" s="330" t="s">
        <v>3423</v>
      </c>
      <c r="M347" s="330" t="s">
        <v>3424</v>
      </c>
      <c r="N347" s="330" t="s">
        <v>3425</v>
      </c>
      <c r="O347" s="395">
        <v>45450</v>
      </c>
      <c r="P347" s="333">
        <v>5683644</v>
      </c>
      <c r="Q347" s="330" t="s">
        <v>1653</v>
      </c>
      <c r="R347" s="562">
        <v>0</v>
      </c>
      <c r="S347" s="333">
        <v>0</v>
      </c>
      <c r="T347" s="333">
        <v>-1759500.3400000003</v>
      </c>
      <c r="U347" s="333">
        <f t="shared" si="54"/>
        <v>-1759500.3400000003</v>
      </c>
      <c r="V347" s="333">
        <v>0</v>
      </c>
      <c r="W347" s="333">
        <v>0</v>
      </c>
      <c r="X347" s="333">
        <v>0</v>
      </c>
      <c r="Y347" s="333">
        <v>0</v>
      </c>
      <c r="Z347" s="333">
        <v>0</v>
      </c>
      <c r="AA347" s="333">
        <v>0</v>
      </c>
      <c r="AB347" s="333">
        <v>0</v>
      </c>
      <c r="AC347" s="333">
        <v>-2428</v>
      </c>
      <c r="AD347" s="333">
        <v>0</v>
      </c>
      <c r="AE347" s="333"/>
      <c r="AF347" s="333"/>
      <c r="AG347" s="333">
        <f t="shared" si="55"/>
        <v>-1761928.3400000003</v>
      </c>
      <c r="AH347" s="330"/>
      <c r="AI347" s="330">
        <v>2428</v>
      </c>
      <c r="AJ347" s="396">
        <f t="shared" si="57"/>
        <v>-1761928.3400000003</v>
      </c>
      <c r="AK347" s="563"/>
      <c r="AL347" s="285">
        <f t="shared" si="61"/>
        <v>0</v>
      </c>
      <c r="AM347" s="286"/>
      <c r="AO347" s="330" t="s">
        <v>3422</v>
      </c>
    </row>
    <row r="348" spans="1:41">
      <c r="A348" s="587">
        <f t="shared" si="58"/>
        <v>345</v>
      </c>
      <c r="B348" s="330" t="s">
        <v>1643</v>
      </c>
      <c r="C348" s="330" t="s">
        <v>3426</v>
      </c>
      <c r="D348" s="330" t="s">
        <v>1704</v>
      </c>
      <c r="E348" s="330" t="s">
        <v>2183</v>
      </c>
      <c r="F348" s="330" t="s">
        <v>1671</v>
      </c>
      <c r="G348" s="562">
        <v>1498</v>
      </c>
      <c r="H348" s="562">
        <v>954.87</v>
      </c>
      <c r="I348" s="562">
        <v>1069.73</v>
      </c>
      <c r="J348" s="561" t="s">
        <v>1648</v>
      </c>
      <c r="K348" s="330" t="s">
        <v>3427</v>
      </c>
      <c r="L348" s="330" t="s">
        <v>3428</v>
      </c>
      <c r="M348" s="330" t="s">
        <v>3429</v>
      </c>
      <c r="N348" s="330" t="s">
        <v>3430</v>
      </c>
      <c r="O348" s="395">
        <v>45537</v>
      </c>
      <c r="P348" s="333">
        <v>9071428</v>
      </c>
      <c r="Q348" s="330" t="s">
        <v>1653</v>
      </c>
      <c r="R348" s="562">
        <v>0</v>
      </c>
      <c r="S348" s="333">
        <v>0</v>
      </c>
      <c r="T348" s="333">
        <v>-2812143.58</v>
      </c>
      <c r="U348" s="333">
        <f t="shared" si="54"/>
        <v>-2812143.58</v>
      </c>
      <c r="V348" s="333">
        <v>0</v>
      </c>
      <c r="W348" s="333">
        <v>0</v>
      </c>
      <c r="X348" s="333">
        <v>0</v>
      </c>
      <c r="Y348" s="333">
        <v>0</v>
      </c>
      <c r="Z348" s="333">
        <v>0</v>
      </c>
      <c r="AA348" s="333">
        <v>0</v>
      </c>
      <c r="AB348" s="333">
        <v>0</v>
      </c>
      <c r="AC348" s="333">
        <v>0</v>
      </c>
      <c r="AD348" s="333">
        <v>0</v>
      </c>
      <c r="AE348" s="333"/>
      <c r="AF348" s="333"/>
      <c r="AG348" s="333">
        <f t="shared" si="55"/>
        <v>-2812143.58</v>
      </c>
      <c r="AH348" s="330"/>
      <c r="AI348" s="330">
        <v>0</v>
      </c>
      <c r="AJ348" s="396">
        <f t="shared" si="57"/>
        <v>-2812143.58</v>
      </c>
      <c r="AK348" s="563"/>
      <c r="AL348" s="285">
        <f t="shared" si="59"/>
        <v>0</v>
      </c>
      <c r="AM348" s="286"/>
      <c r="AO348" s="330" t="s">
        <v>3427</v>
      </c>
    </row>
    <row r="349" spans="1:41">
      <c r="A349" s="587">
        <f t="shared" si="58"/>
        <v>346</v>
      </c>
      <c r="B349" s="330" t="s">
        <v>1643</v>
      </c>
      <c r="C349" s="330" t="s">
        <v>3431</v>
      </c>
      <c r="D349" s="330" t="s">
        <v>1662</v>
      </c>
      <c r="E349" s="330" t="s">
        <v>2486</v>
      </c>
      <c r="F349" s="330" t="s">
        <v>1647</v>
      </c>
      <c r="G349" s="562">
        <v>1114</v>
      </c>
      <c r="H349" s="562">
        <v>683.3</v>
      </c>
      <c r="I349" s="562">
        <v>795.57</v>
      </c>
      <c r="J349" s="561" t="s">
        <v>1648</v>
      </c>
      <c r="K349" s="330" t="s">
        <v>3432</v>
      </c>
      <c r="L349" s="330" t="s">
        <v>3433</v>
      </c>
      <c r="M349" s="330" t="s">
        <v>3434</v>
      </c>
      <c r="N349" s="330" t="s">
        <v>3435</v>
      </c>
      <c r="O349" s="395">
        <v>45435</v>
      </c>
      <c r="P349" s="333">
        <v>6337489</v>
      </c>
      <c r="Q349" s="330" t="s">
        <v>1653</v>
      </c>
      <c r="R349" s="562">
        <v>0</v>
      </c>
      <c r="S349" s="333">
        <v>0</v>
      </c>
      <c r="T349" s="333">
        <v>-1907777.5500000003</v>
      </c>
      <c r="U349" s="333">
        <f t="shared" si="54"/>
        <v>-1907777.5500000003</v>
      </c>
      <c r="V349" s="333">
        <v>-49700</v>
      </c>
      <c r="W349" s="333">
        <v>0</v>
      </c>
      <c r="X349" s="333">
        <v>0</v>
      </c>
      <c r="Y349" s="333">
        <v>0</v>
      </c>
      <c r="Z349" s="333">
        <v>0</v>
      </c>
      <c r="AA349" s="333">
        <v>0</v>
      </c>
      <c r="AB349" s="333">
        <v>0</v>
      </c>
      <c r="AC349" s="333">
        <v>0</v>
      </c>
      <c r="AD349" s="333">
        <v>0</v>
      </c>
      <c r="AE349" s="333"/>
      <c r="AF349" s="333"/>
      <c r="AG349" s="333">
        <f t="shared" si="55"/>
        <v>-1957477.5500000003</v>
      </c>
      <c r="AH349" s="330"/>
      <c r="AI349" s="330">
        <v>0</v>
      </c>
      <c r="AJ349" s="396">
        <f t="shared" si="57"/>
        <v>-1957477.5500000003</v>
      </c>
      <c r="AK349" s="563"/>
      <c r="AL349" s="285">
        <f t="shared" si="59"/>
        <v>0</v>
      </c>
      <c r="AM349" s="286"/>
      <c r="AO349" s="330" t="s">
        <v>3432</v>
      </c>
    </row>
    <row r="350" spans="1:41">
      <c r="A350" s="587">
        <f t="shared" si="58"/>
        <v>347</v>
      </c>
      <c r="B350" s="330" t="s">
        <v>1643</v>
      </c>
      <c r="C350" s="330" t="s">
        <v>3436</v>
      </c>
      <c r="D350" s="330" t="s">
        <v>1645</v>
      </c>
      <c r="E350" s="330" t="s">
        <v>1705</v>
      </c>
      <c r="F350" s="330" t="s">
        <v>1647</v>
      </c>
      <c r="G350" s="562">
        <v>1114</v>
      </c>
      <c r="H350" s="562">
        <v>683.3</v>
      </c>
      <c r="I350" s="562">
        <v>795.57</v>
      </c>
      <c r="J350" s="561" t="s">
        <v>1648</v>
      </c>
      <c r="K350" s="330" t="s">
        <v>3437</v>
      </c>
      <c r="L350" s="330" t="s">
        <v>3438</v>
      </c>
      <c r="M350" s="330" t="s">
        <v>3439</v>
      </c>
      <c r="N350" s="330" t="s">
        <v>3440</v>
      </c>
      <c r="O350" s="395">
        <v>45406</v>
      </c>
      <c r="P350" s="333">
        <v>6247788</v>
      </c>
      <c r="Q350" s="330" t="s">
        <v>1653</v>
      </c>
      <c r="R350" s="562">
        <v>0</v>
      </c>
      <c r="S350" s="333">
        <v>0</v>
      </c>
      <c r="T350" s="333">
        <v>-1905862.0599999994</v>
      </c>
      <c r="U350" s="333">
        <f t="shared" si="54"/>
        <v>-1905862.0599999994</v>
      </c>
      <c r="V350" s="333">
        <v>-25000</v>
      </c>
      <c r="W350" s="333">
        <v>0</v>
      </c>
      <c r="X350" s="333">
        <v>0</v>
      </c>
      <c r="Y350" s="333">
        <v>0</v>
      </c>
      <c r="Z350" s="333">
        <v>0</v>
      </c>
      <c r="AA350" s="333">
        <v>0</v>
      </c>
      <c r="AB350" s="333">
        <v>0</v>
      </c>
      <c r="AC350" s="333">
        <v>-1429</v>
      </c>
      <c r="AD350" s="333">
        <v>0</v>
      </c>
      <c r="AE350" s="333"/>
      <c r="AF350" s="333"/>
      <c r="AG350" s="333">
        <f t="shared" si="55"/>
        <v>-1932291.0599999994</v>
      </c>
      <c r="AH350" s="330"/>
      <c r="AI350" s="330">
        <v>1429</v>
      </c>
      <c r="AJ350" s="396">
        <f t="shared" si="57"/>
        <v>-1932291.0599999994</v>
      </c>
      <c r="AK350" s="563"/>
      <c r="AL350" s="285">
        <f>+AC350+AI350</f>
        <v>0</v>
      </c>
      <c r="AM350" s="286"/>
      <c r="AO350" s="330" t="s">
        <v>3437</v>
      </c>
    </row>
    <row r="351" spans="1:41">
      <c r="A351" s="587">
        <f t="shared" si="58"/>
        <v>348</v>
      </c>
      <c r="B351" s="330" t="s">
        <v>1643</v>
      </c>
      <c r="C351" s="330" t="s">
        <v>2273</v>
      </c>
      <c r="D351" s="330" t="s">
        <v>1746</v>
      </c>
      <c r="E351" s="330" t="s">
        <v>2274</v>
      </c>
      <c r="F351" s="330" t="s">
        <v>1647</v>
      </c>
      <c r="G351" s="562">
        <v>1012</v>
      </c>
      <c r="H351" s="562">
        <v>653.59</v>
      </c>
      <c r="I351" s="562">
        <v>723.02</v>
      </c>
      <c r="J351" s="561" t="s">
        <v>1648</v>
      </c>
      <c r="K351" s="330" t="s">
        <v>3441</v>
      </c>
      <c r="L351" s="330" t="s">
        <v>3442</v>
      </c>
      <c r="M351" s="330" t="s">
        <v>3443</v>
      </c>
      <c r="N351" s="330" t="s">
        <v>2278</v>
      </c>
      <c r="O351" s="395">
        <v>45462</v>
      </c>
      <c r="P351" s="333">
        <v>5729194</v>
      </c>
      <c r="Q351" s="330" t="s">
        <v>1660</v>
      </c>
      <c r="R351" s="562">
        <v>0</v>
      </c>
      <c r="S351" s="333">
        <v>0</v>
      </c>
      <c r="T351" s="333">
        <v>0</v>
      </c>
      <c r="U351" s="333">
        <f t="shared" si="54"/>
        <v>0</v>
      </c>
      <c r="V351" s="333">
        <v>0</v>
      </c>
      <c r="W351" s="333">
        <v>0</v>
      </c>
      <c r="X351" s="333">
        <v>0</v>
      </c>
      <c r="Y351" s="333">
        <v>0</v>
      </c>
      <c r="Z351" s="333">
        <v>0</v>
      </c>
      <c r="AA351" s="333">
        <v>0</v>
      </c>
      <c r="AB351" s="333">
        <v>0</v>
      </c>
      <c r="AC351" s="333">
        <v>0</v>
      </c>
      <c r="AD351" s="333">
        <v>0</v>
      </c>
      <c r="AE351" s="333"/>
      <c r="AF351" s="333"/>
      <c r="AG351" s="333">
        <f t="shared" si="55"/>
        <v>0</v>
      </c>
      <c r="AH351" s="330"/>
      <c r="AI351" s="330">
        <v>0</v>
      </c>
      <c r="AJ351" s="396">
        <f t="shared" si="57"/>
        <v>0</v>
      </c>
      <c r="AK351" s="563"/>
      <c r="AL351" s="285">
        <f t="shared" si="59"/>
        <v>0</v>
      </c>
      <c r="AM351" s="286"/>
      <c r="AO351" s="330" t="s">
        <v>3441</v>
      </c>
    </row>
    <row r="352" spans="1:41">
      <c r="A352" s="587">
        <f t="shared" si="58"/>
        <v>349</v>
      </c>
      <c r="B352" s="330" t="s">
        <v>1643</v>
      </c>
      <c r="C352" s="330" t="s">
        <v>3444</v>
      </c>
      <c r="D352" s="330" t="s">
        <v>1704</v>
      </c>
      <c r="E352" s="330" t="s">
        <v>2873</v>
      </c>
      <c r="F352" s="330" t="s">
        <v>1647</v>
      </c>
      <c r="G352" s="562">
        <v>1012</v>
      </c>
      <c r="H352" s="562">
        <v>653.59</v>
      </c>
      <c r="I352" s="562">
        <v>723.02</v>
      </c>
      <c r="J352" s="561" t="s">
        <v>1648</v>
      </c>
      <c r="K352" s="330" t="s">
        <v>3445</v>
      </c>
      <c r="L352" s="330" t="s">
        <v>3446</v>
      </c>
      <c r="M352" s="330" t="s">
        <v>3447</v>
      </c>
      <c r="N352" s="330" t="s">
        <v>3448</v>
      </c>
      <c r="O352" s="395">
        <v>45456</v>
      </c>
      <c r="P352" s="333">
        <v>5776762</v>
      </c>
      <c r="Q352" s="330" t="s">
        <v>1653</v>
      </c>
      <c r="R352" s="562">
        <v>0</v>
      </c>
      <c r="S352" s="333">
        <v>0</v>
      </c>
      <c r="T352" s="333">
        <v>-1733108.5599999998</v>
      </c>
      <c r="U352" s="333">
        <f t="shared" si="54"/>
        <v>-1733108.5599999998</v>
      </c>
      <c r="V352" s="333">
        <v>-100000</v>
      </c>
      <c r="W352" s="333">
        <v>0</v>
      </c>
      <c r="X352" s="333">
        <v>0</v>
      </c>
      <c r="Y352" s="333">
        <v>0</v>
      </c>
      <c r="Z352" s="333">
        <v>0</v>
      </c>
      <c r="AA352" s="333">
        <v>0</v>
      </c>
      <c r="AB352" s="333">
        <v>0</v>
      </c>
      <c r="AC352" s="333">
        <v>0</v>
      </c>
      <c r="AD352" s="333">
        <v>0</v>
      </c>
      <c r="AE352" s="333"/>
      <c r="AF352" s="333"/>
      <c r="AG352" s="333">
        <f t="shared" si="55"/>
        <v>-1833108.5599999998</v>
      </c>
      <c r="AH352" s="330"/>
      <c r="AI352" s="330">
        <v>0</v>
      </c>
      <c r="AJ352" s="396">
        <f t="shared" si="57"/>
        <v>-1833108.5599999998</v>
      </c>
      <c r="AK352" s="563"/>
      <c r="AL352" s="285">
        <f t="shared" si="59"/>
        <v>0</v>
      </c>
      <c r="AM352" s="286"/>
      <c r="AO352" s="330" t="s">
        <v>3445</v>
      </c>
    </row>
    <row r="353" spans="1:41">
      <c r="A353" s="587">
        <f t="shared" si="58"/>
        <v>350</v>
      </c>
      <c r="B353" s="330" t="s">
        <v>1643</v>
      </c>
      <c r="C353" s="330" t="s">
        <v>3449</v>
      </c>
      <c r="D353" s="330" t="s">
        <v>1645</v>
      </c>
      <c r="E353" s="330" t="s">
        <v>1691</v>
      </c>
      <c r="F353" s="330" t="s">
        <v>1647</v>
      </c>
      <c r="G353" s="562">
        <v>1012</v>
      </c>
      <c r="H353" s="562">
        <v>653.59</v>
      </c>
      <c r="I353" s="562">
        <v>723.02</v>
      </c>
      <c r="J353" s="561" t="s">
        <v>1648</v>
      </c>
      <c r="K353" s="330" t="s">
        <v>3450</v>
      </c>
      <c r="L353" s="330" t="s">
        <v>3451</v>
      </c>
      <c r="M353" s="330" t="s">
        <v>3452</v>
      </c>
      <c r="N353" s="330" t="s">
        <v>3453</v>
      </c>
      <c r="O353" s="395">
        <v>45408</v>
      </c>
      <c r="P353" s="333">
        <v>5687429</v>
      </c>
      <c r="Q353" s="330" t="s">
        <v>1653</v>
      </c>
      <c r="R353" s="562">
        <v>0</v>
      </c>
      <c r="S353" s="333">
        <v>0</v>
      </c>
      <c r="T353" s="333">
        <v>-1706229.85</v>
      </c>
      <c r="U353" s="333">
        <f t="shared" si="54"/>
        <v>-1706229.85</v>
      </c>
      <c r="V353" s="333">
        <v>-75000</v>
      </c>
      <c r="W353" s="333">
        <v>0</v>
      </c>
      <c r="X353" s="333">
        <v>0</v>
      </c>
      <c r="Y353" s="333">
        <v>0</v>
      </c>
      <c r="Z353" s="333">
        <v>0</v>
      </c>
      <c r="AA353" s="333">
        <v>0</v>
      </c>
      <c r="AB353" s="333">
        <v>0</v>
      </c>
      <c r="AC353" s="333">
        <v>0</v>
      </c>
      <c r="AD353" s="333">
        <v>0</v>
      </c>
      <c r="AE353" s="333"/>
      <c r="AF353" s="333"/>
      <c r="AG353" s="333">
        <f t="shared" si="55"/>
        <v>-1781229.85</v>
      </c>
      <c r="AH353" s="330"/>
      <c r="AI353" s="330">
        <v>0</v>
      </c>
      <c r="AJ353" s="396">
        <f t="shared" si="57"/>
        <v>-1781229.85</v>
      </c>
      <c r="AK353" s="563"/>
      <c r="AL353" s="285">
        <f t="shared" si="59"/>
        <v>0</v>
      </c>
      <c r="AM353" s="286"/>
      <c r="AO353" s="330" t="s">
        <v>3450</v>
      </c>
    </row>
    <row r="354" spans="1:41">
      <c r="A354" s="587">
        <f t="shared" si="58"/>
        <v>351</v>
      </c>
      <c r="B354" s="330" t="s">
        <v>1643</v>
      </c>
      <c r="C354" s="330" t="s">
        <v>3454</v>
      </c>
      <c r="D354" s="330" t="s">
        <v>1677</v>
      </c>
      <c r="E354" s="330" t="s">
        <v>1846</v>
      </c>
      <c r="F354" s="330" t="s">
        <v>1647</v>
      </c>
      <c r="G354" s="562">
        <v>1114</v>
      </c>
      <c r="H354" s="562">
        <v>683.3</v>
      </c>
      <c r="I354" s="562">
        <v>795.57</v>
      </c>
      <c r="J354" s="561" t="s">
        <v>1679</v>
      </c>
      <c r="K354" s="330" t="s">
        <v>3455</v>
      </c>
      <c r="L354" s="330" t="s">
        <v>3456</v>
      </c>
      <c r="M354" s="330" t="s">
        <v>3457</v>
      </c>
      <c r="N354" s="330" t="s">
        <v>12</v>
      </c>
      <c r="O354" s="395"/>
      <c r="P354" s="333">
        <v>6982095</v>
      </c>
      <c r="Q354" s="330" t="s">
        <v>1653</v>
      </c>
      <c r="R354" s="562">
        <v>0</v>
      </c>
      <c r="S354" s="333">
        <v>0</v>
      </c>
      <c r="T354" s="333">
        <v>-805248</v>
      </c>
      <c r="U354" s="333">
        <f t="shared" si="54"/>
        <v>-805248</v>
      </c>
      <c r="V354" s="333">
        <v>0</v>
      </c>
      <c r="W354" s="333">
        <v>0</v>
      </c>
      <c r="X354" s="333">
        <v>0</v>
      </c>
      <c r="Y354" s="333">
        <v>0</v>
      </c>
      <c r="Z354" s="333">
        <v>0</v>
      </c>
      <c r="AA354" s="333">
        <v>0</v>
      </c>
      <c r="AB354" s="333">
        <v>0</v>
      </c>
      <c r="AC354" s="333">
        <v>-10312</v>
      </c>
      <c r="AD354" s="333">
        <v>0</v>
      </c>
      <c r="AE354" s="333"/>
      <c r="AF354" s="333"/>
      <c r="AG354" s="333">
        <f t="shared" si="55"/>
        <v>-815560</v>
      </c>
      <c r="AH354" s="330"/>
      <c r="AI354" s="330">
        <v>10312</v>
      </c>
      <c r="AJ354" s="396">
        <f t="shared" si="57"/>
        <v>-815560</v>
      </c>
      <c r="AK354" s="563"/>
      <c r="AL354" s="285">
        <f>+AC354+AI354</f>
        <v>0</v>
      </c>
      <c r="AM354" s="286"/>
      <c r="AO354" s="330" t="s">
        <v>3455</v>
      </c>
    </row>
    <row r="355" spans="1:41">
      <c r="A355" s="587">
        <f t="shared" si="58"/>
        <v>352</v>
      </c>
      <c r="B355" s="330" t="s">
        <v>1643</v>
      </c>
      <c r="C355" s="330" t="s">
        <v>3458</v>
      </c>
      <c r="D355" s="330" t="s">
        <v>1662</v>
      </c>
      <c r="E355" s="330" t="s">
        <v>1941</v>
      </c>
      <c r="F355" s="330" t="s">
        <v>1671</v>
      </c>
      <c r="G355" s="562">
        <v>1498</v>
      </c>
      <c r="H355" s="562">
        <v>954.87</v>
      </c>
      <c r="I355" s="562">
        <v>1069.73</v>
      </c>
      <c r="J355" s="561" t="s">
        <v>1810</v>
      </c>
      <c r="K355" s="330" t="s">
        <v>3459</v>
      </c>
      <c r="L355" s="330" t="s">
        <v>3460</v>
      </c>
      <c r="M355" s="330" t="s">
        <v>3461</v>
      </c>
      <c r="N355" s="330" t="s">
        <v>3462</v>
      </c>
      <c r="O355" s="395">
        <v>45441</v>
      </c>
      <c r="P355" s="333">
        <v>8571428</v>
      </c>
      <c r="Q355" s="330" t="s">
        <v>1653</v>
      </c>
      <c r="R355" s="562">
        <v>0</v>
      </c>
      <c r="S355" s="333">
        <v>0</v>
      </c>
      <c r="T355" s="333">
        <v>-2429999.0100000007</v>
      </c>
      <c r="U355" s="333">
        <f t="shared" si="54"/>
        <v>-2429999.0100000007</v>
      </c>
      <c r="V355" s="333">
        <v>0</v>
      </c>
      <c r="W355" s="333">
        <v>0</v>
      </c>
      <c r="X355" s="333">
        <v>0</v>
      </c>
      <c r="Y355" s="333">
        <v>0</v>
      </c>
      <c r="Z355" s="333">
        <v>0</v>
      </c>
      <c r="AA355" s="333">
        <v>0</v>
      </c>
      <c r="AB355" s="333">
        <v>0</v>
      </c>
      <c r="AC355" s="333">
        <v>5.9999999986757757E-2</v>
      </c>
      <c r="AD355" s="333">
        <v>0</v>
      </c>
      <c r="AE355" s="333"/>
      <c r="AF355" s="333"/>
      <c r="AG355" s="333">
        <f t="shared" si="55"/>
        <v>-2429998.9500000007</v>
      </c>
      <c r="AH355" s="330"/>
      <c r="AI355" s="330">
        <v>-6.0000000001309672E-2</v>
      </c>
      <c r="AJ355" s="396">
        <f t="shared" si="57"/>
        <v>-2429998.9500000007</v>
      </c>
      <c r="AK355" s="563"/>
      <c r="AL355" s="285">
        <f t="shared" si="59"/>
        <v>0.11999999998806743</v>
      </c>
      <c r="AM355" s="286"/>
      <c r="AO355" s="330" t="s">
        <v>3459</v>
      </c>
    </row>
    <row r="356" spans="1:41">
      <c r="A356" s="587">
        <f t="shared" si="58"/>
        <v>353</v>
      </c>
      <c r="B356" s="330" t="s">
        <v>1643</v>
      </c>
      <c r="C356" s="330" t="s">
        <v>1727</v>
      </c>
      <c r="D356" s="330" t="s">
        <v>1662</v>
      </c>
      <c r="E356" s="330" t="s">
        <v>1728</v>
      </c>
      <c r="F356" s="330" t="s">
        <v>1647</v>
      </c>
      <c r="G356" s="562">
        <v>1012</v>
      </c>
      <c r="H356" s="562">
        <v>653.59</v>
      </c>
      <c r="I356" s="562">
        <v>723.02</v>
      </c>
      <c r="J356" s="561" t="s">
        <v>1810</v>
      </c>
      <c r="K356" s="330" t="s">
        <v>3463</v>
      </c>
      <c r="L356" s="330" t="s">
        <v>3464</v>
      </c>
      <c r="M356" s="330" t="s">
        <v>3465</v>
      </c>
      <c r="N356" s="330" t="s">
        <v>3466</v>
      </c>
      <c r="O356" s="395">
        <v>45454</v>
      </c>
      <c r="P356" s="333">
        <v>5714010</v>
      </c>
      <c r="Q356" s="330" t="s">
        <v>1660</v>
      </c>
      <c r="R356" s="562">
        <v>0</v>
      </c>
      <c r="S356" s="333">
        <v>0</v>
      </c>
      <c r="T356" s="333">
        <v>-28570.040000000034</v>
      </c>
      <c r="U356" s="333">
        <f t="shared" si="54"/>
        <v>-28570.040000000034</v>
      </c>
      <c r="V356" s="333">
        <v>0</v>
      </c>
      <c r="W356" s="333">
        <v>0</v>
      </c>
      <c r="X356" s="333">
        <v>0</v>
      </c>
      <c r="Y356" s="333">
        <v>0</v>
      </c>
      <c r="Z356" s="333">
        <v>0</v>
      </c>
      <c r="AA356" s="333">
        <v>0</v>
      </c>
      <c r="AB356" s="333">
        <v>0</v>
      </c>
      <c r="AC356" s="333">
        <v>-28570.060000000056</v>
      </c>
      <c r="AD356" s="333">
        <v>0</v>
      </c>
      <c r="AE356" s="333"/>
      <c r="AF356" s="333"/>
      <c r="AG356" s="333">
        <f t="shared" si="55"/>
        <v>-57140.100000000093</v>
      </c>
      <c r="AH356" s="330"/>
      <c r="AI356" s="330">
        <v>28570.06</v>
      </c>
      <c r="AJ356" s="396">
        <f t="shared" si="57"/>
        <v>-57140.100000000093</v>
      </c>
      <c r="AK356" s="563"/>
      <c r="AL356" s="285">
        <f>+AC356+AI356</f>
        <v>-5.4569682106375694E-11</v>
      </c>
      <c r="AM356" s="286"/>
      <c r="AO356" s="330" t="s">
        <v>3463</v>
      </c>
    </row>
    <row r="357" spans="1:41">
      <c r="A357" s="587">
        <f t="shared" si="58"/>
        <v>354</v>
      </c>
      <c r="B357" s="330" t="s">
        <v>1643</v>
      </c>
      <c r="C357" s="330" t="s">
        <v>3467</v>
      </c>
      <c r="D357" s="330" t="s">
        <v>1704</v>
      </c>
      <c r="E357" s="330" t="s">
        <v>1696</v>
      </c>
      <c r="F357" s="330" t="s">
        <v>1647</v>
      </c>
      <c r="G357" s="562">
        <v>1012</v>
      </c>
      <c r="H357" s="562">
        <v>653.59</v>
      </c>
      <c r="I357" s="562">
        <v>723.02</v>
      </c>
      <c r="J357" s="561" t="s">
        <v>1810</v>
      </c>
      <c r="K357" s="330" t="s">
        <v>3468</v>
      </c>
      <c r="L357" s="330" t="s">
        <v>3469</v>
      </c>
      <c r="M357" s="330" t="s">
        <v>3470</v>
      </c>
      <c r="N357" s="330" t="s">
        <v>3471</v>
      </c>
      <c r="O357" s="395">
        <v>45446</v>
      </c>
      <c r="P357" s="333">
        <v>5687428</v>
      </c>
      <c r="Q357" s="330" t="s">
        <v>1653</v>
      </c>
      <c r="R357" s="562">
        <v>0</v>
      </c>
      <c r="S357" s="333">
        <v>0</v>
      </c>
      <c r="T357" s="333">
        <v>-1707228.5799999998</v>
      </c>
      <c r="U357" s="333">
        <f t="shared" si="54"/>
        <v>-1707228.5799999998</v>
      </c>
      <c r="V357" s="333">
        <v>0</v>
      </c>
      <c r="W357" s="333">
        <v>0</v>
      </c>
      <c r="X357" s="333">
        <v>0</v>
      </c>
      <c r="Y357" s="333">
        <v>0</v>
      </c>
      <c r="Z357" s="333">
        <v>0</v>
      </c>
      <c r="AA357" s="333">
        <v>0</v>
      </c>
      <c r="AB357" s="333">
        <v>0</v>
      </c>
      <c r="AC357" s="333">
        <v>0</v>
      </c>
      <c r="AD357" s="333">
        <v>0</v>
      </c>
      <c r="AE357" s="333"/>
      <c r="AF357" s="333"/>
      <c r="AG357" s="333">
        <f t="shared" si="55"/>
        <v>-1707228.5799999998</v>
      </c>
      <c r="AH357" s="330"/>
      <c r="AI357" s="330">
        <v>0</v>
      </c>
      <c r="AJ357" s="396">
        <f t="shared" si="57"/>
        <v>-1707228.5799999998</v>
      </c>
      <c r="AK357" s="563"/>
      <c r="AL357" s="285">
        <f t="shared" si="59"/>
        <v>0</v>
      </c>
      <c r="AM357" s="286"/>
      <c r="AO357" s="330" t="s">
        <v>3468</v>
      </c>
    </row>
    <row r="358" spans="1:41">
      <c r="A358" s="587">
        <f t="shared" si="58"/>
        <v>355</v>
      </c>
      <c r="B358" s="330" t="s">
        <v>1643</v>
      </c>
      <c r="C358" s="330" t="s">
        <v>2541</v>
      </c>
      <c r="D358" s="330" t="s">
        <v>1677</v>
      </c>
      <c r="E358" s="330" t="s">
        <v>2542</v>
      </c>
      <c r="F358" s="330" t="s">
        <v>1647</v>
      </c>
      <c r="G358" s="562">
        <v>1012</v>
      </c>
      <c r="H358" s="562">
        <v>653.59</v>
      </c>
      <c r="I358" s="562">
        <v>723.02</v>
      </c>
      <c r="J358" s="561" t="s">
        <v>1810</v>
      </c>
      <c r="K358" s="330" t="s">
        <v>3472</v>
      </c>
      <c r="L358" s="330" t="s">
        <v>3473</v>
      </c>
      <c r="M358" s="330" t="s">
        <v>3474</v>
      </c>
      <c r="N358" s="330" t="s">
        <v>12</v>
      </c>
      <c r="O358" s="395"/>
      <c r="P358" s="333">
        <v>6000000</v>
      </c>
      <c r="Q358" s="330" t="s">
        <v>1660</v>
      </c>
      <c r="R358" s="562">
        <v>0</v>
      </c>
      <c r="S358" s="333">
        <v>0</v>
      </c>
      <c r="T358" s="333">
        <v>17847.999999999993</v>
      </c>
      <c r="U358" s="333">
        <f t="shared" si="54"/>
        <v>17847.999999999993</v>
      </c>
      <c r="V358" s="333">
        <v>0</v>
      </c>
      <c r="W358" s="333">
        <v>0</v>
      </c>
      <c r="X358" s="333">
        <v>0</v>
      </c>
      <c r="Y358" s="333">
        <v>0</v>
      </c>
      <c r="Z358" s="333">
        <v>0</v>
      </c>
      <c r="AA358" s="333">
        <v>0</v>
      </c>
      <c r="AB358" s="333">
        <v>0</v>
      </c>
      <c r="AC358" s="333">
        <v>-17848</v>
      </c>
      <c r="AD358" s="333">
        <v>0</v>
      </c>
      <c r="AE358" s="333"/>
      <c r="AF358" s="333"/>
      <c r="AG358" s="333">
        <f t="shared" si="55"/>
        <v>-7.2759576141834259E-12</v>
      </c>
      <c r="AH358" s="330"/>
      <c r="AI358" s="330">
        <v>17848</v>
      </c>
      <c r="AJ358" s="396">
        <f t="shared" si="57"/>
        <v>-7.2759576141834259E-12</v>
      </c>
      <c r="AK358" s="563"/>
      <c r="AL358" s="285">
        <f>+AC358+AI358</f>
        <v>0</v>
      </c>
      <c r="AM358" s="286"/>
      <c r="AO358" s="330" t="s">
        <v>3472</v>
      </c>
    </row>
    <row r="359" spans="1:41">
      <c r="A359" s="587">
        <f t="shared" si="58"/>
        <v>356</v>
      </c>
      <c r="B359" s="330" t="s">
        <v>1643</v>
      </c>
      <c r="C359" s="330" t="s">
        <v>3475</v>
      </c>
      <c r="D359" s="330" t="s">
        <v>1645</v>
      </c>
      <c r="E359" s="330" t="s">
        <v>1984</v>
      </c>
      <c r="F359" s="330" t="s">
        <v>1647</v>
      </c>
      <c r="G359" s="562">
        <v>1012</v>
      </c>
      <c r="H359" s="562">
        <v>653.59</v>
      </c>
      <c r="I359" s="562">
        <v>723.02</v>
      </c>
      <c r="J359" s="561" t="s">
        <v>1810</v>
      </c>
      <c r="K359" s="330" t="s">
        <v>3476</v>
      </c>
      <c r="L359" s="330" t="s">
        <v>3477</v>
      </c>
      <c r="M359" s="330" t="s">
        <v>3478</v>
      </c>
      <c r="N359" s="330" t="s">
        <v>3479</v>
      </c>
      <c r="O359" s="395">
        <v>45433</v>
      </c>
      <c r="P359" s="333">
        <v>5668460</v>
      </c>
      <c r="Q359" s="330" t="s">
        <v>1653</v>
      </c>
      <c r="R359" s="562">
        <v>0</v>
      </c>
      <c r="S359" s="333">
        <v>0</v>
      </c>
      <c r="T359" s="333">
        <v>-1459627.1</v>
      </c>
      <c r="U359" s="333">
        <f t="shared" si="54"/>
        <v>-1459627.1</v>
      </c>
      <c r="V359" s="333">
        <v>-269252.15000000002</v>
      </c>
      <c r="W359" s="333">
        <v>0</v>
      </c>
      <c r="X359" s="333">
        <v>0</v>
      </c>
      <c r="Y359" s="333">
        <v>0</v>
      </c>
      <c r="Z359" s="333">
        <v>0</v>
      </c>
      <c r="AA359" s="333">
        <v>0</v>
      </c>
      <c r="AB359" s="333">
        <v>0</v>
      </c>
      <c r="AC359" s="333">
        <v>0</v>
      </c>
      <c r="AD359" s="333">
        <v>0</v>
      </c>
      <c r="AE359" s="333"/>
      <c r="AF359" s="333"/>
      <c r="AG359" s="333">
        <f t="shared" si="55"/>
        <v>-1728879.25</v>
      </c>
      <c r="AH359" s="330"/>
      <c r="AI359" s="330">
        <v>0</v>
      </c>
      <c r="AJ359" s="396">
        <f t="shared" si="57"/>
        <v>-1728879.25</v>
      </c>
      <c r="AK359" s="563"/>
      <c r="AL359" s="285">
        <f t="shared" si="59"/>
        <v>0</v>
      </c>
      <c r="AM359" s="286"/>
      <c r="AO359" s="330" t="s">
        <v>3476</v>
      </c>
    </row>
    <row r="360" spans="1:41">
      <c r="A360" s="587">
        <f t="shared" si="58"/>
        <v>357</v>
      </c>
      <c r="B360" s="330" t="s">
        <v>1643</v>
      </c>
      <c r="C360" s="330" t="s">
        <v>3480</v>
      </c>
      <c r="D360" s="330" t="s">
        <v>1655</v>
      </c>
      <c r="E360" s="330" t="s">
        <v>1918</v>
      </c>
      <c r="F360" s="330" t="s">
        <v>1647</v>
      </c>
      <c r="G360" s="562">
        <v>1114</v>
      </c>
      <c r="H360" s="562">
        <v>683.3</v>
      </c>
      <c r="I360" s="562">
        <v>795.57</v>
      </c>
      <c r="J360" s="561" t="s">
        <v>1810</v>
      </c>
      <c r="K360" s="330" t="s">
        <v>3481</v>
      </c>
      <c r="L360" s="330" t="s">
        <v>3482</v>
      </c>
      <c r="M360" s="330" t="s">
        <v>3483</v>
      </c>
      <c r="N360" s="330" t="s">
        <v>12</v>
      </c>
      <c r="O360" s="395"/>
      <c r="P360" s="333">
        <v>7008857</v>
      </c>
      <c r="Q360" s="330" t="s">
        <v>1660</v>
      </c>
      <c r="R360" s="562">
        <v>0</v>
      </c>
      <c r="S360" s="333">
        <v>0</v>
      </c>
      <c r="T360" s="333">
        <v>-709357</v>
      </c>
      <c r="U360" s="333">
        <f t="shared" si="54"/>
        <v>-709357</v>
      </c>
      <c r="V360" s="333">
        <v>735930</v>
      </c>
      <c r="W360" s="333">
        <v>0</v>
      </c>
      <c r="X360" s="333">
        <v>0</v>
      </c>
      <c r="Y360" s="333">
        <v>0</v>
      </c>
      <c r="Z360" s="333">
        <v>0</v>
      </c>
      <c r="AA360" s="333">
        <v>0</v>
      </c>
      <c r="AB360" s="333">
        <v>0</v>
      </c>
      <c r="AC360" s="333">
        <v>-53146</v>
      </c>
      <c r="AD360" s="333">
        <v>0</v>
      </c>
      <c r="AE360" s="333"/>
      <c r="AF360" s="333"/>
      <c r="AG360" s="333">
        <f t="shared" si="55"/>
        <v>-26573</v>
      </c>
      <c r="AH360" s="330"/>
      <c r="AI360" s="330">
        <v>53146</v>
      </c>
      <c r="AJ360" s="396">
        <f t="shared" si="57"/>
        <v>-26573</v>
      </c>
      <c r="AK360" s="563"/>
      <c r="AL360" s="285">
        <f>+AC360+AI360</f>
        <v>0</v>
      </c>
      <c r="AM360" s="286"/>
      <c r="AO360" s="330" t="s">
        <v>3481</v>
      </c>
    </row>
    <row r="361" spans="1:41">
      <c r="A361" s="587">
        <f t="shared" si="58"/>
        <v>358</v>
      </c>
      <c r="B361" s="330" t="s">
        <v>1643</v>
      </c>
      <c r="C361" s="330" t="s">
        <v>2790</v>
      </c>
      <c r="D361" s="330" t="s">
        <v>1746</v>
      </c>
      <c r="E361" s="330" t="s">
        <v>2486</v>
      </c>
      <c r="F361" s="330" t="s">
        <v>1647</v>
      </c>
      <c r="G361" s="562">
        <v>1114</v>
      </c>
      <c r="H361" s="562">
        <v>683.3</v>
      </c>
      <c r="I361" s="562">
        <v>795.57</v>
      </c>
      <c r="J361" s="561" t="s">
        <v>1648</v>
      </c>
      <c r="K361" s="330" t="s">
        <v>3484</v>
      </c>
      <c r="L361" s="330" t="s">
        <v>3485</v>
      </c>
      <c r="M361" s="330" t="s">
        <v>3486</v>
      </c>
      <c r="N361" s="330" t="s">
        <v>2794</v>
      </c>
      <c r="O361" s="395">
        <v>45446</v>
      </c>
      <c r="P361" s="333">
        <v>6401715</v>
      </c>
      <c r="Q361" s="330" t="s">
        <v>1660</v>
      </c>
      <c r="R361" s="562">
        <v>0</v>
      </c>
      <c r="S361" s="333">
        <v>0</v>
      </c>
      <c r="T361" s="333">
        <v>0</v>
      </c>
      <c r="U361" s="333">
        <f t="shared" si="54"/>
        <v>0</v>
      </c>
      <c r="V361" s="333">
        <v>0</v>
      </c>
      <c r="W361" s="333">
        <v>0</v>
      </c>
      <c r="X361" s="333">
        <v>0</v>
      </c>
      <c r="Y361" s="333">
        <v>0</v>
      </c>
      <c r="Z361" s="333">
        <v>0</v>
      </c>
      <c r="AA361" s="333">
        <v>0</v>
      </c>
      <c r="AB361" s="333">
        <v>0</v>
      </c>
      <c r="AC361" s="333">
        <v>0</v>
      </c>
      <c r="AD361" s="333">
        <v>0</v>
      </c>
      <c r="AE361" s="333"/>
      <c r="AF361" s="333"/>
      <c r="AG361" s="333">
        <f t="shared" si="55"/>
        <v>0</v>
      </c>
      <c r="AH361" s="330"/>
      <c r="AI361" s="330">
        <v>0</v>
      </c>
      <c r="AJ361" s="396">
        <f t="shared" si="57"/>
        <v>0</v>
      </c>
      <c r="AK361" s="563"/>
      <c r="AL361" s="285">
        <f t="shared" si="59"/>
        <v>0</v>
      </c>
      <c r="AM361" s="286"/>
      <c r="AO361" s="330" t="s">
        <v>3484</v>
      </c>
    </row>
    <row r="362" spans="1:41">
      <c r="A362" s="587">
        <f t="shared" si="58"/>
        <v>359</v>
      </c>
      <c r="B362" s="330" t="s">
        <v>1643</v>
      </c>
      <c r="C362" s="330" t="s">
        <v>2790</v>
      </c>
      <c r="D362" s="330" t="s">
        <v>1746</v>
      </c>
      <c r="E362" s="330" t="s">
        <v>2486</v>
      </c>
      <c r="F362" s="330" t="s">
        <v>1647</v>
      </c>
      <c r="G362" s="562">
        <v>1114</v>
      </c>
      <c r="H362" s="562">
        <v>683.3</v>
      </c>
      <c r="I362" s="562">
        <v>795.57</v>
      </c>
      <c r="J362" s="561" t="s">
        <v>1648</v>
      </c>
      <c r="K362" s="330" t="s">
        <v>3487</v>
      </c>
      <c r="L362" s="330" t="s">
        <v>3485</v>
      </c>
      <c r="M362" s="330" t="s">
        <v>3486</v>
      </c>
      <c r="N362" s="330" t="s">
        <v>2794</v>
      </c>
      <c r="O362" s="395">
        <v>45473</v>
      </c>
      <c r="P362" s="333">
        <v>6401715</v>
      </c>
      <c r="Q362" s="330" t="s">
        <v>1653</v>
      </c>
      <c r="R362" s="562">
        <v>0</v>
      </c>
      <c r="S362" s="333">
        <v>0</v>
      </c>
      <c r="T362" s="333">
        <v>-1920515.2599999998</v>
      </c>
      <c r="U362" s="333">
        <f t="shared" si="54"/>
        <v>-1920515.2599999998</v>
      </c>
      <c r="V362" s="333">
        <v>0</v>
      </c>
      <c r="W362" s="333">
        <v>0</v>
      </c>
      <c r="X362" s="333">
        <v>0</v>
      </c>
      <c r="Y362" s="333">
        <v>0</v>
      </c>
      <c r="Z362" s="333">
        <v>0</v>
      </c>
      <c r="AA362" s="333">
        <v>0</v>
      </c>
      <c r="AB362" s="333">
        <v>0</v>
      </c>
      <c r="AC362" s="333">
        <v>0</v>
      </c>
      <c r="AD362" s="333">
        <v>0</v>
      </c>
      <c r="AE362" s="333"/>
      <c r="AF362" s="333"/>
      <c r="AG362" s="333">
        <f t="shared" si="55"/>
        <v>-1920515.2599999998</v>
      </c>
      <c r="AH362" s="330"/>
      <c r="AI362" s="330">
        <v>0</v>
      </c>
      <c r="AJ362" s="396">
        <f t="shared" si="57"/>
        <v>-1920515.2599999998</v>
      </c>
      <c r="AK362" s="563"/>
      <c r="AL362" s="285">
        <f t="shared" si="59"/>
        <v>0</v>
      </c>
      <c r="AM362" s="286"/>
      <c r="AO362" s="330" t="s">
        <v>3487</v>
      </c>
    </row>
    <row r="363" spans="1:41">
      <c r="A363" s="587">
        <f t="shared" si="58"/>
        <v>360</v>
      </c>
      <c r="B363" s="330" t="s">
        <v>1643</v>
      </c>
      <c r="C363" s="330" t="s">
        <v>2399</v>
      </c>
      <c r="D363" s="330" t="s">
        <v>1655</v>
      </c>
      <c r="E363" s="330" t="s">
        <v>1792</v>
      </c>
      <c r="F363" s="330" t="s">
        <v>1647</v>
      </c>
      <c r="G363" s="562">
        <v>1114</v>
      </c>
      <c r="H363" s="562">
        <v>683.3</v>
      </c>
      <c r="I363" s="562">
        <v>795.57</v>
      </c>
      <c r="J363" s="561" t="s">
        <v>1648</v>
      </c>
      <c r="K363" s="330" t="s">
        <v>3488</v>
      </c>
      <c r="L363" s="330" t="s">
        <v>3489</v>
      </c>
      <c r="M363" s="330" t="s">
        <v>3490</v>
      </c>
      <c r="N363" s="330" t="s">
        <v>12</v>
      </c>
      <c r="O363" s="395"/>
      <c r="P363" s="333">
        <v>6937429</v>
      </c>
      <c r="Q363" s="330" t="s">
        <v>1660</v>
      </c>
      <c r="R363" s="562">
        <v>0</v>
      </c>
      <c r="S363" s="333">
        <v>0</v>
      </c>
      <c r="T363" s="333">
        <v>-734229.00000000023</v>
      </c>
      <c r="U363" s="333">
        <f t="shared" si="54"/>
        <v>-734229.00000000023</v>
      </c>
      <c r="V363" s="333">
        <v>734229</v>
      </c>
      <c r="W363" s="333">
        <v>0</v>
      </c>
      <c r="X363" s="333">
        <v>0</v>
      </c>
      <c r="Y363" s="333">
        <v>0</v>
      </c>
      <c r="Z363" s="333">
        <v>0</v>
      </c>
      <c r="AA363" s="333">
        <v>0</v>
      </c>
      <c r="AB363" s="333">
        <v>0</v>
      </c>
      <c r="AC363" s="333">
        <v>0</v>
      </c>
      <c r="AD363" s="333">
        <v>0</v>
      </c>
      <c r="AE363" s="333"/>
      <c r="AF363" s="333"/>
      <c r="AG363" s="333">
        <f t="shared" si="55"/>
        <v>-2.3283064365386963E-10</v>
      </c>
      <c r="AH363" s="330"/>
      <c r="AI363" s="330">
        <v>0</v>
      </c>
      <c r="AJ363" s="396">
        <f t="shared" si="57"/>
        <v>-2.3283064365386963E-10</v>
      </c>
      <c r="AK363" s="563"/>
      <c r="AL363" s="285">
        <f t="shared" si="59"/>
        <v>0</v>
      </c>
      <c r="AM363" s="286"/>
      <c r="AO363" s="330" t="s">
        <v>3488</v>
      </c>
    </row>
    <row r="364" spans="1:41">
      <c r="A364" s="587">
        <f t="shared" si="58"/>
        <v>361</v>
      </c>
      <c r="B364" s="330" t="s">
        <v>1643</v>
      </c>
      <c r="C364" s="330" t="s">
        <v>3491</v>
      </c>
      <c r="D364" s="330" t="s">
        <v>1677</v>
      </c>
      <c r="E364" s="330" t="s">
        <v>2044</v>
      </c>
      <c r="F364" s="330" t="s">
        <v>1647</v>
      </c>
      <c r="G364" s="562">
        <v>1012</v>
      </c>
      <c r="H364" s="562">
        <v>653.59</v>
      </c>
      <c r="I364" s="562">
        <v>723.02</v>
      </c>
      <c r="J364" s="561" t="s">
        <v>1679</v>
      </c>
      <c r="K364" s="330" t="s">
        <v>3492</v>
      </c>
      <c r="L364" s="330" t="s">
        <v>3493</v>
      </c>
      <c r="M364" s="330" t="s">
        <v>3494</v>
      </c>
      <c r="N364" s="330" t="s">
        <v>12</v>
      </c>
      <c r="O364" s="395"/>
      <c r="P364" s="333">
        <v>6133905</v>
      </c>
      <c r="Q364" s="330" t="s">
        <v>1660</v>
      </c>
      <c r="R364" s="562">
        <v>0</v>
      </c>
      <c r="S364" s="333">
        <v>0</v>
      </c>
      <c r="T364" s="333">
        <v>-591318</v>
      </c>
      <c r="U364" s="333">
        <f t="shared" si="54"/>
        <v>-591318</v>
      </c>
      <c r="V364" s="333">
        <v>591318</v>
      </c>
      <c r="W364" s="333">
        <v>0</v>
      </c>
      <c r="X364" s="333">
        <v>0</v>
      </c>
      <c r="Y364" s="333">
        <v>0</v>
      </c>
      <c r="Z364" s="333">
        <v>0</v>
      </c>
      <c r="AA364" s="333">
        <v>0</v>
      </c>
      <c r="AB364" s="333">
        <v>0</v>
      </c>
      <c r="AC364" s="333">
        <v>0</v>
      </c>
      <c r="AD364" s="333">
        <v>0</v>
      </c>
      <c r="AE364" s="333"/>
      <c r="AF364" s="333"/>
      <c r="AG364" s="333">
        <f t="shared" si="55"/>
        <v>0</v>
      </c>
      <c r="AH364" s="330"/>
      <c r="AI364" s="330">
        <v>0</v>
      </c>
      <c r="AJ364" s="396">
        <f t="shared" si="57"/>
        <v>0</v>
      </c>
      <c r="AK364" s="563"/>
      <c r="AL364" s="285">
        <f t="shared" si="59"/>
        <v>0</v>
      </c>
      <c r="AM364" s="286"/>
      <c r="AO364" s="330" t="s">
        <v>3492</v>
      </c>
    </row>
    <row r="365" spans="1:41">
      <c r="A365" s="587">
        <f t="shared" si="58"/>
        <v>362</v>
      </c>
      <c r="B365" s="330" t="s">
        <v>1643</v>
      </c>
      <c r="C365" s="330" t="s">
        <v>3495</v>
      </c>
      <c r="D365" s="330" t="s">
        <v>1662</v>
      </c>
      <c r="E365" s="330" t="s">
        <v>2079</v>
      </c>
      <c r="F365" s="330" t="s">
        <v>1671</v>
      </c>
      <c r="G365" s="562">
        <v>1375</v>
      </c>
      <c r="H365" s="562">
        <v>876.73</v>
      </c>
      <c r="I365" s="562">
        <v>982.22</v>
      </c>
      <c r="J365" s="561" t="s">
        <v>1648</v>
      </c>
      <c r="K365" s="330" t="s">
        <v>3496</v>
      </c>
      <c r="L365" s="330" t="s">
        <v>3497</v>
      </c>
      <c r="M365" s="330" t="s">
        <v>3498</v>
      </c>
      <c r="N365" s="330" t="s">
        <v>3499</v>
      </c>
      <c r="O365" s="395">
        <v>45469</v>
      </c>
      <c r="P365" s="333">
        <v>8187428</v>
      </c>
      <c r="Q365" s="330" t="s">
        <v>1653</v>
      </c>
      <c r="R365" s="562">
        <v>0</v>
      </c>
      <c r="S365" s="333">
        <v>0</v>
      </c>
      <c r="T365" s="333">
        <v>-2456883.4299999997</v>
      </c>
      <c r="U365" s="333">
        <f t="shared" si="54"/>
        <v>-2456883.4299999997</v>
      </c>
      <c r="V365" s="333">
        <v>0</v>
      </c>
      <c r="W365" s="333">
        <v>0</v>
      </c>
      <c r="X365" s="333">
        <v>0</v>
      </c>
      <c r="Y365" s="333">
        <v>0</v>
      </c>
      <c r="Z365" s="333">
        <v>0</v>
      </c>
      <c r="AA365" s="333">
        <v>0</v>
      </c>
      <c r="AB365" s="333">
        <v>0</v>
      </c>
      <c r="AC365" s="333">
        <v>0</v>
      </c>
      <c r="AD365" s="333">
        <v>0</v>
      </c>
      <c r="AE365" s="333"/>
      <c r="AF365" s="333"/>
      <c r="AG365" s="333">
        <f t="shared" si="55"/>
        <v>-2456883.4299999997</v>
      </c>
      <c r="AH365" s="330"/>
      <c r="AI365" s="330">
        <v>0</v>
      </c>
      <c r="AJ365" s="396">
        <f t="shared" si="57"/>
        <v>-2456883.4299999997</v>
      </c>
      <c r="AK365" s="563"/>
      <c r="AL365" s="285">
        <f t="shared" si="59"/>
        <v>0</v>
      </c>
      <c r="AM365" s="286"/>
      <c r="AO365" s="330" t="s">
        <v>3496</v>
      </c>
    </row>
    <row r="366" spans="1:41">
      <c r="A366" s="587">
        <f t="shared" si="58"/>
        <v>363</v>
      </c>
      <c r="B366" s="330" t="s">
        <v>1643</v>
      </c>
      <c r="C366" s="330" t="s">
        <v>3500</v>
      </c>
      <c r="D366" s="330" t="s">
        <v>1704</v>
      </c>
      <c r="E366" s="330" t="s">
        <v>3344</v>
      </c>
      <c r="F366" s="330" t="s">
        <v>1647</v>
      </c>
      <c r="G366" s="562">
        <v>1012</v>
      </c>
      <c r="H366" s="562">
        <v>653.59</v>
      </c>
      <c r="I366" s="562">
        <v>723.02</v>
      </c>
      <c r="J366" s="561" t="s">
        <v>1648</v>
      </c>
      <c r="K366" s="330" t="s">
        <v>3501</v>
      </c>
      <c r="L366" s="330" t="s">
        <v>3502</v>
      </c>
      <c r="M366" s="330" t="s">
        <v>3503</v>
      </c>
      <c r="N366" s="330" t="s">
        <v>3504</v>
      </c>
      <c r="O366" s="395">
        <v>45471</v>
      </c>
      <c r="P366" s="333">
        <v>5758857</v>
      </c>
      <c r="Q366" s="330" t="s">
        <v>1653</v>
      </c>
      <c r="R366" s="562">
        <v>0</v>
      </c>
      <c r="S366" s="333">
        <v>0</v>
      </c>
      <c r="T366" s="333">
        <v>-1785245.7100000014</v>
      </c>
      <c r="U366" s="333">
        <f t="shared" si="54"/>
        <v>-1785245.7100000014</v>
      </c>
      <c r="V366" s="333">
        <v>0</v>
      </c>
      <c r="W366" s="333">
        <v>0</v>
      </c>
      <c r="X366" s="333">
        <v>0</v>
      </c>
      <c r="Y366" s="333">
        <v>0</v>
      </c>
      <c r="Z366" s="333">
        <v>0</v>
      </c>
      <c r="AA366" s="333">
        <v>0</v>
      </c>
      <c r="AB366" s="333">
        <v>0</v>
      </c>
      <c r="AC366" s="333">
        <v>0</v>
      </c>
      <c r="AD366" s="333">
        <v>0</v>
      </c>
      <c r="AE366" s="333"/>
      <c r="AF366" s="333"/>
      <c r="AG366" s="333">
        <f t="shared" si="55"/>
        <v>-1785245.7100000014</v>
      </c>
      <c r="AH366" s="330"/>
      <c r="AI366" s="330">
        <v>0</v>
      </c>
      <c r="AJ366" s="396">
        <f t="shared" si="57"/>
        <v>-1785245.7100000014</v>
      </c>
      <c r="AK366" s="563"/>
      <c r="AL366" s="285">
        <f t="shared" si="59"/>
        <v>0</v>
      </c>
      <c r="AM366" s="286"/>
      <c r="AO366" s="330" t="s">
        <v>3501</v>
      </c>
    </row>
    <row r="367" spans="1:41">
      <c r="A367" s="587">
        <f t="shared" si="58"/>
        <v>364</v>
      </c>
      <c r="B367" s="330" t="s">
        <v>1643</v>
      </c>
      <c r="C367" s="330" t="s">
        <v>3505</v>
      </c>
      <c r="D367" s="330" t="s">
        <v>1662</v>
      </c>
      <c r="E367" s="330" t="s">
        <v>1857</v>
      </c>
      <c r="F367" s="330" t="s">
        <v>1647</v>
      </c>
      <c r="G367" s="562">
        <v>1114</v>
      </c>
      <c r="H367" s="562">
        <v>683.3</v>
      </c>
      <c r="I367" s="562">
        <v>795.57</v>
      </c>
      <c r="J367" s="561" t="s">
        <v>1810</v>
      </c>
      <c r="K367" s="330" t="s">
        <v>3506</v>
      </c>
      <c r="L367" s="330" t="s">
        <v>3507</v>
      </c>
      <c r="M367" s="330" t="s">
        <v>3508</v>
      </c>
      <c r="N367" s="330" t="s">
        <v>3509</v>
      </c>
      <c r="O367" s="395">
        <v>45435</v>
      </c>
      <c r="P367" s="333">
        <v>6287368</v>
      </c>
      <c r="Q367" s="330" t="s">
        <v>1653</v>
      </c>
      <c r="R367" s="562">
        <v>0</v>
      </c>
      <c r="S367" s="333">
        <v>0</v>
      </c>
      <c r="T367" s="333">
        <v>-1941941.1600000001</v>
      </c>
      <c r="U367" s="333">
        <f t="shared" si="54"/>
        <v>-1941941.1600000001</v>
      </c>
      <c r="V367" s="333">
        <v>0</v>
      </c>
      <c r="W367" s="333">
        <v>0</v>
      </c>
      <c r="X367" s="333">
        <v>0</v>
      </c>
      <c r="Y367" s="333">
        <v>0</v>
      </c>
      <c r="Z367" s="333">
        <v>0</v>
      </c>
      <c r="AA367" s="333">
        <v>0</v>
      </c>
      <c r="AB367" s="333">
        <v>0</v>
      </c>
      <c r="AC367" s="333">
        <v>-7142</v>
      </c>
      <c r="AD367" s="333">
        <v>0</v>
      </c>
      <c r="AE367" s="333"/>
      <c r="AF367" s="333"/>
      <c r="AG367" s="333">
        <f t="shared" si="55"/>
        <v>-1949083.1600000001</v>
      </c>
      <c r="AH367" s="330"/>
      <c r="AI367" s="330">
        <v>7142</v>
      </c>
      <c r="AJ367" s="396">
        <f t="shared" si="57"/>
        <v>-1949083.1600000001</v>
      </c>
      <c r="AK367" s="563"/>
      <c r="AL367" s="285">
        <f>+AC367+AI367</f>
        <v>0</v>
      </c>
      <c r="AM367" s="286"/>
      <c r="AO367" s="330" t="s">
        <v>3506</v>
      </c>
    </row>
    <row r="368" spans="1:41">
      <c r="A368" s="587">
        <f t="shared" si="58"/>
        <v>365</v>
      </c>
      <c r="B368" s="330" t="s">
        <v>1643</v>
      </c>
      <c r="C368" s="330" t="s">
        <v>3510</v>
      </c>
      <c r="D368" s="330" t="s">
        <v>2153</v>
      </c>
      <c r="E368" s="330" t="s">
        <v>2044</v>
      </c>
      <c r="F368" s="330" t="s">
        <v>1647</v>
      </c>
      <c r="G368" s="562">
        <v>1114</v>
      </c>
      <c r="H368" s="562">
        <v>683.3</v>
      </c>
      <c r="I368" s="562">
        <v>795.57</v>
      </c>
      <c r="J368" s="561" t="s">
        <v>1810</v>
      </c>
      <c r="K368" s="330" t="s">
        <v>3511</v>
      </c>
      <c r="L368" s="330" t="s">
        <v>3512</v>
      </c>
      <c r="M368" s="330" t="s">
        <v>3513</v>
      </c>
      <c r="N368" s="330" t="s">
        <v>3514</v>
      </c>
      <c r="O368" s="395">
        <v>45454</v>
      </c>
      <c r="P368" s="333">
        <v>6714286</v>
      </c>
      <c r="Q368" s="330" t="s">
        <v>1653</v>
      </c>
      <c r="R368" s="562">
        <v>0</v>
      </c>
      <c r="S368" s="333">
        <v>0</v>
      </c>
      <c r="T368" s="333">
        <v>-2142925.7000000002</v>
      </c>
      <c r="U368" s="333">
        <f t="shared" si="54"/>
        <v>-2142925.7000000002</v>
      </c>
      <c r="V368" s="333">
        <v>0</v>
      </c>
      <c r="W368" s="333">
        <v>0</v>
      </c>
      <c r="X368" s="333">
        <v>0</v>
      </c>
      <c r="Y368" s="333">
        <v>0</v>
      </c>
      <c r="Z368" s="333">
        <v>0</v>
      </c>
      <c r="AA368" s="333">
        <v>0</v>
      </c>
      <c r="AB368" s="333">
        <v>0</v>
      </c>
      <c r="AC368" s="333">
        <v>0</v>
      </c>
      <c r="AD368" s="333">
        <v>0</v>
      </c>
      <c r="AE368" s="333"/>
      <c r="AF368" s="333"/>
      <c r="AG368" s="333">
        <f t="shared" si="55"/>
        <v>-2142925.7000000002</v>
      </c>
      <c r="AH368" s="330"/>
      <c r="AI368" s="330">
        <v>0</v>
      </c>
      <c r="AJ368" s="396">
        <f t="shared" si="57"/>
        <v>-2142925.7000000002</v>
      </c>
      <c r="AK368" s="563"/>
      <c r="AL368" s="285">
        <f t="shared" si="59"/>
        <v>0</v>
      </c>
      <c r="AM368" s="286"/>
      <c r="AO368" s="330" t="s">
        <v>3511</v>
      </c>
    </row>
    <row r="369" spans="1:41">
      <c r="A369" s="587">
        <f t="shared" si="58"/>
        <v>366</v>
      </c>
      <c r="B369" s="330" t="s">
        <v>1643</v>
      </c>
      <c r="C369" s="330" t="s">
        <v>3515</v>
      </c>
      <c r="D369" s="330" t="s">
        <v>1655</v>
      </c>
      <c r="E369" s="330" t="s">
        <v>3350</v>
      </c>
      <c r="F369" s="330" t="s">
        <v>1647</v>
      </c>
      <c r="G369" s="562">
        <v>1012</v>
      </c>
      <c r="H369" s="562">
        <v>653.59</v>
      </c>
      <c r="I369" s="562">
        <v>723.02</v>
      </c>
      <c r="J369" s="561" t="s">
        <v>1810</v>
      </c>
      <c r="K369" s="330" t="s">
        <v>3516</v>
      </c>
      <c r="L369" s="330" t="s">
        <v>3517</v>
      </c>
      <c r="M369" s="330" t="s">
        <v>3518</v>
      </c>
      <c r="N369" s="330" t="s">
        <v>12</v>
      </c>
      <c r="O369" s="395"/>
      <c r="P369" s="333">
        <v>6044572</v>
      </c>
      <c r="Q369" s="330" t="s">
        <v>1660</v>
      </c>
      <c r="R369" s="562">
        <v>0</v>
      </c>
      <c r="S369" s="333">
        <v>0</v>
      </c>
      <c r="T369" s="333">
        <v>-710040</v>
      </c>
      <c r="U369" s="333">
        <f t="shared" si="54"/>
        <v>-710040</v>
      </c>
      <c r="V369" s="333">
        <v>0</v>
      </c>
      <c r="W369" s="333">
        <v>0</v>
      </c>
      <c r="X369" s="333">
        <v>0</v>
      </c>
      <c r="Y369" s="333">
        <v>0</v>
      </c>
      <c r="Z369" s="333">
        <v>0</v>
      </c>
      <c r="AA369" s="333">
        <v>0</v>
      </c>
      <c r="AB369" s="333">
        <v>0</v>
      </c>
      <c r="AC369" s="333">
        <v>0</v>
      </c>
      <c r="AD369" s="333">
        <v>710040</v>
      </c>
      <c r="AE369" s="333"/>
      <c r="AF369" s="333"/>
      <c r="AG369" s="333">
        <f t="shared" si="55"/>
        <v>0</v>
      </c>
      <c r="AH369" s="330"/>
      <c r="AI369" s="330">
        <v>0</v>
      </c>
      <c r="AJ369" s="396">
        <f t="shared" si="57"/>
        <v>0</v>
      </c>
      <c r="AK369" s="563"/>
      <c r="AL369" s="285">
        <f>+AC369+AI369</f>
        <v>0</v>
      </c>
      <c r="AM369" s="286"/>
      <c r="AO369" s="330" t="s">
        <v>3516</v>
      </c>
    </row>
    <row r="370" spans="1:41">
      <c r="A370" s="587">
        <f t="shared" si="58"/>
        <v>367</v>
      </c>
      <c r="B370" s="330" t="s">
        <v>1643</v>
      </c>
      <c r="C370" s="330" t="s">
        <v>3519</v>
      </c>
      <c r="D370" s="330" t="s">
        <v>1677</v>
      </c>
      <c r="E370" s="330" t="s">
        <v>3047</v>
      </c>
      <c r="F370" s="330" t="s">
        <v>1647</v>
      </c>
      <c r="G370" s="562">
        <v>1012</v>
      </c>
      <c r="H370" s="562">
        <v>653.59</v>
      </c>
      <c r="I370" s="562">
        <v>723.02</v>
      </c>
      <c r="J370" s="561" t="s">
        <v>1648</v>
      </c>
      <c r="K370" s="330" t="s">
        <v>3520</v>
      </c>
      <c r="L370" s="330" t="s">
        <v>3521</v>
      </c>
      <c r="M370" s="330" t="s">
        <v>3522</v>
      </c>
      <c r="N370" s="330" t="s">
        <v>12</v>
      </c>
      <c r="O370" s="395"/>
      <c r="P370" s="333">
        <v>5991048</v>
      </c>
      <c r="Q370" s="330" t="s">
        <v>1653</v>
      </c>
      <c r="R370" s="562">
        <v>0</v>
      </c>
      <c r="S370" s="333">
        <v>0</v>
      </c>
      <c r="T370" s="333">
        <v>-649400</v>
      </c>
      <c r="U370" s="333">
        <f t="shared" si="54"/>
        <v>-649400</v>
      </c>
      <c r="V370" s="333">
        <v>0</v>
      </c>
      <c r="W370" s="333">
        <v>0</v>
      </c>
      <c r="X370" s="333">
        <v>0</v>
      </c>
      <c r="Y370" s="333">
        <v>0</v>
      </c>
      <c r="Z370" s="333">
        <v>0</v>
      </c>
      <c r="AA370" s="333">
        <v>0</v>
      </c>
      <c r="AB370" s="333">
        <v>0</v>
      </c>
      <c r="AC370" s="333">
        <v>0</v>
      </c>
      <c r="AD370" s="333">
        <v>0</v>
      </c>
      <c r="AE370" s="333"/>
      <c r="AF370" s="333"/>
      <c r="AG370" s="333">
        <f t="shared" si="55"/>
        <v>-649400</v>
      </c>
      <c r="AH370" s="330"/>
      <c r="AI370" s="330">
        <v>0</v>
      </c>
      <c r="AJ370" s="396">
        <f t="shared" si="57"/>
        <v>-649400</v>
      </c>
      <c r="AK370" s="563"/>
      <c r="AL370" s="285">
        <f t="shared" si="59"/>
        <v>0</v>
      </c>
      <c r="AM370" s="286"/>
      <c r="AO370" s="330" t="s">
        <v>3520</v>
      </c>
    </row>
    <row r="371" spans="1:41">
      <c r="A371" s="587">
        <f t="shared" si="58"/>
        <v>368</v>
      </c>
      <c r="B371" s="330" t="s">
        <v>1643</v>
      </c>
      <c r="C371" s="330" t="s">
        <v>3523</v>
      </c>
      <c r="D371" s="330" t="s">
        <v>1746</v>
      </c>
      <c r="E371" s="330" t="s">
        <v>2625</v>
      </c>
      <c r="F371" s="330" t="s">
        <v>1647</v>
      </c>
      <c r="G371" s="562">
        <v>1012</v>
      </c>
      <c r="H371" s="562">
        <v>653.59</v>
      </c>
      <c r="I371" s="562">
        <v>723.02</v>
      </c>
      <c r="J371" s="561" t="s">
        <v>1648</v>
      </c>
      <c r="K371" s="330" t="s">
        <v>3524</v>
      </c>
      <c r="L371" s="330" t="s">
        <v>3525</v>
      </c>
      <c r="M371" s="330" t="s">
        <v>3526</v>
      </c>
      <c r="N371" s="330" t="s">
        <v>3527</v>
      </c>
      <c r="O371" s="395">
        <v>45436</v>
      </c>
      <c r="P371" s="333">
        <v>5597785</v>
      </c>
      <c r="Q371" s="330" t="s">
        <v>1653</v>
      </c>
      <c r="R371" s="562">
        <v>0</v>
      </c>
      <c r="S371" s="333">
        <v>0</v>
      </c>
      <c r="T371" s="333">
        <v>-1664609.0199999998</v>
      </c>
      <c r="U371" s="333">
        <f t="shared" si="54"/>
        <v>-1664609.0199999998</v>
      </c>
      <c r="V371" s="333">
        <v>0</v>
      </c>
      <c r="W371" s="333">
        <v>0</v>
      </c>
      <c r="X371" s="333">
        <v>0</v>
      </c>
      <c r="Y371" s="333">
        <v>0</v>
      </c>
      <c r="Z371" s="333">
        <v>0</v>
      </c>
      <c r="AA371" s="333">
        <v>0</v>
      </c>
      <c r="AB371" s="333">
        <v>0</v>
      </c>
      <c r="AC371" s="333">
        <v>-4286</v>
      </c>
      <c r="AD371" s="333">
        <v>0</v>
      </c>
      <c r="AE371" s="333"/>
      <c r="AF371" s="333"/>
      <c r="AG371" s="333">
        <f t="shared" si="55"/>
        <v>-1668895.0199999998</v>
      </c>
      <c r="AH371" s="330"/>
      <c r="AI371" s="330">
        <v>4286</v>
      </c>
      <c r="AJ371" s="396">
        <f t="shared" si="57"/>
        <v>-1668895.0199999998</v>
      </c>
      <c r="AK371" s="563"/>
      <c r="AL371" s="285">
        <f t="shared" ref="AL371:AL372" si="62">+AC371+AI371</f>
        <v>0</v>
      </c>
      <c r="AM371" s="286"/>
      <c r="AO371" s="330" t="s">
        <v>3524</v>
      </c>
    </row>
    <row r="372" spans="1:41">
      <c r="A372" s="587">
        <f t="shared" si="58"/>
        <v>369</v>
      </c>
      <c r="B372" s="330" t="s">
        <v>1643</v>
      </c>
      <c r="C372" s="330" t="s">
        <v>3528</v>
      </c>
      <c r="D372" s="330" t="s">
        <v>1645</v>
      </c>
      <c r="E372" s="330" t="s">
        <v>2012</v>
      </c>
      <c r="F372" s="330" t="s">
        <v>1647</v>
      </c>
      <c r="G372" s="562">
        <v>1114</v>
      </c>
      <c r="H372" s="562">
        <v>683.3</v>
      </c>
      <c r="I372" s="562">
        <v>795.57</v>
      </c>
      <c r="J372" s="561" t="s">
        <v>1648</v>
      </c>
      <c r="K372" s="330" t="s">
        <v>3529</v>
      </c>
      <c r="L372" s="330" t="s">
        <v>3530</v>
      </c>
      <c r="M372" s="330" t="s">
        <v>3531</v>
      </c>
      <c r="N372" s="330" t="s">
        <v>3532</v>
      </c>
      <c r="O372" s="395">
        <v>45437</v>
      </c>
      <c r="P372" s="333">
        <v>6320782</v>
      </c>
      <c r="Q372" s="330" t="s">
        <v>1653</v>
      </c>
      <c r="R372" s="562">
        <v>0</v>
      </c>
      <c r="S372" s="333">
        <v>0</v>
      </c>
      <c r="T372" s="333">
        <v>-2002193.08</v>
      </c>
      <c r="U372" s="333">
        <f t="shared" si="54"/>
        <v>-2002193.08</v>
      </c>
      <c r="V372" s="333">
        <v>-100105</v>
      </c>
      <c r="W372" s="333">
        <v>0</v>
      </c>
      <c r="X372" s="333">
        <v>0</v>
      </c>
      <c r="Y372" s="333">
        <v>0</v>
      </c>
      <c r="Z372" s="333">
        <v>0</v>
      </c>
      <c r="AA372" s="333">
        <v>0</v>
      </c>
      <c r="AB372" s="333">
        <v>0</v>
      </c>
      <c r="AC372" s="333">
        <v>-7142</v>
      </c>
      <c r="AD372" s="333">
        <v>0</v>
      </c>
      <c r="AE372" s="333"/>
      <c r="AF372" s="333"/>
      <c r="AG372" s="333">
        <f t="shared" si="55"/>
        <v>-2109440.08</v>
      </c>
      <c r="AH372" s="330"/>
      <c r="AI372" s="330">
        <v>7142</v>
      </c>
      <c r="AJ372" s="396">
        <f t="shared" si="57"/>
        <v>-2109440.08</v>
      </c>
      <c r="AK372" s="563"/>
      <c r="AL372" s="285">
        <f t="shared" si="62"/>
        <v>0</v>
      </c>
      <c r="AM372" s="286"/>
      <c r="AO372" s="330" t="s">
        <v>3529</v>
      </c>
    </row>
    <row r="373" spans="1:41">
      <c r="A373" s="587">
        <f t="shared" si="58"/>
        <v>370</v>
      </c>
      <c r="B373" s="330" t="s">
        <v>1643</v>
      </c>
      <c r="C373" s="330" t="s">
        <v>3533</v>
      </c>
      <c r="D373" s="330" t="s">
        <v>2153</v>
      </c>
      <c r="E373" s="330" t="s">
        <v>2195</v>
      </c>
      <c r="F373" s="330" t="s">
        <v>1671</v>
      </c>
      <c r="G373" s="562">
        <v>1498</v>
      </c>
      <c r="H373" s="562">
        <v>954.87</v>
      </c>
      <c r="I373" s="562">
        <v>1069.73</v>
      </c>
      <c r="J373" s="561" t="s">
        <v>1648</v>
      </c>
      <c r="K373" s="330" t="s">
        <v>3534</v>
      </c>
      <c r="L373" s="330" t="s">
        <v>3535</v>
      </c>
      <c r="M373" s="330" t="s">
        <v>3536</v>
      </c>
      <c r="N373" s="330" t="s">
        <v>12</v>
      </c>
      <c r="O373" s="395"/>
      <c r="P373" s="333">
        <v>9348190</v>
      </c>
      <c r="Q373" s="330" t="s">
        <v>1660</v>
      </c>
      <c r="R373" s="562">
        <v>0</v>
      </c>
      <c r="S373" s="333">
        <v>0</v>
      </c>
      <c r="T373" s="333">
        <v>-50000</v>
      </c>
      <c r="U373" s="333">
        <f t="shared" si="54"/>
        <v>-50000</v>
      </c>
      <c r="V373" s="333">
        <v>50000</v>
      </c>
      <c r="W373" s="333">
        <v>0</v>
      </c>
      <c r="X373" s="333">
        <v>0</v>
      </c>
      <c r="Y373" s="333">
        <v>0</v>
      </c>
      <c r="Z373" s="333">
        <v>0</v>
      </c>
      <c r="AA373" s="333">
        <v>0</v>
      </c>
      <c r="AB373" s="333">
        <v>0</v>
      </c>
      <c r="AC373" s="333">
        <v>0</v>
      </c>
      <c r="AD373" s="333">
        <v>0</v>
      </c>
      <c r="AE373" s="333"/>
      <c r="AF373" s="333"/>
      <c r="AG373" s="333">
        <f t="shared" si="55"/>
        <v>0</v>
      </c>
      <c r="AH373" s="330"/>
      <c r="AI373" s="330">
        <v>0</v>
      </c>
      <c r="AJ373" s="396">
        <f t="shared" si="57"/>
        <v>0</v>
      </c>
      <c r="AK373" s="563"/>
      <c r="AL373" s="285">
        <f t="shared" si="59"/>
        <v>0</v>
      </c>
      <c r="AM373" s="286"/>
      <c r="AO373" s="330" t="s">
        <v>3534</v>
      </c>
    </row>
    <row r="374" spans="1:41">
      <c r="A374" s="587">
        <f t="shared" si="58"/>
        <v>371</v>
      </c>
      <c r="B374" s="330" t="s">
        <v>1643</v>
      </c>
      <c r="C374" s="330" t="s">
        <v>2577</v>
      </c>
      <c r="D374" s="330" t="s">
        <v>1746</v>
      </c>
      <c r="E374" s="330" t="s">
        <v>2189</v>
      </c>
      <c r="F374" s="330" t="s">
        <v>1671</v>
      </c>
      <c r="G374" s="562">
        <v>1498</v>
      </c>
      <c r="H374" s="562">
        <v>954.87</v>
      </c>
      <c r="I374" s="562">
        <v>1069.73</v>
      </c>
      <c r="J374" s="561" t="s">
        <v>1810</v>
      </c>
      <c r="K374" s="330" t="s">
        <v>3537</v>
      </c>
      <c r="L374" s="330" t="s">
        <v>3538</v>
      </c>
      <c r="M374" s="330" t="s">
        <v>3539</v>
      </c>
      <c r="N374" s="330" t="s">
        <v>12</v>
      </c>
      <c r="O374" s="395"/>
      <c r="P374" s="333">
        <v>9387333</v>
      </c>
      <c r="Q374" s="330" t="s">
        <v>1660</v>
      </c>
      <c r="R374" s="562">
        <v>0</v>
      </c>
      <c r="S374" s="333">
        <v>0</v>
      </c>
      <c r="T374" s="333">
        <v>-40000</v>
      </c>
      <c r="U374" s="333">
        <f t="shared" si="54"/>
        <v>-40000</v>
      </c>
      <c r="V374" s="333">
        <v>40000</v>
      </c>
      <c r="W374" s="333">
        <v>0</v>
      </c>
      <c r="X374" s="333">
        <v>0</v>
      </c>
      <c r="Y374" s="333">
        <v>0</v>
      </c>
      <c r="Z374" s="333">
        <v>0</v>
      </c>
      <c r="AA374" s="333">
        <v>0</v>
      </c>
      <c r="AB374" s="333">
        <v>0</v>
      </c>
      <c r="AC374" s="333">
        <v>0</v>
      </c>
      <c r="AD374" s="333">
        <v>0</v>
      </c>
      <c r="AE374" s="333"/>
      <c r="AF374" s="333"/>
      <c r="AG374" s="333">
        <f t="shared" si="55"/>
        <v>0</v>
      </c>
      <c r="AH374" s="330"/>
      <c r="AI374" s="330">
        <v>0</v>
      </c>
      <c r="AJ374" s="396">
        <f t="shared" si="57"/>
        <v>0</v>
      </c>
      <c r="AK374" s="563"/>
      <c r="AL374" s="285">
        <f t="shared" si="59"/>
        <v>0</v>
      </c>
      <c r="AM374" s="286"/>
      <c r="AO374" s="330" t="s">
        <v>3537</v>
      </c>
    </row>
    <row r="375" spans="1:41">
      <c r="A375" s="587">
        <f t="shared" si="58"/>
        <v>372</v>
      </c>
      <c r="B375" s="330" t="s">
        <v>1643</v>
      </c>
      <c r="C375" s="330" t="s">
        <v>3540</v>
      </c>
      <c r="D375" s="330" t="s">
        <v>1662</v>
      </c>
      <c r="E375" s="330" t="s">
        <v>2305</v>
      </c>
      <c r="F375" s="330" t="s">
        <v>1647</v>
      </c>
      <c r="G375" s="562">
        <v>1012</v>
      </c>
      <c r="H375" s="562">
        <v>653.59</v>
      </c>
      <c r="I375" s="562">
        <v>723.02</v>
      </c>
      <c r="J375" s="561" t="s">
        <v>1810</v>
      </c>
      <c r="K375" s="330" t="s">
        <v>3541</v>
      </c>
      <c r="L375" s="330" t="s">
        <v>3542</v>
      </c>
      <c r="M375" s="330" t="s">
        <v>3543</v>
      </c>
      <c r="N375" s="330" t="s">
        <v>3544</v>
      </c>
      <c r="O375" s="395">
        <v>45437</v>
      </c>
      <c r="P375" s="333">
        <v>5683644</v>
      </c>
      <c r="Q375" s="330" t="s">
        <v>1653</v>
      </c>
      <c r="R375" s="562">
        <v>0</v>
      </c>
      <c r="S375" s="333">
        <v>0</v>
      </c>
      <c r="T375" s="333">
        <v>-1697950.3399999999</v>
      </c>
      <c r="U375" s="333">
        <f t="shared" si="54"/>
        <v>-1697950.3399999999</v>
      </c>
      <c r="V375" s="333">
        <v>0</v>
      </c>
      <c r="W375" s="333">
        <v>0</v>
      </c>
      <c r="X375" s="333">
        <v>0</v>
      </c>
      <c r="Y375" s="333">
        <v>0</v>
      </c>
      <c r="Z375" s="333">
        <v>0</v>
      </c>
      <c r="AA375" s="333">
        <v>0</v>
      </c>
      <c r="AB375" s="333">
        <v>0</v>
      </c>
      <c r="AC375" s="333">
        <v>0</v>
      </c>
      <c r="AD375" s="333">
        <v>0</v>
      </c>
      <c r="AE375" s="333"/>
      <c r="AF375" s="333"/>
      <c r="AG375" s="333">
        <f t="shared" si="55"/>
        <v>-1697950.3399999999</v>
      </c>
      <c r="AH375" s="330"/>
      <c r="AI375" s="330">
        <v>0</v>
      </c>
      <c r="AJ375" s="396">
        <f t="shared" si="57"/>
        <v>-1697950.3399999999</v>
      </c>
      <c r="AK375" s="563"/>
      <c r="AL375" s="285">
        <f t="shared" si="59"/>
        <v>0</v>
      </c>
      <c r="AM375" s="286"/>
      <c r="AO375" s="330" t="s">
        <v>3541</v>
      </c>
    </row>
    <row r="376" spans="1:41">
      <c r="A376" s="587">
        <f t="shared" si="58"/>
        <v>373</v>
      </c>
      <c r="B376" s="330" t="s">
        <v>1643</v>
      </c>
      <c r="C376" s="330" t="s">
        <v>3545</v>
      </c>
      <c r="D376" s="330" t="s">
        <v>1746</v>
      </c>
      <c r="E376" s="330" t="s">
        <v>1740</v>
      </c>
      <c r="F376" s="330" t="s">
        <v>1647</v>
      </c>
      <c r="G376" s="562">
        <v>1012</v>
      </c>
      <c r="H376" s="562">
        <v>653.59</v>
      </c>
      <c r="I376" s="562">
        <v>723.02</v>
      </c>
      <c r="J376" s="561" t="s">
        <v>1810</v>
      </c>
      <c r="K376" s="330" t="s">
        <v>3546</v>
      </c>
      <c r="L376" s="330" t="s">
        <v>3547</v>
      </c>
      <c r="M376" s="330" t="s">
        <v>3548</v>
      </c>
      <c r="N376" s="330" t="s">
        <v>3549</v>
      </c>
      <c r="O376" s="395">
        <v>45442</v>
      </c>
      <c r="P376" s="333">
        <v>5648216</v>
      </c>
      <c r="Q376" s="330" t="s">
        <v>1653</v>
      </c>
      <c r="R376" s="562">
        <v>0</v>
      </c>
      <c r="S376" s="333">
        <v>0</v>
      </c>
      <c r="T376" s="333">
        <v>-1544465.7599999993</v>
      </c>
      <c r="U376" s="333">
        <f t="shared" si="54"/>
        <v>-1544465.7599999993</v>
      </c>
      <c r="V376" s="333">
        <v>-150000</v>
      </c>
      <c r="W376" s="333">
        <v>0</v>
      </c>
      <c r="X376" s="333">
        <v>0</v>
      </c>
      <c r="Y376" s="333">
        <v>0</v>
      </c>
      <c r="Z376" s="333">
        <v>0</v>
      </c>
      <c r="AA376" s="333">
        <v>0</v>
      </c>
      <c r="AB376" s="333">
        <v>0</v>
      </c>
      <c r="AC376" s="333">
        <v>0</v>
      </c>
      <c r="AD376" s="333">
        <v>0</v>
      </c>
      <c r="AE376" s="333"/>
      <c r="AF376" s="333"/>
      <c r="AG376" s="333">
        <f t="shared" si="55"/>
        <v>-1694465.7599999993</v>
      </c>
      <c r="AH376" s="330"/>
      <c r="AI376" s="330">
        <v>0</v>
      </c>
      <c r="AJ376" s="396">
        <f t="shared" si="57"/>
        <v>-1694465.7599999993</v>
      </c>
      <c r="AK376" s="563"/>
      <c r="AL376" s="285">
        <f t="shared" si="59"/>
        <v>0</v>
      </c>
      <c r="AM376" s="286"/>
      <c r="AO376" s="330" t="s">
        <v>3546</v>
      </c>
    </row>
    <row r="377" spans="1:41">
      <c r="A377" s="587">
        <f t="shared" si="58"/>
        <v>374</v>
      </c>
      <c r="B377" s="330" t="s">
        <v>1643</v>
      </c>
      <c r="C377" s="330" t="s">
        <v>3550</v>
      </c>
      <c r="D377" s="330" t="s">
        <v>1655</v>
      </c>
      <c r="E377" s="330" t="s">
        <v>2907</v>
      </c>
      <c r="F377" s="330" t="s">
        <v>1647</v>
      </c>
      <c r="G377" s="562">
        <v>1012</v>
      </c>
      <c r="H377" s="562">
        <v>653.59</v>
      </c>
      <c r="I377" s="562">
        <v>723.02</v>
      </c>
      <c r="J377" s="561" t="s">
        <v>1679</v>
      </c>
      <c r="K377" s="330" t="s">
        <v>3551</v>
      </c>
      <c r="L377" s="330" t="s">
        <v>3552</v>
      </c>
      <c r="M377" s="330" t="s">
        <v>3553</v>
      </c>
      <c r="N377" s="330" t="s">
        <v>12</v>
      </c>
      <c r="O377" s="395"/>
      <c r="P377" s="333">
        <v>6107143</v>
      </c>
      <c r="Q377" s="330" t="s">
        <v>1660</v>
      </c>
      <c r="R377" s="562">
        <v>0</v>
      </c>
      <c r="S377" s="333">
        <v>0</v>
      </c>
      <c r="T377" s="333">
        <v>-199000</v>
      </c>
      <c r="U377" s="333">
        <f t="shared" si="54"/>
        <v>-199000</v>
      </c>
      <c r="V377" s="333">
        <v>199000</v>
      </c>
      <c r="W377" s="333">
        <v>0</v>
      </c>
      <c r="X377" s="333">
        <v>0</v>
      </c>
      <c r="Y377" s="333">
        <v>0</v>
      </c>
      <c r="Z377" s="333">
        <v>0</v>
      </c>
      <c r="AA377" s="333">
        <v>0</v>
      </c>
      <c r="AB377" s="333">
        <v>0</v>
      </c>
      <c r="AC377" s="333">
        <v>0</v>
      </c>
      <c r="AD377" s="333">
        <v>0</v>
      </c>
      <c r="AE377" s="333"/>
      <c r="AF377" s="333"/>
      <c r="AG377" s="333">
        <f t="shared" si="55"/>
        <v>0</v>
      </c>
      <c r="AH377" s="330"/>
      <c r="AI377" s="330">
        <v>0</v>
      </c>
      <c r="AJ377" s="396">
        <f t="shared" si="57"/>
        <v>0</v>
      </c>
      <c r="AK377" s="563"/>
      <c r="AL377" s="285">
        <f t="shared" si="59"/>
        <v>0</v>
      </c>
      <c r="AM377" s="286"/>
      <c r="AO377" s="330" t="s">
        <v>3551</v>
      </c>
    </row>
    <row r="378" spans="1:41">
      <c r="A378" s="587">
        <f t="shared" si="58"/>
        <v>375</v>
      </c>
      <c r="B378" s="330" t="s">
        <v>1643</v>
      </c>
      <c r="C378" s="330" t="s">
        <v>3554</v>
      </c>
      <c r="D378" s="330" t="s">
        <v>1677</v>
      </c>
      <c r="E378" s="330" t="s">
        <v>1874</v>
      </c>
      <c r="F378" s="330" t="s">
        <v>1786</v>
      </c>
      <c r="G378" s="562">
        <v>1265</v>
      </c>
      <c r="H378" s="562">
        <v>813.33</v>
      </c>
      <c r="I378" s="562">
        <v>903.31</v>
      </c>
      <c r="J378" s="561" t="s">
        <v>1810</v>
      </c>
      <c r="K378" s="330" t="s">
        <v>3555</v>
      </c>
      <c r="L378" s="330" t="s">
        <v>3556</v>
      </c>
      <c r="M378" s="330" t="s">
        <v>3557</v>
      </c>
      <c r="N378" s="330" t="s">
        <v>12</v>
      </c>
      <c r="O378" s="395"/>
      <c r="P378" s="333">
        <v>7540476</v>
      </c>
      <c r="Q378" s="330" t="s">
        <v>1653</v>
      </c>
      <c r="R378" s="562">
        <v>0</v>
      </c>
      <c r="S378" s="333">
        <v>0</v>
      </c>
      <c r="T378" s="333">
        <v>-50000</v>
      </c>
      <c r="U378" s="333">
        <f t="shared" si="54"/>
        <v>-50000</v>
      </c>
      <c r="V378" s="333">
        <v>0</v>
      </c>
      <c r="W378" s="333">
        <v>0</v>
      </c>
      <c r="X378" s="333">
        <v>0</v>
      </c>
      <c r="Y378" s="333">
        <v>0</v>
      </c>
      <c r="Z378" s="333">
        <v>0</v>
      </c>
      <c r="AA378" s="333">
        <v>0</v>
      </c>
      <c r="AB378" s="333">
        <v>0</v>
      </c>
      <c r="AC378" s="333">
        <v>0</v>
      </c>
      <c r="AD378" s="333">
        <v>0</v>
      </c>
      <c r="AE378" s="333"/>
      <c r="AF378" s="333"/>
      <c r="AG378" s="333">
        <f t="shared" si="55"/>
        <v>-50000</v>
      </c>
      <c r="AH378" s="330"/>
      <c r="AI378" s="330">
        <v>0</v>
      </c>
      <c r="AJ378" s="396">
        <f t="shared" si="57"/>
        <v>-50000</v>
      </c>
      <c r="AK378" s="563"/>
      <c r="AL378" s="285">
        <f t="shared" si="59"/>
        <v>0</v>
      </c>
      <c r="AM378" s="286"/>
      <c r="AO378" s="330" t="s">
        <v>3555</v>
      </c>
    </row>
    <row r="379" spans="1:41">
      <c r="A379" s="587">
        <f t="shared" si="58"/>
        <v>376</v>
      </c>
      <c r="B379" s="330" t="s">
        <v>1643</v>
      </c>
      <c r="C379" s="330" t="s">
        <v>3558</v>
      </c>
      <c r="D379" s="330" t="s">
        <v>1662</v>
      </c>
      <c r="E379" s="330" t="s">
        <v>2227</v>
      </c>
      <c r="F379" s="330" t="s">
        <v>1647</v>
      </c>
      <c r="G379" s="562">
        <v>1012</v>
      </c>
      <c r="H379" s="562">
        <v>653.59</v>
      </c>
      <c r="I379" s="562">
        <v>723.02</v>
      </c>
      <c r="J379" s="561" t="s">
        <v>1810</v>
      </c>
      <c r="K379" s="330" t="s">
        <v>3559</v>
      </c>
      <c r="L379" s="330" t="s">
        <v>3560</v>
      </c>
      <c r="M379" s="330" t="s">
        <v>3561</v>
      </c>
      <c r="N379" s="330" t="s">
        <v>3562</v>
      </c>
      <c r="O379" s="395">
        <v>45446</v>
      </c>
      <c r="P379" s="333">
        <v>5729194</v>
      </c>
      <c r="Q379" s="330" t="s">
        <v>1653</v>
      </c>
      <c r="R379" s="562">
        <v>0</v>
      </c>
      <c r="S379" s="333">
        <v>0</v>
      </c>
      <c r="T379" s="333">
        <v>-1626050.02</v>
      </c>
      <c r="U379" s="333">
        <f t="shared" si="54"/>
        <v>-1626050.02</v>
      </c>
      <c r="V379" s="333">
        <v>0</v>
      </c>
      <c r="W379" s="333">
        <v>0</v>
      </c>
      <c r="X379" s="333">
        <v>0</v>
      </c>
      <c r="Y379" s="333">
        <v>0</v>
      </c>
      <c r="Z379" s="333">
        <v>0</v>
      </c>
      <c r="AA379" s="333">
        <v>0</v>
      </c>
      <c r="AB379" s="333">
        <v>0</v>
      </c>
      <c r="AC379" s="333">
        <v>0</v>
      </c>
      <c r="AD379" s="333">
        <v>0</v>
      </c>
      <c r="AE379" s="333"/>
      <c r="AF379" s="333"/>
      <c r="AG379" s="333">
        <f t="shared" si="55"/>
        <v>-1626050.02</v>
      </c>
      <c r="AH379" s="330"/>
      <c r="AI379" s="330">
        <v>0</v>
      </c>
      <c r="AJ379" s="396">
        <f t="shared" si="57"/>
        <v>-1626050.02</v>
      </c>
      <c r="AK379" s="563"/>
      <c r="AL379" s="285">
        <f t="shared" si="59"/>
        <v>0</v>
      </c>
      <c r="AM379" s="286"/>
      <c r="AO379" s="330" t="s">
        <v>3559</v>
      </c>
    </row>
    <row r="380" spans="1:41">
      <c r="A380" s="587">
        <f t="shared" si="58"/>
        <v>377</v>
      </c>
      <c r="B380" s="330" t="s">
        <v>1643</v>
      </c>
      <c r="C380" s="330" t="s">
        <v>3563</v>
      </c>
      <c r="D380" s="330" t="s">
        <v>1645</v>
      </c>
      <c r="E380" s="330" t="s">
        <v>3564</v>
      </c>
      <c r="F380" s="330" t="s">
        <v>1647</v>
      </c>
      <c r="G380" s="562">
        <v>1114</v>
      </c>
      <c r="H380" s="562">
        <v>683.3</v>
      </c>
      <c r="I380" s="562">
        <v>795.57</v>
      </c>
      <c r="J380" s="561" t="s">
        <v>1648</v>
      </c>
      <c r="K380" s="330" t="s">
        <v>3565</v>
      </c>
      <c r="L380" s="330" t="s">
        <v>3566</v>
      </c>
      <c r="M380" s="330" t="s">
        <v>3567</v>
      </c>
      <c r="N380" s="330" t="s">
        <v>3568</v>
      </c>
      <c r="O380" s="395">
        <v>45429</v>
      </c>
      <c r="P380" s="333">
        <v>6270661</v>
      </c>
      <c r="Q380" s="330" t="s">
        <v>1653</v>
      </c>
      <c r="R380" s="562">
        <v>0</v>
      </c>
      <c r="S380" s="333">
        <v>0</v>
      </c>
      <c r="T380" s="333">
        <v>-1865530.3800000004</v>
      </c>
      <c r="U380" s="333">
        <f t="shared" si="54"/>
        <v>-1865530.3800000004</v>
      </c>
      <c r="V380" s="333">
        <v>0</v>
      </c>
      <c r="W380" s="333">
        <v>0</v>
      </c>
      <c r="X380" s="333">
        <v>0</v>
      </c>
      <c r="Y380" s="333">
        <v>0</v>
      </c>
      <c r="Z380" s="333">
        <v>0</v>
      </c>
      <c r="AA380" s="333">
        <v>0</v>
      </c>
      <c r="AB380" s="333">
        <v>0</v>
      </c>
      <c r="AC380" s="333">
        <v>-15666</v>
      </c>
      <c r="AD380" s="333">
        <v>0</v>
      </c>
      <c r="AE380" s="333"/>
      <c r="AF380" s="333"/>
      <c r="AG380" s="333">
        <f t="shared" si="55"/>
        <v>-1881196.3800000004</v>
      </c>
      <c r="AH380" s="330"/>
      <c r="AI380" s="330">
        <v>15666</v>
      </c>
      <c r="AJ380" s="396">
        <f t="shared" si="57"/>
        <v>-1881196.3800000004</v>
      </c>
      <c r="AK380" s="563"/>
      <c r="AL380" s="285">
        <f>+AC380+AI380</f>
        <v>0</v>
      </c>
      <c r="AM380" s="286"/>
      <c r="AO380" s="330" t="s">
        <v>3565</v>
      </c>
    </row>
    <row r="381" spans="1:41">
      <c r="A381" s="587">
        <f t="shared" si="58"/>
        <v>378</v>
      </c>
      <c r="B381" s="330" t="s">
        <v>1643</v>
      </c>
      <c r="C381" s="330" t="s">
        <v>3569</v>
      </c>
      <c r="D381" s="330" t="s">
        <v>1645</v>
      </c>
      <c r="E381" s="330" t="s">
        <v>2237</v>
      </c>
      <c r="F381" s="330" t="s">
        <v>1647</v>
      </c>
      <c r="G381" s="562">
        <v>1012</v>
      </c>
      <c r="H381" s="562">
        <v>653.59</v>
      </c>
      <c r="I381" s="562">
        <v>723.02</v>
      </c>
      <c r="J381" s="561" t="s">
        <v>1810</v>
      </c>
      <c r="K381" s="330" t="s">
        <v>3570</v>
      </c>
      <c r="L381" s="330" t="s">
        <v>3571</v>
      </c>
      <c r="M381" s="330" t="s">
        <v>3572</v>
      </c>
      <c r="N381" s="330" t="s">
        <v>3573</v>
      </c>
      <c r="O381" s="395">
        <v>45454</v>
      </c>
      <c r="P381" s="333">
        <v>5698827</v>
      </c>
      <c r="Q381" s="330" t="s">
        <v>1653</v>
      </c>
      <c r="R381" s="562">
        <v>0</v>
      </c>
      <c r="S381" s="333">
        <v>0</v>
      </c>
      <c r="T381" s="333">
        <v>-1766635.8499999999</v>
      </c>
      <c r="U381" s="333">
        <f t="shared" si="54"/>
        <v>-1766635.8499999999</v>
      </c>
      <c r="V381" s="333">
        <v>0</v>
      </c>
      <c r="W381" s="333">
        <v>0</v>
      </c>
      <c r="X381" s="333">
        <v>0</v>
      </c>
      <c r="Y381" s="333">
        <v>0</v>
      </c>
      <c r="Z381" s="333">
        <v>0</v>
      </c>
      <c r="AA381" s="333">
        <v>0</v>
      </c>
      <c r="AB381" s="333">
        <v>0</v>
      </c>
      <c r="AC381" s="333">
        <v>0</v>
      </c>
      <c r="AD381" s="333">
        <v>0</v>
      </c>
      <c r="AE381" s="333"/>
      <c r="AF381" s="333"/>
      <c r="AG381" s="333">
        <f t="shared" si="55"/>
        <v>-1766635.8499999999</v>
      </c>
      <c r="AH381" s="330"/>
      <c r="AI381" s="330">
        <v>0</v>
      </c>
      <c r="AJ381" s="396">
        <f t="shared" si="57"/>
        <v>-1766635.8499999999</v>
      </c>
      <c r="AK381" s="563"/>
      <c r="AL381" s="285">
        <f t="shared" si="59"/>
        <v>0</v>
      </c>
      <c r="AM381" s="286"/>
      <c r="AO381" s="330" t="s">
        <v>3570</v>
      </c>
    </row>
    <row r="382" spans="1:41">
      <c r="A382" s="587">
        <f t="shared" si="58"/>
        <v>379</v>
      </c>
      <c r="B382" s="330" t="s">
        <v>1643</v>
      </c>
      <c r="C382" s="330" t="s">
        <v>3574</v>
      </c>
      <c r="D382" s="330" t="s">
        <v>1662</v>
      </c>
      <c r="E382" s="330" t="s">
        <v>1852</v>
      </c>
      <c r="F382" s="330" t="s">
        <v>1647</v>
      </c>
      <c r="G382" s="562">
        <v>1012</v>
      </c>
      <c r="H382" s="562">
        <v>653.59</v>
      </c>
      <c r="I382" s="562">
        <v>723.02</v>
      </c>
      <c r="J382" s="561" t="s">
        <v>1648</v>
      </c>
      <c r="K382" s="330" t="s">
        <v>3575</v>
      </c>
      <c r="L382" s="330" t="s">
        <v>3576</v>
      </c>
      <c r="M382" s="330" t="s">
        <v>3577</v>
      </c>
      <c r="N382" s="330" t="s">
        <v>3578</v>
      </c>
      <c r="O382" s="395">
        <v>45433</v>
      </c>
      <c r="P382" s="333">
        <v>5648216</v>
      </c>
      <c r="Q382" s="330" t="s">
        <v>1653</v>
      </c>
      <c r="R382" s="562">
        <v>0</v>
      </c>
      <c r="S382" s="333">
        <v>0</v>
      </c>
      <c r="T382" s="333">
        <v>-1544465.7600000012</v>
      </c>
      <c r="U382" s="333">
        <f t="shared" si="54"/>
        <v>-1544465.7600000012</v>
      </c>
      <c r="V382" s="333">
        <v>-160000</v>
      </c>
      <c r="W382" s="333">
        <v>0</v>
      </c>
      <c r="X382" s="333">
        <v>0</v>
      </c>
      <c r="Y382" s="333">
        <v>0</v>
      </c>
      <c r="Z382" s="333">
        <v>0</v>
      </c>
      <c r="AA382" s="333">
        <v>0</v>
      </c>
      <c r="AB382" s="333">
        <v>0</v>
      </c>
      <c r="AC382" s="333">
        <v>0</v>
      </c>
      <c r="AD382" s="333">
        <v>0</v>
      </c>
      <c r="AE382" s="333"/>
      <c r="AF382" s="333"/>
      <c r="AG382" s="333">
        <f t="shared" si="55"/>
        <v>-1704465.7600000012</v>
      </c>
      <c r="AH382" s="330"/>
      <c r="AI382" s="330">
        <v>0</v>
      </c>
      <c r="AJ382" s="396">
        <f t="shared" si="57"/>
        <v>-1704465.7600000012</v>
      </c>
      <c r="AK382" s="563"/>
      <c r="AL382" s="285">
        <f t="shared" si="59"/>
        <v>0</v>
      </c>
      <c r="AM382" s="286"/>
      <c r="AO382" s="330" t="s">
        <v>3575</v>
      </c>
    </row>
    <row r="383" spans="1:41">
      <c r="A383" s="587">
        <f t="shared" si="58"/>
        <v>380</v>
      </c>
      <c r="B383" s="330" t="s">
        <v>1643</v>
      </c>
      <c r="C383" s="330" t="s">
        <v>3579</v>
      </c>
      <c r="D383" s="330" t="s">
        <v>1677</v>
      </c>
      <c r="E383" s="330" t="s">
        <v>2572</v>
      </c>
      <c r="F383" s="330" t="s">
        <v>1647</v>
      </c>
      <c r="G383" s="562">
        <v>1012</v>
      </c>
      <c r="H383" s="562">
        <v>653.59</v>
      </c>
      <c r="I383" s="562">
        <v>723.02</v>
      </c>
      <c r="J383" s="561" t="s">
        <v>1648</v>
      </c>
      <c r="K383" s="330" t="s">
        <v>3580</v>
      </c>
      <c r="L383" s="330" t="s">
        <v>3581</v>
      </c>
      <c r="M383" s="330" t="s">
        <v>3582</v>
      </c>
      <c r="N383" s="330" t="s">
        <v>12</v>
      </c>
      <c r="O383" s="395"/>
      <c r="P383" s="333">
        <v>8500000</v>
      </c>
      <c r="Q383" s="330" t="s">
        <v>1660</v>
      </c>
      <c r="R383" s="562">
        <v>0</v>
      </c>
      <c r="S383" s="333">
        <v>0</v>
      </c>
      <c r="T383" s="333">
        <v>0</v>
      </c>
      <c r="U383" s="333">
        <f t="shared" si="54"/>
        <v>0</v>
      </c>
      <c r="V383" s="333">
        <v>0</v>
      </c>
      <c r="W383" s="333">
        <v>0</v>
      </c>
      <c r="X383" s="333">
        <v>0</v>
      </c>
      <c r="Y383" s="333">
        <v>0</v>
      </c>
      <c r="Z383" s="333">
        <v>0</v>
      </c>
      <c r="AA383" s="333">
        <v>0</v>
      </c>
      <c r="AB383" s="333">
        <v>0</v>
      </c>
      <c r="AC383" s="333">
        <v>0</v>
      </c>
      <c r="AD383" s="333">
        <v>0</v>
      </c>
      <c r="AE383" s="333"/>
      <c r="AF383" s="333"/>
      <c r="AG383" s="333">
        <f t="shared" si="55"/>
        <v>0</v>
      </c>
      <c r="AH383" s="330"/>
      <c r="AI383" s="330">
        <v>-5.6843418860808015E-13</v>
      </c>
      <c r="AJ383" s="396">
        <f t="shared" si="57"/>
        <v>0</v>
      </c>
      <c r="AK383" s="563"/>
      <c r="AL383" s="285">
        <f t="shared" si="59"/>
        <v>5.6843418860808015E-13</v>
      </c>
      <c r="AM383" s="286"/>
      <c r="AO383" s="330" t="s">
        <v>3580</v>
      </c>
    </row>
    <row r="384" spans="1:41">
      <c r="A384" s="587">
        <f t="shared" si="58"/>
        <v>381</v>
      </c>
      <c r="B384" s="330" t="s">
        <v>1643</v>
      </c>
      <c r="C384" s="330" t="s">
        <v>3583</v>
      </c>
      <c r="D384" s="330" t="s">
        <v>1662</v>
      </c>
      <c r="E384" s="330" t="s">
        <v>2183</v>
      </c>
      <c r="F384" s="330" t="s">
        <v>1671</v>
      </c>
      <c r="G384" s="562">
        <v>1498</v>
      </c>
      <c r="H384" s="562">
        <v>954.87</v>
      </c>
      <c r="I384" s="562">
        <v>1069.73</v>
      </c>
      <c r="J384" s="561" t="s">
        <v>1648</v>
      </c>
      <c r="K384" s="330" t="s">
        <v>3584</v>
      </c>
      <c r="L384" s="330" t="s">
        <v>3585</v>
      </c>
      <c r="M384" s="330" t="s">
        <v>3586</v>
      </c>
      <c r="N384" s="330" t="s">
        <v>3587</v>
      </c>
      <c r="O384" s="395">
        <v>45437</v>
      </c>
      <c r="P384" s="333">
        <v>8626273</v>
      </c>
      <c r="Q384" s="330" t="s">
        <v>1653</v>
      </c>
      <c r="R384" s="562">
        <v>0</v>
      </c>
      <c r="S384" s="333">
        <v>0</v>
      </c>
      <c r="T384" s="333">
        <v>-2463760.7199999997</v>
      </c>
      <c r="U384" s="333">
        <f t="shared" si="54"/>
        <v>-2463760.7199999997</v>
      </c>
      <c r="V384" s="333">
        <v>-142858</v>
      </c>
      <c r="W384" s="333">
        <v>0</v>
      </c>
      <c r="X384" s="333">
        <v>0</v>
      </c>
      <c r="Y384" s="333">
        <v>0</v>
      </c>
      <c r="Z384" s="333">
        <v>0</v>
      </c>
      <c r="AA384" s="333">
        <v>0</v>
      </c>
      <c r="AB384" s="333">
        <v>0</v>
      </c>
      <c r="AC384" s="333">
        <v>4.0000000008149073E-2</v>
      </c>
      <c r="AD384" s="333">
        <v>0</v>
      </c>
      <c r="AE384" s="333"/>
      <c r="AF384" s="333"/>
      <c r="AG384" s="333">
        <f t="shared" si="55"/>
        <v>-2606618.6799999997</v>
      </c>
      <c r="AH384" s="330"/>
      <c r="AI384" s="330">
        <v>-3.999999999996362E-2</v>
      </c>
      <c r="AJ384" s="396">
        <f t="shared" si="57"/>
        <v>-2606618.6799999997</v>
      </c>
      <c r="AK384" s="563"/>
      <c r="AL384" s="285">
        <f t="shared" si="59"/>
        <v>8.0000000008112693E-2</v>
      </c>
      <c r="AM384" s="286"/>
      <c r="AO384" s="330" t="s">
        <v>3584</v>
      </c>
    </row>
    <row r="385" spans="1:41">
      <c r="A385" s="587">
        <f t="shared" si="58"/>
        <v>382</v>
      </c>
      <c r="B385" s="330" t="s">
        <v>1643</v>
      </c>
      <c r="C385" s="330" t="s">
        <v>3588</v>
      </c>
      <c r="D385" s="330" t="s">
        <v>1704</v>
      </c>
      <c r="E385" s="330" t="s">
        <v>3334</v>
      </c>
      <c r="F385" s="330" t="s">
        <v>3589</v>
      </c>
      <c r="G385" s="562">
        <v>1498</v>
      </c>
      <c r="H385" s="562">
        <v>954.87</v>
      </c>
      <c r="I385" s="562">
        <v>1069.73</v>
      </c>
      <c r="J385" s="561" t="s">
        <v>1648</v>
      </c>
      <c r="K385" s="330" t="s">
        <v>3590</v>
      </c>
      <c r="L385" s="330" t="s">
        <v>3591</v>
      </c>
      <c r="M385" s="330" t="s">
        <v>3592</v>
      </c>
      <c r="N385" s="330" t="s">
        <v>3593</v>
      </c>
      <c r="O385" s="395">
        <v>45845</v>
      </c>
      <c r="P385" s="333">
        <v>9678571</v>
      </c>
      <c r="Q385" s="330" t="s">
        <v>1653</v>
      </c>
      <c r="R385" s="562">
        <v>0</v>
      </c>
      <c r="S385" s="333">
        <v>0</v>
      </c>
      <c r="T385" s="333">
        <v>0</v>
      </c>
      <c r="U385" s="333">
        <f t="shared" si="54"/>
        <v>0</v>
      </c>
      <c r="V385" s="333">
        <v>-3145535.59</v>
      </c>
      <c r="W385" s="333">
        <v>0</v>
      </c>
      <c r="X385" s="333">
        <v>0</v>
      </c>
      <c r="Y385" s="333">
        <v>0</v>
      </c>
      <c r="Z385" s="333">
        <v>707500</v>
      </c>
      <c r="AA385" s="333">
        <v>-707500</v>
      </c>
      <c r="AB385" s="333">
        <v>0</v>
      </c>
      <c r="AC385" s="333">
        <v>145178.58000000031</v>
      </c>
      <c r="AD385" s="333">
        <v>0</v>
      </c>
      <c r="AE385" s="333"/>
      <c r="AF385" s="333"/>
      <c r="AG385" s="333">
        <f t="shared" si="55"/>
        <v>-3000357.01</v>
      </c>
      <c r="AH385" s="330"/>
      <c r="AI385" s="330">
        <v>-145178.58000000002</v>
      </c>
      <c r="AJ385" s="396">
        <f t="shared" si="57"/>
        <v>-3000357.01</v>
      </c>
      <c r="AK385" s="563"/>
      <c r="AL385" s="285">
        <f t="shared" ref="AL385:AL388" si="63">+AC385+AI385</f>
        <v>2.9103830456733704E-10</v>
      </c>
      <c r="AM385" s="286"/>
      <c r="AO385" s="330" t="s">
        <v>3590</v>
      </c>
    </row>
    <row r="386" spans="1:41">
      <c r="A386" s="587">
        <f t="shared" si="58"/>
        <v>383</v>
      </c>
      <c r="B386" s="330" t="s">
        <v>1643</v>
      </c>
      <c r="C386" s="330" t="s">
        <v>3594</v>
      </c>
      <c r="D386" s="330" t="s">
        <v>1645</v>
      </c>
      <c r="E386" s="330" t="s">
        <v>3227</v>
      </c>
      <c r="F386" s="330" t="s">
        <v>1647</v>
      </c>
      <c r="G386" s="562">
        <v>1114</v>
      </c>
      <c r="H386" s="562">
        <v>683.3</v>
      </c>
      <c r="I386" s="562">
        <v>795.57</v>
      </c>
      <c r="J386" s="561" t="s">
        <v>1810</v>
      </c>
      <c r="K386" s="330" t="s">
        <v>3595</v>
      </c>
      <c r="L386" s="330" t="s">
        <v>3596</v>
      </c>
      <c r="M386" s="330" t="s">
        <v>3597</v>
      </c>
      <c r="N386" s="330" t="s">
        <v>3598</v>
      </c>
      <c r="O386" s="395">
        <v>45443</v>
      </c>
      <c r="P386" s="333">
        <v>6270661</v>
      </c>
      <c r="Q386" s="330" t="s">
        <v>1653</v>
      </c>
      <c r="R386" s="562">
        <v>0</v>
      </c>
      <c r="S386" s="333">
        <v>0</v>
      </c>
      <c r="T386" s="333">
        <v>-1842522.6899999995</v>
      </c>
      <c r="U386" s="333">
        <f t="shared" si="54"/>
        <v>-1842522.6899999995</v>
      </c>
      <c r="V386" s="333">
        <v>0</v>
      </c>
      <c r="W386" s="333">
        <v>0</v>
      </c>
      <c r="X386" s="333">
        <v>0</v>
      </c>
      <c r="Y386" s="333">
        <v>0</v>
      </c>
      <c r="Z386" s="333">
        <v>0</v>
      </c>
      <c r="AA386" s="333">
        <v>0</v>
      </c>
      <c r="AB386" s="333">
        <v>0</v>
      </c>
      <c r="AC386" s="333">
        <v>-2381</v>
      </c>
      <c r="AD386" s="333">
        <v>0</v>
      </c>
      <c r="AE386" s="333"/>
      <c r="AF386" s="333"/>
      <c r="AG386" s="333">
        <f t="shared" si="55"/>
        <v>-1844903.6899999995</v>
      </c>
      <c r="AH386" s="330"/>
      <c r="AI386" s="330">
        <v>2381</v>
      </c>
      <c r="AJ386" s="396">
        <f t="shared" si="57"/>
        <v>-1844903.6899999995</v>
      </c>
      <c r="AK386" s="563"/>
      <c r="AL386" s="285">
        <f t="shared" si="63"/>
        <v>0</v>
      </c>
      <c r="AM386" s="286"/>
      <c r="AO386" s="330" t="s">
        <v>3595</v>
      </c>
    </row>
    <row r="387" spans="1:41">
      <c r="A387" s="587">
        <f t="shared" si="58"/>
        <v>384</v>
      </c>
      <c r="B387" s="330" t="s">
        <v>1643</v>
      </c>
      <c r="C387" s="330" t="s">
        <v>3599</v>
      </c>
      <c r="D387" s="330" t="s">
        <v>1662</v>
      </c>
      <c r="E387" s="330" t="s">
        <v>2259</v>
      </c>
      <c r="F387" s="330" t="s">
        <v>1671</v>
      </c>
      <c r="G387" s="562">
        <v>1375</v>
      </c>
      <c r="H387" s="562">
        <v>876.73</v>
      </c>
      <c r="I387" s="562">
        <v>982.22</v>
      </c>
      <c r="J387" s="561" t="s">
        <v>1810</v>
      </c>
      <c r="K387" s="330" t="s">
        <v>3600</v>
      </c>
      <c r="L387" s="330" t="s">
        <v>3601</v>
      </c>
      <c r="M387" s="330" t="s">
        <v>3602</v>
      </c>
      <c r="N387" s="330" t="s">
        <v>3603</v>
      </c>
      <c r="O387" s="395">
        <v>45520</v>
      </c>
      <c r="P387" s="333">
        <v>7360286</v>
      </c>
      <c r="Q387" s="330" t="s">
        <v>1653</v>
      </c>
      <c r="R387" s="562">
        <v>0</v>
      </c>
      <c r="S387" s="333">
        <v>0</v>
      </c>
      <c r="T387" s="333">
        <v>-2190875.7000000011</v>
      </c>
      <c r="U387" s="333">
        <f t="shared" si="54"/>
        <v>-2190875.7000000011</v>
      </c>
      <c r="V387" s="333">
        <v>0</v>
      </c>
      <c r="W387" s="333">
        <v>0</v>
      </c>
      <c r="X387" s="333">
        <v>0</v>
      </c>
      <c r="Y387" s="333">
        <v>0</v>
      </c>
      <c r="Z387" s="333">
        <v>0</v>
      </c>
      <c r="AA387" s="333">
        <v>0</v>
      </c>
      <c r="AB387" s="333">
        <v>0</v>
      </c>
      <c r="AC387" s="333">
        <v>-17208.310000000001</v>
      </c>
      <c r="AD387" s="333">
        <v>0</v>
      </c>
      <c r="AE387" s="333"/>
      <c r="AF387" s="333"/>
      <c r="AG387" s="333">
        <f t="shared" si="55"/>
        <v>-2208084.0100000012</v>
      </c>
      <c r="AH387" s="330"/>
      <c r="AI387" s="330">
        <v>17208</v>
      </c>
      <c r="AJ387" s="396">
        <f t="shared" si="57"/>
        <v>-2208084.0100000012</v>
      </c>
      <c r="AK387" s="563"/>
      <c r="AL387" s="285">
        <f t="shared" si="63"/>
        <v>-0.31000000000130967</v>
      </c>
      <c r="AM387" s="286"/>
      <c r="AO387" s="330" t="s">
        <v>3600</v>
      </c>
    </row>
    <row r="388" spans="1:41">
      <c r="A388" s="587">
        <f t="shared" si="58"/>
        <v>385</v>
      </c>
      <c r="B388" s="330" t="s">
        <v>1643</v>
      </c>
      <c r="C388" s="330" t="s">
        <v>3604</v>
      </c>
      <c r="D388" s="330" t="s">
        <v>1746</v>
      </c>
      <c r="E388" s="330" t="s">
        <v>2347</v>
      </c>
      <c r="F388" s="330" t="s">
        <v>1647</v>
      </c>
      <c r="G388" s="562">
        <v>1114</v>
      </c>
      <c r="H388" s="562">
        <v>683.3</v>
      </c>
      <c r="I388" s="562">
        <v>795.57</v>
      </c>
      <c r="J388" s="561" t="s">
        <v>1648</v>
      </c>
      <c r="K388" s="330" t="s">
        <v>3605</v>
      </c>
      <c r="L388" s="330" t="s">
        <v>3606</v>
      </c>
      <c r="M388" s="330" t="s">
        <v>3607</v>
      </c>
      <c r="N388" s="330" t="s">
        <v>3608</v>
      </c>
      <c r="O388" s="395">
        <v>45439</v>
      </c>
      <c r="P388" s="333">
        <v>6287368</v>
      </c>
      <c r="Q388" s="330" t="s">
        <v>1653</v>
      </c>
      <c r="R388" s="562">
        <v>0</v>
      </c>
      <c r="S388" s="333">
        <v>0</v>
      </c>
      <c r="T388" s="333">
        <v>-1941942.1600000004</v>
      </c>
      <c r="U388" s="333">
        <f t="shared" ref="U388:U451" si="64">SUM(R388:T388)</f>
        <v>-1941942.1600000004</v>
      </c>
      <c r="V388" s="333">
        <v>0</v>
      </c>
      <c r="W388" s="333">
        <v>0</v>
      </c>
      <c r="X388" s="333">
        <v>0</v>
      </c>
      <c r="Y388" s="333">
        <v>0</v>
      </c>
      <c r="Z388" s="333">
        <v>0</v>
      </c>
      <c r="AA388" s="333">
        <v>0</v>
      </c>
      <c r="AB388" s="333">
        <v>0</v>
      </c>
      <c r="AC388" s="333">
        <v>-7142</v>
      </c>
      <c r="AD388" s="333">
        <v>0</v>
      </c>
      <c r="AE388" s="333"/>
      <c r="AF388" s="333"/>
      <c r="AG388" s="333">
        <f t="shared" ref="AG388:AG451" si="65">SUM(U388:AF388)</f>
        <v>-1949084.1600000004</v>
      </c>
      <c r="AH388" s="330"/>
      <c r="AI388" s="330">
        <v>7142</v>
      </c>
      <c r="AJ388" s="396">
        <f t="shared" si="57"/>
        <v>-1949084.1600000004</v>
      </c>
      <c r="AK388" s="563"/>
      <c r="AL388" s="285">
        <f t="shared" si="63"/>
        <v>0</v>
      </c>
      <c r="AM388" s="286"/>
      <c r="AO388" s="330" t="s">
        <v>3605</v>
      </c>
    </row>
    <row r="389" spans="1:41">
      <c r="A389" s="587">
        <f t="shared" si="58"/>
        <v>386</v>
      </c>
      <c r="B389" s="330" t="s">
        <v>1643</v>
      </c>
      <c r="C389" s="330" t="s">
        <v>2646</v>
      </c>
      <c r="D389" s="330" t="s">
        <v>1677</v>
      </c>
      <c r="E389" s="330" t="s">
        <v>2647</v>
      </c>
      <c r="F389" s="330" t="s">
        <v>1647</v>
      </c>
      <c r="G389" s="562">
        <v>1012</v>
      </c>
      <c r="H389" s="562">
        <v>653.59</v>
      </c>
      <c r="I389" s="562">
        <v>723.02</v>
      </c>
      <c r="J389" s="561" t="s">
        <v>1810</v>
      </c>
      <c r="K389" s="330" t="s">
        <v>3609</v>
      </c>
      <c r="L389" s="330" t="s">
        <v>3610</v>
      </c>
      <c r="M389" s="330" t="s">
        <v>3611</v>
      </c>
      <c r="N389" s="330" t="s">
        <v>12</v>
      </c>
      <c r="O389" s="395"/>
      <c r="P389" s="333">
        <v>6312476</v>
      </c>
      <c r="Q389" s="330" t="s">
        <v>1660</v>
      </c>
      <c r="R389" s="562">
        <v>0</v>
      </c>
      <c r="S389" s="333">
        <v>0</v>
      </c>
      <c r="T389" s="333">
        <v>-149999.99999999997</v>
      </c>
      <c r="U389" s="333">
        <f t="shared" si="64"/>
        <v>-149999.99999999997</v>
      </c>
      <c r="V389" s="333">
        <v>150000</v>
      </c>
      <c r="W389" s="333">
        <v>0</v>
      </c>
      <c r="X389" s="333">
        <v>0</v>
      </c>
      <c r="Y389" s="333">
        <v>0</v>
      </c>
      <c r="Z389" s="333">
        <v>0</v>
      </c>
      <c r="AA389" s="333">
        <v>0</v>
      </c>
      <c r="AB389" s="333">
        <v>0</v>
      </c>
      <c r="AC389" s="333">
        <v>0</v>
      </c>
      <c r="AD389" s="333">
        <v>0</v>
      </c>
      <c r="AE389" s="333"/>
      <c r="AF389" s="333"/>
      <c r="AG389" s="333">
        <f t="shared" si="65"/>
        <v>2.9103830456733704E-11</v>
      </c>
      <c r="AH389" s="330"/>
      <c r="AI389" s="330">
        <v>0</v>
      </c>
      <c r="AJ389" s="396">
        <f t="shared" ref="AJ389:AJ452" si="66">SUM(U389:AE389)</f>
        <v>2.9103830456733704E-11</v>
      </c>
      <c r="AK389" s="563"/>
      <c r="AL389" s="285">
        <f t="shared" ref="AL389:AL452" si="67">+AC389-AI389</f>
        <v>0</v>
      </c>
      <c r="AM389" s="286"/>
      <c r="AO389" s="330" t="s">
        <v>3609</v>
      </c>
    </row>
    <row r="390" spans="1:41">
      <c r="A390" s="587">
        <f t="shared" ref="A390:A453" si="68">A389+1</f>
        <v>387</v>
      </c>
      <c r="B390" s="330" t="s">
        <v>1643</v>
      </c>
      <c r="C390" s="330" t="s">
        <v>3612</v>
      </c>
      <c r="D390" s="330" t="s">
        <v>1704</v>
      </c>
      <c r="E390" s="330" t="s">
        <v>1822</v>
      </c>
      <c r="F390" s="330" t="s">
        <v>1786</v>
      </c>
      <c r="G390" s="562">
        <v>1265</v>
      </c>
      <c r="H390" s="562">
        <v>813.33</v>
      </c>
      <c r="I390" s="562">
        <v>903.31</v>
      </c>
      <c r="J390" s="561" t="s">
        <v>1648</v>
      </c>
      <c r="K390" s="330" t="s">
        <v>3613</v>
      </c>
      <c r="L390" s="330" t="s">
        <v>3614</v>
      </c>
      <c r="M390" s="330" t="s">
        <v>3615</v>
      </c>
      <c r="N390" s="330" t="s">
        <v>3616</v>
      </c>
      <c r="O390" s="395">
        <v>45449</v>
      </c>
      <c r="P390" s="333">
        <v>7291415</v>
      </c>
      <c r="Q390" s="330" t="s">
        <v>1653</v>
      </c>
      <c r="R390" s="562">
        <v>0</v>
      </c>
      <c r="S390" s="333">
        <v>0</v>
      </c>
      <c r="T390" s="333">
        <v>-2210099.6399999987</v>
      </c>
      <c r="U390" s="333">
        <f t="shared" si="64"/>
        <v>-2210099.6399999987</v>
      </c>
      <c r="V390" s="333">
        <v>0</v>
      </c>
      <c r="W390" s="333">
        <v>0</v>
      </c>
      <c r="X390" s="333">
        <v>0</v>
      </c>
      <c r="Y390" s="333">
        <v>0</v>
      </c>
      <c r="Z390" s="333">
        <v>0</v>
      </c>
      <c r="AA390" s="333">
        <v>0</v>
      </c>
      <c r="AB390" s="333">
        <v>0</v>
      </c>
      <c r="AC390" s="333">
        <v>0</v>
      </c>
      <c r="AD390" s="333">
        <v>0</v>
      </c>
      <c r="AE390" s="333"/>
      <c r="AF390" s="333"/>
      <c r="AG390" s="333">
        <f t="shared" si="65"/>
        <v>-2210099.6399999987</v>
      </c>
      <c r="AH390" s="330"/>
      <c r="AI390" s="330">
        <v>0</v>
      </c>
      <c r="AJ390" s="396">
        <f t="shared" si="66"/>
        <v>-2210099.6399999987</v>
      </c>
      <c r="AK390" s="563"/>
      <c r="AL390" s="285">
        <f t="shared" si="67"/>
        <v>0</v>
      </c>
      <c r="AM390" s="286"/>
      <c r="AO390" s="330" t="s">
        <v>3613</v>
      </c>
    </row>
    <row r="391" spans="1:41">
      <c r="A391" s="587">
        <f t="shared" si="68"/>
        <v>388</v>
      </c>
      <c r="B391" s="330" t="s">
        <v>1643</v>
      </c>
      <c r="C391" s="330" t="s">
        <v>3617</v>
      </c>
      <c r="D391" s="330" t="s">
        <v>1704</v>
      </c>
      <c r="E391" s="330" t="s">
        <v>2305</v>
      </c>
      <c r="F391" s="330" t="s">
        <v>1647</v>
      </c>
      <c r="G391" s="562">
        <v>1012</v>
      </c>
      <c r="H391" s="562">
        <v>653.59</v>
      </c>
      <c r="I391" s="562">
        <v>723.02</v>
      </c>
      <c r="J391" s="561" t="s">
        <v>1648</v>
      </c>
      <c r="K391" s="330" t="s">
        <v>3618</v>
      </c>
      <c r="L391" s="330" t="s">
        <v>3619</v>
      </c>
      <c r="M391" s="330" t="s">
        <v>3620</v>
      </c>
      <c r="N391" s="330" t="s">
        <v>3621</v>
      </c>
      <c r="O391" s="395">
        <v>45454</v>
      </c>
      <c r="P391" s="333">
        <v>5776762</v>
      </c>
      <c r="Q391" s="330" t="s">
        <v>1653</v>
      </c>
      <c r="R391" s="562">
        <v>0</v>
      </c>
      <c r="S391" s="333">
        <v>0</v>
      </c>
      <c r="T391" s="333">
        <v>-1750358.8399999999</v>
      </c>
      <c r="U391" s="333">
        <f t="shared" si="64"/>
        <v>-1750358.8399999999</v>
      </c>
      <c r="V391" s="333">
        <v>0</v>
      </c>
      <c r="W391" s="333">
        <v>0</v>
      </c>
      <c r="X391" s="333">
        <v>0</v>
      </c>
      <c r="Y391" s="333">
        <v>0</v>
      </c>
      <c r="Z391" s="333">
        <v>0</v>
      </c>
      <c r="AA391" s="333">
        <v>0</v>
      </c>
      <c r="AB391" s="333">
        <v>0</v>
      </c>
      <c r="AC391" s="333">
        <v>0</v>
      </c>
      <c r="AD391" s="333">
        <v>0</v>
      </c>
      <c r="AE391" s="333"/>
      <c r="AF391" s="333"/>
      <c r="AG391" s="333">
        <f t="shared" si="65"/>
        <v>-1750358.8399999999</v>
      </c>
      <c r="AH391" s="330"/>
      <c r="AI391" s="330">
        <v>0</v>
      </c>
      <c r="AJ391" s="396">
        <f t="shared" si="66"/>
        <v>-1750358.8399999999</v>
      </c>
      <c r="AK391" s="563"/>
      <c r="AL391" s="285">
        <f t="shared" si="67"/>
        <v>0</v>
      </c>
      <c r="AM391" s="286"/>
      <c r="AO391" s="330" t="s">
        <v>3618</v>
      </c>
    </row>
    <row r="392" spans="1:41">
      <c r="A392" s="587">
        <f t="shared" si="68"/>
        <v>389</v>
      </c>
      <c r="B392" s="330" t="s">
        <v>1643</v>
      </c>
      <c r="C392" s="330" t="s">
        <v>3622</v>
      </c>
      <c r="D392" s="330" t="s">
        <v>2153</v>
      </c>
      <c r="E392" s="330" t="s">
        <v>2606</v>
      </c>
      <c r="F392" s="330" t="s">
        <v>1647</v>
      </c>
      <c r="G392" s="562">
        <v>1114</v>
      </c>
      <c r="H392" s="562">
        <v>683.3</v>
      </c>
      <c r="I392" s="562">
        <v>795.57</v>
      </c>
      <c r="J392" s="561" t="s">
        <v>1679</v>
      </c>
      <c r="K392" s="330" t="s">
        <v>3623</v>
      </c>
      <c r="L392" s="330" t="s">
        <v>3624</v>
      </c>
      <c r="M392" s="330" t="s">
        <v>3625</v>
      </c>
      <c r="N392" s="330" t="s">
        <v>3626</v>
      </c>
      <c r="O392" s="395">
        <v>45469</v>
      </c>
      <c r="P392" s="333">
        <v>6535714</v>
      </c>
      <c r="Q392" s="330" t="s">
        <v>1653</v>
      </c>
      <c r="R392" s="562">
        <v>0</v>
      </c>
      <c r="S392" s="333">
        <v>0</v>
      </c>
      <c r="T392" s="333">
        <v>-1876071.2799999996</v>
      </c>
      <c r="U392" s="333">
        <f t="shared" si="64"/>
        <v>-1876071.2799999996</v>
      </c>
      <c r="V392" s="333">
        <v>-150000</v>
      </c>
      <c r="W392" s="333">
        <v>0</v>
      </c>
      <c r="X392" s="333">
        <v>0</v>
      </c>
      <c r="Y392" s="333">
        <v>0</v>
      </c>
      <c r="Z392" s="333">
        <v>0</v>
      </c>
      <c r="AA392" s="333">
        <v>0</v>
      </c>
      <c r="AB392" s="333">
        <v>0</v>
      </c>
      <c r="AC392" s="333">
        <v>0</v>
      </c>
      <c r="AD392" s="333">
        <v>0</v>
      </c>
      <c r="AE392" s="333"/>
      <c r="AF392" s="333"/>
      <c r="AG392" s="333">
        <f t="shared" si="65"/>
        <v>-2026071.2799999996</v>
      </c>
      <c r="AH392" s="330"/>
      <c r="AI392" s="330">
        <v>0</v>
      </c>
      <c r="AJ392" s="396">
        <f t="shared" si="66"/>
        <v>-2026071.2799999996</v>
      </c>
      <c r="AK392" s="563"/>
      <c r="AL392" s="285">
        <f t="shared" si="67"/>
        <v>0</v>
      </c>
      <c r="AM392" s="286"/>
      <c r="AO392" s="330" t="s">
        <v>3623</v>
      </c>
    </row>
    <row r="393" spans="1:41">
      <c r="A393" s="587">
        <f t="shared" si="68"/>
        <v>390</v>
      </c>
      <c r="B393" s="330" t="s">
        <v>1643</v>
      </c>
      <c r="C393" s="330" t="s">
        <v>3627</v>
      </c>
      <c r="D393" s="330" t="s">
        <v>1746</v>
      </c>
      <c r="E393" s="330" t="s">
        <v>2718</v>
      </c>
      <c r="F393" s="330" t="s">
        <v>1671</v>
      </c>
      <c r="G393" s="562">
        <v>1375</v>
      </c>
      <c r="H393" s="562">
        <v>876.73</v>
      </c>
      <c r="I393" s="562">
        <v>982.22</v>
      </c>
      <c r="J393" s="561" t="s">
        <v>1679</v>
      </c>
      <c r="K393" s="330" t="s">
        <v>3628</v>
      </c>
      <c r="L393" s="330" t="s">
        <v>3629</v>
      </c>
      <c r="M393" s="330" t="s">
        <v>3630</v>
      </c>
      <c r="N393" s="330" t="s">
        <v>3631</v>
      </c>
      <c r="O393" s="395">
        <v>45464</v>
      </c>
      <c r="P393" s="333">
        <v>7765714</v>
      </c>
      <c r="Q393" s="330" t="s">
        <v>1653</v>
      </c>
      <c r="R393" s="562">
        <v>0</v>
      </c>
      <c r="S393" s="333">
        <v>0</v>
      </c>
      <c r="T393" s="333">
        <v>-2235094.2800000007</v>
      </c>
      <c r="U393" s="333">
        <f t="shared" si="64"/>
        <v>-2235094.2800000007</v>
      </c>
      <c r="V393" s="333">
        <v>0</v>
      </c>
      <c r="W393" s="333">
        <v>0</v>
      </c>
      <c r="X393" s="333">
        <v>0</v>
      </c>
      <c r="Y393" s="333">
        <v>0</v>
      </c>
      <c r="Z393" s="333">
        <v>0</v>
      </c>
      <c r="AA393" s="333">
        <v>0</v>
      </c>
      <c r="AB393" s="333">
        <v>0</v>
      </c>
      <c r="AC393" s="333">
        <v>0</v>
      </c>
      <c r="AD393" s="333">
        <v>0</v>
      </c>
      <c r="AE393" s="333"/>
      <c r="AF393" s="333"/>
      <c r="AG393" s="333">
        <f t="shared" si="65"/>
        <v>-2235094.2800000007</v>
      </c>
      <c r="AH393" s="330"/>
      <c r="AI393" s="330">
        <v>0</v>
      </c>
      <c r="AJ393" s="396">
        <f t="shared" si="66"/>
        <v>-2235094.2800000007</v>
      </c>
      <c r="AK393" s="563"/>
      <c r="AL393" s="285">
        <f t="shared" si="67"/>
        <v>0</v>
      </c>
      <c r="AM393" s="286"/>
      <c r="AO393" s="330" t="s">
        <v>3628</v>
      </c>
    </row>
    <row r="394" spans="1:41">
      <c r="A394" s="587">
        <f t="shared" si="68"/>
        <v>391</v>
      </c>
      <c r="B394" s="330" t="s">
        <v>1643</v>
      </c>
      <c r="C394" s="330" t="s">
        <v>3632</v>
      </c>
      <c r="D394" s="330" t="s">
        <v>2153</v>
      </c>
      <c r="E394" s="330" t="s">
        <v>2243</v>
      </c>
      <c r="F394" s="330" t="s">
        <v>1671</v>
      </c>
      <c r="G394" s="562">
        <v>1498</v>
      </c>
      <c r="H394" s="562">
        <v>954.87</v>
      </c>
      <c r="I394" s="562">
        <v>1069.73</v>
      </c>
      <c r="J394" s="561" t="s">
        <v>1810</v>
      </c>
      <c r="K394" s="330" t="s">
        <v>3633</v>
      </c>
      <c r="L394" s="330" t="s">
        <v>3634</v>
      </c>
      <c r="M394" s="330" t="s">
        <v>3635</v>
      </c>
      <c r="N394" s="330" t="s">
        <v>12</v>
      </c>
      <c r="O394" s="395"/>
      <c r="P394" s="333">
        <v>9080286</v>
      </c>
      <c r="Q394" s="330" t="s">
        <v>1660</v>
      </c>
      <c r="R394" s="562">
        <v>0</v>
      </c>
      <c r="S394" s="333">
        <v>0</v>
      </c>
      <c r="T394" s="333">
        <v>0</v>
      </c>
      <c r="U394" s="333">
        <f t="shared" si="64"/>
        <v>0</v>
      </c>
      <c r="V394" s="333">
        <v>0</v>
      </c>
      <c r="W394" s="333">
        <v>0</v>
      </c>
      <c r="X394" s="333">
        <v>0</v>
      </c>
      <c r="Y394" s="333">
        <v>0</v>
      </c>
      <c r="Z394" s="333">
        <v>0</v>
      </c>
      <c r="AA394" s="333">
        <v>0</v>
      </c>
      <c r="AB394" s="333">
        <v>0</v>
      </c>
      <c r="AC394" s="333">
        <v>0</v>
      </c>
      <c r="AD394" s="333">
        <v>0</v>
      </c>
      <c r="AE394" s="333"/>
      <c r="AF394" s="333"/>
      <c r="AG394" s="333">
        <f t="shared" si="65"/>
        <v>0</v>
      </c>
      <c r="AH394" s="330"/>
      <c r="AI394" s="330">
        <v>0</v>
      </c>
      <c r="AJ394" s="396">
        <f t="shared" si="66"/>
        <v>0</v>
      </c>
      <c r="AK394" s="563"/>
      <c r="AL394" s="285">
        <f t="shared" si="67"/>
        <v>0</v>
      </c>
      <c r="AM394" s="286"/>
      <c r="AO394" s="330" t="s">
        <v>3633</v>
      </c>
    </row>
    <row r="395" spans="1:41">
      <c r="A395" s="587">
        <f t="shared" si="68"/>
        <v>392</v>
      </c>
      <c r="B395" s="330" t="s">
        <v>1643</v>
      </c>
      <c r="C395" s="330" t="s">
        <v>3632</v>
      </c>
      <c r="D395" s="330" t="s">
        <v>2153</v>
      </c>
      <c r="E395" s="330" t="s">
        <v>2243</v>
      </c>
      <c r="F395" s="330" t="s">
        <v>1671</v>
      </c>
      <c r="G395" s="562">
        <v>1498</v>
      </c>
      <c r="H395" s="562">
        <v>954.87</v>
      </c>
      <c r="I395" s="562">
        <v>1069.73</v>
      </c>
      <c r="J395" s="561" t="s">
        <v>1679</v>
      </c>
      <c r="K395" s="330" t="s">
        <v>3636</v>
      </c>
      <c r="L395" s="330" t="s">
        <v>3634</v>
      </c>
      <c r="M395" s="330" t="s">
        <v>3635</v>
      </c>
      <c r="N395" s="330" t="s">
        <v>3637</v>
      </c>
      <c r="O395" s="395">
        <v>45677</v>
      </c>
      <c r="P395" s="333">
        <v>9080286</v>
      </c>
      <c r="Q395" s="330" t="s">
        <v>1653</v>
      </c>
      <c r="R395" s="562">
        <v>0</v>
      </c>
      <c r="S395" s="333">
        <v>0</v>
      </c>
      <c r="T395" s="333">
        <v>-2814888.5599999996</v>
      </c>
      <c r="U395" s="333">
        <f t="shared" si="64"/>
        <v>-2814888.5599999996</v>
      </c>
      <c r="V395" s="333">
        <v>0</v>
      </c>
      <c r="W395" s="333">
        <v>0</v>
      </c>
      <c r="X395" s="333">
        <v>0</v>
      </c>
      <c r="Y395" s="333">
        <v>0</v>
      </c>
      <c r="Z395" s="333">
        <v>0</v>
      </c>
      <c r="AA395" s="333">
        <v>0</v>
      </c>
      <c r="AB395" s="333">
        <v>0</v>
      </c>
      <c r="AC395" s="333">
        <v>0</v>
      </c>
      <c r="AD395" s="333">
        <v>0</v>
      </c>
      <c r="AE395" s="333"/>
      <c r="AF395" s="333"/>
      <c r="AG395" s="333">
        <f t="shared" si="65"/>
        <v>-2814888.5599999996</v>
      </c>
      <c r="AH395" s="330"/>
      <c r="AI395" s="330">
        <v>0</v>
      </c>
      <c r="AJ395" s="396">
        <f t="shared" si="66"/>
        <v>-2814888.5599999996</v>
      </c>
      <c r="AK395" s="563"/>
      <c r="AL395" s="285">
        <f t="shared" si="67"/>
        <v>0</v>
      </c>
      <c r="AM395" s="286"/>
      <c r="AO395" s="330" t="s">
        <v>3636</v>
      </c>
    </row>
    <row r="396" spans="1:41">
      <c r="A396" s="587">
        <f t="shared" si="68"/>
        <v>393</v>
      </c>
      <c r="B396" s="330" t="s">
        <v>1643</v>
      </c>
      <c r="C396" s="330" t="s">
        <v>3638</v>
      </c>
      <c r="D396" s="330" t="s">
        <v>1746</v>
      </c>
      <c r="E396" s="330" t="s">
        <v>2826</v>
      </c>
      <c r="F396" s="330" t="s">
        <v>1671</v>
      </c>
      <c r="G396" s="562">
        <v>1375</v>
      </c>
      <c r="H396" s="562">
        <v>876.73</v>
      </c>
      <c r="I396" s="562">
        <v>982.22</v>
      </c>
      <c r="J396" s="561" t="s">
        <v>1810</v>
      </c>
      <c r="K396" s="330" t="s">
        <v>3639</v>
      </c>
      <c r="L396" s="330" t="s">
        <v>3640</v>
      </c>
      <c r="M396" s="330" t="s">
        <v>3641</v>
      </c>
      <c r="N396" s="330" t="s">
        <v>3642</v>
      </c>
      <c r="O396" s="395">
        <v>45483</v>
      </c>
      <c r="P396" s="333">
        <v>7785714</v>
      </c>
      <c r="Q396" s="330" t="s">
        <v>1653</v>
      </c>
      <c r="R396" s="562">
        <v>0</v>
      </c>
      <c r="S396" s="333">
        <v>0</v>
      </c>
      <c r="T396" s="333">
        <v>-2413573.2800000003</v>
      </c>
      <c r="U396" s="333">
        <f t="shared" si="64"/>
        <v>-2413573.2800000003</v>
      </c>
      <c r="V396" s="333">
        <v>0</v>
      </c>
      <c r="W396" s="333">
        <v>0</v>
      </c>
      <c r="X396" s="333">
        <v>0</v>
      </c>
      <c r="Y396" s="333">
        <v>0</v>
      </c>
      <c r="Z396" s="333">
        <v>0</v>
      </c>
      <c r="AA396" s="333">
        <v>0</v>
      </c>
      <c r="AB396" s="333">
        <v>0</v>
      </c>
      <c r="AC396" s="333">
        <v>0</v>
      </c>
      <c r="AD396" s="333">
        <v>0</v>
      </c>
      <c r="AE396" s="333"/>
      <c r="AF396" s="333"/>
      <c r="AG396" s="333">
        <f t="shared" si="65"/>
        <v>-2413573.2800000003</v>
      </c>
      <c r="AH396" s="330"/>
      <c r="AI396" s="330">
        <v>0</v>
      </c>
      <c r="AJ396" s="396">
        <f t="shared" si="66"/>
        <v>-2413573.2800000003</v>
      </c>
      <c r="AK396" s="563"/>
      <c r="AL396" s="285">
        <f t="shared" si="67"/>
        <v>0</v>
      </c>
      <c r="AM396" s="286"/>
      <c r="AO396" s="330" t="s">
        <v>3639</v>
      </c>
    </row>
    <row r="397" spans="1:41">
      <c r="A397" s="587">
        <f t="shared" si="68"/>
        <v>394</v>
      </c>
      <c r="B397" s="330" t="s">
        <v>1643</v>
      </c>
      <c r="C397" s="330" t="s">
        <v>3643</v>
      </c>
      <c r="D397" s="330" t="s">
        <v>1662</v>
      </c>
      <c r="E397" s="330" t="s">
        <v>2148</v>
      </c>
      <c r="F397" s="330" t="s">
        <v>1671</v>
      </c>
      <c r="G397" s="562">
        <v>1498</v>
      </c>
      <c r="H397" s="562">
        <v>954.87</v>
      </c>
      <c r="I397" s="562">
        <v>1069.73</v>
      </c>
      <c r="J397" s="561" t="s">
        <v>1810</v>
      </c>
      <c r="K397" s="330" t="s">
        <v>3644</v>
      </c>
      <c r="L397" s="330" t="s">
        <v>3645</v>
      </c>
      <c r="M397" s="330" t="s">
        <v>3646</v>
      </c>
      <c r="N397" s="330" t="s">
        <v>3647</v>
      </c>
      <c r="O397" s="395">
        <v>45548</v>
      </c>
      <c r="P397" s="333">
        <v>9013333</v>
      </c>
      <c r="Q397" s="330" t="s">
        <v>1653</v>
      </c>
      <c r="R397" s="562">
        <v>0</v>
      </c>
      <c r="S397" s="333">
        <v>0</v>
      </c>
      <c r="T397" s="333">
        <v>-2794132.9999999981</v>
      </c>
      <c r="U397" s="333">
        <f t="shared" si="64"/>
        <v>-2794132.9999999981</v>
      </c>
      <c r="V397" s="333">
        <v>0</v>
      </c>
      <c r="W397" s="333">
        <v>0</v>
      </c>
      <c r="X397" s="333">
        <v>0</v>
      </c>
      <c r="Y397" s="333">
        <v>0</v>
      </c>
      <c r="Z397" s="333">
        <v>0</v>
      </c>
      <c r="AA397" s="333">
        <v>0</v>
      </c>
      <c r="AB397" s="333">
        <v>0</v>
      </c>
      <c r="AC397" s="333">
        <v>0</v>
      </c>
      <c r="AD397" s="333">
        <v>0</v>
      </c>
      <c r="AE397" s="333"/>
      <c r="AF397" s="333"/>
      <c r="AG397" s="333">
        <f t="shared" si="65"/>
        <v>-2794132.9999999981</v>
      </c>
      <c r="AH397" s="330"/>
      <c r="AI397" s="330">
        <v>0</v>
      </c>
      <c r="AJ397" s="396">
        <f t="shared" si="66"/>
        <v>-2794132.9999999981</v>
      </c>
      <c r="AK397" s="563"/>
      <c r="AL397" s="285">
        <f t="shared" si="67"/>
        <v>0</v>
      </c>
      <c r="AM397" s="286"/>
      <c r="AO397" s="330" t="s">
        <v>3644</v>
      </c>
    </row>
    <row r="398" spans="1:41">
      <c r="A398" s="587">
        <f t="shared" si="68"/>
        <v>395</v>
      </c>
      <c r="B398" s="330" t="s">
        <v>1643</v>
      </c>
      <c r="C398" s="330" t="s">
        <v>3648</v>
      </c>
      <c r="D398" s="330" t="s">
        <v>1746</v>
      </c>
      <c r="E398" s="330" t="s">
        <v>2655</v>
      </c>
      <c r="F398" s="330" t="s">
        <v>1647</v>
      </c>
      <c r="G398" s="562">
        <v>1114</v>
      </c>
      <c r="H398" s="562">
        <v>683.3</v>
      </c>
      <c r="I398" s="562">
        <v>795.57</v>
      </c>
      <c r="J398" s="561" t="s">
        <v>1648</v>
      </c>
      <c r="K398" s="330" t="s">
        <v>3649</v>
      </c>
      <c r="L398" s="330" t="s">
        <v>3650</v>
      </c>
      <c r="M398" s="330" t="s">
        <v>3651</v>
      </c>
      <c r="N398" s="330" t="s">
        <v>3652</v>
      </c>
      <c r="O398" s="395">
        <v>45440</v>
      </c>
      <c r="P398" s="333">
        <v>6320782</v>
      </c>
      <c r="Q398" s="330" t="s">
        <v>1653</v>
      </c>
      <c r="R398" s="562">
        <v>0</v>
      </c>
      <c r="S398" s="333">
        <v>0</v>
      </c>
      <c r="T398" s="333">
        <v>-1761536.2600000037</v>
      </c>
      <c r="U398" s="333">
        <f t="shared" si="64"/>
        <v>-1761536.2600000037</v>
      </c>
      <c r="V398" s="333">
        <v>-101000</v>
      </c>
      <c r="W398" s="333">
        <v>0</v>
      </c>
      <c r="X398" s="333">
        <v>0</v>
      </c>
      <c r="Y398" s="333">
        <v>0</v>
      </c>
      <c r="Z398" s="333">
        <v>0</v>
      </c>
      <c r="AA398" s="333">
        <v>0</v>
      </c>
      <c r="AB398" s="333">
        <v>0</v>
      </c>
      <c r="AC398" s="333">
        <v>-33492</v>
      </c>
      <c r="AD398" s="333">
        <v>0</v>
      </c>
      <c r="AE398" s="333"/>
      <c r="AF398" s="333"/>
      <c r="AG398" s="333">
        <f t="shared" si="65"/>
        <v>-1896028.2600000037</v>
      </c>
      <c r="AH398" s="330"/>
      <c r="AI398" s="330">
        <v>33492</v>
      </c>
      <c r="AJ398" s="396">
        <f t="shared" si="66"/>
        <v>-1896028.2600000037</v>
      </c>
      <c r="AK398" s="563"/>
      <c r="AL398" s="285">
        <f>+AC398+AI398</f>
        <v>0</v>
      </c>
      <c r="AM398" s="286"/>
      <c r="AO398" s="330" t="s">
        <v>3649</v>
      </c>
    </row>
    <row r="399" spans="1:41">
      <c r="A399" s="587">
        <f t="shared" si="68"/>
        <v>396</v>
      </c>
      <c r="B399" s="330" t="s">
        <v>1643</v>
      </c>
      <c r="C399" s="330" t="s">
        <v>3653</v>
      </c>
      <c r="D399" s="330" t="s">
        <v>1746</v>
      </c>
      <c r="E399" s="330" t="s">
        <v>3654</v>
      </c>
      <c r="F399" s="330" t="s">
        <v>1671</v>
      </c>
      <c r="G399" s="562">
        <v>1375</v>
      </c>
      <c r="H399" s="562">
        <v>876.73</v>
      </c>
      <c r="I399" s="562">
        <v>982.22</v>
      </c>
      <c r="J399" s="561" t="s">
        <v>1648</v>
      </c>
      <c r="K399" s="330" t="s">
        <v>3655</v>
      </c>
      <c r="L399" s="330" t="s">
        <v>3656</v>
      </c>
      <c r="M399" s="330" t="s">
        <v>3657</v>
      </c>
      <c r="N399" s="330" t="s">
        <v>12</v>
      </c>
      <c r="O399" s="395"/>
      <c r="P399" s="333">
        <v>8990000</v>
      </c>
      <c r="Q399" s="330" t="s">
        <v>1660</v>
      </c>
      <c r="R399" s="562">
        <v>0</v>
      </c>
      <c r="S399" s="333">
        <v>0</v>
      </c>
      <c r="T399" s="333">
        <v>0</v>
      </c>
      <c r="U399" s="333">
        <f t="shared" si="64"/>
        <v>0</v>
      </c>
      <c r="V399" s="333">
        <v>0</v>
      </c>
      <c r="W399" s="333">
        <v>0</v>
      </c>
      <c r="X399" s="333">
        <v>0</v>
      </c>
      <c r="Y399" s="333">
        <v>0</v>
      </c>
      <c r="Z399" s="333">
        <v>0</v>
      </c>
      <c r="AA399" s="333">
        <v>0</v>
      </c>
      <c r="AB399" s="333">
        <v>0</v>
      </c>
      <c r="AC399" s="333">
        <v>0</v>
      </c>
      <c r="AD399" s="333">
        <v>0</v>
      </c>
      <c r="AE399" s="333"/>
      <c r="AF399" s="333"/>
      <c r="AG399" s="333">
        <f t="shared" si="65"/>
        <v>0</v>
      </c>
      <c r="AH399" s="330"/>
      <c r="AI399" s="330">
        <v>0</v>
      </c>
      <c r="AJ399" s="396">
        <f t="shared" si="66"/>
        <v>0</v>
      </c>
      <c r="AK399" s="563"/>
      <c r="AL399" s="285">
        <f t="shared" si="67"/>
        <v>0</v>
      </c>
      <c r="AM399" s="286"/>
      <c r="AO399" s="330" t="s">
        <v>3655</v>
      </c>
    </row>
    <row r="400" spans="1:41">
      <c r="A400" s="587">
        <f t="shared" si="68"/>
        <v>397</v>
      </c>
      <c r="B400" s="330" t="s">
        <v>1643</v>
      </c>
      <c r="C400" s="330" t="s">
        <v>3658</v>
      </c>
      <c r="D400" s="330" t="s">
        <v>2153</v>
      </c>
      <c r="E400" s="330" t="s">
        <v>1663</v>
      </c>
      <c r="F400" s="330" t="s">
        <v>1647</v>
      </c>
      <c r="G400" s="562">
        <v>1114</v>
      </c>
      <c r="H400" s="562">
        <v>683.3</v>
      </c>
      <c r="I400" s="562">
        <v>795.57</v>
      </c>
      <c r="J400" s="561" t="s">
        <v>1648</v>
      </c>
      <c r="K400" s="330" t="s">
        <v>3659</v>
      </c>
      <c r="L400" s="330" t="s">
        <v>3660</v>
      </c>
      <c r="M400" s="330" t="s">
        <v>3661</v>
      </c>
      <c r="N400" s="330" t="s">
        <v>3662</v>
      </c>
      <c r="O400" s="395">
        <v>45456</v>
      </c>
      <c r="P400" s="333">
        <v>6535714</v>
      </c>
      <c r="Q400" s="330" t="s">
        <v>1653</v>
      </c>
      <c r="R400" s="562">
        <v>0</v>
      </c>
      <c r="S400" s="333">
        <v>0</v>
      </c>
      <c r="T400" s="333">
        <v>-1953570.28</v>
      </c>
      <c r="U400" s="333">
        <f t="shared" si="64"/>
        <v>-1953570.28</v>
      </c>
      <c r="V400" s="333">
        <v>0</v>
      </c>
      <c r="W400" s="333">
        <v>0</v>
      </c>
      <c r="X400" s="333">
        <v>0</v>
      </c>
      <c r="Y400" s="333">
        <v>0</v>
      </c>
      <c r="Z400" s="333">
        <v>0</v>
      </c>
      <c r="AA400" s="333">
        <v>0</v>
      </c>
      <c r="AB400" s="333">
        <v>0</v>
      </c>
      <c r="AC400" s="333">
        <v>-7142</v>
      </c>
      <c r="AD400" s="333">
        <v>0</v>
      </c>
      <c r="AE400" s="333"/>
      <c r="AF400" s="333"/>
      <c r="AG400" s="333">
        <f t="shared" si="65"/>
        <v>-1960712.28</v>
      </c>
      <c r="AH400" s="330"/>
      <c r="AI400" s="330">
        <v>7142</v>
      </c>
      <c r="AJ400" s="396">
        <f t="shared" si="66"/>
        <v>-1960712.28</v>
      </c>
      <c r="AK400" s="563"/>
      <c r="AL400" s="285">
        <f t="shared" ref="AL400:AL401" si="69">+AC400+AI400</f>
        <v>0</v>
      </c>
      <c r="AM400" s="286"/>
      <c r="AO400" s="330" t="s">
        <v>3659</v>
      </c>
    </row>
    <row r="401" spans="1:41">
      <c r="A401" s="587">
        <f t="shared" si="68"/>
        <v>398</v>
      </c>
      <c r="B401" s="330" t="s">
        <v>1643</v>
      </c>
      <c r="C401" s="330" t="s">
        <v>3663</v>
      </c>
      <c r="D401" s="330" t="s">
        <v>1662</v>
      </c>
      <c r="E401" s="330" t="s">
        <v>1696</v>
      </c>
      <c r="F401" s="330" t="s">
        <v>1647</v>
      </c>
      <c r="G401" s="562">
        <v>1012</v>
      </c>
      <c r="H401" s="562">
        <v>653.59</v>
      </c>
      <c r="I401" s="562">
        <v>723.02</v>
      </c>
      <c r="J401" s="561" t="s">
        <v>1648</v>
      </c>
      <c r="K401" s="330" t="s">
        <v>3664</v>
      </c>
      <c r="L401" s="330" t="s">
        <v>3665</v>
      </c>
      <c r="M401" s="330" t="s">
        <v>3666</v>
      </c>
      <c r="N401" s="330" t="s">
        <v>3667</v>
      </c>
      <c r="O401" s="395">
        <v>45442</v>
      </c>
      <c r="P401" s="333">
        <v>5683644</v>
      </c>
      <c r="Q401" s="330" t="s">
        <v>1653</v>
      </c>
      <c r="R401" s="562">
        <v>0</v>
      </c>
      <c r="S401" s="333">
        <v>0</v>
      </c>
      <c r="T401" s="333">
        <v>-1548160.3399999999</v>
      </c>
      <c r="U401" s="333">
        <f t="shared" si="64"/>
        <v>-1548160.3399999999</v>
      </c>
      <c r="V401" s="333">
        <v>-150000</v>
      </c>
      <c r="W401" s="333">
        <v>0</v>
      </c>
      <c r="X401" s="333">
        <v>0</v>
      </c>
      <c r="Y401" s="333">
        <v>0</v>
      </c>
      <c r="Z401" s="333">
        <v>0</v>
      </c>
      <c r="AA401" s="333">
        <v>0</v>
      </c>
      <c r="AB401" s="333">
        <v>0</v>
      </c>
      <c r="AC401" s="333">
        <v>-6931</v>
      </c>
      <c r="AD401" s="333">
        <v>0</v>
      </c>
      <c r="AE401" s="333"/>
      <c r="AF401" s="333"/>
      <c r="AG401" s="333">
        <f t="shared" si="65"/>
        <v>-1705091.3399999999</v>
      </c>
      <c r="AH401" s="330"/>
      <c r="AI401" s="330">
        <v>6931</v>
      </c>
      <c r="AJ401" s="396">
        <f t="shared" si="66"/>
        <v>-1705091.3399999999</v>
      </c>
      <c r="AK401" s="563"/>
      <c r="AL401" s="285">
        <f t="shared" si="69"/>
        <v>0</v>
      </c>
      <c r="AM401" s="286"/>
      <c r="AO401" s="330" t="s">
        <v>3664</v>
      </c>
    </row>
    <row r="402" spans="1:41">
      <c r="A402" s="587">
        <f t="shared" si="68"/>
        <v>399</v>
      </c>
      <c r="B402" s="330" t="s">
        <v>1643</v>
      </c>
      <c r="C402" s="330" t="s">
        <v>3668</v>
      </c>
      <c r="D402" s="330" t="s">
        <v>1746</v>
      </c>
      <c r="E402" s="330" t="s">
        <v>2547</v>
      </c>
      <c r="F402" s="330" t="s">
        <v>1671</v>
      </c>
      <c r="G402" s="562">
        <v>1375</v>
      </c>
      <c r="H402" s="562">
        <v>876.73</v>
      </c>
      <c r="I402" s="562">
        <v>982.22</v>
      </c>
      <c r="J402" s="561" t="s">
        <v>1648</v>
      </c>
      <c r="K402" s="330" t="s">
        <v>3669</v>
      </c>
      <c r="L402" s="330" t="s">
        <v>3670</v>
      </c>
      <c r="M402" s="330" t="s">
        <v>3671</v>
      </c>
      <c r="N402" s="330" t="s">
        <v>3672</v>
      </c>
      <c r="O402" s="395">
        <v>45474</v>
      </c>
      <c r="P402" s="333">
        <v>7785714</v>
      </c>
      <c r="Q402" s="330" t="s">
        <v>1653</v>
      </c>
      <c r="R402" s="562">
        <v>0</v>
      </c>
      <c r="S402" s="333">
        <v>0</v>
      </c>
      <c r="T402" s="333">
        <v>-2413571.2800000003</v>
      </c>
      <c r="U402" s="333">
        <f t="shared" si="64"/>
        <v>-2413571.2800000003</v>
      </c>
      <c r="V402" s="333">
        <v>0</v>
      </c>
      <c r="W402" s="333">
        <v>0</v>
      </c>
      <c r="X402" s="333">
        <v>0</v>
      </c>
      <c r="Y402" s="333">
        <v>0</v>
      </c>
      <c r="Z402" s="333">
        <v>0</v>
      </c>
      <c r="AA402" s="333">
        <v>0</v>
      </c>
      <c r="AB402" s="333">
        <v>0</v>
      </c>
      <c r="AC402" s="333">
        <v>0</v>
      </c>
      <c r="AD402" s="333">
        <v>0</v>
      </c>
      <c r="AE402" s="333"/>
      <c r="AF402" s="333"/>
      <c r="AG402" s="333">
        <f t="shared" si="65"/>
        <v>-2413571.2800000003</v>
      </c>
      <c r="AH402" s="330"/>
      <c r="AI402" s="330">
        <v>0</v>
      </c>
      <c r="AJ402" s="396">
        <f t="shared" si="66"/>
        <v>-2413571.2800000003</v>
      </c>
      <c r="AK402" s="563"/>
      <c r="AL402" s="285">
        <f t="shared" si="67"/>
        <v>0</v>
      </c>
      <c r="AM402" s="286"/>
      <c r="AO402" s="330" t="s">
        <v>3669</v>
      </c>
    </row>
    <row r="403" spans="1:41">
      <c r="A403" s="587">
        <f t="shared" si="68"/>
        <v>400</v>
      </c>
      <c r="B403" s="330" t="s">
        <v>1643</v>
      </c>
      <c r="C403" s="330" t="s">
        <v>3673</v>
      </c>
      <c r="D403" s="330" t="s">
        <v>1662</v>
      </c>
      <c r="E403" s="330" t="s">
        <v>2594</v>
      </c>
      <c r="F403" s="330" t="s">
        <v>1647</v>
      </c>
      <c r="G403" s="562">
        <v>1114</v>
      </c>
      <c r="H403" s="562">
        <v>683.3</v>
      </c>
      <c r="I403" s="562">
        <v>795.57</v>
      </c>
      <c r="J403" s="561" t="s">
        <v>1648</v>
      </c>
      <c r="K403" s="330" t="s">
        <v>3674</v>
      </c>
      <c r="L403" s="330" t="s">
        <v>3675</v>
      </c>
      <c r="M403" s="330" t="s">
        <v>3676</v>
      </c>
      <c r="N403" s="330" t="s">
        <v>3677</v>
      </c>
      <c r="O403" s="395">
        <v>45440</v>
      </c>
      <c r="P403" s="333">
        <v>6304075</v>
      </c>
      <c r="Q403" s="330" t="s">
        <v>1653</v>
      </c>
      <c r="R403" s="562">
        <v>0</v>
      </c>
      <c r="S403" s="333">
        <v>0</v>
      </c>
      <c r="T403" s="333">
        <v>-1866222.6099999999</v>
      </c>
      <c r="U403" s="333">
        <f t="shared" si="64"/>
        <v>-1866222.6099999999</v>
      </c>
      <c r="V403" s="333">
        <v>-25000</v>
      </c>
      <c r="W403" s="333">
        <v>0</v>
      </c>
      <c r="X403" s="333">
        <v>0</v>
      </c>
      <c r="Y403" s="333">
        <v>0</v>
      </c>
      <c r="Z403" s="333">
        <v>0</v>
      </c>
      <c r="AA403" s="333">
        <v>0</v>
      </c>
      <c r="AB403" s="333">
        <v>0</v>
      </c>
      <c r="AC403" s="333">
        <v>-5.9999999997671694E-2</v>
      </c>
      <c r="AD403" s="333">
        <v>0</v>
      </c>
      <c r="AE403" s="333"/>
      <c r="AF403" s="333"/>
      <c r="AG403" s="333">
        <f t="shared" si="65"/>
        <v>-1891222.67</v>
      </c>
      <c r="AH403" s="330"/>
      <c r="AI403" s="330">
        <v>5.999999999994543E-2</v>
      </c>
      <c r="AJ403" s="396">
        <f t="shared" si="66"/>
        <v>-1891222.67</v>
      </c>
      <c r="AK403" s="563"/>
      <c r="AL403" s="285">
        <f>+AC403+AI403</f>
        <v>2.2737367544323206E-12</v>
      </c>
      <c r="AM403" s="286"/>
      <c r="AO403" s="330" t="s">
        <v>3674</v>
      </c>
    </row>
    <row r="404" spans="1:41">
      <c r="A404" s="587">
        <f t="shared" si="68"/>
        <v>401</v>
      </c>
      <c r="B404" s="330" t="s">
        <v>1643</v>
      </c>
      <c r="C404" s="330" t="s">
        <v>3678</v>
      </c>
      <c r="D404" s="330" t="s">
        <v>1662</v>
      </c>
      <c r="E404" s="330" t="s">
        <v>1935</v>
      </c>
      <c r="F404" s="330" t="s">
        <v>1671</v>
      </c>
      <c r="G404" s="562">
        <v>1498</v>
      </c>
      <c r="H404" s="562">
        <v>954.87</v>
      </c>
      <c r="I404" s="562">
        <v>1069.73</v>
      </c>
      <c r="J404" s="561" t="s">
        <v>1810</v>
      </c>
      <c r="K404" s="330" t="s">
        <v>3679</v>
      </c>
      <c r="L404" s="330" t="s">
        <v>3680</v>
      </c>
      <c r="M404" s="330" t="s">
        <v>3681</v>
      </c>
      <c r="N404" s="330" t="s">
        <v>3682</v>
      </c>
      <c r="O404" s="395">
        <v>45464</v>
      </c>
      <c r="P404" s="333">
        <v>8544571</v>
      </c>
      <c r="Q404" s="330" t="s">
        <v>1653</v>
      </c>
      <c r="R404" s="562">
        <v>0</v>
      </c>
      <c r="S404" s="333">
        <v>0</v>
      </c>
      <c r="T404" s="333">
        <v>-5893396.6300000008</v>
      </c>
      <c r="U404" s="333">
        <f t="shared" si="64"/>
        <v>-5893396.6300000008</v>
      </c>
      <c r="V404" s="333">
        <v>3244580.5</v>
      </c>
      <c r="W404" s="333">
        <v>0</v>
      </c>
      <c r="X404" s="333">
        <v>0</v>
      </c>
      <c r="Y404" s="333">
        <v>0</v>
      </c>
      <c r="Z404" s="333">
        <v>0</v>
      </c>
      <c r="AA404" s="333">
        <v>0</v>
      </c>
      <c r="AB404" s="333">
        <v>0</v>
      </c>
      <c r="AC404" s="333">
        <v>0</v>
      </c>
      <c r="AD404" s="333">
        <v>0</v>
      </c>
      <c r="AE404" s="333"/>
      <c r="AF404" s="333"/>
      <c r="AG404" s="333">
        <f t="shared" si="65"/>
        <v>-2648816.1300000008</v>
      </c>
      <c r="AH404" s="330"/>
      <c r="AI404" s="330">
        <v>0</v>
      </c>
      <c r="AJ404" s="396">
        <f t="shared" si="66"/>
        <v>-2648816.1300000008</v>
      </c>
      <c r="AK404" s="563"/>
      <c r="AL404" s="285">
        <f t="shared" si="67"/>
        <v>0</v>
      </c>
      <c r="AM404" s="286"/>
      <c r="AO404" s="330" t="s">
        <v>3679</v>
      </c>
    </row>
    <row r="405" spans="1:41">
      <c r="A405" s="587">
        <f t="shared" si="68"/>
        <v>402</v>
      </c>
      <c r="B405" s="330" t="s">
        <v>1643</v>
      </c>
      <c r="C405" s="330" t="s">
        <v>3683</v>
      </c>
      <c r="D405" s="330" t="s">
        <v>1662</v>
      </c>
      <c r="E405" s="330" t="s">
        <v>3391</v>
      </c>
      <c r="F405" s="330" t="s">
        <v>1671</v>
      </c>
      <c r="G405" s="562">
        <v>1375</v>
      </c>
      <c r="H405" s="562">
        <v>876.73</v>
      </c>
      <c r="I405" s="562">
        <v>982.22</v>
      </c>
      <c r="J405" s="561" t="s">
        <v>1648</v>
      </c>
      <c r="K405" s="330" t="s">
        <v>3684</v>
      </c>
      <c r="L405" s="330" t="s">
        <v>3685</v>
      </c>
      <c r="M405" s="330" t="s">
        <v>3686</v>
      </c>
      <c r="N405" s="330" t="s">
        <v>3687</v>
      </c>
      <c r="O405" s="395">
        <v>45475</v>
      </c>
      <c r="P405" s="333">
        <v>7803698</v>
      </c>
      <c r="Q405" s="330" t="s">
        <v>1653</v>
      </c>
      <c r="R405" s="562">
        <v>0</v>
      </c>
      <c r="S405" s="333">
        <v>0</v>
      </c>
      <c r="T405" s="333">
        <v>-2081416.5200000003</v>
      </c>
      <c r="U405" s="333">
        <f t="shared" si="64"/>
        <v>-2081416.5200000003</v>
      </c>
      <c r="V405" s="333">
        <v>-259694</v>
      </c>
      <c r="W405" s="333">
        <v>0</v>
      </c>
      <c r="X405" s="333">
        <v>0</v>
      </c>
      <c r="Y405" s="333">
        <v>0</v>
      </c>
      <c r="Z405" s="333">
        <v>0</v>
      </c>
      <c r="AA405" s="333">
        <v>0</v>
      </c>
      <c r="AB405" s="333">
        <v>0</v>
      </c>
      <c r="AC405" s="333">
        <v>0</v>
      </c>
      <c r="AD405" s="333">
        <v>0</v>
      </c>
      <c r="AE405" s="333"/>
      <c r="AF405" s="333"/>
      <c r="AG405" s="333">
        <f t="shared" si="65"/>
        <v>-2341110.5200000005</v>
      </c>
      <c r="AH405" s="330"/>
      <c r="AI405" s="330">
        <v>0</v>
      </c>
      <c r="AJ405" s="396">
        <f t="shared" si="66"/>
        <v>-2341110.5200000005</v>
      </c>
      <c r="AK405" s="563"/>
      <c r="AL405" s="285">
        <f t="shared" si="67"/>
        <v>0</v>
      </c>
      <c r="AM405" s="286"/>
      <c r="AO405" s="330" t="s">
        <v>3684</v>
      </c>
    </row>
    <row r="406" spans="1:41">
      <c r="A406" s="587">
        <f t="shared" si="68"/>
        <v>403</v>
      </c>
      <c r="B406" s="330" t="s">
        <v>1643</v>
      </c>
      <c r="C406" s="330" t="s">
        <v>2666</v>
      </c>
      <c r="D406" s="330" t="s">
        <v>1746</v>
      </c>
      <c r="E406" s="330" t="s">
        <v>1696</v>
      </c>
      <c r="F406" s="330" t="s">
        <v>1647</v>
      </c>
      <c r="G406" s="562">
        <v>1012</v>
      </c>
      <c r="H406" s="562">
        <v>653.59</v>
      </c>
      <c r="I406" s="562">
        <v>723.02</v>
      </c>
      <c r="J406" s="561" t="s">
        <v>1810</v>
      </c>
      <c r="K406" s="330" t="s">
        <v>3688</v>
      </c>
      <c r="L406" s="330" t="s">
        <v>3689</v>
      </c>
      <c r="M406" s="330" t="s">
        <v>3690</v>
      </c>
      <c r="N406" s="330" t="s">
        <v>2670</v>
      </c>
      <c r="O406" s="395">
        <v>45449</v>
      </c>
      <c r="P406" s="333">
        <v>5669619</v>
      </c>
      <c r="Q406" s="330" t="s">
        <v>1653</v>
      </c>
      <c r="R406" s="562">
        <v>0</v>
      </c>
      <c r="S406" s="333">
        <v>0</v>
      </c>
      <c r="T406" s="333">
        <v>0</v>
      </c>
      <c r="U406" s="333">
        <f t="shared" si="64"/>
        <v>0</v>
      </c>
      <c r="V406" s="333">
        <v>-1939272.3499999999</v>
      </c>
      <c r="W406" s="333">
        <v>0</v>
      </c>
      <c r="X406" s="333">
        <v>0</v>
      </c>
      <c r="Y406" s="333">
        <v>0</v>
      </c>
      <c r="Z406" s="333">
        <v>0</v>
      </c>
      <c r="AA406" s="333">
        <v>0</v>
      </c>
      <c r="AB406" s="333">
        <v>0</v>
      </c>
      <c r="AC406" s="333">
        <v>85044.300000000047</v>
      </c>
      <c r="AD406" s="333">
        <v>0</v>
      </c>
      <c r="AE406" s="333"/>
      <c r="AF406" s="333"/>
      <c r="AG406" s="333">
        <f t="shared" si="65"/>
        <v>-1854228.0499999998</v>
      </c>
      <c r="AH406" s="330"/>
      <c r="AI406" s="330">
        <v>-85044.3</v>
      </c>
      <c r="AJ406" s="396">
        <f t="shared" si="66"/>
        <v>-1854228.0499999998</v>
      </c>
      <c r="AK406" s="563"/>
      <c r="AL406" s="285">
        <f>+AC406+AI406</f>
        <v>0</v>
      </c>
      <c r="AM406" s="286"/>
      <c r="AO406" s="330" t="s">
        <v>3688</v>
      </c>
    </row>
    <row r="407" spans="1:41">
      <c r="A407" s="587">
        <f t="shared" si="68"/>
        <v>404</v>
      </c>
      <c r="B407" s="330" t="s">
        <v>1643</v>
      </c>
      <c r="C407" s="330" t="s">
        <v>3691</v>
      </c>
      <c r="D407" s="330" t="s">
        <v>1704</v>
      </c>
      <c r="E407" s="330" t="s">
        <v>3564</v>
      </c>
      <c r="F407" s="330" t="s">
        <v>1647</v>
      </c>
      <c r="G407" s="562">
        <v>1114</v>
      </c>
      <c r="H407" s="562">
        <v>683.3</v>
      </c>
      <c r="I407" s="562">
        <v>795.57</v>
      </c>
      <c r="J407" s="561" t="s">
        <v>1648</v>
      </c>
      <c r="K407" s="330" t="s">
        <v>3692</v>
      </c>
      <c r="L407" s="330" t="s">
        <v>3693</v>
      </c>
      <c r="M407" s="330" t="s">
        <v>3694</v>
      </c>
      <c r="N407" s="330" t="s">
        <v>3695</v>
      </c>
      <c r="O407" s="395">
        <v>45448</v>
      </c>
      <c r="P407" s="333">
        <v>6357143</v>
      </c>
      <c r="Q407" s="330" t="s">
        <v>1653</v>
      </c>
      <c r="R407" s="562">
        <v>0</v>
      </c>
      <c r="S407" s="333">
        <v>0</v>
      </c>
      <c r="T407" s="333">
        <v>-1926213.2699999993</v>
      </c>
      <c r="U407" s="333">
        <f t="shared" si="64"/>
        <v>-1926213.2699999993</v>
      </c>
      <c r="V407" s="333">
        <v>-63571</v>
      </c>
      <c r="W407" s="333">
        <v>0</v>
      </c>
      <c r="X407" s="333">
        <v>0</v>
      </c>
      <c r="Y407" s="333">
        <v>0</v>
      </c>
      <c r="Z407" s="333">
        <v>0</v>
      </c>
      <c r="AA407" s="333">
        <v>0</v>
      </c>
      <c r="AB407" s="333">
        <v>0</v>
      </c>
      <c r="AC407" s="333">
        <v>0</v>
      </c>
      <c r="AD407" s="333">
        <v>0</v>
      </c>
      <c r="AE407" s="333"/>
      <c r="AF407" s="333"/>
      <c r="AG407" s="333">
        <f t="shared" si="65"/>
        <v>-1989784.2699999993</v>
      </c>
      <c r="AH407" s="330"/>
      <c r="AI407" s="330">
        <v>0</v>
      </c>
      <c r="AJ407" s="396">
        <f t="shared" si="66"/>
        <v>-1989784.2699999993</v>
      </c>
      <c r="AK407" s="563"/>
      <c r="AL407" s="285">
        <f t="shared" si="67"/>
        <v>0</v>
      </c>
      <c r="AM407" s="286"/>
      <c r="AO407" s="330" t="s">
        <v>3692</v>
      </c>
    </row>
    <row r="408" spans="1:41">
      <c r="A408" s="587">
        <f t="shared" si="68"/>
        <v>405</v>
      </c>
      <c r="B408" s="330" t="s">
        <v>1643</v>
      </c>
      <c r="C408" s="330" t="s">
        <v>3696</v>
      </c>
      <c r="D408" s="330" t="s">
        <v>1746</v>
      </c>
      <c r="E408" s="330" t="s">
        <v>3564</v>
      </c>
      <c r="F408" s="330" t="s">
        <v>1647</v>
      </c>
      <c r="G408" s="562">
        <v>1114</v>
      </c>
      <c r="H408" s="562">
        <v>683.3</v>
      </c>
      <c r="I408" s="562">
        <v>795.57</v>
      </c>
      <c r="J408" s="561" t="s">
        <v>1648</v>
      </c>
      <c r="K408" s="330" t="s">
        <v>3697</v>
      </c>
      <c r="L408" s="330" t="s">
        <v>3698</v>
      </c>
      <c r="M408" s="330" t="s">
        <v>3699</v>
      </c>
      <c r="N408" s="330" t="s">
        <v>3700</v>
      </c>
      <c r="O408" s="395">
        <v>45475</v>
      </c>
      <c r="P408" s="333">
        <v>6312476</v>
      </c>
      <c r="Q408" s="330" t="s">
        <v>1653</v>
      </c>
      <c r="R408" s="562">
        <v>0</v>
      </c>
      <c r="S408" s="333">
        <v>0</v>
      </c>
      <c r="T408" s="333">
        <v>-1956866.6200000006</v>
      </c>
      <c r="U408" s="333">
        <f t="shared" si="64"/>
        <v>-1956866.6200000006</v>
      </c>
      <c r="V408" s="333">
        <v>-1325621</v>
      </c>
      <c r="W408" s="333">
        <v>0</v>
      </c>
      <c r="X408" s="333">
        <v>0</v>
      </c>
      <c r="Y408" s="333">
        <v>0</v>
      </c>
      <c r="Z408" s="333">
        <v>0</v>
      </c>
      <c r="AA408" s="333">
        <v>0</v>
      </c>
      <c r="AB408" s="333">
        <v>0</v>
      </c>
      <c r="AC408" s="333">
        <v>0</v>
      </c>
      <c r="AD408" s="333">
        <v>0</v>
      </c>
      <c r="AE408" s="333"/>
      <c r="AF408" s="333"/>
      <c r="AG408" s="333">
        <f t="shared" si="65"/>
        <v>-3282487.6200000006</v>
      </c>
      <c r="AH408" s="330"/>
      <c r="AI408" s="330">
        <v>0</v>
      </c>
      <c r="AJ408" s="396">
        <f t="shared" si="66"/>
        <v>-3282487.6200000006</v>
      </c>
      <c r="AK408" s="563"/>
      <c r="AL408" s="285">
        <f t="shared" si="67"/>
        <v>0</v>
      </c>
      <c r="AM408" s="286"/>
      <c r="AO408" s="330" t="s">
        <v>3697</v>
      </c>
    </row>
    <row r="409" spans="1:41">
      <c r="A409" s="587">
        <f t="shared" si="68"/>
        <v>406</v>
      </c>
      <c r="B409" s="330" t="s">
        <v>1643</v>
      </c>
      <c r="C409" s="330" t="s">
        <v>3177</v>
      </c>
      <c r="D409" s="330" t="s">
        <v>1645</v>
      </c>
      <c r="E409" s="330" t="s">
        <v>2696</v>
      </c>
      <c r="F409" s="330" t="s">
        <v>1671</v>
      </c>
      <c r="G409" s="562">
        <v>1498</v>
      </c>
      <c r="H409" s="562">
        <v>954.87</v>
      </c>
      <c r="I409" s="562">
        <v>1069.73</v>
      </c>
      <c r="J409" s="561" t="s">
        <v>1648</v>
      </c>
      <c r="K409" s="330" t="s">
        <v>3701</v>
      </c>
      <c r="L409" s="330" t="s">
        <v>3702</v>
      </c>
      <c r="M409" s="330" t="s">
        <v>3703</v>
      </c>
      <c r="N409" s="330" t="s">
        <v>3704</v>
      </c>
      <c r="O409" s="395">
        <v>45642</v>
      </c>
      <c r="P409" s="333">
        <v>8901714</v>
      </c>
      <c r="Q409" s="330" t="s">
        <v>1660</v>
      </c>
      <c r="R409" s="562">
        <v>0</v>
      </c>
      <c r="S409" s="333">
        <v>0</v>
      </c>
      <c r="T409" s="333">
        <v>0</v>
      </c>
      <c r="U409" s="333">
        <f t="shared" si="64"/>
        <v>0</v>
      </c>
      <c r="V409" s="333">
        <v>0</v>
      </c>
      <c r="W409" s="333">
        <v>0</v>
      </c>
      <c r="X409" s="333">
        <v>0</v>
      </c>
      <c r="Y409" s="333">
        <v>0</v>
      </c>
      <c r="Z409" s="333">
        <v>0</v>
      </c>
      <c r="AA409" s="333">
        <v>0</v>
      </c>
      <c r="AB409" s="333">
        <v>0</v>
      </c>
      <c r="AC409" s="333">
        <v>0</v>
      </c>
      <c r="AD409" s="333">
        <v>0</v>
      </c>
      <c r="AE409" s="333"/>
      <c r="AF409" s="333"/>
      <c r="AG409" s="333">
        <f t="shared" si="65"/>
        <v>0</v>
      </c>
      <c r="AH409" s="330"/>
      <c r="AI409" s="330">
        <v>0</v>
      </c>
      <c r="AJ409" s="396">
        <f t="shared" si="66"/>
        <v>0</v>
      </c>
      <c r="AK409" s="563"/>
      <c r="AL409" s="285">
        <f t="shared" si="67"/>
        <v>0</v>
      </c>
      <c r="AM409" s="286"/>
      <c r="AO409" s="330" t="s">
        <v>3701</v>
      </c>
    </row>
    <row r="410" spans="1:41">
      <c r="A410" s="587">
        <f t="shared" si="68"/>
        <v>407</v>
      </c>
      <c r="B410" s="330" t="s">
        <v>1643</v>
      </c>
      <c r="C410" s="330" t="s">
        <v>3177</v>
      </c>
      <c r="D410" s="330" t="s">
        <v>1645</v>
      </c>
      <c r="E410" s="330" t="s">
        <v>2696</v>
      </c>
      <c r="F410" s="330" t="s">
        <v>1671</v>
      </c>
      <c r="G410" s="562">
        <v>1498</v>
      </c>
      <c r="H410" s="562">
        <v>954.87</v>
      </c>
      <c r="I410" s="562">
        <v>1069.73</v>
      </c>
      <c r="J410" s="561" t="s">
        <v>1648</v>
      </c>
      <c r="K410" s="330" t="s">
        <v>3705</v>
      </c>
      <c r="L410" s="330" t="s">
        <v>3702</v>
      </c>
      <c r="M410" s="330" t="s">
        <v>3703</v>
      </c>
      <c r="N410" s="330" t="s">
        <v>3704</v>
      </c>
      <c r="O410" s="395">
        <v>45642</v>
      </c>
      <c r="P410" s="333">
        <v>8901714</v>
      </c>
      <c r="Q410" s="330" t="s">
        <v>1653</v>
      </c>
      <c r="R410" s="562">
        <v>0</v>
      </c>
      <c r="S410" s="333">
        <v>0</v>
      </c>
      <c r="T410" s="333">
        <v>-2643728.2799999993</v>
      </c>
      <c r="U410" s="333">
        <f t="shared" si="64"/>
        <v>-2643728.2799999993</v>
      </c>
      <c r="V410" s="333">
        <v>0</v>
      </c>
      <c r="W410" s="333">
        <v>0</v>
      </c>
      <c r="X410" s="333">
        <v>0</v>
      </c>
      <c r="Y410" s="333">
        <v>0</v>
      </c>
      <c r="Z410" s="333">
        <v>0</v>
      </c>
      <c r="AA410" s="333">
        <v>0</v>
      </c>
      <c r="AB410" s="333">
        <v>0</v>
      </c>
      <c r="AC410" s="333">
        <v>0</v>
      </c>
      <c r="AD410" s="333">
        <v>0</v>
      </c>
      <c r="AE410" s="333"/>
      <c r="AF410" s="333"/>
      <c r="AG410" s="333">
        <f t="shared" si="65"/>
        <v>-2643728.2799999993</v>
      </c>
      <c r="AH410" s="330"/>
      <c r="AI410" s="330">
        <v>0</v>
      </c>
      <c r="AJ410" s="396">
        <f t="shared" si="66"/>
        <v>-2643728.2799999993</v>
      </c>
      <c r="AK410" s="563"/>
      <c r="AL410" s="285">
        <f t="shared" si="67"/>
        <v>0</v>
      </c>
      <c r="AM410" s="286"/>
      <c r="AO410" s="330" t="s">
        <v>3705</v>
      </c>
    </row>
    <row r="411" spans="1:41">
      <c r="A411" s="587">
        <f t="shared" si="68"/>
        <v>408</v>
      </c>
      <c r="B411" s="330" t="s">
        <v>1643</v>
      </c>
      <c r="C411" s="330" t="s">
        <v>3706</v>
      </c>
      <c r="D411" s="330" t="s">
        <v>1645</v>
      </c>
      <c r="E411" s="330" t="s">
        <v>2280</v>
      </c>
      <c r="F411" s="330" t="s">
        <v>1647</v>
      </c>
      <c r="G411" s="562">
        <v>1114</v>
      </c>
      <c r="H411" s="562">
        <v>683.3</v>
      </c>
      <c r="I411" s="562">
        <v>795.57</v>
      </c>
      <c r="J411" s="561" t="s">
        <v>1648</v>
      </c>
      <c r="K411" s="330" t="s">
        <v>3707</v>
      </c>
      <c r="L411" s="330" t="s">
        <v>3708</v>
      </c>
      <c r="M411" s="330" t="s">
        <v>3709</v>
      </c>
      <c r="N411" s="330" t="s">
        <v>3710</v>
      </c>
      <c r="O411" s="395">
        <v>45442</v>
      </c>
      <c r="P411" s="333">
        <v>6304075</v>
      </c>
      <c r="Q411" s="330" t="s">
        <v>1653</v>
      </c>
      <c r="R411" s="562">
        <v>0</v>
      </c>
      <c r="S411" s="333">
        <v>0</v>
      </c>
      <c r="T411" s="333">
        <v>-1840793.8600000003</v>
      </c>
      <c r="U411" s="333">
        <f t="shared" si="64"/>
        <v>-1840793.8600000003</v>
      </c>
      <c r="V411" s="333">
        <v>-50000</v>
      </c>
      <c r="W411" s="333">
        <v>0</v>
      </c>
      <c r="X411" s="333">
        <v>0</v>
      </c>
      <c r="Y411" s="333">
        <v>0</v>
      </c>
      <c r="Z411" s="333">
        <v>0</v>
      </c>
      <c r="AA411" s="333">
        <v>0</v>
      </c>
      <c r="AB411" s="333">
        <v>0</v>
      </c>
      <c r="AC411" s="333">
        <v>0</v>
      </c>
      <c r="AD411" s="333">
        <v>0</v>
      </c>
      <c r="AE411" s="333"/>
      <c r="AF411" s="333"/>
      <c r="AG411" s="333">
        <f t="shared" si="65"/>
        <v>-1890793.8600000003</v>
      </c>
      <c r="AH411" s="330"/>
      <c r="AI411" s="330">
        <v>0</v>
      </c>
      <c r="AJ411" s="396">
        <f t="shared" si="66"/>
        <v>-1890793.8600000003</v>
      </c>
      <c r="AK411" s="563"/>
      <c r="AL411" s="285">
        <f t="shared" si="67"/>
        <v>0</v>
      </c>
      <c r="AM411" s="286"/>
      <c r="AO411" s="330" t="s">
        <v>3707</v>
      </c>
    </row>
    <row r="412" spans="1:41">
      <c r="A412" s="587">
        <f t="shared" si="68"/>
        <v>409</v>
      </c>
      <c r="B412" s="330" t="s">
        <v>1643</v>
      </c>
      <c r="C412" s="330" t="s">
        <v>3711</v>
      </c>
      <c r="D412" s="330" t="s">
        <v>1662</v>
      </c>
      <c r="E412" s="330" t="s">
        <v>2785</v>
      </c>
      <c r="F412" s="330" t="s">
        <v>1671</v>
      </c>
      <c r="G412" s="562">
        <v>1375</v>
      </c>
      <c r="H412" s="562">
        <v>876.73</v>
      </c>
      <c r="I412" s="562">
        <v>982.22</v>
      </c>
      <c r="J412" s="561" t="s">
        <v>1648</v>
      </c>
      <c r="K412" s="330" t="s">
        <v>3712</v>
      </c>
      <c r="L412" s="330" t="s">
        <v>3713</v>
      </c>
      <c r="M412" s="330" t="s">
        <v>3714</v>
      </c>
      <c r="N412" s="330" t="s">
        <v>3715</v>
      </c>
      <c r="O412" s="395">
        <v>45443</v>
      </c>
      <c r="P412" s="333">
        <v>7718666</v>
      </c>
      <c r="Q412" s="330" t="s">
        <v>1653</v>
      </c>
      <c r="R412" s="562">
        <v>0</v>
      </c>
      <c r="S412" s="333">
        <v>0</v>
      </c>
      <c r="T412" s="333">
        <v>-2315599.9999999991</v>
      </c>
      <c r="U412" s="333">
        <f t="shared" si="64"/>
        <v>-2315599.9999999991</v>
      </c>
      <c r="V412" s="333">
        <v>0</v>
      </c>
      <c r="W412" s="333">
        <v>0</v>
      </c>
      <c r="X412" s="333">
        <v>0</v>
      </c>
      <c r="Y412" s="333">
        <v>0</v>
      </c>
      <c r="Z412" s="333">
        <v>0</v>
      </c>
      <c r="AA412" s="333">
        <v>0</v>
      </c>
      <c r="AB412" s="333">
        <v>0</v>
      </c>
      <c r="AC412" s="333">
        <v>0</v>
      </c>
      <c r="AD412" s="333">
        <v>0</v>
      </c>
      <c r="AE412" s="333"/>
      <c r="AF412" s="333"/>
      <c r="AG412" s="333">
        <f t="shared" si="65"/>
        <v>-2315599.9999999991</v>
      </c>
      <c r="AH412" s="330"/>
      <c r="AI412" s="330">
        <v>0</v>
      </c>
      <c r="AJ412" s="396">
        <f t="shared" si="66"/>
        <v>-2315599.9999999991</v>
      </c>
      <c r="AK412" s="563"/>
      <c r="AL412" s="285">
        <f t="shared" si="67"/>
        <v>0</v>
      </c>
      <c r="AM412" s="286"/>
      <c r="AO412" s="330" t="s">
        <v>3712</v>
      </c>
    </row>
    <row r="413" spans="1:41">
      <c r="A413" s="587">
        <f t="shared" si="68"/>
        <v>410</v>
      </c>
      <c r="B413" s="330" t="s">
        <v>1643</v>
      </c>
      <c r="C413" s="330" t="s">
        <v>3716</v>
      </c>
      <c r="D413" s="330" t="s">
        <v>1662</v>
      </c>
      <c r="E413" s="330" t="s">
        <v>3064</v>
      </c>
      <c r="F413" s="330" t="s">
        <v>1671</v>
      </c>
      <c r="G413" s="562">
        <v>1375</v>
      </c>
      <c r="H413" s="562">
        <v>876.73</v>
      </c>
      <c r="I413" s="562">
        <v>982.22</v>
      </c>
      <c r="J413" s="561" t="s">
        <v>1648</v>
      </c>
      <c r="K413" s="330" t="s">
        <v>3717</v>
      </c>
      <c r="L413" s="330" t="s">
        <v>3718</v>
      </c>
      <c r="M413" s="330" t="s">
        <v>3719</v>
      </c>
      <c r="N413" s="330" t="s">
        <v>3720</v>
      </c>
      <c r="O413" s="395">
        <v>45428</v>
      </c>
      <c r="P413" s="333">
        <v>7783072</v>
      </c>
      <c r="Q413" s="330" t="s">
        <v>1653</v>
      </c>
      <c r="R413" s="562">
        <v>0</v>
      </c>
      <c r="S413" s="333">
        <v>0</v>
      </c>
      <c r="T413" s="333">
        <v>-2257987.6400000015</v>
      </c>
      <c r="U413" s="333">
        <f t="shared" si="64"/>
        <v>-2257987.6400000015</v>
      </c>
      <c r="V413" s="333">
        <v>-150000</v>
      </c>
      <c r="W413" s="333">
        <v>0</v>
      </c>
      <c r="X413" s="333">
        <v>0</v>
      </c>
      <c r="Y413" s="333">
        <v>0</v>
      </c>
      <c r="Z413" s="333">
        <v>0</v>
      </c>
      <c r="AA413" s="333">
        <v>0</v>
      </c>
      <c r="AB413" s="333">
        <v>0</v>
      </c>
      <c r="AC413" s="333">
        <v>-4761.8999999999942</v>
      </c>
      <c r="AD413" s="333">
        <v>0</v>
      </c>
      <c r="AE413" s="333"/>
      <c r="AF413" s="333"/>
      <c r="AG413" s="333">
        <f t="shared" si="65"/>
        <v>-2412749.5400000014</v>
      </c>
      <c r="AH413" s="330"/>
      <c r="AI413" s="330">
        <v>4761.8999999999996</v>
      </c>
      <c r="AJ413" s="396">
        <f t="shared" si="66"/>
        <v>-2412749.5400000014</v>
      </c>
      <c r="AK413" s="563"/>
      <c r="AL413" s="285">
        <f>+AC413+AI413</f>
        <v>0</v>
      </c>
      <c r="AM413" s="286"/>
      <c r="AO413" s="330" t="s">
        <v>3717</v>
      </c>
    </row>
    <row r="414" spans="1:41">
      <c r="A414" s="587">
        <f t="shared" si="68"/>
        <v>411</v>
      </c>
      <c r="B414" s="330" t="s">
        <v>1643</v>
      </c>
      <c r="C414" s="330" t="s">
        <v>3721</v>
      </c>
      <c r="D414" s="330" t="s">
        <v>1645</v>
      </c>
      <c r="E414" s="330" t="s">
        <v>2079</v>
      </c>
      <c r="F414" s="330" t="s">
        <v>1671</v>
      </c>
      <c r="G414" s="562">
        <v>1375</v>
      </c>
      <c r="H414" s="562">
        <v>876.73</v>
      </c>
      <c r="I414" s="562">
        <v>982.22</v>
      </c>
      <c r="J414" s="561" t="s">
        <v>1648</v>
      </c>
      <c r="K414" s="330" t="s">
        <v>3722</v>
      </c>
      <c r="L414" s="330" t="s">
        <v>3723</v>
      </c>
      <c r="M414" s="330" t="s">
        <v>3724</v>
      </c>
      <c r="N414" s="330" t="s">
        <v>3725</v>
      </c>
      <c r="O414" s="395">
        <v>45442</v>
      </c>
      <c r="P414" s="333">
        <v>7696381</v>
      </c>
      <c r="Q414" s="330" t="s">
        <v>1653</v>
      </c>
      <c r="R414" s="562">
        <v>0</v>
      </c>
      <c r="S414" s="333">
        <v>0</v>
      </c>
      <c r="T414" s="333">
        <v>-2508910.2800000003</v>
      </c>
      <c r="U414" s="333">
        <f t="shared" si="64"/>
        <v>-2508910.2800000003</v>
      </c>
      <c r="V414" s="333">
        <v>0</v>
      </c>
      <c r="W414" s="333">
        <v>0</v>
      </c>
      <c r="X414" s="333">
        <v>0</v>
      </c>
      <c r="Y414" s="333">
        <v>0</v>
      </c>
      <c r="Z414" s="333">
        <v>0</v>
      </c>
      <c r="AA414" s="333">
        <v>0</v>
      </c>
      <c r="AB414" s="333">
        <v>0</v>
      </c>
      <c r="AC414" s="333">
        <v>0</v>
      </c>
      <c r="AD414" s="333">
        <v>0</v>
      </c>
      <c r="AE414" s="333"/>
      <c r="AF414" s="333"/>
      <c r="AG414" s="333">
        <f t="shared" si="65"/>
        <v>-2508910.2800000003</v>
      </c>
      <c r="AH414" s="330"/>
      <c r="AI414" s="330">
        <v>0</v>
      </c>
      <c r="AJ414" s="396">
        <f t="shared" si="66"/>
        <v>-2508910.2800000003</v>
      </c>
      <c r="AK414" s="563"/>
      <c r="AL414" s="285">
        <f t="shared" si="67"/>
        <v>0</v>
      </c>
      <c r="AM414" s="286"/>
      <c r="AO414" s="330" t="s">
        <v>3722</v>
      </c>
    </row>
    <row r="415" spans="1:41">
      <c r="A415" s="587">
        <f t="shared" si="68"/>
        <v>412</v>
      </c>
      <c r="B415" s="330" t="s">
        <v>1643</v>
      </c>
      <c r="C415" s="330" t="s">
        <v>3726</v>
      </c>
      <c r="D415" s="330" t="s">
        <v>1662</v>
      </c>
      <c r="E415" s="330" t="s">
        <v>2044</v>
      </c>
      <c r="F415" s="330" t="s">
        <v>1647</v>
      </c>
      <c r="G415" s="562">
        <v>1012</v>
      </c>
      <c r="H415" s="562">
        <v>653.59</v>
      </c>
      <c r="I415" s="562">
        <v>723.02</v>
      </c>
      <c r="J415" s="561" t="s">
        <v>1648</v>
      </c>
      <c r="K415" s="330" t="s">
        <v>3727</v>
      </c>
      <c r="L415" s="330" t="s">
        <v>3728</v>
      </c>
      <c r="M415" s="330" t="s">
        <v>3729</v>
      </c>
      <c r="N415" s="330" t="s">
        <v>3730</v>
      </c>
      <c r="O415" s="395">
        <v>45440</v>
      </c>
      <c r="P415" s="333">
        <v>5714010</v>
      </c>
      <c r="Q415" s="330" t="s">
        <v>1653</v>
      </c>
      <c r="R415" s="562">
        <v>0</v>
      </c>
      <c r="S415" s="333">
        <v>0</v>
      </c>
      <c r="T415" s="333">
        <v>-1764200.8399999999</v>
      </c>
      <c r="U415" s="333">
        <f t="shared" si="64"/>
        <v>-1764200.8399999999</v>
      </c>
      <c r="V415" s="333">
        <v>0</v>
      </c>
      <c r="W415" s="333">
        <v>0</v>
      </c>
      <c r="X415" s="333">
        <v>0</v>
      </c>
      <c r="Y415" s="333">
        <v>0</v>
      </c>
      <c r="Z415" s="333">
        <v>0</v>
      </c>
      <c r="AA415" s="333">
        <v>0</v>
      </c>
      <c r="AB415" s="333">
        <v>0</v>
      </c>
      <c r="AC415" s="333">
        <v>-7142</v>
      </c>
      <c r="AD415" s="333">
        <v>0</v>
      </c>
      <c r="AE415" s="333"/>
      <c r="AF415" s="333"/>
      <c r="AG415" s="333">
        <f t="shared" si="65"/>
        <v>-1771342.8399999999</v>
      </c>
      <c r="AH415" s="330"/>
      <c r="AI415" s="330">
        <v>7142</v>
      </c>
      <c r="AJ415" s="396">
        <f t="shared" si="66"/>
        <v>-1771342.8399999999</v>
      </c>
      <c r="AK415" s="563"/>
      <c r="AL415" s="285">
        <f>+AC415+AI415</f>
        <v>0</v>
      </c>
      <c r="AM415" s="286"/>
      <c r="AO415" s="330" t="s">
        <v>3727</v>
      </c>
    </row>
    <row r="416" spans="1:41">
      <c r="A416" s="587">
        <f t="shared" si="68"/>
        <v>413</v>
      </c>
      <c r="B416" s="330" t="s">
        <v>1643</v>
      </c>
      <c r="C416" s="330" t="s">
        <v>3731</v>
      </c>
      <c r="D416" s="330" t="s">
        <v>1662</v>
      </c>
      <c r="E416" s="330" t="s">
        <v>3323</v>
      </c>
      <c r="F416" s="330" t="s">
        <v>1671</v>
      </c>
      <c r="G416" s="562">
        <v>1375</v>
      </c>
      <c r="H416" s="562">
        <v>876.73</v>
      </c>
      <c r="I416" s="562">
        <v>982.22</v>
      </c>
      <c r="J416" s="561" t="s">
        <v>1648</v>
      </c>
      <c r="K416" s="330" t="s">
        <v>3732</v>
      </c>
      <c r="L416" s="330" t="s">
        <v>3733</v>
      </c>
      <c r="M416" s="330" t="s">
        <v>3734</v>
      </c>
      <c r="N416" s="330" t="s">
        <v>3735</v>
      </c>
      <c r="O416" s="395">
        <v>45429</v>
      </c>
      <c r="P416" s="333">
        <v>7803698</v>
      </c>
      <c r="Q416" s="330" t="s">
        <v>1653</v>
      </c>
      <c r="R416" s="562">
        <v>0</v>
      </c>
      <c r="S416" s="333">
        <v>0</v>
      </c>
      <c r="T416" s="333">
        <v>-2355130.5</v>
      </c>
      <c r="U416" s="333">
        <f t="shared" si="64"/>
        <v>-2355130.5</v>
      </c>
      <c r="V416" s="333">
        <v>0</v>
      </c>
      <c r="W416" s="333">
        <v>0</v>
      </c>
      <c r="X416" s="333">
        <v>0</v>
      </c>
      <c r="Y416" s="333">
        <v>0</v>
      </c>
      <c r="Z416" s="333">
        <v>0</v>
      </c>
      <c r="AA416" s="333">
        <v>0</v>
      </c>
      <c r="AB416" s="333">
        <v>0</v>
      </c>
      <c r="AC416" s="333">
        <v>8.0000000016298145E-2</v>
      </c>
      <c r="AD416" s="333">
        <v>0</v>
      </c>
      <c r="AE416" s="333"/>
      <c r="AF416" s="333"/>
      <c r="AG416" s="333">
        <f t="shared" si="65"/>
        <v>-2355130.42</v>
      </c>
      <c r="AH416" s="330"/>
      <c r="AI416" s="330">
        <v>-8.000000000174623E-2</v>
      </c>
      <c r="AJ416" s="396">
        <f t="shared" si="66"/>
        <v>-2355130.42</v>
      </c>
      <c r="AK416" s="563"/>
      <c r="AL416" s="285">
        <f t="shared" si="67"/>
        <v>0.16000000001804437</v>
      </c>
      <c r="AM416" s="286"/>
      <c r="AO416" s="330" t="s">
        <v>3732</v>
      </c>
    </row>
    <row r="417" spans="1:41">
      <c r="A417" s="587">
        <f t="shared" si="68"/>
        <v>414</v>
      </c>
      <c r="B417" s="330" t="s">
        <v>1643</v>
      </c>
      <c r="C417" s="330" t="s">
        <v>3736</v>
      </c>
      <c r="D417" s="330" t="s">
        <v>1645</v>
      </c>
      <c r="E417" s="330" t="s">
        <v>2347</v>
      </c>
      <c r="F417" s="330" t="s">
        <v>1647</v>
      </c>
      <c r="G417" s="562">
        <v>1114</v>
      </c>
      <c r="H417" s="562">
        <v>683.3</v>
      </c>
      <c r="I417" s="562">
        <v>795.57</v>
      </c>
      <c r="J417" s="561" t="s">
        <v>1810</v>
      </c>
      <c r="K417" s="330" t="s">
        <v>3737</v>
      </c>
      <c r="L417" s="330" t="s">
        <v>3738</v>
      </c>
      <c r="M417" s="330" t="s">
        <v>3739</v>
      </c>
      <c r="N417" s="330" t="s">
        <v>3740</v>
      </c>
      <c r="O417" s="395">
        <v>45406</v>
      </c>
      <c r="P417" s="333">
        <v>6287368</v>
      </c>
      <c r="Q417" s="330" t="s">
        <v>1653</v>
      </c>
      <c r="R417" s="562">
        <v>0</v>
      </c>
      <c r="S417" s="333">
        <v>0</v>
      </c>
      <c r="T417" s="333">
        <v>-1850084.1599999995</v>
      </c>
      <c r="U417" s="333">
        <f t="shared" si="64"/>
        <v>-1850084.1599999995</v>
      </c>
      <c r="V417" s="333">
        <v>-99000</v>
      </c>
      <c r="W417" s="333">
        <v>0</v>
      </c>
      <c r="X417" s="333">
        <v>0</v>
      </c>
      <c r="Y417" s="333">
        <v>0</v>
      </c>
      <c r="Z417" s="333">
        <v>0</v>
      </c>
      <c r="AA417" s="333">
        <v>0</v>
      </c>
      <c r="AB417" s="333">
        <v>0</v>
      </c>
      <c r="AC417" s="333">
        <v>0</v>
      </c>
      <c r="AD417" s="333">
        <v>0</v>
      </c>
      <c r="AE417" s="333"/>
      <c r="AF417" s="333"/>
      <c r="AG417" s="333">
        <f t="shared" si="65"/>
        <v>-1949084.1599999995</v>
      </c>
      <c r="AH417" s="330"/>
      <c r="AI417" s="330">
        <v>0</v>
      </c>
      <c r="AJ417" s="396">
        <f t="shared" si="66"/>
        <v>-1949084.1599999995</v>
      </c>
      <c r="AK417" s="563"/>
      <c r="AL417" s="285">
        <f t="shared" si="67"/>
        <v>0</v>
      </c>
      <c r="AM417" s="286"/>
      <c r="AO417" s="330" t="s">
        <v>3737</v>
      </c>
    </row>
    <row r="418" spans="1:41">
      <c r="A418" s="587">
        <f t="shared" si="68"/>
        <v>415</v>
      </c>
      <c r="B418" s="330" t="s">
        <v>1643</v>
      </c>
      <c r="C418" s="330" t="s">
        <v>3741</v>
      </c>
      <c r="D418" s="330" t="s">
        <v>1704</v>
      </c>
      <c r="E418" s="330" t="s">
        <v>2023</v>
      </c>
      <c r="F418" s="330" t="s">
        <v>1647</v>
      </c>
      <c r="G418" s="562">
        <v>1012</v>
      </c>
      <c r="H418" s="562">
        <v>653.59</v>
      </c>
      <c r="I418" s="562">
        <v>723.02</v>
      </c>
      <c r="J418" s="561" t="s">
        <v>1810</v>
      </c>
      <c r="K418" s="330" t="s">
        <v>3742</v>
      </c>
      <c r="L418" s="330" t="s">
        <v>3743</v>
      </c>
      <c r="M418" s="330" t="s">
        <v>3744</v>
      </c>
      <c r="N418" s="330" t="s">
        <v>3745</v>
      </c>
      <c r="O418" s="395">
        <v>45454</v>
      </c>
      <c r="P418" s="333">
        <v>5794571</v>
      </c>
      <c r="Q418" s="330" t="s">
        <v>1653</v>
      </c>
      <c r="R418" s="562">
        <v>0</v>
      </c>
      <c r="S418" s="333">
        <v>0</v>
      </c>
      <c r="T418" s="333">
        <v>-1796318.1299999997</v>
      </c>
      <c r="U418" s="333">
        <f t="shared" si="64"/>
        <v>-1796318.1299999997</v>
      </c>
      <c r="V418" s="333">
        <v>0</v>
      </c>
      <c r="W418" s="333">
        <v>0</v>
      </c>
      <c r="X418" s="333">
        <v>0</v>
      </c>
      <c r="Y418" s="333">
        <v>0</v>
      </c>
      <c r="Z418" s="333">
        <v>0</v>
      </c>
      <c r="AA418" s="333">
        <v>0</v>
      </c>
      <c r="AB418" s="333">
        <v>0</v>
      </c>
      <c r="AC418" s="333">
        <v>0</v>
      </c>
      <c r="AD418" s="333">
        <v>0</v>
      </c>
      <c r="AE418" s="333"/>
      <c r="AF418" s="333"/>
      <c r="AG418" s="333">
        <f t="shared" si="65"/>
        <v>-1796318.1299999997</v>
      </c>
      <c r="AH418" s="330"/>
      <c r="AI418" s="330">
        <v>0</v>
      </c>
      <c r="AJ418" s="396">
        <f t="shared" si="66"/>
        <v>-1796318.1299999997</v>
      </c>
      <c r="AK418" s="563"/>
      <c r="AL418" s="285">
        <f t="shared" si="67"/>
        <v>0</v>
      </c>
      <c r="AM418" s="286"/>
      <c r="AO418" s="330" t="s">
        <v>3742</v>
      </c>
    </row>
    <row r="419" spans="1:41">
      <c r="A419" s="587">
        <f t="shared" si="68"/>
        <v>416</v>
      </c>
      <c r="B419" s="330" t="s">
        <v>1643</v>
      </c>
      <c r="C419" s="330" t="s">
        <v>3746</v>
      </c>
      <c r="D419" s="330" t="s">
        <v>1655</v>
      </c>
      <c r="E419" s="330" t="s">
        <v>2619</v>
      </c>
      <c r="F419" s="330" t="s">
        <v>1647</v>
      </c>
      <c r="G419" s="562">
        <v>1012</v>
      </c>
      <c r="H419" s="562">
        <v>653.59</v>
      </c>
      <c r="I419" s="562">
        <v>723.02</v>
      </c>
      <c r="J419" s="561" t="s">
        <v>1810</v>
      </c>
      <c r="K419" s="330" t="s">
        <v>3747</v>
      </c>
      <c r="L419" s="330" t="s">
        <v>3748</v>
      </c>
      <c r="M419" s="330" t="s">
        <v>3749</v>
      </c>
      <c r="N419" s="330" t="s">
        <v>12</v>
      </c>
      <c r="O419" s="395"/>
      <c r="P419" s="333">
        <v>6133905</v>
      </c>
      <c r="Q419" s="330" t="s">
        <v>1660</v>
      </c>
      <c r="R419" s="562">
        <v>0</v>
      </c>
      <c r="S419" s="333">
        <v>0</v>
      </c>
      <c r="T419" s="333">
        <v>-709401.88</v>
      </c>
      <c r="U419" s="333">
        <f t="shared" si="64"/>
        <v>-709401.88</v>
      </c>
      <c r="V419" s="333">
        <v>0</v>
      </c>
      <c r="W419" s="333">
        <v>0</v>
      </c>
      <c r="X419" s="333">
        <v>0</v>
      </c>
      <c r="Y419" s="333">
        <v>0</v>
      </c>
      <c r="Z419" s="333">
        <v>0</v>
      </c>
      <c r="AA419" s="333">
        <v>0</v>
      </c>
      <c r="AB419" s="333">
        <v>0</v>
      </c>
      <c r="AC419" s="333">
        <v>-15325.42</v>
      </c>
      <c r="AD419" s="333">
        <v>0</v>
      </c>
      <c r="AE419" s="333"/>
      <c r="AF419" s="333"/>
      <c r="AG419" s="333">
        <f t="shared" si="65"/>
        <v>-724727.3</v>
      </c>
      <c r="AH419" s="330"/>
      <c r="AI419" s="330">
        <v>15325.42</v>
      </c>
      <c r="AJ419" s="396">
        <f t="shared" si="66"/>
        <v>-724727.3</v>
      </c>
      <c r="AK419" s="563"/>
      <c r="AL419" s="285">
        <f>+AC419+AI419</f>
        <v>0</v>
      </c>
      <c r="AM419" s="286"/>
      <c r="AO419" s="330" t="s">
        <v>3747</v>
      </c>
    </row>
    <row r="420" spans="1:41">
      <c r="A420" s="587">
        <f t="shared" si="68"/>
        <v>417</v>
      </c>
      <c r="B420" s="330" t="s">
        <v>1643</v>
      </c>
      <c r="C420" s="330" t="s">
        <v>3750</v>
      </c>
      <c r="D420" s="330" t="s">
        <v>1704</v>
      </c>
      <c r="E420" s="330" t="s">
        <v>1723</v>
      </c>
      <c r="F420" s="330" t="s">
        <v>1647</v>
      </c>
      <c r="G420" s="562">
        <v>1114</v>
      </c>
      <c r="H420" s="562">
        <v>683.3</v>
      </c>
      <c r="I420" s="562">
        <v>795.57</v>
      </c>
      <c r="J420" s="561" t="s">
        <v>1648</v>
      </c>
      <c r="K420" s="330" t="s">
        <v>3751</v>
      </c>
      <c r="L420" s="330" t="s">
        <v>3752</v>
      </c>
      <c r="M420" s="330" t="s">
        <v>3753</v>
      </c>
      <c r="N420" s="330" t="s">
        <v>3754</v>
      </c>
      <c r="O420" s="395">
        <v>45474</v>
      </c>
      <c r="P420" s="333">
        <v>6200857</v>
      </c>
      <c r="Q420" s="330" t="s">
        <v>1653</v>
      </c>
      <c r="R420" s="562">
        <v>0</v>
      </c>
      <c r="S420" s="333">
        <v>0</v>
      </c>
      <c r="T420" s="333">
        <v>-1967626.7099999997</v>
      </c>
      <c r="U420" s="333">
        <f t="shared" si="64"/>
        <v>-1967626.7099999997</v>
      </c>
      <c r="V420" s="333">
        <v>0</v>
      </c>
      <c r="W420" s="333">
        <v>0</v>
      </c>
      <c r="X420" s="333">
        <v>0</v>
      </c>
      <c r="Y420" s="333">
        <v>0</v>
      </c>
      <c r="Z420" s="333">
        <v>0</v>
      </c>
      <c r="AA420" s="333">
        <v>0</v>
      </c>
      <c r="AB420" s="333">
        <v>0</v>
      </c>
      <c r="AC420" s="333">
        <v>0</v>
      </c>
      <c r="AD420" s="333">
        <v>0</v>
      </c>
      <c r="AE420" s="333"/>
      <c r="AF420" s="333"/>
      <c r="AG420" s="333">
        <f t="shared" si="65"/>
        <v>-1967626.7099999997</v>
      </c>
      <c r="AH420" s="330"/>
      <c r="AI420" s="330">
        <v>0</v>
      </c>
      <c r="AJ420" s="396">
        <f t="shared" si="66"/>
        <v>-1967626.7099999997</v>
      </c>
      <c r="AK420" s="563"/>
      <c r="AL420" s="285">
        <f t="shared" si="67"/>
        <v>0</v>
      </c>
      <c r="AM420" s="286"/>
      <c r="AO420" s="330" t="s">
        <v>3751</v>
      </c>
    </row>
    <row r="421" spans="1:41">
      <c r="A421" s="587">
        <f t="shared" si="68"/>
        <v>418</v>
      </c>
      <c r="B421" s="330" t="s">
        <v>1643</v>
      </c>
      <c r="C421" s="330" t="s">
        <v>3755</v>
      </c>
      <c r="D421" s="330" t="s">
        <v>1669</v>
      </c>
      <c r="E421" s="330" t="s">
        <v>2536</v>
      </c>
      <c r="F421" s="330" t="s">
        <v>1671</v>
      </c>
      <c r="G421" s="562">
        <v>1787</v>
      </c>
      <c r="H421" s="562">
        <v>1138.51</v>
      </c>
      <c r="I421" s="562">
        <v>1276.29</v>
      </c>
      <c r="J421" s="561" t="s">
        <v>1648</v>
      </c>
      <c r="K421" s="330" t="s">
        <v>3756</v>
      </c>
      <c r="L421" s="330" t="s">
        <v>3757</v>
      </c>
      <c r="M421" s="330" t="s">
        <v>3758</v>
      </c>
      <c r="N421" s="330" t="s">
        <v>3759</v>
      </c>
      <c r="O421" s="395">
        <v>45474</v>
      </c>
      <c r="P421" s="333">
        <v>10932953</v>
      </c>
      <c r="Q421" s="330" t="s">
        <v>1653</v>
      </c>
      <c r="R421" s="562">
        <v>0</v>
      </c>
      <c r="S421" s="333">
        <v>0</v>
      </c>
      <c r="T421" s="333">
        <v>-3378273.2800000003</v>
      </c>
      <c r="U421" s="333">
        <f t="shared" si="64"/>
        <v>-3378273.2800000003</v>
      </c>
      <c r="V421" s="333">
        <v>-3542267.58</v>
      </c>
      <c r="W421" s="333">
        <v>0</v>
      </c>
      <c r="X421" s="333">
        <v>0</v>
      </c>
      <c r="Y421" s="333">
        <v>0</v>
      </c>
      <c r="Z421" s="333">
        <v>0</v>
      </c>
      <c r="AA421" s="333">
        <v>0</v>
      </c>
      <c r="AB421" s="333">
        <v>0</v>
      </c>
      <c r="AC421" s="333">
        <v>2.9103830456733704E-10</v>
      </c>
      <c r="AD421" s="333">
        <v>0</v>
      </c>
      <c r="AE421" s="333"/>
      <c r="AF421" s="333"/>
      <c r="AG421" s="333">
        <f t="shared" si="65"/>
        <v>-6920540.8600000003</v>
      </c>
      <c r="AH421" s="330"/>
      <c r="AI421" s="330">
        <v>0</v>
      </c>
      <c r="AJ421" s="396">
        <f t="shared" si="66"/>
        <v>-6920540.8600000003</v>
      </c>
      <c r="AK421" s="563"/>
      <c r="AL421" s="285">
        <f t="shared" si="67"/>
        <v>2.9103830456733704E-10</v>
      </c>
      <c r="AM421" s="286"/>
      <c r="AO421" s="330" t="s">
        <v>3756</v>
      </c>
    </row>
    <row r="422" spans="1:41">
      <c r="A422" s="587">
        <f t="shared" si="68"/>
        <v>419</v>
      </c>
      <c r="B422" s="330" t="s">
        <v>1643</v>
      </c>
      <c r="C422" s="330" t="s">
        <v>3760</v>
      </c>
      <c r="D422" s="330" t="s">
        <v>1746</v>
      </c>
      <c r="E422" s="330" t="s">
        <v>2166</v>
      </c>
      <c r="F422" s="330" t="s">
        <v>1647</v>
      </c>
      <c r="G422" s="562">
        <v>1012</v>
      </c>
      <c r="H422" s="562">
        <v>653.59</v>
      </c>
      <c r="I422" s="562">
        <v>723.02</v>
      </c>
      <c r="J422" s="561" t="s">
        <v>1648</v>
      </c>
      <c r="K422" s="330" t="s">
        <v>3761</v>
      </c>
      <c r="L422" s="330" t="s">
        <v>3762</v>
      </c>
      <c r="M422" s="330" t="s">
        <v>3763</v>
      </c>
      <c r="N422" s="330" t="s">
        <v>3764</v>
      </c>
      <c r="O422" s="395">
        <v>45429</v>
      </c>
      <c r="P422" s="333">
        <v>5729194</v>
      </c>
      <c r="Q422" s="330" t="s">
        <v>1653</v>
      </c>
      <c r="R422" s="562">
        <v>0</v>
      </c>
      <c r="S422" s="333">
        <v>0</v>
      </c>
      <c r="T422" s="333">
        <v>-1711616.0199999998</v>
      </c>
      <c r="U422" s="333">
        <f t="shared" si="64"/>
        <v>-1711616.0199999998</v>
      </c>
      <c r="V422" s="333">
        <v>0</v>
      </c>
      <c r="W422" s="333">
        <v>0</v>
      </c>
      <c r="X422" s="333">
        <v>0</v>
      </c>
      <c r="Y422" s="333">
        <v>0</v>
      </c>
      <c r="Z422" s="333">
        <v>0</v>
      </c>
      <c r="AA422" s="333">
        <v>0</v>
      </c>
      <c r="AB422" s="333">
        <v>0</v>
      </c>
      <c r="AC422" s="333">
        <v>-7142.6000000000058</v>
      </c>
      <c r="AD422" s="333">
        <v>0</v>
      </c>
      <c r="AE422" s="333"/>
      <c r="AF422" s="333"/>
      <c r="AG422" s="333">
        <f t="shared" si="65"/>
        <v>-1718758.6199999999</v>
      </c>
      <c r="AH422" s="330"/>
      <c r="AI422" s="330">
        <v>7142.5999999999995</v>
      </c>
      <c r="AJ422" s="396">
        <f t="shared" si="66"/>
        <v>-1718758.6199999999</v>
      </c>
      <c r="AK422" s="563"/>
      <c r="AL422" s="285">
        <f>+AC422+AI422</f>
        <v>0</v>
      </c>
      <c r="AM422" s="286"/>
      <c r="AO422" s="330" t="s">
        <v>3761</v>
      </c>
    </row>
    <row r="423" spans="1:41">
      <c r="A423" s="587">
        <f t="shared" si="68"/>
        <v>420</v>
      </c>
      <c r="B423" s="564" t="s">
        <v>1643</v>
      </c>
      <c r="C423" s="564" t="s">
        <v>3765</v>
      </c>
      <c r="D423" s="330" t="s">
        <v>1669</v>
      </c>
      <c r="E423" s="330" t="s">
        <v>3766</v>
      </c>
      <c r="F423" s="330" t="s">
        <v>1671</v>
      </c>
      <c r="G423" s="562">
        <v>1787</v>
      </c>
      <c r="H423" s="562">
        <v>1138.51</v>
      </c>
      <c r="I423" s="562">
        <v>1276.29</v>
      </c>
      <c r="J423" s="561" t="s">
        <v>1648</v>
      </c>
      <c r="K423" s="564" t="s">
        <v>3767</v>
      </c>
      <c r="L423" s="564" t="s">
        <v>3768</v>
      </c>
      <c r="M423" s="330" t="s">
        <v>3758</v>
      </c>
      <c r="N423" s="330" t="s">
        <v>3769</v>
      </c>
      <c r="O423" s="395">
        <v>45456</v>
      </c>
      <c r="P423" s="333">
        <v>10687428</v>
      </c>
      <c r="Q423" s="330" t="s">
        <v>1660</v>
      </c>
      <c r="R423" s="562">
        <v>0</v>
      </c>
      <c r="S423" s="333">
        <v>0</v>
      </c>
      <c r="T423" s="333">
        <v>0</v>
      </c>
      <c r="U423" s="333">
        <f t="shared" si="64"/>
        <v>0</v>
      </c>
      <c r="V423" s="333">
        <v>3542267.58</v>
      </c>
      <c r="W423" s="333">
        <v>0</v>
      </c>
      <c r="X423" s="333">
        <v>0</v>
      </c>
      <c r="Y423" s="333">
        <v>0</v>
      </c>
      <c r="Z423" s="333">
        <v>0</v>
      </c>
      <c r="AA423" s="333">
        <v>0</v>
      </c>
      <c r="AB423" s="333">
        <v>0</v>
      </c>
      <c r="AC423" s="333">
        <v>0</v>
      </c>
      <c r="AD423" s="333">
        <v>0</v>
      </c>
      <c r="AE423" s="333"/>
      <c r="AF423" s="333"/>
      <c r="AG423" s="565">
        <f t="shared" si="65"/>
        <v>3542267.58</v>
      </c>
      <c r="AH423" s="330"/>
      <c r="AI423" s="330">
        <v>0</v>
      </c>
      <c r="AJ423" s="396">
        <f t="shared" si="66"/>
        <v>3542267.58</v>
      </c>
      <c r="AK423" s="563"/>
      <c r="AL423" s="285">
        <f t="shared" si="67"/>
        <v>0</v>
      </c>
      <c r="AM423" s="286"/>
      <c r="AO423" s="330" t="s">
        <v>3767</v>
      </c>
    </row>
    <row r="424" spans="1:41">
      <c r="A424" s="587">
        <f t="shared" si="68"/>
        <v>421</v>
      </c>
      <c r="B424" s="330" t="s">
        <v>1643</v>
      </c>
      <c r="C424" s="330" t="s">
        <v>3770</v>
      </c>
      <c r="D424" s="330" t="s">
        <v>1655</v>
      </c>
      <c r="E424" s="330" t="s">
        <v>3771</v>
      </c>
      <c r="F424" s="330" t="s">
        <v>1671</v>
      </c>
      <c r="G424" s="562">
        <v>1498</v>
      </c>
      <c r="H424" s="562">
        <v>954.87</v>
      </c>
      <c r="I424" s="562">
        <v>1069.73</v>
      </c>
      <c r="J424" s="561" t="s">
        <v>1648</v>
      </c>
      <c r="K424" s="330" t="s">
        <v>3772</v>
      </c>
      <c r="L424" s="330" t="s">
        <v>3773</v>
      </c>
      <c r="M424" s="330" t="s">
        <v>3774</v>
      </c>
      <c r="N424" s="330" t="s">
        <v>12</v>
      </c>
      <c r="O424" s="395"/>
      <c r="P424" s="333">
        <v>11400000</v>
      </c>
      <c r="Q424" s="330" t="s">
        <v>1660</v>
      </c>
      <c r="R424" s="562">
        <v>0</v>
      </c>
      <c r="S424" s="333">
        <v>0</v>
      </c>
      <c r="T424" s="333">
        <v>0</v>
      </c>
      <c r="U424" s="333">
        <f t="shared" si="64"/>
        <v>0</v>
      </c>
      <c r="V424" s="333">
        <v>0</v>
      </c>
      <c r="W424" s="333">
        <v>0</v>
      </c>
      <c r="X424" s="333">
        <v>0</v>
      </c>
      <c r="Y424" s="333">
        <v>0</v>
      </c>
      <c r="Z424" s="333">
        <v>0</v>
      </c>
      <c r="AA424" s="333">
        <v>0</v>
      </c>
      <c r="AB424" s="333">
        <v>0</v>
      </c>
      <c r="AC424" s="333">
        <v>0</v>
      </c>
      <c r="AD424" s="333">
        <v>0</v>
      </c>
      <c r="AE424" s="333"/>
      <c r="AF424" s="333"/>
      <c r="AG424" s="333">
        <f t="shared" si="65"/>
        <v>0</v>
      </c>
      <c r="AH424" s="330"/>
      <c r="AI424" s="330">
        <v>0</v>
      </c>
      <c r="AJ424" s="396">
        <f t="shared" si="66"/>
        <v>0</v>
      </c>
      <c r="AK424" s="563"/>
      <c r="AL424" s="285">
        <f t="shared" si="67"/>
        <v>0</v>
      </c>
      <c r="AM424" s="286"/>
      <c r="AO424" s="330" t="s">
        <v>3772</v>
      </c>
    </row>
    <row r="425" spans="1:41">
      <c r="A425" s="587">
        <f t="shared" si="68"/>
        <v>422</v>
      </c>
      <c r="B425" s="330" t="s">
        <v>1643</v>
      </c>
      <c r="C425" s="330" t="s">
        <v>2321</v>
      </c>
      <c r="D425" s="330" t="s">
        <v>1655</v>
      </c>
      <c r="E425" s="330" t="s">
        <v>2322</v>
      </c>
      <c r="F425" s="330" t="s">
        <v>1647</v>
      </c>
      <c r="G425" s="562">
        <v>1012</v>
      </c>
      <c r="H425" s="562">
        <v>653.59</v>
      </c>
      <c r="I425" s="562">
        <v>723.02</v>
      </c>
      <c r="J425" s="561" t="s">
        <v>1648</v>
      </c>
      <c r="K425" s="330" t="s">
        <v>3775</v>
      </c>
      <c r="L425" s="330" t="s">
        <v>3776</v>
      </c>
      <c r="M425" s="330" t="s">
        <v>3777</v>
      </c>
      <c r="N425" s="330" t="s">
        <v>12</v>
      </c>
      <c r="O425" s="395"/>
      <c r="P425" s="333">
        <v>6008857</v>
      </c>
      <c r="Q425" s="330" t="s">
        <v>1660</v>
      </c>
      <c r="R425" s="562">
        <v>0</v>
      </c>
      <c r="S425" s="333">
        <v>0</v>
      </c>
      <c r="T425" s="333">
        <v>-100000</v>
      </c>
      <c r="U425" s="333">
        <f t="shared" si="64"/>
        <v>-100000</v>
      </c>
      <c r="V425" s="333">
        <v>100000</v>
      </c>
      <c r="W425" s="333">
        <v>0</v>
      </c>
      <c r="X425" s="333">
        <v>0</v>
      </c>
      <c r="Y425" s="333">
        <v>0</v>
      </c>
      <c r="Z425" s="333">
        <v>0</v>
      </c>
      <c r="AA425" s="333">
        <v>0</v>
      </c>
      <c r="AB425" s="333">
        <v>0</v>
      </c>
      <c r="AC425" s="333">
        <v>0</v>
      </c>
      <c r="AD425" s="333">
        <v>0</v>
      </c>
      <c r="AE425" s="333"/>
      <c r="AF425" s="333"/>
      <c r="AG425" s="333">
        <f t="shared" si="65"/>
        <v>0</v>
      </c>
      <c r="AH425" s="330"/>
      <c r="AI425" s="330">
        <v>0</v>
      </c>
      <c r="AJ425" s="396">
        <f t="shared" si="66"/>
        <v>0</v>
      </c>
      <c r="AK425" s="563"/>
      <c r="AL425" s="285">
        <f t="shared" si="67"/>
        <v>0</v>
      </c>
      <c r="AM425" s="286"/>
      <c r="AO425" s="330" t="s">
        <v>3775</v>
      </c>
    </row>
    <row r="426" spans="1:41">
      <c r="A426" s="587">
        <f t="shared" si="68"/>
        <v>423</v>
      </c>
      <c r="B426" s="330" t="s">
        <v>1643</v>
      </c>
      <c r="C426" s="330" t="s">
        <v>3778</v>
      </c>
      <c r="D426" s="330" t="s">
        <v>1746</v>
      </c>
      <c r="E426" s="330" t="s">
        <v>2056</v>
      </c>
      <c r="F426" s="330" t="s">
        <v>1671</v>
      </c>
      <c r="G426" s="562">
        <v>1498</v>
      </c>
      <c r="H426" s="562">
        <v>954.87</v>
      </c>
      <c r="I426" s="562">
        <v>1069.73</v>
      </c>
      <c r="J426" s="561" t="s">
        <v>1648</v>
      </c>
      <c r="K426" s="330" t="s">
        <v>3779</v>
      </c>
      <c r="L426" s="330" t="s">
        <v>3780</v>
      </c>
      <c r="M426" s="330" t="s">
        <v>3781</v>
      </c>
      <c r="N426" s="330" t="s">
        <v>3782</v>
      </c>
      <c r="O426" s="395">
        <v>45512</v>
      </c>
      <c r="P426" s="333">
        <v>8812477</v>
      </c>
      <c r="Q426" s="330" t="s">
        <v>1653</v>
      </c>
      <c r="R426" s="562">
        <v>0</v>
      </c>
      <c r="S426" s="333">
        <v>0</v>
      </c>
      <c r="T426" s="333">
        <v>-2643741.84</v>
      </c>
      <c r="U426" s="333">
        <f t="shared" si="64"/>
        <v>-2643741.84</v>
      </c>
      <c r="V426" s="333">
        <v>0</v>
      </c>
      <c r="W426" s="333">
        <v>0</v>
      </c>
      <c r="X426" s="333">
        <v>0</v>
      </c>
      <c r="Y426" s="333">
        <v>0</v>
      </c>
      <c r="Z426" s="333">
        <v>0</v>
      </c>
      <c r="AA426" s="333">
        <v>0</v>
      </c>
      <c r="AB426" s="333">
        <v>0</v>
      </c>
      <c r="AC426" s="333">
        <v>0</v>
      </c>
      <c r="AD426" s="333">
        <v>0</v>
      </c>
      <c r="AE426" s="333"/>
      <c r="AF426" s="333"/>
      <c r="AG426" s="333">
        <f t="shared" si="65"/>
        <v>-2643741.84</v>
      </c>
      <c r="AH426" s="330"/>
      <c r="AI426" s="330">
        <v>0</v>
      </c>
      <c r="AJ426" s="396">
        <f t="shared" si="66"/>
        <v>-2643741.84</v>
      </c>
      <c r="AK426" s="563"/>
      <c r="AL426" s="285">
        <f t="shared" si="67"/>
        <v>0</v>
      </c>
      <c r="AM426" s="286"/>
      <c r="AO426" s="330" t="s">
        <v>3779</v>
      </c>
    </row>
    <row r="427" spans="1:41">
      <c r="A427" s="587">
        <f t="shared" si="68"/>
        <v>424</v>
      </c>
      <c r="B427" s="330" t="s">
        <v>1643</v>
      </c>
      <c r="C427" s="330" t="s">
        <v>3783</v>
      </c>
      <c r="D427" s="330" t="s">
        <v>1645</v>
      </c>
      <c r="E427" s="330" t="s">
        <v>1723</v>
      </c>
      <c r="F427" s="330" t="s">
        <v>1647</v>
      </c>
      <c r="G427" s="562">
        <v>1114</v>
      </c>
      <c r="H427" s="562">
        <v>683.3</v>
      </c>
      <c r="I427" s="562">
        <v>795.57</v>
      </c>
      <c r="J427" s="561" t="s">
        <v>1648</v>
      </c>
      <c r="K427" s="330" t="s">
        <v>3784</v>
      </c>
      <c r="L427" s="330" t="s">
        <v>3785</v>
      </c>
      <c r="M427" s="330" t="s">
        <v>3786</v>
      </c>
      <c r="N427" s="330" t="s">
        <v>3787</v>
      </c>
      <c r="O427" s="395">
        <v>45406</v>
      </c>
      <c r="P427" s="333">
        <v>6287368</v>
      </c>
      <c r="Q427" s="330" t="s">
        <v>1653</v>
      </c>
      <c r="R427" s="562">
        <v>0</v>
      </c>
      <c r="S427" s="333">
        <v>0</v>
      </c>
      <c r="T427" s="333">
        <v>-1933322.1600000001</v>
      </c>
      <c r="U427" s="333">
        <f t="shared" si="64"/>
        <v>-1933322.1600000001</v>
      </c>
      <c r="V427" s="333">
        <v>0</v>
      </c>
      <c r="W427" s="333">
        <v>0</v>
      </c>
      <c r="X427" s="333">
        <v>0</v>
      </c>
      <c r="Y427" s="333">
        <v>0</v>
      </c>
      <c r="Z427" s="333">
        <v>0</v>
      </c>
      <c r="AA427" s="333">
        <v>0</v>
      </c>
      <c r="AB427" s="333">
        <v>0</v>
      </c>
      <c r="AC427" s="333">
        <v>-15761</v>
      </c>
      <c r="AD427" s="333">
        <v>0</v>
      </c>
      <c r="AE427" s="333"/>
      <c r="AF427" s="333"/>
      <c r="AG427" s="333">
        <f t="shared" si="65"/>
        <v>-1949083.1600000001</v>
      </c>
      <c r="AH427" s="330"/>
      <c r="AI427" s="330">
        <v>15761</v>
      </c>
      <c r="AJ427" s="396">
        <f t="shared" si="66"/>
        <v>-1949083.1600000001</v>
      </c>
      <c r="AK427" s="563"/>
      <c r="AL427" s="285">
        <f>+AC427+AI427</f>
        <v>0</v>
      </c>
      <c r="AM427" s="286"/>
      <c r="AO427" s="330" t="s">
        <v>3784</v>
      </c>
    </row>
    <row r="428" spans="1:41">
      <c r="A428" s="587">
        <f t="shared" si="68"/>
        <v>425</v>
      </c>
      <c r="B428" s="330" t="s">
        <v>1643</v>
      </c>
      <c r="C428" s="330" t="s">
        <v>3788</v>
      </c>
      <c r="D428" s="330" t="s">
        <v>1655</v>
      </c>
      <c r="E428" s="330" t="s">
        <v>2227</v>
      </c>
      <c r="F428" s="330" t="s">
        <v>1647</v>
      </c>
      <c r="G428" s="562">
        <v>1012</v>
      </c>
      <c r="H428" s="562">
        <v>653.59</v>
      </c>
      <c r="I428" s="562">
        <v>723.02</v>
      </c>
      <c r="J428" s="561" t="s">
        <v>1648</v>
      </c>
      <c r="K428" s="330" t="s">
        <v>3789</v>
      </c>
      <c r="L428" s="330" t="s">
        <v>3790</v>
      </c>
      <c r="M428" s="330" t="s">
        <v>3791</v>
      </c>
      <c r="N428" s="330" t="s">
        <v>12</v>
      </c>
      <c r="O428" s="395"/>
      <c r="P428" s="333">
        <v>5952667</v>
      </c>
      <c r="Q428" s="330" t="s">
        <v>1660</v>
      </c>
      <c r="R428" s="562">
        <v>0</v>
      </c>
      <c r="S428" s="333">
        <v>0</v>
      </c>
      <c r="T428" s="333">
        <v>0</v>
      </c>
      <c r="U428" s="333">
        <f t="shared" si="64"/>
        <v>0</v>
      </c>
      <c r="V428" s="333">
        <v>0</v>
      </c>
      <c r="W428" s="333">
        <v>0</v>
      </c>
      <c r="X428" s="333">
        <v>0</v>
      </c>
      <c r="Y428" s="333">
        <v>0</v>
      </c>
      <c r="Z428" s="333">
        <v>0</v>
      </c>
      <c r="AA428" s="333">
        <v>0</v>
      </c>
      <c r="AB428" s="333">
        <v>0</v>
      </c>
      <c r="AC428" s="333">
        <v>0</v>
      </c>
      <c r="AD428" s="333">
        <v>0</v>
      </c>
      <c r="AE428" s="333"/>
      <c r="AF428" s="333"/>
      <c r="AG428" s="333">
        <f t="shared" si="65"/>
        <v>0</v>
      </c>
      <c r="AH428" s="330"/>
      <c r="AI428" s="330">
        <v>0</v>
      </c>
      <c r="AJ428" s="396">
        <f t="shared" si="66"/>
        <v>0</v>
      </c>
      <c r="AK428" s="563"/>
      <c r="AL428" s="285">
        <f t="shared" si="67"/>
        <v>0</v>
      </c>
      <c r="AM428" s="286"/>
      <c r="AO428" s="330" t="s">
        <v>3789</v>
      </c>
    </row>
    <row r="429" spans="1:41">
      <c r="A429" s="587">
        <f t="shared" si="68"/>
        <v>426</v>
      </c>
      <c r="B429" s="330" t="s">
        <v>1643</v>
      </c>
      <c r="C429" s="330" t="s">
        <v>3792</v>
      </c>
      <c r="D429" s="330" t="s">
        <v>1655</v>
      </c>
      <c r="E429" s="330" t="s">
        <v>2100</v>
      </c>
      <c r="F429" s="330" t="s">
        <v>1647</v>
      </c>
      <c r="G429" s="562">
        <v>1114</v>
      </c>
      <c r="H429" s="562">
        <v>683.3</v>
      </c>
      <c r="I429" s="562">
        <v>795.57</v>
      </c>
      <c r="J429" s="561" t="s">
        <v>1648</v>
      </c>
      <c r="K429" s="330" t="s">
        <v>3793</v>
      </c>
      <c r="L429" s="330" t="s">
        <v>3794</v>
      </c>
      <c r="M429" s="330" t="s">
        <v>3795</v>
      </c>
      <c r="N429" s="330" t="s">
        <v>12</v>
      </c>
      <c r="O429" s="395"/>
      <c r="P429" s="333">
        <v>7155333</v>
      </c>
      <c r="Q429" s="330" t="s">
        <v>1660</v>
      </c>
      <c r="R429" s="562">
        <v>0</v>
      </c>
      <c r="S429" s="333">
        <v>0</v>
      </c>
      <c r="T429" s="333">
        <v>0</v>
      </c>
      <c r="U429" s="333">
        <f t="shared" si="64"/>
        <v>0</v>
      </c>
      <c r="V429" s="333">
        <v>0</v>
      </c>
      <c r="W429" s="333">
        <v>0</v>
      </c>
      <c r="X429" s="333">
        <v>0</v>
      </c>
      <c r="Y429" s="333">
        <v>0</v>
      </c>
      <c r="Z429" s="333">
        <v>0</v>
      </c>
      <c r="AA429" s="333">
        <v>0</v>
      </c>
      <c r="AB429" s="333">
        <v>0</v>
      </c>
      <c r="AC429" s="333">
        <v>0</v>
      </c>
      <c r="AD429" s="333">
        <v>0</v>
      </c>
      <c r="AE429" s="333"/>
      <c r="AF429" s="333"/>
      <c r="AG429" s="333">
        <f t="shared" si="65"/>
        <v>0</v>
      </c>
      <c r="AH429" s="330"/>
      <c r="AI429" s="330">
        <v>0</v>
      </c>
      <c r="AJ429" s="396">
        <f t="shared" si="66"/>
        <v>0</v>
      </c>
      <c r="AK429" s="563"/>
      <c r="AL429" s="285">
        <f t="shared" si="67"/>
        <v>0</v>
      </c>
      <c r="AM429" s="286"/>
      <c r="AO429" s="330" t="s">
        <v>3793</v>
      </c>
    </row>
    <row r="430" spans="1:41">
      <c r="A430" s="587">
        <f t="shared" si="68"/>
        <v>427</v>
      </c>
      <c r="B430" s="330" t="s">
        <v>1643</v>
      </c>
      <c r="C430" s="330" t="s">
        <v>3796</v>
      </c>
      <c r="D430" s="330" t="s">
        <v>1662</v>
      </c>
      <c r="E430" s="330" t="s">
        <v>2826</v>
      </c>
      <c r="F430" s="330" t="s">
        <v>1671</v>
      </c>
      <c r="G430" s="562">
        <v>1375</v>
      </c>
      <c r="H430" s="562">
        <v>876.73</v>
      </c>
      <c r="I430" s="562">
        <v>982.22</v>
      </c>
      <c r="J430" s="561" t="s">
        <v>1648</v>
      </c>
      <c r="K430" s="330" t="s">
        <v>3797</v>
      </c>
      <c r="L430" s="330" t="s">
        <v>3798</v>
      </c>
      <c r="M430" s="330" t="s">
        <v>3799</v>
      </c>
      <c r="N430" s="330" t="s">
        <v>3800</v>
      </c>
      <c r="O430" s="395">
        <v>45440</v>
      </c>
      <c r="P430" s="333">
        <v>7762445</v>
      </c>
      <c r="Q430" s="330" t="s">
        <v>1653</v>
      </c>
      <c r="R430" s="562">
        <v>0</v>
      </c>
      <c r="S430" s="333">
        <v>0</v>
      </c>
      <c r="T430" s="333">
        <v>-2370818.3199999984</v>
      </c>
      <c r="U430" s="333">
        <f t="shared" si="64"/>
        <v>-2370818.3199999984</v>
      </c>
      <c r="V430" s="333">
        <v>0</v>
      </c>
      <c r="W430" s="333">
        <v>0</v>
      </c>
      <c r="X430" s="333">
        <v>0</v>
      </c>
      <c r="Y430" s="333">
        <v>0</v>
      </c>
      <c r="Z430" s="333">
        <v>0</v>
      </c>
      <c r="AA430" s="333">
        <v>0</v>
      </c>
      <c r="AB430" s="333">
        <v>0</v>
      </c>
      <c r="AC430" s="333">
        <v>-7489.9999999999764</v>
      </c>
      <c r="AD430" s="333">
        <v>0</v>
      </c>
      <c r="AE430" s="333"/>
      <c r="AF430" s="333"/>
      <c r="AG430" s="333">
        <f t="shared" si="65"/>
        <v>-2378308.3199999984</v>
      </c>
      <c r="AH430" s="330"/>
      <c r="AI430" s="330">
        <v>7489.9999999999991</v>
      </c>
      <c r="AJ430" s="396">
        <f t="shared" si="66"/>
        <v>-2378308.3199999984</v>
      </c>
      <c r="AK430" s="563"/>
      <c r="AL430" s="285">
        <f>+AC430+AI430</f>
        <v>2.2737367544323206E-11</v>
      </c>
      <c r="AM430" s="286"/>
      <c r="AO430" s="330" t="s">
        <v>3797</v>
      </c>
    </row>
    <row r="431" spans="1:41">
      <c r="A431" s="587">
        <f t="shared" si="68"/>
        <v>428</v>
      </c>
      <c r="B431" s="330" t="s">
        <v>1643</v>
      </c>
      <c r="C431" s="330" t="s">
        <v>3801</v>
      </c>
      <c r="D431" s="330" t="s">
        <v>1662</v>
      </c>
      <c r="E431" s="330" t="s">
        <v>3802</v>
      </c>
      <c r="F431" s="330" t="s">
        <v>1671</v>
      </c>
      <c r="G431" s="562">
        <v>1498</v>
      </c>
      <c r="H431" s="562">
        <v>954.87</v>
      </c>
      <c r="I431" s="562">
        <v>1069.73</v>
      </c>
      <c r="J431" s="561" t="s">
        <v>1648</v>
      </c>
      <c r="K431" s="330" t="s">
        <v>3803</v>
      </c>
      <c r="L431" s="330" t="s">
        <v>3804</v>
      </c>
      <c r="M431" s="330" t="s">
        <v>3805</v>
      </c>
      <c r="N431" s="330" t="s">
        <v>3806</v>
      </c>
      <c r="O431" s="395">
        <v>45441</v>
      </c>
      <c r="P431" s="333">
        <v>8544571</v>
      </c>
      <c r="Q431" s="330" t="s">
        <v>1653</v>
      </c>
      <c r="R431" s="562">
        <v>0</v>
      </c>
      <c r="S431" s="333">
        <v>0</v>
      </c>
      <c r="T431" s="333">
        <v>-2648818.1299999994</v>
      </c>
      <c r="U431" s="333">
        <f t="shared" si="64"/>
        <v>-2648818.1299999994</v>
      </c>
      <c r="V431" s="333">
        <v>0</v>
      </c>
      <c r="W431" s="333">
        <v>0</v>
      </c>
      <c r="X431" s="333">
        <v>0</v>
      </c>
      <c r="Y431" s="333">
        <v>0</v>
      </c>
      <c r="Z431" s="333">
        <v>0</v>
      </c>
      <c r="AA431" s="333">
        <v>0</v>
      </c>
      <c r="AB431" s="333">
        <v>0</v>
      </c>
      <c r="AC431" s="333">
        <v>0</v>
      </c>
      <c r="AD431" s="333">
        <v>0</v>
      </c>
      <c r="AE431" s="333"/>
      <c r="AF431" s="333"/>
      <c r="AG431" s="333">
        <f t="shared" si="65"/>
        <v>-2648818.1299999994</v>
      </c>
      <c r="AH431" s="330"/>
      <c r="AI431" s="330">
        <v>0</v>
      </c>
      <c r="AJ431" s="396">
        <f t="shared" si="66"/>
        <v>-2648818.1299999994</v>
      </c>
      <c r="AK431" s="563"/>
      <c r="AL431" s="285">
        <f t="shared" si="67"/>
        <v>0</v>
      </c>
      <c r="AM431" s="286"/>
      <c r="AO431" s="330" t="s">
        <v>3803</v>
      </c>
    </row>
    <row r="432" spans="1:41">
      <c r="A432" s="587">
        <f t="shared" si="68"/>
        <v>429</v>
      </c>
      <c r="B432" s="330" t="s">
        <v>1643</v>
      </c>
      <c r="C432" s="330" t="s">
        <v>3807</v>
      </c>
      <c r="D432" s="330" t="s">
        <v>1645</v>
      </c>
      <c r="E432" s="330" t="s">
        <v>2289</v>
      </c>
      <c r="F432" s="330" t="s">
        <v>1647</v>
      </c>
      <c r="G432" s="562">
        <v>1012</v>
      </c>
      <c r="H432" s="562">
        <v>653.59</v>
      </c>
      <c r="I432" s="562">
        <v>723.02</v>
      </c>
      <c r="J432" s="561" t="s">
        <v>1648</v>
      </c>
      <c r="K432" s="330" t="s">
        <v>3808</v>
      </c>
      <c r="L432" s="330" t="s">
        <v>3809</v>
      </c>
      <c r="M432" s="330" t="s">
        <v>3810</v>
      </c>
      <c r="N432" s="330" t="s">
        <v>3811</v>
      </c>
      <c r="O432" s="395">
        <v>45443</v>
      </c>
      <c r="P432" s="333">
        <v>5714010</v>
      </c>
      <c r="Q432" s="330" t="s">
        <v>1653</v>
      </c>
      <c r="R432" s="562">
        <v>0</v>
      </c>
      <c r="S432" s="333">
        <v>0</v>
      </c>
      <c r="T432" s="333">
        <v>-1686992.8400000003</v>
      </c>
      <c r="U432" s="333">
        <f t="shared" si="64"/>
        <v>-1686992.8400000003</v>
      </c>
      <c r="V432" s="333">
        <v>0</v>
      </c>
      <c r="W432" s="333">
        <v>0</v>
      </c>
      <c r="X432" s="333">
        <v>0</v>
      </c>
      <c r="Y432" s="333">
        <v>0</v>
      </c>
      <c r="Z432" s="333">
        <v>0</v>
      </c>
      <c r="AA432" s="333">
        <v>0</v>
      </c>
      <c r="AB432" s="333">
        <v>0</v>
      </c>
      <c r="AC432" s="333">
        <v>-27210</v>
      </c>
      <c r="AD432" s="333">
        <v>0</v>
      </c>
      <c r="AE432" s="333"/>
      <c r="AF432" s="333"/>
      <c r="AG432" s="333">
        <f t="shared" si="65"/>
        <v>-1714202.8400000003</v>
      </c>
      <c r="AH432" s="330"/>
      <c r="AI432" s="330">
        <v>27210</v>
      </c>
      <c r="AJ432" s="396">
        <f t="shared" si="66"/>
        <v>-1714202.8400000003</v>
      </c>
      <c r="AK432" s="563"/>
      <c r="AL432" s="285">
        <f t="shared" ref="AL432:AL433" si="70">+AC432+AI432</f>
        <v>0</v>
      </c>
      <c r="AM432" s="286"/>
      <c r="AO432" s="330" t="s">
        <v>3808</v>
      </c>
    </row>
    <row r="433" spans="1:41">
      <c r="A433" s="587">
        <f t="shared" si="68"/>
        <v>430</v>
      </c>
      <c r="B433" s="330" t="s">
        <v>1643</v>
      </c>
      <c r="C433" s="330" t="s">
        <v>3812</v>
      </c>
      <c r="D433" s="330" t="s">
        <v>1645</v>
      </c>
      <c r="E433" s="330" t="s">
        <v>1747</v>
      </c>
      <c r="F433" s="330" t="s">
        <v>1647</v>
      </c>
      <c r="G433" s="562">
        <v>1114</v>
      </c>
      <c r="H433" s="562">
        <v>683.3</v>
      </c>
      <c r="I433" s="562">
        <v>795.57</v>
      </c>
      <c r="J433" s="561" t="s">
        <v>1648</v>
      </c>
      <c r="K433" s="330" t="s">
        <v>3813</v>
      </c>
      <c r="L433" s="330" t="s">
        <v>3814</v>
      </c>
      <c r="M433" s="330" t="s">
        <v>3815</v>
      </c>
      <c r="N433" s="330" t="s">
        <v>3816</v>
      </c>
      <c r="O433" s="395">
        <v>45442</v>
      </c>
      <c r="P433" s="333">
        <v>6320782</v>
      </c>
      <c r="Q433" s="330" t="s">
        <v>1653</v>
      </c>
      <c r="R433" s="562">
        <v>0</v>
      </c>
      <c r="S433" s="333">
        <v>0</v>
      </c>
      <c r="T433" s="333">
        <v>-1896233.0799999991</v>
      </c>
      <c r="U433" s="333">
        <f t="shared" si="64"/>
        <v>-1896233.0799999991</v>
      </c>
      <c r="V433" s="333">
        <v>0</v>
      </c>
      <c r="W433" s="333">
        <v>0</v>
      </c>
      <c r="X433" s="333">
        <v>0</v>
      </c>
      <c r="Y433" s="333">
        <v>0</v>
      </c>
      <c r="Z433" s="333">
        <v>0</v>
      </c>
      <c r="AA433" s="333">
        <v>0</v>
      </c>
      <c r="AB433" s="333">
        <v>0</v>
      </c>
      <c r="AC433" s="333">
        <v>0</v>
      </c>
      <c r="AD433" s="333">
        <v>0</v>
      </c>
      <c r="AE433" s="333"/>
      <c r="AF433" s="333"/>
      <c r="AG433" s="333">
        <f t="shared" si="65"/>
        <v>-1896233.0799999991</v>
      </c>
      <c r="AH433" s="330"/>
      <c r="AI433" s="330">
        <v>0</v>
      </c>
      <c r="AJ433" s="396">
        <f t="shared" si="66"/>
        <v>-1896233.0799999991</v>
      </c>
      <c r="AK433" s="563"/>
      <c r="AL433" s="285">
        <f t="shared" si="70"/>
        <v>0</v>
      </c>
      <c r="AM433" s="286"/>
      <c r="AO433" s="330" t="s">
        <v>3813</v>
      </c>
    </row>
    <row r="434" spans="1:41">
      <c r="A434" s="587">
        <f t="shared" si="68"/>
        <v>431</v>
      </c>
      <c r="B434" s="330" t="s">
        <v>1643</v>
      </c>
      <c r="C434" s="330" t="s">
        <v>3817</v>
      </c>
      <c r="D434" s="330" t="s">
        <v>1677</v>
      </c>
      <c r="E434" s="330" t="s">
        <v>2166</v>
      </c>
      <c r="F434" s="330" t="s">
        <v>1647</v>
      </c>
      <c r="G434" s="562">
        <v>1012</v>
      </c>
      <c r="H434" s="562">
        <v>653.59</v>
      </c>
      <c r="I434" s="562">
        <v>723.02</v>
      </c>
      <c r="J434" s="561" t="s">
        <v>1648</v>
      </c>
      <c r="K434" s="330" t="s">
        <v>3818</v>
      </c>
      <c r="L434" s="330" t="s">
        <v>3819</v>
      </c>
      <c r="M434" s="330" t="s">
        <v>3820</v>
      </c>
      <c r="N434" s="330" t="s">
        <v>12</v>
      </c>
      <c r="O434" s="395"/>
      <c r="P434" s="333">
        <v>6205333</v>
      </c>
      <c r="Q434" s="330" t="s">
        <v>1660</v>
      </c>
      <c r="R434" s="562">
        <v>0</v>
      </c>
      <c r="S434" s="333">
        <v>0</v>
      </c>
      <c r="T434" s="333">
        <v>0</v>
      </c>
      <c r="U434" s="333">
        <f t="shared" si="64"/>
        <v>0</v>
      </c>
      <c r="V434" s="333">
        <v>0</v>
      </c>
      <c r="W434" s="333">
        <v>0</v>
      </c>
      <c r="X434" s="333">
        <v>0</v>
      </c>
      <c r="Y434" s="333">
        <v>0</v>
      </c>
      <c r="Z434" s="333">
        <v>0</v>
      </c>
      <c r="AA434" s="333">
        <v>0</v>
      </c>
      <c r="AB434" s="333">
        <v>0</v>
      </c>
      <c r="AC434" s="333">
        <v>0</v>
      </c>
      <c r="AD434" s="333">
        <v>0</v>
      </c>
      <c r="AE434" s="333"/>
      <c r="AF434" s="333"/>
      <c r="AG434" s="333">
        <f t="shared" si="65"/>
        <v>0</v>
      </c>
      <c r="AH434" s="330"/>
      <c r="AI434" s="330">
        <v>0</v>
      </c>
      <c r="AJ434" s="396">
        <f t="shared" si="66"/>
        <v>0</v>
      </c>
      <c r="AK434" s="563"/>
      <c r="AL434" s="285">
        <f t="shared" si="67"/>
        <v>0</v>
      </c>
      <c r="AM434" s="286"/>
      <c r="AO434" s="330" t="s">
        <v>3818</v>
      </c>
    </row>
    <row r="435" spans="1:41">
      <c r="A435" s="587">
        <f t="shared" si="68"/>
        <v>432</v>
      </c>
      <c r="B435" s="330" t="s">
        <v>1643</v>
      </c>
      <c r="C435" s="330" t="s">
        <v>3821</v>
      </c>
      <c r="D435" s="330" t="s">
        <v>1704</v>
      </c>
      <c r="E435" s="330" t="s">
        <v>2625</v>
      </c>
      <c r="F435" s="330" t="s">
        <v>1647</v>
      </c>
      <c r="G435" s="562">
        <v>1012</v>
      </c>
      <c r="H435" s="562">
        <v>653.59</v>
      </c>
      <c r="I435" s="562">
        <v>723.02</v>
      </c>
      <c r="J435" s="561" t="s">
        <v>1648</v>
      </c>
      <c r="K435" s="330" t="s">
        <v>3822</v>
      </c>
      <c r="L435" s="330" t="s">
        <v>3819</v>
      </c>
      <c r="M435" s="330" t="s">
        <v>3820</v>
      </c>
      <c r="N435" s="330" t="s">
        <v>3823</v>
      </c>
      <c r="O435" s="395">
        <v>45664</v>
      </c>
      <c r="P435" s="333">
        <v>6205333</v>
      </c>
      <c r="Q435" s="330" t="s">
        <v>1653</v>
      </c>
      <c r="R435" s="562">
        <v>0</v>
      </c>
      <c r="S435" s="333">
        <v>0</v>
      </c>
      <c r="T435" s="333">
        <v>-1999306.3300000003</v>
      </c>
      <c r="U435" s="333">
        <f t="shared" si="64"/>
        <v>-1999306.3300000003</v>
      </c>
      <c r="V435" s="333">
        <v>0</v>
      </c>
      <c r="W435" s="333">
        <v>0</v>
      </c>
      <c r="X435" s="333">
        <v>0</v>
      </c>
      <c r="Y435" s="333">
        <v>0</v>
      </c>
      <c r="Z435" s="333">
        <v>0</v>
      </c>
      <c r="AA435" s="333">
        <v>0</v>
      </c>
      <c r="AB435" s="333">
        <v>0</v>
      </c>
      <c r="AC435" s="333">
        <v>0</v>
      </c>
      <c r="AD435" s="333">
        <v>0</v>
      </c>
      <c r="AE435" s="333"/>
      <c r="AF435" s="333"/>
      <c r="AG435" s="333">
        <f t="shared" si="65"/>
        <v>-1999306.3300000003</v>
      </c>
      <c r="AH435" s="330"/>
      <c r="AI435" s="330">
        <v>0</v>
      </c>
      <c r="AJ435" s="396">
        <f t="shared" si="66"/>
        <v>-1999306.3300000003</v>
      </c>
      <c r="AK435" s="563"/>
      <c r="AL435" s="285">
        <f t="shared" si="67"/>
        <v>0</v>
      </c>
      <c r="AM435" s="286"/>
      <c r="AO435" s="330" t="s">
        <v>3822</v>
      </c>
    </row>
    <row r="436" spans="1:41">
      <c r="A436" s="587">
        <f t="shared" si="68"/>
        <v>433</v>
      </c>
      <c r="B436" s="330" t="s">
        <v>1643</v>
      </c>
      <c r="C436" s="330" t="s">
        <v>3824</v>
      </c>
      <c r="D436" s="330" t="s">
        <v>1704</v>
      </c>
      <c r="E436" s="330" t="s">
        <v>1941</v>
      </c>
      <c r="F436" s="330" t="s">
        <v>1647</v>
      </c>
      <c r="G436" s="562">
        <v>1498</v>
      </c>
      <c r="H436" s="562">
        <v>954.87</v>
      </c>
      <c r="I436" s="562">
        <v>1069.73</v>
      </c>
      <c r="J436" s="561" t="s">
        <v>1648</v>
      </c>
      <c r="K436" s="330" t="s">
        <v>3825</v>
      </c>
      <c r="L436" s="330" t="s">
        <v>3826</v>
      </c>
      <c r="M436" s="330" t="s">
        <v>3827</v>
      </c>
      <c r="N436" s="330" t="s">
        <v>3828</v>
      </c>
      <c r="O436" s="395">
        <v>45464</v>
      </c>
      <c r="P436" s="333">
        <v>8562477</v>
      </c>
      <c r="Q436" s="330" t="s">
        <v>1653</v>
      </c>
      <c r="R436" s="562">
        <v>0</v>
      </c>
      <c r="S436" s="333">
        <v>0</v>
      </c>
      <c r="T436" s="333">
        <v>-2568741.6100000013</v>
      </c>
      <c r="U436" s="333">
        <f t="shared" si="64"/>
        <v>-2568741.6100000013</v>
      </c>
      <c r="V436" s="333">
        <v>0</v>
      </c>
      <c r="W436" s="333">
        <v>0</v>
      </c>
      <c r="X436" s="333">
        <v>0</v>
      </c>
      <c r="Y436" s="333">
        <v>0</v>
      </c>
      <c r="Z436" s="333">
        <v>0</v>
      </c>
      <c r="AA436" s="333">
        <v>0</v>
      </c>
      <c r="AB436" s="333">
        <v>0</v>
      </c>
      <c r="AC436" s="333">
        <v>0</v>
      </c>
      <c r="AD436" s="333">
        <v>0</v>
      </c>
      <c r="AE436" s="333"/>
      <c r="AF436" s="333"/>
      <c r="AG436" s="333">
        <f t="shared" si="65"/>
        <v>-2568741.6100000013</v>
      </c>
      <c r="AH436" s="330"/>
      <c r="AI436" s="330">
        <v>0</v>
      </c>
      <c r="AJ436" s="396">
        <f t="shared" si="66"/>
        <v>-2568741.6100000013</v>
      </c>
      <c r="AK436" s="563"/>
      <c r="AL436" s="285">
        <f t="shared" si="67"/>
        <v>0</v>
      </c>
      <c r="AM436" s="286"/>
      <c r="AO436" s="330" t="s">
        <v>3825</v>
      </c>
    </row>
    <row r="437" spans="1:41">
      <c r="A437" s="587">
        <f t="shared" si="68"/>
        <v>434</v>
      </c>
      <c r="B437" s="330" t="s">
        <v>1643</v>
      </c>
      <c r="C437" s="330" t="s">
        <v>3829</v>
      </c>
      <c r="D437" s="330" t="s">
        <v>1704</v>
      </c>
      <c r="E437" s="330" t="s">
        <v>2085</v>
      </c>
      <c r="F437" s="330" t="s">
        <v>1671</v>
      </c>
      <c r="G437" s="562">
        <v>1375</v>
      </c>
      <c r="H437" s="562">
        <v>876.73</v>
      </c>
      <c r="I437" s="562">
        <v>982.22</v>
      </c>
      <c r="J437" s="561" t="s">
        <v>1810</v>
      </c>
      <c r="K437" s="330" t="s">
        <v>3830</v>
      </c>
      <c r="L437" s="330" t="s">
        <v>3831</v>
      </c>
      <c r="M437" s="330" t="s">
        <v>3832</v>
      </c>
      <c r="N437" s="330" t="s">
        <v>3833</v>
      </c>
      <c r="O437" s="395">
        <v>45895</v>
      </c>
      <c r="P437" s="333">
        <v>8651714</v>
      </c>
      <c r="Q437" s="330" t="s">
        <v>1653</v>
      </c>
      <c r="R437" s="562">
        <v>0</v>
      </c>
      <c r="S437" s="333">
        <v>0</v>
      </c>
      <c r="T437" s="333">
        <v>0</v>
      </c>
      <c r="U437" s="333">
        <f t="shared" si="64"/>
        <v>0</v>
      </c>
      <c r="V437" s="333">
        <v>-2811806.14</v>
      </c>
      <c r="W437" s="333">
        <v>0</v>
      </c>
      <c r="X437" s="333">
        <v>0</v>
      </c>
      <c r="Y437" s="333">
        <v>0</v>
      </c>
      <c r="Z437" s="333">
        <v>549200</v>
      </c>
      <c r="AA437" s="333">
        <v>-549200</v>
      </c>
      <c r="AB437" s="333">
        <v>0</v>
      </c>
      <c r="AC437" s="333">
        <v>129775.72000000044</v>
      </c>
      <c r="AD437" s="333">
        <v>0</v>
      </c>
      <c r="AE437" s="333"/>
      <c r="AF437" s="333"/>
      <c r="AG437" s="333">
        <f t="shared" si="65"/>
        <v>-2682030.42</v>
      </c>
      <c r="AH437" s="330"/>
      <c r="AI437" s="330">
        <v>-129775.72</v>
      </c>
      <c r="AJ437" s="396">
        <f t="shared" si="66"/>
        <v>-2682030.42</v>
      </c>
      <c r="AK437" s="563"/>
      <c r="AL437" s="285">
        <f t="shared" ref="AL437:AL441" si="71">+AC437+AI437</f>
        <v>4.3655745685100555E-10</v>
      </c>
      <c r="AM437" s="286"/>
      <c r="AO437" s="330" t="s">
        <v>3830</v>
      </c>
    </row>
    <row r="438" spans="1:41">
      <c r="A438" s="587">
        <f t="shared" si="68"/>
        <v>435</v>
      </c>
      <c r="B438" s="330" t="s">
        <v>1643</v>
      </c>
      <c r="C438" s="330" t="s">
        <v>3834</v>
      </c>
      <c r="D438" s="330" t="s">
        <v>1655</v>
      </c>
      <c r="E438" s="330" t="s">
        <v>2625</v>
      </c>
      <c r="F438" s="330" t="s">
        <v>1647</v>
      </c>
      <c r="G438" s="562">
        <v>1012</v>
      </c>
      <c r="H438" s="562">
        <v>653.59</v>
      </c>
      <c r="I438" s="562">
        <v>723.02</v>
      </c>
      <c r="J438" s="561" t="s">
        <v>1648</v>
      </c>
      <c r="K438" s="330" t="s">
        <v>3835</v>
      </c>
      <c r="L438" s="330" t="s">
        <v>3836</v>
      </c>
      <c r="M438" s="330" t="s">
        <v>3837</v>
      </c>
      <c r="N438" s="330" t="s">
        <v>12</v>
      </c>
      <c r="O438" s="395"/>
      <c r="P438" s="333">
        <v>6133905</v>
      </c>
      <c r="Q438" s="330" t="s">
        <v>1660</v>
      </c>
      <c r="R438" s="562">
        <v>0</v>
      </c>
      <c r="S438" s="333">
        <v>0</v>
      </c>
      <c r="T438" s="333">
        <v>-768476.14</v>
      </c>
      <c r="U438" s="333">
        <f t="shared" si="64"/>
        <v>-768476.14</v>
      </c>
      <c r="V438" s="333">
        <v>781430</v>
      </c>
      <c r="W438" s="333">
        <v>0</v>
      </c>
      <c r="X438" s="333">
        <v>0</v>
      </c>
      <c r="Y438" s="333">
        <v>0</v>
      </c>
      <c r="Z438" s="333">
        <v>0</v>
      </c>
      <c r="AA438" s="333">
        <v>0</v>
      </c>
      <c r="AB438" s="333">
        <v>0</v>
      </c>
      <c r="AC438" s="333">
        <v>-25907.760000000002</v>
      </c>
      <c r="AD438" s="333">
        <v>0</v>
      </c>
      <c r="AE438" s="333"/>
      <c r="AF438" s="333"/>
      <c r="AG438" s="333">
        <f t="shared" si="65"/>
        <v>-12953.900000000016</v>
      </c>
      <c r="AH438" s="330"/>
      <c r="AI438" s="330">
        <v>25907.760000000002</v>
      </c>
      <c r="AJ438" s="396">
        <f t="shared" si="66"/>
        <v>-12953.900000000016</v>
      </c>
      <c r="AK438" s="563"/>
      <c r="AL438" s="285">
        <f t="shared" si="71"/>
        <v>0</v>
      </c>
      <c r="AM438" s="286"/>
      <c r="AO438" s="330" t="s">
        <v>3835</v>
      </c>
    </row>
    <row r="439" spans="1:41">
      <c r="A439" s="587">
        <f t="shared" si="68"/>
        <v>436</v>
      </c>
      <c r="B439" s="330" t="s">
        <v>1643</v>
      </c>
      <c r="C439" s="330" t="s">
        <v>3838</v>
      </c>
      <c r="D439" s="330" t="s">
        <v>1655</v>
      </c>
      <c r="E439" s="330" t="s">
        <v>1684</v>
      </c>
      <c r="F439" s="330" t="s">
        <v>1786</v>
      </c>
      <c r="G439" s="562">
        <v>1265</v>
      </c>
      <c r="H439" s="562">
        <v>813.33</v>
      </c>
      <c r="I439" s="562">
        <v>903.31</v>
      </c>
      <c r="J439" s="561" t="s">
        <v>1810</v>
      </c>
      <c r="K439" s="330" t="s">
        <v>3839</v>
      </c>
      <c r="L439" s="330" t="s">
        <v>3840</v>
      </c>
      <c r="M439" s="330" t="s">
        <v>3841</v>
      </c>
      <c r="N439" s="330" t="s">
        <v>12</v>
      </c>
      <c r="O439" s="395"/>
      <c r="P439" s="333">
        <v>7608451</v>
      </c>
      <c r="Q439" s="330" t="s">
        <v>1660</v>
      </c>
      <c r="R439" s="562">
        <v>0</v>
      </c>
      <c r="S439" s="333">
        <v>0</v>
      </c>
      <c r="T439" s="333">
        <v>0</v>
      </c>
      <c r="U439" s="333">
        <f t="shared" si="64"/>
        <v>0</v>
      </c>
      <c r="V439" s="333">
        <v>0</v>
      </c>
      <c r="W439" s="333">
        <v>0</v>
      </c>
      <c r="X439" s="333">
        <v>0</v>
      </c>
      <c r="Y439" s="333">
        <v>0</v>
      </c>
      <c r="Z439" s="333">
        <v>0</v>
      </c>
      <c r="AA439" s="333">
        <v>0</v>
      </c>
      <c r="AB439" s="333">
        <v>0</v>
      </c>
      <c r="AC439" s="333">
        <v>0</v>
      </c>
      <c r="AD439" s="333">
        <v>0</v>
      </c>
      <c r="AE439" s="333"/>
      <c r="AF439" s="333"/>
      <c r="AG439" s="333">
        <f t="shared" si="65"/>
        <v>0</v>
      </c>
      <c r="AH439" s="330"/>
      <c r="AI439" s="330">
        <v>0</v>
      </c>
      <c r="AJ439" s="396">
        <f t="shared" si="66"/>
        <v>0</v>
      </c>
      <c r="AK439" s="563"/>
      <c r="AL439" s="285">
        <f t="shared" si="71"/>
        <v>0</v>
      </c>
      <c r="AM439" s="286"/>
      <c r="AO439" s="330" t="s">
        <v>3839</v>
      </c>
    </row>
    <row r="440" spans="1:41">
      <c r="A440" s="587">
        <f t="shared" si="68"/>
        <v>437</v>
      </c>
      <c r="B440" s="330" t="s">
        <v>1643</v>
      </c>
      <c r="C440" s="330" t="s">
        <v>3838</v>
      </c>
      <c r="D440" s="330" t="s">
        <v>1655</v>
      </c>
      <c r="E440" s="330" t="s">
        <v>1684</v>
      </c>
      <c r="F440" s="330" t="s">
        <v>1786</v>
      </c>
      <c r="G440" s="562">
        <v>1265</v>
      </c>
      <c r="H440" s="562">
        <v>813.33</v>
      </c>
      <c r="I440" s="562">
        <v>903.31</v>
      </c>
      <c r="J440" s="561" t="s">
        <v>1810</v>
      </c>
      <c r="K440" s="330" t="s">
        <v>3842</v>
      </c>
      <c r="L440" s="330" t="s">
        <v>3840</v>
      </c>
      <c r="M440" s="330" t="s">
        <v>3841</v>
      </c>
      <c r="N440" s="330" t="s">
        <v>12</v>
      </c>
      <c r="O440" s="395"/>
      <c r="P440" s="333">
        <v>7608451</v>
      </c>
      <c r="Q440" s="330" t="s">
        <v>1653</v>
      </c>
      <c r="R440" s="562">
        <v>0</v>
      </c>
      <c r="S440" s="333">
        <v>0</v>
      </c>
      <c r="T440" s="333">
        <v>-678076</v>
      </c>
      <c r="U440" s="333">
        <f t="shared" si="64"/>
        <v>-678076</v>
      </c>
      <c r="V440" s="333">
        <v>0</v>
      </c>
      <c r="W440" s="333">
        <v>0</v>
      </c>
      <c r="X440" s="333">
        <v>0</v>
      </c>
      <c r="Y440" s="333">
        <v>0</v>
      </c>
      <c r="Z440" s="333">
        <v>0</v>
      </c>
      <c r="AA440" s="333">
        <v>0</v>
      </c>
      <c r="AB440" s="333">
        <v>0</v>
      </c>
      <c r="AC440" s="333">
        <v>-9523.81</v>
      </c>
      <c r="AD440" s="333">
        <v>0</v>
      </c>
      <c r="AE440" s="333"/>
      <c r="AF440" s="333"/>
      <c r="AG440" s="333">
        <f t="shared" si="65"/>
        <v>-687599.81</v>
      </c>
      <c r="AH440" s="330"/>
      <c r="AI440" s="330">
        <v>9524</v>
      </c>
      <c r="AJ440" s="396">
        <f t="shared" si="66"/>
        <v>-687599.81</v>
      </c>
      <c r="AK440" s="563"/>
      <c r="AL440" s="285">
        <f t="shared" si="71"/>
        <v>0.19000000000050932</v>
      </c>
      <c r="AM440" s="286"/>
      <c r="AO440" s="330" t="s">
        <v>3842</v>
      </c>
    </row>
    <row r="441" spans="1:41">
      <c r="A441" s="587">
        <f t="shared" si="68"/>
        <v>438</v>
      </c>
      <c r="B441" s="330" t="s">
        <v>1643</v>
      </c>
      <c r="C441" s="330" t="s">
        <v>3843</v>
      </c>
      <c r="D441" s="330" t="s">
        <v>1669</v>
      </c>
      <c r="E441" s="330" t="s">
        <v>2237</v>
      </c>
      <c r="F441" s="330" t="s">
        <v>1671</v>
      </c>
      <c r="G441" s="562">
        <v>1787</v>
      </c>
      <c r="H441" s="562">
        <v>1138.51</v>
      </c>
      <c r="I441" s="562">
        <v>1276.29</v>
      </c>
      <c r="J441" s="561" t="s">
        <v>1679</v>
      </c>
      <c r="K441" s="330" t="s">
        <v>3844</v>
      </c>
      <c r="L441" s="330" t="s">
        <v>3845</v>
      </c>
      <c r="M441" s="330" t="s">
        <v>3846</v>
      </c>
      <c r="N441" s="330" t="s">
        <v>3847</v>
      </c>
      <c r="O441" s="395">
        <v>45474</v>
      </c>
      <c r="P441" s="333">
        <v>12072000</v>
      </c>
      <c r="Q441" s="330" t="s">
        <v>1653</v>
      </c>
      <c r="R441" s="562">
        <v>0</v>
      </c>
      <c r="S441" s="333">
        <v>0</v>
      </c>
      <c r="T441" s="333">
        <v>-3802680</v>
      </c>
      <c r="U441" s="333">
        <f t="shared" si="64"/>
        <v>-3802680</v>
      </c>
      <c r="V441" s="333">
        <v>0</v>
      </c>
      <c r="W441" s="333">
        <v>0</v>
      </c>
      <c r="X441" s="333">
        <v>0</v>
      </c>
      <c r="Y441" s="333">
        <v>0</v>
      </c>
      <c r="Z441" s="333">
        <v>0</v>
      </c>
      <c r="AA441" s="333">
        <v>0</v>
      </c>
      <c r="AB441" s="333">
        <v>0</v>
      </c>
      <c r="AC441" s="333">
        <v>181080</v>
      </c>
      <c r="AD441" s="333">
        <v>0</v>
      </c>
      <c r="AE441" s="333"/>
      <c r="AF441" s="333"/>
      <c r="AG441" s="333">
        <f t="shared" si="65"/>
        <v>-3621600</v>
      </c>
      <c r="AH441" s="330"/>
      <c r="AI441" s="330">
        <v>-181080</v>
      </c>
      <c r="AJ441" s="396">
        <f t="shared" si="66"/>
        <v>-3621600</v>
      </c>
      <c r="AK441" s="563"/>
      <c r="AL441" s="285">
        <f t="shared" si="71"/>
        <v>0</v>
      </c>
      <c r="AM441" s="286"/>
      <c r="AO441" s="330" t="s">
        <v>3844</v>
      </c>
    </row>
    <row r="442" spans="1:41">
      <c r="A442" s="587">
        <f t="shared" si="68"/>
        <v>439</v>
      </c>
      <c r="B442" s="330" t="s">
        <v>1643</v>
      </c>
      <c r="C442" s="330" t="s">
        <v>3848</v>
      </c>
      <c r="D442" s="330" t="s">
        <v>1655</v>
      </c>
      <c r="E442" s="330" t="s">
        <v>1923</v>
      </c>
      <c r="F442" s="330" t="s">
        <v>1647</v>
      </c>
      <c r="G442" s="562">
        <v>1114</v>
      </c>
      <c r="H442" s="562">
        <v>683.3</v>
      </c>
      <c r="I442" s="562">
        <v>795.57</v>
      </c>
      <c r="J442" s="561" t="s">
        <v>1648</v>
      </c>
      <c r="K442" s="330" t="s">
        <v>3849</v>
      </c>
      <c r="L442" s="330" t="s">
        <v>3850</v>
      </c>
      <c r="M442" s="330" t="s">
        <v>3851</v>
      </c>
      <c r="N442" s="330" t="s">
        <v>12</v>
      </c>
      <c r="O442" s="395"/>
      <c r="P442" s="333">
        <v>6982143</v>
      </c>
      <c r="Q442" s="330" t="s">
        <v>1653</v>
      </c>
      <c r="R442" s="562">
        <v>0</v>
      </c>
      <c r="S442" s="333">
        <v>0</v>
      </c>
      <c r="T442" s="333">
        <v>-1194937.9999999998</v>
      </c>
      <c r="U442" s="333">
        <f t="shared" si="64"/>
        <v>-1194937.9999999998</v>
      </c>
      <c r="V442" s="333">
        <v>0</v>
      </c>
      <c r="W442" s="333">
        <v>0</v>
      </c>
      <c r="X442" s="333">
        <v>0</v>
      </c>
      <c r="Y442" s="333">
        <v>0</v>
      </c>
      <c r="Z442" s="333">
        <v>0</v>
      </c>
      <c r="AA442" s="333">
        <v>0</v>
      </c>
      <c r="AB442" s="333">
        <v>0</v>
      </c>
      <c r="AC442" s="333">
        <v>0</v>
      </c>
      <c r="AD442" s="333">
        <v>0</v>
      </c>
      <c r="AE442" s="333"/>
      <c r="AF442" s="333"/>
      <c r="AG442" s="333">
        <f t="shared" si="65"/>
        <v>-1194937.9999999998</v>
      </c>
      <c r="AH442" s="330"/>
      <c r="AI442" s="330">
        <v>0</v>
      </c>
      <c r="AJ442" s="396">
        <f t="shared" si="66"/>
        <v>-1194937.9999999998</v>
      </c>
      <c r="AK442" s="563"/>
      <c r="AL442" s="285">
        <f t="shared" si="67"/>
        <v>0</v>
      </c>
      <c r="AM442" s="286"/>
      <c r="AO442" s="330" t="s">
        <v>3849</v>
      </c>
    </row>
    <row r="443" spans="1:41">
      <c r="A443" s="587">
        <f t="shared" si="68"/>
        <v>440</v>
      </c>
      <c r="B443" s="330" t="s">
        <v>1643</v>
      </c>
      <c r="C443" s="330" t="s">
        <v>3852</v>
      </c>
      <c r="D443" s="330" t="s">
        <v>1655</v>
      </c>
      <c r="E443" s="330" t="s">
        <v>1728</v>
      </c>
      <c r="F443" s="330" t="s">
        <v>1647</v>
      </c>
      <c r="G443" s="562">
        <v>1012</v>
      </c>
      <c r="H443" s="562">
        <v>653.59</v>
      </c>
      <c r="I443" s="562">
        <v>723.02</v>
      </c>
      <c r="J443" s="561" t="s">
        <v>1679</v>
      </c>
      <c r="K443" s="330" t="s">
        <v>3853</v>
      </c>
      <c r="L443" s="330" t="s">
        <v>3854</v>
      </c>
      <c r="M443" s="330" t="s">
        <v>3855</v>
      </c>
      <c r="N443" s="330" t="s">
        <v>12</v>
      </c>
      <c r="O443" s="395"/>
      <c r="P443" s="333">
        <v>6126095</v>
      </c>
      <c r="Q443" s="330" t="s">
        <v>1660</v>
      </c>
      <c r="R443" s="562">
        <v>0</v>
      </c>
      <c r="S443" s="333">
        <v>0</v>
      </c>
      <c r="T443" s="333">
        <v>-1134714</v>
      </c>
      <c r="U443" s="333">
        <f t="shared" si="64"/>
        <v>-1134714</v>
      </c>
      <c r="V443" s="333">
        <v>0</v>
      </c>
      <c r="W443" s="333">
        <v>0</v>
      </c>
      <c r="X443" s="333">
        <v>0</v>
      </c>
      <c r="Y443" s="333">
        <v>0</v>
      </c>
      <c r="Z443" s="333">
        <v>0</v>
      </c>
      <c r="AA443" s="333">
        <v>0</v>
      </c>
      <c r="AB443" s="333">
        <v>0</v>
      </c>
      <c r="AC443" s="333">
        <v>0</v>
      </c>
      <c r="AD443" s="333">
        <v>1034714.0000000001</v>
      </c>
      <c r="AE443" s="333"/>
      <c r="AF443" s="333"/>
      <c r="AG443" s="333">
        <f t="shared" si="65"/>
        <v>-99999.999999999884</v>
      </c>
      <c r="AH443" s="330"/>
      <c r="AI443" s="330">
        <v>0</v>
      </c>
      <c r="AJ443" s="396">
        <f t="shared" si="66"/>
        <v>-99999.999999999884</v>
      </c>
      <c r="AK443" s="563"/>
      <c r="AL443" s="285">
        <f>+AC443+AI443</f>
        <v>0</v>
      </c>
      <c r="AM443" s="286"/>
      <c r="AO443" s="330" t="s">
        <v>3853</v>
      </c>
    </row>
    <row r="444" spans="1:41">
      <c r="A444" s="587">
        <f t="shared" si="68"/>
        <v>441</v>
      </c>
      <c r="B444" s="330" t="s">
        <v>1643</v>
      </c>
      <c r="C444" s="330" t="s">
        <v>3856</v>
      </c>
      <c r="D444" s="330" t="s">
        <v>1645</v>
      </c>
      <c r="E444" s="330" t="s">
        <v>3654</v>
      </c>
      <c r="F444" s="330" t="s">
        <v>1671</v>
      </c>
      <c r="G444" s="562">
        <v>1375</v>
      </c>
      <c r="H444" s="562">
        <v>876.73</v>
      </c>
      <c r="I444" s="562">
        <v>982.22</v>
      </c>
      <c r="J444" s="561" t="s">
        <v>1648</v>
      </c>
      <c r="K444" s="330" t="s">
        <v>3857</v>
      </c>
      <c r="L444" s="330" t="s">
        <v>3858</v>
      </c>
      <c r="M444" s="330" t="s">
        <v>3859</v>
      </c>
      <c r="N444" s="330" t="s">
        <v>3860</v>
      </c>
      <c r="O444" s="395">
        <v>45443</v>
      </c>
      <c r="P444" s="333">
        <v>7741047</v>
      </c>
      <c r="Q444" s="330" t="s">
        <v>1653</v>
      </c>
      <c r="R444" s="562">
        <v>0</v>
      </c>
      <c r="S444" s="333">
        <v>0</v>
      </c>
      <c r="T444" s="333">
        <v>-2322312.2799999993</v>
      </c>
      <c r="U444" s="333">
        <f t="shared" si="64"/>
        <v>-2322312.2799999993</v>
      </c>
      <c r="V444" s="333">
        <v>0</v>
      </c>
      <c r="W444" s="333">
        <v>0</v>
      </c>
      <c r="X444" s="333">
        <v>0</v>
      </c>
      <c r="Y444" s="333">
        <v>0</v>
      </c>
      <c r="Z444" s="333">
        <v>0</v>
      </c>
      <c r="AA444" s="333">
        <v>0</v>
      </c>
      <c r="AB444" s="333">
        <v>0</v>
      </c>
      <c r="AC444" s="333">
        <v>0</v>
      </c>
      <c r="AD444" s="333">
        <v>0</v>
      </c>
      <c r="AE444" s="333"/>
      <c r="AF444" s="333"/>
      <c r="AG444" s="333">
        <f t="shared" si="65"/>
        <v>-2322312.2799999993</v>
      </c>
      <c r="AH444" s="330"/>
      <c r="AI444" s="330">
        <v>0</v>
      </c>
      <c r="AJ444" s="396">
        <f t="shared" si="66"/>
        <v>-2322312.2799999993</v>
      </c>
      <c r="AK444" s="563"/>
      <c r="AL444" s="285">
        <f t="shared" si="67"/>
        <v>0</v>
      </c>
      <c r="AM444" s="286"/>
      <c r="AO444" s="330" t="s">
        <v>3857</v>
      </c>
    </row>
    <row r="445" spans="1:41">
      <c r="A445" s="587">
        <f t="shared" si="68"/>
        <v>442</v>
      </c>
      <c r="B445" s="330" t="s">
        <v>1643</v>
      </c>
      <c r="C445" s="330" t="s">
        <v>3861</v>
      </c>
      <c r="D445" s="330" t="s">
        <v>1677</v>
      </c>
      <c r="E445" s="330" t="s">
        <v>1705</v>
      </c>
      <c r="F445" s="330" t="s">
        <v>1647</v>
      </c>
      <c r="G445" s="562">
        <v>1114</v>
      </c>
      <c r="H445" s="562">
        <v>683.3</v>
      </c>
      <c r="I445" s="562">
        <v>795.57</v>
      </c>
      <c r="J445" s="561" t="s">
        <v>1810</v>
      </c>
      <c r="K445" s="330" t="s">
        <v>3862</v>
      </c>
      <c r="L445" s="330" t="s">
        <v>3863</v>
      </c>
      <c r="M445" s="330" t="s">
        <v>3864</v>
      </c>
      <c r="N445" s="330" t="s">
        <v>12</v>
      </c>
      <c r="O445" s="395"/>
      <c r="P445" s="333">
        <v>6812476</v>
      </c>
      <c r="Q445" s="330" t="s">
        <v>1660</v>
      </c>
      <c r="R445" s="562">
        <v>0</v>
      </c>
      <c r="S445" s="333">
        <v>0</v>
      </c>
      <c r="T445" s="333">
        <v>-99000.000000000058</v>
      </c>
      <c r="U445" s="333">
        <f t="shared" si="64"/>
        <v>-99000.000000000058</v>
      </c>
      <c r="V445" s="333">
        <v>99000</v>
      </c>
      <c r="W445" s="333">
        <v>0</v>
      </c>
      <c r="X445" s="333">
        <v>0</v>
      </c>
      <c r="Y445" s="333">
        <v>0</v>
      </c>
      <c r="Z445" s="333">
        <v>0</v>
      </c>
      <c r="AA445" s="333">
        <v>0</v>
      </c>
      <c r="AB445" s="333">
        <v>0</v>
      </c>
      <c r="AC445" s="333">
        <v>0</v>
      </c>
      <c r="AD445" s="333">
        <v>0</v>
      </c>
      <c r="AE445" s="333"/>
      <c r="AF445" s="333"/>
      <c r="AG445" s="333">
        <f t="shared" si="65"/>
        <v>-5.8207660913467407E-11</v>
      </c>
      <c r="AH445" s="330"/>
      <c r="AI445" s="330">
        <v>0</v>
      </c>
      <c r="AJ445" s="396">
        <f t="shared" si="66"/>
        <v>-5.8207660913467407E-11</v>
      </c>
      <c r="AK445" s="563"/>
      <c r="AL445" s="285">
        <f t="shared" si="67"/>
        <v>0</v>
      </c>
      <c r="AM445" s="286"/>
      <c r="AO445" s="330" t="s">
        <v>3862</v>
      </c>
    </row>
    <row r="446" spans="1:41">
      <c r="A446" s="587">
        <f t="shared" si="68"/>
        <v>443</v>
      </c>
      <c r="B446" s="330" t="s">
        <v>1643</v>
      </c>
      <c r="C446" s="330" t="s">
        <v>3865</v>
      </c>
      <c r="D446" s="330" t="s">
        <v>1669</v>
      </c>
      <c r="E446" s="330" t="s">
        <v>2404</v>
      </c>
      <c r="F446" s="330" t="s">
        <v>1671</v>
      </c>
      <c r="G446" s="562">
        <v>1787</v>
      </c>
      <c r="H446" s="562">
        <v>1138.51</v>
      </c>
      <c r="I446" s="562">
        <v>1276.29</v>
      </c>
      <c r="J446" s="561" t="s">
        <v>1810</v>
      </c>
      <c r="K446" s="330" t="s">
        <v>3866</v>
      </c>
      <c r="L446" s="330" t="s">
        <v>3867</v>
      </c>
      <c r="M446" s="330" t="s">
        <v>3868</v>
      </c>
      <c r="N446" s="330" t="s">
        <v>3869</v>
      </c>
      <c r="O446" s="395">
        <v>45456</v>
      </c>
      <c r="P446" s="333">
        <v>10910666</v>
      </c>
      <c r="Q446" s="330" t="s">
        <v>1653</v>
      </c>
      <c r="R446" s="562">
        <v>0</v>
      </c>
      <c r="S446" s="333">
        <v>0</v>
      </c>
      <c r="T446" s="333">
        <v>-3331304.6599999997</v>
      </c>
      <c r="U446" s="333">
        <f t="shared" si="64"/>
        <v>-3331304.6599999997</v>
      </c>
      <c r="V446" s="333">
        <v>0</v>
      </c>
      <c r="W446" s="333">
        <v>0</v>
      </c>
      <c r="X446" s="333">
        <v>0</v>
      </c>
      <c r="Y446" s="333">
        <v>0</v>
      </c>
      <c r="Z446" s="333">
        <v>0</v>
      </c>
      <c r="AA446" s="333">
        <v>0</v>
      </c>
      <c r="AB446" s="333">
        <v>0</v>
      </c>
      <c r="AC446" s="333">
        <v>0</v>
      </c>
      <c r="AD446" s="333">
        <v>0</v>
      </c>
      <c r="AE446" s="333"/>
      <c r="AF446" s="333"/>
      <c r="AG446" s="333">
        <f t="shared" si="65"/>
        <v>-3331304.6599999997</v>
      </c>
      <c r="AH446" s="330"/>
      <c r="AI446" s="330">
        <v>0</v>
      </c>
      <c r="AJ446" s="396">
        <f t="shared" si="66"/>
        <v>-3331304.6599999997</v>
      </c>
      <c r="AK446" s="563"/>
      <c r="AL446" s="285">
        <f t="shared" si="67"/>
        <v>0</v>
      </c>
      <c r="AM446" s="286"/>
      <c r="AO446" s="330" t="s">
        <v>3866</v>
      </c>
    </row>
    <row r="447" spans="1:41">
      <c r="A447" s="587">
        <f t="shared" si="68"/>
        <v>444</v>
      </c>
      <c r="B447" s="330" t="s">
        <v>1643</v>
      </c>
      <c r="C447" s="330" t="s">
        <v>3870</v>
      </c>
      <c r="D447" s="330" t="s">
        <v>1677</v>
      </c>
      <c r="E447" s="330" t="s">
        <v>2269</v>
      </c>
      <c r="F447" s="330" t="s">
        <v>1647</v>
      </c>
      <c r="G447" s="562">
        <v>1114</v>
      </c>
      <c r="H447" s="562">
        <v>683.3</v>
      </c>
      <c r="I447" s="562">
        <v>795.57</v>
      </c>
      <c r="J447" s="561" t="s">
        <v>1810</v>
      </c>
      <c r="K447" s="330" t="s">
        <v>3871</v>
      </c>
      <c r="L447" s="330" t="s">
        <v>3872</v>
      </c>
      <c r="M447" s="330" t="s">
        <v>3873</v>
      </c>
      <c r="N447" s="330" t="s">
        <v>12</v>
      </c>
      <c r="O447" s="395"/>
      <c r="P447" s="333">
        <v>6892857</v>
      </c>
      <c r="Q447" s="330" t="s">
        <v>1660</v>
      </c>
      <c r="R447" s="562">
        <v>0</v>
      </c>
      <c r="S447" s="333">
        <v>0</v>
      </c>
      <c r="T447" s="333">
        <v>-795866.16</v>
      </c>
      <c r="U447" s="333">
        <f t="shared" si="64"/>
        <v>-795866.16</v>
      </c>
      <c r="V447" s="333">
        <v>805475.00000000012</v>
      </c>
      <c r="W447" s="333">
        <v>0</v>
      </c>
      <c r="X447" s="333">
        <v>0</v>
      </c>
      <c r="Y447" s="333">
        <v>0</v>
      </c>
      <c r="Z447" s="333">
        <v>0</v>
      </c>
      <c r="AA447" s="333">
        <v>0</v>
      </c>
      <c r="AB447" s="333">
        <v>0</v>
      </c>
      <c r="AC447" s="333">
        <v>-19217.64</v>
      </c>
      <c r="AD447" s="333">
        <v>0</v>
      </c>
      <c r="AE447" s="333"/>
      <c r="AF447" s="333"/>
      <c r="AG447" s="333">
        <f t="shared" si="65"/>
        <v>-9608.7999999999156</v>
      </c>
      <c r="AH447" s="330"/>
      <c r="AI447" s="330">
        <v>19217.64</v>
      </c>
      <c r="AJ447" s="396">
        <f t="shared" si="66"/>
        <v>-9608.7999999999156</v>
      </c>
      <c r="AK447" s="563"/>
      <c r="AL447" s="285">
        <f>+AC447+AI447</f>
        <v>0</v>
      </c>
      <c r="AM447" s="286"/>
      <c r="AO447" s="330" t="s">
        <v>3871</v>
      </c>
    </row>
    <row r="448" spans="1:41">
      <c r="A448" s="587">
        <f t="shared" si="68"/>
        <v>445</v>
      </c>
      <c r="B448" s="330" t="s">
        <v>1643</v>
      </c>
      <c r="C448" s="330" t="s">
        <v>3874</v>
      </c>
      <c r="D448" s="330" t="s">
        <v>1746</v>
      </c>
      <c r="E448" s="330" t="s">
        <v>1691</v>
      </c>
      <c r="F448" s="330" t="s">
        <v>1647</v>
      </c>
      <c r="G448" s="562">
        <v>1012</v>
      </c>
      <c r="H448" s="562">
        <v>653.59</v>
      </c>
      <c r="I448" s="562">
        <v>723.02</v>
      </c>
      <c r="J448" s="561" t="s">
        <v>1810</v>
      </c>
      <c r="K448" s="330" t="s">
        <v>3875</v>
      </c>
      <c r="L448" s="330" t="s">
        <v>3876</v>
      </c>
      <c r="M448" s="330" t="s">
        <v>3877</v>
      </c>
      <c r="N448" s="330" t="s">
        <v>3878</v>
      </c>
      <c r="O448" s="395">
        <v>45448</v>
      </c>
      <c r="P448" s="333">
        <v>5620476</v>
      </c>
      <c r="Q448" s="330" t="s">
        <v>1660</v>
      </c>
      <c r="R448" s="562">
        <v>0</v>
      </c>
      <c r="S448" s="333">
        <v>0</v>
      </c>
      <c r="T448" s="333">
        <v>0</v>
      </c>
      <c r="U448" s="333">
        <f t="shared" si="64"/>
        <v>0</v>
      </c>
      <c r="V448" s="333">
        <v>0</v>
      </c>
      <c r="W448" s="333">
        <v>0</v>
      </c>
      <c r="X448" s="333">
        <v>0</v>
      </c>
      <c r="Y448" s="333">
        <v>0</v>
      </c>
      <c r="Z448" s="333">
        <v>0</v>
      </c>
      <c r="AA448" s="333">
        <v>0</v>
      </c>
      <c r="AB448" s="333">
        <v>0</v>
      </c>
      <c r="AC448" s="333">
        <v>0</v>
      </c>
      <c r="AD448" s="333">
        <v>0</v>
      </c>
      <c r="AE448" s="333"/>
      <c r="AF448" s="333"/>
      <c r="AG448" s="333">
        <f t="shared" si="65"/>
        <v>0</v>
      </c>
      <c r="AH448" s="330"/>
      <c r="AI448" s="330">
        <v>0</v>
      </c>
      <c r="AJ448" s="396">
        <f t="shared" si="66"/>
        <v>0</v>
      </c>
      <c r="AK448" s="563"/>
      <c r="AL448" s="285">
        <f t="shared" si="67"/>
        <v>0</v>
      </c>
      <c r="AM448" s="286"/>
      <c r="AO448" s="330" t="s">
        <v>3875</v>
      </c>
    </row>
    <row r="449" spans="1:41">
      <c r="A449" s="587">
        <f t="shared" si="68"/>
        <v>446</v>
      </c>
      <c r="B449" s="330" t="s">
        <v>1643</v>
      </c>
      <c r="C449" s="330" t="s">
        <v>3879</v>
      </c>
      <c r="D449" s="330" t="s">
        <v>1704</v>
      </c>
      <c r="E449" s="330" t="s">
        <v>2907</v>
      </c>
      <c r="F449" s="330" t="s">
        <v>1647</v>
      </c>
      <c r="G449" s="562">
        <v>1012</v>
      </c>
      <c r="H449" s="562">
        <v>653.59</v>
      </c>
      <c r="I449" s="562">
        <v>723.02</v>
      </c>
      <c r="J449" s="561" t="s">
        <v>1679</v>
      </c>
      <c r="K449" s="330" t="s">
        <v>3880</v>
      </c>
      <c r="L449" s="330" t="s">
        <v>3876</v>
      </c>
      <c r="M449" s="330" t="s">
        <v>3877</v>
      </c>
      <c r="N449" s="330" t="s">
        <v>3878</v>
      </c>
      <c r="O449" s="395">
        <v>45448</v>
      </c>
      <c r="P449" s="333">
        <v>5776762</v>
      </c>
      <c r="Q449" s="330" t="s">
        <v>1653</v>
      </c>
      <c r="R449" s="562">
        <v>0</v>
      </c>
      <c r="S449" s="333">
        <v>0</v>
      </c>
      <c r="T449" s="333">
        <v>-1733128.5600000005</v>
      </c>
      <c r="U449" s="333">
        <f t="shared" si="64"/>
        <v>-1733128.5600000005</v>
      </c>
      <c r="V449" s="333">
        <v>-100</v>
      </c>
      <c r="W449" s="333">
        <v>0</v>
      </c>
      <c r="X449" s="333">
        <v>0</v>
      </c>
      <c r="Y449" s="333">
        <v>0</v>
      </c>
      <c r="Z449" s="333">
        <v>0</v>
      </c>
      <c r="AA449" s="333">
        <v>100</v>
      </c>
      <c r="AB449" s="333">
        <v>0</v>
      </c>
      <c r="AC449" s="333">
        <v>0</v>
      </c>
      <c r="AD449" s="333">
        <v>0</v>
      </c>
      <c r="AE449" s="333"/>
      <c r="AF449" s="333"/>
      <c r="AG449" s="333">
        <f t="shared" si="65"/>
        <v>-1733128.5600000005</v>
      </c>
      <c r="AH449" s="330"/>
      <c r="AI449" s="330">
        <v>0</v>
      </c>
      <c r="AJ449" s="396">
        <f t="shared" si="66"/>
        <v>-1733128.5600000005</v>
      </c>
      <c r="AK449" s="563"/>
      <c r="AL449" s="285">
        <f t="shared" si="67"/>
        <v>0</v>
      </c>
      <c r="AM449" s="286"/>
      <c r="AO449" s="330" t="s">
        <v>3880</v>
      </c>
    </row>
    <row r="450" spans="1:41">
      <c r="A450" s="587">
        <f t="shared" si="68"/>
        <v>447</v>
      </c>
      <c r="B450" s="330" t="s">
        <v>1643</v>
      </c>
      <c r="C450" s="330" t="s">
        <v>3881</v>
      </c>
      <c r="D450" s="330" t="s">
        <v>1704</v>
      </c>
      <c r="E450" s="330" t="s">
        <v>2353</v>
      </c>
      <c r="F450" s="330" t="s">
        <v>1647</v>
      </c>
      <c r="G450" s="562">
        <v>1375</v>
      </c>
      <c r="H450" s="562">
        <v>876.73</v>
      </c>
      <c r="I450" s="562">
        <v>982.22</v>
      </c>
      <c r="J450" s="561" t="s">
        <v>1679</v>
      </c>
      <c r="K450" s="330" t="s">
        <v>3882</v>
      </c>
      <c r="L450" s="330" t="s">
        <v>3883</v>
      </c>
      <c r="M450" s="330" t="s">
        <v>3884</v>
      </c>
      <c r="N450" s="330" t="s">
        <v>3885</v>
      </c>
      <c r="O450" s="395">
        <v>45579</v>
      </c>
      <c r="P450" s="333">
        <v>8166667</v>
      </c>
      <c r="Q450" s="330" t="s">
        <v>1653</v>
      </c>
      <c r="R450" s="562">
        <v>0</v>
      </c>
      <c r="S450" s="333">
        <v>0</v>
      </c>
      <c r="T450" s="333">
        <v>-2450399.9799999986</v>
      </c>
      <c r="U450" s="333">
        <f t="shared" si="64"/>
        <v>-2450399.9799999986</v>
      </c>
      <c r="V450" s="333">
        <v>0</v>
      </c>
      <c r="W450" s="333">
        <v>0</v>
      </c>
      <c r="X450" s="333">
        <v>0</v>
      </c>
      <c r="Y450" s="333">
        <v>0</v>
      </c>
      <c r="Z450" s="333">
        <v>0</v>
      </c>
      <c r="AA450" s="333">
        <v>0</v>
      </c>
      <c r="AB450" s="333">
        <v>0</v>
      </c>
      <c r="AC450" s="333">
        <v>0</v>
      </c>
      <c r="AD450" s="333">
        <v>0</v>
      </c>
      <c r="AE450" s="333"/>
      <c r="AF450" s="333"/>
      <c r="AG450" s="333">
        <f t="shared" si="65"/>
        <v>-2450399.9799999986</v>
      </c>
      <c r="AH450" s="330"/>
      <c r="AI450" s="330">
        <v>0</v>
      </c>
      <c r="AJ450" s="396">
        <f t="shared" si="66"/>
        <v>-2450399.9799999986</v>
      </c>
      <c r="AK450" s="563"/>
      <c r="AL450" s="285">
        <f t="shared" si="67"/>
        <v>0</v>
      </c>
      <c r="AM450" s="286"/>
      <c r="AO450" s="330" t="s">
        <v>3882</v>
      </c>
    </row>
    <row r="451" spans="1:41">
      <c r="A451" s="587">
        <f t="shared" si="68"/>
        <v>448</v>
      </c>
      <c r="B451" s="330" t="s">
        <v>1643</v>
      </c>
      <c r="C451" s="330" t="s">
        <v>3886</v>
      </c>
      <c r="D451" s="330" t="s">
        <v>1677</v>
      </c>
      <c r="E451" s="330" t="s">
        <v>2486</v>
      </c>
      <c r="F451" s="330" t="s">
        <v>1647</v>
      </c>
      <c r="G451" s="562">
        <v>1114</v>
      </c>
      <c r="H451" s="562">
        <v>683.3</v>
      </c>
      <c r="I451" s="562">
        <v>795.57</v>
      </c>
      <c r="J451" s="561" t="s">
        <v>1810</v>
      </c>
      <c r="K451" s="330" t="s">
        <v>3887</v>
      </c>
      <c r="L451" s="330" t="s">
        <v>3888</v>
      </c>
      <c r="M451" s="330" t="s">
        <v>3889</v>
      </c>
      <c r="N451" s="330" t="s">
        <v>12</v>
      </c>
      <c r="O451" s="395"/>
      <c r="P451" s="333">
        <v>6937428</v>
      </c>
      <c r="Q451" s="330" t="s">
        <v>1653</v>
      </c>
      <c r="R451" s="562">
        <v>0</v>
      </c>
      <c r="S451" s="333">
        <v>0</v>
      </c>
      <c r="T451" s="333">
        <v>-521000.00000000012</v>
      </c>
      <c r="U451" s="333">
        <f t="shared" si="64"/>
        <v>-521000.00000000012</v>
      </c>
      <c r="V451" s="333">
        <v>0</v>
      </c>
      <c r="W451" s="333">
        <v>0</v>
      </c>
      <c r="X451" s="333">
        <v>0</v>
      </c>
      <c r="Y451" s="333">
        <v>0</v>
      </c>
      <c r="Z451" s="333">
        <v>0</v>
      </c>
      <c r="AA451" s="333">
        <v>0</v>
      </c>
      <c r="AB451" s="333">
        <v>0</v>
      </c>
      <c r="AC451" s="333">
        <v>0</v>
      </c>
      <c r="AD451" s="333">
        <v>0</v>
      </c>
      <c r="AE451" s="333"/>
      <c r="AF451" s="333"/>
      <c r="AG451" s="333">
        <f t="shared" si="65"/>
        <v>-521000.00000000012</v>
      </c>
      <c r="AH451" s="330"/>
      <c r="AI451" s="330">
        <v>0</v>
      </c>
      <c r="AJ451" s="396">
        <f t="shared" si="66"/>
        <v>-521000.00000000012</v>
      </c>
      <c r="AK451" s="563"/>
      <c r="AL451" s="285">
        <f t="shared" si="67"/>
        <v>0</v>
      </c>
      <c r="AM451" s="286"/>
      <c r="AO451" s="330" t="s">
        <v>3887</v>
      </c>
    </row>
    <row r="452" spans="1:41">
      <c r="A452" s="587">
        <f t="shared" si="68"/>
        <v>449</v>
      </c>
      <c r="B452" s="330" t="s">
        <v>1643</v>
      </c>
      <c r="C452" s="330" t="s">
        <v>3890</v>
      </c>
      <c r="D452" s="330" t="s">
        <v>1704</v>
      </c>
      <c r="E452" s="330" t="s">
        <v>2594</v>
      </c>
      <c r="F452" s="330" t="s">
        <v>1647</v>
      </c>
      <c r="G452" s="562">
        <v>1114</v>
      </c>
      <c r="H452" s="562">
        <v>683.3</v>
      </c>
      <c r="I452" s="562">
        <v>795.57</v>
      </c>
      <c r="J452" s="561" t="s">
        <v>1810</v>
      </c>
      <c r="K452" s="330" t="s">
        <v>3891</v>
      </c>
      <c r="L452" s="330" t="s">
        <v>3892</v>
      </c>
      <c r="M452" s="330" t="s">
        <v>3893</v>
      </c>
      <c r="N452" s="330" t="s">
        <v>3894</v>
      </c>
      <c r="O452" s="395">
        <v>45449</v>
      </c>
      <c r="P452" s="333">
        <v>6357143</v>
      </c>
      <c r="Q452" s="330" t="s">
        <v>1653</v>
      </c>
      <c r="R452" s="562">
        <v>0</v>
      </c>
      <c r="S452" s="333">
        <v>0</v>
      </c>
      <c r="T452" s="333">
        <v>-1871715.2700000005</v>
      </c>
      <c r="U452" s="333">
        <f t="shared" ref="U452:U515" si="72">SUM(R452:T452)</f>
        <v>-1871715.2700000005</v>
      </c>
      <c r="V452" s="333">
        <v>-99000</v>
      </c>
      <c r="W452" s="333">
        <v>0</v>
      </c>
      <c r="X452" s="333">
        <v>0</v>
      </c>
      <c r="Y452" s="333">
        <v>0</v>
      </c>
      <c r="Z452" s="333">
        <v>0</v>
      </c>
      <c r="AA452" s="333">
        <v>0</v>
      </c>
      <c r="AB452" s="333">
        <v>0</v>
      </c>
      <c r="AC452" s="333">
        <v>0</v>
      </c>
      <c r="AD452" s="333">
        <v>0</v>
      </c>
      <c r="AE452" s="333"/>
      <c r="AF452" s="333"/>
      <c r="AG452" s="333">
        <f t="shared" ref="AG452:AG515" si="73">SUM(U452:AF452)</f>
        <v>-1970715.2700000005</v>
      </c>
      <c r="AH452" s="330"/>
      <c r="AI452" s="330">
        <v>0</v>
      </c>
      <c r="AJ452" s="396">
        <f t="shared" si="66"/>
        <v>-1970715.2700000005</v>
      </c>
      <c r="AK452" s="563"/>
      <c r="AL452" s="285">
        <f t="shared" si="67"/>
        <v>0</v>
      </c>
      <c r="AM452" s="286"/>
      <c r="AO452" s="330" t="s">
        <v>3891</v>
      </c>
    </row>
    <row r="453" spans="1:41">
      <c r="A453" s="587">
        <f t="shared" si="68"/>
        <v>450</v>
      </c>
      <c r="B453" s="330" t="s">
        <v>1643</v>
      </c>
      <c r="C453" s="330" t="s">
        <v>3895</v>
      </c>
      <c r="D453" s="330" t="s">
        <v>1662</v>
      </c>
      <c r="E453" s="330" t="s">
        <v>2572</v>
      </c>
      <c r="F453" s="330" t="s">
        <v>1647</v>
      </c>
      <c r="G453" s="562">
        <v>1012</v>
      </c>
      <c r="H453" s="562">
        <v>653.59</v>
      </c>
      <c r="I453" s="562">
        <v>723.02</v>
      </c>
      <c r="J453" s="561" t="s">
        <v>1648</v>
      </c>
      <c r="K453" s="330" t="s">
        <v>3896</v>
      </c>
      <c r="L453" s="330" t="s">
        <v>3897</v>
      </c>
      <c r="M453" s="330" t="s">
        <v>3898</v>
      </c>
      <c r="N453" s="330" t="s">
        <v>3899</v>
      </c>
      <c r="O453" s="395">
        <v>45440</v>
      </c>
      <c r="P453" s="333">
        <v>5776762</v>
      </c>
      <c r="Q453" s="330" t="s">
        <v>1653</v>
      </c>
      <c r="R453" s="562">
        <v>0</v>
      </c>
      <c r="S453" s="333">
        <v>0</v>
      </c>
      <c r="T453" s="333">
        <v>-1790796.1800000002</v>
      </c>
      <c r="U453" s="333">
        <f t="shared" si="72"/>
        <v>-1790796.1800000002</v>
      </c>
      <c r="V453" s="333">
        <v>0</v>
      </c>
      <c r="W453" s="333">
        <v>0</v>
      </c>
      <c r="X453" s="333">
        <v>0</v>
      </c>
      <c r="Y453" s="333">
        <v>0</v>
      </c>
      <c r="Z453" s="333">
        <v>0</v>
      </c>
      <c r="AA453" s="333">
        <v>0</v>
      </c>
      <c r="AB453" s="333">
        <v>0</v>
      </c>
      <c r="AC453" s="333">
        <v>0</v>
      </c>
      <c r="AD453" s="333">
        <v>0</v>
      </c>
      <c r="AE453" s="333"/>
      <c r="AF453" s="333"/>
      <c r="AG453" s="333">
        <f t="shared" si="73"/>
        <v>-1790796.1800000002</v>
      </c>
      <c r="AH453" s="330"/>
      <c r="AI453" s="330">
        <v>0</v>
      </c>
      <c r="AJ453" s="396">
        <f t="shared" ref="AJ453:AJ516" si="74">SUM(U453:AE453)</f>
        <v>-1790796.1800000002</v>
      </c>
      <c r="AK453" s="563"/>
      <c r="AL453" s="285">
        <f t="shared" ref="AL453:AL516" si="75">+AC453-AI453</f>
        <v>0</v>
      </c>
      <c r="AM453" s="286"/>
      <c r="AO453" s="330" t="s">
        <v>3896</v>
      </c>
    </row>
    <row r="454" spans="1:41">
      <c r="A454" s="587">
        <f t="shared" ref="A454:A517" si="76">A453+1</f>
        <v>451</v>
      </c>
      <c r="B454" s="330" t="s">
        <v>1643</v>
      </c>
      <c r="C454" s="330" t="s">
        <v>3900</v>
      </c>
      <c r="D454" s="330" t="s">
        <v>1655</v>
      </c>
      <c r="E454" s="330" t="s">
        <v>2002</v>
      </c>
      <c r="F454" s="330" t="s">
        <v>1647</v>
      </c>
      <c r="G454" s="562">
        <v>1114</v>
      </c>
      <c r="H454" s="562">
        <v>683.3</v>
      </c>
      <c r="I454" s="562">
        <v>795.57</v>
      </c>
      <c r="J454" s="561" t="s">
        <v>1679</v>
      </c>
      <c r="K454" s="330" t="s">
        <v>3901</v>
      </c>
      <c r="L454" s="330" t="s">
        <v>3902</v>
      </c>
      <c r="M454" s="330" t="s">
        <v>3903</v>
      </c>
      <c r="N454" s="330" t="s">
        <v>12</v>
      </c>
      <c r="O454" s="395"/>
      <c r="P454" s="333">
        <v>7045000</v>
      </c>
      <c r="Q454" s="330" t="s">
        <v>1660</v>
      </c>
      <c r="R454" s="562">
        <v>0</v>
      </c>
      <c r="S454" s="333">
        <v>0</v>
      </c>
      <c r="T454" s="333">
        <v>-664150</v>
      </c>
      <c r="U454" s="333">
        <f t="shared" si="72"/>
        <v>-664150</v>
      </c>
      <c r="V454" s="333">
        <v>664150</v>
      </c>
      <c r="W454" s="333">
        <v>0</v>
      </c>
      <c r="X454" s="333">
        <v>0</v>
      </c>
      <c r="Y454" s="333">
        <v>0</v>
      </c>
      <c r="Z454" s="333">
        <v>0</v>
      </c>
      <c r="AA454" s="333">
        <v>0</v>
      </c>
      <c r="AB454" s="333">
        <v>0</v>
      </c>
      <c r="AC454" s="333">
        <v>0</v>
      </c>
      <c r="AD454" s="333">
        <v>0</v>
      </c>
      <c r="AE454" s="333"/>
      <c r="AF454" s="333"/>
      <c r="AG454" s="333">
        <f t="shared" si="73"/>
        <v>0</v>
      </c>
      <c r="AH454" s="330"/>
      <c r="AI454" s="330">
        <v>0</v>
      </c>
      <c r="AJ454" s="396">
        <f t="shared" si="74"/>
        <v>0</v>
      </c>
      <c r="AK454" s="563"/>
      <c r="AL454" s="285">
        <f t="shared" si="75"/>
        <v>0</v>
      </c>
      <c r="AM454" s="286"/>
      <c r="AO454" s="330" t="s">
        <v>3901</v>
      </c>
    </row>
    <row r="455" spans="1:41">
      <c r="A455" s="587">
        <f t="shared" si="76"/>
        <v>452</v>
      </c>
      <c r="B455" s="330" t="s">
        <v>1643</v>
      </c>
      <c r="C455" s="330" t="s">
        <v>3904</v>
      </c>
      <c r="D455" s="330" t="s">
        <v>1662</v>
      </c>
      <c r="E455" s="330" t="s">
        <v>2981</v>
      </c>
      <c r="F455" s="330" t="s">
        <v>1647</v>
      </c>
      <c r="G455" s="562">
        <v>1114</v>
      </c>
      <c r="H455" s="562">
        <v>683.3</v>
      </c>
      <c r="I455" s="562">
        <v>795.57</v>
      </c>
      <c r="J455" s="561" t="s">
        <v>1648</v>
      </c>
      <c r="K455" s="330" t="s">
        <v>3905</v>
      </c>
      <c r="L455" s="330" t="s">
        <v>3906</v>
      </c>
      <c r="M455" s="330" t="s">
        <v>3907</v>
      </c>
      <c r="N455" s="330" t="s">
        <v>3908</v>
      </c>
      <c r="O455" s="395">
        <v>45439</v>
      </c>
      <c r="P455" s="333">
        <v>6304075</v>
      </c>
      <c r="Q455" s="330" t="s">
        <v>1653</v>
      </c>
      <c r="R455" s="562">
        <v>0</v>
      </c>
      <c r="S455" s="333">
        <v>0</v>
      </c>
      <c r="T455" s="333">
        <v>-1639056.6100000003</v>
      </c>
      <c r="U455" s="333">
        <f t="shared" si="72"/>
        <v>-1639056.6100000003</v>
      </c>
      <c r="V455" s="333">
        <v>-308062</v>
      </c>
      <c r="W455" s="333">
        <v>0</v>
      </c>
      <c r="X455" s="333">
        <v>0</v>
      </c>
      <c r="Y455" s="333">
        <v>0</v>
      </c>
      <c r="Z455" s="333">
        <v>0</v>
      </c>
      <c r="AA455" s="333">
        <v>0</v>
      </c>
      <c r="AB455" s="333">
        <v>0</v>
      </c>
      <c r="AC455" s="333">
        <v>4.0000000008149073E-2</v>
      </c>
      <c r="AD455" s="333">
        <v>0</v>
      </c>
      <c r="AE455" s="333"/>
      <c r="AF455" s="333"/>
      <c r="AG455" s="333">
        <f t="shared" si="73"/>
        <v>-1947118.5700000003</v>
      </c>
      <c r="AH455" s="330"/>
      <c r="AI455" s="330">
        <v>-3.999999999996362E-2</v>
      </c>
      <c r="AJ455" s="396">
        <f t="shared" si="74"/>
        <v>-1947118.5700000003</v>
      </c>
      <c r="AK455" s="563"/>
      <c r="AL455" s="285">
        <f t="shared" si="75"/>
        <v>8.0000000008112693E-2</v>
      </c>
      <c r="AM455" s="286"/>
      <c r="AO455" s="330" t="s">
        <v>3905</v>
      </c>
    </row>
    <row r="456" spans="1:41">
      <c r="A456" s="587">
        <f t="shared" si="76"/>
        <v>453</v>
      </c>
      <c r="B456" s="330" t="s">
        <v>1643</v>
      </c>
      <c r="C456" s="330" t="s">
        <v>3909</v>
      </c>
      <c r="D456" s="330" t="s">
        <v>1645</v>
      </c>
      <c r="E456" s="330" t="s">
        <v>1670</v>
      </c>
      <c r="F456" s="330" t="s">
        <v>1671</v>
      </c>
      <c r="G456" s="562">
        <v>1375</v>
      </c>
      <c r="H456" s="562">
        <v>876.73</v>
      </c>
      <c r="I456" s="562">
        <v>982.22</v>
      </c>
      <c r="J456" s="561" t="s">
        <v>1648</v>
      </c>
      <c r="K456" s="330" t="s">
        <v>3910</v>
      </c>
      <c r="L456" s="330" t="s">
        <v>3911</v>
      </c>
      <c r="M456" s="330" t="s">
        <v>3912</v>
      </c>
      <c r="N456" s="330" t="s">
        <v>3913</v>
      </c>
      <c r="O456" s="395">
        <v>45530</v>
      </c>
      <c r="P456" s="333">
        <v>8142857</v>
      </c>
      <c r="Q456" s="330" t="s">
        <v>1653</v>
      </c>
      <c r="R456" s="562">
        <v>0</v>
      </c>
      <c r="S456" s="333">
        <v>0</v>
      </c>
      <c r="T456" s="333">
        <v>-301286.1399999999</v>
      </c>
      <c r="U456" s="333">
        <f t="shared" si="72"/>
        <v>-301286.1399999999</v>
      </c>
      <c r="V456" s="333">
        <v>-2141568</v>
      </c>
      <c r="W456" s="333">
        <v>0</v>
      </c>
      <c r="X456" s="333">
        <v>0</v>
      </c>
      <c r="Y456" s="333">
        <v>0</v>
      </c>
      <c r="Z456" s="333">
        <v>0</v>
      </c>
      <c r="AA456" s="333">
        <v>0</v>
      </c>
      <c r="AB456" s="333">
        <v>0</v>
      </c>
      <c r="AC456" s="333">
        <v>0</v>
      </c>
      <c r="AD456" s="333">
        <v>0</v>
      </c>
      <c r="AE456" s="333"/>
      <c r="AF456" s="333"/>
      <c r="AG456" s="333">
        <f t="shared" si="73"/>
        <v>-2442854.1399999997</v>
      </c>
      <c r="AH456" s="330"/>
      <c r="AI456" s="330">
        <v>0</v>
      </c>
      <c r="AJ456" s="396">
        <f t="shared" si="74"/>
        <v>-2442854.1399999997</v>
      </c>
      <c r="AK456" s="563"/>
      <c r="AL456" s="285">
        <f t="shared" si="75"/>
        <v>0</v>
      </c>
      <c r="AM456" s="286"/>
      <c r="AO456" s="330" t="s">
        <v>3910</v>
      </c>
    </row>
    <row r="457" spans="1:41">
      <c r="A457" s="587">
        <f t="shared" si="76"/>
        <v>454</v>
      </c>
      <c r="B457" s="330" t="s">
        <v>1643</v>
      </c>
      <c r="C457" s="330" t="s">
        <v>3914</v>
      </c>
      <c r="D457" s="330" t="s">
        <v>1645</v>
      </c>
      <c r="E457" s="330" t="s">
        <v>2106</v>
      </c>
      <c r="F457" s="330" t="s">
        <v>1647</v>
      </c>
      <c r="G457" s="562">
        <v>1114</v>
      </c>
      <c r="H457" s="562">
        <v>683.3</v>
      </c>
      <c r="I457" s="562">
        <v>795.57</v>
      </c>
      <c r="J457" s="561" t="s">
        <v>1648</v>
      </c>
      <c r="K457" s="330" t="s">
        <v>3915</v>
      </c>
      <c r="L457" s="330" t="s">
        <v>3916</v>
      </c>
      <c r="M457" s="330" t="s">
        <v>3917</v>
      </c>
      <c r="N457" s="330" t="s">
        <v>3918</v>
      </c>
      <c r="O457" s="395">
        <v>45442</v>
      </c>
      <c r="P457" s="333">
        <v>6337489</v>
      </c>
      <c r="Q457" s="330" t="s">
        <v>1653</v>
      </c>
      <c r="R457" s="562">
        <v>0</v>
      </c>
      <c r="S457" s="333">
        <v>0</v>
      </c>
      <c r="T457" s="333">
        <v>-1894105.5499999998</v>
      </c>
      <c r="U457" s="333">
        <f t="shared" si="72"/>
        <v>-1894105.5499999998</v>
      </c>
      <c r="V457" s="333">
        <v>0</v>
      </c>
      <c r="W457" s="333">
        <v>0</v>
      </c>
      <c r="X457" s="333">
        <v>0</v>
      </c>
      <c r="Y457" s="333">
        <v>0</v>
      </c>
      <c r="Z457" s="333">
        <v>0</v>
      </c>
      <c r="AA457" s="333">
        <v>0</v>
      </c>
      <c r="AB457" s="333">
        <v>0</v>
      </c>
      <c r="AC457" s="333">
        <v>-7142</v>
      </c>
      <c r="AD457" s="333">
        <v>0</v>
      </c>
      <c r="AE457" s="333"/>
      <c r="AF457" s="333"/>
      <c r="AG457" s="333">
        <f t="shared" si="73"/>
        <v>-1901247.5499999998</v>
      </c>
      <c r="AH457" s="330"/>
      <c r="AI457" s="330">
        <v>7142</v>
      </c>
      <c r="AJ457" s="396">
        <f t="shared" si="74"/>
        <v>-1901247.5499999998</v>
      </c>
      <c r="AK457" s="563"/>
      <c r="AL457" s="285">
        <f t="shared" ref="AL457:AL458" si="77">+AC457+AI457</f>
        <v>0</v>
      </c>
      <c r="AM457" s="286"/>
      <c r="AO457" s="330" t="s">
        <v>3915</v>
      </c>
    </row>
    <row r="458" spans="1:41">
      <c r="A458" s="587">
        <f t="shared" si="76"/>
        <v>455</v>
      </c>
      <c r="B458" s="330" t="s">
        <v>1643</v>
      </c>
      <c r="C458" s="330" t="s">
        <v>3919</v>
      </c>
      <c r="D458" s="330" t="s">
        <v>1677</v>
      </c>
      <c r="E458" s="330" t="s">
        <v>1852</v>
      </c>
      <c r="F458" s="330" t="s">
        <v>1647</v>
      </c>
      <c r="G458" s="562">
        <v>1012</v>
      </c>
      <c r="H458" s="562">
        <v>653.59</v>
      </c>
      <c r="I458" s="562">
        <v>723.02</v>
      </c>
      <c r="J458" s="561" t="s">
        <v>1648</v>
      </c>
      <c r="K458" s="330" t="s">
        <v>3920</v>
      </c>
      <c r="L458" s="330" t="s">
        <v>3921</v>
      </c>
      <c r="M458" s="330" t="s">
        <v>3922</v>
      </c>
      <c r="N458" s="330" t="s">
        <v>12</v>
      </c>
      <c r="O458" s="395"/>
      <c r="P458" s="333">
        <v>6401714</v>
      </c>
      <c r="Q458" s="330" t="s">
        <v>1660</v>
      </c>
      <c r="R458" s="562">
        <v>0</v>
      </c>
      <c r="S458" s="333">
        <v>0</v>
      </c>
      <c r="T458" s="333">
        <v>-814300</v>
      </c>
      <c r="U458" s="333">
        <f t="shared" si="72"/>
        <v>-814300</v>
      </c>
      <c r="V458" s="333">
        <v>0</v>
      </c>
      <c r="W458" s="333">
        <v>0</v>
      </c>
      <c r="X458" s="333">
        <v>0</v>
      </c>
      <c r="Y458" s="333">
        <v>0</v>
      </c>
      <c r="Z458" s="333">
        <v>0</v>
      </c>
      <c r="AA458" s="333">
        <v>0</v>
      </c>
      <c r="AB458" s="333">
        <v>0</v>
      </c>
      <c r="AC458" s="333">
        <v>0</v>
      </c>
      <c r="AD458" s="333">
        <v>814300</v>
      </c>
      <c r="AE458" s="333"/>
      <c r="AF458" s="333"/>
      <c r="AG458" s="333">
        <f t="shared" si="73"/>
        <v>0</v>
      </c>
      <c r="AH458" s="330"/>
      <c r="AI458" s="330">
        <v>0</v>
      </c>
      <c r="AJ458" s="396">
        <f t="shared" si="74"/>
        <v>0</v>
      </c>
      <c r="AK458" s="563"/>
      <c r="AL458" s="285">
        <f t="shared" si="77"/>
        <v>0</v>
      </c>
      <c r="AM458" s="286"/>
      <c r="AO458" s="330" t="s">
        <v>3920</v>
      </c>
    </row>
    <row r="459" spans="1:41">
      <c r="A459" s="587">
        <f t="shared" si="76"/>
        <v>456</v>
      </c>
      <c r="B459" s="330" t="s">
        <v>1643</v>
      </c>
      <c r="C459" s="330" t="s">
        <v>2867</v>
      </c>
      <c r="D459" s="330" t="s">
        <v>1662</v>
      </c>
      <c r="E459" s="330" t="s">
        <v>1656</v>
      </c>
      <c r="F459" s="330" t="s">
        <v>1647</v>
      </c>
      <c r="G459" s="562">
        <v>1114</v>
      </c>
      <c r="H459" s="562">
        <v>683.3</v>
      </c>
      <c r="I459" s="562">
        <v>795.57</v>
      </c>
      <c r="J459" s="561" t="s">
        <v>1810</v>
      </c>
      <c r="K459" s="330" t="s">
        <v>3923</v>
      </c>
      <c r="L459" s="330" t="s">
        <v>3924</v>
      </c>
      <c r="M459" s="330" t="s">
        <v>3925</v>
      </c>
      <c r="N459" s="330" t="s">
        <v>2871</v>
      </c>
      <c r="O459" s="395">
        <v>45462</v>
      </c>
      <c r="P459" s="333">
        <v>6580285</v>
      </c>
      <c r="Q459" s="330" t="s">
        <v>1660</v>
      </c>
      <c r="R459" s="562">
        <v>0</v>
      </c>
      <c r="S459" s="333">
        <v>0</v>
      </c>
      <c r="T459" s="333">
        <v>-25000.000000000116</v>
      </c>
      <c r="U459" s="333">
        <f t="shared" si="72"/>
        <v>-25000.000000000116</v>
      </c>
      <c r="V459" s="333">
        <v>0</v>
      </c>
      <c r="W459" s="333">
        <v>0</v>
      </c>
      <c r="X459" s="333">
        <v>0</v>
      </c>
      <c r="Y459" s="333">
        <v>0</v>
      </c>
      <c r="Z459" s="333">
        <v>0</v>
      </c>
      <c r="AA459" s="333">
        <v>25000</v>
      </c>
      <c r="AB459" s="333">
        <v>0</v>
      </c>
      <c r="AC459" s="333">
        <v>0</v>
      </c>
      <c r="AD459" s="333">
        <v>0</v>
      </c>
      <c r="AE459" s="333"/>
      <c r="AF459" s="333"/>
      <c r="AG459" s="333">
        <f t="shared" si="73"/>
        <v>-1.1641532182693481E-10</v>
      </c>
      <c r="AH459" s="330"/>
      <c r="AI459" s="330">
        <v>0</v>
      </c>
      <c r="AJ459" s="396">
        <f t="shared" si="74"/>
        <v>-1.1641532182693481E-10</v>
      </c>
      <c r="AK459" s="563"/>
      <c r="AL459" s="285">
        <f t="shared" si="75"/>
        <v>0</v>
      </c>
      <c r="AM459" s="286"/>
      <c r="AO459" s="330" t="s">
        <v>3923</v>
      </c>
    </row>
    <row r="460" spans="1:41">
      <c r="A460" s="587">
        <f t="shared" si="76"/>
        <v>457</v>
      </c>
      <c r="B460" s="330" t="s">
        <v>1643</v>
      </c>
      <c r="C460" s="330" t="s">
        <v>3926</v>
      </c>
      <c r="D460" s="330" t="s">
        <v>1746</v>
      </c>
      <c r="E460" s="330" t="s">
        <v>3927</v>
      </c>
      <c r="F460" s="330" t="s">
        <v>1647</v>
      </c>
      <c r="G460" s="562">
        <v>1114</v>
      </c>
      <c r="H460" s="562">
        <v>683.3</v>
      </c>
      <c r="I460" s="562">
        <v>795.57</v>
      </c>
      <c r="J460" s="561" t="s">
        <v>1648</v>
      </c>
      <c r="K460" s="330" t="s">
        <v>3928</v>
      </c>
      <c r="L460" s="330" t="s">
        <v>3929</v>
      </c>
      <c r="M460" s="330" t="s">
        <v>3930</v>
      </c>
      <c r="N460" s="330" t="s">
        <v>3931</v>
      </c>
      <c r="O460" s="395">
        <v>45432</v>
      </c>
      <c r="P460" s="333">
        <v>6337489</v>
      </c>
      <c r="Q460" s="330" t="s">
        <v>1653</v>
      </c>
      <c r="R460" s="562">
        <v>0</v>
      </c>
      <c r="S460" s="333">
        <v>0</v>
      </c>
      <c r="T460" s="333">
        <v>-3654372.3000000007</v>
      </c>
      <c r="U460" s="333">
        <f t="shared" si="72"/>
        <v>-3654372.3000000007</v>
      </c>
      <c r="V460" s="333">
        <v>1846309</v>
      </c>
      <c r="W460" s="333">
        <v>0</v>
      </c>
      <c r="X460" s="333">
        <v>0</v>
      </c>
      <c r="Y460" s="333">
        <v>0</v>
      </c>
      <c r="Z460" s="333">
        <v>0</v>
      </c>
      <c r="AA460" s="333">
        <v>0</v>
      </c>
      <c r="AB460" s="333">
        <v>0</v>
      </c>
      <c r="AC460" s="333">
        <v>-12338</v>
      </c>
      <c r="AD460" s="333">
        <v>0</v>
      </c>
      <c r="AE460" s="333"/>
      <c r="AF460" s="333"/>
      <c r="AG460" s="333">
        <f t="shared" si="73"/>
        <v>-1820401.3000000007</v>
      </c>
      <c r="AH460" s="330"/>
      <c r="AI460" s="330">
        <v>12338</v>
      </c>
      <c r="AJ460" s="396">
        <f t="shared" si="74"/>
        <v>-1820401.3000000007</v>
      </c>
      <c r="AK460" s="563"/>
      <c r="AL460" s="285">
        <f>+AC460+AI460</f>
        <v>0</v>
      </c>
      <c r="AM460" s="286"/>
      <c r="AO460" s="330" t="s">
        <v>3928</v>
      </c>
    </row>
    <row r="461" spans="1:41">
      <c r="A461" s="587">
        <f t="shared" si="76"/>
        <v>458</v>
      </c>
      <c r="B461" s="330" t="s">
        <v>1643</v>
      </c>
      <c r="C461" s="330" t="s">
        <v>3932</v>
      </c>
      <c r="D461" s="330" t="s">
        <v>1662</v>
      </c>
      <c r="E461" s="330" t="s">
        <v>2264</v>
      </c>
      <c r="F461" s="330" t="s">
        <v>1647</v>
      </c>
      <c r="G461" s="562">
        <v>1114</v>
      </c>
      <c r="H461" s="562">
        <v>683.3</v>
      </c>
      <c r="I461" s="562">
        <v>795.57</v>
      </c>
      <c r="J461" s="561" t="s">
        <v>1648</v>
      </c>
      <c r="K461" s="330" t="s">
        <v>3933</v>
      </c>
      <c r="L461" s="330" t="s">
        <v>3934</v>
      </c>
      <c r="M461" s="330" t="s">
        <v>3935</v>
      </c>
      <c r="N461" s="330" t="s">
        <v>3936</v>
      </c>
      <c r="O461" s="395">
        <v>45435</v>
      </c>
      <c r="P461" s="333">
        <v>6304075</v>
      </c>
      <c r="Q461" s="330" t="s">
        <v>1653</v>
      </c>
      <c r="R461" s="562">
        <v>0</v>
      </c>
      <c r="S461" s="333">
        <v>0</v>
      </c>
      <c r="T461" s="333">
        <v>-3685409.8600000003</v>
      </c>
      <c r="U461" s="333">
        <f t="shared" si="72"/>
        <v>-3685409.8600000003</v>
      </c>
      <c r="V461" s="333">
        <v>1794186</v>
      </c>
      <c r="W461" s="333">
        <v>0</v>
      </c>
      <c r="X461" s="333">
        <v>0</v>
      </c>
      <c r="Y461" s="333">
        <v>0</v>
      </c>
      <c r="Z461" s="333">
        <v>0</v>
      </c>
      <c r="AA461" s="333">
        <v>0</v>
      </c>
      <c r="AB461" s="333">
        <v>0</v>
      </c>
      <c r="AC461" s="333">
        <v>0</v>
      </c>
      <c r="AD461" s="333">
        <v>0</v>
      </c>
      <c r="AE461" s="333"/>
      <c r="AF461" s="333"/>
      <c r="AG461" s="333">
        <f t="shared" si="73"/>
        <v>-1891223.8600000003</v>
      </c>
      <c r="AH461" s="330"/>
      <c r="AI461" s="330">
        <v>0</v>
      </c>
      <c r="AJ461" s="396">
        <f t="shared" si="74"/>
        <v>-1891223.8600000003</v>
      </c>
      <c r="AK461" s="563"/>
      <c r="AL461" s="285">
        <f t="shared" si="75"/>
        <v>0</v>
      </c>
      <c r="AM461" s="286"/>
      <c r="AO461" s="330" t="s">
        <v>3933</v>
      </c>
    </row>
    <row r="462" spans="1:41">
      <c r="A462" s="587">
        <f t="shared" si="76"/>
        <v>459</v>
      </c>
      <c r="B462" s="330" t="s">
        <v>1643</v>
      </c>
      <c r="C462" s="330" t="s">
        <v>3937</v>
      </c>
      <c r="D462" s="330" t="s">
        <v>1645</v>
      </c>
      <c r="E462" s="330" t="s">
        <v>1728</v>
      </c>
      <c r="F462" s="330" t="s">
        <v>1647</v>
      </c>
      <c r="G462" s="562">
        <v>1012</v>
      </c>
      <c r="H462" s="562">
        <v>653.59</v>
      </c>
      <c r="I462" s="562">
        <v>723.02</v>
      </c>
      <c r="J462" s="561" t="s">
        <v>1648</v>
      </c>
      <c r="K462" s="330" t="s">
        <v>3938</v>
      </c>
      <c r="L462" s="330" t="s">
        <v>3939</v>
      </c>
      <c r="M462" s="330" t="s">
        <v>3940</v>
      </c>
      <c r="N462" s="330" t="s">
        <v>3941</v>
      </c>
      <c r="O462" s="395">
        <v>45446</v>
      </c>
      <c r="P462" s="333">
        <v>5714010</v>
      </c>
      <c r="Q462" s="330" t="s">
        <v>1653</v>
      </c>
      <c r="R462" s="562">
        <v>0</v>
      </c>
      <c r="S462" s="333">
        <v>0</v>
      </c>
      <c r="T462" s="333">
        <v>-1707059.8399999999</v>
      </c>
      <c r="U462" s="333">
        <f t="shared" si="72"/>
        <v>-1707059.8399999999</v>
      </c>
      <c r="V462" s="333">
        <v>0</v>
      </c>
      <c r="W462" s="333">
        <v>0</v>
      </c>
      <c r="X462" s="333">
        <v>0</v>
      </c>
      <c r="Y462" s="333">
        <v>0</v>
      </c>
      <c r="Z462" s="333">
        <v>0</v>
      </c>
      <c r="AA462" s="333">
        <v>0</v>
      </c>
      <c r="AB462" s="333">
        <v>0</v>
      </c>
      <c r="AC462" s="333">
        <v>-7142</v>
      </c>
      <c r="AD462" s="333">
        <v>0</v>
      </c>
      <c r="AE462" s="333"/>
      <c r="AF462" s="333"/>
      <c r="AG462" s="333">
        <f t="shared" si="73"/>
        <v>-1714201.8399999999</v>
      </c>
      <c r="AH462" s="330"/>
      <c r="AI462" s="330">
        <v>7142</v>
      </c>
      <c r="AJ462" s="396">
        <f t="shared" si="74"/>
        <v>-1714201.8399999999</v>
      </c>
      <c r="AK462" s="563"/>
      <c r="AL462" s="285">
        <f>+AC462+AI462</f>
        <v>0</v>
      </c>
      <c r="AM462" s="286"/>
      <c r="AO462" s="330" t="s">
        <v>3938</v>
      </c>
    </row>
    <row r="463" spans="1:41">
      <c r="A463" s="587">
        <f t="shared" si="76"/>
        <v>460</v>
      </c>
      <c r="B463" s="330" t="s">
        <v>1643</v>
      </c>
      <c r="C463" s="330" t="s">
        <v>3942</v>
      </c>
      <c r="D463" s="330" t="s">
        <v>1746</v>
      </c>
      <c r="E463" s="330" t="s">
        <v>1897</v>
      </c>
      <c r="F463" s="330" t="s">
        <v>1647</v>
      </c>
      <c r="G463" s="562">
        <v>1114</v>
      </c>
      <c r="H463" s="562">
        <v>683.3</v>
      </c>
      <c r="I463" s="562">
        <v>795.57</v>
      </c>
      <c r="J463" s="561" t="s">
        <v>1648</v>
      </c>
      <c r="K463" s="330" t="s">
        <v>3943</v>
      </c>
      <c r="L463" s="330" t="s">
        <v>3944</v>
      </c>
      <c r="M463" s="330" t="s">
        <v>3945</v>
      </c>
      <c r="N463" s="330" t="s">
        <v>3946</v>
      </c>
      <c r="O463" s="395">
        <v>45442</v>
      </c>
      <c r="P463" s="333">
        <v>6248385</v>
      </c>
      <c r="Q463" s="330" t="s">
        <v>1653</v>
      </c>
      <c r="R463" s="562">
        <v>0</v>
      </c>
      <c r="S463" s="333">
        <v>0</v>
      </c>
      <c r="T463" s="333">
        <v>-1280919.0699999998</v>
      </c>
      <c r="U463" s="333">
        <f t="shared" si="72"/>
        <v>-1280919.0699999998</v>
      </c>
      <c r="V463" s="333">
        <v>-499832</v>
      </c>
      <c r="W463" s="333">
        <v>0</v>
      </c>
      <c r="X463" s="333">
        <v>0</v>
      </c>
      <c r="Y463" s="333">
        <v>0</v>
      </c>
      <c r="Z463" s="333">
        <v>0</v>
      </c>
      <c r="AA463" s="333">
        <v>0</v>
      </c>
      <c r="AB463" s="333">
        <v>0</v>
      </c>
      <c r="AC463" s="333">
        <v>0</v>
      </c>
      <c r="AD463" s="333">
        <v>0</v>
      </c>
      <c r="AE463" s="333"/>
      <c r="AF463" s="333"/>
      <c r="AG463" s="333">
        <f t="shared" si="73"/>
        <v>-1780751.0699999998</v>
      </c>
      <c r="AH463" s="330"/>
      <c r="AI463" s="330">
        <v>0</v>
      </c>
      <c r="AJ463" s="396">
        <f t="shared" si="74"/>
        <v>-1780751.0699999998</v>
      </c>
      <c r="AK463" s="563"/>
      <c r="AL463" s="285">
        <f t="shared" si="75"/>
        <v>0</v>
      </c>
      <c r="AM463" s="286"/>
      <c r="AO463" s="330" t="s">
        <v>3943</v>
      </c>
    </row>
    <row r="464" spans="1:41">
      <c r="A464" s="587">
        <f t="shared" si="76"/>
        <v>461</v>
      </c>
      <c r="B464" s="330" t="s">
        <v>1643</v>
      </c>
      <c r="C464" s="330" t="s">
        <v>3947</v>
      </c>
      <c r="D464" s="330" t="s">
        <v>1746</v>
      </c>
      <c r="E464" s="330" t="s">
        <v>1728</v>
      </c>
      <c r="F464" s="330" t="s">
        <v>1647</v>
      </c>
      <c r="G464" s="562">
        <v>1012</v>
      </c>
      <c r="H464" s="562">
        <v>653.59</v>
      </c>
      <c r="I464" s="562">
        <v>723.02</v>
      </c>
      <c r="J464" s="561" t="s">
        <v>1648</v>
      </c>
      <c r="K464" s="330" t="s">
        <v>3948</v>
      </c>
      <c r="L464" s="330" t="s">
        <v>3949</v>
      </c>
      <c r="M464" s="330" t="s">
        <v>3950</v>
      </c>
      <c r="N464" s="330" t="s">
        <v>3951</v>
      </c>
      <c r="O464" s="395">
        <v>45443</v>
      </c>
      <c r="P464" s="333">
        <v>5714010</v>
      </c>
      <c r="Q464" s="330" t="s">
        <v>1653</v>
      </c>
      <c r="R464" s="562">
        <v>0</v>
      </c>
      <c r="S464" s="333">
        <v>0</v>
      </c>
      <c r="T464" s="333">
        <v>-1714342.9399999997</v>
      </c>
      <c r="U464" s="333">
        <f t="shared" si="72"/>
        <v>-1714342.9399999997</v>
      </c>
      <c r="V464" s="333">
        <v>0</v>
      </c>
      <c r="W464" s="333">
        <v>0</v>
      </c>
      <c r="X464" s="333">
        <v>0</v>
      </c>
      <c r="Y464" s="333">
        <v>0</v>
      </c>
      <c r="Z464" s="333">
        <v>0</v>
      </c>
      <c r="AA464" s="333">
        <v>0</v>
      </c>
      <c r="AB464" s="333">
        <v>0</v>
      </c>
      <c r="AC464" s="333">
        <v>0</v>
      </c>
      <c r="AD464" s="333">
        <v>0</v>
      </c>
      <c r="AE464" s="333"/>
      <c r="AF464" s="333"/>
      <c r="AG464" s="333">
        <f t="shared" si="73"/>
        <v>-1714342.9399999997</v>
      </c>
      <c r="AH464" s="330"/>
      <c r="AI464" s="330">
        <v>0</v>
      </c>
      <c r="AJ464" s="396">
        <f t="shared" si="74"/>
        <v>-1714342.9399999997</v>
      </c>
      <c r="AK464" s="563"/>
      <c r="AL464" s="285">
        <f t="shared" ref="AL464:AL465" si="78">+AC464+AI464</f>
        <v>0</v>
      </c>
      <c r="AM464" s="286"/>
      <c r="AO464" s="330" t="s">
        <v>3948</v>
      </c>
    </row>
    <row r="465" spans="1:41">
      <c r="A465" s="587">
        <f t="shared" si="76"/>
        <v>462</v>
      </c>
      <c r="B465" s="330" t="s">
        <v>1643</v>
      </c>
      <c r="C465" s="330" t="s">
        <v>3952</v>
      </c>
      <c r="D465" s="330" t="s">
        <v>1704</v>
      </c>
      <c r="E465" s="330" t="s">
        <v>2028</v>
      </c>
      <c r="F465" s="330" t="s">
        <v>1647</v>
      </c>
      <c r="G465" s="562">
        <v>1012</v>
      </c>
      <c r="H465" s="562">
        <v>653.59</v>
      </c>
      <c r="I465" s="562">
        <v>723.02</v>
      </c>
      <c r="J465" s="561" t="s">
        <v>1648</v>
      </c>
      <c r="K465" s="330" t="s">
        <v>3953</v>
      </c>
      <c r="L465" s="330" t="s">
        <v>3954</v>
      </c>
      <c r="M465" s="330" t="s">
        <v>3955</v>
      </c>
      <c r="N465" s="330" t="s">
        <v>3956</v>
      </c>
      <c r="O465" s="395">
        <v>45457</v>
      </c>
      <c r="P465" s="333">
        <v>5776762</v>
      </c>
      <c r="Q465" s="330" t="s">
        <v>1653</v>
      </c>
      <c r="R465" s="562">
        <v>0</v>
      </c>
      <c r="S465" s="333">
        <v>0</v>
      </c>
      <c r="T465" s="333">
        <v>-1704456.56</v>
      </c>
      <c r="U465" s="333">
        <f t="shared" si="72"/>
        <v>-1704456.56</v>
      </c>
      <c r="V465" s="333">
        <v>0</v>
      </c>
      <c r="W465" s="333">
        <v>0</v>
      </c>
      <c r="X465" s="333">
        <v>0</v>
      </c>
      <c r="Y465" s="333">
        <v>0</v>
      </c>
      <c r="Z465" s="333">
        <v>0</v>
      </c>
      <c r="AA465" s="333">
        <v>0</v>
      </c>
      <c r="AB465" s="333">
        <v>0</v>
      </c>
      <c r="AC465" s="333">
        <v>-28571.37</v>
      </c>
      <c r="AD465" s="333">
        <v>0</v>
      </c>
      <c r="AE465" s="333"/>
      <c r="AF465" s="333"/>
      <c r="AG465" s="333">
        <f t="shared" si="73"/>
        <v>-1733027.9300000002</v>
      </c>
      <c r="AH465" s="330"/>
      <c r="AI465" s="330">
        <v>28571</v>
      </c>
      <c r="AJ465" s="396">
        <f t="shared" si="74"/>
        <v>-1733027.9300000002</v>
      </c>
      <c r="AK465" s="563"/>
      <c r="AL465" s="285">
        <f t="shared" si="78"/>
        <v>-0.36999999999898137</v>
      </c>
      <c r="AM465" s="286"/>
      <c r="AO465" s="330" t="s">
        <v>3953</v>
      </c>
    </row>
    <row r="466" spans="1:41">
      <c r="A466" s="587">
        <f t="shared" si="76"/>
        <v>463</v>
      </c>
      <c r="B466" s="330" t="s">
        <v>1643</v>
      </c>
      <c r="C466" s="330" t="s">
        <v>3957</v>
      </c>
      <c r="D466" s="330" t="s">
        <v>1677</v>
      </c>
      <c r="E466" s="330" t="s">
        <v>2606</v>
      </c>
      <c r="F466" s="330" t="s">
        <v>1647</v>
      </c>
      <c r="G466" s="562">
        <v>1012</v>
      </c>
      <c r="H466" s="562">
        <v>653.59</v>
      </c>
      <c r="I466" s="562">
        <v>723.02</v>
      </c>
      <c r="J466" s="561" t="s">
        <v>1648</v>
      </c>
      <c r="K466" s="330" t="s">
        <v>3958</v>
      </c>
      <c r="L466" s="330" t="s">
        <v>3959</v>
      </c>
      <c r="M466" s="330" t="s">
        <v>3960</v>
      </c>
      <c r="N466" s="330" t="s">
        <v>12</v>
      </c>
      <c r="O466" s="395"/>
      <c r="P466" s="333">
        <v>6044572</v>
      </c>
      <c r="Q466" s="330" t="s">
        <v>1660</v>
      </c>
      <c r="R466" s="562">
        <v>0</v>
      </c>
      <c r="S466" s="333">
        <v>0</v>
      </c>
      <c r="T466" s="333">
        <v>-150000</v>
      </c>
      <c r="U466" s="333">
        <f t="shared" si="72"/>
        <v>-150000</v>
      </c>
      <c r="V466" s="333">
        <v>150000</v>
      </c>
      <c r="W466" s="333">
        <v>0</v>
      </c>
      <c r="X466" s="333">
        <v>0</v>
      </c>
      <c r="Y466" s="333">
        <v>0</v>
      </c>
      <c r="Z466" s="333">
        <v>0</v>
      </c>
      <c r="AA466" s="333">
        <v>0</v>
      </c>
      <c r="AB466" s="333">
        <v>0</v>
      </c>
      <c r="AC466" s="333">
        <v>0</v>
      </c>
      <c r="AD466" s="333">
        <v>0</v>
      </c>
      <c r="AE466" s="333"/>
      <c r="AF466" s="333"/>
      <c r="AG466" s="333">
        <f t="shared" si="73"/>
        <v>0</v>
      </c>
      <c r="AH466" s="330"/>
      <c r="AI466" s="330">
        <v>0</v>
      </c>
      <c r="AJ466" s="396">
        <f t="shared" si="74"/>
        <v>0</v>
      </c>
      <c r="AK466" s="563"/>
      <c r="AL466" s="285">
        <f t="shared" si="75"/>
        <v>0</v>
      </c>
      <c r="AM466" s="286"/>
      <c r="AO466" s="330" t="s">
        <v>3958</v>
      </c>
    </row>
    <row r="467" spans="1:41">
      <c r="A467" s="587">
        <f t="shared" si="76"/>
        <v>464</v>
      </c>
      <c r="B467" s="330" t="s">
        <v>1643</v>
      </c>
      <c r="C467" s="330" t="s">
        <v>3961</v>
      </c>
      <c r="D467" s="330" t="s">
        <v>1662</v>
      </c>
      <c r="E467" s="330" t="s">
        <v>3962</v>
      </c>
      <c r="F467" s="330" t="s">
        <v>1671</v>
      </c>
      <c r="G467" s="562">
        <v>1375</v>
      </c>
      <c r="H467" s="562">
        <v>876.73</v>
      </c>
      <c r="I467" s="562">
        <v>982.22</v>
      </c>
      <c r="J467" s="561" t="s">
        <v>1648</v>
      </c>
      <c r="K467" s="330" t="s">
        <v>3963</v>
      </c>
      <c r="L467" s="330" t="s">
        <v>3964</v>
      </c>
      <c r="M467" s="330" t="s">
        <v>3965</v>
      </c>
      <c r="N467" s="330" t="s">
        <v>3966</v>
      </c>
      <c r="O467" s="395">
        <v>45435</v>
      </c>
      <c r="P467" s="333">
        <v>7762445</v>
      </c>
      <c r="Q467" s="330" t="s">
        <v>1653</v>
      </c>
      <c r="R467" s="562">
        <v>0</v>
      </c>
      <c r="S467" s="333">
        <v>0</v>
      </c>
      <c r="T467" s="333">
        <v>-2309511.3200000003</v>
      </c>
      <c r="U467" s="333">
        <f t="shared" si="72"/>
        <v>-2309511.3200000003</v>
      </c>
      <c r="V467" s="333">
        <v>0</v>
      </c>
      <c r="W467" s="333">
        <v>0</v>
      </c>
      <c r="X467" s="333">
        <v>0</v>
      </c>
      <c r="Y467" s="333">
        <v>0</v>
      </c>
      <c r="Z467" s="333">
        <v>0</v>
      </c>
      <c r="AA467" s="333">
        <v>0</v>
      </c>
      <c r="AB467" s="333">
        <v>0</v>
      </c>
      <c r="AC467" s="333">
        <v>-19220</v>
      </c>
      <c r="AD467" s="333">
        <v>0</v>
      </c>
      <c r="AE467" s="333"/>
      <c r="AF467" s="333"/>
      <c r="AG467" s="333">
        <f t="shared" si="73"/>
        <v>-2328731.3200000003</v>
      </c>
      <c r="AH467" s="330"/>
      <c r="AI467" s="330">
        <v>19220</v>
      </c>
      <c r="AJ467" s="396">
        <f t="shared" si="74"/>
        <v>-2328731.3200000003</v>
      </c>
      <c r="AK467" s="563"/>
      <c r="AL467" s="285">
        <f t="shared" ref="AL467:AL468" si="79">+AC467+AI467</f>
        <v>0</v>
      </c>
      <c r="AM467" s="286"/>
      <c r="AO467" s="330" t="s">
        <v>3963</v>
      </c>
    </row>
    <row r="468" spans="1:41">
      <c r="A468" s="587">
        <f t="shared" si="76"/>
        <v>465</v>
      </c>
      <c r="B468" s="330" t="s">
        <v>1643</v>
      </c>
      <c r="C468" s="330" t="s">
        <v>3967</v>
      </c>
      <c r="D468" s="330" t="s">
        <v>1662</v>
      </c>
      <c r="E468" s="330" t="s">
        <v>1775</v>
      </c>
      <c r="F468" s="330" t="s">
        <v>1671</v>
      </c>
      <c r="G468" s="562">
        <v>1498</v>
      </c>
      <c r="H468" s="562">
        <v>954.87</v>
      </c>
      <c r="I468" s="562">
        <v>1069.73</v>
      </c>
      <c r="J468" s="561" t="s">
        <v>1648</v>
      </c>
      <c r="K468" s="330" t="s">
        <v>3968</v>
      </c>
      <c r="L468" s="330" t="s">
        <v>3969</v>
      </c>
      <c r="M468" s="330" t="s">
        <v>3970</v>
      </c>
      <c r="N468" s="330" t="s">
        <v>3971</v>
      </c>
      <c r="O468" s="395">
        <v>45435</v>
      </c>
      <c r="P468" s="333">
        <v>8134869</v>
      </c>
      <c r="Q468" s="330" t="s">
        <v>1653</v>
      </c>
      <c r="R468" s="562">
        <v>0</v>
      </c>
      <c r="S468" s="333">
        <v>0</v>
      </c>
      <c r="T468" s="333">
        <v>-2433318.6500000008</v>
      </c>
      <c r="U468" s="333">
        <f t="shared" si="72"/>
        <v>-2433318.6500000008</v>
      </c>
      <c r="V468" s="333">
        <v>0</v>
      </c>
      <c r="W468" s="333">
        <v>0</v>
      </c>
      <c r="X468" s="333">
        <v>0</v>
      </c>
      <c r="Y468" s="333">
        <v>0</v>
      </c>
      <c r="Z468" s="333">
        <v>0</v>
      </c>
      <c r="AA468" s="333">
        <v>0</v>
      </c>
      <c r="AB468" s="333">
        <v>0</v>
      </c>
      <c r="AC468" s="333">
        <v>-7142</v>
      </c>
      <c r="AD468" s="333">
        <v>0</v>
      </c>
      <c r="AE468" s="333"/>
      <c r="AF468" s="333"/>
      <c r="AG468" s="333">
        <f t="shared" si="73"/>
        <v>-2440460.6500000008</v>
      </c>
      <c r="AH468" s="330"/>
      <c r="AI468" s="330">
        <v>7142</v>
      </c>
      <c r="AJ468" s="396">
        <f t="shared" si="74"/>
        <v>-2440460.6500000008</v>
      </c>
      <c r="AK468" s="563"/>
      <c r="AL468" s="285">
        <f t="shared" si="79"/>
        <v>0</v>
      </c>
      <c r="AM468" s="286"/>
      <c r="AO468" s="330" t="s">
        <v>3968</v>
      </c>
    </row>
    <row r="469" spans="1:41">
      <c r="A469" s="587">
        <f t="shared" si="76"/>
        <v>466</v>
      </c>
      <c r="B469" s="330" t="s">
        <v>1643</v>
      </c>
      <c r="C469" s="330" t="s">
        <v>3972</v>
      </c>
      <c r="D469" s="330" t="s">
        <v>1677</v>
      </c>
      <c r="E469" s="330" t="s">
        <v>2289</v>
      </c>
      <c r="F469" s="330" t="s">
        <v>1647</v>
      </c>
      <c r="G469" s="562">
        <v>1012</v>
      </c>
      <c r="H469" s="562">
        <v>653.59</v>
      </c>
      <c r="I469" s="562">
        <v>723.02</v>
      </c>
      <c r="J469" s="561" t="s">
        <v>1810</v>
      </c>
      <c r="K469" s="330" t="s">
        <v>3973</v>
      </c>
      <c r="L469" s="330" t="s">
        <v>3974</v>
      </c>
      <c r="M469" s="330" t="s">
        <v>3975</v>
      </c>
      <c r="N469" s="330" t="s">
        <v>12</v>
      </c>
      <c r="O469" s="395"/>
      <c r="P469" s="333">
        <v>6187429</v>
      </c>
      <c r="Q469" s="330" t="s">
        <v>1660</v>
      </c>
      <c r="R469" s="562">
        <v>0</v>
      </c>
      <c r="S469" s="333">
        <v>0</v>
      </c>
      <c r="T469" s="333">
        <v>-150000.00000000003</v>
      </c>
      <c r="U469" s="333">
        <f t="shared" si="72"/>
        <v>-150000.00000000003</v>
      </c>
      <c r="V469" s="333">
        <v>150000.00000000003</v>
      </c>
      <c r="W469" s="333">
        <v>0</v>
      </c>
      <c r="X469" s="333">
        <v>0</v>
      </c>
      <c r="Y469" s="333">
        <v>0</v>
      </c>
      <c r="Z469" s="333">
        <v>0</v>
      </c>
      <c r="AA469" s="333">
        <v>0</v>
      </c>
      <c r="AB469" s="333">
        <v>0</v>
      </c>
      <c r="AC469" s="333">
        <v>0</v>
      </c>
      <c r="AD469" s="333">
        <v>0</v>
      </c>
      <c r="AE469" s="333"/>
      <c r="AF469" s="333"/>
      <c r="AG469" s="333">
        <f t="shared" si="73"/>
        <v>0</v>
      </c>
      <c r="AH469" s="330"/>
      <c r="AI469" s="330">
        <v>0</v>
      </c>
      <c r="AJ469" s="396">
        <f t="shared" si="74"/>
        <v>0</v>
      </c>
      <c r="AK469" s="563"/>
      <c r="AL469" s="285">
        <f t="shared" si="75"/>
        <v>0</v>
      </c>
      <c r="AM469" s="286"/>
      <c r="AO469" s="330" t="s">
        <v>3973</v>
      </c>
    </row>
    <row r="470" spans="1:41">
      <c r="A470" s="587">
        <f t="shared" si="76"/>
        <v>467</v>
      </c>
      <c r="B470" s="330" t="s">
        <v>1643</v>
      </c>
      <c r="C470" s="330" t="s">
        <v>2341</v>
      </c>
      <c r="D470" s="330" t="s">
        <v>1669</v>
      </c>
      <c r="E470" s="330" t="s">
        <v>2085</v>
      </c>
      <c r="F470" s="330" t="s">
        <v>1671</v>
      </c>
      <c r="G470" s="562">
        <v>1787</v>
      </c>
      <c r="H470" s="562">
        <v>1138.51</v>
      </c>
      <c r="I470" s="562">
        <v>1276.29</v>
      </c>
      <c r="J470" s="561" t="s">
        <v>1648</v>
      </c>
      <c r="K470" s="330" t="s">
        <v>3976</v>
      </c>
      <c r="L470" s="330" t="s">
        <v>3977</v>
      </c>
      <c r="M470" s="330" t="s">
        <v>3978</v>
      </c>
      <c r="N470" s="330" t="s">
        <v>2345</v>
      </c>
      <c r="O470" s="395">
        <v>45441</v>
      </c>
      <c r="P470" s="333">
        <v>11133905</v>
      </c>
      <c r="Q470" s="330" t="s">
        <v>1660</v>
      </c>
      <c r="R470" s="562">
        <v>0</v>
      </c>
      <c r="S470" s="333">
        <v>0</v>
      </c>
      <c r="T470" s="333">
        <v>0</v>
      </c>
      <c r="U470" s="333">
        <f t="shared" si="72"/>
        <v>0</v>
      </c>
      <c r="V470" s="333">
        <v>0</v>
      </c>
      <c r="W470" s="333">
        <v>0</v>
      </c>
      <c r="X470" s="333">
        <v>0</v>
      </c>
      <c r="Y470" s="333">
        <v>0</v>
      </c>
      <c r="Z470" s="333">
        <v>0</v>
      </c>
      <c r="AA470" s="333">
        <v>0</v>
      </c>
      <c r="AB470" s="333">
        <v>0</v>
      </c>
      <c r="AC470" s="333">
        <v>0</v>
      </c>
      <c r="AD470" s="333">
        <v>0</v>
      </c>
      <c r="AE470" s="333"/>
      <c r="AF470" s="333"/>
      <c r="AG470" s="333">
        <f t="shared" si="73"/>
        <v>0</v>
      </c>
      <c r="AH470" s="330"/>
      <c r="AI470" s="330">
        <v>0</v>
      </c>
      <c r="AJ470" s="396">
        <f t="shared" si="74"/>
        <v>0</v>
      </c>
      <c r="AK470" s="563"/>
      <c r="AL470" s="285">
        <f t="shared" si="75"/>
        <v>0</v>
      </c>
      <c r="AM470" s="286"/>
      <c r="AO470" s="330" t="s">
        <v>3976</v>
      </c>
    </row>
    <row r="471" spans="1:41">
      <c r="A471" s="587">
        <f t="shared" si="76"/>
        <v>468</v>
      </c>
      <c r="B471" s="330" t="s">
        <v>1643</v>
      </c>
      <c r="C471" s="330" t="s">
        <v>3979</v>
      </c>
      <c r="D471" s="330" t="s">
        <v>1645</v>
      </c>
      <c r="E471" s="330" t="s">
        <v>1834</v>
      </c>
      <c r="F471" s="330" t="s">
        <v>1671</v>
      </c>
      <c r="G471" s="562">
        <v>1498</v>
      </c>
      <c r="H471" s="562">
        <v>954.87</v>
      </c>
      <c r="I471" s="562">
        <v>1069.73</v>
      </c>
      <c r="J471" s="561" t="s">
        <v>1648</v>
      </c>
      <c r="K471" s="330" t="s">
        <v>3980</v>
      </c>
      <c r="L471" s="330" t="s">
        <v>3981</v>
      </c>
      <c r="M471" s="330" t="s">
        <v>3982</v>
      </c>
      <c r="N471" s="330" t="s">
        <v>3983</v>
      </c>
      <c r="O471" s="395">
        <v>45461</v>
      </c>
      <c r="P471" s="333">
        <v>8857143</v>
      </c>
      <c r="Q471" s="330" t="s">
        <v>1653</v>
      </c>
      <c r="R471" s="562">
        <v>0</v>
      </c>
      <c r="S471" s="333">
        <v>0</v>
      </c>
      <c r="T471" s="333">
        <v>-2657141.2800000003</v>
      </c>
      <c r="U471" s="333">
        <f t="shared" si="72"/>
        <v>-2657141.2800000003</v>
      </c>
      <c r="V471" s="333">
        <v>0</v>
      </c>
      <c r="W471" s="333">
        <v>0</v>
      </c>
      <c r="X471" s="333">
        <v>0</v>
      </c>
      <c r="Y471" s="333">
        <v>0</v>
      </c>
      <c r="Z471" s="333">
        <v>0</v>
      </c>
      <c r="AA471" s="333">
        <v>0</v>
      </c>
      <c r="AB471" s="333">
        <v>0</v>
      </c>
      <c r="AC471" s="333">
        <v>0</v>
      </c>
      <c r="AD471" s="333">
        <v>0</v>
      </c>
      <c r="AE471" s="333"/>
      <c r="AF471" s="333"/>
      <c r="AG471" s="333">
        <f t="shared" si="73"/>
        <v>-2657141.2800000003</v>
      </c>
      <c r="AH471" s="330"/>
      <c r="AI471" s="330">
        <v>0</v>
      </c>
      <c r="AJ471" s="396">
        <f t="shared" si="74"/>
        <v>-2657141.2800000003</v>
      </c>
      <c r="AK471" s="563"/>
      <c r="AL471" s="285">
        <f t="shared" si="75"/>
        <v>0</v>
      </c>
      <c r="AM471" s="286"/>
      <c r="AO471" s="330" t="s">
        <v>3980</v>
      </c>
    </row>
    <row r="472" spans="1:41">
      <c r="A472" s="587">
        <f t="shared" si="76"/>
        <v>469</v>
      </c>
      <c r="B472" s="330" t="s">
        <v>1643</v>
      </c>
      <c r="C472" s="330" t="s">
        <v>3984</v>
      </c>
      <c r="D472" s="330" t="s">
        <v>1655</v>
      </c>
      <c r="E472" s="330" t="s">
        <v>2012</v>
      </c>
      <c r="F472" s="330" t="s">
        <v>1647</v>
      </c>
      <c r="G472" s="562">
        <v>1114</v>
      </c>
      <c r="H472" s="562">
        <v>683.3</v>
      </c>
      <c r="I472" s="562">
        <v>795.57</v>
      </c>
      <c r="J472" s="561" t="s">
        <v>1648</v>
      </c>
      <c r="K472" s="330" t="s">
        <v>3985</v>
      </c>
      <c r="L472" s="330" t="s">
        <v>3986</v>
      </c>
      <c r="M472" s="330" t="s">
        <v>3987</v>
      </c>
      <c r="N472" s="330" t="s">
        <v>12</v>
      </c>
      <c r="O472" s="395"/>
      <c r="P472" s="333">
        <v>6982095</v>
      </c>
      <c r="Q472" s="330" t="s">
        <v>1660</v>
      </c>
      <c r="R472" s="562">
        <v>0</v>
      </c>
      <c r="S472" s="333">
        <v>0</v>
      </c>
      <c r="T472" s="333">
        <v>-738800</v>
      </c>
      <c r="U472" s="333">
        <f t="shared" si="72"/>
        <v>-738800</v>
      </c>
      <c r="V472" s="333">
        <v>0</v>
      </c>
      <c r="W472" s="333">
        <v>0</v>
      </c>
      <c r="X472" s="333">
        <v>0</v>
      </c>
      <c r="Y472" s="333">
        <v>0</v>
      </c>
      <c r="Z472" s="333">
        <v>0</v>
      </c>
      <c r="AA472" s="333">
        <v>0</v>
      </c>
      <c r="AB472" s="333">
        <v>0</v>
      </c>
      <c r="AC472" s="333">
        <v>0</v>
      </c>
      <c r="AD472" s="333">
        <v>738800</v>
      </c>
      <c r="AE472" s="333"/>
      <c r="AF472" s="333"/>
      <c r="AG472" s="333">
        <f t="shared" si="73"/>
        <v>0</v>
      </c>
      <c r="AH472" s="330"/>
      <c r="AI472" s="330">
        <v>0</v>
      </c>
      <c r="AJ472" s="396">
        <f t="shared" si="74"/>
        <v>0</v>
      </c>
      <c r="AK472" s="563"/>
      <c r="AL472" s="285">
        <f t="shared" ref="AL472:AL476" si="80">+AC472+AI472</f>
        <v>0</v>
      </c>
      <c r="AM472" s="286"/>
      <c r="AO472" s="330" t="s">
        <v>3985</v>
      </c>
    </row>
    <row r="473" spans="1:41">
      <c r="A473" s="587">
        <f t="shared" si="76"/>
        <v>470</v>
      </c>
      <c r="B473" s="330" t="s">
        <v>1643</v>
      </c>
      <c r="C473" s="330" t="s">
        <v>3988</v>
      </c>
      <c r="D473" s="330" t="s">
        <v>1645</v>
      </c>
      <c r="E473" s="330" t="s">
        <v>1846</v>
      </c>
      <c r="F473" s="330" t="s">
        <v>1647</v>
      </c>
      <c r="G473" s="562">
        <v>1114</v>
      </c>
      <c r="H473" s="562">
        <v>683.3</v>
      </c>
      <c r="I473" s="562">
        <v>795.57</v>
      </c>
      <c r="J473" s="561" t="s">
        <v>1648</v>
      </c>
      <c r="K473" s="330" t="s">
        <v>3989</v>
      </c>
      <c r="L473" s="330" t="s">
        <v>3990</v>
      </c>
      <c r="M473" s="330" t="s">
        <v>3991</v>
      </c>
      <c r="N473" s="330" t="s">
        <v>3992</v>
      </c>
      <c r="O473" s="395">
        <v>45428</v>
      </c>
      <c r="P473" s="333">
        <v>6304075</v>
      </c>
      <c r="Q473" s="330" t="s">
        <v>1653</v>
      </c>
      <c r="R473" s="562">
        <v>0</v>
      </c>
      <c r="S473" s="333">
        <v>0</v>
      </c>
      <c r="T473" s="333">
        <v>-1922741.6100000003</v>
      </c>
      <c r="U473" s="333">
        <f t="shared" si="72"/>
        <v>-1922741.6100000003</v>
      </c>
      <c r="V473" s="333">
        <v>0</v>
      </c>
      <c r="W473" s="333">
        <v>0</v>
      </c>
      <c r="X473" s="333">
        <v>0</v>
      </c>
      <c r="Y473" s="333">
        <v>0</v>
      </c>
      <c r="Z473" s="333">
        <v>0</v>
      </c>
      <c r="AA473" s="333">
        <v>0</v>
      </c>
      <c r="AB473" s="333">
        <v>0</v>
      </c>
      <c r="AC473" s="333">
        <v>-31519.1</v>
      </c>
      <c r="AD473" s="333">
        <v>0</v>
      </c>
      <c r="AE473" s="333"/>
      <c r="AF473" s="333"/>
      <c r="AG473" s="333">
        <f t="shared" si="73"/>
        <v>-1954260.7100000004</v>
      </c>
      <c r="AH473" s="330"/>
      <c r="AI473" s="330">
        <v>31519.1</v>
      </c>
      <c r="AJ473" s="396">
        <f t="shared" si="74"/>
        <v>-1954260.7100000004</v>
      </c>
      <c r="AK473" s="563"/>
      <c r="AL473" s="285">
        <f t="shared" si="80"/>
        <v>0</v>
      </c>
      <c r="AM473" s="286"/>
      <c r="AO473" s="330" t="s">
        <v>3989</v>
      </c>
    </row>
    <row r="474" spans="1:41">
      <c r="A474" s="587">
        <f t="shared" si="76"/>
        <v>471</v>
      </c>
      <c r="B474" s="330" t="s">
        <v>1643</v>
      </c>
      <c r="C474" s="330" t="s">
        <v>3993</v>
      </c>
      <c r="D474" s="330" t="s">
        <v>1662</v>
      </c>
      <c r="E474" s="330" t="s">
        <v>2404</v>
      </c>
      <c r="F474" s="330" t="s">
        <v>1671</v>
      </c>
      <c r="G474" s="562">
        <v>1375</v>
      </c>
      <c r="H474" s="562">
        <v>876.73</v>
      </c>
      <c r="I474" s="562">
        <v>982.22</v>
      </c>
      <c r="J474" s="561" t="s">
        <v>1648</v>
      </c>
      <c r="K474" s="330" t="s">
        <v>3994</v>
      </c>
      <c r="L474" s="330" t="s">
        <v>3995</v>
      </c>
      <c r="M474" s="330" t="s">
        <v>3996</v>
      </c>
      <c r="N474" s="330" t="s">
        <v>3997</v>
      </c>
      <c r="O474" s="395">
        <v>45435</v>
      </c>
      <c r="P474" s="333">
        <v>7741819</v>
      </c>
      <c r="Q474" s="330" t="s">
        <v>1653</v>
      </c>
      <c r="R474" s="562">
        <v>0</v>
      </c>
      <c r="S474" s="333">
        <v>0</v>
      </c>
      <c r="T474" s="333">
        <v>-2339785.6999999997</v>
      </c>
      <c r="U474" s="333">
        <f t="shared" si="72"/>
        <v>-2339785.6999999997</v>
      </c>
      <c r="V474" s="333">
        <v>0</v>
      </c>
      <c r="W474" s="333">
        <v>0</v>
      </c>
      <c r="X474" s="333">
        <v>0</v>
      </c>
      <c r="Y474" s="333">
        <v>0</v>
      </c>
      <c r="Z474" s="333">
        <v>0</v>
      </c>
      <c r="AA474" s="333">
        <v>0</v>
      </c>
      <c r="AB474" s="333">
        <v>0</v>
      </c>
      <c r="AC474" s="333">
        <v>-7142.859999999986</v>
      </c>
      <c r="AD474" s="333">
        <v>0</v>
      </c>
      <c r="AE474" s="333"/>
      <c r="AF474" s="333"/>
      <c r="AG474" s="333">
        <f t="shared" si="73"/>
        <v>-2346928.5599999996</v>
      </c>
      <c r="AH474" s="330"/>
      <c r="AI474" s="330">
        <v>7142.86</v>
      </c>
      <c r="AJ474" s="396">
        <f t="shared" si="74"/>
        <v>-2346928.5599999996</v>
      </c>
      <c r="AK474" s="563"/>
      <c r="AL474" s="285">
        <f t="shared" si="80"/>
        <v>1.3642420526593924E-11</v>
      </c>
      <c r="AM474" s="286"/>
      <c r="AO474" s="330" t="s">
        <v>3994</v>
      </c>
    </row>
    <row r="475" spans="1:41">
      <c r="A475" s="587">
        <f t="shared" si="76"/>
        <v>472</v>
      </c>
      <c r="B475" s="330" t="s">
        <v>1643</v>
      </c>
      <c r="C475" s="330" t="s">
        <v>3998</v>
      </c>
      <c r="D475" s="330" t="s">
        <v>1746</v>
      </c>
      <c r="E475" s="330" t="s">
        <v>3344</v>
      </c>
      <c r="F475" s="330" t="s">
        <v>1647</v>
      </c>
      <c r="G475" s="562">
        <v>1012</v>
      </c>
      <c r="H475" s="562">
        <v>653.59</v>
      </c>
      <c r="I475" s="562">
        <v>723.02</v>
      </c>
      <c r="J475" s="561" t="s">
        <v>1648</v>
      </c>
      <c r="K475" s="330" t="s">
        <v>3999</v>
      </c>
      <c r="L475" s="330" t="s">
        <v>4000</v>
      </c>
      <c r="M475" s="330" t="s">
        <v>4001</v>
      </c>
      <c r="N475" s="330" t="s">
        <v>4002</v>
      </c>
      <c r="O475" s="395">
        <v>45447</v>
      </c>
      <c r="P475" s="333">
        <v>5698827</v>
      </c>
      <c r="Q475" s="330" t="s">
        <v>1653</v>
      </c>
      <c r="R475" s="562">
        <v>0</v>
      </c>
      <c r="S475" s="333">
        <v>0</v>
      </c>
      <c r="T475" s="333">
        <v>-1654884.0600000003</v>
      </c>
      <c r="U475" s="333">
        <f t="shared" si="72"/>
        <v>-1654884.0600000003</v>
      </c>
      <c r="V475" s="333">
        <v>-50000</v>
      </c>
      <c r="W475" s="333">
        <v>0</v>
      </c>
      <c r="X475" s="333">
        <v>0</v>
      </c>
      <c r="Y475" s="333">
        <v>0</v>
      </c>
      <c r="Z475" s="333">
        <v>0</v>
      </c>
      <c r="AA475" s="333">
        <v>0</v>
      </c>
      <c r="AB475" s="333">
        <v>0</v>
      </c>
      <c r="AC475" s="333">
        <v>-4761.8999999999942</v>
      </c>
      <c r="AD475" s="333">
        <v>0</v>
      </c>
      <c r="AE475" s="333"/>
      <c r="AF475" s="333"/>
      <c r="AG475" s="333">
        <f t="shared" si="73"/>
        <v>-1709645.9600000002</v>
      </c>
      <c r="AH475" s="330"/>
      <c r="AI475" s="330">
        <v>4761.8999999999996</v>
      </c>
      <c r="AJ475" s="396">
        <f t="shared" si="74"/>
        <v>-1709645.9600000002</v>
      </c>
      <c r="AK475" s="563"/>
      <c r="AL475" s="285">
        <f t="shared" si="80"/>
        <v>0</v>
      </c>
      <c r="AM475" s="286"/>
      <c r="AO475" s="330" t="s">
        <v>3999</v>
      </c>
    </row>
    <row r="476" spans="1:41">
      <c r="A476" s="587">
        <f t="shared" si="76"/>
        <v>473</v>
      </c>
      <c r="B476" s="330" t="s">
        <v>1643</v>
      </c>
      <c r="C476" s="330" t="s">
        <v>4003</v>
      </c>
      <c r="D476" s="330" t="s">
        <v>1645</v>
      </c>
      <c r="E476" s="330" t="s">
        <v>2625</v>
      </c>
      <c r="F476" s="330" t="s">
        <v>1647</v>
      </c>
      <c r="G476" s="562">
        <v>1012</v>
      </c>
      <c r="H476" s="562">
        <v>653.59</v>
      </c>
      <c r="I476" s="562">
        <v>723.02</v>
      </c>
      <c r="J476" s="561" t="s">
        <v>1648</v>
      </c>
      <c r="K476" s="330" t="s">
        <v>4004</v>
      </c>
      <c r="L476" s="330" t="s">
        <v>4005</v>
      </c>
      <c r="M476" s="330" t="s">
        <v>4006</v>
      </c>
      <c r="N476" s="330" t="s">
        <v>4007</v>
      </c>
      <c r="O476" s="395">
        <v>45408</v>
      </c>
      <c r="P476" s="333">
        <v>5648216</v>
      </c>
      <c r="Q476" s="330" t="s">
        <v>1653</v>
      </c>
      <c r="R476" s="562">
        <v>0</v>
      </c>
      <c r="S476" s="333">
        <v>0</v>
      </c>
      <c r="T476" s="333">
        <v>-1746232.7600000002</v>
      </c>
      <c r="U476" s="333">
        <f t="shared" si="72"/>
        <v>-1746232.7600000002</v>
      </c>
      <c r="V476" s="333">
        <v>0</v>
      </c>
      <c r="W476" s="333">
        <v>0</v>
      </c>
      <c r="X476" s="333">
        <v>0</v>
      </c>
      <c r="Y476" s="333">
        <v>0</v>
      </c>
      <c r="Z476" s="333">
        <v>0</v>
      </c>
      <c r="AA476" s="333">
        <v>0</v>
      </c>
      <c r="AB476" s="333">
        <v>0</v>
      </c>
      <c r="AC476" s="333">
        <v>0</v>
      </c>
      <c r="AD476" s="333">
        <v>0</v>
      </c>
      <c r="AE476" s="333"/>
      <c r="AF476" s="333"/>
      <c r="AG476" s="333">
        <f t="shared" si="73"/>
        <v>-1746232.7600000002</v>
      </c>
      <c r="AH476" s="330"/>
      <c r="AI476" s="330">
        <v>0</v>
      </c>
      <c r="AJ476" s="396">
        <f t="shared" si="74"/>
        <v>-1746232.7600000002</v>
      </c>
      <c r="AK476" s="563"/>
      <c r="AL476" s="285">
        <f t="shared" si="80"/>
        <v>0</v>
      </c>
      <c r="AM476" s="286"/>
      <c r="AO476" s="330" t="s">
        <v>4004</v>
      </c>
    </row>
    <row r="477" spans="1:41">
      <c r="A477" s="587">
        <f t="shared" si="76"/>
        <v>474</v>
      </c>
      <c r="B477" s="330" t="s">
        <v>1643</v>
      </c>
      <c r="C477" s="330" t="s">
        <v>3283</v>
      </c>
      <c r="D477" s="330" t="s">
        <v>1645</v>
      </c>
      <c r="E477" s="330" t="s">
        <v>2547</v>
      </c>
      <c r="F477" s="330" t="s">
        <v>1671</v>
      </c>
      <c r="G477" s="562">
        <v>1375</v>
      </c>
      <c r="H477" s="562">
        <v>876.73</v>
      </c>
      <c r="I477" s="562">
        <v>982.22</v>
      </c>
      <c r="J477" s="561" t="s">
        <v>1810</v>
      </c>
      <c r="K477" s="330" t="s">
        <v>4008</v>
      </c>
      <c r="L477" s="330" t="s">
        <v>4009</v>
      </c>
      <c r="M477" s="330" t="s">
        <v>4010</v>
      </c>
      <c r="N477" s="330" t="s">
        <v>4011</v>
      </c>
      <c r="O477" s="395">
        <v>45712</v>
      </c>
      <c r="P477" s="333">
        <v>7803698</v>
      </c>
      <c r="Q477" s="330" t="s">
        <v>1653</v>
      </c>
      <c r="R477" s="562">
        <v>0</v>
      </c>
      <c r="S477" s="333">
        <v>0</v>
      </c>
      <c r="T477" s="333">
        <v>-2009446.5199999998</v>
      </c>
      <c r="U477" s="333">
        <f t="shared" si="72"/>
        <v>-2009446.5199999998</v>
      </c>
      <c r="V477" s="333">
        <v>-259700</v>
      </c>
      <c r="W477" s="333">
        <v>0</v>
      </c>
      <c r="X477" s="333">
        <v>0</v>
      </c>
      <c r="Y477" s="333">
        <v>0</v>
      </c>
      <c r="Z477" s="333">
        <v>0</v>
      </c>
      <c r="AA477" s="333">
        <v>0</v>
      </c>
      <c r="AB477" s="333">
        <v>0</v>
      </c>
      <c r="AC477" s="333">
        <v>0</v>
      </c>
      <c r="AD477" s="333">
        <v>0</v>
      </c>
      <c r="AE477" s="333"/>
      <c r="AF477" s="333"/>
      <c r="AG477" s="333">
        <f t="shared" si="73"/>
        <v>-2269146.5199999996</v>
      </c>
      <c r="AH477" s="330"/>
      <c r="AI477" s="330">
        <v>0</v>
      </c>
      <c r="AJ477" s="396">
        <f t="shared" si="74"/>
        <v>-2269146.5199999996</v>
      </c>
      <c r="AK477" s="563"/>
      <c r="AL477" s="285">
        <f t="shared" si="75"/>
        <v>0</v>
      </c>
      <c r="AM477" s="286"/>
      <c r="AO477" s="330" t="s">
        <v>4008</v>
      </c>
    </row>
    <row r="478" spans="1:41">
      <c r="A478" s="587">
        <f t="shared" si="76"/>
        <v>475</v>
      </c>
      <c r="B478" s="330" t="s">
        <v>1643</v>
      </c>
      <c r="C478" s="330" t="s">
        <v>4012</v>
      </c>
      <c r="D478" s="330" t="s">
        <v>1704</v>
      </c>
      <c r="E478" s="330" t="s">
        <v>2975</v>
      </c>
      <c r="F478" s="330" t="s">
        <v>1647</v>
      </c>
      <c r="G478" s="562">
        <v>1114</v>
      </c>
      <c r="H478" s="562">
        <v>683.3</v>
      </c>
      <c r="I478" s="562">
        <v>795.57</v>
      </c>
      <c r="J478" s="561" t="s">
        <v>1648</v>
      </c>
      <c r="K478" s="330" t="s">
        <v>4013</v>
      </c>
      <c r="L478" s="330" t="s">
        <v>4014</v>
      </c>
      <c r="M478" s="330" t="s">
        <v>4015</v>
      </c>
      <c r="N478" s="330" t="s">
        <v>4016</v>
      </c>
      <c r="O478" s="395">
        <v>45469</v>
      </c>
      <c r="P478" s="333">
        <v>6580286</v>
      </c>
      <c r="Q478" s="330" t="s">
        <v>1653</v>
      </c>
      <c r="R478" s="562">
        <v>0</v>
      </c>
      <c r="S478" s="333">
        <v>0</v>
      </c>
      <c r="T478" s="333">
        <v>-1989886.5600000003</v>
      </c>
      <c r="U478" s="333">
        <f t="shared" si="72"/>
        <v>-1989886.5600000003</v>
      </c>
      <c r="V478" s="333">
        <v>0</v>
      </c>
      <c r="W478" s="333">
        <v>0</v>
      </c>
      <c r="X478" s="333">
        <v>0</v>
      </c>
      <c r="Y478" s="333">
        <v>0</v>
      </c>
      <c r="Z478" s="333">
        <v>0</v>
      </c>
      <c r="AA478" s="333">
        <v>0</v>
      </c>
      <c r="AB478" s="333">
        <v>0</v>
      </c>
      <c r="AC478" s="333">
        <v>0</v>
      </c>
      <c r="AD478" s="333">
        <v>0</v>
      </c>
      <c r="AE478" s="333"/>
      <c r="AF478" s="333"/>
      <c r="AG478" s="333">
        <f t="shared" si="73"/>
        <v>-1989886.5600000003</v>
      </c>
      <c r="AH478" s="330"/>
      <c r="AI478" s="330">
        <v>0</v>
      </c>
      <c r="AJ478" s="396">
        <f t="shared" si="74"/>
        <v>-1989886.5600000003</v>
      </c>
      <c r="AK478" s="563"/>
      <c r="AL478" s="285">
        <f t="shared" si="75"/>
        <v>0</v>
      </c>
      <c r="AM478" s="286"/>
      <c r="AO478" s="330" t="s">
        <v>4013</v>
      </c>
    </row>
    <row r="479" spans="1:41">
      <c r="A479" s="587">
        <f t="shared" si="76"/>
        <v>476</v>
      </c>
      <c r="B479" s="330" t="s">
        <v>1643</v>
      </c>
      <c r="C479" s="330" t="s">
        <v>4017</v>
      </c>
      <c r="D479" s="330" t="s">
        <v>1669</v>
      </c>
      <c r="E479" s="330" t="s">
        <v>2269</v>
      </c>
      <c r="F479" s="330" t="s">
        <v>1671</v>
      </c>
      <c r="G479" s="562">
        <v>1787</v>
      </c>
      <c r="H479" s="562">
        <v>1138.51</v>
      </c>
      <c r="I479" s="562">
        <v>1276.29</v>
      </c>
      <c r="J479" s="561" t="s">
        <v>1648</v>
      </c>
      <c r="K479" s="330" t="s">
        <v>4018</v>
      </c>
      <c r="L479" s="330" t="s">
        <v>4019</v>
      </c>
      <c r="M479" s="330" t="s">
        <v>4020</v>
      </c>
      <c r="N479" s="330" t="s">
        <v>4021</v>
      </c>
      <c r="O479" s="395">
        <v>45580</v>
      </c>
      <c r="P479" s="333">
        <v>12562476</v>
      </c>
      <c r="Q479" s="330" t="s">
        <v>1653</v>
      </c>
      <c r="R479" s="562">
        <v>0</v>
      </c>
      <c r="S479" s="333">
        <v>0</v>
      </c>
      <c r="T479" s="333">
        <v>-3806428.8600000008</v>
      </c>
      <c r="U479" s="333">
        <f t="shared" si="72"/>
        <v>-3806428.8600000008</v>
      </c>
      <c r="V479" s="333">
        <v>0</v>
      </c>
      <c r="W479" s="333">
        <v>0</v>
      </c>
      <c r="X479" s="333">
        <v>0</v>
      </c>
      <c r="Y479" s="333">
        <v>0</v>
      </c>
      <c r="Z479" s="333">
        <v>0</v>
      </c>
      <c r="AA479" s="333">
        <v>0</v>
      </c>
      <c r="AB479" s="333">
        <v>0</v>
      </c>
      <c r="AC479" s="333">
        <v>0</v>
      </c>
      <c r="AD479" s="333">
        <v>0</v>
      </c>
      <c r="AE479" s="333"/>
      <c r="AF479" s="333"/>
      <c r="AG479" s="333">
        <f t="shared" si="73"/>
        <v>-3806428.8600000008</v>
      </c>
      <c r="AH479" s="330"/>
      <c r="AI479" s="330">
        <v>0</v>
      </c>
      <c r="AJ479" s="396">
        <f t="shared" si="74"/>
        <v>-3806428.8600000008</v>
      </c>
      <c r="AK479" s="563"/>
      <c r="AL479" s="285">
        <f t="shared" si="75"/>
        <v>0</v>
      </c>
      <c r="AM479" s="286"/>
      <c r="AO479" s="330" t="s">
        <v>4018</v>
      </c>
    </row>
    <row r="480" spans="1:41">
      <c r="A480" s="587">
        <f t="shared" si="76"/>
        <v>477</v>
      </c>
      <c r="B480" s="330" t="s">
        <v>1643</v>
      </c>
      <c r="C480" s="330" t="s">
        <v>4022</v>
      </c>
      <c r="D480" s="330" t="s">
        <v>2153</v>
      </c>
      <c r="E480" s="330" t="s">
        <v>2056</v>
      </c>
      <c r="F480" s="330" t="s">
        <v>1671</v>
      </c>
      <c r="G480" s="562">
        <v>1498</v>
      </c>
      <c r="H480" s="562">
        <v>954.87</v>
      </c>
      <c r="I480" s="562">
        <v>1069.73</v>
      </c>
      <c r="J480" s="561" t="s">
        <v>1648</v>
      </c>
      <c r="K480" s="330" t="s">
        <v>4023</v>
      </c>
      <c r="L480" s="330" t="s">
        <v>4024</v>
      </c>
      <c r="M480" s="330" t="s">
        <v>4025</v>
      </c>
      <c r="N480" s="330" t="s">
        <v>12</v>
      </c>
      <c r="O480" s="395"/>
      <c r="P480" s="333">
        <v>9191964</v>
      </c>
      <c r="Q480" s="330" t="s">
        <v>1660</v>
      </c>
      <c r="R480" s="562">
        <v>0</v>
      </c>
      <c r="S480" s="333">
        <v>0</v>
      </c>
      <c r="T480" s="333">
        <v>0</v>
      </c>
      <c r="U480" s="333">
        <f t="shared" si="72"/>
        <v>0</v>
      </c>
      <c r="V480" s="333">
        <v>0</v>
      </c>
      <c r="W480" s="333">
        <v>0</v>
      </c>
      <c r="X480" s="333">
        <v>0</v>
      </c>
      <c r="Y480" s="333">
        <v>0</v>
      </c>
      <c r="Z480" s="333">
        <v>0</v>
      </c>
      <c r="AA480" s="333">
        <v>0</v>
      </c>
      <c r="AB480" s="333">
        <v>0</v>
      </c>
      <c r="AC480" s="333">
        <v>0</v>
      </c>
      <c r="AD480" s="333">
        <v>0</v>
      </c>
      <c r="AE480" s="333"/>
      <c r="AF480" s="333"/>
      <c r="AG480" s="333">
        <f t="shared" si="73"/>
        <v>0</v>
      </c>
      <c r="AH480" s="330"/>
      <c r="AI480" s="330">
        <v>0</v>
      </c>
      <c r="AJ480" s="396">
        <f t="shared" si="74"/>
        <v>0</v>
      </c>
      <c r="AK480" s="563"/>
      <c r="AL480" s="285">
        <f t="shared" si="75"/>
        <v>0</v>
      </c>
      <c r="AM480" s="286"/>
      <c r="AO480" s="330" t="s">
        <v>4023</v>
      </c>
    </row>
    <row r="481" spans="1:41">
      <c r="A481" s="587">
        <f t="shared" si="76"/>
        <v>478</v>
      </c>
      <c r="B481" s="564" t="s">
        <v>1643</v>
      </c>
      <c r="C481" s="564" t="s">
        <v>3322</v>
      </c>
      <c r="D481" s="330" t="s">
        <v>1645</v>
      </c>
      <c r="E481" s="330" t="s">
        <v>3323</v>
      </c>
      <c r="F481" s="330" t="s">
        <v>1671</v>
      </c>
      <c r="G481" s="562">
        <v>1375</v>
      </c>
      <c r="H481" s="562">
        <v>876.73</v>
      </c>
      <c r="I481" s="562">
        <v>982.22</v>
      </c>
      <c r="J481" s="561" t="s">
        <v>1648</v>
      </c>
      <c r="K481" s="564" t="s">
        <v>4026</v>
      </c>
      <c r="L481" s="564" t="s">
        <v>4027</v>
      </c>
      <c r="M481" s="330" t="s">
        <v>4028</v>
      </c>
      <c r="N481" s="330" t="s">
        <v>12</v>
      </c>
      <c r="O481" s="395"/>
      <c r="P481" s="333">
        <v>8678571</v>
      </c>
      <c r="Q481" s="330" t="s">
        <v>1660</v>
      </c>
      <c r="R481" s="562">
        <v>0</v>
      </c>
      <c r="S481" s="333">
        <v>0</v>
      </c>
      <c r="T481" s="333">
        <v>51000</v>
      </c>
      <c r="U481" s="333">
        <f t="shared" si="72"/>
        <v>51000</v>
      </c>
      <c r="V481" s="333">
        <v>0</v>
      </c>
      <c r="W481" s="333">
        <v>0</v>
      </c>
      <c r="X481" s="333">
        <v>0</v>
      </c>
      <c r="Y481" s="333">
        <v>0</v>
      </c>
      <c r="Z481" s="333">
        <v>0</v>
      </c>
      <c r="AA481" s="333">
        <v>0</v>
      </c>
      <c r="AB481" s="333">
        <v>0</v>
      </c>
      <c r="AC481" s="333">
        <v>0</v>
      </c>
      <c r="AD481" s="333">
        <v>0</v>
      </c>
      <c r="AE481" s="333"/>
      <c r="AF481" s="333"/>
      <c r="AG481" s="565">
        <f t="shared" si="73"/>
        <v>51000</v>
      </c>
      <c r="AH481" s="330"/>
      <c r="AI481" s="330">
        <v>0</v>
      </c>
      <c r="AJ481" s="396">
        <f t="shared" si="74"/>
        <v>51000</v>
      </c>
      <c r="AK481" s="563"/>
      <c r="AL481" s="285">
        <f t="shared" si="75"/>
        <v>0</v>
      </c>
      <c r="AM481" s="286"/>
      <c r="AO481" s="330" t="s">
        <v>4026</v>
      </c>
    </row>
    <row r="482" spans="1:41">
      <c r="A482" s="587">
        <f t="shared" si="76"/>
        <v>479</v>
      </c>
      <c r="B482" s="330" t="s">
        <v>1643</v>
      </c>
      <c r="C482" s="330" t="s">
        <v>2581</v>
      </c>
      <c r="D482" s="330" t="s">
        <v>1662</v>
      </c>
      <c r="E482" s="330" t="s">
        <v>1734</v>
      </c>
      <c r="F482" s="330" t="s">
        <v>1647</v>
      </c>
      <c r="G482" s="562">
        <v>1012</v>
      </c>
      <c r="H482" s="562">
        <v>653.59</v>
      </c>
      <c r="I482" s="562">
        <v>723.02</v>
      </c>
      <c r="J482" s="561" t="s">
        <v>1648</v>
      </c>
      <c r="K482" s="330" t="s">
        <v>4029</v>
      </c>
      <c r="L482" s="330" t="s">
        <v>4030</v>
      </c>
      <c r="M482" s="330" t="s">
        <v>4031</v>
      </c>
      <c r="N482" s="330" t="s">
        <v>2066</v>
      </c>
      <c r="O482" s="395"/>
      <c r="P482" s="333">
        <v>5698827</v>
      </c>
      <c r="Q482" s="330" t="s">
        <v>1660</v>
      </c>
      <c r="R482" s="562">
        <v>0</v>
      </c>
      <c r="S482" s="333">
        <v>0</v>
      </c>
      <c r="T482" s="333">
        <v>0</v>
      </c>
      <c r="U482" s="333">
        <f t="shared" si="72"/>
        <v>0</v>
      </c>
      <c r="V482" s="333">
        <v>0</v>
      </c>
      <c r="W482" s="333">
        <v>0</v>
      </c>
      <c r="X482" s="333">
        <v>0</v>
      </c>
      <c r="Y482" s="333">
        <v>0</v>
      </c>
      <c r="Z482" s="333">
        <v>0</v>
      </c>
      <c r="AA482" s="333">
        <v>0</v>
      </c>
      <c r="AB482" s="333">
        <v>0</v>
      </c>
      <c r="AC482" s="333">
        <v>0</v>
      </c>
      <c r="AD482" s="333">
        <v>0</v>
      </c>
      <c r="AE482" s="333"/>
      <c r="AF482" s="333"/>
      <c r="AG482" s="333">
        <f t="shared" si="73"/>
        <v>0</v>
      </c>
      <c r="AH482" s="330"/>
      <c r="AI482" s="330">
        <v>0</v>
      </c>
      <c r="AJ482" s="396">
        <f t="shared" si="74"/>
        <v>0</v>
      </c>
      <c r="AK482" s="563"/>
      <c r="AL482" s="285">
        <f t="shared" si="75"/>
        <v>0</v>
      </c>
      <c r="AM482" s="286"/>
      <c r="AO482" s="330" t="s">
        <v>4029</v>
      </c>
    </row>
    <row r="483" spans="1:41">
      <c r="A483" s="587">
        <f t="shared" si="76"/>
        <v>480</v>
      </c>
      <c r="B483" s="330" t="s">
        <v>1643</v>
      </c>
      <c r="C483" s="330" t="s">
        <v>4032</v>
      </c>
      <c r="D483" s="330" t="s">
        <v>1704</v>
      </c>
      <c r="E483" s="330" t="s">
        <v>2606</v>
      </c>
      <c r="F483" s="330" t="s">
        <v>1647</v>
      </c>
      <c r="G483" s="562">
        <v>1012</v>
      </c>
      <c r="H483" s="562">
        <v>653.59</v>
      </c>
      <c r="I483" s="562">
        <v>723.02</v>
      </c>
      <c r="J483" s="561" t="s">
        <v>1648</v>
      </c>
      <c r="K483" s="330" t="s">
        <v>4033</v>
      </c>
      <c r="L483" s="330" t="s">
        <v>4034</v>
      </c>
      <c r="M483" s="330" t="s">
        <v>4035</v>
      </c>
      <c r="N483" s="330" t="s">
        <v>4036</v>
      </c>
      <c r="O483" s="395">
        <v>45456</v>
      </c>
      <c r="P483" s="333">
        <v>5776762</v>
      </c>
      <c r="Q483" s="330" t="s">
        <v>1653</v>
      </c>
      <c r="R483" s="562">
        <v>0</v>
      </c>
      <c r="S483" s="333">
        <v>0</v>
      </c>
      <c r="T483" s="333">
        <v>-1790794.1800000009</v>
      </c>
      <c r="U483" s="333">
        <f t="shared" si="72"/>
        <v>-1790794.1800000009</v>
      </c>
      <c r="V483" s="333">
        <v>0</v>
      </c>
      <c r="W483" s="333">
        <v>0</v>
      </c>
      <c r="X483" s="333">
        <v>0</v>
      </c>
      <c r="Y483" s="333">
        <v>0</v>
      </c>
      <c r="Z483" s="333">
        <v>0</v>
      </c>
      <c r="AA483" s="333">
        <v>0</v>
      </c>
      <c r="AB483" s="333">
        <v>0</v>
      </c>
      <c r="AC483" s="333">
        <v>0</v>
      </c>
      <c r="AD483" s="333">
        <v>0</v>
      </c>
      <c r="AE483" s="333"/>
      <c r="AF483" s="333"/>
      <c r="AG483" s="333">
        <f t="shared" si="73"/>
        <v>-1790794.1800000009</v>
      </c>
      <c r="AH483" s="330"/>
      <c r="AI483" s="330">
        <v>0</v>
      </c>
      <c r="AJ483" s="396">
        <f t="shared" si="74"/>
        <v>-1790794.1800000009</v>
      </c>
      <c r="AK483" s="563"/>
      <c r="AL483" s="285">
        <f t="shared" si="75"/>
        <v>0</v>
      </c>
      <c r="AM483" s="286"/>
      <c r="AO483" s="330" t="s">
        <v>4033</v>
      </c>
    </row>
    <row r="484" spans="1:41">
      <c r="A484" s="587">
        <f t="shared" si="76"/>
        <v>481</v>
      </c>
      <c r="B484" s="330" t="s">
        <v>1643</v>
      </c>
      <c r="C484" s="330" t="s">
        <v>4037</v>
      </c>
      <c r="D484" s="330" t="s">
        <v>1677</v>
      </c>
      <c r="E484" s="330" t="s">
        <v>4038</v>
      </c>
      <c r="F484" s="330" t="s">
        <v>1647</v>
      </c>
      <c r="G484" s="562">
        <v>1114</v>
      </c>
      <c r="H484" s="562">
        <v>683.3</v>
      </c>
      <c r="I484" s="562">
        <v>795.57</v>
      </c>
      <c r="J484" s="561" t="s">
        <v>1648</v>
      </c>
      <c r="K484" s="330" t="s">
        <v>4039</v>
      </c>
      <c r="L484" s="330" t="s">
        <v>4040</v>
      </c>
      <c r="M484" s="330" t="s">
        <v>4041</v>
      </c>
      <c r="N484" s="330" t="s">
        <v>12</v>
      </c>
      <c r="O484" s="395"/>
      <c r="P484" s="333">
        <v>7116071</v>
      </c>
      <c r="Q484" s="330" t="s">
        <v>1660</v>
      </c>
      <c r="R484" s="562">
        <v>0</v>
      </c>
      <c r="S484" s="333">
        <v>0</v>
      </c>
      <c r="T484" s="333">
        <v>0</v>
      </c>
      <c r="U484" s="333">
        <f t="shared" si="72"/>
        <v>0</v>
      </c>
      <c r="V484" s="333">
        <v>-100000</v>
      </c>
      <c r="W484" s="333">
        <v>0</v>
      </c>
      <c r="X484" s="333">
        <v>0</v>
      </c>
      <c r="Y484" s="333">
        <v>0</v>
      </c>
      <c r="Z484" s="333">
        <v>0</v>
      </c>
      <c r="AA484" s="333">
        <v>0</v>
      </c>
      <c r="AB484" s="333">
        <v>0</v>
      </c>
      <c r="AC484" s="333">
        <v>0</v>
      </c>
      <c r="AD484" s="333">
        <v>0</v>
      </c>
      <c r="AE484" s="333"/>
      <c r="AF484" s="333"/>
      <c r="AG484" s="333">
        <f t="shared" si="73"/>
        <v>-100000</v>
      </c>
      <c r="AH484" s="330"/>
      <c r="AI484" s="330">
        <v>0</v>
      </c>
      <c r="AJ484" s="396">
        <f t="shared" si="74"/>
        <v>-100000</v>
      </c>
      <c r="AK484" s="563"/>
      <c r="AL484" s="285">
        <f t="shared" si="75"/>
        <v>0</v>
      </c>
      <c r="AM484" s="286"/>
      <c r="AO484" s="330" t="s">
        <v>4039</v>
      </c>
    </row>
    <row r="485" spans="1:41">
      <c r="A485" s="587">
        <f t="shared" si="76"/>
        <v>482</v>
      </c>
      <c r="B485" s="330" t="s">
        <v>1643</v>
      </c>
      <c r="C485" s="330" t="s">
        <v>4042</v>
      </c>
      <c r="D485" s="330" t="s">
        <v>1662</v>
      </c>
      <c r="E485" s="330" t="s">
        <v>4043</v>
      </c>
      <c r="F485" s="330" t="s">
        <v>1671</v>
      </c>
      <c r="G485" s="562">
        <v>1375</v>
      </c>
      <c r="H485" s="562">
        <v>876.73</v>
      </c>
      <c r="I485" s="562">
        <v>982.22</v>
      </c>
      <c r="J485" s="561" t="s">
        <v>1648</v>
      </c>
      <c r="K485" s="330" t="s">
        <v>4044</v>
      </c>
      <c r="L485" s="330" t="s">
        <v>4045</v>
      </c>
      <c r="M485" s="330" t="s">
        <v>4046</v>
      </c>
      <c r="N485" s="330" t="s">
        <v>4047</v>
      </c>
      <c r="O485" s="395">
        <v>45427</v>
      </c>
      <c r="P485" s="333">
        <v>7741819</v>
      </c>
      <c r="Q485" s="330" t="s">
        <v>1653</v>
      </c>
      <c r="R485" s="562">
        <v>0</v>
      </c>
      <c r="S485" s="333">
        <v>0</v>
      </c>
      <c r="T485" s="333">
        <v>-2397582.7000000002</v>
      </c>
      <c r="U485" s="333">
        <f t="shared" si="72"/>
        <v>-2397582.7000000002</v>
      </c>
      <c r="V485" s="333">
        <v>0</v>
      </c>
      <c r="W485" s="333">
        <v>0</v>
      </c>
      <c r="X485" s="333">
        <v>0</v>
      </c>
      <c r="Y485" s="333">
        <v>0</v>
      </c>
      <c r="Z485" s="333">
        <v>0</v>
      </c>
      <c r="AA485" s="333">
        <v>0</v>
      </c>
      <c r="AB485" s="333">
        <v>0</v>
      </c>
      <c r="AC485" s="333">
        <v>-2380</v>
      </c>
      <c r="AD485" s="333">
        <v>0</v>
      </c>
      <c r="AE485" s="333"/>
      <c r="AF485" s="333"/>
      <c r="AG485" s="333">
        <f t="shared" si="73"/>
        <v>-2399962.7000000002</v>
      </c>
      <c r="AH485" s="330"/>
      <c r="AI485" s="330">
        <v>2380</v>
      </c>
      <c r="AJ485" s="396">
        <f t="shared" si="74"/>
        <v>-2399962.7000000002</v>
      </c>
      <c r="AK485" s="563"/>
      <c r="AL485" s="285">
        <f>+AC485+AI485</f>
        <v>0</v>
      </c>
      <c r="AM485" s="286"/>
      <c r="AO485" s="330" t="s">
        <v>4044</v>
      </c>
    </row>
    <row r="486" spans="1:41">
      <c r="A486" s="587">
        <f t="shared" si="76"/>
        <v>483</v>
      </c>
      <c r="B486" s="330" t="s">
        <v>1643</v>
      </c>
      <c r="C486" s="330" t="s">
        <v>4048</v>
      </c>
      <c r="D486" s="330" t="s">
        <v>1662</v>
      </c>
      <c r="E486" s="330" t="s">
        <v>4049</v>
      </c>
      <c r="F486" s="330" t="s">
        <v>1671</v>
      </c>
      <c r="G486" s="562">
        <v>1498</v>
      </c>
      <c r="H486" s="562">
        <v>954.87</v>
      </c>
      <c r="I486" s="562">
        <v>1069.73</v>
      </c>
      <c r="J486" s="561" t="s">
        <v>1648</v>
      </c>
      <c r="K486" s="330" t="s">
        <v>4050</v>
      </c>
      <c r="L486" s="330" t="s">
        <v>4051</v>
      </c>
      <c r="M486" s="330" t="s">
        <v>4052</v>
      </c>
      <c r="N486" s="330" t="s">
        <v>4053</v>
      </c>
      <c r="O486" s="395">
        <v>45467</v>
      </c>
      <c r="P486" s="333">
        <v>8633904</v>
      </c>
      <c r="Q486" s="330" t="s">
        <v>1653</v>
      </c>
      <c r="R486" s="562">
        <v>0</v>
      </c>
      <c r="S486" s="333">
        <v>0</v>
      </c>
      <c r="T486" s="333">
        <v>-2676511.4800000004</v>
      </c>
      <c r="U486" s="333">
        <f t="shared" si="72"/>
        <v>-2676511.4800000004</v>
      </c>
      <c r="V486" s="333">
        <v>0</v>
      </c>
      <c r="W486" s="333">
        <v>0</v>
      </c>
      <c r="X486" s="333">
        <v>0</v>
      </c>
      <c r="Y486" s="333">
        <v>0</v>
      </c>
      <c r="Z486" s="333">
        <v>0</v>
      </c>
      <c r="AA486" s="333">
        <v>0</v>
      </c>
      <c r="AB486" s="333">
        <v>0</v>
      </c>
      <c r="AC486" s="333">
        <v>0</v>
      </c>
      <c r="AD486" s="333">
        <v>0</v>
      </c>
      <c r="AE486" s="333"/>
      <c r="AF486" s="333"/>
      <c r="AG486" s="333">
        <f t="shared" si="73"/>
        <v>-2676511.4800000004</v>
      </c>
      <c r="AH486" s="330"/>
      <c r="AI486" s="330">
        <v>0</v>
      </c>
      <c r="AJ486" s="396">
        <f t="shared" si="74"/>
        <v>-2676511.4800000004</v>
      </c>
      <c r="AK486" s="563"/>
      <c r="AL486" s="285">
        <f t="shared" si="75"/>
        <v>0</v>
      </c>
      <c r="AM486" s="286"/>
      <c r="AO486" s="330" t="s">
        <v>4050</v>
      </c>
    </row>
    <row r="487" spans="1:41">
      <c r="A487" s="587">
        <f t="shared" si="76"/>
        <v>484</v>
      </c>
      <c r="B487" s="330" t="s">
        <v>1643</v>
      </c>
      <c r="C487" s="330" t="s">
        <v>4054</v>
      </c>
      <c r="D487" s="330" t="s">
        <v>2153</v>
      </c>
      <c r="E487" s="330" t="s">
        <v>2655</v>
      </c>
      <c r="F487" s="330" t="s">
        <v>1647</v>
      </c>
      <c r="G487" s="562">
        <v>1114</v>
      </c>
      <c r="H487" s="562">
        <v>683.3</v>
      </c>
      <c r="I487" s="562">
        <v>795.57</v>
      </c>
      <c r="J487" s="561" t="s">
        <v>1648</v>
      </c>
      <c r="K487" s="330" t="s">
        <v>4055</v>
      </c>
      <c r="L487" s="330" t="s">
        <v>4056</v>
      </c>
      <c r="M487" s="330" t="s">
        <v>4057</v>
      </c>
      <c r="N487" s="330" t="s">
        <v>4058</v>
      </c>
      <c r="O487" s="395">
        <v>45467</v>
      </c>
      <c r="P487" s="333">
        <v>6758857</v>
      </c>
      <c r="Q487" s="330" t="s">
        <v>1653</v>
      </c>
      <c r="R487" s="562">
        <v>0</v>
      </c>
      <c r="S487" s="333">
        <v>0</v>
      </c>
      <c r="T487" s="333">
        <v>-2095244.7100000002</v>
      </c>
      <c r="U487" s="333">
        <f t="shared" si="72"/>
        <v>-2095244.7100000002</v>
      </c>
      <c r="V487" s="333">
        <v>0</v>
      </c>
      <c r="W487" s="333">
        <v>0</v>
      </c>
      <c r="X487" s="333">
        <v>0</v>
      </c>
      <c r="Y487" s="333">
        <v>0</v>
      </c>
      <c r="Z487" s="333">
        <v>0</v>
      </c>
      <c r="AA487" s="333">
        <v>0</v>
      </c>
      <c r="AB487" s="333">
        <v>0</v>
      </c>
      <c r="AC487" s="333">
        <v>0</v>
      </c>
      <c r="AD487" s="333">
        <v>0</v>
      </c>
      <c r="AE487" s="333"/>
      <c r="AF487" s="333"/>
      <c r="AG487" s="333">
        <f t="shared" si="73"/>
        <v>-2095244.7100000002</v>
      </c>
      <c r="AH487" s="330"/>
      <c r="AI487" s="330">
        <v>0</v>
      </c>
      <c r="AJ487" s="396">
        <f t="shared" si="74"/>
        <v>-2095244.7100000002</v>
      </c>
      <c r="AK487" s="563"/>
      <c r="AL487" s="285">
        <f t="shared" si="75"/>
        <v>0</v>
      </c>
      <c r="AM487" s="286"/>
      <c r="AO487" s="330" t="s">
        <v>4055</v>
      </c>
    </row>
    <row r="488" spans="1:41">
      <c r="A488" s="587">
        <f t="shared" si="76"/>
        <v>485</v>
      </c>
      <c r="B488" s="564" t="s">
        <v>1643</v>
      </c>
      <c r="C488" s="564" t="s">
        <v>2460</v>
      </c>
      <c r="D488" s="330" t="s">
        <v>1746</v>
      </c>
      <c r="E488" s="330" t="s">
        <v>2264</v>
      </c>
      <c r="F488" s="330" t="s">
        <v>1647</v>
      </c>
      <c r="G488" s="562">
        <v>1114</v>
      </c>
      <c r="H488" s="562">
        <v>683.3</v>
      </c>
      <c r="I488" s="562">
        <v>795.57</v>
      </c>
      <c r="J488" s="561" t="s">
        <v>1648</v>
      </c>
      <c r="K488" s="564" t="s">
        <v>4059</v>
      </c>
      <c r="L488" s="564" t="s">
        <v>4060</v>
      </c>
      <c r="M488" s="330" t="s">
        <v>4061</v>
      </c>
      <c r="N488" s="330" t="s">
        <v>2464</v>
      </c>
      <c r="O488" s="395">
        <v>45476</v>
      </c>
      <c r="P488" s="333">
        <v>6285714</v>
      </c>
      <c r="Q488" s="330" t="s">
        <v>1660</v>
      </c>
      <c r="R488" s="562">
        <v>0</v>
      </c>
      <c r="S488" s="333">
        <v>0</v>
      </c>
      <c r="T488" s="333">
        <v>40000</v>
      </c>
      <c r="U488" s="333">
        <f t="shared" si="72"/>
        <v>40000</v>
      </c>
      <c r="V488" s="333">
        <v>0</v>
      </c>
      <c r="W488" s="333">
        <v>0</v>
      </c>
      <c r="X488" s="333">
        <v>0</v>
      </c>
      <c r="Y488" s="333">
        <v>0</v>
      </c>
      <c r="Z488" s="333">
        <v>0</v>
      </c>
      <c r="AA488" s="333">
        <v>0</v>
      </c>
      <c r="AB488" s="333">
        <v>0</v>
      </c>
      <c r="AC488" s="333">
        <v>0</v>
      </c>
      <c r="AD488" s="333">
        <v>0</v>
      </c>
      <c r="AE488" s="333"/>
      <c r="AF488" s="333"/>
      <c r="AG488" s="565">
        <f t="shared" si="73"/>
        <v>40000</v>
      </c>
      <c r="AH488" s="330"/>
      <c r="AI488" s="330">
        <v>0</v>
      </c>
      <c r="AJ488" s="396">
        <f t="shared" si="74"/>
        <v>40000</v>
      </c>
      <c r="AK488" s="563"/>
      <c r="AL488" s="285">
        <f t="shared" si="75"/>
        <v>0</v>
      </c>
      <c r="AM488" s="286"/>
      <c r="AO488" s="330" t="s">
        <v>4059</v>
      </c>
    </row>
    <row r="489" spans="1:41">
      <c r="A489" s="587">
        <f t="shared" si="76"/>
        <v>486</v>
      </c>
      <c r="B489" s="330" t="s">
        <v>1643</v>
      </c>
      <c r="C489" s="330" t="s">
        <v>4062</v>
      </c>
      <c r="D489" s="330" t="s">
        <v>1704</v>
      </c>
      <c r="E489" s="330" t="s">
        <v>1734</v>
      </c>
      <c r="F489" s="330" t="s">
        <v>1647</v>
      </c>
      <c r="G489" s="562">
        <v>1012</v>
      </c>
      <c r="H489" s="562">
        <v>653.59</v>
      </c>
      <c r="I489" s="562">
        <v>723.02</v>
      </c>
      <c r="J489" s="561" t="s">
        <v>1648</v>
      </c>
      <c r="K489" s="330" t="s">
        <v>4063</v>
      </c>
      <c r="L489" s="330" t="s">
        <v>4064</v>
      </c>
      <c r="M489" s="330" t="s">
        <v>4065</v>
      </c>
      <c r="N489" s="330" t="s">
        <v>4066</v>
      </c>
      <c r="O489" s="395">
        <v>45454</v>
      </c>
      <c r="P489" s="333">
        <v>5794572</v>
      </c>
      <c r="Q489" s="330" t="s">
        <v>1653</v>
      </c>
      <c r="R489" s="562">
        <v>0</v>
      </c>
      <c r="S489" s="333">
        <v>0</v>
      </c>
      <c r="T489" s="333">
        <v>-1796316.14</v>
      </c>
      <c r="U489" s="333">
        <f t="shared" si="72"/>
        <v>-1796316.14</v>
      </c>
      <c r="V489" s="333">
        <v>0</v>
      </c>
      <c r="W489" s="333">
        <v>0</v>
      </c>
      <c r="X489" s="333">
        <v>0</v>
      </c>
      <c r="Y489" s="333">
        <v>0</v>
      </c>
      <c r="Z489" s="333">
        <v>0</v>
      </c>
      <c r="AA489" s="333">
        <v>0</v>
      </c>
      <c r="AB489" s="333">
        <v>0</v>
      </c>
      <c r="AC489" s="333">
        <v>0</v>
      </c>
      <c r="AD489" s="333">
        <v>0</v>
      </c>
      <c r="AE489" s="333"/>
      <c r="AF489" s="333"/>
      <c r="AG489" s="333">
        <f t="shared" si="73"/>
        <v>-1796316.14</v>
      </c>
      <c r="AH489" s="330"/>
      <c r="AI489" s="330">
        <v>0</v>
      </c>
      <c r="AJ489" s="396">
        <f t="shared" si="74"/>
        <v>-1796316.14</v>
      </c>
      <c r="AK489" s="563"/>
      <c r="AL489" s="285">
        <f t="shared" si="75"/>
        <v>0</v>
      </c>
      <c r="AM489" s="286"/>
      <c r="AO489" s="330" t="s">
        <v>4063</v>
      </c>
    </row>
    <row r="490" spans="1:41">
      <c r="A490" s="587">
        <f t="shared" si="76"/>
        <v>487</v>
      </c>
      <c r="B490" s="330" t="s">
        <v>1643</v>
      </c>
      <c r="C490" s="330" t="s">
        <v>4067</v>
      </c>
      <c r="D490" s="330" t="s">
        <v>1746</v>
      </c>
      <c r="E490" s="330" t="s">
        <v>1918</v>
      </c>
      <c r="F490" s="330" t="s">
        <v>1647</v>
      </c>
      <c r="G490" s="562">
        <v>1114</v>
      </c>
      <c r="H490" s="562">
        <v>683.3</v>
      </c>
      <c r="I490" s="562">
        <v>795.57</v>
      </c>
      <c r="J490" s="561" t="s">
        <v>1648</v>
      </c>
      <c r="K490" s="330" t="s">
        <v>4068</v>
      </c>
      <c r="L490" s="330" t="s">
        <v>4069</v>
      </c>
      <c r="M490" s="330" t="s">
        <v>4070</v>
      </c>
      <c r="N490" s="330" t="s">
        <v>4071</v>
      </c>
      <c r="O490" s="395">
        <v>45537</v>
      </c>
      <c r="P490" s="333">
        <v>6337489</v>
      </c>
      <c r="Q490" s="330" t="s">
        <v>1660</v>
      </c>
      <c r="R490" s="562">
        <v>0</v>
      </c>
      <c r="S490" s="333">
        <v>0</v>
      </c>
      <c r="T490" s="333">
        <v>-1892975.1</v>
      </c>
      <c r="U490" s="333">
        <f t="shared" si="72"/>
        <v>-1892975.1</v>
      </c>
      <c r="V490" s="333">
        <v>1989166</v>
      </c>
      <c r="W490" s="333">
        <v>0</v>
      </c>
      <c r="X490" s="333">
        <v>0</v>
      </c>
      <c r="Y490" s="333">
        <v>0</v>
      </c>
      <c r="Z490" s="333">
        <v>0</v>
      </c>
      <c r="AA490" s="333">
        <v>0</v>
      </c>
      <c r="AB490" s="333">
        <v>0</v>
      </c>
      <c r="AC490" s="333">
        <v>-103334.89999999997</v>
      </c>
      <c r="AD490" s="333">
        <v>0</v>
      </c>
      <c r="AE490" s="333"/>
      <c r="AF490" s="333"/>
      <c r="AG490" s="333">
        <f t="shared" si="73"/>
        <v>-7144.0000000000582</v>
      </c>
      <c r="AH490" s="330"/>
      <c r="AI490" s="330">
        <v>103334.9</v>
      </c>
      <c r="AJ490" s="396">
        <f t="shared" si="74"/>
        <v>-7144.0000000000582</v>
      </c>
      <c r="AK490" s="563"/>
      <c r="AL490" s="285">
        <f t="shared" ref="AL490:AL491" si="81">+AC490+AI490</f>
        <v>0</v>
      </c>
      <c r="AM490" s="286"/>
      <c r="AO490" s="330" t="s">
        <v>4068</v>
      </c>
    </row>
    <row r="491" spans="1:41">
      <c r="A491" s="587">
        <f t="shared" si="76"/>
        <v>488</v>
      </c>
      <c r="B491" s="330" t="s">
        <v>1643</v>
      </c>
      <c r="C491" s="330" t="s">
        <v>4072</v>
      </c>
      <c r="D491" s="330" t="s">
        <v>1669</v>
      </c>
      <c r="E491" s="330" t="s">
        <v>4073</v>
      </c>
      <c r="F491" s="330" t="s">
        <v>1671</v>
      </c>
      <c r="G491" s="562">
        <v>1787</v>
      </c>
      <c r="H491" s="562">
        <v>1138.51</v>
      </c>
      <c r="I491" s="562">
        <v>1276.29</v>
      </c>
      <c r="J491" s="561" t="s">
        <v>1648</v>
      </c>
      <c r="K491" s="330" t="s">
        <v>4074</v>
      </c>
      <c r="L491" s="330" t="s">
        <v>4075</v>
      </c>
      <c r="M491" s="330" t="s">
        <v>4076</v>
      </c>
      <c r="N491" s="330" t="s">
        <v>4077</v>
      </c>
      <c r="O491" s="395">
        <v>45448</v>
      </c>
      <c r="P491" s="333">
        <v>10903069</v>
      </c>
      <c r="Q491" s="330" t="s">
        <v>1653</v>
      </c>
      <c r="R491" s="562">
        <v>0</v>
      </c>
      <c r="S491" s="333">
        <v>0</v>
      </c>
      <c r="T491" s="333">
        <v>-122167.96000000136</v>
      </c>
      <c r="U491" s="333">
        <f t="shared" si="72"/>
        <v>-122167.96000000136</v>
      </c>
      <c r="V491" s="333">
        <v>-450000</v>
      </c>
      <c r="W491" s="333">
        <v>0</v>
      </c>
      <c r="X491" s="333">
        <v>0</v>
      </c>
      <c r="Y491" s="333">
        <v>0</v>
      </c>
      <c r="Z491" s="333">
        <v>0</v>
      </c>
      <c r="AA491" s="333">
        <v>0</v>
      </c>
      <c r="AB491" s="333">
        <v>0</v>
      </c>
      <c r="AC491" s="333">
        <v>-14285</v>
      </c>
      <c r="AD491" s="333">
        <v>0</v>
      </c>
      <c r="AE491" s="333"/>
      <c r="AF491" s="333"/>
      <c r="AG491" s="333">
        <f t="shared" si="73"/>
        <v>-586452.96000000136</v>
      </c>
      <c r="AH491" s="330"/>
      <c r="AI491" s="330">
        <v>14285</v>
      </c>
      <c r="AJ491" s="396">
        <f t="shared" si="74"/>
        <v>-586452.96000000136</v>
      </c>
      <c r="AK491" s="563"/>
      <c r="AL491" s="285">
        <f t="shared" si="81"/>
        <v>0</v>
      </c>
      <c r="AM491" s="286"/>
      <c r="AO491" s="330" t="s">
        <v>4074</v>
      </c>
    </row>
    <row r="492" spans="1:41">
      <c r="A492" s="587">
        <f t="shared" si="76"/>
        <v>489</v>
      </c>
      <c r="B492" s="330" t="s">
        <v>1643</v>
      </c>
      <c r="C492" s="330" t="s">
        <v>4078</v>
      </c>
      <c r="D492" s="330" t="s">
        <v>1662</v>
      </c>
      <c r="E492" s="330" t="s">
        <v>2907</v>
      </c>
      <c r="F492" s="330" t="s">
        <v>1647</v>
      </c>
      <c r="G492" s="562">
        <v>1012</v>
      </c>
      <c r="H492" s="562">
        <v>653.59</v>
      </c>
      <c r="I492" s="562">
        <v>723.02</v>
      </c>
      <c r="J492" s="561" t="s">
        <v>1648</v>
      </c>
      <c r="K492" s="330" t="s">
        <v>4079</v>
      </c>
      <c r="L492" s="330" t="s">
        <v>4080</v>
      </c>
      <c r="M492" s="330" t="s">
        <v>4081</v>
      </c>
      <c r="N492" s="330" t="s">
        <v>4082</v>
      </c>
      <c r="O492" s="395">
        <v>45437</v>
      </c>
      <c r="P492" s="333">
        <v>5698827</v>
      </c>
      <c r="Q492" s="330" t="s">
        <v>1653</v>
      </c>
      <c r="R492" s="562">
        <v>0</v>
      </c>
      <c r="S492" s="333">
        <v>0</v>
      </c>
      <c r="T492" s="333">
        <v>-1616633.5800000003</v>
      </c>
      <c r="U492" s="333">
        <f t="shared" si="72"/>
        <v>-1616633.5800000003</v>
      </c>
      <c r="V492" s="333">
        <v>-150000</v>
      </c>
      <c r="W492" s="333">
        <v>0</v>
      </c>
      <c r="X492" s="333">
        <v>0</v>
      </c>
      <c r="Y492" s="333">
        <v>0</v>
      </c>
      <c r="Z492" s="333">
        <v>0</v>
      </c>
      <c r="AA492" s="333">
        <v>0</v>
      </c>
      <c r="AB492" s="333">
        <v>0</v>
      </c>
      <c r="AC492" s="333">
        <v>0</v>
      </c>
      <c r="AD492" s="333">
        <v>0</v>
      </c>
      <c r="AE492" s="333"/>
      <c r="AF492" s="333"/>
      <c r="AG492" s="333">
        <f t="shared" si="73"/>
        <v>-1766633.5800000003</v>
      </c>
      <c r="AH492" s="330"/>
      <c r="AI492" s="330">
        <v>0</v>
      </c>
      <c r="AJ492" s="396">
        <f t="shared" si="74"/>
        <v>-1766633.5800000003</v>
      </c>
      <c r="AK492" s="563"/>
      <c r="AL492" s="285">
        <f t="shared" si="75"/>
        <v>0</v>
      </c>
      <c r="AM492" s="286"/>
      <c r="AO492" s="330" t="s">
        <v>4079</v>
      </c>
    </row>
    <row r="493" spans="1:41">
      <c r="A493" s="587">
        <f t="shared" si="76"/>
        <v>490</v>
      </c>
      <c r="B493" s="330" t="s">
        <v>1643</v>
      </c>
      <c r="C493" s="330" t="s">
        <v>4083</v>
      </c>
      <c r="D493" s="330" t="s">
        <v>1645</v>
      </c>
      <c r="E493" s="330" t="s">
        <v>2647</v>
      </c>
      <c r="F493" s="330" t="s">
        <v>1647</v>
      </c>
      <c r="G493" s="562">
        <v>1012</v>
      </c>
      <c r="H493" s="562">
        <v>653.59</v>
      </c>
      <c r="I493" s="562">
        <v>723.02</v>
      </c>
      <c r="J493" s="561" t="s">
        <v>1648</v>
      </c>
      <c r="K493" s="330" t="s">
        <v>4084</v>
      </c>
      <c r="L493" s="330" t="s">
        <v>4085</v>
      </c>
      <c r="M493" s="330" t="s">
        <v>4086</v>
      </c>
      <c r="N493" s="330" t="s">
        <v>4087</v>
      </c>
      <c r="O493" s="395">
        <v>45434</v>
      </c>
      <c r="P493" s="333">
        <v>5729194</v>
      </c>
      <c r="Q493" s="330" t="s">
        <v>1653</v>
      </c>
      <c r="R493" s="562">
        <v>0</v>
      </c>
      <c r="S493" s="333">
        <v>0</v>
      </c>
      <c r="T493" s="333">
        <v>-1712806.09</v>
      </c>
      <c r="U493" s="333">
        <f t="shared" si="72"/>
        <v>-1712806.09</v>
      </c>
      <c r="V493" s="333">
        <v>0</v>
      </c>
      <c r="W493" s="333">
        <v>0</v>
      </c>
      <c r="X493" s="333">
        <v>0</v>
      </c>
      <c r="Y493" s="333">
        <v>0</v>
      </c>
      <c r="Z493" s="333">
        <v>0</v>
      </c>
      <c r="AA493" s="333">
        <v>0</v>
      </c>
      <c r="AB493" s="333">
        <v>0</v>
      </c>
      <c r="AC493" s="333">
        <v>1.0000000009313226E-2</v>
      </c>
      <c r="AD493" s="333">
        <v>0</v>
      </c>
      <c r="AE493" s="333"/>
      <c r="AF493" s="333"/>
      <c r="AG493" s="333">
        <f t="shared" si="73"/>
        <v>-1712806.08</v>
      </c>
      <c r="AH493" s="330"/>
      <c r="AI493" s="330">
        <v>-9.9999999983992893E-3</v>
      </c>
      <c r="AJ493" s="396">
        <f t="shared" si="74"/>
        <v>-1712806.08</v>
      </c>
      <c r="AK493" s="563"/>
      <c r="AL493" s="285">
        <f>+AC493+AI493</f>
        <v>1.0913936421275139E-11</v>
      </c>
      <c r="AM493" s="286"/>
      <c r="AO493" s="330" t="s">
        <v>4084</v>
      </c>
    </row>
    <row r="494" spans="1:41">
      <c r="A494" s="587">
        <f t="shared" si="76"/>
        <v>491</v>
      </c>
      <c r="B494" s="330" t="s">
        <v>1643</v>
      </c>
      <c r="C494" s="330" t="s">
        <v>4088</v>
      </c>
      <c r="D494" s="330" t="s">
        <v>1669</v>
      </c>
      <c r="E494" s="330" t="s">
        <v>3366</v>
      </c>
      <c r="F494" s="330" t="s">
        <v>1671</v>
      </c>
      <c r="G494" s="562">
        <v>1787</v>
      </c>
      <c r="H494" s="562">
        <v>1138.51</v>
      </c>
      <c r="I494" s="562">
        <v>1276.29</v>
      </c>
      <c r="J494" s="561" t="s">
        <v>1648</v>
      </c>
      <c r="K494" s="330" t="s">
        <v>4089</v>
      </c>
      <c r="L494" s="330" t="s">
        <v>4090</v>
      </c>
      <c r="M494" s="330" t="s">
        <v>4091</v>
      </c>
      <c r="N494" s="330" t="s">
        <v>4092</v>
      </c>
      <c r="O494" s="395">
        <v>45448</v>
      </c>
      <c r="P494" s="333">
        <v>11371211</v>
      </c>
      <c r="Q494" s="330" t="s">
        <v>1660</v>
      </c>
      <c r="R494" s="562">
        <v>0</v>
      </c>
      <c r="S494" s="333">
        <v>0</v>
      </c>
      <c r="T494" s="333">
        <v>0</v>
      </c>
      <c r="U494" s="333">
        <f t="shared" si="72"/>
        <v>0</v>
      </c>
      <c r="V494" s="333">
        <v>0</v>
      </c>
      <c r="W494" s="333">
        <v>0</v>
      </c>
      <c r="X494" s="333">
        <v>0</v>
      </c>
      <c r="Y494" s="333">
        <v>0</v>
      </c>
      <c r="Z494" s="333">
        <v>0</v>
      </c>
      <c r="AA494" s="333">
        <v>0</v>
      </c>
      <c r="AB494" s="333">
        <v>0</v>
      </c>
      <c r="AC494" s="333">
        <v>0</v>
      </c>
      <c r="AD494" s="333">
        <v>0</v>
      </c>
      <c r="AE494" s="333"/>
      <c r="AF494" s="333"/>
      <c r="AG494" s="333">
        <f t="shared" si="73"/>
        <v>0</v>
      </c>
      <c r="AH494" s="330"/>
      <c r="AI494" s="330">
        <v>0</v>
      </c>
      <c r="AJ494" s="396">
        <f t="shared" si="74"/>
        <v>0</v>
      </c>
      <c r="AK494" s="563"/>
      <c r="AL494" s="285">
        <f t="shared" si="75"/>
        <v>0</v>
      </c>
      <c r="AM494" s="286"/>
      <c r="AO494" s="330" t="s">
        <v>4089</v>
      </c>
    </row>
    <row r="495" spans="1:41">
      <c r="A495" s="587">
        <f t="shared" si="76"/>
        <v>492</v>
      </c>
      <c r="B495" s="330" t="s">
        <v>1643</v>
      </c>
      <c r="C495" s="330" t="s">
        <v>4093</v>
      </c>
      <c r="D495" s="330" t="s">
        <v>1662</v>
      </c>
      <c r="E495" s="330" t="s">
        <v>3771</v>
      </c>
      <c r="F495" s="330" t="s">
        <v>1786</v>
      </c>
      <c r="G495" s="562">
        <v>1265</v>
      </c>
      <c r="H495" s="562">
        <v>813.33</v>
      </c>
      <c r="I495" s="562">
        <v>903.31</v>
      </c>
      <c r="J495" s="561" t="s">
        <v>1648</v>
      </c>
      <c r="K495" s="330" t="s">
        <v>4094</v>
      </c>
      <c r="L495" s="330" t="s">
        <v>4095</v>
      </c>
      <c r="M495" s="330" t="s">
        <v>4096</v>
      </c>
      <c r="N495" s="330" t="s">
        <v>4097</v>
      </c>
      <c r="O495" s="395">
        <v>45437</v>
      </c>
      <c r="P495" s="333">
        <v>6848191</v>
      </c>
      <c r="Q495" s="330" t="s">
        <v>1653</v>
      </c>
      <c r="R495" s="562">
        <v>0</v>
      </c>
      <c r="S495" s="333">
        <v>0</v>
      </c>
      <c r="T495" s="333">
        <v>-2026323.2500000005</v>
      </c>
      <c r="U495" s="333">
        <f t="shared" si="72"/>
        <v>-2026323.2500000005</v>
      </c>
      <c r="V495" s="333">
        <v>0</v>
      </c>
      <c r="W495" s="333">
        <v>0</v>
      </c>
      <c r="X495" s="333">
        <v>0</v>
      </c>
      <c r="Y495" s="333">
        <v>0</v>
      </c>
      <c r="Z495" s="333">
        <v>0</v>
      </c>
      <c r="AA495" s="333">
        <v>0</v>
      </c>
      <c r="AB495" s="333">
        <v>0</v>
      </c>
      <c r="AC495" s="333">
        <v>-28131.78</v>
      </c>
      <c r="AD495" s="333">
        <v>0</v>
      </c>
      <c r="AE495" s="333"/>
      <c r="AF495" s="333"/>
      <c r="AG495" s="333">
        <f t="shared" si="73"/>
        <v>-2054455.0300000005</v>
      </c>
      <c r="AH495" s="330"/>
      <c r="AI495" s="330">
        <v>28131.78</v>
      </c>
      <c r="AJ495" s="396">
        <f t="shared" si="74"/>
        <v>-2054455.0300000005</v>
      </c>
      <c r="AK495" s="563"/>
      <c r="AL495" s="285">
        <f>+AC495+AI495</f>
        <v>0</v>
      </c>
      <c r="AM495" s="286"/>
      <c r="AO495" s="330" t="s">
        <v>4094</v>
      </c>
    </row>
    <row r="496" spans="1:41">
      <c r="A496" s="587">
        <f t="shared" si="76"/>
        <v>493</v>
      </c>
      <c r="B496" s="330" t="s">
        <v>1643</v>
      </c>
      <c r="C496" s="330" t="s">
        <v>3006</v>
      </c>
      <c r="D496" s="330" t="s">
        <v>1655</v>
      </c>
      <c r="E496" s="330" t="s">
        <v>3007</v>
      </c>
      <c r="F496" s="330" t="s">
        <v>1647</v>
      </c>
      <c r="G496" s="562">
        <v>1012</v>
      </c>
      <c r="H496" s="562">
        <v>653.59</v>
      </c>
      <c r="I496" s="562">
        <v>723.02</v>
      </c>
      <c r="J496" s="561" t="s">
        <v>2611</v>
      </c>
      <c r="K496" s="330" t="s">
        <v>4098</v>
      </c>
      <c r="L496" s="330" t="s">
        <v>4099</v>
      </c>
      <c r="M496" s="330" t="s">
        <v>4100</v>
      </c>
      <c r="N496" s="330" t="s">
        <v>12</v>
      </c>
      <c r="O496" s="395"/>
      <c r="P496" s="333">
        <v>6187429</v>
      </c>
      <c r="Q496" s="330" t="s">
        <v>1660</v>
      </c>
      <c r="R496" s="562">
        <v>0</v>
      </c>
      <c r="S496" s="333">
        <v>0</v>
      </c>
      <c r="T496" s="333">
        <v>-76000</v>
      </c>
      <c r="U496" s="333">
        <f t="shared" si="72"/>
        <v>-76000</v>
      </c>
      <c r="V496" s="333">
        <v>76000</v>
      </c>
      <c r="W496" s="333">
        <v>0</v>
      </c>
      <c r="X496" s="333">
        <v>0</v>
      </c>
      <c r="Y496" s="333">
        <v>0</v>
      </c>
      <c r="Z496" s="333">
        <v>0</v>
      </c>
      <c r="AA496" s="333">
        <v>0</v>
      </c>
      <c r="AB496" s="333">
        <v>0</v>
      </c>
      <c r="AC496" s="333">
        <v>0</v>
      </c>
      <c r="AD496" s="333">
        <v>0</v>
      </c>
      <c r="AE496" s="333"/>
      <c r="AF496" s="333"/>
      <c r="AG496" s="333">
        <f t="shared" si="73"/>
        <v>0</v>
      </c>
      <c r="AH496" s="330"/>
      <c r="AI496" s="330">
        <v>0</v>
      </c>
      <c r="AJ496" s="396">
        <f t="shared" si="74"/>
        <v>0</v>
      </c>
      <c r="AK496" s="563"/>
      <c r="AL496" s="285">
        <f t="shared" si="75"/>
        <v>0</v>
      </c>
      <c r="AM496" s="286"/>
      <c r="AO496" s="330" t="s">
        <v>4098</v>
      </c>
    </row>
    <row r="497" spans="1:41">
      <c r="A497" s="587">
        <f t="shared" si="76"/>
        <v>494</v>
      </c>
      <c r="B497" s="330" t="s">
        <v>1643</v>
      </c>
      <c r="C497" s="330" t="s">
        <v>2675</v>
      </c>
      <c r="D497" s="330" t="s">
        <v>1677</v>
      </c>
      <c r="E497" s="330" t="s">
        <v>1840</v>
      </c>
      <c r="F497" s="330" t="s">
        <v>1647</v>
      </c>
      <c r="G497" s="562">
        <v>1012</v>
      </c>
      <c r="H497" s="562">
        <v>653.59</v>
      </c>
      <c r="I497" s="562">
        <v>723.02</v>
      </c>
      <c r="J497" s="561" t="s">
        <v>1648</v>
      </c>
      <c r="K497" s="330" t="s">
        <v>4101</v>
      </c>
      <c r="L497" s="330" t="s">
        <v>4102</v>
      </c>
      <c r="M497" s="330" t="s">
        <v>4103</v>
      </c>
      <c r="N497" s="330" t="s">
        <v>12</v>
      </c>
      <c r="O497" s="395"/>
      <c r="P497" s="333">
        <v>6500000</v>
      </c>
      <c r="Q497" s="330" t="s">
        <v>1660</v>
      </c>
      <c r="R497" s="562">
        <v>0</v>
      </c>
      <c r="S497" s="333">
        <v>0</v>
      </c>
      <c r="T497" s="333">
        <v>0</v>
      </c>
      <c r="U497" s="333">
        <f t="shared" si="72"/>
        <v>0</v>
      </c>
      <c r="V497" s="333">
        <v>0</v>
      </c>
      <c r="W497" s="333">
        <v>0</v>
      </c>
      <c r="X497" s="333">
        <v>0</v>
      </c>
      <c r="Y497" s="333">
        <v>0</v>
      </c>
      <c r="Z497" s="333">
        <v>0</v>
      </c>
      <c r="AA497" s="333">
        <v>0</v>
      </c>
      <c r="AB497" s="333">
        <v>0</v>
      </c>
      <c r="AC497" s="333">
        <v>0</v>
      </c>
      <c r="AD497" s="333">
        <v>0</v>
      </c>
      <c r="AE497" s="333"/>
      <c r="AF497" s="333"/>
      <c r="AG497" s="333">
        <f t="shared" si="73"/>
        <v>0</v>
      </c>
      <c r="AH497" s="330"/>
      <c r="AI497" s="330">
        <v>0</v>
      </c>
      <c r="AJ497" s="396">
        <f t="shared" si="74"/>
        <v>0</v>
      </c>
      <c r="AK497" s="563"/>
      <c r="AL497" s="285">
        <f t="shared" si="75"/>
        <v>0</v>
      </c>
      <c r="AM497" s="286"/>
      <c r="AO497" s="330" t="s">
        <v>4101</v>
      </c>
    </row>
    <row r="498" spans="1:41">
      <c r="A498" s="587">
        <f t="shared" si="76"/>
        <v>495</v>
      </c>
      <c r="B498" s="330" t="s">
        <v>1643</v>
      </c>
      <c r="C498" s="330" t="s">
        <v>4104</v>
      </c>
      <c r="D498" s="330" t="s">
        <v>1662</v>
      </c>
      <c r="E498" s="330" t="s">
        <v>2744</v>
      </c>
      <c r="F498" s="330" t="s">
        <v>1671</v>
      </c>
      <c r="G498" s="562">
        <v>1498</v>
      </c>
      <c r="H498" s="562">
        <v>954.87</v>
      </c>
      <c r="I498" s="562">
        <v>1069.73</v>
      </c>
      <c r="J498" s="561" t="s">
        <v>1810</v>
      </c>
      <c r="K498" s="330" t="s">
        <v>4105</v>
      </c>
      <c r="L498" s="330" t="s">
        <v>4106</v>
      </c>
      <c r="M498" s="330" t="s">
        <v>4107</v>
      </c>
      <c r="N498" s="330" t="s">
        <v>4108</v>
      </c>
      <c r="O498" s="395">
        <v>45491</v>
      </c>
      <c r="P498" s="333">
        <v>9151714</v>
      </c>
      <c r="Q498" s="330" t="s">
        <v>1653</v>
      </c>
      <c r="R498" s="562">
        <v>0</v>
      </c>
      <c r="S498" s="333">
        <v>0</v>
      </c>
      <c r="T498" s="333">
        <v>-2837033.2800000003</v>
      </c>
      <c r="U498" s="333">
        <f t="shared" si="72"/>
        <v>-2837033.2800000003</v>
      </c>
      <c r="V498" s="333">
        <v>0</v>
      </c>
      <c r="W498" s="333">
        <v>0</v>
      </c>
      <c r="X498" s="333">
        <v>0</v>
      </c>
      <c r="Y498" s="333">
        <v>0</v>
      </c>
      <c r="Z498" s="333">
        <v>0</v>
      </c>
      <c r="AA498" s="333">
        <v>0</v>
      </c>
      <c r="AB498" s="333">
        <v>0</v>
      </c>
      <c r="AC498" s="333">
        <v>0</v>
      </c>
      <c r="AD498" s="333">
        <v>0</v>
      </c>
      <c r="AE498" s="333"/>
      <c r="AF498" s="333"/>
      <c r="AG498" s="333">
        <f t="shared" si="73"/>
        <v>-2837033.2800000003</v>
      </c>
      <c r="AH498" s="330"/>
      <c r="AI498" s="330">
        <v>0</v>
      </c>
      <c r="AJ498" s="396">
        <f t="shared" si="74"/>
        <v>-2837033.2800000003</v>
      </c>
      <c r="AK498" s="563"/>
      <c r="AL498" s="285">
        <f t="shared" si="75"/>
        <v>0</v>
      </c>
      <c r="AM498" s="286"/>
      <c r="AO498" s="330" t="s">
        <v>4105</v>
      </c>
    </row>
    <row r="499" spans="1:41">
      <c r="A499" s="587">
        <f t="shared" si="76"/>
        <v>496</v>
      </c>
      <c r="B499" s="330" t="s">
        <v>1643</v>
      </c>
      <c r="C499" s="330" t="s">
        <v>4109</v>
      </c>
      <c r="D499" s="330" t="s">
        <v>1645</v>
      </c>
      <c r="E499" s="330" t="s">
        <v>2842</v>
      </c>
      <c r="F499" s="330" t="s">
        <v>1671</v>
      </c>
      <c r="G499" s="562">
        <v>1375</v>
      </c>
      <c r="H499" s="562">
        <v>876.73</v>
      </c>
      <c r="I499" s="562">
        <v>982.22</v>
      </c>
      <c r="J499" s="561" t="s">
        <v>1810</v>
      </c>
      <c r="K499" s="330" t="s">
        <v>4110</v>
      </c>
      <c r="L499" s="330" t="s">
        <v>4111</v>
      </c>
      <c r="M499" s="330" t="s">
        <v>4112</v>
      </c>
      <c r="N499" s="330" t="s">
        <v>4113</v>
      </c>
      <c r="O499" s="395">
        <v>45455</v>
      </c>
      <c r="P499" s="333">
        <v>7785524</v>
      </c>
      <c r="Q499" s="330" t="s">
        <v>1653</v>
      </c>
      <c r="R499" s="562">
        <v>0</v>
      </c>
      <c r="S499" s="333">
        <v>0</v>
      </c>
      <c r="T499" s="333">
        <v>-2413511.38</v>
      </c>
      <c r="U499" s="333">
        <f t="shared" si="72"/>
        <v>-2413511.38</v>
      </c>
      <c r="V499" s="333">
        <v>0</v>
      </c>
      <c r="W499" s="333">
        <v>0</v>
      </c>
      <c r="X499" s="333">
        <v>0</v>
      </c>
      <c r="Y499" s="333">
        <v>0</v>
      </c>
      <c r="Z499" s="333">
        <v>0</v>
      </c>
      <c r="AA499" s="333">
        <v>0</v>
      </c>
      <c r="AB499" s="333">
        <v>0</v>
      </c>
      <c r="AC499" s="333">
        <v>0</v>
      </c>
      <c r="AD499" s="333">
        <v>0</v>
      </c>
      <c r="AE499" s="333"/>
      <c r="AF499" s="333"/>
      <c r="AG499" s="333">
        <f t="shared" si="73"/>
        <v>-2413511.38</v>
      </c>
      <c r="AH499" s="330"/>
      <c r="AI499" s="330">
        <v>0</v>
      </c>
      <c r="AJ499" s="396">
        <f t="shared" si="74"/>
        <v>-2413511.38</v>
      </c>
      <c r="AK499" s="563"/>
      <c r="AL499" s="285">
        <f t="shared" si="75"/>
        <v>0</v>
      </c>
      <c r="AM499" s="286"/>
      <c r="AO499" s="330" t="s">
        <v>4110</v>
      </c>
    </row>
    <row r="500" spans="1:41">
      <c r="A500" s="587">
        <f t="shared" si="76"/>
        <v>497</v>
      </c>
      <c r="B500" s="330" t="s">
        <v>1643</v>
      </c>
      <c r="C500" s="330" t="s">
        <v>4114</v>
      </c>
      <c r="D500" s="330" t="s">
        <v>1655</v>
      </c>
      <c r="E500" s="330" t="s">
        <v>3047</v>
      </c>
      <c r="F500" s="330" t="s">
        <v>1647</v>
      </c>
      <c r="G500" s="562">
        <v>1012</v>
      </c>
      <c r="H500" s="562">
        <v>653.59</v>
      </c>
      <c r="I500" s="562">
        <v>723.02</v>
      </c>
      <c r="J500" s="561" t="s">
        <v>1810</v>
      </c>
      <c r="K500" s="330" t="s">
        <v>4115</v>
      </c>
      <c r="L500" s="330" t="s">
        <v>4116</v>
      </c>
      <c r="M500" s="330" t="s">
        <v>4117</v>
      </c>
      <c r="N500" s="330" t="s">
        <v>12</v>
      </c>
      <c r="O500" s="395"/>
      <c r="P500" s="333">
        <v>6187429</v>
      </c>
      <c r="Q500" s="330" t="s">
        <v>1660</v>
      </c>
      <c r="R500" s="562">
        <v>0</v>
      </c>
      <c r="S500" s="333">
        <v>0</v>
      </c>
      <c r="T500" s="333">
        <v>-51000</v>
      </c>
      <c r="U500" s="333">
        <f t="shared" si="72"/>
        <v>-51000</v>
      </c>
      <c r="V500" s="333">
        <v>51000</v>
      </c>
      <c r="W500" s="333">
        <v>0</v>
      </c>
      <c r="X500" s="333">
        <v>0</v>
      </c>
      <c r="Y500" s="333">
        <v>0</v>
      </c>
      <c r="Z500" s="333">
        <v>0</v>
      </c>
      <c r="AA500" s="333">
        <v>0</v>
      </c>
      <c r="AB500" s="333">
        <v>0</v>
      </c>
      <c r="AC500" s="333">
        <v>0</v>
      </c>
      <c r="AD500" s="333">
        <v>0</v>
      </c>
      <c r="AE500" s="333"/>
      <c r="AF500" s="333"/>
      <c r="AG500" s="333">
        <f t="shared" si="73"/>
        <v>0</v>
      </c>
      <c r="AH500" s="330"/>
      <c r="AI500" s="330">
        <v>0</v>
      </c>
      <c r="AJ500" s="396">
        <f t="shared" si="74"/>
        <v>0</v>
      </c>
      <c r="AK500" s="563"/>
      <c r="AL500" s="285">
        <f t="shared" si="75"/>
        <v>0</v>
      </c>
      <c r="AM500" s="286"/>
      <c r="AO500" s="330" t="s">
        <v>4115</v>
      </c>
    </row>
    <row r="501" spans="1:41">
      <c r="A501" s="587">
        <f t="shared" si="76"/>
        <v>498</v>
      </c>
      <c r="B501" s="330" t="s">
        <v>1643</v>
      </c>
      <c r="C501" s="330" t="s">
        <v>4118</v>
      </c>
      <c r="D501" s="330" t="s">
        <v>1669</v>
      </c>
      <c r="E501" s="330" t="s">
        <v>2744</v>
      </c>
      <c r="F501" s="330" t="s">
        <v>1671</v>
      </c>
      <c r="G501" s="562">
        <v>1787</v>
      </c>
      <c r="H501" s="562">
        <v>1138.51</v>
      </c>
      <c r="I501" s="562">
        <v>1276.29</v>
      </c>
      <c r="J501" s="561" t="s">
        <v>1810</v>
      </c>
      <c r="K501" s="330" t="s">
        <v>4119</v>
      </c>
      <c r="L501" s="330" t="s">
        <v>4120</v>
      </c>
      <c r="M501" s="330" t="s">
        <v>4121</v>
      </c>
      <c r="N501" s="330" t="s">
        <v>4122</v>
      </c>
      <c r="O501" s="395">
        <v>45474</v>
      </c>
      <c r="P501" s="333">
        <v>11003130</v>
      </c>
      <c r="Q501" s="330" t="s">
        <v>1653</v>
      </c>
      <c r="R501" s="562">
        <v>0</v>
      </c>
      <c r="S501" s="333">
        <v>0</v>
      </c>
      <c r="T501" s="333">
        <v>-3410966.3399999989</v>
      </c>
      <c r="U501" s="333">
        <f t="shared" si="72"/>
        <v>-3410966.3399999989</v>
      </c>
      <c r="V501" s="333">
        <v>0</v>
      </c>
      <c r="W501" s="333">
        <v>0</v>
      </c>
      <c r="X501" s="333">
        <v>0</v>
      </c>
      <c r="Y501" s="333">
        <v>0</v>
      </c>
      <c r="Z501" s="333">
        <v>0</v>
      </c>
      <c r="AA501" s="333">
        <v>0</v>
      </c>
      <c r="AB501" s="333">
        <v>0</v>
      </c>
      <c r="AC501" s="333">
        <v>0.1000000000003638</v>
      </c>
      <c r="AD501" s="333">
        <v>0</v>
      </c>
      <c r="AE501" s="333"/>
      <c r="AF501" s="333"/>
      <c r="AG501" s="333">
        <f t="shared" si="73"/>
        <v>-3410966.2399999988</v>
      </c>
      <c r="AH501" s="330"/>
      <c r="AI501" s="330">
        <v>-0.1000000000003638</v>
      </c>
      <c r="AJ501" s="396">
        <f t="shared" si="74"/>
        <v>-3410966.2399999988</v>
      </c>
      <c r="AK501" s="563"/>
      <c r="AL501" s="285">
        <f t="shared" ref="AL501:AL502" si="82">+AC501+AI501</f>
        <v>0</v>
      </c>
      <c r="AM501" s="286"/>
      <c r="AO501" s="330" t="s">
        <v>4119</v>
      </c>
    </row>
    <row r="502" spans="1:41">
      <c r="A502" s="587">
        <f t="shared" si="76"/>
        <v>499</v>
      </c>
      <c r="B502" s="330" t="s">
        <v>1643</v>
      </c>
      <c r="C502" s="330" t="s">
        <v>4123</v>
      </c>
      <c r="D502" s="330" t="s">
        <v>1746</v>
      </c>
      <c r="E502" s="330" t="s">
        <v>2100</v>
      </c>
      <c r="F502" s="330" t="s">
        <v>1647</v>
      </c>
      <c r="G502" s="562">
        <v>1114</v>
      </c>
      <c r="H502" s="562">
        <v>683.3</v>
      </c>
      <c r="I502" s="562">
        <v>795.57</v>
      </c>
      <c r="J502" s="561" t="s">
        <v>1810</v>
      </c>
      <c r="K502" s="330" t="s">
        <v>4124</v>
      </c>
      <c r="L502" s="330" t="s">
        <v>4125</v>
      </c>
      <c r="M502" s="330" t="s">
        <v>4126</v>
      </c>
      <c r="N502" s="330" t="s">
        <v>4127</v>
      </c>
      <c r="O502" s="395">
        <v>45513</v>
      </c>
      <c r="P502" s="333">
        <v>6459429</v>
      </c>
      <c r="Q502" s="330" t="s">
        <v>1653</v>
      </c>
      <c r="R502" s="562">
        <v>0</v>
      </c>
      <c r="S502" s="333">
        <v>0</v>
      </c>
      <c r="T502" s="333">
        <v>-2002421.5600000003</v>
      </c>
      <c r="U502" s="333">
        <f t="shared" si="72"/>
        <v>-2002421.5600000003</v>
      </c>
      <c r="V502" s="333">
        <v>0</v>
      </c>
      <c r="W502" s="333">
        <v>0</v>
      </c>
      <c r="X502" s="333">
        <v>0</v>
      </c>
      <c r="Y502" s="333">
        <v>0</v>
      </c>
      <c r="Z502" s="333">
        <v>0</v>
      </c>
      <c r="AA502" s="333">
        <v>0</v>
      </c>
      <c r="AB502" s="333">
        <v>0</v>
      </c>
      <c r="AC502" s="333">
        <v>-2429</v>
      </c>
      <c r="AD502" s="333">
        <v>0</v>
      </c>
      <c r="AE502" s="333"/>
      <c r="AF502" s="333"/>
      <c r="AG502" s="333">
        <f t="shared" si="73"/>
        <v>-2004850.5600000003</v>
      </c>
      <c r="AH502" s="330"/>
      <c r="AI502" s="330">
        <v>2429</v>
      </c>
      <c r="AJ502" s="396">
        <f t="shared" si="74"/>
        <v>-2004850.5600000003</v>
      </c>
      <c r="AK502" s="563"/>
      <c r="AL502" s="285">
        <f t="shared" si="82"/>
        <v>0</v>
      </c>
      <c r="AM502" s="286"/>
      <c r="AO502" s="330" t="s">
        <v>4124</v>
      </c>
    </row>
    <row r="503" spans="1:41">
      <c r="A503" s="587">
        <f t="shared" si="76"/>
        <v>500</v>
      </c>
      <c r="B503" s="330" t="s">
        <v>1643</v>
      </c>
      <c r="C503" s="330" t="s">
        <v>4128</v>
      </c>
      <c r="D503" s="330" t="s">
        <v>1704</v>
      </c>
      <c r="E503" s="330" t="s">
        <v>1816</v>
      </c>
      <c r="F503" s="330" t="s">
        <v>1647</v>
      </c>
      <c r="G503" s="562">
        <v>1375</v>
      </c>
      <c r="H503" s="562">
        <v>876.73</v>
      </c>
      <c r="I503" s="562">
        <v>982.22</v>
      </c>
      <c r="J503" s="561" t="s">
        <v>1810</v>
      </c>
      <c r="K503" s="330" t="s">
        <v>4129</v>
      </c>
      <c r="L503" s="330" t="s">
        <v>4130</v>
      </c>
      <c r="M503" s="330" t="s">
        <v>4131</v>
      </c>
      <c r="N503" s="330" t="s">
        <v>4132</v>
      </c>
      <c r="O503" s="395">
        <v>45474</v>
      </c>
      <c r="P503" s="333">
        <v>8366000</v>
      </c>
      <c r="Q503" s="330" t="s">
        <v>1653</v>
      </c>
      <c r="R503" s="562">
        <v>0</v>
      </c>
      <c r="S503" s="333">
        <v>0</v>
      </c>
      <c r="T503" s="333">
        <v>0</v>
      </c>
      <c r="U503" s="333">
        <f t="shared" si="72"/>
        <v>0</v>
      </c>
      <c r="V503" s="333">
        <v>0</v>
      </c>
      <c r="W503" s="333">
        <v>0</v>
      </c>
      <c r="X503" s="333">
        <v>0</v>
      </c>
      <c r="Y503" s="333">
        <v>0</v>
      </c>
      <c r="Z503" s="333">
        <v>0</v>
      </c>
      <c r="AA503" s="333">
        <v>0</v>
      </c>
      <c r="AB503" s="333">
        <v>0</v>
      </c>
      <c r="AC503" s="333">
        <v>0</v>
      </c>
      <c r="AD503" s="333">
        <v>0</v>
      </c>
      <c r="AE503" s="333"/>
      <c r="AF503" s="333"/>
      <c r="AG503" s="333">
        <f t="shared" si="73"/>
        <v>0</v>
      </c>
      <c r="AH503" s="330"/>
      <c r="AI503" s="330">
        <v>0</v>
      </c>
      <c r="AJ503" s="396">
        <f t="shared" si="74"/>
        <v>0</v>
      </c>
      <c r="AK503" s="563"/>
      <c r="AL503" s="285">
        <f t="shared" si="75"/>
        <v>0</v>
      </c>
      <c r="AM503" s="286"/>
      <c r="AO503" s="330" t="s">
        <v>4129</v>
      </c>
    </row>
    <row r="504" spans="1:41">
      <c r="A504" s="587">
        <f t="shared" si="76"/>
        <v>501</v>
      </c>
      <c r="B504" s="330" t="s">
        <v>1643</v>
      </c>
      <c r="C504" s="330" t="s">
        <v>4133</v>
      </c>
      <c r="D504" s="330" t="s">
        <v>1704</v>
      </c>
      <c r="E504" s="330" t="s">
        <v>2404</v>
      </c>
      <c r="F504" s="330" t="s">
        <v>1647</v>
      </c>
      <c r="G504" s="562">
        <v>1375</v>
      </c>
      <c r="H504" s="562">
        <v>876.73</v>
      </c>
      <c r="I504" s="562">
        <v>982.22</v>
      </c>
      <c r="J504" s="561" t="s">
        <v>1810</v>
      </c>
      <c r="K504" s="330" t="s">
        <v>4134</v>
      </c>
      <c r="L504" s="330" t="s">
        <v>4130</v>
      </c>
      <c r="M504" s="330" t="s">
        <v>4131</v>
      </c>
      <c r="N504" s="330" t="s">
        <v>12</v>
      </c>
      <c r="O504" s="395"/>
      <c r="P504" s="333">
        <v>8366000</v>
      </c>
      <c r="Q504" s="330" t="s">
        <v>1660</v>
      </c>
      <c r="R504" s="562">
        <v>0</v>
      </c>
      <c r="S504" s="333">
        <v>0</v>
      </c>
      <c r="T504" s="333">
        <v>-2593460</v>
      </c>
      <c r="U504" s="333">
        <f t="shared" si="72"/>
        <v>-2593460</v>
      </c>
      <c r="V504" s="333">
        <v>0</v>
      </c>
      <c r="W504" s="333">
        <v>0</v>
      </c>
      <c r="X504" s="333">
        <v>0</v>
      </c>
      <c r="Y504" s="333">
        <v>0</v>
      </c>
      <c r="Z504" s="333">
        <v>0</v>
      </c>
      <c r="AA504" s="333">
        <v>0</v>
      </c>
      <c r="AB504" s="333">
        <v>0</v>
      </c>
      <c r="AC504" s="333">
        <v>0</v>
      </c>
      <c r="AD504" s="333">
        <v>0</v>
      </c>
      <c r="AE504" s="333"/>
      <c r="AF504" s="333"/>
      <c r="AG504" s="333">
        <f t="shared" si="73"/>
        <v>-2593460</v>
      </c>
      <c r="AH504" s="330"/>
      <c r="AI504" s="330">
        <v>0</v>
      </c>
      <c r="AJ504" s="396">
        <f t="shared" si="74"/>
        <v>-2593460</v>
      </c>
      <c r="AK504" s="563"/>
      <c r="AL504" s="285">
        <f t="shared" si="75"/>
        <v>0</v>
      </c>
      <c r="AM504" s="286"/>
      <c r="AO504" s="330" t="s">
        <v>4134</v>
      </c>
    </row>
    <row r="505" spans="1:41">
      <c r="A505" s="587">
        <f t="shared" si="76"/>
        <v>502</v>
      </c>
      <c r="B505" s="330" t="s">
        <v>1643</v>
      </c>
      <c r="C505" s="330" t="s">
        <v>4135</v>
      </c>
      <c r="D505" s="330" t="s">
        <v>1645</v>
      </c>
      <c r="E505" s="330" t="s">
        <v>2243</v>
      </c>
      <c r="F505" s="330" t="s">
        <v>1786</v>
      </c>
      <c r="G505" s="562">
        <v>1265</v>
      </c>
      <c r="H505" s="562">
        <v>813.33</v>
      </c>
      <c r="I505" s="562">
        <v>903.31</v>
      </c>
      <c r="J505" s="561" t="s">
        <v>1810</v>
      </c>
      <c r="K505" s="330" t="s">
        <v>4136</v>
      </c>
      <c r="L505" s="330" t="s">
        <v>4137</v>
      </c>
      <c r="M505" s="330" t="s">
        <v>4138</v>
      </c>
      <c r="N505" s="330" t="s">
        <v>4139</v>
      </c>
      <c r="O505" s="395">
        <v>45439</v>
      </c>
      <c r="P505" s="333">
        <v>7221099</v>
      </c>
      <c r="Q505" s="330" t="s">
        <v>1653</v>
      </c>
      <c r="R505" s="562">
        <v>0</v>
      </c>
      <c r="S505" s="333">
        <v>0</v>
      </c>
      <c r="T505" s="333">
        <v>-2202778.5000000009</v>
      </c>
      <c r="U505" s="333">
        <f t="shared" si="72"/>
        <v>-2202778.5000000009</v>
      </c>
      <c r="V505" s="333">
        <v>0</v>
      </c>
      <c r="W505" s="333">
        <v>0</v>
      </c>
      <c r="X505" s="333">
        <v>0</v>
      </c>
      <c r="Y505" s="333">
        <v>0</v>
      </c>
      <c r="Z505" s="333">
        <v>0</v>
      </c>
      <c r="AA505" s="333">
        <v>0</v>
      </c>
      <c r="AB505" s="333">
        <v>0</v>
      </c>
      <c r="AC505" s="333">
        <v>-35762</v>
      </c>
      <c r="AD505" s="333">
        <v>0</v>
      </c>
      <c r="AE505" s="333"/>
      <c r="AF505" s="333"/>
      <c r="AG505" s="333">
        <f t="shared" si="73"/>
        <v>-2238540.5000000009</v>
      </c>
      <c r="AH505" s="330"/>
      <c r="AI505" s="330">
        <v>35762</v>
      </c>
      <c r="AJ505" s="396">
        <f t="shared" si="74"/>
        <v>-2238540.5000000009</v>
      </c>
      <c r="AK505" s="563"/>
      <c r="AL505" s="285">
        <f>+AC505+AI505</f>
        <v>0</v>
      </c>
      <c r="AM505" s="286"/>
      <c r="AO505" s="330" t="s">
        <v>4136</v>
      </c>
    </row>
    <row r="506" spans="1:41">
      <c r="A506" s="587">
        <f t="shared" si="76"/>
        <v>503</v>
      </c>
      <c r="B506" s="330" t="s">
        <v>1643</v>
      </c>
      <c r="C506" s="330" t="s">
        <v>4140</v>
      </c>
      <c r="D506" s="330" t="s">
        <v>1704</v>
      </c>
      <c r="E506" s="330" t="s">
        <v>4141</v>
      </c>
      <c r="F506" s="330" t="s">
        <v>1786</v>
      </c>
      <c r="G506" s="562">
        <v>1265</v>
      </c>
      <c r="H506" s="562">
        <v>813.33</v>
      </c>
      <c r="I506" s="562">
        <v>903.31</v>
      </c>
      <c r="J506" s="561" t="s">
        <v>1810</v>
      </c>
      <c r="K506" s="330" t="s">
        <v>4142</v>
      </c>
      <c r="L506" s="330" t="s">
        <v>4143</v>
      </c>
      <c r="M506" s="330" t="s">
        <v>4144</v>
      </c>
      <c r="N506" s="330" t="s">
        <v>4145</v>
      </c>
      <c r="O506" s="395">
        <v>45489</v>
      </c>
      <c r="P506" s="333">
        <v>7428571</v>
      </c>
      <c r="Q506" s="330" t="s">
        <v>1653</v>
      </c>
      <c r="R506" s="562">
        <v>0</v>
      </c>
      <c r="S506" s="333">
        <v>0</v>
      </c>
      <c r="T506" s="333">
        <v>-2302856.129999999</v>
      </c>
      <c r="U506" s="333">
        <f t="shared" si="72"/>
        <v>-2302856.129999999</v>
      </c>
      <c r="V506" s="333">
        <v>0</v>
      </c>
      <c r="W506" s="333">
        <v>0</v>
      </c>
      <c r="X506" s="333">
        <v>0</v>
      </c>
      <c r="Y506" s="333">
        <v>0</v>
      </c>
      <c r="Z506" s="333">
        <v>0</v>
      </c>
      <c r="AA506" s="333">
        <v>0</v>
      </c>
      <c r="AB506" s="333">
        <v>0</v>
      </c>
      <c r="AC506" s="333">
        <v>0</v>
      </c>
      <c r="AD506" s="333">
        <v>0</v>
      </c>
      <c r="AE506" s="333"/>
      <c r="AF506" s="333"/>
      <c r="AG506" s="333">
        <f t="shared" si="73"/>
        <v>-2302856.129999999</v>
      </c>
      <c r="AH506" s="330"/>
      <c r="AI506" s="330">
        <v>0</v>
      </c>
      <c r="AJ506" s="396">
        <f t="shared" si="74"/>
        <v>-2302856.129999999</v>
      </c>
      <c r="AK506" s="563"/>
      <c r="AL506" s="285">
        <f t="shared" si="75"/>
        <v>0</v>
      </c>
      <c r="AM506" s="286"/>
      <c r="AO506" s="330" t="s">
        <v>4142</v>
      </c>
    </row>
    <row r="507" spans="1:41">
      <c r="A507" s="587">
        <f t="shared" si="76"/>
        <v>504</v>
      </c>
      <c r="B507" s="330" t="s">
        <v>1643</v>
      </c>
      <c r="C507" s="330" t="s">
        <v>3765</v>
      </c>
      <c r="D507" s="330" t="s">
        <v>1669</v>
      </c>
      <c r="E507" s="330" t="s">
        <v>3766</v>
      </c>
      <c r="F507" s="330" t="s">
        <v>1671</v>
      </c>
      <c r="G507" s="562">
        <v>1787</v>
      </c>
      <c r="H507" s="562">
        <v>1138.51</v>
      </c>
      <c r="I507" s="562">
        <v>1276.29</v>
      </c>
      <c r="J507" s="561" t="s">
        <v>1648</v>
      </c>
      <c r="K507" s="330" t="s">
        <v>4146</v>
      </c>
      <c r="L507" s="330" t="s">
        <v>4147</v>
      </c>
      <c r="M507" s="330" t="s">
        <v>4148</v>
      </c>
      <c r="N507" s="330" t="s">
        <v>3769</v>
      </c>
      <c r="O507" s="395">
        <v>45456</v>
      </c>
      <c r="P507" s="333">
        <v>10776761</v>
      </c>
      <c r="Q507" s="330" t="s">
        <v>1653</v>
      </c>
      <c r="R507" s="562">
        <v>0</v>
      </c>
      <c r="S507" s="333">
        <v>0</v>
      </c>
      <c r="T507" s="333">
        <v>11551.419999998529</v>
      </c>
      <c r="U507" s="333">
        <f t="shared" si="72"/>
        <v>11551.419999998529</v>
      </c>
      <c r="V507" s="333">
        <v>-3244580.5</v>
      </c>
      <c r="W507" s="333">
        <v>0</v>
      </c>
      <c r="X507" s="333">
        <v>0</v>
      </c>
      <c r="Y507" s="333">
        <v>0</v>
      </c>
      <c r="Z507" s="333">
        <v>0</v>
      </c>
      <c r="AA507" s="333">
        <v>0</v>
      </c>
      <c r="AB507" s="333">
        <v>0</v>
      </c>
      <c r="AC507" s="333">
        <v>0</v>
      </c>
      <c r="AD507" s="333">
        <v>0</v>
      </c>
      <c r="AE507" s="333"/>
      <c r="AF507" s="333"/>
      <c r="AG507" s="333">
        <f t="shared" si="73"/>
        <v>-3233029.0800000015</v>
      </c>
      <c r="AH507" s="330"/>
      <c r="AI507" s="330">
        <v>0</v>
      </c>
      <c r="AJ507" s="396">
        <f t="shared" si="74"/>
        <v>-3233029.0800000015</v>
      </c>
      <c r="AK507" s="563"/>
      <c r="AL507" s="285">
        <f t="shared" si="75"/>
        <v>0</v>
      </c>
      <c r="AM507" s="286"/>
      <c r="AO507" s="330" t="s">
        <v>4146</v>
      </c>
    </row>
    <row r="508" spans="1:41">
      <c r="A508" s="587">
        <f t="shared" si="76"/>
        <v>505</v>
      </c>
      <c r="B508" s="330" t="s">
        <v>1643</v>
      </c>
      <c r="C508" s="330" t="s">
        <v>4149</v>
      </c>
      <c r="D508" s="330" t="s">
        <v>1746</v>
      </c>
      <c r="E508" s="330" t="s">
        <v>2243</v>
      </c>
      <c r="F508" s="330" t="s">
        <v>1786</v>
      </c>
      <c r="G508" s="562">
        <v>1265</v>
      </c>
      <c r="H508" s="562">
        <v>813.33</v>
      </c>
      <c r="I508" s="562">
        <v>903.31</v>
      </c>
      <c r="J508" s="561" t="s">
        <v>1648</v>
      </c>
      <c r="K508" s="330" t="s">
        <v>4150</v>
      </c>
      <c r="L508" s="330" t="s">
        <v>4151</v>
      </c>
      <c r="M508" s="330" t="s">
        <v>4152</v>
      </c>
      <c r="N508" s="330" t="s">
        <v>4153</v>
      </c>
      <c r="O508" s="395">
        <v>45448</v>
      </c>
      <c r="P508" s="333">
        <v>7169619</v>
      </c>
      <c r="Q508" s="330" t="s">
        <v>1653</v>
      </c>
      <c r="R508" s="562">
        <v>0</v>
      </c>
      <c r="S508" s="333">
        <v>0</v>
      </c>
      <c r="T508" s="333">
        <v>-2222577.8899999969</v>
      </c>
      <c r="U508" s="333">
        <f t="shared" si="72"/>
        <v>-2222577.8899999969</v>
      </c>
      <c r="V508" s="333">
        <v>0</v>
      </c>
      <c r="W508" s="333">
        <v>0</v>
      </c>
      <c r="X508" s="333">
        <v>0</v>
      </c>
      <c r="Y508" s="333">
        <v>0</v>
      </c>
      <c r="Z508" s="333">
        <v>0</v>
      </c>
      <c r="AA508" s="333">
        <v>0</v>
      </c>
      <c r="AB508" s="333">
        <v>0</v>
      </c>
      <c r="AC508" s="333">
        <v>0</v>
      </c>
      <c r="AD508" s="333">
        <v>0</v>
      </c>
      <c r="AE508" s="333"/>
      <c r="AF508" s="333"/>
      <c r="AG508" s="333">
        <f t="shared" si="73"/>
        <v>-2222577.8899999969</v>
      </c>
      <c r="AH508" s="330"/>
      <c r="AI508" s="330">
        <v>0</v>
      </c>
      <c r="AJ508" s="396">
        <f t="shared" si="74"/>
        <v>-2222577.8899999969</v>
      </c>
      <c r="AK508" s="563"/>
      <c r="AL508" s="285">
        <f t="shared" si="75"/>
        <v>0</v>
      </c>
      <c r="AM508" s="286"/>
      <c r="AO508" s="330" t="s">
        <v>4150</v>
      </c>
    </row>
    <row r="509" spans="1:41">
      <c r="A509" s="587">
        <f t="shared" si="76"/>
        <v>506</v>
      </c>
      <c r="B509" s="330" t="s">
        <v>1643</v>
      </c>
      <c r="C509" s="330" t="s">
        <v>4154</v>
      </c>
      <c r="D509" s="330" t="s">
        <v>1746</v>
      </c>
      <c r="E509" s="330" t="s">
        <v>3802</v>
      </c>
      <c r="F509" s="330" t="s">
        <v>1671</v>
      </c>
      <c r="G509" s="562">
        <v>1498</v>
      </c>
      <c r="H509" s="562">
        <v>954.87</v>
      </c>
      <c r="I509" s="562">
        <v>1069.73</v>
      </c>
      <c r="J509" s="561" t="s">
        <v>1648</v>
      </c>
      <c r="K509" s="330" t="s">
        <v>4155</v>
      </c>
      <c r="L509" s="330" t="s">
        <v>4156</v>
      </c>
      <c r="M509" s="330" t="s">
        <v>4157</v>
      </c>
      <c r="N509" s="330" t="s">
        <v>4158</v>
      </c>
      <c r="O509" s="395">
        <v>45462</v>
      </c>
      <c r="P509" s="333">
        <v>8604381</v>
      </c>
      <c r="Q509" s="330" t="s">
        <v>1653</v>
      </c>
      <c r="R509" s="562">
        <v>0</v>
      </c>
      <c r="S509" s="333">
        <v>0</v>
      </c>
      <c r="T509" s="333">
        <v>-2581314.2800000003</v>
      </c>
      <c r="U509" s="333">
        <f t="shared" si="72"/>
        <v>-2581314.2800000003</v>
      </c>
      <c r="V509" s="333">
        <v>0</v>
      </c>
      <c r="W509" s="333">
        <v>0</v>
      </c>
      <c r="X509" s="333">
        <v>0</v>
      </c>
      <c r="Y509" s="333">
        <v>0</v>
      </c>
      <c r="Z509" s="333">
        <v>0</v>
      </c>
      <c r="AA509" s="333">
        <v>0</v>
      </c>
      <c r="AB509" s="333">
        <v>0</v>
      </c>
      <c r="AC509" s="333">
        <v>0</v>
      </c>
      <c r="AD509" s="333">
        <v>0</v>
      </c>
      <c r="AE509" s="333"/>
      <c r="AF509" s="333"/>
      <c r="AG509" s="333">
        <f t="shared" si="73"/>
        <v>-2581314.2800000003</v>
      </c>
      <c r="AH509" s="330"/>
      <c r="AI509" s="330">
        <v>0</v>
      </c>
      <c r="AJ509" s="396">
        <f t="shared" si="74"/>
        <v>-2581314.2800000003</v>
      </c>
      <c r="AK509" s="563"/>
      <c r="AL509" s="285">
        <f t="shared" si="75"/>
        <v>0</v>
      </c>
      <c r="AM509" s="286"/>
      <c r="AO509" s="330" t="s">
        <v>4155</v>
      </c>
    </row>
    <row r="510" spans="1:41">
      <c r="A510" s="587">
        <f t="shared" si="76"/>
        <v>507</v>
      </c>
      <c r="B510" s="330" t="s">
        <v>1643</v>
      </c>
      <c r="C510" s="330" t="s">
        <v>4159</v>
      </c>
      <c r="D510" s="330" t="s">
        <v>1662</v>
      </c>
      <c r="E510" s="330" t="s">
        <v>4160</v>
      </c>
      <c r="F510" s="330" t="s">
        <v>1671</v>
      </c>
      <c r="G510" s="562">
        <v>1498</v>
      </c>
      <c r="H510" s="562">
        <v>954.87</v>
      </c>
      <c r="I510" s="562">
        <v>1069.73</v>
      </c>
      <c r="J510" s="561" t="s">
        <v>1648</v>
      </c>
      <c r="K510" s="330" t="s">
        <v>4161</v>
      </c>
      <c r="L510" s="330" t="s">
        <v>4162</v>
      </c>
      <c r="M510" s="330" t="s">
        <v>4163</v>
      </c>
      <c r="N510" s="330" t="s">
        <v>4164</v>
      </c>
      <c r="O510" s="395">
        <v>45439</v>
      </c>
      <c r="P510" s="333">
        <v>8558880</v>
      </c>
      <c r="Q510" s="330" t="s">
        <v>1653</v>
      </c>
      <c r="R510" s="562">
        <v>0</v>
      </c>
      <c r="S510" s="333">
        <v>0</v>
      </c>
      <c r="T510" s="333">
        <v>-2653251.6000000006</v>
      </c>
      <c r="U510" s="333">
        <f t="shared" si="72"/>
        <v>-2653251.6000000006</v>
      </c>
      <c r="V510" s="333">
        <v>0</v>
      </c>
      <c r="W510" s="333">
        <v>0</v>
      </c>
      <c r="X510" s="333">
        <v>0</v>
      </c>
      <c r="Y510" s="333">
        <v>0</v>
      </c>
      <c r="Z510" s="333">
        <v>0</v>
      </c>
      <c r="AA510" s="333">
        <v>0</v>
      </c>
      <c r="AB510" s="333">
        <v>0</v>
      </c>
      <c r="AC510" s="333">
        <v>0</v>
      </c>
      <c r="AD510" s="333">
        <v>0</v>
      </c>
      <c r="AE510" s="333"/>
      <c r="AF510" s="333"/>
      <c r="AG510" s="333">
        <f t="shared" si="73"/>
        <v>-2653251.6000000006</v>
      </c>
      <c r="AH510" s="330"/>
      <c r="AI510" s="330">
        <v>0</v>
      </c>
      <c r="AJ510" s="396">
        <f t="shared" si="74"/>
        <v>-2653251.6000000006</v>
      </c>
      <c r="AK510" s="563"/>
      <c r="AL510" s="285">
        <f>+AC510+AI510</f>
        <v>0</v>
      </c>
      <c r="AM510" s="286"/>
      <c r="AO510" s="330" t="s">
        <v>4161</v>
      </c>
    </row>
    <row r="511" spans="1:41">
      <c r="A511" s="587">
        <f t="shared" si="76"/>
        <v>508</v>
      </c>
      <c r="B511" s="330" t="s">
        <v>1643</v>
      </c>
      <c r="C511" s="330" t="s">
        <v>4165</v>
      </c>
      <c r="D511" s="330" t="s">
        <v>1645</v>
      </c>
      <c r="E511" s="330" t="s">
        <v>2274</v>
      </c>
      <c r="F511" s="330" t="s">
        <v>1647</v>
      </c>
      <c r="G511" s="562">
        <v>1012</v>
      </c>
      <c r="H511" s="562">
        <v>653.59</v>
      </c>
      <c r="I511" s="562">
        <v>723.02</v>
      </c>
      <c r="J511" s="561" t="s">
        <v>1648</v>
      </c>
      <c r="K511" s="330" t="s">
        <v>4166</v>
      </c>
      <c r="L511" s="330" t="s">
        <v>4167</v>
      </c>
      <c r="M511" s="330" t="s">
        <v>4168</v>
      </c>
      <c r="N511" s="330" t="s">
        <v>4169</v>
      </c>
      <c r="O511" s="395">
        <v>45462</v>
      </c>
      <c r="P511" s="333">
        <v>5729194</v>
      </c>
      <c r="Q511" s="330" t="s">
        <v>1653</v>
      </c>
      <c r="R511" s="562">
        <v>0</v>
      </c>
      <c r="S511" s="333">
        <v>0</v>
      </c>
      <c r="T511" s="333">
        <v>-1026050.0199999999</v>
      </c>
      <c r="U511" s="333">
        <f t="shared" si="72"/>
        <v>-1026050.0199999999</v>
      </c>
      <c r="V511" s="333">
        <v>-750000</v>
      </c>
      <c r="W511" s="333">
        <v>0</v>
      </c>
      <c r="X511" s="333">
        <v>0</v>
      </c>
      <c r="Y511" s="333">
        <v>0</v>
      </c>
      <c r="Z511" s="333">
        <v>0</v>
      </c>
      <c r="AA511" s="333">
        <v>0</v>
      </c>
      <c r="AB511" s="333">
        <v>0</v>
      </c>
      <c r="AC511" s="333">
        <v>0</v>
      </c>
      <c r="AD511" s="333">
        <v>0</v>
      </c>
      <c r="AE511" s="333"/>
      <c r="AF511" s="333"/>
      <c r="AG511" s="333">
        <f t="shared" si="73"/>
        <v>-1776050.02</v>
      </c>
      <c r="AH511" s="330"/>
      <c r="AI511" s="330">
        <v>0</v>
      </c>
      <c r="AJ511" s="396">
        <f t="shared" si="74"/>
        <v>-1776050.02</v>
      </c>
      <c r="AK511" s="563"/>
      <c r="AL511" s="285">
        <f t="shared" si="75"/>
        <v>0</v>
      </c>
      <c r="AM511" s="286"/>
      <c r="AO511" s="330" t="s">
        <v>4166</v>
      </c>
    </row>
    <row r="512" spans="1:41">
      <c r="A512" s="587">
        <f t="shared" si="76"/>
        <v>509</v>
      </c>
      <c r="B512" s="330" t="s">
        <v>1643</v>
      </c>
      <c r="C512" s="330" t="s">
        <v>2022</v>
      </c>
      <c r="D512" s="330" t="s">
        <v>1655</v>
      </c>
      <c r="E512" s="330" t="s">
        <v>2023</v>
      </c>
      <c r="F512" s="330" t="s">
        <v>1647</v>
      </c>
      <c r="G512" s="562">
        <v>1012</v>
      </c>
      <c r="H512" s="562">
        <v>653.59</v>
      </c>
      <c r="I512" s="562">
        <v>723.02</v>
      </c>
      <c r="J512" s="561" t="s">
        <v>1810</v>
      </c>
      <c r="K512" s="330" t="s">
        <v>4170</v>
      </c>
      <c r="L512" s="330" t="s">
        <v>4171</v>
      </c>
      <c r="M512" s="330" t="s">
        <v>4172</v>
      </c>
      <c r="N512" s="330" t="s">
        <v>12</v>
      </c>
      <c r="O512" s="395"/>
      <c r="P512" s="333">
        <v>6383929</v>
      </c>
      <c r="Q512" s="330" t="s">
        <v>1660</v>
      </c>
      <c r="R512" s="562">
        <v>0</v>
      </c>
      <c r="S512" s="333">
        <v>0</v>
      </c>
      <c r="T512" s="333">
        <v>0</v>
      </c>
      <c r="U512" s="333">
        <f t="shared" si="72"/>
        <v>0</v>
      </c>
      <c r="V512" s="333">
        <v>-1.1823431123048067E-11</v>
      </c>
      <c r="W512" s="333">
        <v>0</v>
      </c>
      <c r="X512" s="333">
        <v>0</v>
      </c>
      <c r="Y512" s="333">
        <v>0</v>
      </c>
      <c r="Z512" s="333">
        <v>0</v>
      </c>
      <c r="AA512" s="333">
        <v>0</v>
      </c>
      <c r="AB512" s="333">
        <v>0</v>
      </c>
      <c r="AC512" s="333">
        <v>0</v>
      </c>
      <c r="AD512" s="333">
        <v>0</v>
      </c>
      <c r="AE512" s="333"/>
      <c r="AF512" s="333"/>
      <c r="AG512" s="333">
        <f t="shared" si="73"/>
        <v>-1.1823431123048067E-11</v>
      </c>
      <c r="AH512" s="330"/>
      <c r="AI512" s="330">
        <v>0</v>
      </c>
      <c r="AJ512" s="396">
        <f t="shared" si="74"/>
        <v>-1.1823431123048067E-11</v>
      </c>
      <c r="AK512" s="563"/>
      <c r="AL512" s="285">
        <f t="shared" si="75"/>
        <v>0</v>
      </c>
      <c r="AM512" s="286"/>
      <c r="AO512" s="330" t="s">
        <v>4170</v>
      </c>
    </row>
    <row r="513" spans="1:41">
      <c r="A513" s="587">
        <f t="shared" si="76"/>
        <v>510</v>
      </c>
      <c r="B513" s="330" t="s">
        <v>1643</v>
      </c>
      <c r="C513" s="330" t="s">
        <v>4173</v>
      </c>
      <c r="D513" s="330" t="s">
        <v>1655</v>
      </c>
      <c r="E513" s="330" t="s">
        <v>2975</v>
      </c>
      <c r="F513" s="330" t="s">
        <v>1647</v>
      </c>
      <c r="G513" s="562">
        <v>1114</v>
      </c>
      <c r="H513" s="562">
        <v>683.3</v>
      </c>
      <c r="I513" s="562">
        <v>795.57</v>
      </c>
      <c r="J513" s="561" t="s">
        <v>1810</v>
      </c>
      <c r="K513" s="330" t="s">
        <v>4174</v>
      </c>
      <c r="L513" s="330" t="s">
        <v>4175</v>
      </c>
      <c r="M513" s="330" t="s">
        <v>4176</v>
      </c>
      <c r="N513" s="330" t="s">
        <v>12</v>
      </c>
      <c r="O513" s="395"/>
      <c r="P513" s="333">
        <v>7129027</v>
      </c>
      <c r="Q513" s="330" t="s">
        <v>1653</v>
      </c>
      <c r="R513" s="562">
        <v>0</v>
      </c>
      <c r="S513" s="333">
        <v>0</v>
      </c>
      <c r="T513" s="333">
        <v>-832074</v>
      </c>
      <c r="U513" s="333">
        <f t="shared" si="72"/>
        <v>-832074</v>
      </c>
      <c r="V513" s="333">
        <v>0</v>
      </c>
      <c r="W513" s="333">
        <v>0</v>
      </c>
      <c r="X513" s="333">
        <v>0</v>
      </c>
      <c r="Y513" s="333">
        <v>0</v>
      </c>
      <c r="Z513" s="333">
        <v>0</v>
      </c>
      <c r="AA513" s="333">
        <v>0</v>
      </c>
      <c r="AB513" s="333">
        <v>0</v>
      </c>
      <c r="AC513" s="333">
        <v>0</v>
      </c>
      <c r="AD513" s="333">
        <v>0</v>
      </c>
      <c r="AE513" s="333"/>
      <c r="AF513" s="333"/>
      <c r="AG513" s="333">
        <f t="shared" si="73"/>
        <v>-832074</v>
      </c>
      <c r="AH513" s="330"/>
      <c r="AI513" s="330">
        <v>0</v>
      </c>
      <c r="AJ513" s="396">
        <f t="shared" si="74"/>
        <v>-832074</v>
      </c>
      <c r="AK513" s="563"/>
      <c r="AL513" s="285">
        <f t="shared" si="75"/>
        <v>0</v>
      </c>
      <c r="AM513" s="286"/>
      <c r="AO513" s="330" t="s">
        <v>4174</v>
      </c>
    </row>
    <row r="514" spans="1:41">
      <c r="A514" s="587">
        <f t="shared" si="76"/>
        <v>511</v>
      </c>
      <c r="B514" s="330" t="s">
        <v>1643</v>
      </c>
      <c r="C514" s="330" t="s">
        <v>4177</v>
      </c>
      <c r="D514" s="330" t="s">
        <v>1655</v>
      </c>
      <c r="E514" s="330" t="s">
        <v>1663</v>
      </c>
      <c r="F514" s="330" t="s">
        <v>1647</v>
      </c>
      <c r="G514" s="562">
        <v>1012</v>
      </c>
      <c r="H514" s="562">
        <v>653.59</v>
      </c>
      <c r="I514" s="562">
        <v>723.02</v>
      </c>
      <c r="J514" s="561" t="s">
        <v>1648</v>
      </c>
      <c r="K514" s="330" t="s">
        <v>4178</v>
      </c>
      <c r="L514" s="330" t="s">
        <v>4179</v>
      </c>
      <c r="M514" s="330" t="s">
        <v>4180</v>
      </c>
      <c r="N514" s="330" t="s">
        <v>12</v>
      </c>
      <c r="O514" s="395"/>
      <c r="P514" s="333">
        <v>6089238</v>
      </c>
      <c r="Q514" s="330" t="s">
        <v>1660</v>
      </c>
      <c r="R514" s="562">
        <v>0</v>
      </c>
      <c r="S514" s="333">
        <v>0</v>
      </c>
      <c r="T514" s="333">
        <v>0</v>
      </c>
      <c r="U514" s="333">
        <f t="shared" si="72"/>
        <v>0</v>
      </c>
      <c r="V514" s="333">
        <v>0</v>
      </c>
      <c r="W514" s="333">
        <v>0</v>
      </c>
      <c r="X514" s="333">
        <v>0</v>
      </c>
      <c r="Y514" s="333">
        <v>0</v>
      </c>
      <c r="Z514" s="333">
        <v>0</v>
      </c>
      <c r="AA514" s="333">
        <v>0</v>
      </c>
      <c r="AB514" s="333">
        <v>0</v>
      </c>
      <c r="AC514" s="333">
        <v>0</v>
      </c>
      <c r="AD514" s="333">
        <v>0</v>
      </c>
      <c r="AE514" s="333"/>
      <c r="AF514" s="333"/>
      <c r="AG514" s="333">
        <f t="shared" si="73"/>
        <v>0</v>
      </c>
      <c r="AH514" s="330"/>
      <c r="AI514" s="330">
        <v>0</v>
      </c>
      <c r="AJ514" s="396">
        <f t="shared" si="74"/>
        <v>0</v>
      </c>
      <c r="AK514" s="563"/>
      <c r="AL514" s="285">
        <f t="shared" ref="AL514:AL515" si="83">+AC514+AI514</f>
        <v>0</v>
      </c>
      <c r="AM514" s="286"/>
      <c r="AO514" s="330" t="s">
        <v>4178</v>
      </c>
    </row>
    <row r="515" spans="1:41">
      <c r="A515" s="587">
        <f t="shared" si="76"/>
        <v>512</v>
      </c>
      <c r="B515" s="330" t="s">
        <v>1643</v>
      </c>
      <c r="C515" s="330" t="s">
        <v>2950</v>
      </c>
      <c r="D515" s="330" t="s">
        <v>1677</v>
      </c>
      <c r="E515" s="330" t="s">
        <v>1663</v>
      </c>
      <c r="F515" s="330" t="s">
        <v>1647</v>
      </c>
      <c r="G515" s="562">
        <v>1012</v>
      </c>
      <c r="H515" s="562">
        <v>653.59</v>
      </c>
      <c r="I515" s="562">
        <v>723.02</v>
      </c>
      <c r="J515" s="561" t="s">
        <v>1648</v>
      </c>
      <c r="K515" s="330" t="s">
        <v>4181</v>
      </c>
      <c r="L515" s="330" t="s">
        <v>4179</v>
      </c>
      <c r="M515" s="330" t="s">
        <v>4180</v>
      </c>
      <c r="N515" s="330" t="s">
        <v>12</v>
      </c>
      <c r="O515" s="395"/>
      <c r="P515" s="333">
        <v>6089238</v>
      </c>
      <c r="Q515" s="330" t="s">
        <v>1660</v>
      </c>
      <c r="R515" s="562">
        <v>0</v>
      </c>
      <c r="S515" s="333">
        <v>0</v>
      </c>
      <c r="T515" s="333">
        <v>-646215</v>
      </c>
      <c r="U515" s="333">
        <f t="shared" si="72"/>
        <v>-646215</v>
      </c>
      <c r="V515" s="333">
        <v>0</v>
      </c>
      <c r="W515" s="333">
        <v>0</v>
      </c>
      <c r="X515" s="333">
        <v>0</v>
      </c>
      <c r="Y515" s="333">
        <v>0</v>
      </c>
      <c r="Z515" s="333">
        <v>0</v>
      </c>
      <c r="AA515" s="333">
        <v>0</v>
      </c>
      <c r="AB515" s="333">
        <v>0</v>
      </c>
      <c r="AC515" s="333">
        <v>-1896.19</v>
      </c>
      <c r="AD515" s="333">
        <v>648111</v>
      </c>
      <c r="AE515" s="333"/>
      <c r="AF515" s="333"/>
      <c r="AG515" s="333">
        <f t="shared" si="73"/>
        <v>-0.18999999994412065</v>
      </c>
      <c r="AH515" s="330"/>
      <c r="AI515" s="330">
        <v>1896</v>
      </c>
      <c r="AJ515" s="396">
        <f t="shared" si="74"/>
        <v>-0.18999999994412065</v>
      </c>
      <c r="AK515" s="563"/>
      <c r="AL515" s="285">
        <f t="shared" si="83"/>
        <v>-0.19000000000005457</v>
      </c>
      <c r="AM515" s="286"/>
      <c r="AO515" s="330" t="s">
        <v>4181</v>
      </c>
    </row>
    <row r="516" spans="1:41">
      <c r="A516" s="587">
        <f t="shared" si="76"/>
        <v>513</v>
      </c>
      <c r="B516" s="330" t="s">
        <v>1643</v>
      </c>
      <c r="C516" s="330" t="s">
        <v>4182</v>
      </c>
      <c r="D516" s="330" t="s">
        <v>1704</v>
      </c>
      <c r="E516" s="330" t="s">
        <v>2359</v>
      </c>
      <c r="F516" s="330" t="s">
        <v>1671</v>
      </c>
      <c r="G516" s="562">
        <v>1375</v>
      </c>
      <c r="H516" s="562">
        <v>876.73</v>
      </c>
      <c r="I516" s="562">
        <v>982.22</v>
      </c>
      <c r="J516" s="561" t="s">
        <v>1648</v>
      </c>
      <c r="K516" s="330" t="s">
        <v>4183</v>
      </c>
      <c r="L516" s="330" t="s">
        <v>4184</v>
      </c>
      <c r="M516" s="330" t="s">
        <v>4185</v>
      </c>
      <c r="N516" s="330" t="s">
        <v>12</v>
      </c>
      <c r="O516" s="395"/>
      <c r="P516" s="333">
        <v>8508857</v>
      </c>
      <c r="Q516" s="330" t="s">
        <v>1660</v>
      </c>
      <c r="R516" s="562">
        <v>0</v>
      </c>
      <c r="S516" s="333">
        <v>0</v>
      </c>
      <c r="T516" s="333">
        <v>0</v>
      </c>
      <c r="U516" s="333">
        <f t="shared" ref="U516:U579" si="84">SUM(R516:T516)</f>
        <v>0</v>
      </c>
      <c r="V516" s="333">
        <v>0</v>
      </c>
      <c r="W516" s="333">
        <v>0</v>
      </c>
      <c r="X516" s="333">
        <v>0</v>
      </c>
      <c r="Y516" s="333">
        <v>0</v>
      </c>
      <c r="Z516" s="333">
        <v>0</v>
      </c>
      <c r="AA516" s="333">
        <v>0</v>
      </c>
      <c r="AB516" s="333">
        <v>0</v>
      </c>
      <c r="AC516" s="333">
        <v>0</v>
      </c>
      <c r="AD516" s="333">
        <v>0</v>
      </c>
      <c r="AE516" s="333"/>
      <c r="AF516" s="333"/>
      <c r="AG516" s="333">
        <f t="shared" ref="AG516:AG579" si="85">SUM(U516:AF516)</f>
        <v>0</v>
      </c>
      <c r="AH516" s="330"/>
      <c r="AI516" s="330">
        <v>0</v>
      </c>
      <c r="AJ516" s="396">
        <f t="shared" si="74"/>
        <v>0</v>
      </c>
      <c r="AK516" s="563"/>
      <c r="AL516" s="285">
        <f t="shared" si="75"/>
        <v>0</v>
      </c>
      <c r="AM516" s="286"/>
      <c r="AO516" s="330" t="s">
        <v>4183</v>
      </c>
    </row>
    <row r="517" spans="1:41">
      <c r="A517" s="587">
        <f t="shared" si="76"/>
        <v>514</v>
      </c>
      <c r="B517" s="330" t="s">
        <v>1643</v>
      </c>
      <c r="C517" s="330" t="s">
        <v>4186</v>
      </c>
      <c r="D517" s="330" t="s">
        <v>1704</v>
      </c>
      <c r="E517" s="330" t="s">
        <v>1785</v>
      </c>
      <c r="F517" s="330" t="s">
        <v>1786</v>
      </c>
      <c r="G517" s="562">
        <v>1265</v>
      </c>
      <c r="H517" s="562">
        <v>813.33</v>
      </c>
      <c r="I517" s="562">
        <v>903.31</v>
      </c>
      <c r="J517" s="561" t="s">
        <v>1648</v>
      </c>
      <c r="K517" s="330" t="s">
        <v>4187</v>
      </c>
      <c r="L517" s="330" t="s">
        <v>4188</v>
      </c>
      <c r="M517" s="330" t="s">
        <v>4189</v>
      </c>
      <c r="N517" s="330" t="s">
        <v>4190</v>
      </c>
      <c r="O517" s="395">
        <v>45513</v>
      </c>
      <c r="P517" s="333">
        <v>7366000</v>
      </c>
      <c r="Q517" s="330" t="s">
        <v>1653</v>
      </c>
      <c r="R517" s="562">
        <v>0</v>
      </c>
      <c r="S517" s="333">
        <v>0</v>
      </c>
      <c r="T517" s="333">
        <v>-2209800</v>
      </c>
      <c r="U517" s="333">
        <f t="shared" si="84"/>
        <v>-2209800</v>
      </c>
      <c r="V517" s="333">
        <v>0</v>
      </c>
      <c r="W517" s="333">
        <v>0</v>
      </c>
      <c r="X517" s="333">
        <v>0</v>
      </c>
      <c r="Y517" s="333">
        <v>0</v>
      </c>
      <c r="Z517" s="333">
        <v>0</v>
      </c>
      <c r="AA517" s="333">
        <v>0</v>
      </c>
      <c r="AB517" s="333">
        <v>0</v>
      </c>
      <c r="AC517" s="333">
        <v>0</v>
      </c>
      <c r="AD517" s="333">
        <v>0</v>
      </c>
      <c r="AE517" s="333"/>
      <c r="AF517" s="333"/>
      <c r="AG517" s="333">
        <f t="shared" si="85"/>
        <v>-2209800</v>
      </c>
      <c r="AH517" s="330"/>
      <c r="AI517" s="330">
        <v>0</v>
      </c>
      <c r="AJ517" s="396">
        <f t="shared" ref="AJ517:AJ580" si="86">SUM(U517:AE517)</f>
        <v>-2209800</v>
      </c>
      <c r="AK517" s="563"/>
      <c r="AL517" s="285">
        <f t="shared" ref="AL517:AL578" si="87">+AC517-AI517</f>
        <v>0</v>
      </c>
      <c r="AM517" s="286"/>
      <c r="AO517" s="330" t="s">
        <v>4187</v>
      </c>
    </row>
    <row r="518" spans="1:41">
      <c r="A518" s="587">
        <f t="shared" ref="A518:A581" si="88">A517+1</f>
        <v>515</v>
      </c>
      <c r="B518" s="330" t="s">
        <v>1643</v>
      </c>
      <c r="C518" s="330" t="s">
        <v>4191</v>
      </c>
      <c r="D518" s="330" t="s">
        <v>1655</v>
      </c>
      <c r="E518" s="330" t="s">
        <v>1978</v>
      </c>
      <c r="F518" s="330" t="s">
        <v>1647</v>
      </c>
      <c r="G518" s="562">
        <v>1012</v>
      </c>
      <c r="H518" s="562">
        <v>653.59</v>
      </c>
      <c r="I518" s="562">
        <v>723.02</v>
      </c>
      <c r="J518" s="561" t="s">
        <v>1648</v>
      </c>
      <c r="K518" s="330" t="s">
        <v>4192</v>
      </c>
      <c r="L518" s="330" t="s">
        <v>4193</v>
      </c>
      <c r="M518" s="330" t="s">
        <v>4194</v>
      </c>
      <c r="N518" s="330" t="s">
        <v>12</v>
      </c>
      <c r="O518" s="395"/>
      <c r="P518" s="333">
        <v>6066952</v>
      </c>
      <c r="Q518" s="330" t="s">
        <v>1653</v>
      </c>
      <c r="R518" s="562">
        <v>0</v>
      </c>
      <c r="S518" s="333">
        <v>0</v>
      </c>
      <c r="T518" s="333">
        <v>-1085663</v>
      </c>
      <c r="U518" s="333">
        <f t="shared" si="84"/>
        <v>-1085663</v>
      </c>
      <c r="V518" s="333">
        <v>0</v>
      </c>
      <c r="W518" s="333">
        <v>0</v>
      </c>
      <c r="X518" s="333">
        <v>0</v>
      </c>
      <c r="Y518" s="333">
        <v>0</v>
      </c>
      <c r="Z518" s="333">
        <v>0</v>
      </c>
      <c r="AA518" s="333">
        <v>0</v>
      </c>
      <c r="AB518" s="333">
        <v>0</v>
      </c>
      <c r="AC518" s="333">
        <v>0</v>
      </c>
      <c r="AD518" s="333">
        <v>0</v>
      </c>
      <c r="AE518" s="333"/>
      <c r="AF518" s="333"/>
      <c r="AG518" s="333">
        <f t="shared" si="85"/>
        <v>-1085663</v>
      </c>
      <c r="AH518" s="330"/>
      <c r="AI518" s="330">
        <v>0</v>
      </c>
      <c r="AJ518" s="396">
        <f t="shared" si="86"/>
        <v>-1085663</v>
      </c>
      <c r="AK518" s="563"/>
      <c r="AL518" s="285">
        <f t="shared" si="87"/>
        <v>0</v>
      </c>
      <c r="AM518" s="286"/>
      <c r="AO518" s="330" t="s">
        <v>4192</v>
      </c>
    </row>
    <row r="519" spans="1:41">
      <c r="A519" s="587">
        <f t="shared" si="88"/>
        <v>516</v>
      </c>
      <c r="B519" s="330" t="s">
        <v>1643</v>
      </c>
      <c r="C519" s="330" t="s">
        <v>4195</v>
      </c>
      <c r="D519" s="330" t="s">
        <v>1704</v>
      </c>
      <c r="E519" s="330" t="s">
        <v>4160</v>
      </c>
      <c r="F519" s="330" t="s">
        <v>1647</v>
      </c>
      <c r="G519" s="562">
        <v>1498</v>
      </c>
      <c r="H519" s="562">
        <v>954.87</v>
      </c>
      <c r="I519" s="562">
        <v>1069.73</v>
      </c>
      <c r="J519" s="561" t="s">
        <v>1810</v>
      </c>
      <c r="K519" s="330" t="s">
        <v>4196</v>
      </c>
      <c r="L519" s="330" t="s">
        <v>4197</v>
      </c>
      <c r="M519" s="330" t="s">
        <v>4198</v>
      </c>
      <c r="N519" s="330" t="s">
        <v>4199</v>
      </c>
      <c r="O519" s="395">
        <v>45573</v>
      </c>
      <c r="P519" s="333">
        <v>9214286</v>
      </c>
      <c r="Q519" s="330" t="s">
        <v>1653</v>
      </c>
      <c r="R519" s="562">
        <v>0</v>
      </c>
      <c r="S519" s="333">
        <v>0</v>
      </c>
      <c r="T519" s="333">
        <v>-2764285.7</v>
      </c>
      <c r="U519" s="333">
        <f t="shared" si="84"/>
        <v>-2764285.7</v>
      </c>
      <c r="V519" s="333">
        <v>0</v>
      </c>
      <c r="W519" s="333">
        <v>0</v>
      </c>
      <c r="X519" s="333">
        <v>0</v>
      </c>
      <c r="Y519" s="333">
        <v>0</v>
      </c>
      <c r="Z519" s="333">
        <v>0</v>
      </c>
      <c r="AA519" s="333">
        <v>0</v>
      </c>
      <c r="AB519" s="333">
        <v>0</v>
      </c>
      <c r="AC519" s="333">
        <v>0</v>
      </c>
      <c r="AD519" s="333">
        <v>0</v>
      </c>
      <c r="AE519" s="333"/>
      <c r="AF519" s="333"/>
      <c r="AG519" s="333">
        <f t="shared" si="85"/>
        <v>-2764285.7</v>
      </c>
      <c r="AH519" s="330"/>
      <c r="AI519" s="330">
        <v>0</v>
      </c>
      <c r="AJ519" s="396">
        <f t="shared" si="86"/>
        <v>-2764285.7</v>
      </c>
      <c r="AK519" s="563"/>
      <c r="AL519" s="285">
        <f t="shared" si="87"/>
        <v>0</v>
      </c>
      <c r="AM519" s="286"/>
      <c r="AO519" s="330" t="s">
        <v>4196</v>
      </c>
    </row>
    <row r="520" spans="1:41">
      <c r="A520" s="587">
        <f t="shared" si="88"/>
        <v>517</v>
      </c>
      <c r="B520" s="330" t="s">
        <v>1643</v>
      </c>
      <c r="C520" s="330" t="s">
        <v>4200</v>
      </c>
      <c r="D520" s="330" t="s">
        <v>1677</v>
      </c>
      <c r="E520" s="330" t="s">
        <v>2106</v>
      </c>
      <c r="F520" s="330" t="s">
        <v>1647</v>
      </c>
      <c r="G520" s="562">
        <v>1114</v>
      </c>
      <c r="H520" s="562">
        <v>683.3</v>
      </c>
      <c r="I520" s="562">
        <v>795.57</v>
      </c>
      <c r="J520" s="561" t="s">
        <v>1648</v>
      </c>
      <c r="K520" s="330" t="s">
        <v>4201</v>
      </c>
      <c r="L520" s="330" t="s">
        <v>4202</v>
      </c>
      <c r="M520" s="330" t="s">
        <v>4203</v>
      </c>
      <c r="N520" s="330" t="s">
        <v>12</v>
      </c>
      <c r="O520" s="395"/>
      <c r="P520" s="333">
        <v>6767810</v>
      </c>
      <c r="Q520" s="330" t="s">
        <v>1660</v>
      </c>
      <c r="R520" s="562">
        <v>0</v>
      </c>
      <c r="S520" s="333">
        <v>0</v>
      </c>
      <c r="T520" s="333">
        <v>-51000</v>
      </c>
      <c r="U520" s="333">
        <f t="shared" si="84"/>
        <v>-51000</v>
      </c>
      <c r="V520" s="333">
        <v>51000</v>
      </c>
      <c r="W520" s="333">
        <v>0</v>
      </c>
      <c r="X520" s="333">
        <v>0</v>
      </c>
      <c r="Y520" s="333">
        <v>0</v>
      </c>
      <c r="Z520" s="333">
        <v>0</v>
      </c>
      <c r="AA520" s="333">
        <v>0</v>
      </c>
      <c r="AB520" s="333">
        <v>0</v>
      </c>
      <c r="AC520" s="333">
        <v>0</v>
      </c>
      <c r="AD520" s="333">
        <v>0</v>
      </c>
      <c r="AE520" s="333"/>
      <c r="AF520" s="333"/>
      <c r="AG520" s="333">
        <f t="shared" si="85"/>
        <v>0</v>
      </c>
      <c r="AH520" s="330"/>
      <c r="AI520" s="330">
        <v>0</v>
      </c>
      <c r="AJ520" s="396">
        <f t="shared" si="86"/>
        <v>0</v>
      </c>
      <c r="AK520" s="563"/>
      <c r="AL520" s="285">
        <f t="shared" si="87"/>
        <v>0</v>
      </c>
      <c r="AM520" s="286"/>
      <c r="AO520" s="330" t="s">
        <v>4201</v>
      </c>
    </row>
    <row r="521" spans="1:41">
      <c r="A521" s="587">
        <f t="shared" si="88"/>
        <v>518</v>
      </c>
      <c r="B521" s="330" t="s">
        <v>1643</v>
      </c>
      <c r="C521" s="330" t="s">
        <v>4204</v>
      </c>
      <c r="D521" s="330" t="s">
        <v>1746</v>
      </c>
      <c r="E521" s="330" t="s">
        <v>2012</v>
      </c>
      <c r="F521" s="330" t="s">
        <v>1647</v>
      </c>
      <c r="G521" s="562">
        <v>1114</v>
      </c>
      <c r="H521" s="562">
        <v>683.3</v>
      </c>
      <c r="I521" s="562">
        <v>795.57</v>
      </c>
      <c r="J521" s="561" t="s">
        <v>1648</v>
      </c>
      <c r="K521" s="330" t="s">
        <v>4205</v>
      </c>
      <c r="L521" s="330" t="s">
        <v>4206</v>
      </c>
      <c r="M521" s="330" t="s">
        <v>4207</v>
      </c>
      <c r="N521" s="330" t="s">
        <v>4208</v>
      </c>
      <c r="O521" s="395">
        <v>45439</v>
      </c>
      <c r="P521" s="333">
        <v>6312476</v>
      </c>
      <c r="Q521" s="330" t="s">
        <v>1653</v>
      </c>
      <c r="R521" s="562">
        <v>0</v>
      </c>
      <c r="S521" s="333">
        <v>0</v>
      </c>
      <c r="T521" s="333">
        <v>-1941085.6200000006</v>
      </c>
      <c r="U521" s="333">
        <f t="shared" si="84"/>
        <v>-1941085.6200000006</v>
      </c>
      <c r="V521" s="333">
        <v>0</v>
      </c>
      <c r="W521" s="333">
        <v>0</v>
      </c>
      <c r="X521" s="333">
        <v>0</v>
      </c>
      <c r="Y521" s="333">
        <v>0</v>
      </c>
      <c r="Z521" s="333">
        <v>0</v>
      </c>
      <c r="AA521" s="333">
        <v>0</v>
      </c>
      <c r="AB521" s="333">
        <v>0</v>
      </c>
      <c r="AC521" s="333">
        <v>-8638</v>
      </c>
      <c r="AD521" s="333">
        <v>0</v>
      </c>
      <c r="AE521" s="333"/>
      <c r="AF521" s="333"/>
      <c r="AG521" s="333">
        <f t="shared" si="85"/>
        <v>-1949723.6200000006</v>
      </c>
      <c r="AH521" s="330"/>
      <c r="AI521" s="330">
        <v>8638</v>
      </c>
      <c r="AJ521" s="396">
        <f t="shared" si="86"/>
        <v>-1949723.6200000006</v>
      </c>
      <c r="AK521" s="563"/>
      <c r="AL521" s="285">
        <f>+AC521+AI521</f>
        <v>0</v>
      </c>
      <c r="AM521" s="286"/>
      <c r="AO521" s="330" t="s">
        <v>4205</v>
      </c>
    </row>
    <row r="522" spans="1:41">
      <c r="A522" s="587">
        <f t="shared" si="88"/>
        <v>519</v>
      </c>
      <c r="B522" s="330" t="s">
        <v>1643</v>
      </c>
      <c r="C522" s="330" t="s">
        <v>4209</v>
      </c>
      <c r="D522" s="330" t="s">
        <v>1662</v>
      </c>
      <c r="E522" s="330" t="s">
        <v>2359</v>
      </c>
      <c r="F522" s="330" t="s">
        <v>1671</v>
      </c>
      <c r="G522" s="562">
        <v>1375</v>
      </c>
      <c r="H522" s="562">
        <v>876.73</v>
      </c>
      <c r="I522" s="562">
        <v>982.22</v>
      </c>
      <c r="J522" s="561" t="s">
        <v>1648</v>
      </c>
      <c r="K522" s="330" t="s">
        <v>4210</v>
      </c>
      <c r="L522" s="330" t="s">
        <v>4211</v>
      </c>
      <c r="M522" s="330" t="s">
        <v>4212</v>
      </c>
      <c r="N522" s="330" t="s">
        <v>4213</v>
      </c>
      <c r="O522" s="395">
        <v>45428</v>
      </c>
      <c r="P522" s="333">
        <v>7713580</v>
      </c>
      <c r="Q522" s="330" t="s">
        <v>1653</v>
      </c>
      <c r="R522" s="562">
        <v>0</v>
      </c>
      <c r="S522" s="333">
        <v>0</v>
      </c>
      <c r="T522" s="333">
        <v>-2405395.2999999998</v>
      </c>
      <c r="U522" s="333">
        <f t="shared" si="84"/>
        <v>-2405395.2999999998</v>
      </c>
      <c r="V522" s="333">
        <v>0</v>
      </c>
      <c r="W522" s="333">
        <v>0</v>
      </c>
      <c r="X522" s="333">
        <v>0</v>
      </c>
      <c r="Y522" s="333">
        <v>0</v>
      </c>
      <c r="Z522" s="333">
        <v>0</v>
      </c>
      <c r="AA522" s="333">
        <v>0</v>
      </c>
      <c r="AB522" s="333">
        <v>0</v>
      </c>
      <c r="AC522" s="333">
        <v>0</v>
      </c>
      <c r="AD522" s="333">
        <v>0</v>
      </c>
      <c r="AE522" s="333"/>
      <c r="AF522" s="333"/>
      <c r="AG522" s="333">
        <f t="shared" si="85"/>
        <v>-2405395.2999999998</v>
      </c>
      <c r="AH522" s="330"/>
      <c r="AI522" s="330">
        <v>0</v>
      </c>
      <c r="AJ522" s="396">
        <f t="shared" si="86"/>
        <v>-2405395.2999999998</v>
      </c>
      <c r="AK522" s="563"/>
      <c r="AL522" s="285">
        <f t="shared" si="87"/>
        <v>0</v>
      </c>
      <c r="AM522" s="286"/>
      <c r="AO522" s="330" t="s">
        <v>4210</v>
      </c>
    </row>
    <row r="523" spans="1:41">
      <c r="A523" s="587">
        <f t="shared" si="88"/>
        <v>520</v>
      </c>
      <c r="B523" s="330" t="s">
        <v>1643</v>
      </c>
      <c r="C523" s="330" t="s">
        <v>2642</v>
      </c>
      <c r="D523" s="330" t="s">
        <v>1655</v>
      </c>
      <c r="E523" s="330" t="s">
        <v>2289</v>
      </c>
      <c r="F523" s="330" t="s">
        <v>1647</v>
      </c>
      <c r="G523" s="562">
        <v>1012</v>
      </c>
      <c r="H523" s="562">
        <v>653.59</v>
      </c>
      <c r="I523" s="562">
        <v>723.02</v>
      </c>
      <c r="J523" s="561" t="s">
        <v>1648</v>
      </c>
      <c r="K523" s="330" t="s">
        <v>4214</v>
      </c>
      <c r="L523" s="330" t="s">
        <v>4215</v>
      </c>
      <c r="M523" s="330" t="s">
        <v>4216</v>
      </c>
      <c r="N523" s="330" t="s">
        <v>12</v>
      </c>
      <c r="O523" s="395"/>
      <c r="P523" s="333">
        <v>6118900</v>
      </c>
      <c r="Q523" s="330" t="s">
        <v>1660</v>
      </c>
      <c r="R523" s="562">
        <v>0</v>
      </c>
      <c r="S523" s="333">
        <v>0</v>
      </c>
      <c r="T523" s="333">
        <v>-779642</v>
      </c>
      <c r="U523" s="333">
        <f t="shared" si="84"/>
        <v>-779642</v>
      </c>
      <c r="V523" s="333">
        <v>0</v>
      </c>
      <c r="W523" s="333">
        <v>0</v>
      </c>
      <c r="X523" s="333">
        <v>0</v>
      </c>
      <c r="Y523" s="333">
        <v>0</v>
      </c>
      <c r="Z523" s="333">
        <v>0</v>
      </c>
      <c r="AA523" s="333">
        <v>0</v>
      </c>
      <c r="AB523" s="333">
        <v>0</v>
      </c>
      <c r="AC523" s="333">
        <v>0</v>
      </c>
      <c r="AD523" s="333">
        <v>779642</v>
      </c>
      <c r="AE523" s="333"/>
      <c r="AF523" s="333"/>
      <c r="AG523" s="333">
        <f t="shared" si="85"/>
        <v>0</v>
      </c>
      <c r="AH523" s="330"/>
      <c r="AI523" s="330">
        <v>0</v>
      </c>
      <c r="AJ523" s="396">
        <f t="shared" si="86"/>
        <v>0</v>
      </c>
      <c r="AK523" s="563"/>
      <c r="AL523" s="285">
        <f>+AC523+AI523</f>
        <v>0</v>
      </c>
      <c r="AM523" s="286"/>
      <c r="AO523" s="330" t="s">
        <v>4214</v>
      </c>
    </row>
    <row r="524" spans="1:41">
      <c r="A524" s="587">
        <f t="shared" si="88"/>
        <v>521</v>
      </c>
      <c r="B524" s="330" t="s">
        <v>1643</v>
      </c>
      <c r="C524" s="330" t="s">
        <v>4217</v>
      </c>
      <c r="D524" s="330" t="s">
        <v>1662</v>
      </c>
      <c r="E524" s="330" t="s">
        <v>1863</v>
      </c>
      <c r="F524" s="330" t="s">
        <v>1671</v>
      </c>
      <c r="G524" s="562">
        <v>1498</v>
      </c>
      <c r="H524" s="562">
        <v>954.87</v>
      </c>
      <c r="I524" s="562">
        <v>1069.73</v>
      </c>
      <c r="J524" s="561" t="s">
        <v>1648</v>
      </c>
      <c r="K524" s="330" t="s">
        <v>4218</v>
      </c>
      <c r="L524" s="330" t="s">
        <v>4219</v>
      </c>
      <c r="M524" s="330" t="s">
        <v>4220</v>
      </c>
      <c r="N524" s="330" t="s">
        <v>4221</v>
      </c>
      <c r="O524" s="395">
        <v>45629</v>
      </c>
      <c r="P524" s="333">
        <v>9504381</v>
      </c>
      <c r="Q524" s="330" t="s">
        <v>1653</v>
      </c>
      <c r="R524" s="562">
        <v>0</v>
      </c>
      <c r="S524" s="333">
        <v>0</v>
      </c>
      <c r="T524" s="333">
        <v>-2851315.0900000008</v>
      </c>
      <c r="U524" s="333">
        <f t="shared" si="84"/>
        <v>-2851315.0900000008</v>
      </c>
      <c r="V524" s="333">
        <v>-360000</v>
      </c>
      <c r="W524" s="333">
        <v>0</v>
      </c>
      <c r="X524" s="333">
        <v>0</v>
      </c>
      <c r="Y524" s="333">
        <v>0</v>
      </c>
      <c r="Z524" s="333">
        <v>0</v>
      </c>
      <c r="AA524" s="333">
        <v>0</v>
      </c>
      <c r="AB524" s="333">
        <v>0</v>
      </c>
      <c r="AC524" s="333">
        <v>0</v>
      </c>
      <c r="AD524" s="333">
        <v>0</v>
      </c>
      <c r="AE524" s="333"/>
      <c r="AF524" s="333"/>
      <c r="AG524" s="333">
        <f t="shared" si="85"/>
        <v>-3211315.0900000008</v>
      </c>
      <c r="AH524" s="330"/>
      <c r="AI524" s="330">
        <v>0</v>
      </c>
      <c r="AJ524" s="396">
        <f t="shared" si="86"/>
        <v>-3211315.0900000008</v>
      </c>
      <c r="AK524" s="563"/>
      <c r="AL524" s="285">
        <f t="shared" si="87"/>
        <v>0</v>
      </c>
      <c r="AM524" s="286"/>
      <c r="AO524" s="330" t="s">
        <v>4218</v>
      </c>
    </row>
    <row r="525" spans="1:41">
      <c r="A525" s="587">
        <f t="shared" si="88"/>
        <v>522</v>
      </c>
      <c r="B525" s="330" t="s">
        <v>1643</v>
      </c>
      <c r="C525" s="330" t="s">
        <v>4222</v>
      </c>
      <c r="D525" s="330" t="s">
        <v>1645</v>
      </c>
      <c r="E525" s="330" t="s">
        <v>1740</v>
      </c>
      <c r="F525" s="330" t="s">
        <v>1647</v>
      </c>
      <c r="G525" s="562">
        <v>1012</v>
      </c>
      <c r="H525" s="562">
        <v>653.59</v>
      </c>
      <c r="I525" s="562">
        <v>723.02</v>
      </c>
      <c r="J525" s="561" t="s">
        <v>1648</v>
      </c>
      <c r="K525" s="330" t="s">
        <v>4223</v>
      </c>
      <c r="L525" s="330" t="s">
        <v>4224</v>
      </c>
      <c r="M525" s="330" t="s">
        <v>4225</v>
      </c>
      <c r="N525" s="330" t="s">
        <v>4226</v>
      </c>
      <c r="O525" s="395">
        <v>45467</v>
      </c>
      <c r="P525" s="333">
        <v>5687428</v>
      </c>
      <c r="Q525" s="330" t="s">
        <v>1653</v>
      </c>
      <c r="R525" s="562">
        <v>0</v>
      </c>
      <c r="S525" s="333">
        <v>0</v>
      </c>
      <c r="T525" s="333">
        <v>-1706225.5800000003</v>
      </c>
      <c r="U525" s="333">
        <f t="shared" si="84"/>
        <v>-1706225.5800000003</v>
      </c>
      <c r="V525" s="333">
        <v>0</v>
      </c>
      <c r="W525" s="333">
        <v>0</v>
      </c>
      <c r="X525" s="333">
        <v>0</v>
      </c>
      <c r="Y525" s="333">
        <v>0</v>
      </c>
      <c r="Z525" s="333">
        <v>0</v>
      </c>
      <c r="AA525" s="333">
        <v>0</v>
      </c>
      <c r="AB525" s="333">
        <v>0</v>
      </c>
      <c r="AC525" s="333">
        <v>0</v>
      </c>
      <c r="AD525" s="333">
        <v>0</v>
      </c>
      <c r="AE525" s="333"/>
      <c r="AF525" s="333"/>
      <c r="AG525" s="333">
        <f t="shared" si="85"/>
        <v>-1706225.5800000003</v>
      </c>
      <c r="AH525" s="330"/>
      <c r="AI525" s="330">
        <v>0</v>
      </c>
      <c r="AJ525" s="396">
        <f t="shared" si="86"/>
        <v>-1706225.5800000003</v>
      </c>
      <c r="AK525" s="563"/>
      <c r="AL525" s="285">
        <f t="shared" si="87"/>
        <v>0</v>
      </c>
      <c r="AM525" s="286"/>
      <c r="AO525" s="330" t="s">
        <v>4223</v>
      </c>
    </row>
    <row r="526" spans="1:41">
      <c r="A526" s="587">
        <f t="shared" si="88"/>
        <v>523</v>
      </c>
      <c r="B526" s="330" t="s">
        <v>1643</v>
      </c>
      <c r="C526" s="330" t="s">
        <v>4227</v>
      </c>
      <c r="D526" s="330" t="s">
        <v>1669</v>
      </c>
      <c r="E526" s="330" t="s">
        <v>2594</v>
      </c>
      <c r="F526" s="330" t="s">
        <v>1671</v>
      </c>
      <c r="G526" s="562">
        <v>1787</v>
      </c>
      <c r="H526" s="562">
        <v>1138.51</v>
      </c>
      <c r="I526" s="562">
        <v>1276.29</v>
      </c>
      <c r="J526" s="561" t="s">
        <v>1810</v>
      </c>
      <c r="K526" s="330" t="s">
        <v>4228</v>
      </c>
      <c r="L526" s="330" t="s">
        <v>4229</v>
      </c>
      <c r="M526" s="330" t="s">
        <v>4230</v>
      </c>
      <c r="N526" s="330" t="s">
        <v>4231</v>
      </c>
      <c r="O526" s="395">
        <v>45573</v>
      </c>
      <c r="P526" s="333">
        <v>12116000</v>
      </c>
      <c r="Q526" s="330" t="s">
        <v>1653</v>
      </c>
      <c r="R526" s="562">
        <v>0</v>
      </c>
      <c r="S526" s="333">
        <v>0</v>
      </c>
      <c r="T526" s="333">
        <v>-3584798</v>
      </c>
      <c r="U526" s="333">
        <f t="shared" si="84"/>
        <v>-3584798</v>
      </c>
      <c r="V526" s="333">
        <v>0</v>
      </c>
      <c r="W526" s="333">
        <v>0</v>
      </c>
      <c r="X526" s="333">
        <v>0</v>
      </c>
      <c r="Y526" s="333">
        <v>0</v>
      </c>
      <c r="Z526" s="333">
        <v>0</v>
      </c>
      <c r="AA526" s="333">
        <v>0</v>
      </c>
      <c r="AB526" s="333">
        <v>0</v>
      </c>
      <c r="AC526" s="333">
        <v>0</v>
      </c>
      <c r="AD526" s="333">
        <v>0</v>
      </c>
      <c r="AE526" s="333"/>
      <c r="AF526" s="333"/>
      <c r="AG526" s="333">
        <f t="shared" si="85"/>
        <v>-3584798</v>
      </c>
      <c r="AH526" s="330"/>
      <c r="AI526" s="330">
        <v>0</v>
      </c>
      <c r="AJ526" s="396">
        <f t="shared" si="86"/>
        <v>-3584798</v>
      </c>
      <c r="AK526" s="563"/>
      <c r="AL526" s="285">
        <f t="shared" si="87"/>
        <v>0</v>
      </c>
      <c r="AM526" s="286"/>
      <c r="AO526" s="330" t="s">
        <v>4228</v>
      </c>
    </row>
    <row r="527" spans="1:41">
      <c r="A527" s="587">
        <f t="shared" si="88"/>
        <v>524</v>
      </c>
      <c r="B527" s="330" t="s">
        <v>1643</v>
      </c>
      <c r="C527" s="330" t="s">
        <v>4232</v>
      </c>
      <c r="D527" s="330" t="s">
        <v>2153</v>
      </c>
      <c r="E527" s="330" t="s">
        <v>2237</v>
      </c>
      <c r="F527" s="330" t="s">
        <v>1647</v>
      </c>
      <c r="G527" s="562">
        <v>1114</v>
      </c>
      <c r="H527" s="562">
        <v>683.3</v>
      </c>
      <c r="I527" s="562">
        <v>795.57</v>
      </c>
      <c r="J527" s="561" t="s">
        <v>1648</v>
      </c>
      <c r="K527" s="330" t="s">
        <v>4233</v>
      </c>
      <c r="L527" s="330" t="s">
        <v>4234</v>
      </c>
      <c r="M527" s="330" t="s">
        <v>4235</v>
      </c>
      <c r="N527" s="330" t="s">
        <v>4236</v>
      </c>
      <c r="O527" s="395">
        <v>45454</v>
      </c>
      <c r="P527" s="333">
        <v>6714285</v>
      </c>
      <c r="Q527" s="330" t="s">
        <v>1653</v>
      </c>
      <c r="R527" s="562">
        <v>0</v>
      </c>
      <c r="S527" s="333">
        <v>0</v>
      </c>
      <c r="T527" s="333">
        <v>-1881426.1400000006</v>
      </c>
      <c r="U527" s="333">
        <f t="shared" si="84"/>
        <v>-1881426.1400000006</v>
      </c>
      <c r="V527" s="333">
        <v>-200000</v>
      </c>
      <c r="W527" s="333">
        <v>0</v>
      </c>
      <c r="X527" s="333">
        <v>0</v>
      </c>
      <c r="Y527" s="333">
        <v>0</v>
      </c>
      <c r="Z527" s="333">
        <v>0</v>
      </c>
      <c r="AA527" s="333">
        <v>0</v>
      </c>
      <c r="AB527" s="333">
        <v>0</v>
      </c>
      <c r="AC527" s="333">
        <v>0</v>
      </c>
      <c r="AD527" s="333">
        <v>0</v>
      </c>
      <c r="AE527" s="333"/>
      <c r="AF527" s="333"/>
      <c r="AG527" s="333">
        <f t="shared" si="85"/>
        <v>-2081426.1400000006</v>
      </c>
      <c r="AH527" s="330"/>
      <c r="AI527" s="330">
        <v>0</v>
      </c>
      <c r="AJ527" s="396">
        <f t="shared" si="86"/>
        <v>-2081426.1400000006</v>
      </c>
      <c r="AK527" s="563"/>
      <c r="AL527" s="285">
        <f t="shared" si="87"/>
        <v>0</v>
      </c>
      <c r="AM527" s="286"/>
      <c r="AO527" s="330" t="s">
        <v>4233</v>
      </c>
    </row>
    <row r="528" spans="1:41">
      <c r="A528" s="587">
        <f t="shared" si="88"/>
        <v>525</v>
      </c>
      <c r="B528" s="330" t="s">
        <v>1643</v>
      </c>
      <c r="C528" s="330" t="s">
        <v>4237</v>
      </c>
      <c r="D528" s="330" t="s">
        <v>1662</v>
      </c>
      <c r="E528" s="330" t="s">
        <v>2362</v>
      </c>
      <c r="F528" s="330" t="s">
        <v>1671</v>
      </c>
      <c r="G528" s="562">
        <v>1375</v>
      </c>
      <c r="H528" s="562">
        <v>876.73</v>
      </c>
      <c r="I528" s="562">
        <v>982.22</v>
      </c>
      <c r="J528" s="561" t="s">
        <v>1648</v>
      </c>
      <c r="K528" s="330" t="s">
        <v>4238</v>
      </c>
      <c r="L528" s="330" t="s">
        <v>4239</v>
      </c>
      <c r="M528" s="330" t="s">
        <v>4240</v>
      </c>
      <c r="N528" s="330" t="s">
        <v>4241</v>
      </c>
      <c r="O528" s="395">
        <v>45468</v>
      </c>
      <c r="P528" s="333">
        <v>8205333</v>
      </c>
      <c r="Q528" s="330" t="s">
        <v>1653</v>
      </c>
      <c r="R528" s="562">
        <v>0</v>
      </c>
      <c r="S528" s="333">
        <v>0</v>
      </c>
      <c r="T528" s="333">
        <v>-2543653.0000000009</v>
      </c>
      <c r="U528" s="333">
        <f t="shared" si="84"/>
        <v>-2543653.0000000009</v>
      </c>
      <c r="V528" s="333">
        <v>0</v>
      </c>
      <c r="W528" s="333">
        <v>0</v>
      </c>
      <c r="X528" s="333">
        <v>0</v>
      </c>
      <c r="Y528" s="333">
        <v>0</v>
      </c>
      <c r="Z528" s="333">
        <v>0</v>
      </c>
      <c r="AA528" s="333">
        <v>0</v>
      </c>
      <c r="AB528" s="333">
        <v>0</v>
      </c>
      <c r="AC528" s="333">
        <v>0</v>
      </c>
      <c r="AD528" s="333">
        <v>0</v>
      </c>
      <c r="AE528" s="333"/>
      <c r="AF528" s="333"/>
      <c r="AG528" s="333">
        <f t="shared" si="85"/>
        <v>-2543653.0000000009</v>
      </c>
      <c r="AH528" s="330"/>
      <c r="AI528" s="330">
        <v>0</v>
      </c>
      <c r="AJ528" s="396">
        <f t="shared" si="86"/>
        <v>-2543653.0000000009</v>
      </c>
      <c r="AK528" s="563"/>
      <c r="AL528" s="285">
        <f t="shared" si="87"/>
        <v>0</v>
      </c>
      <c r="AM528" s="286"/>
      <c r="AO528" s="330" t="s">
        <v>4238</v>
      </c>
    </row>
    <row r="529" spans="1:41">
      <c r="A529" s="587">
        <f t="shared" si="88"/>
        <v>526</v>
      </c>
      <c r="B529" s="330" t="s">
        <v>1643</v>
      </c>
      <c r="C529" s="330" t="s">
        <v>4242</v>
      </c>
      <c r="D529" s="330" t="s">
        <v>1746</v>
      </c>
      <c r="E529" s="330" t="s">
        <v>2028</v>
      </c>
      <c r="F529" s="330" t="s">
        <v>1647</v>
      </c>
      <c r="G529" s="562">
        <v>1012</v>
      </c>
      <c r="H529" s="562">
        <v>653.59</v>
      </c>
      <c r="I529" s="562">
        <v>723.02</v>
      </c>
      <c r="J529" s="561" t="s">
        <v>1648</v>
      </c>
      <c r="K529" s="330" t="s">
        <v>4243</v>
      </c>
      <c r="L529" s="330" t="s">
        <v>4244</v>
      </c>
      <c r="M529" s="330" t="s">
        <v>4245</v>
      </c>
      <c r="N529" s="330" t="s">
        <v>4246</v>
      </c>
      <c r="O529" s="395">
        <v>45433</v>
      </c>
      <c r="P529" s="333">
        <v>5714010</v>
      </c>
      <c r="Q529" s="330" t="s">
        <v>1653</v>
      </c>
      <c r="R529" s="562">
        <v>0</v>
      </c>
      <c r="S529" s="333">
        <v>0</v>
      </c>
      <c r="T529" s="333">
        <v>-1764198.8400000003</v>
      </c>
      <c r="U529" s="333">
        <f t="shared" si="84"/>
        <v>-1764198.8400000003</v>
      </c>
      <c r="V529" s="333">
        <v>0</v>
      </c>
      <c r="W529" s="333">
        <v>0</v>
      </c>
      <c r="X529" s="333">
        <v>0</v>
      </c>
      <c r="Y529" s="333">
        <v>0</v>
      </c>
      <c r="Z529" s="333">
        <v>0</v>
      </c>
      <c r="AA529" s="333">
        <v>0</v>
      </c>
      <c r="AB529" s="333">
        <v>0</v>
      </c>
      <c r="AC529" s="333">
        <v>-7142.8999999999942</v>
      </c>
      <c r="AD529" s="333">
        <v>0</v>
      </c>
      <c r="AE529" s="333"/>
      <c r="AF529" s="333"/>
      <c r="AG529" s="333">
        <f t="shared" si="85"/>
        <v>-1771341.7400000002</v>
      </c>
      <c r="AH529" s="330"/>
      <c r="AI529" s="330">
        <v>7142.9000000000005</v>
      </c>
      <c r="AJ529" s="396">
        <f t="shared" si="86"/>
        <v>-1771341.7400000002</v>
      </c>
      <c r="AK529" s="563"/>
      <c r="AL529" s="285">
        <f t="shared" ref="AL529:AL530" si="89">+AC529+AI529</f>
        <v>0</v>
      </c>
      <c r="AM529" s="286"/>
      <c r="AO529" s="330" t="s">
        <v>4243</v>
      </c>
    </row>
    <row r="530" spans="1:41">
      <c r="A530" s="587">
        <f t="shared" si="88"/>
        <v>527</v>
      </c>
      <c r="B530" s="330" t="s">
        <v>1643</v>
      </c>
      <c r="C530" s="330" t="s">
        <v>4247</v>
      </c>
      <c r="D530" s="330" t="s">
        <v>1669</v>
      </c>
      <c r="E530" s="330" t="s">
        <v>1857</v>
      </c>
      <c r="F530" s="330" t="s">
        <v>1671</v>
      </c>
      <c r="G530" s="562">
        <v>1787</v>
      </c>
      <c r="H530" s="562">
        <v>1138.51</v>
      </c>
      <c r="I530" s="562">
        <v>1276.29</v>
      </c>
      <c r="J530" s="561" t="s">
        <v>1648</v>
      </c>
      <c r="K530" s="330" t="s">
        <v>4248</v>
      </c>
      <c r="L530" s="330" t="s">
        <v>4249</v>
      </c>
      <c r="M530" s="330" t="s">
        <v>4250</v>
      </c>
      <c r="N530" s="330" t="s">
        <v>4251</v>
      </c>
      <c r="O530" s="395">
        <v>45449</v>
      </c>
      <c r="P530" s="333">
        <v>11271150</v>
      </c>
      <c r="Q530" s="330" t="s">
        <v>1653</v>
      </c>
      <c r="R530" s="562">
        <v>0</v>
      </c>
      <c r="S530" s="333">
        <v>0</v>
      </c>
      <c r="T530" s="333">
        <v>-3374155.7400000012</v>
      </c>
      <c r="U530" s="333">
        <f t="shared" si="84"/>
        <v>-3374155.7400000012</v>
      </c>
      <c r="V530" s="333">
        <v>0</v>
      </c>
      <c r="W530" s="333">
        <v>0</v>
      </c>
      <c r="X530" s="333">
        <v>0</v>
      </c>
      <c r="Y530" s="333">
        <v>0</v>
      </c>
      <c r="Z530" s="333">
        <v>0</v>
      </c>
      <c r="AA530" s="333">
        <v>0</v>
      </c>
      <c r="AB530" s="333">
        <v>0</v>
      </c>
      <c r="AC530" s="333">
        <v>-7190</v>
      </c>
      <c r="AD530" s="333">
        <v>0</v>
      </c>
      <c r="AE530" s="333"/>
      <c r="AF530" s="333"/>
      <c r="AG530" s="333">
        <f t="shared" si="85"/>
        <v>-3381345.7400000012</v>
      </c>
      <c r="AH530" s="330"/>
      <c r="AI530" s="330">
        <v>7190</v>
      </c>
      <c r="AJ530" s="396">
        <f t="shared" si="86"/>
        <v>-3381345.7400000012</v>
      </c>
      <c r="AK530" s="563"/>
      <c r="AL530" s="285">
        <f t="shared" si="89"/>
        <v>0</v>
      </c>
      <c r="AM530" s="286"/>
      <c r="AO530" s="330" t="s">
        <v>4248</v>
      </c>
    </row>
    <row r="531" spans="1:41">
      <c r="A531" s="587">
        <f t="shared" si="88"/>
        <v>528</v>
      </c>
      <c r="B531" s="330" t="s">
        <v>1643</v>
      </c>
      <c r="C531" s="330" t="s">
        <v>4252</v>
      </c>
      <c r="D531" s="330" t="s">
        <v>1677</v>
      </c>
      <c r="E531" s="330" t="s">
        <v>2132</v>
      </c>
      <c r="F531" s="330" t="s">
        <v>1647</v>
      </c>
      <c r="G531" s="562">
        <v>1012</v>
      </c>
      <c r="H531" s="562">
        <v>653.59</v>
      </c>
      <c r="I531" s="562">
        <v>723.02</v>
      </c>
      <c r="J531" s="561" t="s">
        <v>1648</v>
      </c>
      <c r="K531" s="330" t="s">
        <v>4253</v>
      </c>
      <c r="L531" s="330" t="s">
        <v>4254</v>
      </c>
      <c r="M531" s="330" t="s">
        <v>4255</v>
      </c>
      <c r="N531" s="330" t="s">
        <v>12</v>
      </c>
      <c r="O531" s="395"/>
      <c r="P531" s="333">
        <v>6044572</v>
      </c>
      <c r="Q531" s="330" t="s">
        <v>1660</v>
      </c>
      <c r="R531" s="562">
        <v>0</v>
      </c>
      <c r="S531" s="333">
        <v>0</v>
      </c>
      <c r="T531" s="333">
        <v>-643700</v>
      </c>
      <c r="U531" s="333">
        <f t="shared" si="84"/>
        <v>-643700</v>
      </c>
      <c r="V531" s="333">
        <v>643700</v>
      </c>
      <c r="W531" s="333">
        <v>0</v>
      </c>
      <c r="X531" s="333">
        <v>0</v>
      </c>
      <c r="Y531" s="333">
        <v>0</v>
      </c>
      <c r="Z531" s="333">
        <v>0</v>
      </c>
      <c r="AA531" s="333">
        <v>0</v>
      </c>
      <c r="AB531" s="333">
        <v>0</v>
      </c>
      <c r="AC531" s="333">
        <v>0</v>
      </c>
      <c r="AD531" s="333">
        <v>0</v>
      </c>
      <c r="AE531" s="333"/>
      <c r="AF531" s="333"/>
      <c r="AG531" s="333">
        <f t="shared" si="85"/>
        <v>0</v>
      </c>
      <c r="AH531" s="330"/>
      <c r="AI531" s="330">
        <v>0</v>
      </c>
      <c r="AJ531" s="396">
        <f t="shared" si="86"/>
        <v>0</v>
      </c>
      <c r="AK531" s="563"/>
      <c r="AL531" s="285">
        <f t="shared" si="87"/>
        <v>0</v>
      </c>
      <c r="AM531" s="286"/>
      <c r="AO531" s="330" t="s">
        <v>4253</v>
      </c>
    </row>
    <row r="532" spans="1:41">
      <c r="A532" s="587">
        <f t="shared" si="88"/>
        <v>529</v>
      </c>
      <c r="B532" s="330" t="s">
        <v>1643</v>
      </c>
      <c r="C532" s="330" t="s">
        <v>4256</v>
      </c>
      <c r="D532" s="330" t="s">
        <v>1704</v>
      </c>
      <c r="E532" s="330" t="s">
        <v>1792</v>
      </c>
      <c r="F532" s="330" t="s">
        <v>1647</v>
      </c>
      <c r="G532" s="562">
        <v>1114</v>
      </c>
      <c r="H532" s="562">
        <v>683.3</v>
      </c>
      <c r="I532" s="562">
        <v>795.57</v>
      </c>
      <c r="J532" s="561" t="s">
        <v>1648</v>
      </c>
      <c r="K532" s="330" t="s">
        <v>4257</v>
      </c>
      <c r="L532" s="330" t="s">
        <v>4258</v>
      </c>
      <c r="M532" s="330" t="s">
        <v>4259</v>
      </c>
      <c r="N532" s="330" t="s">
        <v>4260</v>
      </c>
      <c r="O532" s="395">
        <v>45439</v>
      </c>
      <c r="P532" s="333">
        <v>6312476</v>
      </c>
      <c r="Q532" s="330" t="s">
        <v>1653</v>
      </c>
      <c r="R532" s="562">
        <v>0</v>
      </c>
      <c r="S532" s="333">
        <v>0</v>
      </c>
      <c r="T532" s="333">
        <v>-1893741.620000001</v>
      </c>
      <c r="U532" s="333">
        <f t="shared" si="84"/>
        <v>-1893741.620000001</v>
      </c>
      <c r="V532" s="333">
        <v>0</v>
      </c>
      <c r="W532" s="333">
        <v>0</v>
      </c>
      <c r="X532" s="333">
        <v>0</v>
      </c>
      <c r="Y532" s="333">
        <v>0</v>
      </c>
      <c r="Z532" s="333">
        <v>0</v>
      </c>
      <c r="AA532" s="333">
        <v>0</v>
      </c>
      <c r="AB532" s="333">
        <v>0</v>
      </c>
      <c r="AC532" s="333">
        <v>0</v>
      </c>
      <c r="AD532" s="333">
        <v>0</v>
      </c>
      <c r="AE532" s="333"/>
      <c r="AF532" s="333"/>
      <c r="AG532" s="333">
        <f t="shared" si="85"/>
        <v>-1893741.620000001</v>
      </c>
      <c r="AH532" s="330"/>
      <c r="AI532" s="330">
        <v>0</v>
      </c>
      <c r="AJ532" s="396">
        <f t="shared" si="86"/>
        <v>-1893741.620000001</v>
      </c>
      <c r="AK532" s="563"/>
      <c r="AL532" s="285">
        <f t="shared" si="87"/>
        <v>0</v>
      </c>
      <c r="AM532" s="286"/>
      <c r="AO532" s="330" t="s">
        <v>4257</v>
      </c>
    </row>
    <row r="533" spans="1:41">
      <c r="A533" s="587">
        <f t="shared" si="88"/>
        <v>530</v>
      </c>
      <c r="B533" s="330" t="s">
        <v>1643</v>
      </c>
      <c r="C533" s="330" t="s">
        <v>1780</v>
      </c>
      <c r="D533" s="330" t="s">
        <v>1677</v>
      </c>
      <c r="E533" s="330" t="s">
        <v>1717</v>
      </c>
      <c r="F533" s="330" t="s">
        <v>1647</v>
      </c>
      <c r="G533" s="562">
        <v>1114</v>
      </c>
      <c r="H533" s="562">
        <v>683.3</v>
      </c>
      <c r="I533" s="562">
        <v>795.57</v>
      </c>
      <c r="J533" s="561" t="s">
        <v>1810</v>
      </c>
      <c r="K533" s="330" t="s">
        <v>4261</v>
      </c>
      <c r="L533" s="330" t="s">
        <v>4262</v>
      </c>
      <c r="M533" s="330" t="s">
        <v>4263</v>
      </c>
      <c r="N533" s="330" t="s">
        <v>12</v>
      </c>
      <c r="O533" s="395"/>
      <c r="P533" s="333">
        <v>6821429</v>
      </c>
      <c r="Q533" s="330" t="s">
        <v>1660</v>
      </c>
      <c r="R533" s="562">
        <v>0</v>
      </c>
      <c r="S533" s="333">
        <v>0</v>
      </c>
      <c r="T533" s="333">
        <v>-20000</v>
      </c>
      <c r="U533" s="333">
        <f t="shared" si="84"/>
        <v>-20000</v>
      </c>
      <c r="V533" s="333">
        <v>20000</v>
      </c>
      <c r="W533" s="333">
        <v>0</v>
      </c>
      <c r="X533" s="333">
        <v>0</v>
      </c>
      <c r="Y533" s="333">
        <v>0</v>
      </c>
      <c r="Z533" s="333">
        <v>0</v>
      </c>
      <c r="AA533" s="333">
        <v>0</v>
      </c>
      <c r="AB533" s="333">
        <v>0</v>
      </c>
      <c r="AC533" s="333">
        <v>0</v>
      </c>
      <c r="AD533" s="333">
        <v>0</v>
      </c>
      <c r="AE533" s="333"/>
      <c r="AF533" s="333"/>
      <c r="AG533" s="333">
        <f t="shared" si="85"/>
        <v>0</v>
      </c>
      <c r="AH533" s="330"/>
      <c r="AI533" s="330">
        <v>0</v>
      </c>
      <c r="AJ533" s="396">
        <f t="shared" si="86"/>
        <v>0</v>
      </c>
      <c r="AK533" s="563"/>
      <c r="AL533" s="285">
        <f t="shared" si="87"/>
        <v>0</v>
      </c>
      <c r="AM533" s="286"/>
      <c r="AO533" s="330" t="s">
        <v>4261</v>
      </c>
    </row>
    <row r="534" spans="1:41">
      <c r="A534" s="587">
        <f t="shared" si="88"/>
        <v>531</v>
      </c>
      <c r="B534" s="330" t="s">
        <v>1643</v>
      </c>
      <c r="C534" s="330" t="s">
        <v>3222</v>
      </c>
      <c r="D534" s="330" t="s">
        <v>1655</v>
      </c>
      <c r="E534" s="330" t="s">
        <v>2873</v>
      </c>
      <c r="F534" s="330" t="s">
        <v>1647</v>
      </c>
      <c r="G534" s="562">
        <v>1012</v>
      </c>
      <c r="H534" s="562">
        <v>653.59</v>
      </c>
      <c r="I534" s="562">
        <v>723.02</v>
      </c>
      <c r="J534" s="561" t="s">
        <v>1648</v>
      </c>
      <c r="K534" s="330" t="s">
        <v>4264</v>
      </c>
      <c r="L534" s="330" t="s">
        <v>4265</v>
      </c>
      <c r="M534" s="330" t="s">
        <v>4266</v>
      </c>
      <c r="N534" s="330" t="s">
        <v>12</v>
      </c>
      <c r="O534" s="395"/>
      <c r="P534" s="333">
        <v>6133905</v>
      </c>
      <c r="Q534" s="330" t="s">
        <v>1660</v>
      </c>
      <c r="R534" s="562">
        <v>0</v>
      </c>
      <c r="S534" s="333">
        <v>0</v>
      </c>
      <c r="T534" s="333">
        <v>-2091600</v>
      </c>
      <c r="U534" s="333">
        <f t="shared" si="84"/>
        <v>-2091600</v>
      </c>
      <c r="V534" s="333">
        <v>0</v>
      </c>
      <c r="W534" s="333">
        <v>0</v>
      </c>
      <c r="X534" s="333">
        <v>0</v>
      </c>
      <c r="Y534" s="333">
        <v>0</v>
      </c>
      <c r="Z534" s="333">
        <v>0</v>
      </c>
      <c r="AA534" s="333">
        <v>0</v>
      </c>
      <c r="AB534" s="333">
        <v>0</v>
      </c>
      <c r="AC534" s="333">
        <v>0</v>
      </c>
      <c r="AD534" s="333">
        <v>2091600</v>
      </c>
      <c r="AE534" s="333"/>
      <c r="AF534" s="333"/>
      <c r="AG534" s="333">
        <f t="shared" si="85"/>
        <v>0</v>
      </c>
      <c r="AH534" s="330"/>
      <c r="AI534" s="330">
        <v>0</v>
      </c>
      <c r="AJ534" s="396">
        <f t="shared" si="86"/>
        <v>0</v>
      </c>
      <c r="AK534" s="563"/>
      <c r="AL534" s="285">
        <f>+AC534+AI534</f>
        <v>0</v>
      </c>
      <c r="AM534" s="286"/>
      <c r="AO534" s="330" t="s">
        <v>4264</v>
      </c>
    </row>
    <row r="535" spans="1:41">
      <c r="A535" s="587">
        <f t="shared" si="88"/>
        <v>532</v>
      </c>
      <c r="B535" s="330" t="s">
        <v>1643</v>
      </c>
      <c r="C535" s="330" t="s">
        <v>4267</v>
      </c>
      <c r="D535" s="330" t="s">
        <v>2153</v>
      </c>
      <c r="E535" s="330" t="s">
        <v>4268</v>
      </c>
      <c r="F535" s="330" t="s">
        <v>1671</v>
      </c>
      <c r="G535" s="562">
        <v>1498</v>
      </c>
      <c r="H535" s="562">
        <v>954.87</v>
      </c>
      <c r="I535" s="562">
        <v>1069.73</v>
      </c>
      <c r="J535" s="561" t="s">
        <v>1679</v>
      </c>
      <c r="K535" s="330" t="s">
        <v>4269</v>
      </c>
      <c r="L535" s="330" t="s">
        <v>4270</v>
      </c>
      <c r="M535" s="330" t="s">
        <v>4271</v>
      </c>
      <c r="N535" s="330" t="s">
        <v>4272</v>
      </c>
      <c r="O535" s="395">
        <v>45629</v>
      </c>
      <c r="P535" s="333">
        <v>10133905</v>
      </c>
      <c r="Q535" s="330" t="s">
        <v>1653</v>
      </c>
      <c r="R535" s="562">
        <v>0</v>
      </c>
      <c r="S535" s="333">
        <v>0</v>
      </c>
      <c r="T535" s="333">
        <v>-3042364.4200000009</v>
      </c>
      <c r="U535" s="333">
        <f t="shared" si="84"/>
        <v>-3042364.4200000009</v>
      </c>
      <c r="V535" s="333">
        <v>0</v>
      </c>
      <c r="W535" s="333">
        <v>0</v>
      </c>
      <c r="X535" s="333">
        <v>0</v>
      </c>
      <c r="Y535" s="333">
        <v>0</v>
      </c>
      <c r="Z535" s="333">
        <v>0</v>
      </c>
      <c r="AA535" s="333">
        <v>0</v>
      </c>
      <c r="AB535" s="333">
        <v>0</v>
      </c>
      <c r="AC535" s="333">
        <v>0</v>
      </c>
      <c r="AD535" s="333">
        <v>0</v>
      </c>
      <c r="AE535" s="333"/>
      <c r="AF535" s="333"/>
      <c r="AG535" s="333">
        <f t="shared" si="85"/>
        <v>-3042364.4200000009</v>
      </c>
      <c r="AH535" s="330"/>
      <c r="AI535" s="330">
        <v>0</v>
      </c>
      <c r="AJ535" s="396">
        <f t="shared" si="86"/>
        <v>-3042364.4200000009</v>
      </c>
      <c r="AK535" s="563"/>
      <c r="AL535" s="285">
        <f t="shared" si="87"/>
        <v>0</v>
      </c>
      <c r="AM535" s="286"/>
      <c r="AO535" s="330" t="s">
        <v>4269</v>
      </c>
    </row>
    <row r="536" spans="1:41">
      <c r="A536" s="587">
        <f t="shared" si="88"/>
        <v>533</v>
      </c>
      <c r="B536" s="330" t="s">
        <v>1643</v>
      </c>
      <c r="C536" s="330" t="s">
        <v>4273</v>
      </c>
      <c r="D536" s="330" t="s">
        <v>2153</v>
      </c>
      <c r="E536" s="330" t="s">
        <v>1734</v>
      </c>
      <c r="F536" s="330" t="s">
        <v>1647</v>
      </c>
      <c r="G536" s="562">
        <v>1114</v>
      </c>
      <c r="H536" s="562">
        <v>683.3</v>
      </c>
      <c r="I536" s="562">
        <v>795.57</v>
      </c>
      <c r="J536" s="561" t="s">
        <v>1810</v>
      </c>
      <c r="K536" s="330" t="s">
        <v>4274</v>
      </c>
      <c r="L536" s="330" t="s">
        <v>4275</v>
      </c>
      <c r="M536" s="330" t="s">
        <v>4276</v>
      </c>
      <c r="N536" s="330" t="s">
        <v>4277</v>
      </c>
      <c r="O536" s="395">
        <v>45454</v>
      </c>
      <c r="P536" s="333">
        <v>6491048</v>
      </c>
      <c r="Q536" s="330" t="s">
        <v>1653</v>
      </c>
      <c r="R536" s="562">
        <v>0</v>
      </c>
      <c r="S536" s="333">
        <v>0</v>
      </c>
      <c r="T536" s="333">
        <v>-2162244.2800000003</v>
      </c>
      <c r="U536" s="333">
        <f t="shared" si="84"/>
        <v>-2162244.2800000003</v>
      </c>
      <c r="V536" s="333">
        <v>0</v>
      </c>
      <c r="W536" s="333">
        <v>0</v>
      </c>
      <c r="X536" s="333">
        <v>0</v>
      </c>
      <c r="Y536" s="333">
        <v>0</v>
      </c>
      <c r="Z536" s="333">
        <v>0</v>
      </c>
      <c r="AA536" s="333">
        <v>0</v>
      </c>
      <c r="AB536" s="333">
        <v>0</v>
      </c>
      <c r="AC536" s="333">
        <v>0</v>
      </c>
      <c r="AD536" s="333">
        <v>0</v>
      </c>
      <c r="AE536" s="333"/>
      <c r="AF536" s="333"/>
      <c r="AG536" s="333">
        <f t="shared" si="85"/>
        <v>-2162244.2800000003</v>
      </c>
      <c r="AH536" s="330"/>
      <c r="AI536" s="330">
        <v>0</v>
      </c>
      <c r="AJ536" s="396">
        <f t="shared" si="86"/>
        <v>-2162244.2800000003</v>
      </c>
      <c r="AK536" s="563"/>
      <c r="AL536" s="285">
        <f t="shared" si="87"/>
        <v>0</v>
      </c>
      <c r="AM536" s="286"/>
      <c r="AO536" s="330" t="s">
        <v>4274</v>
      </c>
    </row>
    <row r="537" spans="1:41">
      <c r="A537" s="587">
        <f t="shared" si="88"/>
        <v>534</v>
      </c>
      <c r="B537" s="330" t="s">
        <v>1643</v>
      </c>
      <c r="C537" s="330" t="s">
        <v>3200</v>
      </c>
      <c r="D537" s="330" t="s">
        <v>1704</v>
      </c>
      <c r="E537" s="330" t="s">
        <v>3047</v>
      </c>
      <c r="F537" s="330" t="s">
        <v>1647</v>
      </c>
      <c r="G537" s="562">
        <v>1012</v>
      </c>
      <c r="H537" s="562">
        <v>653.59</v>
      </c>
      <c r="I537" s="562">
        <v>723.02</v>
      </c>
      <c r="J537" s="561" t="s">
        <v>1810</v>
      </c>
      <c r="K537" s="330" t="s">
        <v>4278</v>
      </c>
      <c r="L537" s="330" t="s">
        <v>4279</v>
      </c>
      <c r="M537" s="330" t="s">
        <v>4280</v>
      </c>
      <c r="N537" s="330" t="s">
        <v>3204</v>
      </c>
      <c r="O537" s="395">
        <v>45474</v>
      </c>
      <c r="P537" s="333">
        <v>5687428</v>
      </c>
      <c r="Q537" s="330" t="s">
        <v>1660</v>
      </c>
      <c r="R537" s="562">
        <v>0</v>
      </c>
      <c r="S537" s="333">
        <v>0</v>
      </c>
      <c r="T537" s="333">
        <v>-1504674</v>
      </c>
      <c r="U537" s="333">
        <f t="shared" si="84"/>
        <v>-1504674</v>
      </c>
      <c r="V537" s="333">
        <v>1504674</v>
      </c>
      <c r="W537" s="333">
        <v>0</v>
      </c>
      <c r="X537" s="333">
        <v>0</v>
      </c>
      <c r="Y537" s="333">
        <v>0</v>
      </c>
      <c r="Z537" s="333">
        <v>0</v>
      </c>
      <c r="AA537" s="333">
        <v>0</v>
      </c>
      <c r="AB537" s="333">
        <v>0</v>
      </c>
      <c r="AC537" s="333">
        <v>0</v>
      </c>
      <c r="AD537" s="333">
        <v>0</v>
      </c>
      <c r="AE537" s="333"/>
      <c r="AF537" s="333"/>
      <c r="AG537" s="333">
        <f t="shared" si="85"/>
        <v>0</v>
      </c>
      <c r="AH537" s="330"/>
      <c r="AI537" s="330">
        <v>0</v>
      </c>
      <c r="AJ537" s="396">
        <f t="shared" si="86"/>
        <v>0</v>
      </c>
      <c r="AK537" s="563"/>
      <c r="AL537" s="285">
        <f t="shared" si="87"/>
        <v>0</v>
      </c>
      <c r="AM537" s="286"/>
      <c r="AO537" s="330" t="s">
        <v>4278</v>
      </c>
    </row>
    <row r="538" spans="1:41">
      <c r="A538" s="587">
        <f t="shared" si="88"/>
        <v>535</v>
      </c>
      <c r="B538" s="330" t="s">
        <v>1643</v>
      </c>
      <c r="C538" s="330" t="s">
        <v>4281</v>
      </c>
      <c r="D538" s="330" t="s">
        <v>1704</v>
      </c>
      <c r="E538" s="330" t="s">
        <v>2547</v>
      </c>
      <c r="F538" s="330" t="s">
        <v>1671</v>
      </c>
      <c r="G538" s="562">
        <v>1375</v>
      </c>
      <c r="H538" s="562">
        <v>876.73</v>
      </c>
      <c r="I538" s="562">
        <v>982.22</v>
      </c>
      <c r="J538" s="561" t="s">
        <v>1679</v>
      </c>
      <c r="K538" s="330" t="s">
        <v>4282</v>
      </c>
      <c r="L538" s="330" t="s">
        <v>4283</v>
      </c>
      <c r="M538" s="330" t="s">
        <v>4284</v>
      </c>
      <c r="N538" s="330" t="s">
        <v>4285</v>
      </c>
      <c r="O538" s="395">
        <v>45456</v>
      </c>
      <c r="P538" s="333">
        <v>7855810</v>
      </c>
      <c r="Q538" s="330" t="s">
        <v>1653</v>
      </c>
      <c r="R538" s="562">
        <v>0</v>
      </c>
      <c r="S538" s="333">
        <v>0</v>
      </c>
      <c r="T538" s="333">
        <v>-2935299.84</v>
      </c>
      <c r="U538" s="333">
        <f t="shared" si="84"/>
        <v>-2935299.84</v>
      </c>
      <c r="V538" s="333">
        <v>0</v>
      </c>
      <c r="W538" s="333">
        <v>0</v>
      </c>
      <c r="X538" s="333">
        <v>0</v>
      </c>
      <c r="Y538" s="333">
        <v>0</v>
      </c>
      <c r="Z538" s="333">
        <v>0</v>
      </c>
      <c r="AA538" s="333">
        <v>0</v>
      </c>
      <c r="AB538" s="333">
        <v>0</v>
      </c>
      <c r="AC538" s="333">
        <v>0</v>
      </c>
      <c r="AD538" s="333">
        <v>0</v>
      </c>
      <c r="AE538" s="333"/>
      <c r="AF538" s="333"/>
      <c r="AG538" s="333">
        <f t="shared" si="85"/>
        <v>-2935299.84</v>
      </c>
      <c r="AH538" s="330"/>
      <c r="AI538" s="330">
        <v>0</v>
      </c>
      <c r="AJ538" s="396">
        <f t="shared" si="86"/>
        <v>-2935299.84</v>
      </c>
      <c r="AK538" s="563"/>
      <c r="AL538" s="285">
        <f t="shared" si="87"/>
        <v>0</v>
      </c>
      <c r="AM538" s="286"/>
      <c r="AO538" s="330" t="s">
        <v>4282</v>
      </c>
    </row>
    <row r="539" spans="1:41">
      <c r="A539" s="587">
        <f t="shared" si="88"/>
        <v>536</v>
      </c>
      <c r="B539" s="330" t="s">
        <v>1643</v>
      </c>
      <c r="C539" s="330" t="s">
        <v>4286</v>
      </c>
      <c r="D539" s="330" t="s">
        <v>2153</v>
      </c>
      <c r="E539" s="330" t="s">
        <v>4038</v>
      </c>
      <c r="F539" s="330" t="s">
        <v>1786</v>
      </c>
      <c r="G539" s="562">
        <v>1114</v>
      </c>
      <c r="H539" s="562">
        <v>683.3</v>
      </c>
      <c r="I539" s="562">
        <v>795.57</v>
      </c>
      <c r="J539" s="561" t="s">
        <v>1679</v>
      </c>
      <c r="K539" s="330" t="s">
        <v>4287</v>
      </c>
      <c r="L539" s="330" t="s">
        <v>4288</v>
      </c>
      <c r="M539" s="330" t="s">
        <v>4289</v>
      </c>
      <c r="N539" s="330" t="s">
        <v>12</v>
      </c>
      <c r="O539" s="395"/>
      <c r="P539" s="333">
        <v>7180100</v>
      </c>
      <c r="Q539" s="330" t="s">
        <v>1660</v>
      </c>
      <c r="R539" s="562">
        <v>0</v>
      </c>
      <c r="S539" s="333">
        <v>0</v>
      </c>
      <c r="T539" s="333">
        <v>0</v>
      </c>
      <c r="U539" s="333">
        <f t="shared" si="84"/>
        <v>0</v>
      </c>
      <c r="V539" s="333">
        <v>0</v>
      </c>
      <c r="W539" s="333">
        <v>0</v>
      </c>
      <c r="X539" s="333">
        <v>0</v>
      </c>
      <c r="Y539" s="333">
        <v>0</v>
      </c>
      <c r="Z539" s="333">
        <v>0</v>
      </c>
      <c r="AA539" s="333">
        <v>0</v>
      </c>
      <c r="AB539" s="333">
        <v>0</v>
      </c>
      <c r="AC539" s="333">
        <v>0</v>
      </c>
      <c r="AD539" s="333">
        <v>0</v>
      </c>
      <c r="AE539" s="333"/>
      <c r="AF539" s="333"/>
      <c r="AG539" s="333">
        <f t="shared" si="85"/>
        <v>0</v>
      </c>
      <c r="AH539" s="330"/>
      <c r="AI539" s="330">
        <v>0</v>
      </c>
      <c r="AJ539" s="396">
        <f t="shared" si="86"/>
        <v>0</v>
      </c>
      <c r="AK539" s="563"/>
      <c r="AL539" s="285">
        <f t="shared" si="87"/>
        <v>0</v>
      </c>
      <c r="AM539" s="286"/>
      <c r="AO539" s="330" t="s">
        <v>4287</v>
      </c>
    </row>
    <row r="540" spans="1:41">
      <c r="A540" s="587">
        <f t="shared" si="88"/>
        <v>537</v>
      </c>
      <c r="B540" s="330" t="s">
        <v>1643</v>
      </c>
      <c r="C540" s="330" t="s">
        <v>4290</v>
      </c>
      <c r="D540" s="330" t="s">
        <v>2153</v>
      </c>
      <c r="E540" s="330" t="s">
        <v>2486</v>
      </c>
      <c r="F540" s="330" t="s">
        <v>1786</v>
      </c>
      <c r="G540" s="562">
        <v>1114</v>
      </c>
      <c r="H540" s="562">
        <v>683.3</v>
      </c>
      <c r="I540" s="562">
        <v>795.57</v>
      </c>
      <c r="J540" s="561" t="s">
        <v>1679</v>
      </c>
      <c r="K540" s="330" t="s">
        <v>4291</v>
      </c>
      <c r="L540" s="330" t="s">
        <v>4288</v>
      </c>
      <c r="M540" s="330" t="s">
        <v>4289</v>
      </c>
      <c r="N540" s="330" t="s">
        <v>12</v>
      </c>
      <c r="O540" s="395"/>
      <c r="P540" s="333">
        <v>7180100</v>
      </c>
      <c r="Q540" s="330" t="s">
        <v>1660</v>
      </c>
      <c r="R540" s="562">
        <v>0</v>
      </c>
      <c r="S540" s="333">
        <v>0</v>
      </c>
      <c r="T540" s="333">
        <v>0</v>
      </c>
      <c r="U540" s="333">
        <f t="shared" si="84"/>
        <v>0</v>
      </c>
      <c r="V540" s="333">
        <v>0</v>
      </c>
      <c r="W540" s="333">
        <v>0</v>
      </c>
      <c r="X540" s="333">
        <v>0</v>
      </c>
      <c r="Y540" s="333">
        <v>0</v>
      </c>
      <c r="Z540" s="333">
        <v>0</v>
      </c>
      <c r="AA540" s="333">
        <v>0</v>
      </c>
      <c r="AB540" s="333">
        <v>0</v>
      </c>
      <c r="AC540" s="333">
        <v>0</v>
      </c>
      <c r="AD540" s="333">
        <v>0</v>
      </c>
      <c r="AE540" s="333"/>
      <c r="AF540" s="333"/>
      <c r="AG540" s="333">
        <f t="shared" si="85"/>
        <v>0</v>
      </c>
      <c r="AH540" s="330"/>
      <c r="AI540" s="330">
        <v>0</v>
      </c>
      <c r="AJ540" s="396">
        <f t="shared" si="86"/>
        <v>0</v>
      </c>
      <c r="AK540" s="563"/>
      <c r="AL540" s="285">
        <f t="shared" si="87"/>
        <v>0</v>
      </c>
      <c r="AM540" s="286"/>
      <c r="AO540" s="330" t="s">
        <v>4291</v>
      </c>
    </row>
    <row r="541" spans="1:41">
      <c r="A541" s="587">
        <f t="shared" si="88"/>
        <v>538</v>
      </c>
      <c r="B541" s="330" t="s">
        <v>1643</v>
      </c>
      <c r="C541" s="330" t="s">
        <v>4292</v>
      </c>
      <c r="D541" s="330" t="s">
        <v>1669</v>
      </c>
      <c r="E541" s="330" t="s">
        <v>4160</v>
      </c>
      <c r="F541" s="330" t="s">
        <v>1671</v>
      </c>
      <c r="G541" s="562">
        <v>1787</v>
      </c>
      <c r="H541" s="562">
        <v>1138.51</v>
      </c>
      <c r="I541" s="562">
        <v>1276.29</v>
      </c>
      <c r="J541" s="561" t="s">
        <v>1679</v>
      </c>
      <c r="K541" s="330" t="s">
        <v>4293</v>
      </c>
      <c r="L541" s="330" t="s">
        <v>4294</v>
      </c>
      <c r="M541" s="330" t="s">
        <v>4295</v>
      </c>
      <c r="N541" s="330" t="s">
        <v>4296</v>
      </c>
      <c r="O541" s="395">
        <v>45440</v>
      </c>
      <c r="P541" s="333">
        <v>11003130</v>
      </c>
      <c r="Q541" s="330" t="s">
        <v>1653</v>
      </c>
      <c r="R541" s="562">
        <v>0</v>
      </c>
      <c r="S541" s="333">
        <v>0</v>
      </c>
      <c r="T541" s="333">
        <v>-3000940.0399999991</v>
      </c>
      <c r="U541" s="333">
        <f t="shared" si="84"/>
        <v>-3000940.0399999991</v>
      </c>
      <c r="V541" s="333">
        <v>-300000</v>
      </c>
      <c r="W541" s="333">
        <v>0</v>
      </c>
      <c r="X541" s="333">
        <v>0</v>
      </c>
      <c r="Y541" s="333">
        <v>0</v>
      </c>
      <c r="Z541" s="333">
        <v>0</v>
      </c>
      <c r="AA541" s="333">
        <v>0</v>
      </c>
      <c r="AB541" s="333">
        <v>0</v>
      </c>
      <c r="AC541" s="333">
        <v>0</v>
      </c>
      <c r="AD541" s="333">
        <v>0</v>
      </c>
      <c r="AE541" s="333"/>
      <c r="AF541" s="333"/>
      <c r="AG541" s="333">
        <f t="shared" si="85"/>
        <v>-3300940.0399999991</v>
      </c>
      <c r="AH541" s="330"/>
      <c r="AI541" s="330">
        <v>0</v>
      </c>
      <c r="AJ541" s="396">
        <f t="shared" si="86"/>
        <v>-3300940.0399999991</v>
      </c>
      <c r="AK541" s="563"/>
      <c r="AL541" s="285">
        <f t="shared" si="87"/>
        <v>0</v>
      </c>
      <c r="AM541" s="286"/>
      <c r="AO541" s="330" t="s">
        <v>4293</v>
      </c>
    </row>
    <row r="542" spans="1:41">
      <c r="A542" s="587">
        <f t="shared" si="88"/>
        <v>539</v>
      </c>
      <c r="B542" s="330" t="s">
        <v>1643</v>
      </c>
      <c r="C542" s="330" t="s">
        <v>1769</v>
      </c>
      <c r="D542" s="330" t="s">
        <v>1669</v>
      </c>
      <c r="E542" s="330" t="s">
        <v>1663</v>
      </c>
      <c r="F542" s="330" t="s">
        <v>1671</v>
      </c>
      <c r="G542" s="562">
        <v>1787</v>
      </c>
      <c r="H542" s="562">
        <v>1138.51</v>
      </c>
      <c r="I542" s="562">
        <v>1276.29</v>
      </c>
      <c r="J542" s="561" t="s">
        <v>1810</v>
      </c>
      <c r="K542" s="330" t="s">
        <v>4297</v>
      </c>
      <c r="L542" s="330" t="s">
        <v>4298</v>
      </c>
      <c r="M542" s="330" t="s">
        <v>4299</v>
      </c>
      <c r="N542" s="330" t="s">
        <v>1773</v>
      </c>
      <c r="O542" s="395">
        <v>45439</v>
      </c>
      <c r="P542" s="333">
        <v>11269682</v>
      </c>
      <c r="Q542" s="330" t="s">
        <v>1653</v>
      </c>
      <c r="R542" s="562">
        <v>0</v>
      </c>
      <c r="S542" s="333">
        <v>0</v>
      </c>
      <c r="T542" s="333">
        <v>-408326.76</v>
      </c>
      <c r="U542" s="333">
        <f t="shared" si="84"/>
        <v>-408326.76</v>
      </c>
      <c r="V542" s="333">
        <v>-2958290</v>
      </c>
      <c r="W542" s="333">
        <v>0</v>
      </c>
      <c r="X542" s="333">
        <v>0</v>
      </c>
      <c r="Y542" s="333">
        <v>0</v>
      </c>
      <c r="Z542" s="333">
        <v>0</v>
      </c>
      <c r="AA542" s="333">
        <v>0</v>
      </c>
      <c r="AB542" s="333">
        <v>0</v>
      </c>
      <c r="AC542" s="333">
        <v>-14285</v>
      </c>
      <c r="AD542" s="333">
        <v>0</v>
      </c>
      <c r="AE542" s="333"/>
      <c r="AF542" s="333"/>
      <c r="AG542" s="333">
        <f t="shared" si="85"/>
        <v>-3380901.76</v>
      </c>
      <c r="AH542" s="330"/>
      <c r="AI542" s="330">
        <v>14285</v>
      </c>
      <c r="AJ542" s="396">
        <f t="shared" si="86"/>
        <v>-3380901.76</v>
      </c>
      <c r="AK542" s="563"/>
      <c r="AL542" s="285">
        <f t="shared" ref="AL542:AL544" si="90">+AC542+AI542</f>
        <v>0</v>
      </c>
      <c r="AM542" s="286"/>
      <c r="AO542" s="330" t="s">
        <v>4297</v>
      </c>
    </row>
    <row r="543" spans="1:41">
      <c r="A543" s="587">
        <f t="shared" si="88"/>
        <v>540</v>
      </c>
      <c r="B543" s="330" t="s">
        <v>1643</v>
      </c>
      <c r="C543" s="330" t="s">
        <v>4300</v>
      </c>
      <c r="D543" s="330" t="s">
        <v>1669</v>
      </c>
      <c r="E543" s="330" t="s">
        <v>4268</v>
      </c>
      <c r="F543" s="330" t="s">
        <v>1671</v>
      </c>
      <c r="G543" s="562">
        <v>1821</v>
      </c>
      <c r="H543" s="562">
        <v>1138.51</v>
      </c>
      <c r="I543" s="562">
        <v>1300.78</v>
      </c>
      <c r="J543" s="561" t="s">
        <v>1648</v>
      </c>
      <c r="K543" s="330" t="s">
        <v>4301</v>
      </c>
      <c r="L543" s="330" t="s">
        <v>4302</v>
      </c>
      <c r="M543" s="330" t="s">
        <v>4303</v>
      </c>
      <c r="N543" s="330" t="s">
        <v>4304</v>
      </c>
      <c r="O543" s="395">
        <v>45439</v>
      </c>
      <c r="P543" s="333">
        <v>11044571</v>
      </c>
      <c r="Q543" s="330" t="s">
        <v>1653</v>
      </c>
      <c r="R543" s="562">
        <v>0</v>
      </c>
      <c r="S543" s="333">
        <v>0</v>
      </c>
      <c r="T543" s="333">
        <v>-3372390.1299999994</v>
      </c>
      <c r="U543" s="333">
        <f t="shared" si="84"/>
        <v>-3372390.1299999994</v>
      </c>
      <c r="V543" s="333">
        <v>-49000</v>
      </c>
      <c r="W543" s="333">
        <v>0</v>
      </c>
      <c r="X543" s="333">
        <v>0</v>
      </c>
      <c r="Y543" s="333">
        <v>0</v>
      </c>
      <c r="Z543" s="333">
        <v>0</v>
      </c>
      <c r="AA543" s="333">
        <v>0</v>
      </c>
      <c r="AB543" s="333">
        <v>0</v>
      </c>
      <c r="AC543" s="333">
        <v>-2428</v>
      </c>
      <c r="AD543" s="333">
        <v>0</v>
      </c>
      <c r="AE543" s="333"/>
      <c r="AF543" s="333"/>
      <c r="AG543" s="333">
        <f t="shared" si="85"/>
        <v>-3423818.1299999994</v>
      </c>
      <c r="AH543" s="330"/>
      <c r="AI543" s="330">
        <v>2428</v>
      </c>
      <c r="AJ543" s="396">
        <f t="shared" si="86"/>
        <v>-3423818.1299999994</v>
      </c>
      <c r="AK543" s="563"/>
      <c r="AL543" s="285">
        <f t="shared" si="90"/>
        <v>0</v>
      </c>
      <c r="AM543" s="286"/>
      <c r="AO543" s="330" t="s">
        <v>4301</v>
      </c>
    </row>
    <row r="544" spans="1:41">
      <c r="A544" s="587">
        <f t="shared" si="88"/>
        <v>541</v>
      </c>
      <c r="B544" s="330" t="s">
        <v>1643</v>
      </c>
      <c r="C544" s="330" t="s">
        <v>4305</v>
      </c>
      <c r="D544" s="330" t="s">
        <v>1645</v>
      </c>
      <c r="E544" s="330" t="s">
        <v>2154</v>
      </c>
      <c r="F544" s="330" t="s">
        <v>1671</v>
      </c>
      <c r="G544" s="562">
        <v>1375</v>
      </c>
      <c r="H544" s="562">
        <v>876.73</v>
      </c>
      <c r="I544" s="562">
        <v>982.22</v>
      </c>
      <c r="J544" s="561" t="s">
        <v>1810</v>
      </c>
      <c r="K544" s="330" t="s">
        <v>4306</v>
      </c>
      <c r="L544" s="330" t="s">
        <v>4307</v>
      </c>
      <c r="M544" s="330" t="s">
        <v>4308</v>
      </c>
      <c r="N544" s="330" t="s">
        <v>4309</v>
      </c>
      <c r="O544" s="395">
        <v>45435</v>
      </c>
      <c r="P544" s="333">
        <v>7750000</v>
      </c>
      <c r="Q544" s="330" t="s">
        <v>1653</v>
      </c>
      <c r="R544" s="562">
        <v>0</v>
      </c>
      <c r="S544" s="333">
        <v>0</v>
      </c>
      <c r="T544" s="333">
        <v>-2217855</v>
      </c>
      <c r="U544" s="333">
        <f t="shared" si="84"/>
        <v>-2217855</v>
      </c>
      <c r="V544" s="333">
        <v>-100000</v>
      </c>
      <c r="W544" s="333">
        <v>0</v>
      </c>
      <c r="X544" s="333">
        <v>0</v>
      </c>
      <c r="Y544" s="333">
        <v>0</v>
      </c>
      <c r="Z544" s="333">
        <v>0</v>
      </c>
      <c r="AA544" s="333">
        <v>0</v>
      </c>
      <c r="AB544" s="333">
        <v>0</v>
      </c>
      <c r="AC544" s="333">
        <v>-7142.859999999986</v>
      </c>
      <c r="AD544" s="333">
        <v>0</v>
      </c>
      <c r="AE544" s="333"/>
      <c r="AF544" s="333"/>
      <c r="AG544" s="333">
        <f t="shared" si="85"/>
        <v>-2324997.86</v>
      </c>
      <c r="AH544" s="330"/>
      <c r="AI544" s="330">
        <v>7142.86</v>
      </c>
      <c r="AJ544" s="396">
        <f t="shared" si="86"/>
        <v>-2324997.86</v>
      </c>
      <c r="AK544" s="563"/>
      <c r="AL544" s="285">
        <f t="shared" si="90"/>
        <v>1.3642420526593924E-11</v>
      </c>
      <c r="AM544" s="286"/>
      <c r="AO544" s="330" t="s">
        <v>4306</v>
      </c>
    </row>
    <row r="545" spans="1:41">
      <c r="A545" s="587">
        <f t="shared" si="88"/>
        <v>542</v>
      </c>
      <c r="B545" s="330" t="s">
        <v>1643</v>
      </c>
      <c r="C545" s="330" t="s">
        <v>1683</v>
      </c>
      <c r="D545" s="330" t="s">
        <v>1645</v>
      </c>
      <c r="E545" s="330" t="s">
        <v>1684</v>
      </c>
      <c r="F545" s="330" t="s">
        <v>1786</v>
      </c>
      <c r="G545" s="562">
        <v>1265</v>
      </c>
      <c r="H545" s="562">
        <v>813.33</v>
      </c>
      <c r="I545" s="562">
        <v>903.31</v>
      </c>
      <c r="J545" s="561" t="s">
        <v>1648</v>
      </c>
      <c r="K545" s="330" t="s">
        <v>4310</v>
      </c>
      <c r="L545" s="330" t="s">
        <v>4311</v>
      </c>
      <c r="M545" s="330" t="s">
        <v>4312</v>
      </c>
      <c r="N545" s="330" t="s">
        <v>1689</v>
      </c>
      <c r="O545" s="395">
        <v>45475</v>
      </c>
      <c r="P545" s="333">
        <v>7250000</v>
      </c>
      <c r="Q545" s="330" t="s">
        <v>1653</v>
      </c>
      <c r="R545" s="562">
        <v>0</v>
      </c>
      <c r="S545" s="333">
        <v>0</v>
      </c>
      <c r="T545" s="333">
        <v>-290750</v>
      </c>
      <c r="U545" s="333">
        <f t="shared" si="84"/>
        <v>-290750</v>
      </c>
      <c r="V545" s="333">
        <v>-1834244</v>
      </c>
      <c r="W545" s="333">
        <v>0</v>
      </c>
      <c r="X545" s="333">
        <v>0</v>
      </c>
      <c r="Y545" s="333">
        <v>0</v>
      </c>
      <c r="Z545" s="333">
        <v>0</v>
      </c>
      <c r="AA545" s="333">
        <v>0</v>
      </c>
      <c r="AB545" s="333">
        <v>0</v>
      </c>
      <c r="AC545" s="333">
        <v>0</v>
      </c>
      <c r="AD545" s="333">
        <v>0</v>
      </c>
      <c r="AE545" s="333"/>
      <c r="AF545" s="333"/>
      <c r="AG545" s="333">
        <f t="shared" si="85"/>
        <v>-2124994</v>
      </c>
      <c r="AH545" s="330"/>
      <c r="AI545" s="330">
        <v>0</v>
      </c>
      <c r="AJ545" s="396">
        <f t="shared" si="86"/>
        <v>-2124994</v>
      </c>
      <c r="AK545" s="563"/>
      <c r="AL545" s="285">
        <f t="shared" si="87"/>
        <v>0</v>
      </c>
      <c r="AM545" s="286"/>
      <c r="AO545" s="330" t="s">
        <v>4310</v>
      </c>
    </row>
    <row r="546" spans="1:41">
      <c r="A546" s="587">
        <f t="shared" si="88"/>
        <v>543</v>
      </c>
      <c r="B546" s="330" t="s">
        <v>1643</v>
      </c>
      <c r="C546" s="330" t="s">
        <v>4313</v>
      </c>
      <c r="D546" s="330" t="s">
        <v>1662</v>
      </c>
      <c r="E546" s="330" t="s">
        <v>4314</v>
      </c>
      <c r="F546" s="330" t="s">
        <v>1671</v>
      </c>
      <c r="G546" s="562">
        <v>1375</v>
      </c>
      <c r="H546" s="562">
        <v>876.73</v>
      </c>
      <c r="I546" s="562">
        <v>982.22</v>
      </c>
      <c r="J546" s="561" t="s">
        <v>1648</v>
      </c>
      <c r="K546" s="330" t="s">
        <v>4315</v>
      </c>
      <c r="L546" s="330" t="s">
        <v>4316</v>
      </c>
      <c r="M546" s="330" t="s">
        <v>4317</v>
      </c>
      <c r="N546" s="330" t="s">
        <v>2066</v>
      </c>
      <c r="O546" s="395"/>
      <c r="P546" s="333">
        <v>7377417</v>
      </c>
      <c r="Q546" s="330" t="s">
        <v>1660</v>
      </c>
      <c r="R546" s="562">
        <v>0</v>
      </c>
      <c r="S546" s="333">
        <v>0</v>
      </c>
      <c r="T546" s="333">
        <v>0</v>
      </c>
      <c r="U546" s="333">
        <f t="shared" si="84"/>
        <v>0</v>
      </c>
      <c r="V546" s="333">
        <v>0</v>
      </c>
      <c r="W546" s="333">
        <v>0</v>
      </c>
      <c r="X546" s="333">
        <v>0</v>
      </c>
      <c r="Y546" s="333">
        <v>0</v>
      </c>
      <c r="Z546" s="333">
        <v>0</v>
      </c>
      <c r="AA546" s="333">
        <v>0</v>
      </c>
      <c r="AB546" s="333">
        <v>0</v>
      </c>
      <c r="AC546" s="333">
        <v>0</v>
      </c>
      <c r="AD546" s="333">
        <v>0</v>
      </c>
      <c r="AE546" s="333"/>
      <c r="AF546" s="333"/>
      <c r="AG546" s="333">
        <f t="shared" si="85"/>
        <v>0</v>
      </c>
      <c r="AH546" s="330"/>
      <c r="AI546" s="330">
        <v>0</v>
      </c>
      <c r="AJ546" s="396">
        <f t="shared" si="86"/>
        <v>0</v>
      </c>
      <c r="AK546" s="563"/>
      <c r="AL546" s="285">
        <f t="shared" si="87"/>
        <v>0</v>
      </c>
      <c r="AM546" s="286"/>
      <c r="AO546" s="330" t="s">
        <v>4315</v>
      </c>
    </row>
    <row r="547" spans="1:41">
      <c r="A547" s="587">
        <f t="shared" si="88"/>
        <v>544</v>
      </c>
      <c r="B547" s="330" t="s">
        <v>1643</v>
      </c>
      <c r="C547" s="330" t="s">
        <v>1716</v>
      </c>
      <c r="D547" s="330" t="s">
        <v>1662</v>
      </c>
      <c r="E547" s="330" t="s">
        <v>1717</v>
      </c>
      <c r="F547" s="330" t="s">
        <v>1647</v>
      </c>
      <c r="G547" s="562">
        <v>1114</v>
      </c>
      <c r="H547" s="562">
        <v>683.3</v>
      </c>
      <c r="I547" s="562">
        <v>795.57</v>
      </c>
      <c r="J547" s="561" t="s">
        <v>1648</v>
      </c>
      <c r="K547" s="330" t="s">
        <v>4318</v>
      </c>
      <c r="L547" s="330" t="s">
        <v>4319</v>
      </c>
      <c r="M547" s="330" t="s">
        <v>4320</v>
      </c>
      <c r="N547" s="330" t="s">
        <v>1721</v>
      </c>
      <c r="O547" s="395">
        <v>45509</v>
      </c>
      <c r="P547" s="333">
        <v>6304075</v>
      </c>
      <c r="Q547" s="330" t="s">
        <v>1660</v>
      </c>
      <c r="R547" s="562">
        <v>0</v>
      </c>
      <c r="S547" s="333">
        <v>0</v>
      </c>
      <c r="T547" s="333">
        <v>0</v>
      </c>
      <c r="U547" s="333">
        <f t="shared" si="84"/>
        <v>0</v>
      </c>
      <c r="V547" s="333">
        <v>0</v>
      </c>
      <c r="W547" s="333">
        <v>0</v>
      </c>
      <c r="X547" s="333">
        <v>0</v>
      </c>
      <c r="Y547" s="333">
        <v>0</v>
      </c>
      <c r="Z547" s="333">
        <v>0</v>
      </c>
      <c r="AA547" s="333">
        <v>0</v>
      </c>
      <c r="AB547" s="333">
        <v>0</v>
      </c>
      <c r="AC547" s="333">
        <v>0</v>
      </c>
      <c r="AD547" s="333">
        <v>0</v>
      </c>
      <c r="AE547" s="333"/>
      <c r="AF547" s="333"/>
      <c r="AG547" s="333">
        <f t="shared" si="85"/>
        <v>0</v>
      </c>
      <c r="AH547" s="330"/>
      <c r="AI547" s="330">
        <v>0</v>
      </c>
      <c r="AJ547" s="396">
        <f t="shared" si="86"/>
        <v>0</v>
      </c>
      <c r="AK547" s="563"/>
      <c r="AL547" s="285">
        <f t="shared" si="87"/>
        <v>0</v>
      </c>
      <c r="AM547" s="286"/>
      <c r="AO547" s="330" t="s">
        <v>4318</v>
      </c>
    </row>
    <row r="548" spans="1:41">
      <c r="A548" s="587">
        <f t="shared" si="88"/>
        <v>545</v>
      </c>
      <c r="B548" s="330" t="s">
        <v>1643</v>
      </c>
      <c r="C548" s="330" t="s">
        <v>4321</v>
      </c>
      <c r="D548" s="330" t="s">
        <v>1746</v>
      </c>
      <c r="E548" s="330" t="s">
        <v>3064</v>
      </c>
      <c r="F548" s="330" t="s">
        <v>1671</v>
      </c>
      <c r="G548" s="562">
        <v>1375</v>
      </c>
      <c r="H548" s="562">
        <v>876.73</v>
      </c>
      <c r="I548" s="562">
        <v>982.22</v>
      </c>
      <c r="J548" s="561" t="s">
        <v>1648</v>
      </c>
      <c r="K548" s="330" t="s">
        <v>4322</v>
      </c>
      <c r="L548" s="330" t="s">
        <v>4319</v>
      </c>
      <c r="M548" s="330" t="s">
        <v>4320</v>
      </c>
      <c r="N548" s="330" t="s">
        <v>4323</v>
      </c>
      <c r="O548" s="395">
        <v>45512</v>
      </c>
      <c r="P548" s="333">
        <v>7874952</v>
      </c>
      <c r="Q548" s="330" t="s">
        <v>1653</v>
      </c>
      <c r="R548" s="562">
        <v>0</v>
      </c>
      <c r="S548" s="333">
        <v>0</v>
      </c>
      <c r="T548" s="333">
        <v>-3360267.2400000012</v>
      </c>
      <c r="U548" s="333">
        <f t="shared" si="84"/>
        <v>-3360267.2400000012</v>
      </c>
      <c r="V548" s="333">
        <v>1409800</v>
      </c>
      <c r="W548" s="333">
        <v>0</v>
      </c>
      <c r="X548" s="333">
        <v>0</v>
      </c>
      <c r="Y548" s="333">
        <v>0</v>
      </c>
      <c r="Z548" s="333">
        <v>0</v>
      </c>
      <c r="AA548" s="333">
        <v>-2800</v>
      </c>
      <c r="AB548" s="333">
        <v>0</v>
      </c>
      <c r="AC548" s="333">
        <v>0</v>
      </c>
      <c r="AD548" s="333">
        <v>0</v>
      </c>
      <c r="AE548" s="333"/>
      <c r="AF548" s="333"/>
      <c r="AG548" s="333">
        <f t="shared" si="85"/>
        <v>-1953267.2400000012</v>
      </c>
      <c r="AH548" s="330"/>
      <c r="AI548" s="330">
        <v>0</v>
      </c>
      <c r="AJ548" s="396">
        <f t="shared" si="86"/>
        <v>-1953267.2400000012</v>
      </c>
      <c r="AK548" s="563"/>
      <c r="AL548" s="285">
        <f t="shared" si="87"/>
        <v>0</v>
      </c>
      <c r="AM548" s="286"/>
      <c r="AO548" s="330" t="s">
        <v>4322</v>
      </c>
    </row>
    <row r="549" spans="1:41">
      <c r="A549" s="587">
        <f t="shared" si="88"/>
        <v>546</v>
      </c>
      <c r="B549" s="330" t="s">
        <v>1643</v>
      </c>
      <c r="C549" s="330" t="s">
        <v>4324</v>
      </c>
      <c r="D549" s="330" t="s">
        <v>2153</v>
      </c>
      <c r="E549" s="330" t="s">
        <v>2280</v>
      </c>
      <c r="F549" s="330" t="s">
        <v>1647</v>
      </c>
      <c r="G549" s="562">
        <v>1114</v>
      </c>
      <c r="H549" s="562">
        <v>683.3</v>
      </c>
      <c r="I549" s="562">
        <v>795.57</v>
      </c>
      <c r="J549" s="561" t="s">
        <v>1648</v>
      </c>
      <c r="K549" s="330" t="s">
        <v>4325</v>
      </c>
      <c r="L549" s="330" t="s">
        <v>4326</v>
      </c>
      <c r="M549" s="330" t="s">
        <v>4327</v>
      </c>
      <c r="N549" s="330" t="s">
        <v>4328</v>
      </c>
      <c r="O549" s="395">
        <v>45455</v>
      </c>
      <c r="P549" s="333">
        <v>6535714</v>
      </c>
      <c r="Q549" s="330" t="s">
        <v>1653</v>
      </c>
      <c r="R549" s="562">
        <v>0</v>
      </c>
      <c r="S549" s="333">
        <v>0</v>
      </c>
      <c r="T549" s="333">
        <v>-1960712.42</v>
      </c>
      <c r="U549" s="333">
        <f t="shared" si="84"/>
        <v>-1960712.42</v>
      </c>
      <c r="V549" s="333">
        <v>0</v>
      </c>
      <c r="W549" s="333">
        <v>0</v>
      </c>
      <c r="X549" s="333">
        <v>0</v>
      </c>
      <c r="Y549" s="333">
        <v>0</v>
      </c>
      <c r="Z549" s="333">
        <v>0</v>
      </c>
      <c r="AA549" s="333">
        <v>0</v>
      </c>
      <c r="AB549" s="333">
        <v>0</v>
      </c>
      <c r="AC549" s="333">
        <v>0</v>
      </c>
      <c r="AD549" s="333">
        <v>0</v>
      </c>
      <c r="AE549" s="333"/>
      <c r="AF549" s="333"/>
      <c r="AG549" s="333">
        <f t="shared" si="85"/>
        <v>-1960712.42</v>
      </c>
      <c r="AH549" s="330"/>
      <c r="AI549" s="330">
        <v>0</v>
      </c>
      <c r="AJ549" s="396">
        <f t="shared" si="86"/>
        <v>-1960712.42</v>
      </c>
      <c r="AK549" s="563"/>
      <c r="AL549" s="285">
        <f t="shared" si="87"/>
        <v>0</v>
      </c>
      <c r="AM549" s="286"/>
      <c r="AO549" s="330" t="s">
        <v>4325</v>
      </c>
    </row>
    <row r="550" spans="1:41">
      <c r="A550" s="587">
        <f t="shared" si="88"/>
        <v>547</v>
      </c>
      <c r="B550" s="330" t="s">
        <v>1643</v>
      </c>
      <c r="C550" s="330" t="s">
        <v>4329</v>
      </c>
      <c r="D550" s="330" t="s">
        <v>1704</v>
      </c>
      <c r="E550" s="330" t="s">
        <v>2289</v>
      </c>
      <c r="F550" s="330" t="s">
        <v>1647</v>
      </c>
      <c r="G550" s="562">
        <v>1012</v>
      </c>
      <c r="H550" s="562">
        <v>653.59</v>
      </c>
      <c r="I550" s="562">
        <v>723.02</v>
      </c>
      <c r="J550" s="561" t="s">
        <v>1648</v>
      </c>
      <c r="K550" s="330" t="s">
        <v>4330</v>
      </c>
      <c r="L550" s="330" t="s">
        <v>4331</v>
      </c>
      <c r="M550" s="330" t="s">
        <v>4332</v>
      </c>
      <c r="N550" s="330" t="s">
        <v>4333</v>
      </c>
      <c r="O550" s="395">
        <v>45448</v>
      </c>
      <c r="P550" s="333">
        <v>5794571</v>
      </c>
      <c r="Q550" s="330" t="s">
        <v>1653</v>
      </c>
      <c r="R550" s="562">
        <v>0</v>
      </c>
      <c r="S550" s="333">
        <v>0</v>
      </c>
      <c r="T550" s="333">
        <v>-1734730.71</v>
      </c>
      <c r="U550" s="333">
        <f t="shared" si="84"/>
        <v>-1734730.71</v>
      </c>
      <c r="V550" s="333">
        <v>0</v>
      </c>
      <c r="W550" s="333">
        <v>0</v>
      </c>
      <c r="X550" s="333">
        <v>0</v>
      </c>
      <c r="Y550" s="333">
        <v>0</v>
      </c>
      <c r="Z550" s="333">
        <v>0</v>
      </c>
      <c r="AA550" s="333">
        <v>0</v>
      </c>
      <c r="AB550" s="333">
        <v>0</v>
      </c>
      <c r="AC550" s="333">
        <v>5.0000000002910383E-2</v>
      </c>
      <c r="AD550" s="333">
        <v>0</v>
      </c>
      <c r="AE550" s="333"/>
      <c r="AF550" s="333"/>
      <c r="AG550" s="333">
        <f t="shared" si="85"/>
        <v>-1734730.66</v>
      </c>
      <c r="AH550" s="330"/>
      <c r="AI550" s="330">
        <v>0.39999999999417923</v>
      </c>
      <c r="AJ550" s="396">
        <f t="shared" si="86"/>
        <v>-1734730.66</v>
      </c>
      <c r="AK550" s="563"/>
      <c r="AL550" s="285">
        <f t="shared" si="87"/>
        <v>-0.34999999999126885</v>
      </c>
      <c r="AM550" s="286"/>
      <c r="AO550" s="330" t="s">
        <v>4330</v>
      </c>
    </row>
    <row r="551" spans="1:41">
      <c r="A551" s="587">
        <f t="shared" si="88"/>
        <v>548</v>
      </c>
      <c r="B551" s="330" t="s">
        <v>1643</v>
      </c>
      <c r="C551" s="330" t="s">
        <v>4334</v>
      </c>
      <c r="D551" s="330" t="s">
        <v>1645</v>
      </c>
      <c r="E551" s="330" t="s">
        <v>2606</v>
      </c>
      <c r="F551" s="330" t="s">
        <v>1647</v>
      </c>
      <c r="G551" s="562">
        <v>1012</v>
      </c>
      <c r="H551" s="562">
        <v>653.59</v>
      </c>
      <c r="I551" s="562">
        <v>723.02</v>
      </c>
      <c r="J551" s="561" t="s">
        <v>1648</v>
      </c>
      <c r="K551" s="330" t="s">
        <v>4335</v>
      </c>
      <c r="L551" s="330" t="s">
        <v>4336</v>
      </c>
      <c r="M551" s="330" t="s">
        <v>4337</v>
      </c>
      <c r="N551" s="330" t="s">
        <v>4338</v>
      </c>
      <c r="O551" s="395">
        <v>45456</v>
      </c>
      <c r="P551" s="333">
        <v>5683644</v>
      </c>
      <c r="Q551" s="330" t="s">
        <v>1653</v>
      </c>
      <c r="R551" s="562">
        <v>0</v>
      </c>
      <c r="S551" s="333">
        <v>0</v>
      </c>
      <c r="T551" s="333">
        <v>-1754786.3399999999</v>
      </c>
      <c r="U551" s="333">
        <f t="shared" si="84"/>
        <v>-1754786.3399999999</v>
      </c>
      <c r="V551" s="333">
        <v>0</v>
      </c>
      <c r="W551" s="333">
        <v>0</v>
      </c>
      <c r="X551" s="333">
        <v>0</v>
      </c>
      <c r="Y551" s="333">
        <v>0</v>
      </c>
      <c r="Z551" s="333">
        <v>0</v>
      </c>
      <c r="AA551" s="333">
        <v>0</v>
      </c>
      <c r="AB551" s="333">
        <v>0</v>
      </c>
      <c r="AC551" s="333">
        <v>0</v>
      </c>
      <c r="AD551" s="333">
        <v>0</v>
      </c>
      <c r="AE551" s="333"/>
      <c r="AF551" s="333"/>
      <c r="AG551" s="333">
        <f t="shared" si="85"/>
        <v>-1754786.3399999999</v>
      </c>
      <c r="AH551" s="330"/>
      <c r="AI551" s="330">
        <v>0</v>
      </c>
      <c r="AJ551" s="396">
        <f t="shared" si="86"/>
        <v>-1754786.3399999999</v>
      </c>
      <c r="AK551" s="563"/>
      <c r="AL551" s="285">
        <f t="shared" si="87"/>
        <v>0</v>
      </c>
      <c r="AM551" s="286"/>
      <c r="AO551" s="330" t="s">
        <v>4335</v>
      </c>
    </row>
    <row r="552" spans="1:41">
      <c r="A552" s="587">
        <f t="shared" si="88"/>
        <v>549</v>
      </c>
      <c r="B552" s="330" t="s">
        <v>1643</v>
      </c>
      <c r="C552" s="330" t="s">
        <v>2321</v>
      </c>
      <c r="D552" s="330" t="s">
        <v>1655</v>
      </c>
      <c r="E552" s="330" t="s">
        <v>2322</v>
      </c>
      <c r="F552" s="330" t="s">
        <v>1647</v>
      </c>
      <c r="G552" s="562">
        <v>1012</v>
      </c>
      <c r="H552" s="562">
        <v>653.59</v>
      </c>
      <c r="I552" s="562">
        <v>723.02</v>
      </c>
      <c r="J552" s="561" t="s">
        <v>1648</v>
      </c>
      <c r="K552" s="330" t="s">
        <v>4339</v>
      </c>
      <c r="L552" s="330" t="s">
        <v>4340</v>
      </c>
      <c r="M552" s="330" t="s">
        <v>4341</v>
      </c>
      <c r="N552" s="330" t="s">
        <v>12</v>
      </c>
      <c r="O552" s="395"/>
      <c r="P552" s="333">
        <v>6133905</v>
      </c>
      <c r="Q552" s="330" t="s">
        <v>1660</v>
      </c>
      <c r="R552" s="562">
        <v>0</v>
      </c>
      <c r="S552" s="333">
        <v>0</v>
      </c>
      <c r="T552" s="333">
        <v>-51000</v>
      </c>
      <c r="U552" s="333">
        <f t="shared" si="84"/>
        <v>-51000</v>
      </c>
      <c r="V552" s="333">
        <v>51000</v>
      </c>
      <c r="W552" s="333">
        <v>0</v>
      </c>
      <c r="X552" s="333">
        <v>0</v>
      </c>
      <c r="Y552" s="333">
        <v>0</v>
      </c>
      <c r="Z552" s="333">
        <v>0</v>
      </c>
      <c r="AA552" s="333">
        <v>0</v>
      </c>
      <c r="AB552" s="333">
        <v>0</v>
      </c>
      <c r="AC552" s="333">
        <v>0</v>
      </c>
      <c r="AD552" s="333">
        <v>0</v>
      </c>
      <c r="AE552" s="333"/>
      <c r="AF552" s="333"/>
      <c r="AG552" s="333">
        <f t="shared" si="85"/>
        <v>0</v>
      </c>
      <c r="AH552" s="330"/>
      <c r="AI552" s="330">
        <v>0</v>
      </c>
      <c r="AJ552" s="396">
        <f t="shared" si="86"/>
        <v>0</v>
      </c>
      <c r="AK552" s="563"/>
      <c r="AL552" s="285">
        <f t="shared" si="87"/>
        <v>0</v>
      </c>
      <c r="AM552" s="286"/>
      <c r="AO552" s="330" t="s">
        <v>4339</v>
      </c>
    </row>
    <row r="553" spans="1:41">
      <c r="A553" s="587">
        <f t="shared" si="88"/>
        <v>550</v>
      </c>
      <c r="B553" s="330" t="s">
        <v>1643</v>
      </c>
      <c r="C553" s="330" t="s">
        <v>2226</v>
      </c>
      <c r="D553" s="330" t="s">
        <v>1677</v>
      </c>
      <c r="E553" s="330" t="s">
        <v>2227</v>
      </c>
      <c r="F553" s="330" t="s">
        <v>1647</v>
      </c>
      <c r="G553" s="562">
        <v>1012</v>
      </c>
      <c r="H553" s="562">
        <v>653.59</v>
      </c>
      <c r="I553" s="562">
        <v>723.02</v>
      </c>
      <c r="J553" s="561" t="s">
        <v>1648</v>
      </c>
      <c r="K553" s="330" t="s">
        <v>4342</v>
      </c>
      <c r="L553" s="330" t="s">
        <v>4343</v>
      </c>
      <c r="M553" s="330" t="s">
        <v>4344</v>
      </c>
      <c r="N553" s="330" t="s">
        <v>12</v>
      </c>
      <c r="O553" s="395"/>
      <c r="P553" s="333">
        <v>6347238</v>
      </c>
      <c r="Q553" s="330" t="s">
        <v>1660</v>
      </c>
      <c r="R553" s="562">
        <v>0</v>
      </c>
      <c r="S553" s="333">
        <v>0</v>
      </c>
      <c r="T553" s="333">
        <v>0</v>
      </c>
      <c r="U553" s="333">
        <f t="shared" si="84"/>
        <v>0</v>
      </c>
      <c r="V553" s="333">
        <v>0</v>
      </c>
      <c r="W553" s="333">
        <v>0</v>
      </c>
      <c r="X553" s="333">
        <v>0</v>
      </c>
      <c r="Y553" s="333">
        <v>0</v>
      </c>
      <c r="Z553" s="333">
        <v>0</v>
      </c>
      <c r="AA553" s="333">
        <v>0</v>
      </c>
      <c r="AB553" s="333">
        <v>0</v>
      </c>
      <c r="AC553" s="333">
        <v>0</v>
      </c>
      <c r="AD553" s="333">
        <v>0</v>
      </c>
      <c r="AE553" s="333"/>
      <c r="AF553" s="333"/>
      <c r="AG553" s="333">
        <f t="shared" si="85"/>
        <v>0</v>
      </c>
      <c r="AH553" s="330"/>
      <c r="AI553" s="330">
        <v>0</v>
      </c>
      <c r="AJ553" s="396">
        <f t="shared" si="86"/>
        <v>0</v>
      </c>
      <c r="AK553" s="563"/>
      <c r="AL553" s="285">
        <f t="shared" si="87"/>
        <v>0</v>
      </c>
      <c r="AM553" s="286"/>
      <c r="AO553" s="330" t="s">
        <v>4342</v>
      </c>
    </row>
    <row r="554" spans="1:41">
      <c r="A554" s="587">
        <f t="shared" si="88"/>
        <v>551</v>
      </c>
      <c r="B554" s="330" t="s">
        <v>1643</v>
      </c>
      <c r="C554" s="330" t="s">
        <v>2226</v>
      </c>
      <c r="D554" s="330" t="s">
        <v>1677</v>
      </c>
      <c r="E554" s="330" t="s">
        <v>2227</v>
      </c>
      <c r="F554" s="330" t="s">
        <v>1647</v>
      </c>
      <c r="G554" s="562">
        <v>1012</v>
      </c>
      <c r="H554" s="562">
        <v>653.59</v>
      </c>
      <c r="I554" s="562">
        <v>723.02</v>
      </c>
      <c r="J554" s="561" t="s">
        <v>1648</v>
      </c>
      <c r="K554" s="330" t="s">
        <v>4345</v>
      </c>
      <c r="L554" s="330" t="s">
        <v>4343</v>
      </c>
      <c r="M554" s="330" t="s">
        <v>4344</v>
      </c>
      <c r="N554" s="330" t="s">
        <v>12</v>
      </c>
      <c r="O554" s="395"/>
      <c r="P554" s="333">
        <v>6347238</v>
      </c>
      <c r="Q554" s="330" t="s">
        <v>1660</v>
      </c>
      <c r="R554" s="562">
        <v>0</v>
      </c>
      <c r="S554" s="333">
        <v>0</v>
      </c>
      <c r="T554" s="333">
        <v>-150000</v>
      </c>
      <c r="U554" s="333">
        <f t="shared" si="84"/>
        <v>-150000</v>
      </c>
      <c r="V554" s="333">
        <v>150000</v>
      </c>
      <c r="W554" s="333">
        <v>0</v>
      </c>
      <c r="X554" s="333">
        <v>0</v>
      </c>
      <c r="Y554" s="333">
        <v>0</v>
      </c>
      <c r="Z554" s="333">
        <v>0</v>
      </c>
      <c r="AA554" s="333">
        <v>0</v>
      </c>
      <c r="AB554" s="333">
        <v>0</v>
      </c>
      <c r="AC554" s="333">
        <v>0</v>
      </c>
      <c r="AD554" s="333">
        <v>0</v>
      </c>
      <c r="AE554" s="333"/>
      <c r="AF554" s="333"/>
      <c r="AG554" s="333">
        <f t="shared" si="85"/>
        <v>0</v>
      </c>
      <c r="AH554" s="330"/>
      <c r="AI554" s="330">
        <v>0</v>
      </c>
      <c r="AJ554" s="396">
        <f t="shared" si="86"/>
        <v>0</v>
      </c>
      <c r="AK554" s="563"/>
      <c r="AL554" s="285">
        <f t="shared" si="87"/>
        <v>0</v>
      </c>
      <c r="AM554" s="286"/>
      <c r="AO554" s="330" t="s">
        <v>4345</v>
      </c>
    </row>
    <row r="555" spans="1:41">
      <c r="A555" s="587">
        <f t="shared" si="88"/>
        <v>552</v>
      </c>
      <c r="B555" s="330" t="s">
        <v>1643</v>
      </c>
      <c r="C555" s="330" t="s">
        <v>4346</v>
      </c>
      <c r="D555" s="330" t="s">
        <v>1655</v>
      </c>
      <c r="E555" s="330" t="s">
        <v>2044</v>
      </c>
      <c r="F555" s="330" t="s">
        <v>1647</v>
      </c>
      <c r="G555" s="562">
        <v>1012</v>
      </c>
      <c r="H555" s="562">
        <v>653.59</v>
      </c>
      <c r="I555" s="562">
        <v>723.02</v>
      </c>
      <c r="J555" s="561" t="s">
        <v>1648</v>
      </c>
      <c r="K555" s="330" t="s">
        <v>4347</v>
      </c>
      <c r="L555" s="330" t="s">
        <v>4348</v>
      </c>
      <c r="M555" s="330" t="s">
        <v>4349</v>
      </c>
      <c r="N555" s="330" t="s">
        <v>12</v>
      </c>
      <c r="O555" s="395"/>
      <c r="P555" s="333">
        <v>6089238</v>
      </c>
      <c r="Q555" s="330" t="s">
        <v>1653</v>
      </c>
      <c r="R555" s="562">
        <v>0</v>
      </c>
      <c r="S555" s="333">
        <v>0</v>
      </c>
      <c r="T555" s="333">
        <v>-767905</v>
      </c>
      <c r="U555" s="333">
        <f t="shared" si="84"/>
        <v>-767905</v>
      </c>
      <c r="V555" s="333">
        <v>0</v>
      </c>
      <c r="W555" s="333">
        <v>0</v>
      </c>
      <c r="X555" s="333">
        <v>0</v>
      </c>
      <c r="Y555" s="333">
        <v>0</v>
      </c>
      <c r="Z555" s="333">
        <v>0</v>
      </c>
      <c r="AA555" s="333">
        <v>0</v>
      </c>
      <c r="AB555" s="333">
        <v>0</v>
      </c>
      <c r="AC555" s="333">
        <v>-16160</v>
      </c>
      <c r="AD555" s="333">
        <v>0</v>
      </c>
      <c r="AE555" s="333"/>
      <c r="AF555" s="333"/>
      <c r="AG555" s="333">
        <f t="shared" si="85"/>
        <v>-784065</v>
      </c>
      <c r="AH555" s="330"/>
      <c r="AI555" s="330">
        <v>16160</v>
      </c>
      <c r="AJ555" s="396">
        <f t="shared" si="86"/>
        <v>-784065</v>
      </c>
      <c r="AK555" s="563"/>
      <c r="AL555" s="285">
        <f>+AC555+AI555</f>
        <v>0</v>
      </c>
      <c r="AM555" s="286"/>
      <c r="AO555" s="330" t="s">
        <v>4347</v>
      </c>
    </row>
    <row r="556" spans="1:41">
      <c r="A556" s="587">
        <f t="shared" si="88"/>
        <v>553</v>
      </c>
      <c r="B556" s="330" t="s">
        <v>1643</v>
      </c>
      <c r="C556" s="330" t="s">
        <v>4350</v>
      </c>
      <c r="D556" s="330" t="s">
        <v>1746</v>
      </c>
      <c r="E556" s="330" t="s">
        <v>3012</v>
      </c>
      <c r="F556" s="330" t="s">
        <v>1647</v>
      </c>
      <c r="G556" s="562">
        <v>1114</v>
      </c>
      <c r="H556" s="562">
        <v>683.3</v>
      </c>
      <c r="I556" s="562">
        <v>795.57</v>
      </c>
      <c r="J556" s="561" t="s">
        <v>1648</v>
      </c>
      <c r="K556" s="330" t="s">
        <v>4351</v>
      </c>
      <c r="L556" s="330" t="s">
        <v>4352</v>
      </c>
      <c r="M556" s="330" t="s">
        <v>4353</v>
      </c>
      <c r="N556" s="330" t="s">
        <v>4354</v>
      </c>
      <c r="O556" s="395">
        <v>45457</v>
      </c>
      <c r="P556" s="333">
        <v>6357143</v>
      </c>
      <c r="Q556" s="330" t="s">
        <v>1653</v>
      </c>
      <c r="R556" s="562">
        <v>0</v>
      </c>
      <c r="S556" s="333">
        <v>0</v>
      </c>
      <c r="T556" s="333">
        <v>-1873215.27</v>
      </c>
      <c r="U556" s="333">
        <f t="shared" si="84"/>
        <v>-1873215.27</v>
      </c>
      <c r="V556" s="333">
        <v>-100000</v>
      </c>
      <c r="W556" s="333">
        <v>0</v>
      </c>
      <c r="X556" s="333">
        <v>0</v>
      </c>
      <c r="Y556" s="333">
        <v>0</v>
      </c>
      <c r="Z556" s="333">
        <v>0</v>
      </c>
      <c r="AA556" s="333">
        <v>0</v>
      </c>
      <c r="AB556" s="333">
        <v>0</v>
      </c>
      <c r="AC556" s="333">
        <v>0</v>
      </c>
      <c r="AD556" s="333">
        <v>0</v>
      </c>
      <c r="AE556" s="333"/>
      <c r="AF556" s="333"/>
      <c r="AG556" s="333">
        <f t="shared" si="85"/>
        <v>-1973215.27</v>
      </c>
      <c r="AH556" s="330"/>
      <c r="AI556" s="330">
        <v>0</v>
      </c>
      <c r="AJ556" s="396">
        <f t="shared" si="86"/>
        <v>-1973215.27</v>
      </c>
      <c r="AK556" s="563"/>
      <c r="AL556" s="285">
        <f t="shared" si="87"/>
        <v>0</v>
      </c>
      <c r="AM556" s="286"/>
      <c r="AO556" s="330" t="s">
        <v>4351</v>
      </c>
    </row>
    <row r="557" spans="1:41">
      <c r="A557" s="587">
        <f t="shared" si="88"/>
        <v>554</v>
      </c>
      <c r="B557" s="330" t="s">
        <v>1643</v>
      </c>
      <c r="C557" s="330" t="s">
        <v>4355</v>
      </c>
      <c r="D557" s="330" t="s">
        <v>1746</v>
      </c>
      <c r="E557" s="330" t="s">
        <v>2154</v>
      </c>
      <c r="F557" s="330" t="s">
        <v>1671</v>
      </c>
      <c r="G557" s="562">
        <v>1375</v>
      </c>
      <c r="H557" s="562">
        <v>876.73</v>
      </c>
      <c r="I557" s="562">
        <v>982.22</v>
      </c>
      <c r="J557" s="561" t="s">
        <v>1648</v>
      </c>
      <c r="K557" s="330" t="s">
        <v>4356</v>
      </c>
      <c r="L557" s="330" t="s">
        <v>4357</v>
      </c>
      <c r="M557" s="330" t="s">
        <v>4358</v>
      </c>
      <c r="N557" s="330" t="s">
        <v>4359</v>
      </c>
      <c r="O557" s="395">
        <v>45443</v>
      </c>
      <c r="P557" s="333">
        <v>7758857</v>
      </c>
      <c r="Q557" s="330" t="s">
        <v>1653</v>
      </c>
      <c r="R557" s="562">
        <v>0</v>
      </c>
      <c r="S557" s="333">
        <v>0</v>
      </c>
      <c r="T557" s="333">
        <v>-2405244.71</v>
      </c>
      <c r="U557" s="333">
        <f t="shared" si="84"/>
        <v>-2405244.71</v>
      </c>
      <c r="V557" s="333">
        <v>0</v>
      </c>
      <c r="W557" s="333">
        <v>0</v>
      </c>
      <c r="X557" s="333">
        <v>0</v>
      </c>
      <c r="Y557" s="333">
        <v>0</v>
      </c>
      <c r="Z557" s="333">
        <v>0</v>
      </c>
      <c r="AA557" s="333">
        <v>0</v>
      </c>
      <c r="AB557" s="333">
        <v>0</v>
      </c>
      <c r="AC557" s="333">
        <v>0</v>
      </c>
      <c r="AD557" s="333">
        <v>0</v>
      </c>
      <c r="AE557" s="333"/>
      <c r="AF557" s="333"/>
      <c r="AG557" s="333">
        <f t="shared" si="85"/>
        <v>-2405244.71</v>
      </c>
      <c r="AH557" s="330"/>
      <c r="AI557" s="330">
        <v>0</v>
      </c>
      <c r="AJ557" s="396">
        <f t="shared" si="86"/>
        <v>-2405244.71</v>
      </c>
      <c r="AK557" s="563"/>
      <c r="AL557" s="285">
        <f t="shared" si="87"/>
        <v>0</v>
      </c>
      <c r="AM557" s="286"/>
      <c r="AO557" s="330" t="s">
        <v>4356</v>
      </c>
    </row>
    <row r="558" spans="1:41">
      <c r="A558" s="587">
        <f t="shared" si="88"/>
        <v>555</v>
      </c>
      <c r="B558" s="330" t="s">
        <v>1643</v>
      </c>
      <c r="C558" s="330" t="s">
        <v>4360</v>
      </c>
      <c r="D558" s="330" t="s">
        <v>2153</v>
      </c>
      <c r="E558" s="330" t="s">
        <v>1785</v>
      </c>
      <c r="F558" s="330" t="s">
        <v>1671</v>
      </c>
      <c r="G558" s="562">
        <v>1498</v>
      </c>
      <c r="H558" s="562">
        <v>954.87</v>
      </c>
      <c r="I558" s="562">
        <v>1069.73</v>
      </c>
      <c r="J558" s="561" t="s">
        <v>1648</v>
      </c>
      <c r="K558" s="330" t="s">
        <v>4361</v>
      </c>
      <c r="L558" s="330" t="s">
        <v>4362</v>
      </c>
      <c r="M558" s="330" t="s">
        <v>4363</v>
      </c>
      <c r="N558" s="330" t="s">
        <v>4364</v>
      </c>
      <c r="O558" s="395">
        <v>45560</v>
      </c>
      <c r="P558" s="333">
        <v>9107143</v>
      </c>
      <c r="Q558" s="330" t="s">
        <v>1653</v>
      </c>
      <c r="R558" s="562">
        <v>0</v>
      </c>
      <c r="S558" s="333">
        <v>0</v>
      </c>
      <c r="T558" s="333">
        <v>-2823212.84</v>
      </c>
      <c r="U558" s="333">
        <f t="shared" si="84"/>
        <v>-2823212.84</v>
      </c>
      <c r="V558" s="333">
        <v>2868749</v>
      </c>
      <c r="W558" s="333">
        <v>0</v>
      </c>
      <c r="X558" s="333">
        <v>0</v>
      </c>
      <c r="Y558" s="333">
        <v>0</v>
      </c>
      <c r="Z558" s="333">
        <v>0</v>
      </c>
      <c r="AA558" s="333">
        <v>0</v>
      </c>
      <c r="AB558" s="333">
        <v>0</v>
      </c>
      <c r="AC558" s="333">
        <v>-1433.3599999999278</v>
      </c>
      <c r="AD558" s="333">
        <v>-2868749</v>
      </c>
      <c r="AE558" s="333"/>
      <c r="AF558" s="333"/>
      <c r="AG558" s="333">
        <f t="shared" si="85"/>
        <v>-2824646.1999999997</v>
      </c>
      <c r="AH558" s="330"/>
      <c r="AI558" s="330">
        <v>1433.3600000000151</v>
      </c>
      <c r="AJ558" s="396">
        <f t="shared" si="86"/>
        <v>-2824646.1999999997</v>
      </c>
      <c r="AK558" s="563"/>
      <c r="AL558" s="285">
        <f>+AC558+AI558</f>
        <v>8.7311491370201111E-11</v>
      </c>
      <c r="AM558" s="286"/>
      <c r="AO558" s="330" t="s">
        <v>4361</v>
      </c>
    </row>
    <row r="559" spans="1:41">
      <c r="A559" s="587">
        <f t="shared" si="88"/>
        <v>556</v>
      </c>
      <c r="B559" s="330" t="s">
        <v>1643</v>
      </c>
      <c r="C559" s="330" t="s">
        <v>2671</v>
      </c>
      <c r="D559" s="330" t="s">
        <v>1677</v>
      </c>
      <c r="E559" s="330" t="s">
        <v>2368</v>
      </c>
      <c r="F559" s="330" t="s">
        <v>1647</v>
      </c>
      <c r="G559" s="562">
        <v>1114</v>
      </c>
      <c r="H559" s="562">
        <v>683.3</v>
      </c>
      <c r="I559" s="562">
        <v>795.57</v>
      </c>
      <c r="J559" s="561" t="s">
        <v>1648</v>
      </c>
      <c r="K559" s="330" t="s">
        <v>4365</v>
      </c>
      <c r="L559" s="330" t="s">
        <v>4366</v>
      </c>
      <c r="M559" s="330" t="s">
        <v>4367</v>
      </c>
      <c r="N559" s="330" t="s">
        <v>12</v>
      </c>
      <c r="O559" s="395"/>
      <c r="P559" s="333">
        <v>6937429</v>
      </c>
      <c r="Q559" s="330" t="s">
        <v>1660</v>
      </c>
      <c r="R559" s="562">
        <v>0</v>
      </c>
      <c r="S559" s="333">
        <v>0</v>
      </c>
      <c r="T559" s="333">
        <v>-100000</v>
      </c>
      <c r="U559" s="333">
        <f t="shared" si="84"/>
        <v>-100000</v>
      </c>
      <c r="V559" s="333">
        <v>100000</v>
      </c>
      <c r="W559" s="333">
        <v>0</v>
      </c>
      <c r="X559" s="333">
        <v>0</v>
      </c>
      <c r="Y559" s="333">
        <v>0</v>
      </c>
      <c r="Z559" s="333">
        <v>0</v>
      </c>
      <c r="AA559" s="333">
        <v>0</v>
      </c>
      <c r="AB559" s="333">
        <v>0</v>
      </c>
      <c r="AC559" s="333">
        <v>0</v>
      </c>
      <c r="AD559" s="333">
        <v>0</v>
      </c>
      <c r="AE559" s="333"/>
      <c r="AF559" s="333"/>
      <c r="AG559" s="333">
        <f t="shared" si="85"/>
        <v>0</v>
      </c>
      <c r="AH559" s="330"/>
      <c r="AI559" s="330">
        <v>0</v>
      </c>
      <c r="AJ559" s="396">
        <f t="shared" si="86"/>
        <v>0</v>
      </c>
      <c r="AK559" s="563"/>
      <c r="AL559" s="285">
        <f t="shared" si="87"/>
        <v>0</v>
      </c>
      <c r="AM559" s="286"/>
      <c r="AO559" s="330" t="s">
        <v>4365</v>
      </c>
    </row>
    <row r="560" spans="1:41">
      <c r="A560" s="587">
        <f t="shared" si="88"/>
        <v>557</v>
      </c>
      <c r="B560" s="330" t="s">
        <v>1643</v>
      </c>
      <c r="C560" s="330" t="s">
        <v>4368</v>
      </c>
      <c r="D560" s="330" t="s">
        <v>1655</v>
      </c>
      <c r="E560" s="330" t="s">
        <v>2132</v>
      </c>
      <c r="F560" s="330" t="s">
        <v>1647</v>
      </c>
      <c r="G560" s="562">
        <v>1012</v>
      </c>
      <c r="H560" s="562">
        <v>653.59</v>
      </c>
      <c r="I560" s="562">
        <v>723.02</v>
      </c>
      <c r="J560" s="561" t="s">
        <v>1679</v>
      </c>
      <c r="K560" s="330" t="s">
        <v>4369</v>
      </c>
      <c r="L560" s="330" t="s">
        <v>4370</v>
      </c>
      <c r="M560" s="330" t="s">
        <v>4371</v>
      </c>
      <c r="N560" s="330" t="s">
        <v>12</v>
      </c>
      <c r="O560" s="395"/>
      <c r="P560" s="333">
        <v>6312476</v>
      </c>
      <c r="Q560" s="330" t="s">
        <v>1660</v>
      </c>
      <c r="R560" s="562">
        <v>0</v>
      </c>
      <c r="S560" s="333">
        <v>0</v>
      </c>
      <c r="T560" s="333">
        <v>0</v>
      </c>
      <c r="U560" s="333">
        <f t="shared" si="84"/>
        <v>0</v>
      </c>
      <c r="V560" s="333">
        <v>0</v>
      </c>
      <c r="W560" s="333">
        <v>0</v>
      </c>
      <c r="X560" s="333">
        <v>0</v>
      </c>
      <c r="Y560" s="333">
        <v>0</v>
      </c>
      <c r="Z560" s="333">
        <v>0</v>
      </c>
      <c r="AA560" s="333">
        <v>0</v>
      </c>
      <c r="AB560" s="333">
        <v>0</v>
      </c>
      <c r="AC560" s="333">
        <v>0</v>
      </c>
      <c r="AD560" s="333">
        <v>0</v>
      </c>
      <c r="AE560" s="333"/>
      <c r="AF560" s="333"/>
      <c r="AG560" s="333">
        <f t="shared" si="85"/>
        <v>0</v>
      </c>
      <c r="AH560" s="330"/>
      <c r="AI560" s="330">
        <v>0</v>
      </c>
      <c r="AJ560" s="396">
        <f t="shared" si="86"/>
        <v>0</v>
      </c>
      <c r="AK560" s="563"/>
      <c r="AL560" s="285">
        <f t="shared" si="87"/>
        <v>0</v>
      </c>
      <c r="AM560" s="286"/>
      <c r="AO560" s="330" t="s">
        <v>4369</v>
      </c>
    </row>
    <row r="561" spans="1:41">
      <c r="A561" s="587">
        <f t="shared" si="88"/>
        <v>558</v>
      </c>
      <c r="B561" s="330" t="s">
        <v>1643</v>
      </c>
      <c r="C561" s="330" t="s">
        <v>3834</v>
      </c>
      <c r="D561" s="330" t="s">
        <v>1655</v>
      </c>
      <c r="E561" s="330" t="s">
        <v>2625</v>
      </c>
      <c r="F561" s="330" t="s">
        <v>1647</v>
      </c>
      <c r="G561" s="562">
        <v>1012</v>
      </c>
      <c r="H561" s="562">
        <v>653.59</v>
      </c>
      <c r="I561" s="562">
        <v>723.02</v>
      </c>
      <c r="J561" s="561" t="s">
        <v>1679</v>
      </c>
      <c r="K561" s="330" t="s">
        <v>4372</v>
      </c>
      <c r="L561" s="330" t="s">
        <v>4373</v>
      </c>
      <c r="M561" s="330" t="s">
        <v>4374</v>
      </c>
      <c r="N561" s="330" t="s">
        <v>12</v>
      </c>
      <c r="O561" s="395"/>
      <c r="P561" s="333">
        <v>6098191</v>
      </c>
      <c r="Q561" s="330" t="s">
        <v>1660</v>
      </c>
      <c r="R561" s="562">
        <v>0</v>
      </c>
      <c r="S561" s="333">
        <v>0</v>
      </c>
      <c r="T561" s="333">
        <v>0</v>
      </c>
      <c r="U561" s="333">
        <f t="shared" si="84"/>
        <v>0</v>
      </c>
      <c r="V561" s="333">
        <v>0</v>
      </c>
      <c r="W561" s="333">
        <v>0</v>
      </c>
      <c r="X561" s="333">
        <v>0</v>
      </c>
      <c r="Y561" s="333">
        <v>0</v>
      </c>
      <c r="Z561" s="333">
        <v>0</v>
      </c>
      <c r="AA561" s="333">
        <v>0</v>
      </c>
      <c r="AB561" s="333">
        <v>0</v>
      </c>
      <c r="AC561" s="333">
        <v>0</v>
      </c>
      <c r="AD561" s="333">
        <v>0</v>
      </c>
      <c r="AE561" s="333"/>
      <c r="AF561" s="333"/>
      <c r="AG561" s="333">
        <f t="shared" si="85"/>
        <v>0</v>
      </c>
      <c r="AH561" s="330"/>
      <c r="AI561" s="330">
        <v>0</v>
      </c>
      <c r="AJ561" s="396">
        <f t="shared" si="86"/>
        <v>0</v>
      </c>
      <c r="AK561" s="563"/>
      <c r="AL561" s="285">
        <f t="shared" si="87"/>
        <v>0</v>
      </c>
      <c r="AM561" s="286"/>
      <c r="AO561" s="330" t="s">
        <v>4372</v>
      </c>
    </row>
    <row r="562" spans="1:41">
      <c r="A562" s="587">
        <f t="shared" si="88"/>
        <v>559</v>
      </c>
      <c r="B562" s="330" t="s">
        <v>1643</v>
      </c>
      <c r="C562" s="330" t="s">
        <v>4375</v>
      </c>
      <c r="D562" s="330" t="s">
        <v>1662</v>
      </c>
      <c r="E562" s="330" t="s">
        <v>3416</v>
      </c>
      <c r="F562" s="330" t="s">
        <v>1671</v>
      </c>
      <c r="G562" s="562">
        <v>1375</v>
      </c>
      <c r="H562" s="562">
        <v>876.73</v>
      </c>
      <c r="I562" s="562">
        <v>982.22</v>
      </c>
      <c r="J562" s="561" t="s">
        <v>1679</v>
      </c>
      <c r="K562" s="330" t="s">
        <v>4376</v>
      </c>
      <c r="L562" s="330" t="s">
        <v>4377</v>
      </c>
      <c r="M562" s="330" t="s">
        <v>4378</v>
      </c>
      <c r="N562" s="330" t="s">
        <v>4379</v>
      </c>
      <c r="O562" s="395">
        <v>45506</v>
      </c>
      <c r="P562" s="333">
        <v>8171143</v>
      </c>
      <c r="Q562" s="330" t="s">
        <v>1653</v>
      </c>
      <c r="R562" s="562">
        <v>0</v>
      </c>
      <c r="S562" s="333">
        <v>0</v>
      </c>
      <c r="T562" s="333">
        <v>-2451343.84</v>
      </c>
      <c r="U562" s="333">
        <f t="shared" si="84"/>
        <v>-2451343.84</v>
      </c>
      <c r="V562" s="333">
        <v>0</v>
      </c>
      <c r="W562" s="333">
        <v>0</v>
      </c>
      <c r="X562" s="333">
        <v>0</v>
      </c>
      <c r="Y562" s="333">
        <v>0</v>
      </c>
      <c r="Z562" s="333">
        <v>0</v>
      </c>
      <c r="AA562" s="333">
        <v>0</v>
      </c>
      <c r="AB562" s="333">
        <v>0</v>
      </c>
      <c r="AC562" s="333">
        <v>0</v>
      </c>
      <c r="AD562" s="333">
        <v>0</v>
      </c>
      <c r="AE562" s="333"/>
      <c r="AF562" s="333"/>
      <c r="AG562" s="333">
        <f t="shared" si="85"/>
        <v>-2451343.84</v>
      </c>
      <c r="AH562" s="330"/>
      <c r="AI562" s="330">
        <v>0</v>
      </c>
      <c r="AJ562" s="396">
        <f t="shared" si="86"/>
        <v>-2451343.84</v>
      </c>
      <c r="AK562" s="563"/>
      <c r="AL562" s="285">
        <f t="shared" si="87"/>
        <v>0</v>
      </c>
      <c r="AM562" s="286"/>
      <c r="AO562" s="330" t="s">
        <v>4376</v>
      </c>
    </row>
    <row r="563" spans="1:41">
      <c r="A563" s="587">
        <f t="shared" si="88"/>
        <v>560</v>
      </c>
      <c r="B563" s="330" t="s">
        <v>1643</v>
      </c>
      <c r="C563" s="330" t="s">
        <v>4380</v>
      </c>
      <c r="D563" s="330" t="s">
        <v>1704</v>
      </c>
      <c r="E563" s="330" t="s">
        <v>3007</v>
      </c>
      <c r="F563" s="330" t="s">
        <v>1647</v>
      </c>
      <c r="G563" s="562">
        <v>1012</v>
      </c>
      <c r="H563" s="562">
        <v>653.59</v>
      </c>
      <c r="I563" s="562">
        <v>723.02</v>
      </c>
      <c r="J563" s="561" t="s">
        <v>1648</v>
      </c>
      <c r="K563" s="330" t="s">
        <v>4381</v>
      </c>
      <c r="L563" s="330" t="s">
        <v>4382</v>
      </c>
      <c r="M563" s="330" t="s">
        <v>4383</v>
      </c>
      <c r="N563" s="330" t="s">
        <v>4384</v>
      </c>
      <c r="O563" s="395">
        <v>45509</v>
      </c>
      <c r="P563" s="333">
        <v>5990602</v>
      </c>
      <c r="Q563" s="330" t="s">
        <v>1653</v>
      </c>
      <c r="R563" s="562">
        <v>0</v>
      </c>
      <c r="S563" s="333">
        <v>0</v>
      </c>
      <c r="T563" s="333">
        <v>-1958086.9599999993</v>
      </c>
      <c r="U563" s="333">
        <f t="shared" si="84"/>
        <v>-1958086.9599999993</v>
      </c>
      <c r="V563" s="333">
        <v>0</v>
      </c>
      <c r="W563" s="333">
        <v>0</v>
      </c>
      <c r="X563" s="333">
        <v>0</v>
      </c>
      <c r="Y563" s="333">
        <v>0</v>
      </c>
      <c r="Z563" s="333">
        <v>0</v>
      </c>
      <c r="AA563" s="333">
        <v>0</v>
      </c>
      <c r="AB563" s="333">
        <v>0</v>
      </c>
      <c r="AC563" s="333">
        <v>0</v>
      </c>
      <c r="AD563" s="333">
        <v>0</v>
      </c>
      <c r="AE563" s="333"/>
      <c r="AF563" s="333"/>
      <c r="AG563" s="333">
        <f t="shared" si="85"/>
        <v>-1958086.9599999993</v>
      </c>
      <c r="AH563" s="330"/>
      <c r="AI563" s="330">
        <v>0</v>
      </c>
      <c r="AJ563" s="396">
        <f t="shared" si="86"/>
        <v>-1958086.9599999993</v>
      </c>
      <c r="AK563" s="563"/>
      <c r="AL563" s="285">
        <f t="shared" si="87"/>
        <v>0</v>
      </c>
      <c r="AM563" s="286"/>
      <c r="AO563" s="330" t="s">
        <v>4381</v>
      </c>
    </row>
    <row r="564" spans="1:41">
      <c r="A564" s="587">
        <f t="shared" si="88"/>
        <v>561</v>
      </c>
      <c r="B564" s="330" t="s">
        <v>1643</v>
      </c>
      <c r="C564" s="330" t="s">
        <v>4385</v>
      </c>
      <c r="D564" s="330" t="s">
        <v>1655</v>
      </c>
      <c r="E564" s="330" t="s">
        <v>2542</v>
      </c>
      <c r="F564" s="330" t="s">
        <v>1647</v>
      </c>
      <c r="G564" s="562">
        <v>1012</v>
      </c>
      <c r="H564" s="562">
        <v>653.59</v>
      </c>
      <c r="I564" s="562">
        <v>723.02</v>
      </c>
      <c r="J564" s="561" t="s">
        <v>1810</v>
      </c>
      <c r="K564" s="330" t="s">
        <v>4386</v>
      </c>
      <c r="L564" s="330" t="s">
        <v>4387</v>
      </c>
      <c r="M564" s="330" t="s">
        <v>4388</v>
      </c>
      <c r="N564" s="330" t="s">
        <v>12</v>
      </c>
      <c r="O564" s="395"/>
      <c r="P564" s="333">
        <v>6215143</v>
      </c>
      <c r="Q564" s="330" t="s">
        <v>1660</v>
      </c>
      <c r="R564" s="562">
        <v>0</v>
      </c>
      <c r="S564" s="333">
        <v>0</v>
      </c>
      <c r="T564" s="333">
        <v>-533518</v>
      </c>
      <c r="U564" s="333">
        <f t="shared" si="84"/>
        <v>-533518</v>
      </c>
      <c r="V564" s="333">
        <v>0</v>
      </c>
      <c r="W564" s="333">
        <v>0</v>
      </c>
      <c r="X564" s="333">
        <v>0</v>
      </c>
      <c r="Y564" s="333">
        <v>0</v>
      </c>
      <c r="Z564" s="333">
        <v>0</v>
      </c>
      <c r="AA564" s="333">
        <v>0</v>
      </c>
      <c r="AB564" s="333">
        <v>0</v>
      </c>
      <c r="AC564" s="333">
        <v>0</v>
      </c>
      <c r="AD564" s="333">
        <v>533518</v>
      </c>
      <c r="AE564" s="333"/>
      <c r="AF564" s="333"/>
      <c r="AG564" s="333">
        <f t="shared" si="85"/>
        <v>0</v>
      </c>
      <c r="AH564" s="330"/>
      <c r="AI564" s="330">
        <v>0</v>
      </c>
      <c r="AJ564" s="396">
        <f t="shared" si="86"/>
        <v>0</v>
      </c>
      <c r="AK564" s="563"/>
      <c r="AL564" s="285">
        <f>+AC564+AI564</f>
        <v>0</v>
      </c>
      <c r="AM564" s="286"/>
      <c r="AO564" s="330" t="s">
        <v>4386</v>
      </c>
    </row>
    <row r="565" spans="1:41">
      <c r="A565" s="587">
        <f t="shared" si="88"/>
        <v>562</v>
      </c>
      <c r="B565" s="330" t="s">
        <v>1643</v>
      </c>
      <c r="C565" s="330" t="s">
        <v>4389</v>
      </c>
      <c r="D565" s="330" t="s">
        <v>1655</v>
      </c>
      <c r="E565" s="330" t="s">
        <v>1646</v>
      </c>
      <c r="F565" s="330" t="s">
        <v>1647</v>
      </c>
      <c r="G565" s="562">
        <v>1012</v>
      </c>
      <c r="H565" s="562">
        <v>653.59</v>
      </c>
      <c r="I565" s="562">
        <v>723.02</v>
      </c>
      <c r="J565" s="561" t="s">
        <v>1810</v>
      </c>
      <c r="K565" s="330" t="s">
        <v>4390</v>
      </c>
      <c r="L565" s="330" t="s">
        <v>4391</v>
      </c>
      <c r="M565" s="330" t="s">
        <v>4392</v>
      </c>
      <c r="N565" s="330" t="s">
        <v>12</v>
      </c>
      <c r="O565" s="395"/>
      <c r="P565" s="333">
        <v>6008952</v>
      </c>
      <c r="Q565" s="330" t="s">
        <v>1653</v>
      </c>
      <c r="R565" s="562">
        <v>0</v>
      </c>
      <c r="S565" s="333">
        <v>0</v>
      </c>
      <c r="T565" s="333">
        <v>-491600</v>
      </c>
      <c r="U565" s="333">
        <f t="shared" si="84"/>
        <v>-491600</v>
      </c>
      <c r="V565" s="333">
        <v>0</v>
      </c>
      <c r="W565" s="333">
        <v>0</v>
      </c>
      <c r="X565" s="333">
        <v>0</v>
      </c>
      <c r="Y565" s="333">
        <v>0</v>
      </c>
      <c r="Z565" s="333">
        <v>0</v>
      </c>
      <c r="AA565" s="333">
        <v>0</v>
      </c>
      <c r="AB565" s="333">
        <v>0</v>
      </c>
      <c r="AC565" s="333">
        <v>0</v>
      </c>
      <c r="AD565" s="333">
        <v>0</v>
      </c>
      <c r="AE565" s="333"/>
      <c r="AF565" s="333"/>
      <c r="AG565" s="333">
        <f t="shared" si="85"/>
        <v>-491600</v>
      </c>
      <c r="AH565" s="330"/>
      <c r="AI565" s="330">
        <v>0</v>
      </c>
      <c r="AJ565" s="396">
        <f t="shared" si="86"/>
        <v>-491600</v>
      </c>
      <c r="AK565" s="563"/>
      <c r="AL565" s="285">
        <f t="shared" si="87"/>
        <v>0</v>
      </c>
      <c r="AM565" s="286"/>
      <c r="AO565" s="330" t="s">
        <v>4390</v>
      </c>
    </row>
    <row r="566" spans="1:41">
      <c r="A566" s="587">
        <f t="shared" si="88"/>
        <v>563</v>
      </c>
      <c r="B566" s="330" t="s">
        <v>1643</v>
      </c>
      <c r="C566" s="330" t="s">
        <v>4393</v>
      </c>
      <c r="D566" s="330" t="s">
        <v>2153</v>
      </c>
      <c r="E566" s="330" t="s">
        <v>3334</v>
      </c>
      <c r="F566" s="330" t="s">
        <v>1671</v>
      </c>
      <c r="G566" s="562">
        <v>1498</v>
      </c>
      <c r="H566" s="562">
        <v>954.87</v>
      </c>
      <c r="I566" s="562">
        <v>1069.73</v>
      </c>
      <c r="J566" s="561" t="s">
        <v>1679</v>
      </c>
      <c r="K566" s="330" t="s">
        <v>4394</v>
      </c>
      <c r="L566" s="330" t="s">
        <v>4395</v>
      </c>
      <c r="M566" s="330" t="s">
        <v>4396</v>
      </c>
      <c r="N566" s="330" t="s">
        <v>12</v>
      </c>
      <c r="O566" s="395"/>
      <c r="P566" s="333">
        <v>9258857</v>
      </c>
      <c r="Q566" s="330" t="s">
        <v>1660</v>
      </c>
      <c r="R566" s="562">
        <v>0</v>
      </c>
      <c r="S566" s="333">
        <v>0</v>
      </c>
      <c r="T566" s="333">
        <v>0</v>
      </c>
      <c r="U566" s="333">
        <f t="shared" si="84"/>
        <v>0</v>
      </c>
      <c r="V566" s="333">
        <v>0</v>
      </c>
      <c r="W566" s="333">
        <v>0</v>
      </c>
      <c r="X566" s="333">
        <v>0</v>
      </c>
      <c r="Y566" s="333">
        <v>0</v>
      </c>
      <c r="Z566" s="333">
        <v>0</v>
      </c>
      <c r="AA566" s="333">
        <v>0</v>
      </c>
      <c r="AB566" s="333">
        <v>0</v>
      </c>
      <c r="AC566" s="333">
        <v>0</v>
      </c>
      <c r="AD566" s="333">
        <v>0</v>
      </c>
      <c r="AE566" s="333"/>
      <c r="AF566" s="333"/>
      <c r="AG566" s="333">
        <f t="shared" si="85"/>
        <v>0</v>
      </c>
      <c r="AH566" s="330"/>
      <c r="AI566" s="330">
        <v>0</v>
      </c>
      <c r="AJ566" s="396">
        <f t="shared" si="86"/>
        <v>0</v>
      </c>
      <c r="AK566" s="563"/>
      <c r="AL566" s="285">
        <f t="shared" si="87"/>
        <v>0</v>
      </c>
      <c r="AM566" s="286"/>
      <c r="AO566" s="330" t="s">
        <v>4394</v>
      </c>
    </row>
    <row r="567" spans="1:41">
      <c r="A567" s="587">
        <f t="shared" si="88"/>
        <v>564</v>
      </c>
      <c r="B567" s="330" t="s">
        <v>1643</v>
      </c>
      <c r="C567" s="330" t="s">
        <v>4397</v>
      </c>
      <c r="D567" s="330" t="s">
        <v>1704</v>
      </c>
      <c r="E567" s="330" t="s">
        <v>2206</v>
      </c>
      <c r="F567" s="330" t="s">
        <v>1647</v>
      </c>
      <c r="G567" s="562">
        <v>1114</v>
      </c>
      <c r="H567" s="562">
        <v>683.3</v>
      </c>
      <c r="I567" s="562">
        <v>795.57</v>
      </c>
      <c r="J567" s="561" t="s">
        <v>1648</v>
      </c>
      <c r="K567" s="330" t="s">
        <v>4398</v>
      </c>
      <c r="L567" s="330" t="s">
        <v>4399</v>
      </c>
      <c r="M567" s="330" t="s">
        <v>4400</v>
      </c>
      <c r="N567" s="330" t="s">
        <v>4401</v>
      </c>
      <c r="O567" s="395">
        <v>45448</v>
      </c>
      <c r="P567" s="333">
        <v>6388381</v>
      </c>
      <c r="Q567" s="330" t="s">
        <v>1653</v>
      </c>
      <c r="R567" s="562">
        <v>0</v>
      </c>
      <c r="S567" s="333">
        <v>0</v>
      </c>
      <c r="T567" s="333">
        <v>-1935679.0400000003</v>
      </c>
      <c r="U567" s="333">
        <f t="shared" si="84"/>
        <v>-1935679.0400000003</v>
      </c>
      <c r="V567" s="333">
        <v>0</v>
      </c>
      <c r="W567" s="333">
        <v>0</v>
      </c>
      <c r="X567" s="333">
        <v>0</v>
      </c>
      <c r="Y567" s="333">
        <v>0</v>
      </c>
      <c r="Z567" s="333">
        <v>0</v>
      </c>
      <c r="AA567" s="333">
        <v>0</v>
      </c>
      <c r="AB567" s="333">
        <v>0</v>
      </c>
      <c r="AC567" s="333">
        <v>0</v>
      </c>
      <c r="AD567" s="333">
        <v>0</v>
      </c>
      <c r="AE567" s="333"/>
      <c r="AF567" s="333"/>
      <c r="AG567" s="333">
        <f t="shared" si="85"/>
        <v>-1935679.0400000003</v>
      </c>
      <c r="AH567" s="330"/>
      <c r="AI567" s="330">
        <v>0</v>
      </c>
      <c r="AJ567" s="396">
        <f t="shared" si="86"/>
        <v>-1935679.0400000003</v>
      </c>
      <c r="AK567" s="563"/>
      <c r="AL567" s="285">
        <f t="shared" si="87"/>
        <v>0</v>
      </c>
      <c r="AM567" s="286"/>
      <c r="AO567" s="330" t="s">
        <v>4398</v>
      </c>
    </row>
    <row r="568" spans="1:41">
      <c r="A568" s="587">
        <f t="shared" si="88"/>
        <v>565</v>
      </c>
      <c r="B568" s="330" t="s">
        <v>1643</v>
      </c>
      <c r="C568" s="330" t="s">
        <v>4402</v>
      </c>
      <c r="D568" s="330" t="s">
        <v>1704</v>
      </c>
      <c r="E568" s="330" t="s">
        <v>2322</v>
      </c>
      <c r="F568" s="330" t="s">
        <v>1647</v>
      </c>
      <c r="G568" s="562">
        <v>1012</v>
      </c>
      <c r="H568" s="562">
        <v>653.59</v>
      </c>
      <c r="I568" s="562">
        <v>723.02</v>
      </c>
      <c r="J568" s="561" t="s">
        <v>1648</v>
      </c>
      <c r="K568" s="330" t="s">
        <v>4403</v>
      </c>
      <c r="L568" s="330" t="s">
        <v>4404</v>
      </c>
      <c r="M568" s="330" t="s">
        <v>4405</v>
      </c>
      <c r="N568" s="330" t="s">
        <v>4406</v>
      </c>
      <c r="O568" s="395">
        <v>45455</v>
      </c>
      <c r="P568" s="333">
        <v>5776762</v>
      </c>
      <c r="Q568" s="330" t="s">
        <v>1653</v>
      </c>
      <c r="R568" s="562">
        <v>0</v>
      </c>
      <c r="S568" s="333">
        <v>0</v>
      </c>
      <c r="T568" s="333">
        <v>-1790794.18</v>
      </c>
      <c r="U568" s="333">
        <f t="shared" si="84"/>
        <v>-1790794.18</v>
      </c>
      <c r="V568" s="333">
        <v>0</v>
      </c>
      <c r="W568" s="333">
        <v>0</v>
      </c>
      <c r="X568" s="333">
        <v>0</v>
      </c>
      <c r="Y568" s="333">
        <v>0</v>
      </c>
      <c r="Z568" s="333">
        <v>0</v>
      </c>
      <c r="AA568" s="333">
        <v>0</v>
      </c>
      <c r="AB568" s="333">
        <v>0</v>
      </c>
      <c r="AC568" s="333">
        <v>0</v>
      </c>
      <c r="AD568" s="333">
        <v>0</v>
      </c>
      <c r="AE568" s="333"/>
      <c r="AF568" s="333"/>
      <c r="AG568" s="333">
        <f t="shared" si="85"/>
        <v>-1790794.18</v>
      </c>
      <c r="AH568" s="330"/>
      <c r="AI568" s="330">
        <v>0</v>
      </c>
      <c r="AJ568" s="396">
        <f t="shared" si="86"/>
        <v>-1790794.18</v>
      </c>
      <c r="AK568" s="563"/>
      <c r="AL568" s="285">
        <f t="shared" si="87"/>
        <v>0</v>
      </c>
      <c r="AM568" s="286"/>
      <c r="AO568" s="330" t="s">
        <v>4403</v>
      </c>
    </row>
    <row r="569" spans="1:41">
      <c r="A569" s="587">
        <f t="shared" si="88"/>
        <v>566</v>
      </c>
      <c r="B569" s="330" t="s">
        <v>1643</v>
      </c>
      <c r="C569" s="330" t="s">
        <v>4407</v>
      </c>
      <c r="D569" s="330" t="s">
        <v>1645</v>
      </c>
      <c r="E569" s="330" t="s">
        <v>4408</v>
      </c>
      <c r="F569" s="330" t="s">
        <v>1671</v>
      </c>
      <c r="G569" s="562">
        <v>1375</v>
      </c>
      <c r="H569" s="562">
        <v>876.73</v>
      </c>
      <c r="I569" s="562">
        <v>982.22</v>
      </c>
      <c r="J569" s="561" t="s">
        <v>1648</v>
      </c>
      <c r="K569" s="330" t="s">
        <v>4409</v>
      </c>
      <c r="L569" s="330" t="s">
        <v>4410</v>
      </c>
      <c r="M569" s="330" t="s">
        <v>4411</v>
      </c>
      <c r="N569" s="330" t="s">
        <v>4412</v>
      </c>
      <c r="O569" s="395">
        <v>45462</v>
      </c>
      <c r="P569" s="333">
        <v>7714286</v>
      </c>
      <c r="Q569" s="330" t="s">
        <v>1653</v>
      </c>
      <c r="R569" s="562">
        <v>0</v>
      </c>
      <c r="S569" s="333">
        <v>0</v>
      </c>
      <c r="T569" s="333">
        <v>-2264283.7000000002</v>
      </c>
      <c r="U569" s="333">
        <f t="shared" si="84"/>
        <v>-2264283.7000000002</v>
      </c>
      <c r="V569" s="333">
        <v>0</v>
      </c>
      <c r="W569" s="333">
        <v>0</v>
      </c>
      <c r="X569" s="333">
        <v>0</v>
      </c>
      <c r="Y569" s="333">
        <v>0</v>
      </c>
      <c r="Z569" s="333">
        <v>0</v>
      </c>
      <c r="AA569" s="333">
        <v>0</v>
      </c>
      <c r="AB569" s="333">
        <v>0</v>
      </c>
      <c r="AC569" s="333">
        <v>0</v>
      </c>
      <c r="AD569" s="333">
        <v>0</v>
      </c>
      <c r="AE569" s="333"/>
      <c r="AF569" s="333"/>
      <c r="AG569" s="333">
        <f t="shared" si="85"/>
        <v>-2264283.7000000002</v>
      </c>
      <c r="AH569" s="330"/>
      <c r="AI569" s="330">
        <v>0</v>
      </c>
      <c r="AJ569" s="396">
        <f t="shared" si="86"/>
        <v>-2264283.7000000002</v>
      </c>
      <c r="AK569" s="563"/>
      <c r="AL569" s="285">
        <f t="shared" si="87"/>
        <v>0</v>
      </c>
      <c r="AM569" s="286"/>
      <c r="AO569" s="330" t="s">
        <v>4409</v>
      </c>
    </row>
    <row r="570" spans="1:41">
      <c r="A570" s="587">
        <f t="shared" si="88"/>
        <v>567</v>
      </c>
      <c r="B570" s="330" t="s">
        <v>1643</v>
      </c>
      <c r="C570" s="330" t="s">
        <v>4413</v>
      </c>
      <c r="D570" s="330" t="s">
        <v>1677</v>
      </c>
      <c r="E570" s="330" t="s">
        <v>2739</v>
      </c>
      <c r="F570" s="330" t="s">
        <v>1647</v>
      </c>
      <c r="G570" s="562">
        <v>1012</v>
      </c>
      <c r="H570" s="562">
        <v>653.59</v>
      </c>
      <c r="I570" s="562">
        <v>723.02</v>
      </c>
      <c r="J570" s="561" t="s">
        <v>1810</v>
      </c>
      <c r="K570" s="330" t="s">
        <v>4414</v>
      </c>
      <c r="L570" s="330" t="s">
        <v>4415</v>
      </c>
      <c r="M570" s="330" t="s">
        <v>4416</v>
      </c>
      <c r="N570" s="330" t="s">
        <v>12</v>
      </c>
      <c r="O570" s="395"/>
      <c r="P570" s="333">
        <v>5910666</v>
      </c>
      <c r="Q570" s="330" t="s">
        <v>1653</v>
      </c>
      <c r="R570" s="562">
        <v>0</v>
      </c>
      <c r="S570" s="333">
        <v>0</v>
      </c>
      <c r="T570" s="333">
        <v>-180009.76</v>
      </c>
      <c r="U570" s="333">
        <f t="shared" si="84"/>
        <v>-180009.76</v>
      </c>
      <c r="V570" s="333">
        <v>0</v>
      </c>
      <c r="W570" s="333">
        <v>0</v>
      </c>
      <c r="X570" s="333">
        <v>0</v>
      </c>
      <c r="Y570" s="333">
        <v>0</v>
      </c>
      <c r="Z570" s="333">
        <v>0</v>
      </c>
      <c r="AA570" s="333">
        <v>0</v>
      </c>
      <c r="AB570" s="333">
        <v>0</v>
      </c>
      <c r="AC570" s="333">
        <v>-6176.24</v>
      </c>
      <c r="AD570" s="333">
        <v>0</v>
      </c>
      <c r="AE570" s="333"/>
      <c r="AF570" s="333"/>
      <c r="AG570" s="333">
        <f t="shared" si="85"/>
        <v>-186186</v>
      </c>
      <c r="AH570" s="330"/>
      <c r="AI570" s="330">
        <v>6176.24</v>
      </c>
      <c r="AJ570" s="396">
        <f t="shared" si="86"/>
        <v>-186186</v>
      </c>
      <c r="AK570" s="563"/>
      <c r="AL570" s="285">
        <f t="shared" ref="AL570:AL571" si="91">+AC570+AI570</f>
        <v>0</v>
      </c>
      <c r="AM570" s="286"/>
      <c r="AO570" s="330" t="s">
        <v>4414</v>
      </c>
    </row>
    <row r="571" spans="1:41">
      <c r="A571" s="587">
        <f t="shared" si="88"/>
        <v>568</v>
      </c>
      <c r="B571" s="330" t="s">
        <v>1643</v>
      </c>
      <c r="C571" s="330" t="s">
        <v>3579</v>
      </c>
      <c r="D571" s="330" t="s">
        <v>1677</v>
      </c>
      <c r="E571" s="330" t="s">
        <v>2572</v>
      </c>
      <c r="F571" s="330" t="s">
        <v>1647</v>
      </c>
      <c r="G571" s="562">
        <v>1012</v>
      </c>
      <c r="H571" s="562">
        <v>653.59</v>
      </c>
      <c r="I571" s="562">
        <v>723.02</v>
      </c>
      <c r="J571" s="561" t="s">
        <v>1810</v>
      </c>
      <c r="K571" s="330" t="s">
        <v>4417</v>
      </c>
      <c r="L571" s="330" t="s">
        <v>4418</v>
      </c>
      <c r="M571" s="330" t="s">
        <v>4419</v>
      </c>
      <c r="N571" s="330" t="s">
        <v>12</v>
      </c>
      <c r="O571" s="395"/>
      <c r="P571" s="333">
        <v>6054000</v>
      </c>
      <c r="Q571" s="330" t="s">
        <v>1653</v>
      </c>
      <c r="R571" s="562">
        <v>0</v>
      </c>
      <c r="S571" s="333">
        <v>0</v>
      </c>
      <c r="T571" s="333">
        <v>-539545.57999999996</v>
      </c>
      <c r="U571" s="333">
        <f t="shared" si="84"/>
        <v>-539545.57999999996</v>
      </c>
      <c r="V571" s="333">
        <v>0</v>
      </c>
      <c r="W571" s="333">
        <v>0</v>
      </c>
      <c r="X571" s="333">
        <v>0</v>
      </c>
      <c r="Y571" s="333">
        <v>0</v>
      </c>
      <c r="Z571" s="333">
        <v>0</v>
      </c>
      <c r="AA571" s="333">
        <v>0</v>
      </c>
      <c r="AB571" s="333">
        <v>0</v>
      </c>
      <c r="AC571" s="333">
        <v>-4754.42</v>
      </c>
      <c r="AD571" s="333">
        <v>0</v>
      </c>
      <c r="AE571" s="333"/>
      <c r="AF571" s="333"/>
      <c r="AG571" s="333">
        <f t="shared" si="85"/>
        <v>-544300</v>
      </c>
      <c r="AH571" s="330"/>
      <c r="AI571" s="330">
        <v>4754.42</v>
      </c>
      <c r="AJ571" s="396">
        <f t="shared" si="86"/>
        <v>-544300</v>
      </c>
      <c r="AK571" s="563"/>
      <c r="AL571" s="285">
        <f t="shared" si="91"/>
        <v>0</v>
      </c>
      <c r="AM571" s="286"/>
      <c r="AO571" s="330" t="s">
        <v>4417</v>
      </c>
    </row>
    <row r="572" spans="1:41">
      <c r="A572" s="587">
        <f t="shared" si="88"/>
        <v>569</v>
      </c>
      <c r="B572" s="330" t="s">
        <v>1643</v>
      </c>
      <c r="C572" s="330" t="s">
        <v>4420</v>
      </c>
      <c r="D572" s="330" t="s">
        <v>1704</v>
      </c>
      <c r="E572" s="330" t="s">
        <v>1846</v>
      </c>
      <c r="F572" s="330" t="s">
        <v>1647</v>
      </c>
      <c r="G572" s="562">
        <v>1114</v>
      </c>
      <c r="H572" s="562">
        <v>683.3</v>
      </c>
      <c r="I572" s="562">
        <v>795.57</v>
      </c>
      <c r="J572" s="561" t="s">
        <v>1810</v>
      </c>
      <c r="K572" s="330" t="s">
        <v>4421</v>
      </c>
      <c r="L572" s="330" t="s">
        <v>4422</v>
      </c>
      <c r="M572" s="330" t="s">
        <v>4423</v>
      </c>
      <c r="N572" s="330" t="s">
        <v>4424</v>
      </c>
      <c r="O572" s="395">
        <v>45469</v>
      </c>
      <c r="P572" s="333">
        <v>6393361</v>
      </c>
      <c r="Q572" s="330" t="s">
        <v>1653</v>
      </c>
      <c r="R572" s="562">
        <v>0</v>
      </c>
      <c r="S572" s="333">
        <v>0</v>
      </c>
      <c r="T572" s="333">
        <v>-1981940.1900000004</v>
      </c>
      <c r="U572" s="333">
        <f t="shared" si="84"/>
        <v>-1981940.1900000004</v>
      </c>
      <c r="V572" s="333">
        <v>0</v>
      </c>
      <c r="W572" s="333">
        <v>0</v>
      </c>
      <c r="X572" s="333">
        <v>0</v>
      </c>
      <c r="Y572" s="333">
        <v>0</v>
      </c>
      <c r="Z572" s="333">
        <v>0</v>
      </c>
      <c r="AA572" s="333">
        <v>0</v>
      </c>
      <c r="AB572" s="333">
        <v>0</v>
      </c>
      <c r="AC572" s="333">
        <v>0</v>
      </c>
      <c r="AD572" s="333">
        <v>0</v>
      </c>
      <c r="AE572" s="333"/>
      <c r="AF572" s="333"/>
      <c r="AG572" s="333">
        <f t="shared" si="85"/>
        <v>-1981940.1900000004</v>
      </c>
      <c r="AH572" s="330"/>
      <c r="AI572" s="330">
        <v>0</v>
      </c>
      <c r="AJ572" s="396">
        <f t="shared" si="86"/>
        <v>-1981940.1900000004</v>
      </c>
      <c r="AK572" s="563"/>
      <c r="AL572" s="285">
        <f t="shared" si="87"/>
        <v>0</v>
      </c>
      <c r="AM572" s="286"/>
      <c r="AO572" s="330" t="s">
        <v>4421</v>
      </c>
    </row>
    <row r="573" spans="1:41">
      <c r="A573" s="587">
        <f t="shared" si="88"/>
        <v>570</v>
      </c>
      <c r="B573" s="330" t="s">
        <v>1643</v>
      </c>
      <c r="C573" s="330" t="s">
        <v>4425</v>
      </c>
      <c r="D573" s="330" t="s">
        <v>1662</v>
      </c>
      <c r="E573" s="330" t="s">
        <v>2316</v>
      </c>
      <c r="F573" s="330" t="s">
        <v>1647</v>
      </c>
      <c r="G573" s="562">
        <v>1012</v>
      </c>
      <c r="H573" s="562">
        <v>653.59</v>
      </c>
      <c r="I573" s="562">
        <v>723.02</v>
      </c>
      <c r="J573" s="561" t="s">
        <v>1648</v>
      </c>
      <c r="K573" s="330" t="s">
        <v>4426</v>
      </c>
      <c r="L573" s="330" t="s">
        <v>4427</v>
      </c>
      <c r="M573" s="330" t="s">
        <v>4428</v>
      </c>
      <c r="N573" s="330" t="s">
        <v>4429</v>
      </c>
      <c r="O573" s="395">
        <v>45439</v>
      </c>
      <c r="P573" s="333">
        <v>5698827</v>
      </c>
      <c r="Q573" s="330" t="s">
        <v>1653</v>
      </c>
      <c r="R573" s="562">
        <v>0</v>
      </c>
      <c r="S573" s="333">
        <v>0</v>
      </c>
      <c r="T573" s="333">
        <v>-1576098.5800000003</v>
      </c>
      <c r="U573" s="333">
        <f t="shared" si="84"/>
        <v>-1576098.5800000003</v>
      </c>
      <c r="V573" s="333">
        <v>-150000</v>
      </c>
      <c r="W573" s="333">
        <v>0</v>
      </c>
      <c r="X573" s="333">
        <v>0</v>
      </c>
      <c r="Y573" s="333">
        <v>0</v>
      </c>
      <c r="Z573" s="333">
        <v>0</v>
      </c>
      <c r="AA573" s="333">
        <v>0</v>
      </c>
      <c r="AB573" s="333">
        <v>0</v>
      </c>
      <c r="AC573" s="333">
        <v>0</v>
      </c>
      <c r="AD573" s="333">
        <v>0</v>
      </c>
      <c r="AE573" s="333"/>
      <c r="AF573" s="333"/>
      <c r="AG573" s="333">
        <f t="shared" si="85"/>
        <v>-1726098.5800000003</v>
      </c>
      <c r="AH573" s="330"/>
      <c r="AI573" s="330">
        <v>0</v>
      </c>
      <c r="AJ573" s="396">
        <f t="shared" si="86"/>
        <v>-1726098.5800000003</v>
      </c>
      <c r="AK573" s="563"/>
      <c r="AL573" s="285">
        <f t="shared" si="87"/>
        <v>0</v>
      </c>
      <c r="AM573" s="286"/>
      <c r="AO573" s="330" t="s">
        <v>4426</v>
      </c>
    </row>
    <row r="574" spans="1:41">
      <c r="A574" s="587">
        <f t="shared" si="88"/>
        <v>571</v>
      </c>
      <c r="B574" s="330" t="s">
        <v>1643</v>
      </c>
      <c r="C574" s="330" t="s">
        <v>4430</v>
      </c>
      <c r="D574" s="330" t="s">
        <v>1662</v>
      </c>
      <c r="E574" s="330" t="s">
        <v>1923</v>
      </c>
      <c r="F574" s="330" t="s">
        <v>1647</v>
      </c>
      <c r="G574" s="562">
        <v>1114</v>
      </c>
      <c r="H574" s="562">
        <v>683.3</v>
      </c>
      <c r="I574" s="562">
        <v>795.57</v>
      </c>
      <c r="J574" s="561" t="s">
        <v>1648</v>
      </c>
      <c r="K574" s="330" t="s">
        <v>4431</v>
      </c>
      <c r="L574" s="330" t="s">
        <v>4432</v>
      </c>
      <c r="M574" s="330" t="s">
        <v>4433</v>
      </c>
      <c r="N574" s="330" t="s">
        <v>4434</v>
      </c>
      <c r="O574" s="395">
        <v>45436</v>
      </c>
      <c r="P574" s="333">
        <v>6320782</v>
      </c>
      <c r="Q574" s="330" t="s">
        <v>1653</v>
      </c>
      <c r="R574" s="562">
        <v>0</v>
      </c>
      <c r="S574" s="333">
        <v>0</v>
      </c>
      <c r="T574" s="333">
        <v>-1770459.0800000003</v>
      </c>
      <c r="U574" s="333">
        <f t="shared" si="84"/>
        <v>-1770459.0800000003</v>
      </c>
      <c r="V574" s="333">
        <v>-181841</v>
      </c>
      <c r="W574" s="333">
        <v>0</v>
      </c>
      <c r="X574" s="333">
        <v>0</v>
      </c>
      <c r="Y574" s="333">
        <v>0</v>
      </c>
      <c r="Z574" s="333">
        <v>0</v>
      </c>
      <c r="AA574" s="333">
        <v>0</v>
      </c>
      <c r="AB574" s="333">
        <v>0</v>
      </c>
      <c r="AC574" s="333">
        <v>0</v>
      </c>
      <c r="AD574" s="333">
        <v>0</v>
      </c>
      <c r="AE574" s="333"/>
      <c r="AF574" s="333"/>
      <c r="AG574" s="333">
        <f t="shared" si="85"/>
        <v>-1952300.0800000003</v>
      </c>
      <c r="AH574" s="330"/>
      <c r="AI574" s="330">
        <v>0</v>
      </c>
      <c r="AJ574" s="396">
        <f t="shared" si="86"/>
        <v>-1952300.0800000003</v>
      </c>
      <c r="AK574" s="563"/>
      <c r="AL574" s="285">
        <f t="shared" si="87"/>
        <v>0</v>
      </c>
      <c r="AM574" s="286"/>
      <c r="AO574" s="330" t="s">
        <v>4431</v>
      </c>
    </row>
    <row r="575" spans="1:41">
      <c r="A575" s="587">
        <f t="shared" si="88"/>
        <v>572</v>
      </c>
      <c r="B575" s="330" t="s">
        <v>1643</v>
      </c>
      <c r="C575" s="330" t="s">
        <v>4435</v>
      </c>
      <c r="D575" s="330" t="s">
        <v>1746</v>
      </c>
      <c r="E575" s="330" t="s">
        <v>3391</v>
      </c>
      <c r="F575" s="330" t="s">
        <v>1671</v>
      </c>
      <c r="G575" s="562">
        <v>1375</v>
      </c>
      <c r="H575" s="562">
        <v>876.73</v>
      </c>
      <c r="I575" s="562">
        <v>982.22</v>
      </c>
      <c r="J575" s="561" t="s">
        <v>1648</v>
      </c>
      <c r="K575" s="330" t="s">
        <v>4436</v>
      </c>
      <c r="L575" s="330" t="s">
        <v>4437</v>
      </c>
      <c r="M575" s="330" t="s">
        <v>4438</v>
      </c>
      <c r="N575" s="330" t="s">
        <v>4439</v>
      </c>
      <c r="O575" s="395">
        <v>45548</v>
      </c>
      <c r="P575" s="333">
        <v>8098190</v>
      </c>
      <c r="Q575" s="330" t="s">
        <v>1653</v>
      </c>
      <c r="R575" s="562">
        <v>0</v>
      </c>
      <c r="S575" s="333">
        <v>0</v>
      </c>
      <c r="T575" s="333">
        <v>-2510438.0400000005</v>
      </c>
      <c r="U575" s="333">
        <f t="shared" si="84"/>
        <v>-2510438.0400000005</v>
      </c>
      <c r="V575" s="333">
        <v>0</v>
      </c>
      <c r="W575" s="333">
        <v>0</v>
      </c>
      <c r="X575" s="333">
        <v>0</v>
      </c>
      <c r="Y575" s="333">
        <v>0</v>
      </c>
      <c r="Z575" s="333">
        <v>0</v>
      </c>
      <c r="AA575" s="333">
        <v>0</v>
      </c>
      <c r="AB575" s="333">
        <v>0</v>
      </c>
      <c r="AC575" s="333">
        <v>0</v>
      </c>
      <c r="AD575" s="333">
        <v>0</v>
      </c>
      <c r="AE575" s="333"/>
      <c r="AF575" s="333"/>
      <c r="AG575" s="333">
        <f t="shared" si="85"/>
        <v>-2510438.0400000005</v>
      </c>
      <c r="AH575" s="330"/>
      <c r="AI575" s="330">
        <v>0</v>
      </c>
      <c r="AJ575" s="396">
        <f t="shared" si="86"/>
        <v>-2510438.0400000005</v>
      </c>
      <c r="AK575" s="563"/>
      <c r="AL575" s="285">
        <f t="shared" si="87"/>
        <v>0</v>
      </c>
      <c r="AM575" s="286"/>
      <c r="AO575" s="330" t="s">
        <v>4436</v>
      </c>
    </row>
    <row r="576" spans="1:41">
      <c r="A576" s="587">
        <f t="shared" si="88"/>
        <v>573</v>
      </c>
      <c r="B576" s="330" t="s">
        <v>1643</v>
      </c>
      <c r="C576" s="330" t="s">
        <v>4440</v>
      </c>
      <c r="D576" s="330" t="s">
        <v>1669</v>
      </c>
      <c r="E576" s="330" t="s">
        <v>2883</v>
      </c>
      <c r="F576" s="330" t="s">
        <v>1671</v>
      </c>
      <c r="G576" s="562">
        <v>1787</v>
      </c>
      <c r="H576" s="562">
        <v>1138.51</v>
      </c>
      <c r="I576" s="562">
        <v>1276.29</v>
      </c>
      <c r="J576" s="561" t="s">
        <v>1679</v>
      </c>
      <c r="K576" s="330" t="s">
        <v>4441</v>
      </c>
      <c r="L576" s="330" t="s">
        <v>4442</v>
      </c>
      <c r="M576" s="330" t="s">
        <v>4443</v>
      </c>
      <c r="N576" s="330" t="s">
        <v>4444</v>
      </c>
      <c r="O576" s="395">
        <v>45533</v>
      </c>
      <c r="P576" s="333">
        <v>13437429</v>
      </c>
      <c r="Q576" s="330" t="s">
        <v>1653</v>
      </c>
      <c r="R576" s="562">
        <v>0</v>
      </c>
      <c r="S576" s="333">
        <v>0</v>
      </c>
      <c r="T576" s="333">
        <v>-4031229.5599999991</v>
      </c>
      <c r="U576" s="333">
        <f t="shared" si="84"/>
        <v>-4031229.5599999991</v>
      </c>
      <c r="V576" s="333">
        <v>0</v>
      </c>
      <c r="W576" s="333">
        <v>0</v>
      </c>
      <c r="X576" s="333">
        <v>0</v>
      </c>
      <c r="Y576" s="333">
        <v>0</v>
      </c>
      <c r="Z576" s="333">
        <v>0</v>
      </c>
      <c r="AA576" s="333">
        <v>0</v>
      </c>
      <c r="AB576" s="333">
        <v>0</v>
      </c>
      <c r="AC576" s="333">
        <v>0</v>
      </c>
      <c r="AD576" s="333">
        <v>0</v>
      </c>
      <c r="AE576" s="333"/>
      <c r="AF576" s="333"/>
      <c r="AG576" s="333">
        <f t="shared" si="85"/>
        <v>-4031229.5599999991</v>
      </c>
      <c r="AH576" s="330"/>
      <c r="AI576" s="330">
        <v>0</v>
      </c>
      <c r="AJ576" s="396">
        <f t="shared" si="86"/>
        <v>-4031229.5599999991</v>
      </c>
      <c r="AK576" s="563"/>
      <c r="AL576" s="285">
        <f t="shared" si="87"/>
        <v>0</v>
      </c>
      <c r="AM576" s="286"/>
      <c r="AO576" s="330" t="s">
        <v>4441</v>
      </c>
    </row>
    <row r="577" spans="1:41">
      <c r="A577" s="587">
        <f t="shared" si="88"/>
        <v>574</v>
      </c>
      <c r="B577" s="330" t="s">
        <v>1643</v>
      </c>
      <c r="C577" s="330" t="s">
        <v>4445</v>
      </c>
      <c r="D577" s="330" t="s">
        <v>1677</v>
      </c>
      <c r="E577" s="330" t="s">
        <v>1897</v>
      </c>
      <c r="F577" s="330" t="s">
        <v>1647</v>
      </c>
      <c r="G577" s="562">
        <v>1114</v>
      </c>
      <c r="H577" s="562">
        <v>683.3</v>
      </c>
      <c r="I577" s="562">
        <v>795.57</v>
      </c>
      <c r="J577" s="561" t="s">
        <v>1648</v>
      </c>
      <c r="K577" s="330" t="s">
        <v>4446</v>
      </c>
      <c r="L577" s="330" t="s">
        <v>4447</v>
      </c>
      <c r="M577" s="330" t="s">
        <v>4448</v>
      </c>
      <c r="N577" s="330" t="s">
        <v>12</v>
      </c>
      <c r="O577" s="395"/>
      <c r="P577" s="333">
        <v>6866000</v>
      </c>
      <c r="Q577" s="330" t="s">
        <v>1653</v>
      </c>
      <c r="R577" s="562">
        <v>0</v>
      </c>
      <c r="S577" s="333">
        <v>0</v>
      </c>
      <c r="T577" s="333">
        <v>-1193189.52</v>
      </c>
      <c r="U577" s="333">
        <f t="shared" si="84"/>
        <v>-1193189.52</v>
      </c>
      <c r="V577" s="333">
        <v>0</v>
      </c>
      <c r="W577" s="333">
        <v>0</v>
      </c>
      <c r="X577" s="333">
        <v>0</v>
      </c>
      <c r="Y577" s="333">
        <v>0</v>
      </c>
      <c r="Z577" s="333">
        <v>0</v>
      </c>
      <c r="AA577" s="333">
        <v>0</v>
      </c>
      <c r="AB577" s="333">
        <v>0</v>
      </c>
      <c r="AC577" s="333">
        <v>-63148.979999999996</v>
      </c>
      <c r="AD577" s="333">
        <v>0</v>
      </c>
      <c r="AE577" s="333"/>
      <c r="AF577" s="333"/>
      <c r="AG577" s="333">
        <f t="shared" si="85"/>
        <v>-1256338.5</v>
      </c>
      <c r="AH577" s="330"/>
      <c r="AI577" s="330">
        <v>63148.979999999996</v>
      </c>
      <c r="AJ577" s="396">
        <f t="shared" si="86"/>
        <v>-1256338.5</v>
      </c>
      <c r="AK577" s="563"/>
      <c r="AL577" s="285">
        <f>+AC577+AI577</f>
        <v>0</v>
      </c>
      <c r="AM577" s="286"/>
      <c r="AO577" s="330" t="s">
        <v>4446</v>
      </c>
    </row>
    <row r="578" spans="1:41">
      <c r="A578" s="587">
        <f t="shared" si="88"/>
        <v>575</v>
      </c>
      <c r="B578" s="330" t="s">
        <v>1643</v>
      </c>
      <c r="C578" s="330" t="s">
        <v>3755</v>
      </c>
      <c r="D578" s="330" t="s">
        <v>1669</v>
      </c>
      <c r="E578" s="330" t="s">
        <v>2536</v>
      </c>
      <c r="F578" s="330" t="s">
        <v>1671</v>
      </c>
      <c r="G578" s="562">
        <v>1787</v>
      </c>
      <c r="H578" s="562">
        <v>1138.51</v>
      </c>
      <c r="I578" s="562">
        <v>1276.29</v>
      </c>
      <c r="J578" s="561" t="s">
        <v>1648</v>
      </c>
      <c r="K578" s="330" t="s">
        <v>4449</v>
      </c>
      <c r="L578" s="330" t="s">
        <v>4450</v>
      </c>
      <c r="M578" s="330" t="s">
        <v>4451</v>
      </c>
      <c r="N578" s="330" t="s">
        <v>3759</v>
      </c>
      <c r="O578" s="395">
        <v>45474</v>
      </c>
      <c r="P578" s="333">
        <v>10732095</v>
      </c>
      <c r="Q578" s="330" t="s">
        <v>1660</v>
      </c>
      <c r="R578" s="562">
        <v>0</v>
      </c>
      <c r="S578" s="333">
        <v>0</v>
      </c>
      <c r="T578" s="333">
        <v>-10932.949999999997</v>
      </c>
      <c r="U578" s="333">
        <f t="shared" si="84"/>
        <v>-10932.949999999997</v>
      </c>
      <c r="V578" s="333">
        <v>0</v>
      </c>
      <c r="W578" s="333">
        <v>0</v>
      </c>
      <c r="X578" s="333">
        <v>0</v>
      </c>
      <c r="Y578" s="333">
        <v>0</v>
      </c>
      <c r="Z578" s="333">
        <v>0</v>
      </c>
      <c r="AA578" s="333">
        <v>0</v>
      </c>
      <c r="AB578" s="333">
        <v>0</v>
      </c>
      <c r="AC578" s="333">
        <v>0</v>
      </c>
      <c r="AD578" s="333">
        <v>0</v>
      </c>
      <c r="AE578" s="333"/>
      <c r="AF578" s="333"/>
      <c r="AG578" s="333">
        <f t="shared" si="85"/>
        <v>-10932.949999999997</v>
      </c>
      <c r="AH578" s="330"/>
      <c r="AI578" s="330">
        <v>0</v>
      </c>
      <c r="AJ578" s="396">
        <f t="shared" si="86"/>
        <v>-10932.949999999997</v>
      </c>
      <c r="AK578" s="563"/>
      <c r="AL578" s="285">
        <f t="shared" si="87"/>
        <v>0</v>
      </c>
      <c r="AM578" s="286"/>
      <c r="AO578" s="330" t="s">
        <v>4449</v>
      </c>
    </row>
    <row r="579" spans="1:41">
      <c r="A579" s="587">
        <f t="shared" si="88"/>
        <v>576</v>
      </c>
      <c r="B579" s="330" t="s">
        <v>1643</v>
      </c>
      <c r="C579" s="330" t="s">
        <v>4452</v>
      </c>
      <c r="D579" s="330" t="s">
        <v>1746</v>
      </c>
      <c r="E579" s="330" t="s">
        <v>2530</v>
      </c>
      <c r="F579" s="330" t="s">
        <v>1671</v>
      </c>
      <c r="G579" s="562">
        <v>1375</v>
      </c>
      <c r="H579" s="562">
        <v>876.73</v>
      </c>
      <c r="I579" s="562">
        <v>982.22</v>
      </c>
      <c r="J579" s="561" t="s">
        <v>1810</v>
      </c>
      <c r="K579" s="330" t="s">
        <v>4453</v>
      </c>
      <c r="L579" s="330" t="s">
        <v>4454</v>
      </c>
      <c r="M579" s="330" t="s">
        <v>4455</v>
      </c>
      <c r="N579" s="330" t="s">
        <v>4456</v>
      </c>
      <c r="O579" s="395">
        <v>45869</v>
      </c>
      <c r="P579" s="333">
        <v>8723143</v>
      </c>
      <c r="Q579" s="330" t="s">
        <v>1653</v>
      </c>
      <c r="R579" s="562">
        <v>0</v>
      </c>
      <c r="S579" s="333">
        <v>0</v>
      </c>
      <c r="T579" s="333">
        <v>0</v>
      </c>
      <c r="U579" s="333">
        <f t="shared" si="84"/>
        <v>0</v>
      </c>
      <c r="V579" s="333">
        <v>-2773959.43</v>
      </c>
      <c r="W579" s="333">
        <v>0</v>
      </c>
      <c r="X579" s="333">
        <v>0</v>
      </c>
      <c r="Y579" s="333">
        <v>0</v>
      </c>
      <c r="Z579" s="333">
        <v>553400</v>
      </c>
      <c r="AA579" s="333">
        <v>-553400</v>
      </c>
      <c r="AB579" s="333">
        <v>0</v>
      </c>
      <c r="AC579" s="333">
        <v>130847.15999999992</v>
      </c>
      <c r="AD579" s="333">
        <v>0</v>
      </c>
      <c r="AE579" s="333"/>
      <c r="AF579" s="333"/>
      <c r="AG579" s="333">
        <f t="shared" si="85"/>
        <v>-2643112.2700000005</v>
      </c>
      <c r="AH579" s="330"/>
      <c r="AI579" s="330">
        <v>-130847.16</v>
      </c>
      <c r="AJ579" s="396">
        <f t="shared" si="86"/>
        <v>-2643112.2700000005</v>
      </c>
      <c r="AK579" s="563"/>
      <c r="AL579" s="285">
        <f t="shared" ref="AL579:AL581" si="92">+AC579+AI579</f>
        <v>0</v>
      </c>
      <c r="AM579" s="286"/>
      <c r="AO579" s="330" t="s">
        <v>4453</v>
      </c>
    </row>
    <row r="580" spans="1:41">
      <c r="A580" s="587">
        <f t="shared" si="88"/>
        <v>577</v>
      </c>
      <c r="B580" s="330" t="s">
        <v>1643</v>
      </c>
      <c r="C580" s="330" t="s">
        <v>4457</v>
      </c>
      <c r="D580" s="330" t="s">
        <v>1645</v>
      </c>
      <c r="E580" s="330" t="s">
        <v>2907</v>
      </c>
      <c r="F580" s="330" t="s">
        <v>1647</v>
      </c>
      <c r="G580" s="562">
        <v>1012</v>
      </c>
      <c r="H580" s="562">
        <v>653.59</v>
      </c>
      <c r="I580" s="562">
        <v>723.02</v>
      </c>
      <c r="J580" s="561" t="s">
        <v>1648</v>
      </c>
      <c r="K580" s="330" t="s">
        <v>4458</v>
      </c>
      <c r="L580" s="330" t="s">
        <v>4459</v>
      </c>
      <c r="M580" s="330" t="s">
        <v>4460</v>
      </c>
      <c r="N580" s="330" t="s">
        <v>4461</v>
      </c>
      <c r="O580" s="395">
        <v>45405</v>
      </c>
      <c r="P580" s="333">
        <v>5698827</v>
      </c>
      <c r="Q580" s="330" t="s">
        <v>1653</v>
      </c>
      <c r="R580" s="562">
        <v>0</v>
      </c>
      <c r="S580" s="333">
        <v>0</v>
      </c>
      <c r="T580" s="333">
        <v>-1702504.5800000003</v>
      </c>
      <c r="U580" s="333">
        <f t="shared" ref="U580:U643" si="93">SUM(R580:T580)</f>
        <v>-1702504.5800000003</v>
      </c>
      <c r="V580" s="333">
        <v>0</v>
      </c>
      <c r="W580" s="333">
        <v>0</v>
      </c>
      <c r="X580" s="333">
        <v>0</v>
      </c>
      <c r="Y580" s="333">
        <v>0</v>
      </c>
      <c r="Z580" s="333">
        <v>0</v>
      </c>
      <c r="AA580" s="333">
        <v>0</v>
      </c>
      <c r="AB580" s="333">
        <v>0</v>
      </c>
      <c r="AC580" s="333">
        <v>-7142</v>
      </c>
      <c r="AD580" s="333">
        <v>0</v>
      </c>
      <c r="AE580" s="333"/>
      <c r="AF580" s="333"/>
      <c r="AG580" s="333">
        <f t="shared" ref="AG580:AG643" si="94">SUM(U580:AF580)</f>
        <v>-1709646.5800000003</v>
      </c>
      <c r="AH580" s="330"/>
      <c r="AI580" s="330">
        <v>7142</v>
      </c>
      <c r="AJ580" s="396">
        <f t="shared" si="86"/>
        <v>-1709646.5800000003</v>
      </c>
      <c r="AK580" s="563"/>
      <c r="AL580" s="285">
        <f t="shared" si="92"/>
        <v>0</v>
      </c>
      <c r="AM580" s="286"/>
      <c r="AO580" s="330" t="s">
        <v>4458</v>
      </c>
    </row>
    <row r="581" spans="1:41">
      <c r="A581" s="587">
        <f t="shared" si="88"/>
        <v>578</v>
      </c>
      <c r="B581" s="330" t="s">
        <v>1643</v>
      </c>
      <c r="C581" s="330" t="s">
        <v>4462</v>
      </c>
      <c r="D581" s="330" t="s">
        <v>1662</v>
      </c>
      <c r="E581" s="330" t="s">
        <v>3927</v>
      </c>
      <c r="F581" s="330" t="s">
        <v>1647</v>
      </c>
      <c r="G581" s="562">
        <v>1114</v>
      </c>
      <c r="H581" s="562">
        <v>683.3</v>
      </c>
      <c r="I581" s="562">
        <v>795.57</v>
      </c>
      <c r="J581" s="561" t="s">
        <v>1810</v>
      </c>
      <c r="K581" s="330" t="s">
        <v>4463</v>
      </c>
      <c r="L581" s="330" t="s">
        <v>4464</v>
      </c>
      <c r="M581" s="330" t="s">
        <v>4465</v>
      </c>
      <c r="N581" s="330" t="s">
        <v>4466</v>
      </c>
      <c r="O581" s="395">
        <v>45456</v>
      </c>
      <c r="P581" s="333">
        <v>6337489</v>
      </c>
      <c r="Q581" s="330" t="s">
        <v>1653</v>
      </c>
      <c r="R581" s="562">
        <v>0</v>
      </c>
      <c r="S581" s="333">
        <v>0</v>
      </c>
      <c r="T581" s="333">
        <v>-47794.660000000498</v>
      </c>
      <c r="U581" s="333">
        <f t="shared" si="93"/>
        <v>-47794.660000000498</v>
      </c>
      <c r="V581" s="333">
        <v>-1846309</v>
      </c>
      <c r="W581" s="333">
        <v>0</v>
      </c>
      <c r="X581" s="333">
        <v>0</v>
      </c>
      <c r="Y581" s="333">
        <v>0</v>
      </c>
      <c r="Z581" s="333">
        <v>0</v>
      </c>
      <c r="AA581" s="333">
        <v>0</v>
      </c>
      <c r="AB581" s="333">
        <v>0</v>
      </c>
      <c r="AC581" s="333">
        <v>-7142</v>
      </c>
      <c r="AD581" s="333">
        <v>0</v>
      </c>
      <c r="AE581" s="333"/>
      <c r="AF581" s="333"/>
      <c r="AG581" s="333">
        <f t="shared" si="94"/>
        <v>-1901245.6600000006</v>
      </c>
      <c r="AH581" s="330"/>
      <c r="AI581" s="330">
        <v>7142</v>
      </c>
      <c r="AJ581" s="396">
        <f t="shared" ref="AJ581:AJ644" si="95">SUM(U581:AE581)</f>
        <v>-1901245.6600000006</v>
      </c>
      <c r="AK581" s="563"/>
      <c r="AL581" s="285">
        <f t="shared" si="92"/>
        <v>0</v>
      </c>
      <c r="AM581" s="286"/>
      <c r="AO581" s="330" t="s">
        <v>4463</v>
      </c>
    </row>
    <row r="582" spans="1:41">
      <c r="A582" s="587">
        <f t="shared" ref="A582:A645" si="96">A581+1</f>
        <v>579</v>
      </c>
      <c r="B582" s="330" t="s">
        <v>1643</v>
      </c>
      <c r="C582" s="330" t="s">
        <v>4467</v>
      </c>
      <c r="D582" s="330" t="s">
        <v>1645</v>
      </c>
      <c r="E582" s="330" t="s">
        <v>2353</v>
      </c>
      <c r="F582" s="330" t="s">
        <v>1671</v>
      </c>
      <c r="G582" s="562">
        <v>1375</v>
      </c>
      <c r="H582" s="562">
        <v>876.73</v>
      </c>
      <c r="I582" s="562">
        <v>982.22</v>
      </c>
      <c r="J582" s="561" t="s">
        <v>1648</v>
      </c>
      <c r="K582" s="330" t="s">
        <v>4468</v>
      </c>
      <c r="L582" s="330" t="s">
        <v>4469</v>
      </c>
      <c r="M582" s="330" t="s">
        <v>4470</v>
      </c>
      <c r="N582" s="330" t="s">
        <v>4471</v>
      </c>
      <c r="O582" s="395">
        <v>45569</v>
      </c>
      <c r="P582" s="333">
        <v>7772286</v>
      </c>
      <c r="Q582" s="330" t="s">
        <v>1660</v>
      </c>
      <c r="R582" s="562">
        <v>0</v>
      </c>
      <c r="S582" s="333">
        <v>0</v>
      </c>
      <c r="T582" s="333">
        <v>0</v>
      </c>
      <c r="U582" s="333">
        <f t="shared" si="93"/>
        <v>0</v>
      </c>
      <c r="V582" s="333">
        <v>0</v>
      </c>
      <c r="W582" s="333">
        <v>0</v>
      </c>
      <c r="X582" s="333">
        <v>0</v>
      </c>
      <c r="Y582" s="333">
        <v>0</v>
      </c>
      <c r="Z582" s="333">
        <v>0</v>
      </c>
      <c r="AA582" s="333">
        <v>0</v>
      </c>
      <c r="AB582" s="333">
        <v>0</v>
      </c>
      <c r="AC582" s="333">
        <v>0</v>
      </c>
      <c r="AD582" s="333">
        <v>0</v>
      </c>
      <c r="AE582" s="333"/>
      <c r="AF582" s="333"/>
      <c r="AG582" s="333">
        <f t="shared" si="94"/>
        <v>0</v>
      </c>
      <c r="AH582" s="330"/>
      <c r="AI582" s="330">
        <v>0</v>
      </c>
      <c r="AJ582" s="396">
        <f t="shared" si="95"/>
        <v>0</v>
      </c>
      <c r="AK582" s="563"/>
      <c r="AL582" s="285">
        <f t="shared" ref="AL582:AL643" si="97">+AC582-AI582</f>
        <v>0</v>
      </c>
      <c r="AM582" s="286"/>
      <c r="AO582" s="330" t="s">
        <v>4468</v>
      </c>
    </row>
    <row r="583" spans="1:41">
      <c r="A583" s="587">
        <f t="shared" si="96"/>
        <v>580</v>
      </c>
      <c r="B583" s="330" t="s">
        <v>1643</v>
      </c>
      <c r="C583" s="330" t="s">
        <v>4472</v>
      </c>
      <c r="D583" s="330" t="s">
        <v>1645</v>
      </c>
      <c r="E583" s="330" t="s">
        <v>1880</v>
      </c>
      <c r="F583" s="330" t="s">
        <v>1647</v>
      </c>
      <c r="G583" s="562">
        <v>1114</v>
      </c>
      <c r="H583" s="562">
        <v>683.3</v>
      </c>
      <c r="I583" s="562">
        <v>795.57</v>
      </c>
      <c r="J583" s="561" t="s">
        <v>1648</v>
      </c>
      <c r="K583" s="330" t="s">
        <v>4473</v>
      </c>
      <c r="L583" s="330" t="s">
        <v>4474</v>
      </c>
      <c r="M583" s="330" t="s">
        <v>4475</v>
      </c>
      <c r="N583" s="330" t="s">
        <v>4476</v>
      </c>
      <c r="O583" s="395">
        <v>45446</v>
      </c>
      <c r="P583" s="333">
        <v>6337489</v>
      </c>
      <c r="Q583" s="330" t="s">
        <v>1653</v>
      </c>
      <c r="R583" s="562">
        <v>0</v>
      </c>
      <c r="S583" s="333">
        <v>0</v>
      </c>
      <c r="T583" s="333">
        <v>-1862619.5500000007</v>
      </c>
      <c r="U583" s="333">
        <f t="shared" si="93"/>
        <v>-1862619.5500000007</v>
      </c>
      <c r="V583" s="333">
        <v>-51000</v>
      </c>
      <c r="W583" s="333">
        <v>0</v>
      </c>
      <c r="X583" s="333">
        <v>0</v>
      </c>
      <c r="Y583" s="333">
        <v>0</v>
      </c>
      <c r="Z583" s="333">
        <v>0</v>
      </c>
      <c r="AA583" s="333">
        <v>0</v>
      </c>
      <c r="AB583" s="333">
        <v>0</v>
      </c>
      <c r="AC583" s="333">
        <v>0</v>
      </c>
      <c r="AD583" s="333">
        <v>0</v>
      </c>
      <c r="AE583" s="333"/>
      <c r="AF583" s="333"/>
      <c r="AG583" s="333">
        <f t="shared" si="94"/>
        <v>-1913619.5500000007</v>
      </c>
      <c r="AH583" s="330"/>
      <c r="AI583" s="330">
        <v>0</v>
      </c>
      <c r="AJ583" s="396">
        <f t="shared" si="95"/>
        <v>-1913619.5500000007</v>
      </c>
      <c r="AK583" s="563"/>
      <c r="AL583" s="285">
        <f t="shared" si="97"/>
        <v>0</v>
      </c>
      <c r="AM583" s="286"/>
      <c r="AO583" s="330" t="s">
        <v>4473</v>
      </c>
    </row>
    <row r="584" spans="1:41">
      <c r="A584" s="587">
        <f t="shared" si="96"/>
        <v>581</v>
      </c>
      <c r="B584" s="330" t="s">
        <v>1643</v>
      </c>
      <c r="C584" s="330" t="s">
        <v>4477</v>
      </c>
      <c r="D584" s="330" t="s">
        <v>1662</v>
      </c>
      <c r="E584" s="330" t="s">
        <v>1809</v>
      </c>
      <c r="F584" s="330" t="s">
        <v>1671</v>
      </c>
      <c r="G584" s="562">
        <v>1498</v>
      </c>
      <c r="H584" s="562">
        <v>954.87</v>
      </c>
      <c r="I584" s="562">
        <v>1069.73</v>
      </c>
      <c r="J584" s="561" t="s">
        <v>1648</v>
      </c>
      <c r="K584" s="330" t="s">
        <v>4478</v>
      </c>
      <c r="L584" s="330" t="s">
        <v>4479</v>
      </c>
      <c r="M584" s="330" t="s">
        <v>4480</v>
      </c>
      <c r="N584" s="330" t="s">
        <v>4481</v>
      </c>
      <c r="O584" s="395">
        <v>45434</v>
      </c>
      <c r="P584" s="333">
        <v>8626273</v>
      </c>
      <c r="Q584" s="330" t="s">
        <v>1653</v>
      </c>
      <c r="R584" s="562">
        <v>0</v>
      </c>
      <c r="S584" s="333">
        <v>0</v>
      </c>
      <c r="T584" s="333">
        <v>-2652575.9000000004</v>
      </c>
      <c r="U584" s="333">
        <f t="shared" si="93"/>
        <v>-2652575.9000000004</v>
      </c>
      <c r="V584" s="333">
        <v>0</v>
      </c>
      <c r="W584" s="333">
        <v>0</v>
      </c>
      <c r="X584" s="333">
        <v>0</v>
      </c>
      <c r="Y584" s="333">
        <v>0</v>
      </c>
      <c r="Z584" s="333">
        <v>0</v>
      </c>
      <c r="AA584" s="333">
        <v>0</v>
      </c>
      <c r="AB584" s="333">
        <v>0</v>
      </c>
      <c r="AC584" s="333">
        <v>-21565.659999999974</v>
      </c>
      <c r="AD584" s="333">
        <v>0</v>
      </c>
      <c r="AE584" s="333"/>
      <c r="AF584" s="333"/>
      <c r="AG584" s="333">
        <f t="shared" si="94"/>
        <v>-2674141.5600000005</v>
      </c>
      <c r="AH584" s="330"/>
      <c r="AI584" s="330">
        <v>21565.66</v>
      </c>
      <c r="AJ584" s="396">
        <f t="shared" si="95"/>
        <v>-2674141.5600000005</v>
      </c>
      <c r="AK584" s="563"/>
      <c r="AL584" s="285">
        <f t="shared" ref="AL584:AL588" si="98">+AC584+AI584</f>
        <v>0</v>
      </c>
      <c r="AM584" s="286"/>
      <c r="AO584" s="330" t="s">
        <v>4478</v>
      </c>
    </row>
    <row r="585" spans="1:41">
      <c r="A585" s="587">
        <f t="shared" si="96"/>
        <v>582</v>
      </c>
      <c r="B585" s="330" t="s">
        <v>1643</v>
      </c>
      <c r="C585" s="330" t="s">
        <v>4482</v>
      </c>
      <c r="D585" s="330" t="s">
        <v>1655</v>
      </c>
      <c r="E585" s="330" t="s">
        <v>1711</v>
      </c>
      <c r="F585" s="330" t="s">
        <v>1647</v>
      </c>
      <c r="G585" s="562">
        <v>1012</v>
      </c>
      <c r="H585" s="562">
        <v>653.59</v>
      </c>
      <c r="I585" s="562">
        <v>723.02</v>
      </c>
      <c r="J585" s="561" t="s">
        <v>1810</v>
      </c>
      <c r="K585" s="330" t="s">
        <v>4483</v>
      </c>
      <c r="L585" s="330" t="s">
        <v>4484</v>
      </c>
      <c r="M585" s="330" t="s">
        <v>4485</v>
      </c>
      <c r="N585" s="330" t="s">
        <v>12</v>
      </c>
      <c r="O585" s="395"/>
      <c r="P585" s="333">
        <v>5982095</v>
      </c>
      <c r="Q585" s="330" t="s">
        <v>1653</v>
      </c>
      <c r="R585" s="562">
        <v>0</v>
      </c>
      <c r="S585" s="333">
        <v>0</v>
      </c>
      <c r="T585" s="333">
        <v>-571202.99999999988</v>
      </c>
      <c r="U585" s="333">
        <f t="shared" si="93"/>
        <v>-571202.99999999988</v>
      </c>
      <c r="V585" s="333">
        <v>0</v>
      </c>
      <c r="W585" s="333">
        <v>0</v>
      </c>
      <c r="X585" s="333">
        <v>0</v>
      </c>
      <c r="Y585" s="333">
        <v>0</v>
      </c>
      <c r="Z585" s="333">
        <v>0</v>
      </c>
      <c r="AA585" s="333">
        <v>0</v>
      </c>
      <c r="AB585" s="333">
        <v>0</v>
      </c>
      <c r="AC585" s="333">
        <v>-6233</v>
      </c>
      <c r="AD585" s="333">
        <v>0</v>
      </c>
      <c r="AE585" s="333"/>
      <c r="AF585" s="333"/>
      <c r="AG585" s="333">
        <f t="shared" si="94"/>
        <v>-577435.99999999988</v>
      </c>
      <c r="AH585" s="330"/>
      <c r="AI585" s="330">
        <v>6233</v>
      </c>
      <c r="AJ585" s="396">
        <f t="shared" si="95"/>
        <v>-577435.99999999988</v>
      </c>
      <c r="AK585" s="563"/>
      <c r="AL585" s="285">
        <f t="shared" si="98"/>
        <v>0</v>
      </c>
      <c r="AM585" s="286"/>
      <c r="AO585" s="330" t="s">
        <v>4483</v>
      </c>
    </row>
    <row r="586" spans="1:41">
      <c r="A586" s="587">
        <f t="shared" si="96"/>
        <v>583</v>
      </c>
      <c r="B586" s="330" t="s">
        <v>1643</v>
      </c>
      <c r="C586" s="330" t="s">
        <v>4486</v>
      </c>
      <c r="D586" s="330" t="s">
        <v>1662</v>
      </c>
      <c r="E586" s="330" t="s">
        <v>2280</v>
      </c>
      <c r="F586" s="330" t="s">
        <v>1647</v>
      </c>
      <c r="G586" s="562">
        <v>1114</v>
      </c>
      <c r="H586" s="562">
        <v>683.3</v>
      </c>
      <c r="I586" s="562">
        <v>795.57</v>
      </c>
      <c r="J586" s="561" t="s">
        <v>1648</v>
      </c>
      <c r="K586" s="330" t="s">
        <v>4487</v>
      </c>
      <c r="L586" s="330" t="s">
        <v>4488</v>
      </c>
      <c r="M586" s="330" t="s">
        <v>4489</v>
      </c>
      <c r="N586" s="330" t="s">
        <v>4490</v>
      </c>
      <c r="O586" s="395">
        <v>45455</v>
      </c>
      <c r="P586" s="333">
        <v>6304075</v>
      </c>
      <c r="Q586" s="330" t="s">
        <v>1653</v>
      </c>
      <c r="R586" s="562">
        <v>0</v>
      </c>
      <c r="S586" s="333">
        <v>0</v>
      </c>
      <c r="T586" s="333">
        <v>-1884078.8600000003</v>
      </c>
      <c r="U586" s="333">
        <f t="shared" si="93"/>
        <v>-1884078.8600000003</v>
      </c>
      <c r="V586" s="333">
        <v>0</v>
      </c>
      <c r="W586" s="333">
        <v>0</v>
      </c>
      <c r="X586" s="333">
        <v>0</v>
      </c>
      <c r="Y586" s="333">
        <v>0</v>
      </c>
      <c r="Z586" s="333">
        <v>0</v>
      </c>
      <c r="AA586" s="333">
        <v>0</v>
      </c>
      <c r="AB586" s="333">
        <v>0</v>
      </c>
      <c r="AC586" s="333">
        <v>-7142</v>
      </c>
      <c r="AD586" s="333">
        <v>0</v>
      </c>
      <c r="AE586" s="333"/>
      <c r="AF586" s="333"/>
      <c r="AG586" s="333">
        <f t="shared" si="94"/>
        <v>-1891220.8600000003</v>
      </c>
      <c r="AH586" s="330"/>
      <c r="AI586" s="330">
        <v>7142</v>
      </c>
      <c r="AJ586" s="396">
        <f t="shared" si="95"/>
        <v>-1891220.8600000003</v>
      </c>
      <c r="AK586" s="563"/>
      <c r="AL586" s="285">
        <f t="shared" si="98"/>
        <v>0</v>
      </c>
      <c r="AM586" s="286"/>
      <c r="AO586" s="330" t="s">
        <v>4487</v>
      </c>
    </row>
    <row r="587" spans="1:41">
      <c r="A587" s="587">
        <f t="shared" si="96"/>
        <v>584</v>
      </c>
      <c r="B587" s="330" t="s">
        <v>1643</v>
      </c>
      <c r="C587" s="330" t="s">
        <v>4491</v>
      </c>
      <c r="D587" s="330" t="s">
        <v>1662</v>
      </c>
      <c r="E587" s="330" t="s">
        <v>2842</v>
      </c>
      <c r="F587" s="330" t="s">
        <v>1671</v>
      </c>
      <c r="G587" s="562">
        <v>1375</v>
      </c>
      <c r="H587" s="562">
        <v>876.73</v>
      </c>
      <c r="I587" s="562">
        <v>982.22</v>
      </c>
      <c r="J587" s="561" t="s">
        <v>1648</v>
      </c>
      <c r="K587" s="330" t="s">
        <v>4492</v>
      </c>
      <c r="L587" s="330" t="s">
        <v>4493</v>
      </c>
      <c r="M587" s="330" t="s">
        <v>4494</v>
      </c>
      <c r="N587" s="330" t="s">
        <v>4495</v>
      </c>
      <c r="O587" s="395">
        <v>45443</v>
      </c>
      <c r="P587" s="333">
        <v>7785714</v>
      </c>
      <c r="Q587" s="330" t="s">
        <v>1653</v>
      </c>
      <c r="R587" s="562">
        <v>0</v>
      </c>
      <c r="S587" s="333">
        <v>0</v>
      </c>
      <c r="T587" s="333">
        <v>-2351430.4200000004</v>
      </c>
      <c r="U587" s="333">
        <f t="shared" si="93"/>
        <v>-2351430.4200000004</v>
      </c>
      <c r="V587" s="333">
        <v>0</v>
      </c>
      <c r="W587" s="333">
        <v>0</v>
      </c>
      <c r="X587" s="333">
        <v>0</v>
      </c>
      <c r="Y587" s="333">
        <v>0</v>
      </c>
      <c r="Z587" s="333">
        <v>0</v>
      </c>
      <c r="AA587" s="333">
        <v>0</v>
      </c>
      <c r="AB587" s="333">
        <v>0</v>
      </c>
      <c r="AC587" s="333">
        <v>-7142.859999999986</v>
      </c>
      <c r="AD587" s="333">
        <v>0</v>
      </c>
      <c r="AE587" s="333"/>
      <c r="AF587" s="333"/>
      <c r="AG587" s="333">
        <f t="shared" si="94"/>
        <v>-2358573.2800000003</v>
      </c>
      <c r="AH587" s="330"/>
      <c r="AI587" s="330">
        <v>7142.86</v>
      </c>
      <c r="AJ587" s="396">
        <f t="shared" si="95"/>
        <v>-2358573.2800000003</v>
      </c>
      <c r="AK587" s="563"/>
      <c r="AL587" s="285">
        <f t="shared" si="98"/>
        <v>1.3642420526593924E-11</v>
      </c>
      <c r="AM587" s="286"/>
      <c r="AO587" s="330" t="s">
        <v>4492</v>
      </c>
    </row>
    <row r="588" spans="1:41">
      <c r="A588" s="587">
        <f t="shared" si="96"/>
        <v>585</v>
      </c>
      <c r="B588" s="330" t="s">
        <v>1643</v>
      </c>
      <c r="C588" s="330" t="s">
        <v>4496</v>
      </c>
      <c r="D588" s="330" t="s">
        <v>1746</v>
      </c>
      <c r="E588" s="330" t="s">
        <v>2436</v>
      </c>
      <c r="F588" s="330" t="s">
        <v>1671</v>
      </c>
      <c r="G588" s="562">
        <v>1498</v>
      </c>
      <c r="H588" s="562">
        <v>954.87</v>
      </c>
      <c r="I588" s="562">
        <v>1069.73</v>
      </c>
      <c r="J588" s="561" t="s">
        <v>1648</v>
      </c>
      <c r="K588" s="330" t="s">
        <v>4497</v>
      </c>
      <c r="L588" s="330" t="s">
        <v>4498</v>
      </c>
      <c r="M588" s="330" t="s">
        <v>4499</v>
      </c>
      <c r="N588" s="330" t="s">
        <v>4500</v>
      </c>
      <c r="O588" s="395">
        <v>45433</v>
      </c>
      <c r="P588" s="333">
        <v>8589238</v>
      </c>
      <c r="Q588" s="330" t="s">
        <v>1653</v>
      </c>
      <c r="R588" s="562">
        <v>0</v>
      </c>
      <c r="S588" s="333">
        <v>0</v>
      </c>
      <c r="T588" s="333">
        <v>-2655521.7999999998</v>
      </c>
      <c r="U588" s="333">
        <f t="shared" si="93"/>
        <v>-2655521.7999999998</v>
      </c>
      <c r="V588" s="333">
        <v>0</v>
      </c>
      <c r="W588" s="333">
        <v>0</v>
      </c>
      <c r="X588" s="333">
        <v>0</v>
      </c>
      <c r="Y588" s="333">
        <v>0</v>
      </c>
      <c r="Z588" s="333">
        <v>0</v>
      </c>
      <c r="AA588" s="333">
        <v>0</v>
      </c>
      <c r="AB588" s="333">
        <v>0</v>
      </c>
      <c r="AC588" s="333">
        <v>-7143</v>
      </c>
      <c r="AD588" s="333">
        <v>0</v>
      </c>
      <c r="AE588" s="333"/>
      <c r="AF588" s="333"/>
      <c r="AG588" s="333">
        <f t="shared" si="94"/>
        <v>-2662664.7999999998</v>
      </c>
      <c r="AH588" s="330"/>
      <c r="AI588" s="330">
        <v>7143</v>
      </c>
      <c r="AJ588" s="396">
        <f t="shared" si="95"/>
        <v>-2662664.7999999998</v>
      </c>
      <c r="AK588" s="563"/>
      <c r="AL588" s="285">
        <f t="shared" si="98"/>
        <v>0</v>
      </c>
      <c r="AM588" s="286"/>
      <c r="AO588" s="330" t="s">
        <v>4497</v>
      </c>
    </row>
    <row r="589" spans="1:41">
      <c r="A589" s="587">
        <f t="shared" si="96"/>
        <v>586</v>
      </c>
      <c r="B589" s="330" t="s">
        <v>1643</v>
      </c>
      <c r="C589" s="330" t="s">
        <v>4501</v>
      </c>
      <c r="D589" s="330" t="s">
        <v>1746</v>
      </c>
      <c r="E589" s="330" t="s">
        <v>3962</v>
      </c>
      <c r="F589" s="330" t="s">
        <v>1671</v>
      </c>
      <c r="G589" s="562">
        <v>1375</v>
      </c>
      <c r="H589" s="562">
        <v>876.73</v>
      </c>
      <c r="I589" s="562">
        <v>982.22</v>
      </c>
      <c r="J589" s="561" t="s">
        <v>1648</v>
      </c>
      <c r="K589" s="330" t="s">
        <v>4502</v>
      </c>
      <c r="L589" s="330" t="s">
        <v>4503</v>
      </c>
      <c r="M589" s="330" t="s">
        <v>4504</v>
      </c>
      <c r="N589" s="330" t="s">
        <v>4505</v>
      </c>
      <c r="O589" s="395">
        <v>45462</v>
      </c>
      <c r="P589" s="333">
        <v>7723142</v>
      </c>
      <c r="Q589" s="330" t="s">
        <v>1653</v>
      </c>
      <c r="R589" s="562">
        <v>0</v>
      </c>
      <c r="S589" s="333">
        <v>0</v>
      </c>
      <c r="T589" s="333">
        <v>-2316942.8599999994</v>
      </c>
      <c r="U589" s="333">
        <f t="shared" si="93"/>
        <v>-2316942.8599999994</v>
      </c>
      <c r="V589" s="333">
        <v>0</v>
      </c>
      <c r="W589" s="333">
        <v>0</v>
      </c>
      <c r="X589" s="333">
        <v>0</v>
      </c>
      <c r="Y589" s="333">
        <v>0</v>
      </c>
      <c r="Z589" s="333">
        <v>0</v>
      </c>
      <c r="AA589" s="333">
        <v>0</v>
      </c>
      <c r="AB589" s="333">
        <v>0</v>
      </c>
      <c r="AC589" s="333">
        <v>0</v>
      </c>
      <c r="AD589" s="333">
        <v>0</v>
      </c>
      <c r="AE589" s="333"/>
      <c r="AF589" s="333"/>
      <c r="AG589" s="333">
        <f t="shared" si="94"/>
        <v>-2316942.8599999994</v>
      </c>
      <c r="AH589" s="330"/>
      <c r="AI589" s="330">
        <v>0</v>
      </c>
      <c r="AJ589" s="396">
        <f t="shared" si="95"/>
        <v>-2316942.8599999994</v>
      </c>
      <c r="AK589" s="563"/>
      <c r="AL589" s="285">
        <f t="shared" si="97"/>
        <v>0</v>
      </c>
      <c r="AM589" s="286"/>
      <c r="AO589" s="330" t="s">
        <v>4502</v>
      </c>
    </row>
    <row r="590" spans="1:41">
      <c r="A590" s="587">
        <f t="shared" si="96"/>
        <v>587</v>
      </c>
      <c r="B590" s="330" t="s">
        <v>1643</v>
      </c>
      <c r="C590" s="330" t="s">
        <v>4506</v>
      </c>
      <c r="D590" s="330" t="s">
        <v>1655</v>
      </c>
      <c r="E590" s="330" t="s">
        <v>2166</v>
      </c>
      <c r="F590" s="330" t="s">
        <v>1647</v>
      </c>
      <c r="G590" s="562">
        <v>1012</v>
      </c>
      <c r="H590" s="562">
        <v>653.59</v>
      </c>
      <c r="I590" s="562">
        <v>723.02</v>
      </c>
      <c r="J590" s="561" t="s">
        <v>1810</v>
      </c>
      <c r="K590" s="330" t="s">
        <v>4507</v>
      </c>
      <c r="L590" s="330" t="s">
        <v>4508</v>
      </c>
      <c r="M590" s="330" t="s">
        <v>4509</v>
      </c>
      <c r="N590" s="330" t="s">
        <v>12</v>
      </c>
      <c r="O590" s="395"/>
      <c r="P590" s="333">
        <v>6089238</v>
      </c>
      <c r="Q590" s="330" t="s">
        <v>1660</v>
      </c>
      <c r="R590" s="562">
        <v>0</v>
      </c>
      <c r="S590" s="333">
        <v>0</v>
      </c>
      <c r="T590" s="333">
        <v>-1012576</v>
      </c>
      <c r="U590" s="333">
        <f t="shared" si="93"/>
        <v>-1012576</v>
      </c>
      <c r="V590" s="333">
        <v>1034770</v>
      </c>
      <c r="W590" s="333">
        <v>0</v>
      </c>
      <c r="X590" s="333">
        <v>0</v>
      </c>
      <c r="Y590" s="333">
        <v>0</v>
      </c>
      <c r="Z590" s="333">
        <v>0</v>
      </c>
      <c r="AA590" s="333">
        <v>0</v>
      </c>
      <c r="AB590" s="333">
        <v>0</v>
      </c>
      <c r="AC590" s="333">
        <v>-44387.65</v>
      </c>
      <c r="AD590" s="333">
        <v>0</v>
      </c>
      <c r="AE590" s="333"/>
      <c r="AF590" s="333"/>
      <c r="AG590" s="333">
        <f t="shared" si="94"/>
        <v>-22193.65</v>
      </c>
      <c r="AH590" s="330"/>
      <c r="AI590" s="330">
        <v>44388</v>
      </c>
      <c r="AJ590" s="396">
        <f t="shared" si="95"/>
        <v>-22193.65</v>
      </c>
      <c r="AK590" s="563"/>
      <c r="AL590" s="285">
        <f>+AC590+AI590</f>
        <v>0.34999999999854481</v>
      </c>
      <c r="AM590" s="286"/>
      <c r="AO590" s="330" t="s">
        <v>4507</v>
      </c>
    </row>
    <row r="591" spans="1:41">
      <c r="A591" s="587">
        <f t="shared" si="96"/>
        <v>588</v>
      </c>
      <c r="B591" s="330" t="s">
        <v>1643</v>
      </c>
      <c r="C591" s="330" t="s">
        <v>4510</v>
      </c>
      <c r="D591" s="330" t="s">
        <v>1645</v>
      </c>
      <c r="E591" s="330" t="s">
        <v>2685</v>
      </c>
      <c r="F591" s="330" t="s">
        <v>1647</v>
      </c>
      <c r="G591" s="562">
        <v>1114</v>
      </c>
      <c r="H591" s="562">
        <v>683.3</v>
      </c>
      <c r="I591" s="562">
        <v>795.57</v>
      </c>
      <c r="J591" s="561" t="s">
        <v>1810</v>
      </c>
      <c r="K591" s="330" t="s">
        <v>4511</v>
      </c>
      <c r="L591" s="330" t="s">
        <v>4512</v>
      </c>
      <c r="M591" s="330" t="s">
        <v>4513</v>
      </c>
      <c r="N591" s="330" t="s">
        <v>4514</v>
      </c>
      <c r="O591" s="395">
        <v>45449</v>
      </c>
      <c r="P591" s="333">
        <v>6250000</v>
      </c>
      <c r="Q591" s="330" t="s">
        <v>1653</v>
      </c>
      <c r="R591" s="562">
        <v>0</v>
      </c>
      <c r="S591" s="333">
        <v>0</v>
      </c>
      <c r="T591" s="333">
        <v>-1875000</v>
      </c>
      <c r="U591" s="333">
        <f t="shared" si="93"/>
        <v>-1875000</v>
      </c>
      <c r="V591" s="333">
        <v>0</v>
      </c>
      <c r="W591" s="333">
        <v>0</v>
      </c>
      <c r="X591" s="333">
        <v>0</v>
      </c>
      <c r="Y591" s="333">
        <v>0</v>
      </c>
      <c r="Z591" s="333">
        <v>0</v>
      </c>
      <c r="AA591" s="333">
        <v>0</v>
      </c>
      <c r="AB591" s="333">
        <v>0</v>
      </c>
      <c r="AC591" s="333">
        <v>0</v>
      </c>
      <c r="AD591" s="333">
        <v>0</v>
      </c>
      <c r="AE591" s="333"/>
      <c r="AF591" s="333"/>
      <c r="AG591" s="333">
        <f t="shared" si="94"/>
        <v>-1875000</v>
      </c>
      <c r="AH591" s="330"/>
      <c r="AI591" s="330">
        <v>0</v>
      </c>
      <c r="AJ591" s="396">
        <f t="shared" si="95"/>
        <v>-1875000</v>
      </c>
      <c r="AK591" s="563"/>
      <c r="AL591" s="285">
        <f t="shared" si="97"/>
        <v>0</v>
      </c>
      <c r="AM591" s="286"/>
      <c r="AO591" s="330" t="s">
        <v>4511</v>
      </c>
    </row>
    <row r="592" spans="1:41">
      <c r="A592" s="587">
        <f t="shared" si="96"/>
        <v>589</v>
      </c>
      <c r="B592" s="330" t="s">
        <v>1643</v>
      </c>
      <c r="C592" s="330" t="s">
        <v>4515</v>
      </c>
      <c r="D592" s="330" t="s">
        <v>2153</v>
      </c>
      <c r="E592" s="330" t="s">
        <v>2733</v>
      </c>
      <c r="F592" s="330" t="s">
        <v>1647</v>
      </c>
      <c r="G592" s="562">
        <v>1114</v>
      </c>
      <c r="H592" s="562">
        <v>683.3</v>
      </c>
      <c r="I592" s="562">
        <v>795.57</v>
      </c>
      <c r="J592" s="561" t="s">
        <v>1648</v>
      </c>
      <c r="K592" s="330" t="s">
        <v>4516</v>
      </c>
      <c r="L592" s="330" t="s">
        <v>4517</v>
      </c>
      <c r="M592" s="330" t="s">
        <v>4518</v>
      </c>
      <c r="N592" s="330" t="s">
        <v>4519</v>
      </c>
      <c r="O592" s="395">
        <v>45448</v>
      </c>
      <c r="P592" s="333">
        <v>6446381</v>
      </c>
      <c r="Q592" s="330" t="s">
        <v>1653</v>
      </c>
      <c r="R592" s="562">
        <v>0</v>
      </c>
      <c r="S592" s="333">
        <v>0</v>
      </c>
      <c r="T592" s="333">
        <v>-1998376.0900000005</v>
      </c>
      <c r="U592" s="333">
        <f t="shared" si="93"/>
        <v>-1998376.0900000005</v>
      </c>
      <c r="V592" s="333">
        <v>0</v>
      </c>
      <c r="W592" s="333">
        <v>0</v>
      </c>
      <c r="X592" s="333">
        <v>0</v>
      </c>
      <c r="Y592" s="333">
        <v>0</v>
      </c>
      <c r="Z592" s="333">
        <v>0</v>
      </c>
      <c r="AA592" s="333">
        <v>0</v>
      </c>
      <c r="AB592" s="333">
        <v>0</v>
      </c>
      <c r="AC592" s="333">
        <v>0</v>
      </c>
      <c r="AD592" s="333">
        <v>0</v>
      </c>
      <c r="AE592" s="333"/>
      <c r="AF592" s="333"/>
      <c r="AG592" s="333">
        <f t="shared" si="94"/>
        <v>-1998376.0900000005</v>
      </c>
      <c r="AH592" s="330"/>
      <c r="AI592" s="330">
        <v>0</v>
      </c>
      <c r="AJ592" s="396">
        <f t="shared" si="95"/>
        <v>-1998376.0900000005</v>
      </c>
      <c r="AK592" s="563"/>
      <c r="AL592" s="285">
        <f t="shared" si="97"/>
        <v>0</v>
      </c>
      <c r="AM592" s="286"/>
      <c r="AO592" s="330" t="s">
        <v>4516</v>
      </c>
    </row>
    <row r="593" spans="1:41">
      <c r="A593" s="587">
        <f t="shared" si="96"/>
        <v>590</v>
      </c>
      <c r="B593" s="330" t="s">
        <v>1643</v>
      </c>
      <c r="C593" s="330" t="s">
        <v>4520</v>
      </c>
      <c r="D593" s="330" t="s">
        <v>1677</v>
      </c>
      <c r="E593" s="330" t="s">
        <v>2073</v>
      </c>
      <c r="F593" s="330" t="s">
        <v>1647</v>
      </c>
      <c r="G593" s="562">
        <v>1114</v>
      </c>
      <c r="H593" s="562">
        <v>683.3</v>
      </c>
      <c r="I593" s="562">
        <v>795.57</v>
      </c>
      <c r="J593" s="561" t="s">
        <v>1648</v>
      </c>
      <c r="K593" s="330" t="s">
        <v>4521</v>
      </c>
      <c r="L593" s="330" t="s">
        <v>4522</v>
      </c>
      <c r="M593" s="330" t="s">
        <v>4523</v>
      </c>
      <c r="N593" s="330" t="s">
        <v>12</v>
      </c>
      <c r="O593" s="395"/>
      <c r="P593" s="333">
        <v>6968667</v>
      </c>
      <c r="Q593" s="330" t="s">
        <v>1660</v>
      </c>
      <c r="R593" s="562">
        <v>0</v>
      </c>
      <c r="S593" s="333">
        <v>0</v>
      </c>
      <c r="T593" s="333">
        <v>-50000</v>
      </c>
      <c r="U593" s="333">
        <f t="shared" si="93"/>
        <v>-50000</v>
      </c>
      <c r="V593" s="333">
        <v>50000</v>
      </c>
      <c r="W593" s="333">
        <v>0</v>
      </c>
      <c r="X593" s="333">
        <v>0</v>
      </c>
      <c r="Y593" s="333">
        <v>0</v>
      </c>
      <c r="Z593" s="333">
        <v>0</v>
      </c>
      <c r="AA593" s="333">
        <v>0</v>
      </c>
      <c r="AB593" s="333">
        <v>0</v>
      </c>
      <c r="AC593" s="333">
        <v>0</v>
      </c>
      <c r="AD593" s="333">
        <v>0</v>
      </c>
      <c r="AE593" s="333"/>
      <c r="AF593" s="333"/>
      <c r="AG593" s="333">
        <f t="shared" si="94"/>
        <v>0</v>
      </c>
      <c r="AH593" s="330"/>
      <c r="AI593" s="330">
        <v>0</v>
      </c>
      <c r="AJ593" s="396">
        <f t="shared" si="95"/>
        <v>0</v>
      </c>
      <c r="AK593" s="563"/>
      <c r="AL593" s="285">
        <f t="shared" si="97"/>
        <v>0</v>
      </c>
      <c r="AM593" s="286"/>
      <c r="AO593" s="330" t="s">
        <v>4521</v>
      </c>
    </row>
    <row r="594" spans="1:41">
      <c r="A594" s="587">
        <f t="shared" si="96"/>
        <v>591</v>
      </c>
      <c r="B594" s="330" t="s">
        <v>1643</v>
      </c>
      <c r="C594" s="330" t="s">
        <v>4524</v>
      </c>
      <c r="D594" s="330" t="s">
        <v>1746</v>
      </c>
      <c r="E594" s="330" t="s">
        <v>2322</v>
      </c>
      <c r="F594" s="330" t="s">
        <v>1647</v>
      </c>
      <c r="G594" s="562">
        <v>1012</v>
      </c>
      <c r="H594" s="562">
        <v>653.59</v>
      </c>
      <c r="I594" s="562">
        <v>723.02</v>
      </c>
      <c r="J594" s="561" t="s">
        <v>1648</v>
      </c>
      <c r="K594" s="330" t="s">
        <v>4525</v>
      </c>
      <c r="L594" s="330" t="s">
        <v>4526</v>
      </c>
      <c r="M594" s="330" t="s">
        <v>4527</v>
      </c>
      <c r="N594" s="330" t="s">
        <v>4528</v>
      </c>
      <c r="O594" s="395">
        <v>45433</v>
      </c>
      <c r="P594" s="333">
        <v>5687428</v>
      </c>
      <c r="Q594" s="330" t="s">
        <v>1653</v>
      </c>
      <c r="R594" s="562">
        <v>0</v>
      </c>
      <c r="S594" s="333">
        <v>0</v>
      </c>
      <c r="T594" s="333">
        <v>-1715702.5799999998</v>
      </c>
      <c r="U594" s="333">
        <f t="shared" si="93"/>
        <v>-1715702.5799999998</v>
      </c>
      <c r="V594" s="333">
        <v>0</v>
      </c>
      <c r="W594" s="333">
        <v>0</v>
      </c>
      <c r="X594" s="333">
        <v>0</v>
      </c>
      <c r="Y594" s="333">
        <v>0</v>
      </c>
      <c r="Z594" s="333">
        <v>0</v>
      </c>
      <c r="AA594" s="333">
        <v>0</v>
      </c>
      <c r="AB594" s="333">
        <v>0</v>
      </c>
      <c r="AC594" s="333">
        <v>-47399</v>
      </c>
      <c r="AD594" s="333">
        <v>0</v>
      </c>
      <c r="AE594" s="333"/>
      <c r="AF594" s="333"/>
      <c r="AG594" s="333">
        <f t="shared" si="94"/>
        <v>-1763101.5799999998</v>
      </c>
      <c r="AH594" s="330"/>
      <c r="AI594" s="330">
        <v>47399</v>
      </c>
      <c r="AJ594" s="396">
        <f t="shared" si="95"/>
        <v>-1763101.5799999998</v>
      </c>
      <c r="AK594" s="563"/>
      <c r="AL594" s="285">
        <f>+AC594+AI594</f>
        <v>0</v>
      </c>
      <c r="AM594" s="286"/>
      <c r="AO594" s="330" t="s">
        <v>4525</v>
      </c>
    </row>
    <row r="595" spans="1:41">
      <c r="A595" s="587">
        <f t="shared" si="96"/>
        <v>592</v>
      </c>
      <c r="B595" s="330" t="s">
        <v>1643</v>
      </c>
      <c r="C595" s="330" t="s">
        <v>4529</v>
      </c>
      <c r="D595" s="330" t="s">
        <v>1704</v>
      </c>
      <c r="E595" s="330" t="s">
        <v>2486</v>
      </c>
      <c r="F595" s="330" t="s">
        <v>1647</v>
      </c>
      <c r="G595" s="562">
        <v>1114</v>
      </c>
      <c r="H595" s="562">
        <v>683.3</v>
      </c>
      <c r="I595" s="562">
        <v>795.57</v>
      </c>
      <c r="J595" s="561" t="s">
        <v>1679</v>
      </c>
      <c r="K595" s="330" t="s">
        <v>4530</v>
      </c>
      <c r="L595" s="330" t="s">
        <v>4531</v>
      </c>
      <c r="M595" s="330" t="s">
        <v>4532</v>
      </c>
      <c r="N595" s="330" t="s">
        <v>4533</v>
      </c>
      <c r="O595" s="395">
        <v>45449</v>
      </c>
      <c r="P595" s="333">
        <v>6401715</v>
      </c>
      <c r="Q595" s="330" t="s">
        <v>1653</v>
      </c>
      <c r="R595" s="562">
        <v>0</v>
      </c>
      <c r="S595" s="333">
        <v>0</v>
      </c>
      <c r="T595" s="333">
        <v>-1920515.2599999998</v>
      </c>
      <c r="U595" s="333">
        <f t="shared" si="93"/>
        <v>-1920515.2599999998</v>
      </c>
      <c r="V595" s="333">
        <v>0</v>
      </c>
      <c r="W595" s="333">
        <v>0</v>
      </c>
      <c r="X595" s="333">
        <v>0</v>
      </c>
      <c r="Y595" s="333">
        <v>0</v>
      </c>
      <c r="Z595" s="333">
        <v>0</v>
      </c>
      <c r="AA595" s="333">
        <v>0</v>
      </c>
      <c r="AB595" s="333">
        <v>0</v>
      </c>
      <c r="AC595" s="333">
        <v>0</v>
      </c>
      <c r="AD595" s="333">
        <v>0</v>
      </c>
      <c r="AE595" s="333"/>
      <c r="AF595" s="333"/>
      <c r="AG595" s="333">
        <f t="shared" si="94"/>
        <v>-1920515.2599999998</v>
      </c>
      <c r="AH595" s="330"/>
      <c r="AI595" s="330">
        <v>0</v>
      </c>
      <c r="AJ595" s="396">
        <f t="shared" si="95"/>
        <v>-1920515.2599999998</v>
      </c>
      <c r="AK595" s="563"/>
      <c r="AL595" s="285">
        <f t="shared" si="97"/>
        <v>0</v>
      </c>
      <c r="AM595" s="286"/>
      <c r="AO595" s="330" t="s">
        <v>4530</v>
      </c>
    </row>
    <row r="596" spans="1:41">
      <c r="A596" s="587">
        <f t="shared" si="96"/>
        <v>593</v>
      </c>
      <c r="B596" s="330" t="s">
        <v>1643</v>
      </c>
      <c r="C596" s="330" t="s">
        <v>4534</v>
      </c>
      <c r="D596" s="330" t="s">
        <v>1677</v>
      </c>
      <c r="E596" s="330" t="s">
        <v>1711</v>
      </c>
      <c r="F596" s="330" t="s">
        <v>1647</v>
      </c>
      <c r="G596" s="562">
        <v>1012</v>
      </c>
      <c r="H596" s="562">
        <v>653.59</v>
      </c>
      <c r="I596" s="562">
        <v>723.02</v>
      </c>
      <c r="J596" s="561" t="s">
        <v>1810</v>
      </c>
      <c r="K596" s="330" t="s">
        <v>4535</v>
      </c>
      <c r="L596" s="330" t="s">
        <v>4536</v>
      </c>
      <c r="M596" s="330" t="s">
        <v>4537</v>
      </c>
      <c r="N596" s="330" t="s">
        <v>12</v>
      </c>
      <c r="O596" s="395"/>
      <c r="P596" s="333">
        <v>6089238</v>
      </c>
      <c r="Q596" s="330" t="s">
        <v>1660</v>
      </c>
      <c r="R596" s="562">
        <v>0</v>
      </c>
      <c r="S596" s="333">
        <v>0</v>
      </c>
      <c r="T596" s="333">
        <v>-100000</v>
      </c>
      <c r="U596" s="333">
        <f t="shared" si="93"/>
        <v>-100000</v>
      </c>
      <c r="V596" s="333">
        <v>100000</v>
      </c>
      <c r="W596" s="333">
        <v>0</v>
      </c>
      <c r="X596" s="333">
        <v>0</v>
      </c>
      <c r="Y596" s="333">
        <v>0</v>
      </c>
      <c r="Z596" s="333">
        <v>0</v>
      </c>
      <c r="AA596" s="333">
        <v>0</v>
      </c>
      <c r="AB596" s="333">
        <v>0</v>
      </c>
      <c r="AC596" s="333">
        <v>0</v>
      </c>
      <c r="AD596" s="333">
        <v>0</v>
      </c>
      <c r="AE596" s="333"/>
      <c r="AF596" s="333"/>
      <c r="AG596" s="333">
        <f t="shared" si="94"/>
        <v>0</v>
      </c>
      <c r="AH596" s="330"/>
      <c r="AI596" s="330">
        <v>0</v>
      </c>
      <c r="AJ596" s="396">
        <f t="shared" si="95"/>
        <v>0</v>
      </c>
      <c r="AK596" s="563"/>
      <c r="AL596" s="285">
        <f t="shared" si="97"/>
        <v>0</v>
      </c>
      <c r="AM596" s="286"/>
      <c r="AO596" s="330" t="s">
        <v>4535</v>
      </c>
    </row>
    <row r="597" spans="1:41">
      <c r="A597" s="587">
        <f t="shared" si="96"/>
        <v>594</v>
      </c>
      <c r="B597" s="330" t="s">
        <v>1643</v>
      </c>
      <c r="C597" s="330" t="s">
        <v>4538</v>
      </c>
      <c r="D597" s="330" t="s">
        <v>1662</v>
      </c>
      <c r="E597" s="330" t="s">
        <v>3329</v>
      </c>
      <c r="F597" s="330" t="s">
        <v>1647</v>
      </c>
      <c r="G597" s="562">
        <v>1114</v>
      </c>
      <c r="H597" s="562">
        <v>683.3</v>
      </c>
      <c r="I597" s="562">
        <v>795.57</v>
      </c>
      <c r="J597" s="561" t="s">
        <v>1648</v>
      </c>
      <c r="K597" s="330" t="s">
        <v>4539</v>
      </c>
      <c r="L597" s="330" t="s">
        <v>4540</v>
      </c>
      <c r="M597" s="330" t="s">
        <v>4541</v>
      </c>
      <c r="N597" s="330" t="s">
        <v>4542</v>
      </c>
      <c r="O597" s="395">
        <v>45433</v>
      </c>
      <c r="P597" s="333">
        <v>6337489</v>
      </c>
      <c r="Q597" s="330" t="s">
        <v>1653</v>
      </c>
      <c r="R597" s="562">
        <v>0</v>
      </c>
      <c r="S597" s="333">
        <v>0</v>
      </c>
      <c r="T597" s="333">
        <v>-1957477.5500000003</v>
      </c>
      <c r="U597" s="333">
        <f t="shared" si="93"/>
        <v>-1957477.5500000003</v>
      </c>
      <c r="V597" s="333">
        <v>0</v>
      </c>
      <c r="W597" s="333">
        <v>0</v>
      </c>
      <c r="X597" s="333">
        <v>0</v>
      </c>
      <c r="Y597" s="333">
        <v>0</v>
      </c>
      <c r="Z597" s="333">
        <v>0</v>
      </c>
      <c r="AA597" s="333">
        <v>0</v>
      </c>
      <c r="AB597" s="333">
        <v>0</v>
      </c>
      <c r="AC597" s="333">
        <v>0</v>
      </c>
      <c r="AD597" s="333">
        <v>0</v>
      </c>
      <c r="AE597" s="333"/>
      <c r="AF597" s="333"/>
      <c r="AG597" s="333">
        <f t="shared" si="94"/>
        <v>-1957477.5500000003</v>
      </c>
      <c r="AH597" s="330"/>
      <c r="AI597" s="330">
        <v>0</v>
      </c>
      <c r="AJ597" s="396">
        <f t="shared" si="95"/>
        <v>-1957477.5500000003</v>
      </c>
      <c r="AK597" s="563"/>
      <c r="AL597" s="285">
        <f t="shared" si="97"/>
        <v>0</v>
      </c>
      <c r="AM597" s="286"/>
      <c r="AO597" s="330" t="s">
        <v>4539</v>
      </c>
    </row>
    <row r="598" spans="1:41">
      <c r="A598" s="587">
        <f t="shared" si="96"/>
        <v>595</v>
      </c>
      <c r="B598" s="330" t="s">
        <v>1643</v>
      </c>
      <c r="C598" s="330" t="s">
        <v>4543</v>
      </c>
      <c r="D598" s="330" t="s">
        <v>1746</v>
      </c>
      <c r="E598" s="330" t="s">
        <v>3356</v>
      </c>
      <c r="F598" s="330" t="s">
        <v>1671</v>
      </c>
      <c r="G598" s="562">
        <v>1498</v>
      </c>
      <c r="H598" s="562">
        <v>954.87</v>
      </c>
      <c r="I598" s="562">
        <v>1069.73</v>
      </c>
      <c r="J598" s="561" t="s">
        <v>1648</v>
      </c>
      <c r="K598" s="330" t="s">
        <v>4544</v>
      </c>
      <c r="L598" s="330" t="s">
        <v>4545</v>
      </c>
      <c r="M598" s="330" t="s">
        <v>4546</v>
      </c>
      <c r="N598" s="330" t="s">
        <v>4547</v>
      </c>
      <c r="O598" s="395">
        <v>45442</v>
      </c>
      <c r="P598" s="333">
        <v>8558880</v>
      </c>
      <c r="Q598" s="330" t="s">
        <v>1653</v>
      </c>
      <c r="R598" s="562">
        <v>0</v>
      </c>
      <c r="S598" s="333">
        <v>0</v>
      </c>
      <c r="T598" s="333">
        <v>-2560614.8000000012</v>
      </c>
      <c r="U598" s="333">
        <f t="shared" si="93"/>
        <v>-2560614.8000000012</v>
      </c>
      <c r="V598" s="333">
        <v>0</v>
      </c>
      <c r="W598" s="333">
        <v>0</v>
      </c>
      <c r="X598" s="333">
        <v>0</v>
      </c>
      <c r="Y598" s="333">
        <v>0</v>
      </c>
      <c r="Z598" s="333">
        <v>0</v>
      </c>
      <c r="AA598" s="333">
        <v>0</v>
      </c>
      <c r="AB598" s="333">
        <v>0</v>
      </c>
      <c r="AC598" s="333">
        <v>-7047</v>
      </c>
      <c r="AD598" s="333">
        <v>0</v>
      </c>
      <c r="AE598" s="333"/>
      <c r="AF598" s="333"/>
      <c r="AG598" s="333">
        <f t="shared" si="94"/>
        <v>-2567661.8000000012</v>
      </c>
      <c r="AH598" s="330"/>
      <c r="AI598" s="330">
        <v>7047</v>
      </c>
      <c r="AJ598" s="396">
        <f t="shared" si="95"/>
        <v>-2567661.8000000012</v>
      </c>
      <c r="AK598" s="563"/>
      <c r="AL598" s="285">
        <f t="shared" ref="AL598:AL599" si="99">+AC598+AI598</f>
        <v>0</v>
      </c>
      <c r="AM598" s="286"/>
      <c r="AO598" s="330" t="s">
        <v>4544</v>
      </c>
    </row>
    <row r="599" spans="1:41">
      <c r="A599" s="587">
        <f t="shared" si="96"/>
        <v>596</v>
      </c>
      <c r="B599" s="330" t="s">
        <v>1643</v>
      </c>
      <c r="C599" s="330" t="s">
        <v>4548</v>
      </c>
      <c r="D599" s="330" t="s">
        <v>1662</v>
      </c>
      <c r="E599" s="330" t="s">
        <v>1822</v>
      </c>
      <c r="F599" s="330" t="s">
        <v>1786</v>
      </c>
      <c r="G599" s="562">
        <v>1265</v>
      </c>
      <c r="H599" s="562">
        <v>813.33</v>
      </c>
      <c r="I599" s="562">
        <v>903.31</v>
      </c>
      <c r="J599" s="561" t="s">
        <v>1648</v>
      </c>
      <c r="K599" s="330" t="s">
        <v>4549</v>
      </c>
      <c r="L599" s="330" t="s">
        <v>4550</v>
      </c>
      <c r="M599" s="330" t="s">
        <v>4551</v>
      </c>
      <c r="N599" s="330" t="s">
        <v>4552</v>
      </c>
      <c r="O599" s="395">
        <v>45429</v>
      </c>
      <c r="P599" s="333">
        <v>7202130</v>
      </c>
      <c r="Q599" s="330" t="s">
        <v>1653</v>
      </c>
      <c r="R599" s="562">
        <v>0</v>
      </c>
      <c r="S599" s="333">
        <v>0</v>
      </c>
      <c r="T599" s="333">
        <v>-2232660.3400000003</v>
      </c>
      <c r="U599" s="333">
        <f t="shared" si="93"/>
        <v>-2232660.3400000003</v>
      </c>
      <c r="V599" s="333">
        <v>0</v>
      </c>
      <c r="W599" s="333">
        <v>0</v>
      </c>
      <c r="X599" s="333">
        <v>0</v>
      </c>
      <c r="Y599" s="333">
        <v>0</v>
      </c>
      <c r="Z599" s="333">
        <v>0</v>
      </c>
      <c r="AA599" s="333">
        <v>0</v>
      </c>
      <c r="AB599" s="333">
        <v>0</v>
      </c>
      <c r="AC599" s="333">
        <v>0</v>
      </c>
      <c r="AD599" s="333">
        <v>0</v>
      </c>
      <c r="AE599" s="333"/>
      <c r="AF599" s="333"/>
      <c r="AG599" s="333">
        <f t="shared" si="94"/>
        <v>-2232660.3400000003</v>
      </c>
      <c r="AH599" s="330"/>
      <c r="AI599" s="330">
        <v>0</v>
      </c>
      <c r="AJ599" s="396">
        <f t="shared" si="95"/>
        <v>-2232660.3400000003</v>
      </c>
      <c r="AK599" s="563"/>
      <c r="AL599" s="285">
        <f t="shared" si="99"/>
        <v>0</v>
      </c>
      <c r="AM599" s="286"/>
      <c r="AO599" s="330" t="s">
        <v>4549</v>
      </c>
    </row>
    <row r="600" spans="1:41">
      <c r="A600" s="587">
        <f t="shared" si="96"/>
        <v>597</v>
      </c>
      <c r="B600" s="330" t="s">
        <v>1643</v>
      </c>
      <c r="C600" s="330" t="s">
        <v>4553</v>
      </c>
      <c r="D600" s="330" t="s">
        <v>1746</v>
      </c>
      <c r="E600" s="330" t="s">
        <v>3416</v>
      </c>
      <c r="F600" s="330" t="s">
        <v>1671</v>
      </c>
      <c r="G600" s="562">
        <v>1375</v>
      </c>
      <c r="H600" s="562">
        <v>876.73</v>
      </c>
      <c r="I600" s="562">
        <v>982.22</v>
      </c>
      <c r="J600" s="561" t="s">
        <v>1648</v>
      </c>
      <c r="K600" s="330" t="s">
        <v>4554</v>
      </c>
      <c r="L600" s="330" t="s">
        <v>4555</v>
      </c>
      <c r="M600" s="330" t="s">
        <v>4556</v>
      </c>
      <c r="N600" s="330" t="s">
        <v>4557</v>
      </c>
      <c r="O600" s="395">
        <v>45747</v>
      </c>
      <c r="P600" s="333">
        <v>8098214</v>
      </c>
      <c r="Q600" s="330" t="s">
        <v>1653</v>
      </c>
      <c r="R600" s="562">
        <v>0</v>
      </c>
      <c r="S600" s="333">
        <v>0</v>
      </c>
      <c r="T600" s="333">
        <v>-720740.77999999956</v>
      </c>
      <c r="U600" s="333">
        <f t="shared" si="93"/>
        <v>-720740.77999999956</v>
      </c>
      <c r="V600" s="333">
        <v>-1708723.15</v>
      </c>
      <c r="W600" s="333">
        <v>0</v>
      </c>
      <c r="X600" s="333">
        <v>0</v>
      </c>
      <c r="Y600" s="333">
        <v>0</v>
      </c>
      <c r="Z600" s="333">
        <v>0</v>
      </c>
      <c r="AA600" s="333">
        <v>0</v>
      </c>
      <c r="AB600" s="333">
        <v>0</v>
      </c>
      <c r="AC600" s="333">
        <v>0</v>
      </c>
      <c r="AD600" s="333">
        <v>0</v>
      </c>
      <c r="AE600" s="333"/>
      <c r="AF600" s="333"/>
      <c r="AG600" s="333">
        <f t="shared" si="94"/>
        <v>-2429463.9299999997</v>
      </c>
      <c r="AH600" s="330"/>
      <c r="AI600" s="330">
        <v>0</v>
      </c>
      <c r="AJ600" s="396">
        <f t="shared" si="95"/>
        <v>-2429463.9299999997</v>
      </c>
      <c r="AK600" s="563"/>
      <c r="AL600" s="285">
        <f t="shared" si="97"/>
        <v>0</v>
      </c>
      <c r="AM600" s="286"/>
      <c r="AO600" s="330" t="s">
        <v>4554</v>
      </c>
    </row>
    <row r="601" spans="1:41">
      <c r="A601" s="587">
        <f t="shared" si="96"/>
        <v>598</v>
      </c>
      <c r="B601" s="330" t="s">
        <v>1643</v>
      </c>
      <c r="C601" s="330" t="s">
        <v>4558</v>
      </c>
      <c r="D601" s="330" t="s">
        <v>1746</v>
      </c>
      <c r="E601" s="330" t="s">
        <v>1863</v>
      </c>
      <c r="F601" s="330" t="s">
        <v>1671</v>
      </c>
      <c r="G601" s="562">
        <v>1498</v>
      </c>
      <c r="H601" s="562">
        <v>954.87</v>
      </c>
      <c r="I601" s="562">
        <v>1069.73</v>
      </c>
      <c r="J601" s="561" t="s">
        <v>1648</v>
      </c>
      <c r="K601" s="330" t="s">
        <v>4559</v>
      </c>
      <c r="L601" s="330" t="s">
        <v>4560</v>
      </c>
      <c r="M601" s="330" t="s">
        <v>4561</v>
      </c>
      <c r="N601" s="330" t="s">
        <v>4562</v>
      </c>
      <c r="O601" s="395">
        <v>45455</v>
      </c>
      <c r="P601" s="333">
        <v>8581345</v>
      </c>
      <c r="Q601" s="330" t="s">
        <v>1653</v>
      </c>
      <c r="R601" s="562">
        <v>0</v>
      </c>
      <c r="S601" s="333">
        <v>0</v>
      </c>
      <c r="T601" s="333">
        <v>-2574405.8200000003</v>
      </c>
      <c r="U601" s="333">
        <f t="shared" si="93"/>
        <v>-2574405.8200000003</v>
      </c>
      <c r="V601" s="333">
        <v>0</v>
      </c>
      <c r="W601" s="333">
        <v>0</v>
      </c>
      <c r="X601" s="333">
        <v>0</v>
      </c>
      <c r="Y601" s="333">
        <v>0</v>
      </c>
      <c r="Z601" s="333">
        <v>0</v>
      </c>
      <c r="AA601" s="333">
        <v>0</v>
      </c>
      <c r="AB601" s="333">
        <v>0</v>
      </c>
      <c r="AC601" s="333">
        <v>0</v>
      </c>
      <c r="AD601" s="333">
        <v>0</v>
      </c>
      <c r="AE601" s="333"/>
      <c r="AF601" s="333"/>
      <c r="AG601" s="333">
        <f t="shared" si="94"/>
        <v>-2574405.8200000003</v>
      </c>
      <c r="AH601" s="330"/>
      <c r="AI601" s="330">
        <v>0</v>
      </c>
      <c r="AJ601" s="396">
        <f t="shared" si="95"/>
        <v>-2574405.8200000003</v>
      </c>
      <c r="AK601" s="563"/>
      <c r="AL601" s="285">
        <f t="shared" si="97"/>
        <v>0</v>
      </c>
      <c r="AM601" s="286"/>
      <c r="AO601" s="330" t="s">
        <v>4559</v>
      </c>
    </row>
    <row r="602" spans="1:41">
      <c r="A602" s="587">
        <f t="shared" si="96"/>
        <v>599</v>
      </c>
      <c r="B602" s="330" t="s">
        <v>1643</v>
      </c>
      <c r="C602" s="330" t="s">
        <v>4563</v>
      </c>
      <c r="D602" s="330" t="s">
        <v>1746</v>
      </c>
      <c r="E602" s="330" t="s">
        <v>1785</v>
      </c>
      <c r="F602" s="330" t="s">
        <v>1786</v>
      </c>
      <c r="G602" s="562">
        <v>1265</v>
      </c>
      <c r="H602" s="562">
        <v>813.33</v>
      </c>
      <c r="I602" s="562">
        <v>903.31</v>
      </c>
      <c r="J602" s="561" t="s">
        <v>1648</v>
      </c>
      <c r="K602" s="330" t="s">
        <v>4564</v>
      </c>
      <c r="L602" s="330" t="s">
        <v>4565</v>
      </c>
      <c r="M602" s="330" t="s">
        <v>4566</v>
      </c>
      <c r="N602" s="330" t="s">
        <v>4567</v>
      </c>
      <c r="O602" s="395">
        <v>45457</v>
      </c>
      <c r="P602" s="333">
        <v>7428571</v>
      </c>
      <c r="Q602" s="330" t="s">
        <v>1653</v>
      </c>
      <c r="R602" s="562">
        <v>0</v>
      </c>
      <c r="S602" s="333">
        <v>0</v>
      </c>
      <c r="T602" s="333">
        <v>-2228568.419999999</v>
      </c>
      <c r="U602" s="333">
        <f t="shared" si="93"/>
        <v>-2228568.419999999</v>
      </c>
      <c r="V602" s="333">
        <v>0</v>
      </c>
      <c r="W602" s="333">
        <v>0</v>
      </c>
      <c r="X602" s="333">
        <v>0</v>
      </c>
      <c r="Y602" s="333">
        <v>0</v>
      </c>
      <c r="Z602" s="333">
        <v>0</v>
      </c>
      <c r="AA602" s="333">
        <v>0</v>
      </c>
      <c r="AB602" s="333">
        <v>0</v>
      </c>
      <c r="AC602" s="333">
        <v>0</v>
      </c>
      <c r="AD602" s="333">
        <v>0</v>
      </c>
      <c r="AE602" s="333"/>
      <c r="AF602" s="333"/>
      <c r="AG602" s="333">
        <f t="shared" si="94"/>
        <v>-2228568.419999999</v>
      </c>
      <c r="AH602" s="330"/>
      <c r="AI602" s="330">
        <v>0</v>
      </c>
      <c r="AJ602" s="396">
        <f t="shared" si="95"/>
        <v>-2228568.419999999</v>
      </c>
      <c r="AK602" s="563"/>
      <c r="AL602" s="285">
        <f t="shared" si="97"/>
        <v>0</v>
      </c>
      <c r="AM602" s="286"/>
      <c r="AO602" s="330" t="s">
        <v>4564</v>
      </c>
    </row>
    <row r="603" spans="1:41">
      <c r="A603" s="587">
        <f t="shared" si="96"/>
        <v>600</v>
      </c>
      <c r="B603" s="330" t="s">
        <v>1643</v>
      </c>
      <c r="C603" s="330" t="s">
        <v>4568</v>
      </c>
      <c r="D603" s="330" t="s">
        <v>1704</v>
      </c>
      <c r="E603" s="330" t="s">
        <v>2733</v>
      </c>
      <c r="F603" s="330" t="s">
        <v>1647</v>
      </c>
      <c r="G603" s="562">
        <v>1012</v>
      </c>
      <c r="H603" s="562">
        <v>653.59</v>
      </c>
      <c r="I603" s="562">
        <v>723.02</v>
      </c>
      <c r="J603" s="561" t="s">
        <v>1648</v>
      </c>
      <c r="K603" s="330" t="s">
        <v>4569</v>
      </c>
      <c r="L603" s="330" t="s">
        <v>4570</v>
      </c>
      <c r="M603" s="330" t="s">
        <v>4571</v>
      </c>
      <c r="N603" s="330" t="s">
        <v>4572</v>
      </c>
      <c r="O603" s="395">
        <v>45488</v>
      </c>
      <c r="P603" s="333">
        <v>5866000</v>
      </c>
      <c r="Q603" s="330" t="s">
        <v>1653</v>
      </c>
      <c r="R603" s="562">
        <v>0</v>
      </c>
      <c r="S603" s="333">
        <v>0</v>
      </c>
      <c r="T603" s="333">
        <v>-1818460</v>
      </c>
      <c r="U603" s="333">
        <f t="shared" si="93"/>
        <v>-1818460</v>
      </c>
      <c r="V603" s="333">
        <v>0</v>
      </c>
      <c r="W603" s="333">
        <v>0</v>
      </c>
      <c r="X603" s="333">
        <v>0</v>
      </c>
      <c r="Y603" s="333">
        <v>0</v>
      </c>
      <c r="Z603" s="333">
        <v>0</v>
      </c>
      <c r="AA603" s="333">
        <v>0</v>
      </c>
      <c r="AB603" s="333">
        <v>0</v>
      </c>
      <c r="AC603" s="333">
        <v>0</v>
      </c>
      <c r="AD603" s="333">
        <v>0</v>
      </c>
      <c r="AE603" s="333"/>
      <c r="AF603" s="333"/>
      <c r="AG603" s="333">
        <f t="shared" si="94"/>
        <v>-1818460</v>
      </c>
      <c r="AH603" s="330"/>
      <c r="AI603" s="330">
        <v>0</v>
      </c>
      <c r="AJ603" s="396">
        <f t="shared" si="95"/>
        <v>-1818460</v>
      </c>
      <c r="AK603" s="563"/>
      <c r="AL603" s="285">
        <f t="shared" si="97"/>
        <v>0</v>
      </c>
      <c r="AM603" s="286"/>
      <c r="AO603" s="330" t="s">
        <v>4569</v>
      </c>
    </row>
    <row r="604" spans="1:41">
      <c r="A604" s="587">
        <f t="shared" si="96"/>
        <v>601</v>
      </c>
      <c r="B604" s="330" t="s">
        <v>1643</v>
      </c>
      <c r="C604" s="330" t="s">
        <v>3874</v>
      </c>
      <c r="D604" s="330" t="s">
        <v>1746</v>
      </c>
      <c r="E604" s="330" t="s">
        <v>1691</v>
      </c>
      <c r="F604" s="330" t="s">
        <v>1647</v>
      </c>
      <c r="G604" s="562">
        <v>1012</v>
      </c>
      <c r="H604" s="562">
        <v>653.59</v>
      </c>
      <c r="I604" s="562">
        <v>723.02</v>
      </c>
      <c r="J604" s="561" t="s">
        <v>1648</v>
      </c>
      <c r="K604" s="330" t="s">
        <v>4573</v>
      </c>
      <c r="L604" s="330" t="s">
        <v>4574</v>
      </c>
      <c r="M604" s="330" t="s">
        <v>4575</v>
      </c>
      <c r="N604" s="330" t="s">
        <v>4576</v>
      </c>
      <c r="O604" s="395">
        <v>45454</v>
      </c>
      <c r="P604" s="333">
        <v>5669619</v>
      </c>
      <c r="Q604" s="330" t="s">
        <v>1653</v>
      </c>
      <c r="R604" s="562">
        <v>0</v>
      </c>
      <c r="S604" s="333">
        <v>0</v>
      </c>
      <c r="T604" s="333">
        <v>-1700885.7</v>
      </c>
      <c r="U604" s="333">
        <f t="shared" si="93"/>
        <v>-1700885.7</v>
      </c>
      <c r="V604" s="333">
        <v>0</v>
      </c>
      <c r="W604" s="333">
        <v>0</v>
      </c>
      <c r="X604" s="333">
        <v>0</v>
      </c>
      <c r="Y604" s="333">
        <v>0</v>
      </c>
      <c r="Z604" s="333">
        <v>0</v>
      </c>
      <c r="AA604" s="333">
        <v>0</v>
      </c>
      <c r="AB604" s="333">
        <v>0</v>
      </c>
      <c r="AC604" s="333">
        <v>0</v>
      </c>
      <c r="AD604" s="333">
        <v>0</v>
      </c>
      <c r="AE604" s="333"/>
      <c r="AF604" s="333"/>
      <c r="AG604" s="333">
        <f t="shared" si="94"/>
        <v>-1700885.7</v>
      </c>
      <c r="AH604" s="330"/>
      <c r="AI604" s="330">
        <v>0</v>
      </c>
      <c r="AJ604" s="396">
        <f t="shared" si="95"/>
        <v>-1700885.7</v>
      </c>
      <c r="AK604" s="563"/>
      <c r="AL604" s="285">
        <f t="shared" si="97"/>
        <v>0</v>
      </c>
      <c r="AM604" s="286"/>
      <c r="AO604" s="330" t="s">
        <v>4573</v>
      </c>
    </row>
    <row r="605" spans="1:41">
      <c r="A605" s="587">
        <f t="shared" si="96"/>
        <v>602</v>
      </c>
      <c r="B605" s="330" t="s">
        <v>1643</v>
      </c>
      <c r="C605" s="330" t="s">
        <v>4577</v>
      </c>
      <c r="D605" s="330" t="s">
        <v>1645</v>
      </c>
      <c r="E605" s="330" t="s">
        <v>1857</v>
      </c>
      <c r="F605" s="330" t="s">
        <v>1647</v>
      </c>
      <c r="G605" s="562">
        <v>1114</v>
      </c>
      <c r="H605" s="562">
        <v>683.3</v>
      </c>
      <c r="I605" s="562">
        <v>795.57</v>
      </c>
      <c r="J605" s="561" t="s">
        <v>1648</v>
      </c>
      <c r="K605" s="330" t="s">
        <v>4578</v>
      </c>
      <c r="L605" s="330" t="s">
        <v>4579</v>
      </c>
      <c r="M605" s="330" t="s">
        <v>4580</v>
      </c>
      <c r="N605" s="330" t="s">
        <v>4581</v>
      </c>
      <c r="O605" s="395">
        <v>45407</v>
      </c>
      <c r="P605" s="333">
        <v>6287368</v>
      </c>
      <c r="Q605" s="330" t="s">
        <v>1653</v>
      </c>
      <c r="R605" s="562">
        <v>0</v>
      </c>
      <c r="S605" s="333">
        <v>0</v>
      </c>
      <c r="T605" s="333">
        <v>-1774790.1600000001</v>
      </c>
      <c r="U605" s="333">
        <f t="shared" si="93"/>
        <v>-1774790.1600000001</v>
      </c>
      <c r="V605" s="333">
        <v>-150000</v>
      </c>
      <c r="W605" s="333">
        <v>0</v>
      </c>
      <c r="X605" s="333">
        <v>0</v>
      </c>
      <c r="Y605" s="333">
        <v>0</v>
      </c>
      <c r="Z605" s="333">
        <v>0</v>
      </c>
      <c r="AA605" s="333">
        <v>0</v>
      </c>
      <c r="AB605" s="333">
        <v>0</v>
      </c>
      <c r="AC605" s="333">
        <v>-24294</v>
      </c>
      <c r="AD605" s="333">
        <v>0</v>
      </c>
      <c r="AE605" s="333"/>
      <c r="AF605" s="333"/>
      <c r="AG605" s="333">
        <f t="shared" si="94"/>
        <v>-1949084.1600000001</v>
      </c>
      <c r="AH605" s="330"/>
      <c r="AI605" s="330">
        <v>24294</v>
      </c>
      <c r="AJ605" s="396">
        <f t="shared" si="95"/>
        <v>-1949084.1600000001</v>
      </c>
      <c r="AK605" s="563"/>
      <c r="AL605" s="285">
        <f>+AC605+AI605</f>
        <v>0</v>
      </c>
      <c r="AM605" s="286"/>
      <c r="AO605" s="330" t="s">
        <v>4578</v>
      </c>
    </row>
    <row r="606" spans="1:41">
      <c r="A606" s="587">
        <f t="shared" si="96"/>
        <v>603</v>
      </c>
      <c r="B606" s="330" t="s">
        <v>1643</v>
      </c>
      <c r="C606" s="330" t="s">
        <v>4582</v>
      </c>
      <c r="D606" s="330" t="s">
        <v>1704</v>
      </c>
      <c r="E606" s="330" t="s">
        <v>1717</v>
      </c>
      <c r="F606" s="330" t="s">
        <v>1647</v>
      </c>
      <c r="G606" s="562">
        <v>1114</v>
      </c>
      <c r="H606" s="562">
        <v>683.3</v>
      </c>
      <c r="I606" s="562">
        <v>795.57</v>
      </c>
      <c r="J606" s="561" t="s">
        <v>1648</v>
      </c>
      <c r="K606" s="330" t="s">
        <v>4583</v>
      </c>
      <c r="L606" s="330" t="s">
        <v>4584</v>
      </c>
      <c r="M606" s="330" t="s">
        <v>4585</v>
      </c>
      <c r="N606" s="330" t="s">
        <v>4586</v>
      </c>
      <c r="O606" s="395">
        <v>45443</v>
      </c>
      <c r="P606" s="333">
        <v>6401714</v>
      </c>
      <c r="Q606" s="330" t="s">
        <v>1653</v>
      </c>
      <c r="R606" s="562">
        <v>0</v>
      </c>
      <c r="S606" s="333">
        <v>0</v>
      </c>
      <c r="T606" s="333">
        <v>-1984529.4200000009</v>
      </c>
      <c r="U606" s="333">
        <f t="shared" si="93"/>
        <v>-1984529.4200000009</v>
      </c>
      <c r="V606" s="333">
        <v>0</v>
      </c>
      <c r="W606" s="333">
        <v>0</v>
      </c>
      <c r="X606" s="333">
        <v>0</v>
      </c>
      <c r="Y606" s="333">
        <v>0</v>
      </c>
      <c r="Z606" s="333">
        <v>0</v>
      </c>
      <c r="AA606" s="333">
        <v>0</v>
      </c>
      <c r="AB606" s="333">
        <v>0</v>
      </c>
      <c r="AC606" s="333">
        <v>0</v>
      </c>
      <c r="AD606" s="333">
        <v>0</v>
      </c>
      <c r="AE606" s="333"/>
      <c r="AF606" s="333"/>
      <c r="AG606" s="333">
        <f t="shared" si="94"/>
        <v>-1984529.4200000009</v>
      </c>
      <c r="AH606" s="330"/>
      <c r="AI606" s="330">
        <v>0</v>
      </c>
      <c r="AJ606" s="396">
        <f t="shared" si="95"/>
        <v>-1984529.4200000009</v>
      </c>
      <c r="AK606" s="563"/>
      <c r="AL606" s="285">
        <f t="shared" si="97"/>
        <v>0</v>
      </c>
      <c r="AM606" s="286"/>
      <c r="AO606" s="330" t="s">
        <v>4583</v>
      </c>
    </row>
    <row r="607" spans="1:41">
      <c r="A607" s="587">
        <f t="shared" si="96"/>
        <v>604</v>
      </c>
      <c r="B607" s="330" t="s">
        <v>1643</v>
      </c>
      <c r="C607" s="330" t="s">
        <v>4587</v>
      </c>
      <c r="D607" s="330" t="s">
        <v>1746</v>
      </c>
      <c r="E607" s="330" t="s">
        <v>3366</v>
      </c>
      <c r="F607" s="330" t="s">
        <v>1671</v>
      </c>
      <c r="G607" s="562">
        <v>1375</v>
      </c>
      <c r="H607" s="562">
        <v>876.73</v>
      </c>
      <c r="I607" s="562">
        <v>982.22</v>
      </c>
      <c r="J607" s="561" t="s">
        <v>1648</v>
      </c>
      <c r="K607" s="330" t="s">
        <v>4588</v>
      </c>
      <c r="L607" s="330" t="s">
        <v>4589</v>
      </c>
      <c r="M607" s="330" t="s">
        <v>4590</v>
      </c>
      <c r="N607" s="330" t="s">
        <v>4591</v>
      </c>
      <c r="O607" s="395">
        <v>45644</v>
      </c>
      <c r="P607" s="333">
        <v>8552381</v>
      </c>
      <c r="Q607" s="330" t="s">
        <v>1653</v>
      </c>
      <c r="R607" s="562">
        <v>0</v>
      </c>
      <c r="S607" s="333">
        <v>0</v>
      </c>
      <c r="T607" s="333">
        <v>-2651239.0899999989</v>
      </c>
      <c r="U607" s="333">
        <f t="shared" si="93"/>
        <v>-2651239.0899999989</v>
      </c>
      <c r="V607" s="333">
        <v>-360000</v>
      </c>
      <c r="W607" s="333">
        <v>0</v>
      </c>
      <c r="X607" s="333">
        <v>0</v>
      </c>
      <c r="Y607" s="333">
        <v>0</v>
      </c>
      <c r="Z607" s="333">
        <v>0</v>
      </c>
      <c r="AA607" s="333">
        <v>0</v>
      </c>
      <c r="AB607" s="333">
        <v>0</v>
      </c>
      <c r="AC607" s="333">
        <v>0</v>
      </c>
      <c r="AD607" s="333">
        <v>0</v>
      </c>
      <c r="AE607" s="333"/>
      <c r="AF607" s="333"/>
      <c r="AG607" s="333">
        <f t="shared" si="94"/>
        <v>-3011239.0899999989</v>
      </c>
      <c r="AH607" s="330"/>
      <c r="AI607" s="330">
        <v>0</v>
      </c>
      <c r="AJ607" s="396">
        <f t="shared" si="95"/>
        <v>-3011239.0899999989</v>
      </c>
      <c r="AK607" s="563"/>
      <c r="AL607" s="285">
        <f t="shared" si="97"/>
        <v>0</v>
      </c>
      <c r="AM607" s="286"/>
      <c r="AO607" s="330" t="s">
        <v>4588</v>
      </c>
    </row>
    <row r="608" spans="1:41">
      <c r="A608" s="587">
        <f t="shared" si="96"/>
        <v>605</v>
      </c>
      <c r="B608" s="330" t="s">
        <v>1643</v>
      </c>
      <c r="C608" s="330" t="s">
        <v>4123</v>
      </c>
      <c r="D608" s="330" t="s">
        <v>1746</v>
      </c>
      <c r="E608" s="330" t="s">
        <v>2100</v>
      </c>
      <c r="F608" s="330" t="s">
        <v>1647</v>
      </c>
      <c r="G608" s="562">
        <v>1114</v>
      </c>
      <c r="H608" s="562">
        <v>683.3</v>
      </c>
      <c r="I608" s="562">
        <v>795.57</v>
      </c>
      <c r="J608" s="561" t="s">
        <v>1648</v>
      </c>
      <c r="K608" s="330" t="s">
        <v>4592</v>
      </c>
      <c r="L608" s="330" t="s">
        <v>4593</v>
      </c>
      <c r="M608" s="330" t="s">
        <v>4594</v>
      </c>
      <c r="N608" s="330" t="s">
        <v>4595</v>
      </c>
      <c r="O608" s="395">
        <v>45419</v>
      </c>
      <c r="P608" s="333">
        <v>6290096</v>
      </c>
      <c r="Q608" s="330" t="s">
        <v>1660</v>
      </c>
      <c r="R608" s="562">
        <v>0</v>
      </c>
      <c r="S608" s="333">
        <v>0</v>
      </c>
      <c r="T608" s="333">
        <v>1.0186340659856796E-10</v>
      </c>
      <c r="U608" s="333">
        <f t="shared" si="93"/>
        <v>1.0186340659856796E-10</v>
      </c>
      <c r="V608" s="333">
        <v>0</v>
      </c>
      <c r="W608" s="333">
        <v>0</v>
      </c>
      <c r="X608" s="333">
        <v>0</v>
      </c>
      <c r="Y608" s="333">
        <v>0</v>
      </c>
      <c r="Z608" s="333">
        <v>0</v>
      </c>
      <c r="AA608" s="333">
        <v>0</v>
      </c>
      <c r="AB608" s="333">
        <v>0</v>
      </c>
      <c r="AC608" s="333">
        <v>0</v>
      </c>
      <c r="AD608" s="333">
        <v>0</v>
      </c>
      <c r="AE608" s="333"/>
      <c r="AF608" s="333"/>
      <c r="AG608" s="333">
        <f t="shared" si="94"/>
        <v>1.0186340659856796E-10</v>
      </c>
      <c r="AH608" s="330"/>
      <c r="AI608" s="330">
        <v>0</v>
      </c>
      <c r="AJ608" s="396">
        <f t="shared" si="95"/>
        <v>1.0186340659856796E-10</v>
      </c>
      <c r="AK608" s="563"/>
      <c r="AL608" s="285">
        <f t="shared" si="97"/>
        <v>0</v>
      </c>
      <c r="AM608" s="286"/>
      <c r="AO608" s="330" t="s">
        <v>4592</v>
      </c>
    </row>
    <row r="609" spans="1:41">
      <c r="A609" s="587">
        <f t="shared" si="96"/>
        <v>606</v>
      </c>
      <c r="B609" s="330" t="s">
        <v>1643</v>
      </c>
      <c r="C609" s="330" t="s">
        <v>4596</v>
      </c>
      <c r="D609" s="330" t="s">
        <v>1746</v>
      </c>
      <c r="E609" s="330" t="s">
        <v>2316</v>
      </c>
      <c r="F609" s="330" t="s">
        <v>1647</v>
      </c>
      <c r="G609" s="562">
        <v>1012</v>
      </c>
      <c r="H609" s="562">
        <v>653.59</v>
      </c>
      <c r="I609" s="562">
        <v>723.02</v>
      </c>
      <c r="J609" s="561" t="s">
        <v>1648</v>
      </c>
      <c r="K609" s="330" t="s">
        <v>4597</v>
      </c>
      <c r="L609" s="330" t="s">
        <v>4598</v>
      </c>
      <c r="M609" s="330" t="s">
        <v>4599</v>
      </c>
      <c r="N609" s="330" t="s">
        <v>4600</v>
      </c>
      <c r="O609" s="395">
        <v>45435</v>
      </c>
      <c r="P609" s="333">
        <v>5698827</v>
      </c>
      <c r="Q609" s="330" t="s">
        <v>1653</v>
      </c>
      <c r="R609" s="562">
        <v>0</v>
      </c>
      <c r="S609" s="333">
        <v>0</v>
      </c>
      <c r="T609" s="333">
        <v>-1553031.5800000003</v>
      </c>
      <c r="U609" s="333">
        <f t="shared" si="93"/>
        <v>-1553031.5800000003</v>
      </c>
      <c r="V609" s="333">
        <v>-150000</v>
      </c>
      <c r="W609" s="333">
        <v>0</v>
      </c>
      <c r="X609" s="333">
        <v>0</v>
      </c>
      <c r="Y609" s="333">
        <v>0</v>
      </c>
      <c r="Z609" s="333">
        <v>0</v>
      </c>
      <c r="AA609" s="333">
        <v>0</v>
      </c>
      <c r="AB609" s="333">
        <v>0</v>
      </c>
      <c r="AC609" s="333">
        <v>-6619</v>
      </c>
      <c r="AD609" s="333">
        <v>0</v>
      </c>
      <c r="AE609" s="333"/>
      <c r="AF609" s="333"/>
      <c r="AG609" s="333">
        <f t="shared" si="94"/>
        <v>-1709650.5800000003</v>
      </c>
      <c r="AH609" s="330"/>
      <c r="AI609" s="330">
        <v>6619</v>
      </c>
      <c r="AJ609" s="396">
        <f t="shared" si="95"/>
        <v>-1709650.5800000003</v>
      </c>
      <c r="AK609" s="563"/>
      <c r="AL609" s="285">
        <f t="shared" ref="AL609:AL611" si="100">+AC609+AI609</f>
        <v>0</v>
      </c>
      <c r="AM609" s="286"/>
      <c r="AO609" s="330" t="s">
        <v>4597</v>
      </c>
    </row>
    <row r="610" spans="1:41">
      <c r="A610" s="587">
        <f t="shared" si="96"/>
        <v>607</v>
      </c>
      <c r="B610" s="330" t="s">
        <v>1643</v>
      </c>
      <c r="C610" s="330" t="s">
        <v>4601</v>
      </c>
      <c r="D610" s="330" t="s">
        <v>1746</v>
      </c>
      <c r="E610" s="330" t="s">
        <v>1984</v>
      </c>
      <c r="F610" s="330" t="s">
        <v>1647</v>
      </c>
      <c r="G610" s="562">
        <v>1012</v>
      </c>
      <c r="H610" s="562">
        <v>653.59</v>
      </c>
      <c r="I610" s="562">
        <v>723.02</v>
      </c>
      <c r="J610" s="561" t="s">
        <v>1648</v>
      </c>
      <c r="K610" s="330" t="s">
        <v>4602</v>
      </c>
      <c r="L610" s="330" t="s">
        <v>4603</v>
      </c>
      <c r="M610" s="330" t="s">
        <v>4604</v>
      </c>
      <c r="N610" s="330" t="s">
        <v>2357</v>
      </c>
      <c r="O610" s="395">
        <v>45446</v>
      </c>
      <c r="P610" s="333">
        <v>5651715</v>
      </c>
      <c r="Q610" s="330" t="s">
        <v>1653</v>
      </c>
      <c r="R610" s="562">
        <v>0</v>
      </c>
      <c r="S610" s="333">
        <v>0</v>
      </c>
      <c r="T610" s="333">
        <v>-1752030.41</v>
      </c>
      <c r="U610" s="333">
        <f t="shared" si="93"/>
        <v>-1752030.41</v>
      </c>
      <c r="V610" s="333">
        <v>0</v>
      </c>
      <c r="W610" s="333">
        <v>0</v>
      </c>
      <c r="X610" s="333">
        <v>0</v>
      </c>
      <c r="Y610" s="333">
        <v>0</v>
      </c>
      <c r="Z610" s="333">
        <v>0</v>
      </c>
      <c r="AA610" s="333">
        <v>0</v>
      </c>
      <c r="AB610" s="333">
        <v>0</v>
      </c>
      <c r="AC610" s="333">
        <v>0</v>
      </c>
      <c r="AD610" s="333">
        <v>0</v>
      </c>
      <c r="AE610" s="333"/>
      <c r="AF610" s="333"/>
      <c r="AG610" s="333">
        <f t="shared" si="94"/>
        <v>-1752030.41</v>
      </c>
      <c r="AH610" s="330"/>
      <c r="AI610" s="330">
        <v>0</v>
      </c>
      <c r="AJ610" s="396">
        <f t="shared" si="95"/>
        <v>-1752030.41</v>
      </c>
      <c r="AK610" s="563"/>
      <c r="AL610" s="285">
        <f t="shared" si="100"/>
        <v>0</v>
      </c>
      <c r="AM610" s="286"/>
      <c r="AO610" s="330" t="s">
        <v>4602</v>
      </c>
    </row>
    <row r="611" spans="1:41">
      <c r="A611" s="587">
        <f t="shared" si="96"/>
        <v>608</v>
      </c>
      <c r="B611" s="330" t="s">
        <v>1643</v>
      </c>
      <c r="C611" s="330" t="s">
        <v>4605</v>
      </c>
      <c r="D611" s="330" t="s">
        <v>1704</v>
      </c>
      <c r="E611" s="330" t="s">
        <v>1947</v>
      </c>
      <c r="F611" s="330" t="s">
        <v>1647</v>
      </c>
      <c r="G611" s="562">
        <v>1012</v>
      </c>
      <c r="H611" s="562">
        <v>653.59</v>
      </c>
      <c r="I611" s="562">
        <v>723.02</v>
      </c>
      <c r="J611" s="561" t="s">
        <v>1810</v>
      </c>
      <c r="K611" s="330" t="s">
        <v>4606</v>
      </c>
      <c r="L611" s="330" t="s">
        <v>4607</v>
      </c>
      <c r="M611" s="330" t="s">
        <v>4608</v>
      </c>
      <c r="N611" s="330" t="s">
        <v>4609</v>
      </c>
      <c r="O611" s="395">
        <v>45448</v>
      </c>
      <c r="P611" s="333">
        <v>5776762</v>
      </c>
      <c r="Q611" s="330" t="s">
        <v>1653</v>
      </c>
      <c r="R611" s="562">
        <v>0</v>
      </c>
      <c r="S611" s="333">
        <v>0</v>
      </c>
      <c r="T611" s="333">
        <v>-1790794.1800000004</v>
      </c>
      <c r="U611" s="333">
        <f t="shared" si="93"/>
        <v>-1790794.1800000004</v>
      </c>
      <c r="V611" s="333">
        <v>0</v>
      </c>
      <c r="W611" s="333">
        <v>0</v>
      </c>
      <c r="X611" s="333">
        <v>0</v>
      </c>
      <c r="Y611" s="333">
        <v>0</v>
      </c>
      <c r="Z611" s="333">
        <v>0</v>
      </c>
      <c r="AA611" s="333">
        <v>0</v>
      </c>
      <c r="AB611" s="333">
        <v>0</v>
      </c>
      <c r="AC611" s="333">
        <v>-86651.440000000177</v>
      </c>
      <c r="AD611" s="333">
        <v>0</v>
      </c>
      <c r="AE611" s="333"/>
      <c r="AF611" s="333"/>
      <c r="AG611" s="333">
        <f t="shared" si="94"/>
        <v>-1877445.6200000006</v>
      </c>
      <c r="AH611" s="330"/>
      <c r="AI611" s="330">
        <v>86651.44</v>
      </c>
      <c r="AJ611" s="396">
        <f t="shared" si="95"/>
        <v>-1877445.6200000006</v>
      </c>
      <c r="AK611" s="563"/>
      <c r="AL611" s="285">
        <f t="shared" si="100"/>
        <v>-1.7462298274040222E-10</v>
      </c>
      <c r="AM611" s="286"/>
      <c r="AO611" s="330" t="s">
        <v>4606</v>
      </c>
    </row>
    <row r="612" spans="1:41">
      <c r="A612" s="587">
        <f t="shared" si="96"/>
        <v>609</v>
      </c>
      <c r="B612" s="330" t="s">
        <v>1643</v>
      </c>
      <c r="C612" s="330" t="s">
        <v>4610</v>
      </c>
      <c r="D612" s="330" t="s">
        <v>1704</v>
      </c>
      <c r="E612" s="330" t="s">
        <v>1684</v>
      </c>
      <c r="F612" s="330" t="s">
        <v>1786</v>
      </c>
      <c r="G612" s="562">
        <v>1265</v>
      </c>
      <c r="H612" s="562">
        <v>813.33</v>
      </c>
      <c r="I612" s="562">
        <v>903.31</v>
      </c>
      <c r="J612" s="561" t="s">
        <v>1648</v>
      </c>
      <c r="K612" s="330" t="s">
        <v>4611</v>
      </c>
      <c r="L612" s="330" t="s">
        <v>4612</v>
      </c>
      <c r="M612" s="330" t="s">
        <v>4613</v>
      </c>
      <c r="N612" s="330" t="s">
        <v>4614</v>
      </c>
      <c r="O612" s="395">
        <v>45476</v>
      </c>
      <c r="P612" s="333">
        <v>7227619</v>
      </c>
      <c r="Q612" s="330" t="s">
        <v>1653</v>
      </c>
      <c r="R612" s="562">
        <v>0</v>
      </c>
      <c r="S612" s="333">
        <v>0</v>
      </c>
      <c r="T612" s="333">
        <v>-2166501.7000000002</v>
      </c>
      <c r="U612" s="333">
        <f t="shared" si="93"/>
        <v>-2166501.7000000002</v>
      </c>
      <c r="V612" s="333">
        <v>0</v>
      </c>
      <c r="W612" s="333">
        <v>0</v>
      </c>
      <c r="X612" s="333">
        <v>0</v>
      </c>
      <c r="Y612" s="333">
        <v>0</v>
      </c>
      <c r="Z612" s="333">
        <v>0</v>
      </c>
      <c r="AA612" s="333">
        <v>0</v>
      </c>
      <c r="AB612" s="333">
        <v>0</v>
      </c>
      <c r="AC612" s="333">
        <v>0</v>
      </c>
      <c r="AD612" s="333">
        <v>0</v>
      </c>
      <c r="AE612" s="333"/>
      <c r="AF612" s="333"/>
      <c r="AG612" s="333">
        <f t="shared" si="94"/>
        <v>-2166501.7000000002</v>
      </c>
      <c r="AH612" s="330"/>
      <c r="AI612" s="330">
        <v>0</v>
      </c>
      <c r="AJ612" s="396">
        <f t="shared" si="95"/>
        <v>-2166501.7000000002</v>
      </c>
      <c r="AK612" s="563"/>
      <c r="AL612" s="285">
        <f t="shared" si="97"/>
        <v>0</v>
      </c>
      <c r="AM612" s="286"/>
      <c r="AO612" s="330" t="s">
        <v>4611</v>
      </c>
    </row>
    <row r="613" spans="1:41">
      <c r="A613" s="587">
        <f t="shared" si="96"/>
        <v>610</v>
      </c>
      <c r="B613" s="330" t="s">
        <v>1643</v>
      </c>
      <c r="C613" s="330" t="s">
        <v>4615</v>
      </c>
      <c r="D613" s="330" t="s">
        <v>1677</v>
      </c>
      <c r="E613" s="330" t="s">
        <v>1947</v>
      </c>
      <c r="F613" s="330" t="s">
        <v>1647</v>
      </c>
      <c r="G613" s="562">
        <v>1012</v>
      </c>
      <c r="H613" s="562">
        <v>653.59</v>
      </c>
      <c r="I613" s="562">
        <v>723.02</v>
      </c>
      <c r="J613" s="561" t="s">
        <v>1648</v>
      </c>
      <c r="K613" s="330" t="s">
        <v>4616</v>
      </c>
      <c r="L613" s="330" t="s">
        <v>4617</v>
      </c>
      <c r="M613" s="330" t="s">
        <v>4618</v>
      </c>
      <c r="N613" s="330" t="s">
        <v>12</v>
      </c>
      <c r="O613" s="395"/>
      <c r="P613" s="333">
        <v>6089283</v>
      </c>
      <c r="Q613" s="330" t="s">
        <v>1660</v>
      </c>
      <c r="R613" s="562">
        <v>0</v>
      </c>
      <c r="S613" s="333">
        <v>0</v>
      </c>
      <c r="T613" s="333">
        <v>-606300</v>
      </c>
      <c r="U613" s="333">
        <f t="shared" si="93"/>
        <v>-606300</v>
      </c>
      <c r="V613" s="333">
        <v>0</v>
      </c>
      <c r="W613" s="333">
        <v>0</v>
      </c>
      <c r="X613" s="333">
        <v>0</v>
      </c>
      <c r="Y613" s="333">
        <v>0</v>
      </c>
      <c r="Z613" s="333">
        <v>0</v>
      </c>
      <c r="AA613" s="333">
        <v>0</v>
      </c>
      <c r="AB613" s="333">
        <v>0</v>
      </c>
      <c r="AC613" s="333">
        <v>0</v>
      </c>
      <c r="AD613" s="333">
        <v>0</v>
      </c>
      <c r="AE613" s="333"/>
      <c r="AF613" s="333"/>
      <c r="AG613" s="333">
        <f t="shared" si="94"/>
        <v>-606300</v>
      </c>
      <c r="AH613" s="330"/>
      <c r="AI613" s="330">
        <v>0</v>
      </c>
      <c r="AJ613" s="396">
        <f t="shared" si="95"/>
        <v>-606300</v>
      </c>
      <c r="AK613" s="563"/>
      <c r="AL613" s="285">
        <f t="shared" si="97"/>
        <v>0</v>
      </c>
      <c r="AM613" s="286"/>
      <c r="AO613" s="330" t="s">
        <v>4616</v>
      </c>
    </row>
    <row r="614" spans="1:41">
      <c r="A614" s="587">
        <f t="shared" si="96"/>
        <v>611</v>
      </c>
      <c r="B614" s="330" t="s">
        <v>1643</v>
      </c>
      <c r="C614" s="330" t="s">
        <v>4619</v>
      </c>
      <c r="D614" s="330" t="s">
        <v>1746</v>
      </c>
      <c r="E614" s="330" t="s">
        <v>3350</v>
      </c>
      <c r="F614" s="330" t="s">
        <v>1647</v>
      </c>
      <c r="G614" s="562">
        <v>1012</v>
      </c>
      <c r="H614" s="562">
        <v>653.59</v>
      </c>
      <c r="I614" s="562">
        <v>723.02</v>
      </c>
      <c r="J614" s="561" t="s">
        <v>1810</v>
      </c>
      <c r="K614" s="330" t="s">
        <v>4620</v>
      </c>
      <c r="L614" s="330" t="s">
        <v>4621</v>
      </c>
      <c r="M614" s="330" t="s">
        <v>4622</v>
      </c>
      <c r="N614" s="330" t="s">
        <v>4623</v>
      </c>
      <c r="O614" s="395">
        <v>45446</v>
      </c>
      <c r="P614" s="333">
        <v>5741428</v>
      </c>
      <c r="Q614" s="330" t="s">
        <v>1653</v>
      </c>
      <c r="R614" s="562">
        <v>0</v>
      </c>
      <c r="S614" s="333">
        <v>0</v>
      </c>
      <c r="T614" s="333">
        <v>-1592527.5799999989</v>
      </c>
      <c r="U614" s="333">
        <f t="shared" si="93"/>
        <v>-1592527.5799999989</v>
      </c>
      <c r="V614" s="333">
        <v>-124000</v>
      </c>
      <c r="W614" s="333">
        <v>0</v>
      </c>
      <c r="X614" s="333">
        <v>0</v>
      </c>
      <c r="Y614" s="333">
        <v>0</v>
      </c>
      <c r="Z614" s="333">
        <v>0</v>
      </c>
      <c r="AA614" s="333">
        <v>0</v>
      </c>
      <c r="AB614" s="333">
        <v>0</v>
      </c>
      <c r="AC614" s="333">
        <v>0</v>
      </c>
      <c r="AD614" s="333">
        <v>0</v>
      </c>
      <c r="AE614" s="333"/>
      <c r="AF614" s="333"/>
      <c r="AG614" s="333">
        <f t="shared" si="94"/>
        <v>-1716527.5799999989</v>
      </c>
      <c r="AH614" s="330"/>
      <c r="AI614" s="330">
        <v>0</v>
      </c>
      <c r="AJ614" s="396">
        <f t="shared" si="95"/>
        <v>-1716527.5799999989</v>
      </c>
      <c r="AK614" s="563"/>
      <c r="AL614" s="285">
        <f t="shared" si="97"/>
        <v>0</v>
      </c>
      <c r="AM614" s="286"/>
      <c r="AO614" s="330" t="s">
        <v>4620</v>
      </c>
    </row>
    <row r="615" spans="1:41">
      <c r="A615" s="587">
        <f t="shared" si="96"/>
        <v>612</v>
      </c>
      <c r="B615" s="330" t="s">
        <v>1643</v>
      </c>
      <c r="C615" s="330" t="s">
        <v>4624</v>
      </c>
      <c r="D615" s="330" t="s">
        <v>1746</v>
      </c>
      <c r="E615" s="330" t="s">
        <v>4141</v>
      </c>
      <c r="F615" s="330" t="s">
        <v>1786</v>
      </c>
      <c r="G615" s="562">
        <v>1265</v>
      </c>
      <c r="H615" s="562">
        <v>813.33</v>
      </c>
      <c r="I615" s="562">
        <v>903.31</v>
      </c>
      <c r="J615" s="561" t="s">
        <v>1679</v>
      </c>
      <c r="K615" s="330" t="s">
        <v>4625</v>
      </c>
      <c r="L615" s="330" t="s">
        <v>4626</v>
      </c>
      <c r="M615" s="330" t="s">
        <v>4627</v>
      </c>
      <c r="N615" s="330" t="s">
        <v>12</v>
      </c>
      <c r="O615" s="395"/>
      <c r="P615" s="333">
        <v>7135047</v>
      </c>
      <c r="Q615" s="330" t="s">
        <v>1660</v>
      </c>
      <c r="R615" s="562">
        <v>0</v>
      </c>
      <c r="S615" s="333">
        <v>0</v>
      </c>
      <c r="T615" s="333">
        <v>0</v>
      </c>
      <c r="U615" s="333">
        <f t="shared" si="93"/>
        <v>0</v>
      </c>
      <c r="V615" s="333">
        <v>0</v>
      </c>
      <c r="W615" s="333">
        <v>0</v>
      </c>
      <c r="X615" s="333">
        <v>0</v>
      </c>
      <c r="Y615" s="333">
        <v>0</v>
      </c>
      <c r="Z615" s="333">
        <v>0</v>
      </c>
      <c r="AA615" s="333">
        <v>0</v>
      </c>
      <c r="AB615" s="333">
        <v>0</v>
      </c>
      <c r="AC615" s="333">
        <v>0</v>
      </c>
      <c r="AD615" s="333">
        <v>0</v>
      </c>
      <c r="AE615" s="333"/>
      <c r="AF615" s="333"/>
      <c r="AG615" s="333">
        <f t="shared" si="94"/>
        <v>0</v>
      </c>
      <c r="AH615" s="330"/>
      <c r="AI615" s="330">
        <v>0</v>
      </c>
      <c r="AJ615" s="396">
        <f t="shared" si="95"/>
        <v>0</v>
      </c>
      <c r="AK615" s="563"/>
      <c r="AL615" s="285">
        <f t="shared" si="97"/>
        <v>0</v>
      </c>
      <c r="AM615" s="286"/>
      <c r="AO615" s="330" t="s">
        <v>4625</v>
      </c>
    </row>
    <row r="616" spans="1:41">
      <c r="A616" s="587">
        <f t="shared" si="96"/>
        <v>613</v>
      </c>
      <c r="B616" s="330" t="s">
        <v>1643</v>
      </c>
      <c r="C616" s="330" t="s">
        <v>4628</v>
      </c>
      <c r="D616" s="330" t="s">
        <v>1645</v>
      </c>
      <c r="E616" s="330" t="s">
        <v>3172</v>
      </c>
      <c r="F616" s="330" t="s">
        <v>1671</v>
      </c>
      <c r="G616" s="562">
        <v>1375</v>
      </c>
      <c r="H616" s="562">
        <v>876.73</v>
      </c>
      <c r="I616" s="562">
        <v>982.22</v>
      </c>
      <c r="J616" s="561" t="s">
        <v>1648</v>
      </c>
      <c r="K616" s="330" t="s">
        <v>4629</v>
      </c>
      <c r="L616" s="330" t="s">
        <v>4630</v>
      </c>
      <c r="M616" s="330" t="s">
        <v>4631</v>
      </c>
      <c r="N616" s="330" t="s">
        <v>4632</v>
      </c>
      <c r="O616" s="395">
        <v>45548</v>
      </c>
      <c r="P616" s="333">
        <v>8276762</v>
      </c>
      <c r="Q616" s="330" t="s">
        <v>1653</v>
      </c>
      <c r="R616" s="562">
        <v>0</v>
      </c>
      <c r="S616" s="333">
        <v>0</v>
      </c>
      <c r="T616" s="333">
        <v>-2483026.5599999996</v>
      </c>
      <c r="U616" s="333">
        <f t="shared" si="93"/>
        <v>-2483026.5599999996</v>
      </c>
      <c r="V616" s="333">
        <v>0</v>
      </c>
      <c r="W616" s="333">
        <v>0</v>
      </c>
      <c r="X616" s="333">
        <v>0</v>
      </c>
      <c r="Y616" s="333">
        <v>0</v>
      </c>
      <c r="Z616" s="333">
        <v>0</v>
      </c>
      <c r="AA616" s="333">
        <v>0</v>
      </c>
      <c r="AB616" s="333">
        <v>0</v>
      </c>
      <c r="AC616" s="333">
        <v>0</v>
      </c>
      <c r="AD616" s="333">
        <v>0</v>
      </c>
      <c r="AE616" s="333"/>
      <c r="AF616" s="333"/>
      <c r="AG616" s="333">
        <f t="shared" si="94"/>
        <v>-2483026.5599999996</v>
      </c>
      <c r="AH616" s="330"/>
      <c r="AI616" s="330">
        <v>0</v>
      </c>
      <c r="AJ616" s="396">
        <f t="shared" si="95"/>
        <v>-2483026.5599999996</v>
      </c>
      <c r="AK616" s="563"/>
      <c r="AL616" s="285">
        <f t="shared" si="97"/>
        <v>0</v>
      </c>
      <c r="AM616" s="286"/>
      <c r="AO616" s="330" t="s">
        <v>4629</v>
      </c>
    </row>
    <row r="617" spans="1:41">
      <c r="A617" s="587">
        <f t="shared" si="96"/>
        <v>614</v>
      </c>
      <c r="B617" s="330" t="s">
        <v>1643</v>
      </c>
      <c r="C617" s="330" t="s">
        <v>4633</v>
      </c>
      <c r="D617" s="330" t="s">
        <v>1746</v>
      </c>
      <c r="E617" s="330" t="s">
        <v>2600</v>
      </c>
      <c r="F617" s="330" t="s">
        <v>1786</v>
      </c>
      <c r="G617" s="562">
        <v>1265</v>
      </c>
      <c r="H617" s="562">
        <v>813.33</v>
      </c>
      <c r="I617" s="562">
        <v>903.31</v>
      </c>
      <c r="J617" s="561" t="s">
        <v>1810</v>
      </c>
      <c r="K617" s="330" t="s">
        <v>4634</v>
      </c>
      <c r="L617" s="330" t="s">
        <v>4635</v>
      </c>
      <c r="M617" s="330" t="s">
        <v>4636</v>
      </c>
      <c r="N617" s="330" t="s">
        <v>4637</v>
      </c>
      <c r="O617" s="395">
        <v>45456</v>
      </c>
      <c r="P617" s="333">
        <v>7423333</v>
      </c>
      <c r="Q617" s="330" t="s">
        <v>1653</v>
      </c>
      <c r="R617" s="562">
        <v>0</v>
      </c>
      <c r="S617" s="333">
        <v>0</v>
      </c>
      <c r="T617" s="333">
        <v>-1733002.9999999993</v>
      </c>
      <c r="U617" s="333">
        <f t="shared" si="93"/>
        <v>-1733002.9999999993</v>
      </c>
      <c r="V617" s="333">
        <v>0</v>
      </c>
      <c r="W617" s="333">
        <v>0</v>
      </c>
      <c r="X617" s="333">
        <v>0</v>
      </c>
      <c r="Y617" s="333">
        <v>0</v>
      </c>
      <c r="Z617" s="333">
        <v>0</v>
      </c>
      <c r="AA617" s="333">
        <v>0</v>
      </c>
      <c r="AB617" s="333">
        <v>0</v>
      </c>
      <c r="AC617" s="333">
        <v>0</v>
      </c>
      <c r="AD617" s="333">
        <v>0</v>
      </c>
      <c r="AE617" s="333"/>
      <c r="AF617" s="333"/>
      <c r="AG617" s="333">
        <f t="shared" si="94"/>
        <v>-1733002.9999999993</v>
      </c>
      <c r="AH617" s="330"/>
      <c r="AI617" s="330">
        <v>0</v>
      </c>
      <c r="AJ617" s="396">
        <f t="shared" si="95"/>
        <v>-1733002.9999999993</v>
      </c>
      <c r="AK617" s="563"/>
      <c r="AL617" s="285">
        <f t="shared" si="97"/>
        <v>0</v>
      </c>
      <c r="AM617" s="286"/>
      <c r="AO617" s="330" t="s">
        <v>4634</v>
      </c>
    </row>
    <row r="618" spans="1:41">
      <c r="A618" s="587">
        <f t="shared" si="96"/>
        <v>615</v>
      </c>
      <c r="B618" s="330" t="s">
        <v>1643</v>
      </c>
      <c r="C618" s="330" t="s">
        <v>4638</v>
      </c>
      <c r="D618" s="330" t="s">
        <v>1704</v>
      </c>
      <c r="E618" s="330" t="s">
        <v>2160</v>
      </c>
      <c r="F618" s="330" t="s">
        <v>1786</v>
      </c>
      <c r="G618" s="562">
        <v>1265</v>
      </c>
      <c r="H618" s="562">
        <v>813.33</v>
      </c>
      <c r="I618" s="562">
        <v>903.31</v>
      </c>
      <c r="J618" s="561" t="s">
        <v>1810</v>
      </c>
      <c r="K618" s="330" t="s">
        <v>4639</v>
      </c>
      <c r="L618" s="330" t="s">
        <v>4640</v>
      </c>
      <c r="M618" s="330" t="s">
        <v>4641</v>
      </c>
      <c r="N618" s="330" t="s">
        <v>4642</v>
      </c>
      <c r="O618" s="395">
        <v>45548</v>
      </c>
      <c r="P618" s="333">
        <v>7080286</v>
      </c>
      <c r="Q618" s="330" t="s">
        <v>1653</v>
      </c>
      <c r="R618" s="562">
        <v>0</v>
      </c>
      <c r="S618" s="333">
        <v>0</v>
      </c>
      <c r="T618" s="333">
        <v>-2024085.7000000004</v>
      </c>
      <c r="U618" s="333">
        <f t="shared" si="93"/>
        <v>-2024085.7000000004</v>
      </c>
      <c r="V618" s="333">
        <v>0</v>
      </c>
      <c r="W618" s="333">
        <v>0</v>
      </c>
      <c r="X618" s="333">
        <v>0</v>
      </c>
      <c r="Y618" s="333">
        <v>0</v>
      </c>
      <c r="Z618" s="333">
        <v>0</v>
      </c>
      <c r="AA618" s="333">
        <v>0</v>
      </c>
      <c r="AB618" s="333">
        <v>0</v>
      </c>
      <c r="AC618" s="333">
        <v>0</v>
      </c>
      <c r="AD618" s="333">
        <v>0</v>
      </c>
      <c r="AE618" s="333"/>
      <c r="AF618" s="333"/>
      <c r="AG618" s="333">
        <f t="shared" si="94"/>
        <v>-2024085.7000000004</v>
      </c>
      <c r="AH618" s="330"/>
      <c r="AI618" s="330">
        <v>0</v>
      </c>
      <c r="AJ618" s="396">
        <f t="shared" si="95"/>
        <v>-2024085.7000000004</v>
      </c>
      <c r="AK618" s="563"/>
      <c r="AL618" s="285">
        <f t="shared" si="97"/>
        <v>0</v>
      </c>
      <c r="AM618" s="286"/>
      <c r="AO618" s="330" t="s">
        <v>4639</v>
      </c>
    </row>
    <row r="619" spans="1:41">
      <c r="A619" s="587">
        <f t="shared" si="96"/>
        <v>616</v>
      </c>
      <c r="B619" s="330" t="s">
        <v>1643</v>
      </c>
      <c r="C619" s="330" t="s">
        <v>4643</v>
      </c>
      <c r="D619" s="330" t="s">
        <v>1746</v>
      </c>
      <c r="E619" s="330" t="s">
        <v>4049</v>
      </c>
      <c r="F619" s="330" t="s">
        <v>1671</v>
      </c>
      <c r="G619" s="562">
        <v>1498</v>
      </c>
      <c r="H619" s="562">
        <v>954.87</v>
      </c>
      <c r="I619" s="562">
        <v>1069.73</v>
      </c>
      <c r="J619" s="561" t="s">
        <v>1810</v>
      </c>
      <c r="K619" s="330" t="s">
        <v>4644</v>
      </c>
      <c r="L619" s="330" t="s">
        <v>4645</v>
      </c>
      <c r="M619" s="330" t="s">
        <v>4646</v>
      </c>
      <c r="N619" s="330" t="s">
        <v>4647</v>
      </c>
      <c r="O619" s="395">
        <v>45496</v>
      </c>
      <c r="P619" s="333">
        <v>8901714</v>
      </c>
      <c r="Q619" s="330" t="s">
        <v>1653</v>
      </c>
      <c r="R619" s="562">
        <v>0</v>
      </c>
      <c r="S619" s="333">
        <v>0</v>
      </c>
      <c r="T619" s="333">
        <v>-2759531.2800000003</v>
      </c>
      <c r="U619" s="333">
        <f t="shared" si="93"/>
        <v>-2759531.2800000003</v>
      </c>
      <c r="V619" s="333">
        <v>0</v>
      </c>
      <c r="W619" s="333">
        <v>0</v>
      </c>
      <c r="X619" s="333">
        <v>0</v>
      </c>
      <c r="Y619" s="333">
        <v>0</v>
      </c>
      <c r="Z619" s="333">
        <v>0</v>
      </c>
      <c r="AA619" s="333">
        <v>0</v>
      </c>
      <c r="AB619" s="333">
        <v>0</v>
      </c>
      <c r="AC619" s="333">
        <v>0</v>
      </c>
      <c r="AD619" s="333">
        <v>0</v>
      </c>
      <c r="AE619" s="333"/>
      <c r="AF619" s="333"/>
      <c r="AG619" s="333">
        <f t="shared" si="94"/>
        <v>-2759531.2800000003</v>
      </c>
      <c r="AH619" s="330"/>
      <c r="AI619" s="330">
        <v>0</v>
      </c>
      <c r="AJ619" s="396">
        <f t="shared" si="95"/>
        <v>-2759531.2800000003</v>
      </c>
      <c r="AK619" s="563"/>
      <c r="AL619" s="285">
        <f t="shared" si="97"/>
        <v>0</v>
      </c>
      <c r="AM619" s="286"/>
      <c r="AO619" s="330" t="s">
        <v>4644</v>
      </c>
    </row>
    <row r="620" spans="1:41">
      <c r="A620" s="587">
        <f t="shared" si="96"/>
        <v>617</v>
      </c>
      <c r="B620" s="330" t="s">
        <v>1643</v>
      </c>
      <c r="C620" s="330" t="s">
        <v>4648</v>
      </c>
      <c r="D620" s="330" t="s">
        <v>1704</v>
      </c>
      <c r="E620" s="330" t="s">
        <v>1923</v>
      </c>
      <c r="F620" s="330" t="s">
        <v>1647</v>
      </c>
      <c r="G620" s="562">
        <v>1114</v>
      </c>
      <c r="H620" s="562">
        <v>683.3</v>
      </c>
      <c r="I620" s="562">
        <v>795.57</v>
      </c>
      <c r="J620" s="561" t="s">
        <v>1648</v>
      </c>
      <c r="K620" s="330" t="s">
        <v>4649</v>
      </c>
      <c r="L620" s="330" t="s">
        <v>4650</v>
      </c>
      <c r="M620" s="330" t="s">
        <v>4651</v>
      </c>
      <c r="N620" s="330" t="s">
        <v>4652</v>
      </c>
      <c r="O620" s="395">
        <v>45456</v>
      </c>
      <c r="P620" s="333">
        <v>6392857</v>
      </c>
      <c r="Q620" s="330" t="s">
        <v>1653</v>
      </c>
      <c r="R620" s="562">
        <v>0</v>
      </c>
      <c r="S620" s="333">
        <v>0</v>
      </c>
      <c r="T620" s="333">
        <v>-1981784.14</v>
      </c>
      <c r="U620" s="333">
        <f t="shared" si="93"/>
        <v>-1981784.14</v>
      </c>
      <c r="V620" s="333">
        <v>0</v>
      </c>
      <c r="W620" s="333">
        <v>0</v>
      </c>
      <c r="X620" s="333">
        <v>0</v>
      </c>
      <c r="Y620" s="333">
        <v>0</v>
      </c>
      <c r="Z620" s="333">
        <v>0</v>
      </c>
      <c r="AA620" s="333">
        <v>0</v>
      </c>
      <c r="AB620" s="333">
        <v>0</v>
      </c>
      <c r="AC620" s="333">
        <v>0</v>
      </c>
      <c r="AD620" s="333">
        <v>0</v>
      </c>
      <c r="AE620" s="333"/>
      <c r="AF620" s="333"/>
      <c r="AG620" s="333">
        <f t="shared" si="94"/>
        <v>-1981784.14</v>
      </c>
      <c r="AH620" s="330"/>
      <c r="AI620" s="330">
        <v>0</v>
      </c>
      <c r="AJ620" s="396">
        <f t="shared" si="95"/>
        <v>-1981784.14</v>
      </c>
      <c r="AK620" s="563"/>
      <c r="AL620" s="285">
        <f t="shared" si="97"/>
        <v>0</v>
      </c>
      <c r="AM620" s="286"/>
      <c r="AO620" s="330" t="s">
        <v>4649</v>
      </c>
    </row>
    <row r="621" spans="1:41">
      <c r="A621" s="587">
        <f t="shared" si="96"/>
        <v>618</v>
      </c>
      <c r="B621" s="330" t="s">
        <v>1643</v>
      </c>
      <c r="C621" s="330" t="s">
        <v>4653</v>
      </c>
      <c r="D621" s="330" t="s">
        <v>1645</v>
      </c>
      <c r="E621" s="330" t="s">
        <v>2388</v>
      </c>
      <c r="F621" s="330" t="s">
        <v>1647</v>
      </c>
      <c r="G621" s="562">
        <v>1114</v>
      </c>
      <c r="H621" s="562">
        <v>683.3</v>
      </c>
      <c r="I621" s="562">
        <v>795.57</v>
      </c>
      <c r="J621" s="561" t="s">
        <v>1648</v>
      </c>
      <c r="K621" s="330" t="s">
        <v>4654</v>
      </c>
      <c r="L621" s="330" t="s">
        <v>4655</v>
      </c>
      <c r="M621" s="330" t="s">
        <v>4656</v>
      </c>
      <c r="N621" s="330" t="s">
        <v>4657</v>
      </c>
      <c r="O621" s="395">
        <v>45454</v>
      </c>
      <c r="P621" s="333">
        <v>6312476</v>
      </c>
      <c r="Q621" s="330" t="s">
        <v>1653</v>
      </c>
      <c r="R621" s="562">
        <v>0</v>
      </c>
      <c r="S621" s="333">
        <v>0</v>
      </c>
      <c r="T621" s="333">
        <v>-1893741.8600000006</v>
      </c>
      <c r="U621" s="333">
        <f t="shared" si="93"/>
        <v>-1893741.8600000006</v>
      </c>
      <c r="V621" s="333">
        <v>0</v>
      </c>
      <c r="W621" s="333">
        <v>0</v>
      </c>
      <c r="X621" s="333">
        <v>0</v>
      </c>
      <c r="Y621" s="333">
        <v>0</v>
      </c>
      <c r="Z621" s="333">
        <v>0</v>
      </c>
      <c r="AA621" s="333">
        <v>0</v>
      </c>
      <c r="AB621" s="333">
        <v>0</v>
      </c>
      <c r="AC621" s="333">
        <v>0</v>
      </c>
      <c r="AD621" s="333">
        <v>0</v>
      </c>
      <c r="AE621" s="333"/>
      <c r="AF621" s="333"/>
      <c r="AG621" s="333">
        <f t="shared" si="94"/>
        <v>-1893741.8600000006</v>
      </c>
      <c r="AH621" s="330"/>
      <c r="AI621" s="330">
        <v>0</v>
      </c>
      <c r="AJ621" s="396">
        <f t="shared" si="95"/>
        <v>-1893741.8600000006</v>
      </c>
      <c r="AK621" s="563"/>
      <c r="AL621" s="285">
        <f t="shared" si="97"/>
        <v>0</v>
      </c>
      <c r="AM621" s="286"/>
      <c r="AO621" s="330" t="s">
        <v>4654</v>
      </c>
    </row>
    <row r="622" spans="1:41">
      <c r="A622" s="587">
        <f t="shared" si="96"/>
        <v>619</v>
      </c>
      <c r="B622" s="330" t="s">
        <v>1643</v>
      </c>
      <c r="C622" s="330" t="s">
        <v>4658</v>
      </c>
      <c r="D622" s="330" t="s">
        <v>1662</v>
      </c>
      <c r="E622" s="330" t="s">
        <v>2718</v>
      </c>
      <c r="F622" s="330" t="s">
        <v>1671</v>
      </c>
      <c r="G622" s="562">
        <v>1375</v>
      </c>
      <c r="H622" s="562">
        <v>876.73</v>
      </c>
      <c r="I622" s="562">
        <v>982.22</v>
      </c>
      <c r="J622" s="561" t="s">
        <v>1648</v>
      </c>
      <c r="K622" s="330" t="s">
        <v>4659</v>
      </c>
      <c r="L622" s="330" t="s">
        <v>4660</v>
      </c>
      <c r="M622" s="330" t="s">
        <v>4661</v>
      </c>
      <c r="N622" s="330" t="s">
        <v>4662</v>
      </c>
      <c r="O622" s="395">
        <v>45435</v>
      </c>
      <c r="P622" s="333">
        <v>7762445</v>
      </c>
      <c r="Q622" s="330" t="s">
        <v>1653</v>
      </c>
      <c r="R622" s="562">
        <v>0</v>
      </c>
      <c r="S622" s="333">
        <v>0</v>
      </c>
      <c r="T622" s="333">
        <v>-2399217.3200000003</v>
      </c>
      <c r="U622" s="333">
        <f t="shared" si="93"/>
        <v>-2399217.3200000003</v>
      </c>
      <c r="V622" s="333">
        <v>0</v>
      </c>
      <c r="W622" s="333">
        <v>0</v>
      </c>
      <c r="X622" s="333">
        <v>0</v>
      </c>
      <c r="Y622" s="333">
        <v>0</v>
      </c>
      <c r="Z622" s="333">
        <v>0</v>
      </c>
      <c r="AA622" s="333">
        <v>0</v>
      </c>
      <c r="AB622" s="333">
        <v>0</v>
      </c>
      <c r="AC622" s="333">
        <v>-7142</v>
      </c>
      <c r="AD622" s="333">
        <v>0</v>
      </c>
      <c r="AE622" s="333"/>
      <c r="AF622" s="333"/>
      <c r="AG622" s="333">
        <f t="shared" si="94"/>
        <v>-2406359.3200000003</v>
      </c>
      <c r="AH622" s="330"/>
      <c r="AI622" s="330">
        <v>7142</v>
      </c>
      <c r="AJ622" s="396">
        <f t="shared" si="95"/>
        <v>-2406359.3200000003</v>
      </c>
      <c r="AK622" s="563"/>
      <c r="AL622" s="285">
        <f t="shared" ref="AL622:AL625" si="101">+AC622+AI622</f>
        <v>0</v>
      </c>
      <c r="AM622" s="286"/>
      <c r="AO622" s="330" t="s">
        <v>4659</v>
      </c>
    </row>
    <row r="623" spans="1:41">
      <c r="A623" s="587">
        <f t="shared" si="96"/>
        <v>620</v>
      </c>
      <c r="B623" s="330" t="s">
        <v>1643</v>
      </c>
      <c r="C623" s="330" t="s">
        <v>4663</v>
      </c>
      <c r="D623" s="330" t="s">
        <v>1645</v>
      </c>
      <c r="E623" s="330" t="s">
        <v>2661</v>
      </c>
      <c r="F623" s="330" t="s">
        <v>1647</v>
      </c>
      <c r="G623" s="562">
        <v>1012</v>
      </c>
      <c r="H623" s="562">
        <v>653.59</v>
      </c>
      <c r="I623" s="562">
        <v>723.02</v>
      </c>
      <c r="J623" s="561" t="s">
        <v>1648</v>
      </c>
      <c r="K623" s="330" t="s">
        <v>4664</v>
      </c>
      <c r="L623" s="330" t="s">
        <v>4665</v>
      </c>
      <c r="M623" s="330" t="s">
        <v>4666</v>
      </c>
      <c r="N623" s="330" t="s">
        <v>4667</v>
      </c>
      <c r="O623" s="395">
        <v>45457</v>
      </c>
      <c r="P623" s="333">
        <v>5750000</v>
      </c>
      <c r="Q623" s="330" t="s">
        <v>1653</v>
      </c>
      <c r="R623" s="562">
        <v>0</v>
      </c>
      <c r="S623" s="333">
        <v>0</v>
      </c>
      <c r="T623" s="333">
        <v>-1782500</v>
      </c>
      <c r="U623" s="333">
        <f t="shared" si="93"/>
        <v>-1782500</v>
      </c>
      <c r="V623" s="333">
        <v>0</v>
      </c>
      <c r="W623" s="333">
        <v>0</v>
      </c>
      <c r="X623" s="333">
        <v>0</v>
      </c>
      <c r="Y623" s="333">
        <v>0</v>
      </c>
      <c r="Z623" s="333">
        <v>0</v>
      </c>
      <c r="AA623" s="333">
        <v>0</v>
      </c>
      <c r="AB623" s="333">
        <v>0</v>
      </c>
      <c r="AC623" s="333">
        <v>-2619</v>
      </c>
      <c r="AD623" s="333">
        <v>0</v>
      </c>
      <c r="AE623" s="333"/>
      <c r="AF623" s="333"/>
      <c r="AG623" s="333">
        <f t="shared" si="94"/>
        <v>-1785119</v>
      </c>
      <c r="AH623" s="330"/>
      <c r="AI623" s="330">
        <v>2619</v>
      </c>
      <c r="AJ623" s="396">
        <f t="shared" si="95"/>
        <v>-1785119</v>
      </c>
      <c r="AK623" s="563"/>
      <c r="AL623" s="285">
        <f t="shared" si="101"/>
        <v>0</v>
      </c>
      <c r="AM623" s="286"/>
      <c r="AO623" s="330" t="s">
        <v>4664</v>
      </c>
    </row>
    <row r="624" spans="1:41">
      <c r="A624" s="587">
        <f t="shared" si="96"/>
        <v>621</v>
      </c>
      <c r="B624" s="330" t="s">
        <v>1643</v>
      </c>
      <c r="C624" s="330" t="s">
        <v>4668</v>
      </c>
      <c r="D624" s="330" t="s">
        <v>1645</v>
      </c>
      <c r="E624" s="330" t="s">
        <v>1803</v>
      </c>
      <c r="F624" s="330" t="s">
        <v>1671</v>
      </c>
      <c r="G624" s="562">
        <v>1375</v>
      </c>
      <c r="H624" s="562">
        <v>876.73</v>
      </c>
      <c r="I624" s="562">
        <v>982.22</v>
      </c>
      <c r="J624" s="561" t="s">
        <v>1648</v>
      </c>
      <c r="K624" s="330" t="s">
        <v>4669</v>
      </c>
      <c r="L624" s="330" t="s">
        <v>4670</v>
      </c>
      <c r="M624" s="330" t="s">
        <v>4671</v>
      </c>
      <c r="N624" s="330" t="s">
        <v>4672</v>
      </c>
      <c r="O624" s="395">
        <v>45408</v>
      </c>
      <c r="P624" s="333">
        <v>7762445</v>
      </c>
      <c r="Q624" s="330" t="s">
        <v>1653</v>
      </c>
      <c r="R624" s="562">
        <v>0</v>
      </c>
      <c r="S624" s="333">
        <v>0</v>
      </c>
      <c r="T624" s="333">
        <v>-2178386.3200000003</v>
      </c>
      <c r="U624" s="333">
        <f t="shared" si="93"/>
        <v>-2178386.3200000003</v>
      </c>
      <c r="V624" s="333">
        <v>0</v>
      </c>
      <c r="W624" s="333">
        <v>0</v>
      </c>
      <c r="X624" s="333">
        <v>0</v>
      </c>
      <c r="Y624" s="333">
        <v>0</v>
      </c>
      <c r="Z624" s="333">
        <v>0</v>
      </c>
      <c r="AA624" s="333">
        <v>0</v>
      </c>
      <c r="AB624" s="333">
        <v>0</v>
      </c>
      <c r="AC624" s="333">
        <v>-45585.380000000005</v>
      </c>
      <c r="AD624" s="333">
        <v>0</v>
      </c>
      <c r="AE624" s="333"/>
      <c r="AF624" s="333"/>
      <c r="AG624" s="333">
        <f t="shared" si="94"/>
        <v>-2223971.7000000002</v>
      </c>
      <c r="AH624" s="330"/>
      <c r="AI624" s="330">
        <v>45585.38</v>
      </c>
      <c r="AJ624" s="396">
        <f t="shared" si="95"/>
        <v>-2223971.7000000002</v>
      </c>
      <c r="AK624" s="563"/>
      <c r="AL624" s="285">
        <f t="shared" si="101"/>
        <v>0</v>
      </c>
      <c r="AM624" s="286"/>
      <c r="AO624" s="330" t="s">
        <v>4669</v>
      </c>
    </row>
    <row r="625" spans="1:41">
      <c r="A625" s="587">
        <f t="shared" si="96"/>
        <v>622</v>
      </c>
      <c r="B625" s="330" t="s">
        <v>1643</v>
      </c>
      <c r="C625" s="330" t="s">
        <v>4673</v>
      </c>
      <c r="D625" s="330" t="s">
        <v>1645</v>
      </c>
      <c r="E625" s="330" t="s">
        <v>2269</v>
      </c>
      <c r="F625" s="330" t="s">
        <v>1647</v>
      </c>
      <c r="G625" s="562">
        <v>1114</v>
      </c>
      <c r="H625" s="562">
        <v>683.3</v>
      </c>
      <c r="I625" s="562">
        <v>795.57</v>
      </c>
      <c r="J625" s="561" t="s">
        <v>1648</v>
      </c>
      <c r="K625" s="330" t="s">
        <v>4674</v>
      </c>
      <c r="L625" s="330" t="s">
        <v>4675</v>
      </c>
      <c r="M625" s="330" t="s">
        <v>4676</v>
      </c>
      <c r="N625" s="330" t="s">
        <v>4677</v>
      </c>
      <c r="O625" s="395">
        <v>45407</v>
      </c>
      <c r="P625" s="333">
        <v>6320782</v>
      </c>
      <c r="Q625" s="330" t="s">
        <v>1653</v>
      </c>
      <c r="R625" s="562">
        <v>0</v>
      </c>
      <c r="S625" s="333">
        <v>0</v>
      </c>
      <c r="T625" s="333">
        <v>-1773616.0800000003</v>
      </c>
      <c r="U625" s="333">
        <f t="shared" si="93"/>
        <v>-1773616.0800000003</v>
      </c>
      <c r="V625" s="333">
        <v>-178681</v>
      </c>
      <c r="W625" s="333">
        <v>0</v>
      </c>
      <c r="X625" s="333">
        <v>0</v>
      </c>
      <c r="Y625" s="333">
        <v>0</v>
      </c>
      <c r="Z625" s="333">
        <v>0</v>
      </c>
      <c r="AA625" s="333">
        <v>0</v>
      </c>
      <c r="AB625" s="333">
        <v>0</v>
      </c>
      <c r="AC625" s="333">
        <v>-7142</v>
      </c>
      <c r="AD625" s="333">
        <v>0</v>
      </c>
      <c r="AE625" s="333"/>
      <c r="AF625" s="333"/>
      <c r="AG625" s="333">
        <f t="shared" si="94"/>
        <v>-1959439.0800000003</v>
      </c>
      <c r="AH625" s="330"/>
      <c r="AI625" s="330">
        <v>7142</v>
      </c>
      <c r="AJ625" s="396">
        <f t="shared" si="95"/>
        <v>-1959439.0800000003</v>
      </c>
      <c r="AK625" s="563"/>
      <c r="AL625" s="285">
        <f t="shared" si="101"/>
        <v>0</v>
      </c>
      <c r="AM625" s="286"/>
      <c r="AO625" s="330" t="s">
        <v>4674</v>
      </c>
    </row>
    <row r="626" spans="1:41">
      <c r="A626" s="587">
        <f t="shared" si="96"/>
        <v>623</v>
      </c>
      <c r="B626" s="330" t="s">
        <v>1643</v>
      </c>
      <c r="C626" s="330" t="s">
        <v>4678</v>
      </c>
      <c r="D626" s="330" t="s">
        <v>1662</v>
      </c>
      <c r="E626" s="330" t="s">
        <v>4408</v>
      </c>
      <c r="F626" s="330" t="s">
        <v>1671</v>
      </c>
      <c r="G626" s="562">
        <v>1375</v>
      </c>
      <c r="H626" s="562">
        <v>876.73</v>
      </c>
      <c r="I626" s="562">
        <v>982.22</v>
      </c>
      <c r="J626" s="561" t="s">
        <v>1648</v>
      </c>
      <c r="K626" s="330" t="s">
        <v>4679</v>
      </c>
      <c r="L626" s="330" t="s">
        <v>4680</v>
      </c>
      <c r="M626" s="330" t="s">
        <v>4681</v>
      </c>
      <c r="N626" s="330" t="s">
        <v>4682</v>
      </c>
      <c r="O626" s="395">
        <v>45664</v>
      </c>
      <c r="P626" s="333">
        <v>8098190</v>
      </c>
      <c r="Q626" s="330" t="s">
        <v>1653</v>
      </c>
      <c r="R626" s="562">
        <v>0</v>
      </c>
      <c r="S626" s="333">
        <v>0</v>
      </c>
      <c r="T626" s="333">
        <v>-2510438.9000000004</v>
      </c>
      <c r="U626" s="333">
        <f t="shared" si="93"/>
        <v>-2510438.9000000004</v>
      </c>
      <c r="V626" s="333">
        <v>0</v>
      </c>
      <c r="W626" s="333">
        <v>0</v>
      </c>
      <c r="X626" s="333">
        <v>0</v>
      </c>
      <c r="Y626" s="333">
        <v>0</v>
      </c>
      <c r="Z626" s="333">
        <v>0</v>
      </c>
      <c r="AA626" s="333">
        <v>0</v>
      </c>
      <c r="AB626" s="333">
        <v>0</v>
      </c>
      <c r="AC626" s="333">
        <v>0</v>
      </c>
      <c r="AD626" s="333">
        <v>0</v>
      </c>
      <c r="AE626" s="333"/>
      <c r="AF626" s="333"/>
      <c r="AG626" s="333">
        <f t="shared" si="94"/>
        <v>-2510438.9000000004</v>
      </c>
      <c r="AH626" s="330"/>
      <c r="AI626" s="330">
        <v>0</v>
      </c>
      <c r="AJ626" s="396">
        <f t="shared" si="95"/>
        <v>-2510438.9000000004</v>
      </c>
      <c r="AK626" s="563"/>
      <c r="AL626" s="285">
        <f t="shared" si="97"/>
        <v>0</v>
      </c>
      <c r="AM626" s="286"/>
      <c r="AO626" s="330" t="s">
        <v>4679</v>
      </c>
    </row>
    <row r="627" spans="1:41">
      <c r="A627" s="587">
        <f t="shared" si="96"/>
        <v>624</v>
      </c>
      <c r="B627" s="330" t="s">
        <v>1643</v>
      </c>
      <c r="C627" s="330" t="s">
        <v>4683</v>
      </c>
      <c r="D627" s="330" t="s">
        <v>1704</v>
      </c>
      <c r="E627" s="330" t="s">
        <v>2739</v>
      </c>
      <c r="F627" s="330" t="s">
        <v>1647</v>
      </c>
      <c r="G627" s="562">
        <v>1012</v>
      </c>
      <c r="H627" s="562">
        <v>653.59</v>
      </c>
      <c r="I627" s="562">
        <v>723.02</v>
      </c>
      <c r="J627" s="561" t="s">
        <v>1648</v>
      </c>
      <c r="K627" s="330" t="s">
        <v>4684</v>
      </c>
      <c r="L627" s="330" t="s">
        <v>4685</v>
      </c>
      <c r="M627" s="330" t="s">
        <v>4686</v>
      </c>
      <c r="N627" s="330" t="s">
        <v>4687</v>
      </c>
      <c r="O627" s="395">
        <v>45454</v>
      </c>
      <c r="P627" s="333">
        <v>5776762</v>
      </c>
      <c r="Q627" s="330" t="s">
        <v>1653</v>
      </c>
      <c r="R627" s="562">
        <v>0</v>
      </c>
      <c r="S627" s="333">
        <v>0</v>
      </c>
      <c r="T627" s="333">
        <v>-1832028.5599999994</v>
      </c>
      <c r="U627" s="333">
        <f t="shared" si="93"/>
        <v>-1832028.5599999994</v>
      </c>
      <c r="V627" s="333">
        <v>0</v>
      </c>
      <c r="W627" s="333">
        <v>0</v>
      </c>
      <c r="X627" s="333">
        <v>0</v>
      </c>
      <c r="Y627" s="333">
        <v>0</v>
      </c>
      <c r="Z627" s="333">
        <v>0</v>
      </c>
      <c r="AA627" s="333">
        <v>0</v>
      </c>
      <c r="AB627" s="333">
        <v>0</v>
      </c>
      <c r="AC627" s="333">
        <v>0</v>
      </c>
      <c r="AD627" s="333">
        <v>0</v>
      </c>
      <c r="AE627" s="333"/>
      <c r="AF627" s="333"/>
      <c r="AG627" s="333">
        <f t="shared" si="94"/>
        <v>-1832028.5599999994</v>
      </c>
      <c r="AH627" s="330"/>
      <c r="AI627" s="330">
        <v>0</v>
      </c>
      <c r="AJ627" s="396">
        <f t="shared" si="95"/>
        <v>-1832028.5599999994</v>
      </c>
      <c r="AK627" s="563"/>
      <c r="AL627" s="285">
        <f t="shared" si="97"/>
        <v>0</v>
      </c>
      <c r="AM627" s="286"/>
      <c r="AO627" s="330" t="s">
        <v>4684</v>
      </c>
    </row>
    <row r="628" spans="1:41">
      <c r="A628" s="587">
        <f t="shared" si="96"/>
        <v>625</v>
      </c>
      <c r="B628" s="330" t="s">
        <v>1643</v>
      </c>
      <c r="C628" s="330" t="s">
        <v>4688</v>
      </c>
      <c r="D628" s="330" t="s">
        <v>1645</v>
      </c>
      <c r="E628" s="330" t="s">
        <v>2316</v>
      </c>
      <c r="F628" s="330" t="s">
        <v>1647</v>
      </c>
      <c r="G628" s="562">
        <v>1012</v>
      </c>
      <c r="H628" s="562">
        <v>653.59</v>
      </c>
      <c r="I628" s="562">
        <v>723.02</v>
      </c>
      <c r="J628" s="561" t="s">
        <v>1648</v>
      </c>
      <c r="K628" s="330" t="s">
        <v>4689</v>
      </c>
      <c r="L628" s="330" t="s">
        <v>4690</v>
      </c>
      <c r="M628" s="330" t="s">
        <v>4691</v>
      </c>
      <c r="N628" s="330" t="s">
        <v>4692</v>
      </c>
      <c r="O628" s="395">
        <v>45406</v>
      </c>
      <c r="P628" s="333">
        <v>5698827</v>
      </c>
      <c r="Q628" s="330" t="s">
        <v>1653</v>
      </c>
      <c r="R628" s="562">
        <v>0</v>
      </c>
      <c r="S628" s="333">
        <v>0</v>
      </c>
      <c r="T628" s="333">
        <v>-1702504.5800000003</v>
      </c>
      <c r="U628" s="333">
        <f t="shared" si="93"/>
        <v>-1702504.5800000003</v>
      </c>
      <c r="V628" s="333">
        <v>0</v>
      </c>
      <c r="W628" s="333">
        <v>0</v>
      </c>
      <c r="X628" s="333">
        <v>0</v>
      </c>
      <c r="Y628" s="333">
        <v>0</v>
      </c>
      <c r="Z628" s="333">
        <v>0</v>
      </c>
      <c r="AA628" s="333">
        <v>0</v>
      </c>
      <c r="AB628" s="333">
        <v>0</v>
      </c>
      <c r="AC628" s="333">
        <v>-7142.9</v>
      </c>
      <c r="AD628" s="333">
        <v>0</v>
      </c>
      <c r="AE628" s="333"/>
      <c r="AF628" s="333"/>
      <c r="AG628" s="333">
        <f t="shared" si="94"/>
        <v>-1709647.4800000002</v>
      </c>
      <c r="AH628" s="330"/>
      <c r="AI628" s="330">
        <v>7142.9000000000005</v>
      </c>
      <c r="AJ628" s="396">
        <f t="shared" si="95"/>
        <v>-1709647.4800000002</v>
      </c>
      <c r="AK628" s="563"/>
      <c r="AL628" s="285">
        <f>+AC628+AI628</f>
        <v>0</v>
      </c>
      <c r="AM628" s="286"/>
      <c r="AO628" s="330" t="s">
        <v>4689</v>
      </c>
    </row>
    <row r="629" spans="1:41">
      <c r="A629" s="587">
        <f t="shared" si="96"/>
        <v>626</v>
      </c>
      <c r="B629" s="330" t="s">
        <v>1643</v>
      </c>
      <c r="C629" s="330" t="s">
        <v>4693</v>
      </c>
      <c r="D629" s="330" t="s">
        <v>1669</v>
      </c>
      <c r="E629" s="330" t="s">
        <v>2359</v>
      </c>
      <c r="F629" s="330" t="s">
        <v>1671</v>
      </c>
      <c r="G629" s="562">
        <v>1787</v>
      </c>
      <c r="H629" s="562">
        <v>1138.51</v>
      </c>
      <c r="I629" s="562">
        <v>1276.29</v>
      </c>
      <c r="J629" s="561" t="s">
        <v>1679</v>
      </c>
      <c r="K629" s="330" t="s">
        <v>4694</v>
      </c>
      <c r="L629" s="330" t="s">
        <v>4695</v>
      </c>
      <c r="M629" s="330" t="s">
        <v>4696</v>
      </c>
      <c r="N629" s="330" t="s">
        <v>4697</v>
      </c>
      <c r="O629" s="395">
        <v>45635</v>
      </c>
      <c r="P629" s="333">
        <v>12696429</v>
      </c>
      <c r="Q629" s="330" t="s">
        <v>1653</v>
      </c>
      <c r="R629" s="562">
        <v>0</v>
      </c>
      <c r="S629" s="333">
        <v>0</v>
      </c>
      <c r="T629" s="333">
        <v>-3935893.5599999991</v>
      </c>
      <c r="U629" s="333">
        <f t="shared" si="93"/>
        <v>-3935893.5599999991</v>
      </c>
      <c r="V629" s="333">
        <v>0</v>
      </c>
      <c r="W629" s="333">
        <v>0</v>
      </c>
      <c r="X629" s="333">
        <v>0</v>
      </c>
      <c r="Y629" s="333">
        <v>0</v>
      </c>
      <c r="Z629" s="333">
        <v>0</v>
      </c>
      <c r="AA629" s="333">
        <v>0</v>
      </c>
      <c r="AB629" s="333">
        <v>0</v>
      </c>
      <c r="AC629" s="333">
        <v>0</v>
      </c>
      <c r="AD629" s="333">
        <v>0</v>
      </c>
      <c r="AE629" s="333"/>
      <c r="AF629" s="333"/>
      <c r="AG629" s="333">
        <f t="shared" si="94"/>
        <v>-3935893.5599999991</v>
      </c>
      <c r="AH629" s="330"/>
      <c r="AI629" s="330">
        <v>0</v>
      </c>
      <c r="AJ629" s="396">
        <f t="shared" si="95"/>
        <v>-3935893.5599999991</v>
      </c>
      <c r="AK629" s="563"/>
      <c r="AL629" s="285">
        <f t="shared" si="97"/>
        <v>0</v>
      </c>
      <c r="AM629" s="286"/>
      <c r="AO629" s="330" t="s">
        <v>4694</v>
      </c>
    </row>
    <row r="630" spans="1:41">
      <c r="A630" s="587">
        <f t="shared" si="96"/>
        <v>627</v>
      </c>
      <c r="B630" s="330" t="s">
        <v>1643</v>
      </c>
      <c r="C630" s="330" t="s">
        <v>4698</v>
      </c>
      <c r="D630" s="330" t="s">
        <v>1669</v>
      </c>
      <c r="E630" s="330" t="s">
        <v>1978</v>
      </c>
      <c r="F630" s="330" t="s">
        <v>1671</v>
      </c>
      <c r="G630" s="562">
        <v>1787</v>
      </c>
      <c r="H630" s="562">
        <v>1138.51</v>
      </c>
      <c r="I630" s="562">
        <v>1276.29</v>
      </c>
      <c r="J630" s="561" t="s">
        <v>1648</v>
      </c>
      <c r="K630" s="330" t="s">
        <v>4699</v>
      </c>
      <c r="L630" s="330" t="s">
        <v>4700</v>
      </c>
      <c r="M630" s="330" t="s">
        <v>4701</v>
      </c>
      <c r="N630" s="330" t="s">
        <v>4702</v>
      </c>
      <c r="O630" s="395">
        <v>45457</v>
      </c>
      <c r="P630" s="333">
        <v>11133905</v>
      </c>
      <c r="Q630" s="330" t="s">
        <v>1653</v>
      </c>
      <c r="R630" s="562">
        <v>0</v>
      </c>
      <c r="S630" s="333">
        <v>0</v>
      </c>
      <c r="T630" s="333">
        <v>-3451512.4699999997</v>
      </c>
      <c r="U630" s="333">
        <f t="shared" si="93"/>
        <v>-3451512.4699999997</v>
      </c>
      <c r="V630" s="333">
        <v>0</v>
      </c>
      <c r="W630" s="333">
        <v>0</v>
      </c>
      <c r="X630" s="333">
        <v>0</v>
      </c>
      <c r="Y630" s="333">
        <v>0</v>
      </c>
      <c r="Z630" s="333">
        <v>0</v>
      </c>
      <c r="AA630" s="333">
        <v>0</v>
      </c>
      <c r="AB630" s="333">
        <v>0</v>
      </c>
      <c r="AC630" s="333">
        <v>-4714</v>
      </c>
      <c r="AD630" s="333">
        <v>0</v>
      </c>
      <c r="AE630" s="333"/>
      <c r="AF630" s="333"/>
      <c r="AG630" s="333">
        <f t="shared" si="94"/>
        <v>-3456226.4699999997</v>
      </c>
      <c r="AH630" s="330"/>
      <c r="AI630" s="330">
        <v>4714</v>
      </c>
      <c r="AJ630" s="396">
        <f t="shared" si="95"/>
        <v>-3456226.4699999997</v>
      </c>
      <c r="AK630" s="563"/>
      <c r="AL630" s="285">
        <f>+AC630+AI630</f>
        <v>0</v>
      </c>
      <c r="AM630" s="286"/>
      <c r="AO630" s="330" t="s">
        <v>4699</v>
      </c>
    </row>
    <row r="631" spans="1:41">
      <c r="A631" s="587">
        <f t="shared" si="96"/>
        <v>628</v>
      </c>
      <c r="B631" s="330" t="s">
        <v>1643</v>
      </c>
      <c r="C631" s="330" t="s">
        <v>4114</v>
      </c>
      <c r="D631" s="330" t="s">
        <v>1655</v>
      </c>
      <c r="E631" s="330" t="s">
        <v>3047</v>
      </c>
      <c r="F631" s="330" t="s">
        <v>1647</v>
      </c>
      <c r="G631" s="562">
        <v>1012</v>
      </c>
      <c r="H631" s="562">
        <v>653.59</v>
      </c>
      <c r="I631" s="562">
        <v>723.02</v>
      </c>
      <c r="J631" s="561" t="s">
        <v>1679</v>
      </c>
      <c r="K631" s="330" t="s">
        <v>4703</v>
      </c>
      <c r="L631" s="330" t="s">
        <v>4704</v>
      </c>
      <c r="M631" s="330" t="s">
        <v>4705</v>
      </c>
      <c r="N631" s="330" t="s">
        <v>12</v>
      </c>
      <c r="O631" s="395"/>
      <c r="P631" s="333">
        <v>6026952</v>
      </c>
      <c r="Q631" s="330" t="s">
        <v>1660</v>
      </c>
      <c r="R631" s="562">
        <v>0</v>
      </c>
      <c r="S631" s="333">
        <v>0</v>
      </c>
      <c r="T631" s="333">
        <v>-150000</v>
      </c>
      <c r="U631" s="333">
        <f t="shared" si="93"/>
        <v>-150000</v>
      </c>
      <c r="V631" s="333">
        <v>0</v>
      </c>
      <c r="W631" s="333">
        <v>0</v>
      </c>
      <c r="X631" s="333">
        <v>0</v>
      </c>
      <c r="Y631" s="333">
        <v>0</v>
      </c>
      <c r="Z631" s="333">
        <v>0</v>
      </c>
      <c r="AA631" s="333">
        <v>0</v>
      </c>
      <c r="AB631" s="333">
        <v>0</v>
      </c>
      <c r="AC631" s="333">
        <v>0</v>
      </c>
      <c r="AD631" s="333">
        <v>150000</v>
      </c>
      <c r="AE631" s="333"/>
      <c r="AF631" s="333"/>
      <c r="AG631" s="333">
        <f t="shared" si="94"/>
        <v>0</v>
      </c>
      <c r="AH631" s="330"/>
      <c r="AI631" s="330">
        <v>0</v>
      </c>
      <c r="AJ631" s="396">
        <f t="shared" si="95"/>
        <v>0</v>
      </c>
      <c r="AK631" s="563"/>
      <c r="AL631" s="285">
        <f t="shared" si="97"/>
        <v>0</v>
      </c>
      <c r="AM631" s="286"/>
      <c r="AO631" s="330" t="s">
        <v>4703</v>
      </c>
    </row>
    <row r="632" spans="1:41">
      <c r="A632" s="587">
        <f t="shared" si="96"/>
        <v>629</v>
      </c>
      <c r="B632" s="330" t="s">
        <v>1643</v>
      </c>
      <c r="C632" s="330" t="s">
        <v>4706</v>
      </c>
      <c r="D632" s="330" t="s">
        <v>1645</v>
      </c>
      <c r="E632" s="330" t="s">
        <v>2073</v>
      </c>
      <c r="F632" s="330" t="s">
        <v>1647</v>
      </c>
      <c r="G632" s="562">
        <v>1114</v>
      </c>
      <c r="H632" s="562">
        <v>683.3</v>
      </c>
      <c r="I632" s="562">
        <v>795.57</v>
      </c>
      <c r="J632" s="561" t="s">
        <v>1810</v>
      </c>
      <c r="K632" s="330" t="s">
        <v>4707</v>
      </c>
      <c r="L632" s="330" t="s">
        <v>4708</v>
      </c>
      <c r="M632" s="330" t="s">
        <v>4709</v>
      </c>
      <c r="N632" s="330" t="s">
        <v>4710</v>
      </c>
      <c r="O632" s="395">
        <v>45429</v>
      </c>
      <c r="P632" s="333">
        <v>6290096</v>
      </c>
      <c r="Q632" s="330" t="s">
        <v>1653</v>
      </c>
      <c r="R632" s="562">
        <v>0</v>
      </c>
      <c r="S632" s="333">
        <v>0</v>
      </c>
      <c r="T632" s="333">
        <v>-1942784.5199999996</v>
      </c>
      <c r="U632" s="333">
        <f t="shared" si="93"/>
        <v>-1942784.5199999996</v>
      </c>
      <c r="V632" s="333">
        <v>0</v>
      </c>
      <c r="W632" s="333">
        <v>0</v>
      </c>
      <c r="X632" s="333">
        <v>0</v>
      </c>
      <c r="Y632" s="333">
        <v>0</v>
      </c>
      <c r="Z632" s="333">
        <v>0</v>
      </c>
      <c r="AA632" s="333">
        <v>0</v>
      </c>
      <c r="AB632" s="333">
        <v>0</v>
      </c>
      <c r="AC632" s="333">
        <v>-7143</v>
      </c>
      <c r="AD632" s="333">
        <v>0</v>
      </c>
      <c r="AE632" s="333"/>
      <c r="AF632" s="333"/>
      <c r="AG632" s="333">
        <f t="shared" si="94"/>
        <v>-1949927.5199999996</v>
      </c>
      <c r="AH632" s="330"/>
      <c r="AI632" s="330">
        <v>7143</v>
      </c>
      <c r="AJ632" s="396">
        <f t="shared" si="95"/>
        <v>-1949927.5199999996</v>
      </c>
      <c r="AK632" s="563"/>
      <c r="AL632" s="285">
        <f t="shared" ref="AL632:AL635" si="102">+AC632+AI632</f>
        <v>0</v>
      </c>
      <c r="AM632" s="286"/>
      <c r="AO632" s="330" t="s">
        <v>4707</v>
      </c>
    </row>
    <row r="633" spans="1:41">
      <c r="A633" s="587">
        <f t="shared" si="96"/>
        <v>630</v>
      </c>
      <c r="B633" s="330" t="s">
        <v>1643</v>
      </c>
      <c r="C633" s="330" t="s">
        <v>2944</v>
      </c>
      <c r="D633" s="330" t="s">
        <v>1669</v>
      </c>
      <c r="E633" s="330" t="s">
        <v>2945</v>
      </c>
      <c r="F633" s="330" t="s">
        <v>1671</v>
      </c>
      <c r="G633" s="562">
        <v>1787</v>
      </c>
      <c r="H633" s="562">
        <v>1138.51</v>
      </c>
      <c r="I633" s="562">
        <v>1276.29</v>
      </c>
      <c r="J633" s="561" t="s">
        <v>1810</v>
      </c>
      <c r="K633" s="330" t="s">
        <v>4711</v>
      </c>
      <c r="L633" s="330" t="s">
        <v>4712</v>
      </c>
      <c r="M633" s="330" t="s">
        <v>4713</v>
      </c>
      <c r="N633" s="330" t="s">
        <v>2949</v>
      </c>
      <c r="O633" s="395">
        <v>45506</v>
      </c>
      <c r="P633" s="333">
        <v>13576571</v>
      </c>
      <c r="Q633" s="330" t="s">
        <v>1653</v>
      </c>
      <c r="R633" s="562">
        <v>0</v>
      </c>
      <c r="S633" s="333">
        <v>0</v>
      </c>
      <c r="T633" s="333">
        <v>-4068731.1300000004</v>
      </c>
      <c r="U633" s="333">
        <f t="shared" si="93"/>
        <v>-4068731.1300000004</v>
      </c>
      <c r="V633" s="333">
        <v>-123843</v>
      </c>
      <c r="W633" s="333">
        <v>0</v>
      </c>
      <c r="X633" s="333">
        <v>0</v>
      </c>
      <c r="Y633" s="333">
        <v>0</v>
      </c>
      <c r="Z633" s="333">
        <v>0</v>
      </c>
      <c r="AA633" s="333">
        <v>0</v>
      </c>
      <c r="AB633" s="333">
        <v>0</v>
      </c>
      <c r="AC633" s="333">
        <v>-16162.13</v>
      </c>
      <c r="AD633" s="333">
        <v>0</v>
      </c>
      <c r="AE633" s="333"/>
      <c r="AF633" s="333"/>
      <c r="AG633" s="333">
        <f t="shared" si="94"/>
        <v>-4208736.2600000007</v>
      </c>
      <c r="AH633" s="330"/>
      <c r="AI633" s="330">
        <v>16162</v>
      </c>
      <c r="AJ633" s="396">
        <f t="shared" si="95"/>
        <v>-4208736.2600000007</v>
      </c>
      <c r="AK633" s="563"/>
      <c r="AL633" s="285">
        <f t="shared" si="102"/>
        <v>-0.12999999999919964</v>
      </c>
      <c r="AM633" s="286"/>
      <c r="AO633" s="330" t="s">
        <v>4711</v>
      </c>
    </row>
    <row r="634" spans="1:41">
      <c r="A634" s="587">
        <f t="shared" si="96"/>
        <v>631</v>
      </c>
      <c r="B634" s="330" t="s">
        <v>1643</v>
      </c>
      <c r="C634" s="330" t="s">
        <v>4714</v>
      </c>
      <c r="D634" s="330" t="s">
        <v>1662</v>
      </c>
      <c r="E634" s="330" t="s">
        <v>3227</v>
      </c>
      <c r="F634" s="330" t="s">
        <v>1647</v>
      </c>
      <c r="G634" s="562">
        <v>1114</v>
      </c>
      <c r="H634" s="562">
        <v>683.3</v>
      </c>
      <c r="I634" s="562">
        <v>795.57</v>
      </c>
      <c r="J634" s="561" t="s">
        <v>1648</v>
      </c>
      <c r="K634" s="330" t="s">
        <v>4715</v>
      </c>
      <c r="L634" s="330" t="s">
        <v>4716</v>
      </c>
      <c r="M634" s="330" t="s">
        <v>4717</v>
      </c>
      <c r="N634" s="330" t="s">
        <v>4718</v>
      </c>
      <c r="O634" s="395">
        <v>45447</v>
      </c>
      <c r="P634" s="333">
        <v>6270661</v>
      </c>
      <c r="Q634" s="330" t="s">
        <v>1653</v>
      </c>
      <c r="R634" s="562">
        <v>0</v>
      </c>
      <c r="S634" s="333">
        <v>0</v>
      </c>
      <c r="T634" s="333">
        <v>-2248646.7000000007</v>
      </c>
      <c r="U634" s="333">
        <f t="shared" si="93"/>
        <v>-2248646.7000000007</v>
      </c>
      <c r="V634" s="333">
        <v>-300000</v>
      </c>
      <c r="W634" s="333">
        <v>0</v>
      </c>
      <c r="X634" s="333">
        <v>0</v>
      </c>
      <c r="Y634" s="333">
        <v>0</v>
      </c>
      <c r="Z634" s="333">
        <v>0</v>
      </c>
      <c r="AA634" s="333">
        <v>0</v>
      </c>
      <c r="AB634" s="333">
        <v>0</v>
      </c>
      <c r="AC634" s="333">
        <v>0</v>
      </c>
      <c r="AD634" s="333">
        <v>0</v>
      </c>
      <c r="AE634" s="333"/>
      <c r="AF634" s="333"/>
      <c r="AG634" s="333">
        <f t="shared" si="94"/>
        <v>-2548646.7000000007</v>
      </c>
      <c r="AH634" s="330"/>
      <c r="AI634" s="330">
        <v>0</v>
      </c>
      <c r="AJ634" s="396">
        <f t="shared" si="95"/>
        <v>-2548646.7000000007</v>
      </c>
      <c r="AK634" s="563"/>
      <c r="AL634" s="285">
        <f t="shared" si="102"/>
        <v>0</v>
      </c>
      <c r="AM634" s="286"/>
      <c r="AO634" s="330" t="s">
        <v>4715</v>
      </c>
    </row>
    <row r="635" spans="1:41">
      <c r="A635" s="587">
        <f t="shared" si="96"/>
        <v>632</v>
      </c>
      <c r="B635" s="330" t="s">
        <v>1643</v>
      </c>
      <c r="C635" s="330" t="s">
        <v>4719</v>
      </c>
      <c r="D635" s="330" t="s">
        <v>1645</v>
      </c>
      <c r="E635" s="330" t="s">
        <v>3329</v>
      </c>
      <c r="F635" s="330" t="s">
        <v>1647</v>
      </c>
      <c r="G635" s="562">
        <v>1114</v>
      </c>
      <c r="H635" s="562">
        <v>683.3</v>
      </c>
      <c r="I635" s="562">
        <v>795.57</v>
      </c>
      <c r="J635" s="561" t="s">
        <v>1810</v>
      </c>
      <c r="K635" s="330" t="s">
        <v>4720</v>
      </c>
      <c r="L635" s="330" t="s">
        <v>4721</v>
      </c>
      <c r="M635" s="330" t="s">
        <v>4722</v>
      </c>
      <c r="N635" s="330" t="s">
        <v>4723</v>
      </c>
      <c r="O635" s="395">
        <v>45443</v>
      </c>
      <c r="P635" s="333">
        <v>6337489</v>
      </c>
      <c r="Q635" s="330" t="s">
        <v>1653</v>
      </c>
      <c r="R635" s="562">
        <v>0</v>
      </c>
      <c r="S635" s="333">
        <v>0</v>
      </c>
      <c r="T635" s="333">
        <v>-1957479.5600000005</v>
      </c>
      <c r="U635" s="333">
        <f t="shared" si="93"/>
        <v>-1957479.5600000005</v>
      </c>
      <c r="V635" s="333">
        <v>0</v>
      </c>
      <c r="W635" s="333">
        <v>0</v>
      </c>
      <c r="X635" s="333">
        <v>0</v>
      </c>
      <c r="Y635" s="333">
        <v>0</v>
      </c>
      <c r="Z635" s="333">
        <v>0</v>
      </c>
      <c r="AA635" s="333">
        <v>0</v>
      </c>
      <c r="AB635" s="333">
        <v>0</v>
      </c>
      <c r="AC635" s="333">
        <v>-7142.859999999986</v>
      </c>
      <c r="AD635" s="333">
        <v>0</v>
      </c>
      <c r="AE635" s="333"/>
      <c r="AF635" s="333"/>
      <c r="AG635" s="333">
        <f t="shared" si="94"/>
        <v>-1964622.4200000004</v>
      </c>
      <c r="AH635" s="330"/>
      <c r="AI635" s="330">
        <v>7142.86</v>
      </c>
      <c r="AJ635" s="396">
        <f t="shared" si="95"/>
        <v>-1964622.4200000004</v>
      </c>
      <c r="AK635" s="563"/>
      <c r="AL635" s="285">
        <f t="shared" si="102"/>
        <v>1.3642420526593924E-11</v>
      </c>
      <c r="AM635" s="286"/>
      <c r="AO635" s="330" t="s">
        <v>4720</v>
      </c>
    </row>
    <row r="636" spans="1:41">
      <c r="A636" s="587">
        <f t="shared" si="96"/>
        <v>633</v>
      </c>
      <c r="B636" s="330" t="s">
        <v>1643</v>
      </c>
      <c r="C636" s="330" t="s">
        <v>4724</v>
      </c>
      <c r="D636" s="330" t="s">
        <v>1655</v>
      </c>
      <c r="E636" s="330" t="s">
        <v>1734</v>
      </c>
      <c r="F636" s="330" t="s">
        <v>1647</v>
      </c>
      <c r="G636" s="562">
        <v>1012</v>
      </c>
      <c r="H636" s="562">
        <v>653.59</v>
      </c>
      <c r="I636" s="562">
        <v>723.02</v>
      </c>
      <c r="J636" s="561" t="s">
        <v>1648</v>
      </c>
      <c r="K636" s="330" t="s">
        <v>4725</v>
      </c>
      <c r="L636" s="330" t="s">
        <v>4726</v>
      </c>
      <c r="M636" s="330" t="s">
        <v>4727</v>
      </c>
      <c r="N636" s="330" t="s">
        <v>12</v>
      </c>
      <c r="O636" s="395"/>
      <c r="P636" s="333">
        <v>6196381</v>
      </c>
      <c r="Q636" s="330" t="s">
        <v>1653</v>
      </c>
      <c r="R636" s="562">
        <v>0</v>
      </c>
      <c r="S636" s="333">
        <v>0</v>
      </c>
      <c r="T636" s="333">
        <v>-325310</v>
      </c>
      <c r="U636" s="333">
        <f t="shared" si="93"/>
        <v>-325310</v>
      </c>
      <c r="V636" s="333">
        <v>0</v>
      </c>
      <c r="W636" s="333">
        <v>0</v>
      </c>
      <c r="X636" s="333">
        <v>0</v>
      </c>
      <c r="Y636" s="333">
        <v>0</v>
      </c>
      <c r="Z636" s="333">
        <v>0</v>
      </c>
      <c r="AA636" s="333">
        <v>0</v>
      </c>
      <c r="AB636" s="333">
        <v>0</v>
      </c>
      <c r="AC636" s="333">
        <v>0</v>
      </c>
      <c r="AD636" s="333">
        <v>0</v>
      </c>
      <c r="AE636" s="333"/>
      <c r="AF636" s="333"/>
      <c r="AG636" s="333">
        <f t="shared" si="94"/>
        <v>-325310</v>
      </c>
      <c r="AH636" s="330"/>
      <c r="AI636" s="330">
        <v>0</v>
      </c>
      <c r="AJ636" s="396">
        <f t="shared" si="95"/>
        <v>-325310</v>
      </c>
      <c r="AK636" s="563"/>
      <c r="AL636" s="285">
        <f t="shared" si="97"/>
        <v>0</v>
      </c>
      <c r="AM636" s="286"/>
      <c r="AO636" s="330" t="s">
        <v>4725</v>
      </c>
    </row>
    <row r="637" spans="1:41">
      <c r="A637" s="587">
        <f t="shared" si="96"/>
        <v>634</v>
      </c>
      <c r="B637" s="330" t="s">
        <v>1643</v>
      </c>
      <c r="C637" s="330" t="s">
        <v>4728</v>
      </c>
      <c r="D637" s="330" t="s">
        <v>1645</v>
      </c>
      <c r="E637" s="330" t="s">
        <v>1711</v>
      </c>
      <c r="F637" s="330" t="s">
        <v>1647</v>
      </c>
      <c r="G637" s="562">
        <v>1012</v>
      </c>
      <c r="H637" s="562">
        <v>653.59</v>
      </c>
      <c r="I637" s="562">
        <v>723.02</v>
      </c>
      <c r="J637" s="561" t="s">
        <v>1648</v>
      </c>
      <c r="K637" s="330" t="s">
        <v>4729</v>
      </c>
      <c r="L637" s="330" t="s">
        <v>4730</v>
      </c>
      <c r="M637" s="330" t="s">
        <v>4731</v>
      </c>
      <c r="N637" s="330" t="s">
        <v>4732</v>
      </c>
      <c r="O637" s="395">
        <v>45407</v>
      </c>
      <c r="P637" s="333">
        <v>5668460</v>
      </c>
      <c r="Q637" s="330" t="s">
        <v>1653</v>
      </c>
      <c r="R637" s="562">
        <v>0</v>
      </c>
      <c r="S637" s="333">
        <v>0</v>
      </c>
      <c r="T637" s="333">
        <v>-1742076.6999999997</v>
      </c>
      <c r="U637" s="333">
        <f t="shared" si="93"/>
        <v>-1742076.6999999997</v>
      </c>
      <c r="V637" s="333">
        <v>0</v>
      </c>
      <c r="W637" s="333">
        <v>0</v>
      </c>
      <c r="X637" s="333">
        <v>0</v>
      </c>
      <c r="Y637" s="333">
        <v>0</v>
      </c>
      <c r="Z637" s="333">
        <v>0</v>
      </c>
      <c r="AA637" s="333">
        <v>0</v>
      </c>
      <c r="AB637" s="333">
        <v>0</v>
      </c>
      <c r="AC637" s="333">
        <v>-15143</v>
      </c>
      <c r="AD637" s="333">
        <v>0</v>
      </c>
      <c r="AE637" s="333"/>
      <c r="AF637" s="333"/>
      <c r="AG637" s="333">
        <f t="shared" si="94"/>
        <v>-1757219.6999999997</v>
      </c>
      <c r="AH637" s="330"/>
      <c r="AI637" s="330">
        <v>15143</v>
      </c>
      <c r="AJ637" s="396">
        <f t="shared" si="95"/>
        <v>-1757219.6999999997</v>
      </c>
      <c r="AK637" s="563"/>
      <c r="AL637" s="285">
        <f>+AC637+AI637</f>
        <v>0</v>
      </c>
      <c r="AM637" s="286"/>
      <c r="AO637" s="330" t="s">
        <v>4729</v>
      </c>
    </row>
    <row r="638" spans="1:41">
      <c r="A638" s="587">
        <f t="shared" si="96"/>
        <v>635</v>
      </c>
      <c r="B638" s="330" t="s">
        <v>1643</v>
      </c>
      <c r="C638" s="330" t="s">
        <v>3972</v>
      </c>
      <c r="D638" s="330" t="s">
        <v>1677</v>
      </c>
      <c r="E638" s="330" t="s">
        <v>2289</v>
      </c>
      <c r="F638" s="330" t="s">
        <v>1647</v>
      </c>
      <c r="G638" s="562">
        <v>1012</v>
      </c>
      <c r="H638" s="562">
        <v>653.59</v>
      </c>
      <c r="I638" s="562">
        <v>723.02</v>
      </c>
      <c r="J638" s="561" t="s">
        <v>1648</v>
      </c>
      <c r="K638" s="330" t="s">
        <v>4733</v>
      </c>
      <c r="L638" s="330" t="s">
        <v>4734</v>
      </c>
      <c r="M638" s="330" t="s">
        <v>4735</v>
      </c>
      <c r="N638" s="330" t="s">
        <v>12</v>
      </c>
      <c r="O638" s="395"/>
      <c r="P638" s="333">
        <v>6151715</v>
      </c>
      <c r="Q638" s="330" t="s">
        <v>1660</v>
      </c>
      <c r="R638" s="562">
        <v>0</v>
      </c>
      <c r="S638" s="333">
        <v>0</v>
      </c>
      <c r="T638" s="333">
        <v>0</v>
      </c>
      <c r="U638" s="333">
        <f t="shared" si="93"/>
        <v>0</v>
      </c>
      <c r="V638" s="333">
        <v>0</v>
      </c>
      <c r="W638" s="333">
        <v>0</v>
      </c>
      <c r="X638" s="333">
        <v>0</v>
      </c>
      <c r="Y638" s="333">
        <v>0</v>
      </c>
      <c r="Z638" s="333">
        <v>0</v>
      </c>
      <c r="AA638" s="333">
        <v>0</v>
      </c>
      <c r="AB638" s="333">
        <v>0</v>
      </c>
      <c r="AC638" s="333">
        <v>0</v>
      </c>
      <c r="AD638" s="333">
        <v>0</v>
      </c>
      <c r="AE638" s="333"/>
      <c r="AF638" s="333"/>
      <c r="AG638" s="333">
        <f t="shared" si="94"/>
        <v>0</v>
      </c>
      <c r="AH638" s="330"/>
      <c r="AI638" s="330">
        <v>0</v>
      </c>
      <c r="AJ638" s="396">
        <f t="shared" si="95"/>
        <v>0</v>
      </c>
      <c r="AK638" s="563"/>
      <c r="AL638" s="285">
        <f t="shared" si="97"/>
        <v>0</v>
      </c>
      <c r="AM638" s="286"/>
      <c r="AO638" s="330" t="s">
        <v>4733</v>
      </c>
    </row>
    <row r="639" spans="1:41">
      <c r="A639" s="587">
        <f t="shared" si="96"/>
        <v>636</v>
      </c>
      <c r="B639" s="330" t="s">
        <v>1643</v>
      </c>
      <c r="C639" s="330" t="s">
        <v>4736</v>
      </c>
      <c r="D639" s="330" t="s">
        <v>1677</v>
      </c>
      <c r="E639" s="330" t="s">
        <v>2594</v>
      </c>
      <c r="F639" s="330" t="s">
        <v>1647</v>
      </c>
      <c r="G639" s="562">
        <v>1114</v>
      </c>
      <c r="H639" s="562">
        <v>683.3</v>
      </c>
      <c r="I639" s="562">
        <v>795.57</v>
      </c>
      <c r="J639" s="561" t="s">
        <v>1648</v>
      </c>
      <c r="K639" s="330" t="s">
        <v>4737</v>
      </c>
      <c r="L639" s="330" t="s">
        <v>4738</v>
      </c>
      <c r="M639" s="330" t="s">
        <v>4739</v>
      </c>
      <c r="N639" s="330" t="s">
        <v>12</v>
      </c>
      <c r="O639" s="395"/>
      <c r="P639" s="333">
        <v>6937428</v>
      </c>
      <c r="Q639" s="330" t="s">
        <v>1660</v>
      </c>
      <c r="R639" s="562">
        <v>0</v>
      </c>
      <c r="S639" s="333">
        <v>0</v>
      </c>
      <c r="T639" s="333">
        <v>-879915</v>
      </c>
      <c r="U639" s="333">
        <f t="shared" si="93"/>
        <v>-879915</v>
      </c>
      <c r="V639" s="333">
        <v>879914.99999999988</v>
      </c>
      <c r="W639" s="333">
        <v>0</v>
      </c>
      <c r="X639" s="333">
        <v>0</v>
      </c>
      <c r="Y639" s="333">
        <v>0</v>
      </c>
      <c r="Z639" s="333">
        <v>0</v>
      </c>
      <c r="AA639" s="333">
        <v>0</v>
      </c>
      <c r="AB639" s="333">
        <v>0</v>
      </c>
      <c r="AC639" s="333">
        <v>0</v>
      </c>
      <c r="AD639" s="333">
        <v>0</v>
      </c>
      <c r="AE639" s="333"/>
      <c r="AF639" s="333"/>
      <c r="AG639" s="333">
        <f t="shared" si="94"/>
        <v>-1.1641532182693481E-10</v>
      </c>
      <c r="AH639" s="330"/>
      <c r="AI639" s="330">
        <v>0</v>
      </c>
      <c r="AJ639" s="396">
        <f t="shared" si="95"/>
        <v>-1.1641532182693481E-10</v>
      </c>
      <c r="AK639" s="563"/>
      <c r="AL639" s="285">
        <f t="shared" si="97"/>
        <v>0</v>
      </c>
      <c r="AM639" s="286"/>
      <c r="AO639" s="330" t="s">
        <v>4737</v>
      </c>
    </row>
    <row r="640" spans="1:41">
      <c r="A640" s="587">
        <f t="shared" si="96"/>
        <v>637</v>
      </c>
      <c r="B640" s="330" t="s">
        <v>1643</v>
      </c>
      <c r="C640" s="330" t="s">
        <v>4740</v>
      </c>
      <c r="D640" s="330" t="s">
        <v>1677</v>
      </c>
      <c r="E640" s="330" t="s">
        <v>2588</v>
      </c>
      <c r="F640" s="330" t="s">
        <v>1647</v>
      </c>
      <c r="G640" s="562">
        <v>1012</v>
      </c>
      <c r="H640" s="562">
        <v>653.59</v>
      </c>
      <c r="I640" s="562">
        <v>723.02</v>
      </c>
      <c r="J640" s="561" t="s">
        <v>1648</v>
      </c>
      <c r="K640" s="330" t="s">
        <v>4741</v>
      </c>
      <c r="L640" s="330" t="s">
        <v>4742</v>
      </c>
      <c r="M640" s="330" t="s">
        <v>4743</v>
      </c>
      <c r="N640" s="330" t="s">
        <v>12</v>
      </c>
      <c r="O640" s="395"/>
      <c r="P640" s="333">
        <v>6044572</v>
      </c>
      <c r="Q640" s="330" t="s">
        <v>1660</v>
      </c>
      <c r="R640" s="562">
        <v>0</v>
      </c>
      <c r="S640" s="333">
        <v>0</v>
      </c>
      <c r="T640" s="333">
        <v>-770540</v>
      </c>
      <c r="U640" s="333">
        <f t="shared" si="93"/>
        <v>-770540</v>
      </c>
      <c r="V640" s="333">
        <v>770540</v>
      </c>
      <c r="W640" s="333">
        <v>0</v>
      </c>
      <c r="X640" s="333">
        <v>0</v>
      </c>
      <c r="Y640" s="333">
        <v>0</v>
      </c>
      <c r="Z640" s="333">
        <v>0</v>
      </c>
      <c r="AA640" s="333">
        <v>0</v>
      </c>
      <c r="AB640" s="333">
        <v>0</v>
      </c>
      <c r="AC640" s="333">
        <v>0</v>
      </c>
      <c r="AD640" s="333">
        <v>0</v>
      </c>
      <c r="AE640" s="333"/>
      <c r="AF640" s="333"/>
      <c r="AG640" s="333">
        <f t="shared" si="94"/>
        <v>0</v>
      </c>
      <c r="AH640" s="330"/>
      <c r="AI640" s="330">
        <v>0</v>
      </c>
      <c r="AJ640" s="396">
        <f t="shared" si="95"/>
        <v>0</v>
      </c>
      <c r="AK640" s="563"/>
      <c r="AL640" s="285">
        <f t="shared" si="97"/>
        <v>0</v>
      </c>
      <c r="AM640" s="286"/>
      <c r="AO640" s="330" t="s">
        <v>4741</v>
      </c>
    </row>
    <row r="641" spans="1:41">
      <c r="A641" s="587">
        <f t="shared" si="96"/>
        <v>638</v>
      </c>
      <c r="B641" s="330" t="s">
        <v>1643</v>
      </c>
      <c r="C641" s="330" t="s">
        <v>4744</v>
      </c>
      <c r="D641" s="330" t="s">
        <v>1677</v>
      </c>
      <c r="E641" s="330" t="s">
        <v>2305</v>
      </c>
      <c r="F641" s="330" t="s">
        <v>1647</v>
      </c>
      <c r="G641" s="562">
        <v>1012</v>
      </c>
      <c r="H641" s="562">
        <v>653.59</v>
      </c>
      <c r="I641" s="562">
        <v>723.02</v>
      </c>
      <c r="J641" s="561" t="s">
        <v>1648</v>
      </c>
      <c r="K641" s="330" t="s">
        <v>4745</v>
      </c>
      <c r="L641" s="330" t="s">
        <v>4746</v>
      </c>
      <c r="M641" s="330" t="s">
        <v>4747</v>
      </c>
      <c r="N641" s="330" t="s">
        <v>12</v>
      </c>
      <c r="O641" s="395"/>
      <c r="P641" s="333">
        <v>6000000</v>
      </c>
      <c r="Q641" s="330" t="s">
        <v>1660</v>
      </c>
      <c r="R641" s="562">
        <v>0</v>
      </c>
      <c r="S641" s="333">
        <v>0</v>
      </c>
      <c r="T641" s="333">
        <v>-540000</v>
      </c>
      <c r="U641" s="333">
        <f t="shared" si="93"/>
        <v>-540000</v>
      </c>
      <c r="V641" s="333">
        <v>540000</v>
      </c>
      <c r="W641" s="333">
        <v>0</v>
      </c>
      <c r="X641" s="333">
        <v>0</v>
      </c>
      <c r="Y641" s="333">
        <v>0</v>
      </c>
      <c r="Z641" s="333">
        <v>0</v>
      </c>
      <c r="AA641" s="333">
        <v>0</v>
      </c>
      <c r="AB641" s="333">
        <v>0</v>
      </c>
      <c r="AC641" s="333">
        <v>0</v>
      </c>
      <c r="AD641" s="333">
        <v>0</v>
      </c>
      <c r="AE641" s="333"/>
      <c r="AF641" s="333"/>
      <c r="AG641" s="333">
        <f t="shared" si="94"/>
        <v>0</v>
      </c>
      <c r="AH641" s="330"/>
      <c r="AI641" s="330">
        <v>0</v>
      </c>
      <c r="AJ641" s="396">
        <f t="shared" si="95"/>
        <v>0</v>
      </c>
      <c r="AK641" s="563"/>
      <c r="AL641" s="285">
        <f t="shared" si="97"/>
        <v>0</v>
      </c>
      <c r="AM641" s="286"/>
      <c r="AO641" s="330" t="s">
        <v>4745</v>
      </c>
    </row>
    <row r="642" spans="1:41">
      <c r="A642" s="587">
        <f t="shared" si="96"/>
        <v>639</v>
      </c>
      <c r="B642" s="330" t="s">
        <v>1643</v>
      </c>
      <c r="C642" s="330" t="s">
        <v>4748</v>
      </c>
      <c r="D642" s="330" t="s">
        <v>1645</v>
      </c>
      <c r="E642" s="330" t="s">
        <v>1978</v>
      </c>
      <c r="F642" s="330" t="s">
        <v>1647</v>
      </c>
      <c r="G642" s="562">
        <v>1012</v>
      </c>
      <c r="H642" s="562">
        <v>653.59</v>
      </c>
      <c r="I642" s="562">
        <v>723.02</v>
      </c>
      <c r="J642" s="561" t="s">
        <v>1679</v>
      </c>
      <c r="K642" s="330" t="s">
        <v>4749</v>
      </c>
      <c r="L642" s="330" t="s">
        <v>4750</v>
      </c>
      <c r="M642" s="330" t="s">
        <v>4751</v>
      </c>
      <c r="N642" s="330" t="s">
        <v>4752</v>
      </c>
      <c r="O642" s="395">
        <v>45440</v>
      </c>
      <c r="P642" s="333">
        <v>5683644</v>
      </c>
      <c r="Q642" s="330" t="s">
        <v>1653</v>
      </c>
      <c r="R642" s="562">
        <v>0</v>
      </c>
      <c r="S642" s="333">
        <v>0</v>
      </c>
      <c r="T642" s="333">
        <v>-1688320.8599999996</v>
      </c>
      <c r="U642" s="333">
        <f t="shared" si="93"/>
        <v>-1688320.8599999996</v>
      </c>
      <c r="V642" s="333">
        <v>0</v>
      </c>
      <c r="W642" s="333">
        <v>0</v>
      </c>
      <c r="X642" s="333">
        <v>0</v>
      </c>
      <c r="Y642" s="333">
        <v>0</v>
      </c>
      <c r="Z642" s="333">
        <v>0</v>
      </c>
      <c r="AA642" s="333">
        <v>0</v>
      </c>
      <c r="AB642" s="333">
        <v>0</v>
      </c>
      <c r="AC642" s="333">
        <v>-16772.479999999996</v>
      </c>
      <c r="AD642" s="333">
        <v>0</v>
      </c>
      <c r="AE642" s="333"/>
      <c r="AF642" s="333"/>
      <c r="AG642" s="333">
        <f t="shared" si="94"/>
        <v>-1705093.3399999996</v>
      </c>
      <c r="AH642" s="330"/>
      <c r="AI642" s="330">
        <v>16772.48</v>
      </c>
      <c r="AJ642" s="396">
        <f t="shared" si="95"/>
        <v>-1705093.3399999996</v>
      </c>
      <c r="AK642" s="563"/>
      <c r="AL642" s="285">
        <f>+AC642+AI642</f>
        <v>0</v>
      </c>
      <c r="AM642" s="286"/>
      <c r="AO642" s="330" t="s">
        <v>4749</v>
      </c>
    </row>
    <row r="643" spans="1:41">
      <c r="A643" s="587">
        <f t="shared" si="96"/>
        <v>640</v>
      </c>
      <c r="B643" s="330" t="s">
        <v>1643</v>
      </c>
      <c r="C643" s="330" t="s">
        <v>4753</v>
      </c>
      <c r="D643" s="330" t="s">
        <v>1669</v>
      </c>
      <c r="E643" s="330" t="s">
        <v>2826</v>
      </c>
      <c r="F643" s="330" t="s">
        <v>1671</v>
      </c>
      <c r="G643" s="562">
        <v>1787</v>
      </c>
      <c r="H643" s="562">
        <v>1138.51</v>
      </c>
      <c r="I643" s="562">
        <v>1276.29</v>
      </c>
      <c r="J643" s="561" t="s">
        <v>1810</v>
      </c>
      <c r="K643" s="330" t="s">
        <v>4754</v>
      </c>
      <c r="L643" s="330" t="s">
        <v>4755</v>
      </c>
      <c r="M643" s="330" t="s">
        <v>4756</v>
      </c>
      <c r="N643" s="330" t="s">
        <v>4757</v>
      </c>
      <c r="O643" s="395">
        <v>45548</v>
      </c>
      <c r="P643" s="333">
        <v>12045000</v>
      </c>
      <c r="Q643" s="330" t="s">
        <v>1653</v>
      </c>
      <c r="R643" s="562">
        <v>0</v>
      </c>
      <c r="S643" s="333">
        <v>0</v>
      </c>
      <c r="T643" s="333">
        <v>-3784947</v>
      </c>
      <c r="U643" s="333">
        <f t="shared" si="93"/>
        <v>-3784947</v>
      </c>
      <c r="V643" s="333">
        <v>0</v>
      </c>
      <c r="W643" s="333">
        <v>0</v>
      </c>
      <c r="X643" s="333">
        <v>0</v>
      </c>
      <c r="Y643" s="333">
        <v>0</v>
      </c>
      <c r="Z643" s="333">
        <v>0</v>
      </c>
      <c r="AA643" s="333">
        <v>0</v>
      </c>
      <c r="AB643" s="333">
        <v>0</v>
      </c>
      <c r="AC643" s="333">
        <v>0</v>
      </c>
      <c r="AD643" s="333">
        <v>0</v>
      </c>
      <c r="AE643" s="333"/>
      <c r="AF643" s="333"/>
      <c r="AG643" s="333">
        <f t="shared" si="94"/>
        <v>-3784947</v>
      </c>
      <c r="AH643" s="330"/>
      <c r="AI643" s="330">
        <v>0</v>
      </c>
      <c r="AJ643" s="396">
        <f t="shared" si="95"/>
        <v>-3784947</v>
      </c>
      <c r="AK643" s="563"/>
      <c r="AL643" s="285">
        <f t="shared" si="97"/>
        <v>0</v>
      </c>
      <c r="AM643" s="286"/>
      <c r="AO643" s="330" t="s">
        <v>4754</v>
      </c>
    </row>
    <row r="644" spans="1:41">
      <c r="A644" s="587">
        <f t="shared" si="96"/>
        <v>641</v>
      </c>
      <c r="B644" s="330" t="s">
        <v>1643</v>
      </c>
      <c r="C644" s="330" t="s">
        <v>4758</v>
      </c>
      <c r="D644" s="330" t="s">
        <v>1645</v>
      </c>
      <c r="E644" s="330" t="s">
        <v>2264</v>
      </c>
      <c r="F644" s="330" t="s">
        <v>1647</v>
      </c>
      <c r="G644" s="562">
        <v>1114</v>
      </c>
      <c r="H644" s="562">
        <v>683.3</v>
      </c>
      <c r="I644" s="562">
        <v>795.57</v>
      </c>
      <c r="J644" s="561" t="s">
        <v>1648</v>
      </c>
      <c r="K644" s="330" t="s">
        <v>4759</v>
      </c>
      <c r="L644" s="330" t="s">
        <v>4760</v>
      </c>
      <c r="M644" s="330" t="s">
        <v>4761</v>
      </c>
      <c r="N644" s="330" t="s">
        <v>4762</v>
      </c>
      <c r="O644" s="395">
        <v>45454</v>
      </c>
      <c r="P644" s="333">
        <v>6304075</v>
      </c>
      <c r="Q644" s="330" t="s">
        <v>1653</v>
      </c>
      <c r="R644" s="562">
        <v>0</v>
      </c>
      <c r="S644" s="333">
        <v>0</v>
      </c>
      <c r="T644" s="333">
        <v>-1938502.6100000003</v>
      </c>
      <c r="U644" s="333">
        <f t="shared" ref="U644:U707" si="103">SUM(R644:T644)</f>
        <v>-1938502.6100000003</v>
      </c>
      <c r="V644" s="333">
        <v>0</v>
      </c>
      <c r="W644" s="333">
        <v>0</v>
      </c>
      <c r="X644" s="333">
        <v>0</v>
      </c>
      <c r="Y644" s="333">
        <v>0</v>
      </c>
      <c r="Z644" s="333">
        <v>0</v>
      </c>
      <c r="AA644" s="333">
        <v>0</v>
      </c>
      <c r="AB644" s="333">
        <v>0</v>
      </c>
      <c r="AC644" s="333">
        <v>-15760</v>
      </c>
      <c r="AD644" s="333">
        <v>0</v>
      </c>
      <c r="AE644" s="333"/>
      <c r="AF644" s="333"/>
      <c r="AG644" s="333">
        <f t="shared" ref="AG644:AG707" si="104">SUM(U644:AF644)</f>
        <v>-1954262.6100000003</v>
      </c>
      <c r="AH644" s="330"/>
      <c r="AI644" s="330">
        <v>15760</v>
      </c>
      <c r="AJ644" s="396">
        <f t="shared" si="95"/>
        <v>-1954262.6100000003</v>
      </c>
      <c r="AK644" s="563"/>
      <c r="AL644" s="285">
        <f t="shared" ref="AL644:AL645" si="105">+AC644+AI644</f>
        <v>0</v>
      </c>
      <c r="AM644" s="286"/>
      <c r="AO644" s="330" t="s">
        <v>4759</v>
      </c>
    </row>
    <row r="645" spans="1:41">
      <c r="A645" s="587">
        <f t="shared" si="96"/>
        <v>642</v>
      </c>
      <c r="B645" s="330" t="s">
        <v>1643</v>
      </c>
      <c r="C645" s="330" t="s">
        <v>4763</v>
      </c>
      <c r="D645" s="330" t="s">
        <v>1645</v>
      </c>
      <c r="E645" s="330" t="s">
        <v>1696</v>
      </c>
      <c r="F645" s="330" t="s">
        <v>1647</v>
      </c>
      <c r="G645" s="562">
        <v>1012</v>
      </c>
      <c r="H645" s="562">
        <v>653.59</v>
      </c>
      <c r="I645" s="562">
        <v>723.02</v>
      </c>
      <c r="J645" s="561" t="s">
        <v>1648</v>
      </c>
      <c r="K645" s="330" t="s">
        <v>4764</v>
      </c>
      <c r="L645" s="330" t="s">
        <v>4765</v>
      </c>
      <c r="M645" s="330" t="s">
        <v>4766</v>
      </c>
      <c r="N645" s="330" t="s">
        <v>4767</v>
      </c>
      <c r="O645" s="395">
        <v>45429</v>
      </c>
      <c r="P645" s="333">
        <v>5683644</v>
      </c>
      <c r="Q645" s="330" t="s">
        <v>1653</v>
      </c>
      <c r="R645" s="562">
        <v>0</v>
      </c>
      <c r="S645" s="333">
        <v>0</v>
      </c>
      <c r="T645" s="333">
        <v>-1754787.3399999999</v>
      </c>
      <c r="U645" s="333">
        <f t="shared" si="103"/>
        <v>-1754787.3399999999</v>
      </c>
      <c r="V645" s="333">
        <v>0</v>
      </c>
      <c r="W645" s="333">
        <v>0</v>
      </c>
      <c r="X645" s="333">
        <v>0</v>
      </c>
      <c r="Y645" s="333">
        <v>0</v>
      </c>
      <c r="Z645" s="333">
        <v>0</v>
      </c>
      <c r="AA645" s="333">
        <v>0</v>
      </c>
      <c r="AB645" s="333">
        <v>0</v>
      </c>
      <c r="AC645" s="333">
        <v>-7142.8999999999942</v>
      </c>
      <c r="AD645" s="333">
        <v>0</v>
      </c>
      <c r="AE645" s="333"/>
      <c r="AF645" s="333"/>
      <c r="AG645" s="333">
        <f t="shared" si="104"/>
        <v>-1761930.2399999998</v>
      </c>
      <c r="AH645" s="330"/>
      <c r="AI645" s="330">
        <v>7142.9000000000015</v>
      </c>
      <c r="AJ645" s="396">
        <f t="shared" ref="AJ645:AJ708" si="106">SUM(U645:AE645)</f>
        <v>-1761930.2399999998</v>
      </c>
      <c r="AK645" s="563"/>
      <c r="AL645" s="285">
        <f t="shared" si="105"/>
        <v>7.2759576141834259E-12</v>
      </c>
      <c r="AM645" s="286"/>
      <c r="AO645" s="330" t="s">
        <v>4764</v>
      </c>
    </row>
    <row r="646" spans="1:41">
      <c r="A646" s="587">
        <f t="shared" ref="A646:A709" si="107">A645+1</f>
        <v>643</v>
      </c>
      <c r="B646" s="330" t="s">
        <v>1643</v>
      </c>
      <c r="C646" s="330" t="s">
        <v>1862</v>
      </c>
      <c r="D646" s="330" t="s">
        <v>1704</v>
      </c>
      <c r="E646" s="330" t="s">
        <v>1863</v>
      </c>
      <c r="F646" s="330" t="s">
        <v>1647</v>
      </c>
      <c r="G646" s="562">
        <v>1498</v>
      </c>
      <c r="H646" s="562">
        <v>954.87</v>
      </c>
      <c r="I646" s="562">
        <v>1069.73</v>
      </c>
      <c r="J646" s="561" t="s">
        <v>1648</v>
      </c>
      <c r="K646" s="330" t="s">
        <v>4768</v>
      </c>
      <c r="L646" s="330" t="s">
        <v>4769</v>
      </c>
      <c r="M646" s="330" t="s">
        <v>4770</v>
      </c>
      <c r="N646" s="330" t="s">
        <v>1867</v>
      </c>
      <c r="O646" s="395">
        <v>45629</v>
      </c>
      <c r="P646" s="333">
        <v>9491048</v>
      </c>
      <c r="Q646" s="330" t="s">
        <v>1660</v>
      </c>
      <c r="R646" s="562">
        <v>0</v>
      </c>
      <c r="S646" s="333">
        <v>0</v>
      </c>
      <c r="T646" s="333">
        <v>0</v>
      </c>
      <c r="U646" s="333">
        <f t="shared" si="103"/>
        <v>0</v>
      </c>
      <c r="V646" s="333">
        <v>0</v>
      </c>
      <c r="W646" s="333">
        <v>0</v>
      </c>
      <c r="X646" s="333">
        <v>0</v>
      </c>
      <c r="Y646" s="333">
        <v>0</v>
      </c>
      <c r="Z646" s="333">
        <v>0</v>
      </c>
      <c r="AA646" s="333">
        <v>0</v>
      </c>
      <c r="AB646" s="333">
        <v>0</v>
      </c>
      <c r="AC646" s="333">
        <v>0</v>
      </c>
      <c r="AD646" s="333">
        <v>0</v>
      </c>
      <c r="AE646" s="333"/>
      <c r="AF646" s="333"/>
      <c r="AG646" s="333">
        <f t="shared" si="104"/>
        <v>0</v>
      </c>
      <c r="AH646" s="330"/>
      <c r="AI646" s="330">
        <v>0</v>
      </c>
      <c r="AJ646" s="396">
        <f t="shared" si="106"/>
        <v>0</v>
      </c>
      <c r="AK646" s="563"/>
      <c r="AL646" s="285">
        <f t="shared" ref="AL646:AL706" si="108">+AC646-AI646</f>
        <v>0</v>
      </c>
      <c r="AM646" s="286"/>
      <c r="AO646" s="330" t="s">
        <v>4768</v>
      </c>
    </row>
    <row r="647" spans="1:41">
      <c r="A647" s="587">
        <f t="shared" si="107"/>
        <v>644</v>
      </c>
      <c r="B647" s="330" t="s">
        <v>1643</v>
      </c>
      <c r="C647" s="330" t="s">
        <v>4771</v>
      </c>
      <c r="D647" s="330" t="s">
        <v>1669</v>
      </c>
      <c r="E647" s="330" t="s">
        <v>1822</v>
      </c>
      <c r="F647" s="330" t="s">
        <v>1671</v>
      </c>
      <c r="G647" s="562">
        <v>1787</v>
      </c>
      <c r="H647" s="562">
        <v>1138.51</v>
      </c>
      <c r="I647" s="562">
        <v>1276.29</v>
      </c>
      <c r="J647" s="561" t="s">
        <v>1810</v>
      </c>
      <c r="K647" s="330" t="s">
        <v>4772</v>
      </c>
      <c r="L647" s="330" t="s">
        <v>4773</v>
      </c>
      <c r="M647" s="330" t="s">
        <v>4774</v>
      </c>
      <c r="N647" s="330" t="s">
        <v>4775</v>
      </c>
      <c r="O647" s="395">
        <v>45705</v>
      </c>
      <c r="P647" s="333">
        <v>12316952</v>
      </c>
      <c r="Q647" s="330" t="s">
        <v>1653</v>
      </c>
      <c r="R647" s="562">
        <v>0</v>
      </c>
      <c r="S647" s="333">
        <v>0</v>
      </c>
      <c r="T647" s="333">
        <v>-3968257.24</v>
      </c>
      <c r="U647" s="333">
        <f t="shared" si="103"/>
        <v>-3968257.24</v>
      </c>
      <c r="V647" s="333">
        <v>0</v>
      </c>
      <c r="W647" s="333">
        <v>0</v>
      </c>
      <c r="X647" s="333">
        <v>0</v>
      </c>
      <c r="Y647" s="333">
        <v>0</v>
      </c>
      <c r="Z647" s="333">
        <v>0</v>
      </c>
      <c r="AA647" s="333">
        <v>0</v>
      </c>
      <c r="AB647" s="333">
        <v>0</v>
      </c>
      <c r="AC647" s="333">
        <v>0</v>
      </c>
      <c r="AD647" s="333">
        <v>0</v>
      </c>
      <c r="AE647" s="333"/>
      <c r="AF647" s="333"/>
      <c r="AG647" s="333">
        <f t="shared" si="104"/>
        <v>-3968257.24</v>
      </c>
      <c r="AH647" s="330"/>
      <c r="AI647" s="330">
        <v>0</v>
      </c>
      <c r="AJ647" s="396">
        <f t="shared" si="106"/>
        <v>-3968257.24</v>
      </c>
      <c r="AK647" s="563"/>
      <c r="AL647" s="285">
        <f t="shared" si="108"/>
        <v>0</v>
      </c>
      <c r="AM647" s="286"/>
      <c r="AO647" s="330" t="s">
        <v>4772</v>
      </c>
    </row>
    <row r="648" spans="1:41">
      <c r="A648" s="587">
        <f t="shared" si="107"/>
        <v>645</v>
      </c>
      <c r="B648" s="330" t="s">
        <v>1643</v>
      </c>
      <c r="C648" s="330" t="s">
        <v>4776</v>
      </c>
      <c r="D648" s="330" t="s">
        <v>2153</v>
      </c>
      <c r="E648" s="330" t="s">
        <v>1691</v>
      </c>
      <c r="F648" s="330" t="s">
        <v>1647</v>
      </c>
      <c r="G648" s="562">
        <v>1114</v>
      </c>
      <c r="H648" s="562">
        <v>683.3</v>
      </c>
      <c r="I648" s="562">
        <v>795.57</v>
      </c>
      <c r="J648" s="561" t="s">
        <v>1679</v>
      </c>
      <c r="K648" s="330" t="s">
        <v>4777</v>
      </c>
      <c r="L648" s="330" t="s">
        <v>4778</v>
      </c>
      <c r="M648" s="330" t="s">
        <v>4779</v>
      </c>
      <c r="N648" s="330" t="s">
        <v>4780</v>
      </c>
      <c r="O648" s="395">
        <v>45454</v>
      </c>
      <c r="P648" s="333">
        <v>6491047</v>
      </c>
      <c r="Q648" s="330" t="s">
        <v>1653</v>
      </c>
      <c r="R648" s="562">
        <v>0</v>
      </c>
      <c r="S648" s="333">
        <v>0</v>
      </c>
      <c r="T648" s="333">
        <v>-1947314.28</v>
      </c>
      <c r="U648" s="333">
        <f t="shared" si="103"/>
        <v>-1947314.28</v>
      </c>
      <c r="V648" s="333">
        <v>0</v>
      </c>
      <c r="W648" s="333">
        <v>0</v>
      </c>
      <c r="X648" s="333">
        <v>0</v>
      </c>
      <c r="Y648" s="333">
        <v>0</v>
      </c>
      <c r="Z648" s="333">
        <v>0</v>
      </c>
      <c r="AA648" s="333">
        <v>0</v>
      </c>
      <c r="AB648" s="333">
        <v>0</v>
      </c>
      <c r="AC648" s="333">
        <v>0</v>
      </c>
      <c r="AD648" s="333">
        <v>0</v>
      </c>
      <c r="AE648" s="333"/>
      <c r="AF648" s="333"/>
      <c r="AG648" s="333">
        <f t="shared" si="104"/>
        <v>-1947314.28</v>
      </c>
      <c r="AH648" s="330"/>
      <c r="AI648" s="330">
        <v>0</v>
      </c>
      <c r="AJ648" s="396">
        <f t="shared" si="106"/>
        <v>-1947314.28</v>
      </c>
      <c r="AK648" s="563"/>
      <c r="AL648" s="285">
        <f t="shared" si="108"/>
        <v>0</v>
      </c>
      <c r="AM648" s="286"/>
      <c r="AO648" s="330" t="s">
        <v>4777</v>
      </c>
    </row>
    <row r="649" spans="1:41">
      <c r="A649" s="587">
        <f t="shared" si="107"/>
        <v>646</v>
      </c>
      <c r="B649" s="330" t="s">
        <v>1643</v>
      </c>
      <c r="C649" s="330" t="s">
        <v>4781</v>
      </c>
      <c r="D649" s="330" t="s">
        <v>2153</v>
      </c>
      <c r="E649" s="330" t="s">
        <v>4160</v>
      </c>
      <c r="F649" s="330" t="s">
        <v>1671</v>
      </c>
      <c r="G649" s="562">
        <v>1498</v>
      </c>
      <c r="H649" s="562">
        <v>954.87</v>
      </c>
      <c r="I649" s="562">
        <v>1069.73</v>
      </c>
      <c r="J649" s="561" t="s">
        <v>1648</v>
      </c>
      <c r="K649" s="330" t="s">
        <v>4782</v>
      </c>
      <c r="L649" s="330" t="s">
        <v>4783</v>
      </c>
      <c r="M649" s="330" t="s">
        <v>4784</v>
      </c>
      <c r="N649" s="330" t="s">
        <v>12</v>
      </c>
      <c r="O649" s="395"/>
      <c r="P649" s="333">
        <v>9080286</v>
      </c>
      <c r="Q649" s="330" t="s">
        <v>1660</v>
      </c>
      <c r="R649" s="562">
        <v>0</v>
      </c>
      <c r="S649" s="333">
        <v>0</v>
      </c>
      <c r="T649" s="333">
        <v>0</v>
      </c>
      <c r="U649" s="333">
        <f t="shared" si="103"/>
        <v>0</v>
      </c>
      <c r="V649" s="333">
        <v>0</v>
      </c>
      <c r="W649" s="333">
        <v>0</v>
      </c>
      <c r="X649" s="333">
        <v>0</v>
      </c>
      <c r="Y649" s="333">
        <v>0</v>
      </c>
      <c r="Z649" s="333">
        <v>0</v>
      </c>
      <c r="AA649" s="333">
        <v>0</v>
      </c>
      <c r="AB649" s="333">
        <v>0</v>
      </c>
      <c r="AC649" s="333">
        <v>0</v>
      </c>
      <c r="AD649" s="333">
        <v>0</v>
      </c>
      <c r="AE649" s="333"/>
      <c r="AF649" s="333"/>
      <c r="AG649" s="333">
        <f t="shared" si="104"/>
        <v>0</v>
      </c>
      <c r="AH649" s="330"/>
      <c r="AI649" s="330">
        <v>0</v>
      </c>
      <c r="AJ649" s="396">
        <f t="shared" si="106"/>
        <v>0</v>
      </c>
      <c r="AK649" s="563"/>
      <c r="AL649" s="285">
        <f t="shared" si="108"/>
        <v>0</v>
      </c>
      <c r="AM649" s="286"/>
      <c r="AO649" s="330" t="s">
        <v>4782</v>
      </c>
    </row>
    <row r="650" spans="1:41">
      <c r="A650" s="587">
        <f t="shared" si="107"/>
        <v>647</v>
      </c>
      <c r="B650" s="330" t="s">
        <v>1643</v>
      </c>
      <c r="C650" s="330" t="s">
        <v>4785</v>
      </c>
      <c r="D650" s="330" t="s">
        <v>1645</v>
      </c>
      <c r="E650" s="330" t="s">
        <v>2619</v>
      </c>
      <c r="F650" s="330" t="s">
        <v>1647</v>
      </c>
      <c r="G650" s="562">
        <v>1012</v>
      </c>
      <c r="H650" s="562">
        <v>653.59</v>
      </c>
      <c r="I650" s="562">
        <v>723.02</v>
      </c>
      <c r="J650" s="561" t="s">
        <v>1648</v>
      </c>
      <c r="K650" s="330" t="s">
        <v>4786</v>
      </c>
      <c r="L650" s="330" t="s">
        <v>4787</v>
      </c>
      <c r="M650" s="330" t="s">
        <v>4788</v>
      </c>
      <c r="N650" s="330" t="s">
        <v>4789</v>
      </c>
      <c r="O650" s="395">
        <v>45446</v>
      </c>
      <c r="P650" s="333">
        <v>5729194</v>
      </c>
      <c r="Q650" s="330" t="s">
        <v>1653</v>
      </c>
      <c r="R650" s="562">
        <v>0</v>
      </c>
      <c r="S650" s="333">
        <v>0</v>
      </c>
      <c r="T650" s="333">
        <v>-1718858.08</v>
      </c>
      <c r="U650" s="333">
        <f t="shared" si="103"/>
        <v>-1718858.08</v>
      </c>
      <c r="V650" s="333">
        <v>0</v>
      </c>
      <c r="W650" s="333">
        <v>0</v>
      </c>
      <c r="X650" s="333">
        <v>0</v>
      </c>
      <c r="Y650" s="333">
        <v>0</v>
      </c>
      <c r="Z650" s="333">
        <v>0</v>
      </c>
      <c r="AA650" s="333">
        <v>0</v>
      </c>
      <c r="AB650" s="333">
        <v>0</v>
      </c>
      <c r="AC650" s="333">
        <v>0</v>
      </c>
      <c r="AD650" s="333">
        <v>0</v>
      </c>
      <c r="AE650" s="333"/>
      <c r="AF650" s="333"/>
      <c r="AG650" s="333">
        <f t="shared" si="104"/>
        <v>-1718858.08</v>
      </c>
      <c r="AH650" s="330"/>
      <c r="AI650" s="330">
        <v>0</v>
      </c>
      <c r="AJ650" s="396">
        <f t="shared" si="106"/>
        <v>-1718858.08</v>
      </c>
      <c r="AK650" s="563"/>
      <c r="AL650" s="285">
        <f t="shared" si="108"/>
        <v>0</v>
      </c>
      <c r="AM650" s="286"/>
      <c r="AO650" s="330" t="s">
        <v>4786</v>
      </c>
    </row>
    <row r="651" spans="1:41">
      <c r="A651" s="587">
        <f t="shared" si="107"/>
        <v>648</v>
      </c>
      <c r="B651" s="330" t="s">
        <v>1643</v>
      </c>
      <c r="C651" s="330" t="s">
        <v>4790</v>
      </c>
      <c r="D651" s="330" t="s">
        <v>1669</v>
      </c>
      <c r="E651" s="330" t="s">
        <v>2425</v>
      </c>
      <c r="F651" s="330" t="s">
        <v>1671</v>
      </c>
      <c r="G651" s="562">
        <v>1787</v>
      </c>
      <c r="H651" s="562">
        <v>1138.51</v>
      </c>
      <c r="I651" s="562">
        <v>1276.29</v>
      </c>
      <c r="J651" s="561" t="s">
        <v>1648</v>
      </c>
      <c r="K651" s="330" t="s">
        <v>4791</v>
      </c>
      <c r="L651" s="330" t="s">
        <v>4792</v>
      </c>
      <c r="M651" s="330" t="s">
        <v>4793</v>
      </c>
      <c r="N651" s="330" t="s">
        <v>4794</v>
      </c>
      <c r="O651" s="395">
        <v>45776</v>
      </c>
      <c r="P651" s="333">
        <v>12734762</v>
      </c>
      <c r="Q651" s="330" t="s">
        <v>1653</v>
      </c>
      <c r="R651" s="562">
        <v>0</v>
      </c>
      <c r="S651" s="333">
        <v>0</v>
      </c>
      <c r="T651" s="333">
        <v>-51000</v>
      </c>
      <c r="U651" s="333">
        <f t="shared" si="103"/>
        <v>-51000</v>
      </c>
      <c r="V651" s="333">
        <v>-4187298.62</v>
      </c>
      <c r="W651" s="333">
        <v>0</v>
      </c>
      <c r="X651" s="333">
        <v>0</v>
      </c>
      <c r="Y651" s="333">
        <v>0</v>
      </c>
      <c r="Z651" s="333">
        <v>921500</v>
      </c>
      <c r="AA651" s="333">
        <v>-921500</v>
      </c>
      <c r="AB651" s="333">
        <v>0</v>
      </c>
      <c r="AC651" s="333">
        <v>191021.43999999971</v>
      </c>
      <c r="AD651" s="333">
        <v>0</v>
      </c>
      <c r="AE651" s="333"/>
      <c r="AF651" s="333"/>
      <c r="AG651" s="333">
        <f t="shared" si="104"/>
        <v>-4047277.1800000006</v>
      </c>
      <c r="AH651" s="330"/>
      <c r="AI651" s="330">
        <v>-191021.44</v>
      </c>
      <c r="AJ651" s="396">
        <f t="shared" si="106"/>
        <v>-4047277.1800000006</v>
      </c>
      <c r="AK651" s="563"/>
      <c r="AL651" s="285">
        <f t="shared" ref="AL651:AL653" si="109">+AC651+AI651</f>
        <v>-2.9103830456733704E-10</v>
      </c>
      <c r="AM651" s="286"/>
      <c r="AO651" s="330" t="s">
        <v>4791</v>
      </c>
    </row>
    <row r="652" spans="1:41">
      <c r="A652" s="587">
        <f t="shared" si="107"/>
        <v>649</v>
      </c>
      <c r="B652" s="330" t="s">
        <v>1643</v>
      </c>
      <c r="C652" s="330" t="s">
        <v>4795</v>
      </c>
      <c r="D652" s="330" t="s">
        <v>1662</v>
      </c>
      <c r="E652" s="330" t="s">
        <v>1705</v>
      </c>
      <c r="F652" s="330" t="s">
        <v>1647</v>
      </c>
      <c r="G652" s="562">
        <v>1114</v>
      </c>
      <c r="H652" s="562">
        <v>683.3</v>
      </c>
      <c r="I652" s="562">
        <v>795.57</v>
      </c>
      <c r="J652" s="561" t="s">
        <v>1679</v>
      </c>
      <c r="K652" s="330" t="s">
        <v>4796</v>
      </c>
      <c r="L652" s="330" t="s">
        <v>4797</v>
      </c>
      <c r="M652" s="330" t="s">
        <v>4798</v>
      </c>
      <c r="N652" s="330" t="s">
        <v>4799</v>
      </c>
      <c r="O652" s="395">
        <v>45454</v>
      </c>
      <c r="P652" s="333">
        <v>6304075</v>
      </c>
      <c r="Q652" s="330" t="s">
        <v>1653</v>
      </c>
      <c r="R652" s="562">
        <v>0</v>
      </c>
      <c r="S652" s="333">
        <v>0</v>
      </c>
      <c r="T652" s="333">
        <v>-1954262.6100000003</v>
      </c>
      <c r="U652" s="333">
        <f t="shared" si="103"/>
        <v>-1954262.6100000003</v>
      </c>
      <c r="V652" s="333">
        <v>0</v>
      </c>
      <c r="W652" s="333">
        <v>0</v>
      </c>
      <c r="X652" s="333">
        <v>0</v>
      </c>
      <c r="Y652" s="333">
        <v>0</v>
      </c>
      <c r="Z652" s="333">
        <v>0</v>
      </c>
      <c r="AA652" s="333">
        <v>0</v>
      </c>
      <c r="AB652" s="333">
        <v>0</v>
      </c>
      <c r="AC652" s="333">
        <v>0</v>
      </c>
      <c r="AD652" s="333">
        <v>0</v>
      </c>
      <c r="AE652" s="333"/>
      <c r="AF652" s="333"/>
      <c r="AG652" s="333">
        <f t="shared" si="104"/>
        <v>-1954262.6100000003</v>
      </c>
      <c r="AH652" s="330"/>
      <c r="AI652" s="330">
        <v>0</v>
      </c>
      <c r="AJ652" s="396">
        <f t="shared" si="106"/>
        <v>-1954262.6100000003</v>
      </c>
      <c r="AK652" s="563"/>
      <c r="AL652" s="285">
        <f t="shared" si="109"/>
        <v>0</v>
      </c>
      <c r="AM652" s="286"/>
      <c r="AO652" s="330" t="s">
        <v>4796</v>
      </c>
    </row>
    <row r="653" spans="1:41">
      <c r="A653" s="587">
        <f t="shared" si="107"/>
        <v>650</v>
      </c>
      <c r="B653" s="330" t="s">
        <v>1643</v>
      </c>
      <c r="C653" s="330" t="s">
        <v>4800</v>
      </c>
      <c r="D653" s="330" t="s">
        <v>1746</v>
      </c>
      <c r="E653" s="330" t="s">
        <v>2394</v>
      </c>
      <c r="F653" s="330" t="s">
        <v>1647</v>
      </c>
      <c r="G653" s="562">
        <v>1114</v>
      </c>
      <c r="H653" s="562">
        <v>683.3</v>
      </c>
      <c r="I653" s="562">
        <v>795.57</v>
      </c>
      <c r="J653" s="561" t="s">
        <v>1648</v>
      </c>
      <c r="K653" s="330" t="s">
        <v>4801</v>
      </c>
      <c r="L653" s="330" t="s">
        <v>4802</v>
      </c>
      <c r="M653" s="330" t="s">
        <v>4803</v>
      </c>
      <c r="N653" s="330" t="s">
        <v>4804</v>
      </c>
      <c r="O653" s="395">
        <v>45433</v>
      </c>
      <c r="P653" s="333">
        <v>6320782</v>
      </c>
      <c r="Q653" s="330" t="s">
        <v>1653</v>
      </c>
      <c r="R653" s="562">
        <v>0</v>
      </c>
      <c r="S653" s="333">
        <v>0</v>
      </c>
      <c r="T653" s="333">
        <v>-1770458.0799999998</v>
      </c>
      <c r="U653" s="333">
        <f t="shared" si="103"/>
        <v>-1770458.0799999998</v>
      </c>
      <c r="V653" s="333">
        <v>-181842</v>
      </c>
      <c r="W653" s="333">
        <v>0</v>
      </c>
      <c r="X653" s="333">
        <v>0</v>
      </c>
      <c r="Y653" s="333">
        <v>0</v>
      </c>
      <c r="Z653" s="333">
        <v>0</v>
      </c>
      <c r="AA653" s="333">
        <v>0</v>
      </c>
      <c r="AB653" s="333">
        <v>0</v>
      </c>
      <c r="AC653" s="333">
        <v>-7143</v>
      </c>
      <c r="AD653" s="333">
        <v>0</v>
      </c>
      <c r="AE653" s="333"/>
      <c r="AF653" s="333"/>
      <c r="AG653" s="333">
        <f t="shared" si="104"/>
        <v>-1959443.0799999998</v>
      </c>
      <c r="AH653" s="330"/>
      <c r="AI653" s="330">
        <v>7143</v>
      </c>
      <c r="AJ653" s="396">
        <f t="shared" si="106"/>
        <v>-1959443.0799999998</v>
      </c>
      <c r="AK653" s="563"/>
      <c r="AL653" s="285">
        <f t="shared" si="109"/>
        <v>0</v>
      </c>
      <c r="AM653" s="286"/>
      <c r="AO653" s="330" t="s">
        <v>4801</v>
      </c>
    </row>
    <row r="654" spans="1:41">
      <c r="A654" s="587">
        <f t="shared" si="107"/>
        <v>651</v>
      </c>
      <c r="B654" s="330" t="s">
        <v>1643</v>
      </c>
      <c r="C654" s="330" t="s">
        <v>4805</v>
      </c>
      <c r="D654" s="330" t="s">
        <v>1645</v>
      </c>
      <c r="E654" s="330" t="s">
        <v>2600</v>
      </c>
      <c r="F654" s="330" t="s">
        <v>1786</v>
      </c>
      <c r="G654" s="562">
        <v>1498</v>
      </c>
      <c r="H654" s="562">
        <v>954.87</v>
      </c>
      <c r="I654" s="562">
        <v>1069.73</v>
      </c>
      <c r="J654" s="561" t="s">
        <v>1648</v>
      </c>
      <c r="K654" s="330" t="s">
        <v>4806</v>
      </c>
      <c r="L654" s="330" t="s">
        <v>4807</v>
      </c>
      <c r="M654" s="330" t="s">
        <v>4808</v>
      </c>
      <c r="N654" s="330" t="s">
        <v>4809</v>
      </c>
      <c r="O654" s="395">
        <v>45699</v>
      </c>
      <c r="P654" s="333">
        <v>9035714</v>
      </c>
      <c r="Q654" s="330" t="s">
        <v>1653</v>
      </c>
      <c r="R654" s="562">
        <v>0</v>
      </c>
      <c r="S654" s="333">
        <v>0</v>
      </c>
      <c r="T654" s="333">
        <v>-2801072.2799999993</v>
      </c>
      <c r="U654" s="333">
        <f t="shared" si="103"/>
        <v>-2801072.2799999993</v>
      </c>
      <c r="V654" s="333">
        <v>2846251</v>
      </c>
      <c r="W654" s="333">
        <v>0</v>
      </c>
      <c r="X654" s="333">
        <v>0</v>
      </c>
      <c r="Y654" s="333">
        <v>0</v>
      </c>
      <c r="Z654" s="333">
        <v>0</v>
      </c>
      <c r="AA654" s="333">
        <v>0</v>
      </c>
      <c r="AB654" s="333">
        <v>0</v>
      </c>
      <c r="AC654" s="333">
        <v>-1.9999999844003469E-2</v>
      </c>
      <c r="AD654" s="333">
        <v>-2846251</v>
      </c>
      <c r="AE654" s="333"/>
      <c r="AF654" s="333"/>
      <c r="AG654" s="333">
        <f t="shared" si="104"/>
        <v>-2801072.2999999993</v>
      </c>
      <c r="AH654" s="330"/>
      <c r="AI654" s="330">
        <v>1.9999999989522621E-2</v>
      </c>
      <c r="AJ654" s="396">
        <f t="shared" si="106"/>
        <v>-2801072.2999999993</v>
      </c>
      <c r="AK654" s="563"/>
      <c r="AL654" s="285">
        <f t="shared" si="108"/>
        <v>-3.999999983352609E-2</v>
      </c>
      <c r="AM654" s="286"/>
      <c r="AO654" s="330" t="s">
        <v>4806</v>
      </c>
    </row>
    <row r="655" spans="1:41">
      <c r="A655" s="587">
        <f t="shared" si="107"/>
        <v>652</v>
      </c>
      <c r="B655" s="330" t="s">
        <v>1643</v>
      </c>
      <c r="C655" s="330" t="s">
        <v>4698</v>
      </c>
      <c r="D655" s="330" t="s">
        <v>1669</v>
      </c>
      <c r="E655" s="330" t="s">
        <v>1978</v>
      </c>
      <c r="F655" s="330" t="s">
        <v>1671</v>
      </c>
      <c r="G655" s="562">
        <v>1787</v>
      </c>
      <c r="H655" s="562">
        <v>1138.51</v>
      </c>
      <c r="I655" s="562">
        <v>1276.29</v>
      </c>
      <c r="J655" s="561" t="s">
        <v>1648</v>
      </c>
      <c r="K655" s="330" t="s">
        <v>4810</v>
      </c>
      <c r="L655" s="330" t="s">
        <v>4811</v>
      </c>
      <c r="M655" s="330" t="s">
        <v>4812</v>
      </c>
      <c r="N655" s="330" t="s">
        <v>4702</v>
      </c>
      <c r="O655" s="395">
        <v>45457</v>
      </c>
      <c r="P655" s="333">
        <v>11171089</v>
      </c>
      <c r="Q655" s="330" t="s">
        <v>1660</v>
      </c>
      <c r="R655" s="562">
        <v>0</v>
      </c>
      <c r="S655" s="333">
        <v>0</v>
      </c>
      <c r="T655" s="333">
        <v>0</v>
      </c>
      <c r="U655" s="333">
        <f t="shared" si="103"/>
        <v>0</v>
      </c>
      <c r="V655" s="333">
        <v>0</v>
      </c>
      <c r="W655" s="333">
        <v>0</v>
      </c>
      <c r="X655" s="333">
        <v>0</v>
      </c>
      <c r="Y655" s="333">
        <v>0</v>
      </c>
      <c r="Z655" s="333">
        <v>0</v>
      </c>
      <c r="AA655" s="333">
        <v>0</v>
      </c>
      <c r="AB655" s="333">
        <v>0</v>
      </c>
      <c r="AC655" s="333">
        <v>0</v>
      </c>
      <c r="AD655" s="333">
        <v>0</v>
      </c>
      <c r="AE655" s="333"/>
      <c r="AF655" s="333"/>
      <c r="AG655" s="333">
        <f t="shared" si="104"/>
        <v>0</v>
      </c>
      <c r="AH655" s="330"/>
      <c r="AI655" s="330">
        <v>0</v>
      </c>
      <c r="AJ655" s="396">
        <f t="shared" si="106"/>
        <v>0</v>
      </c>
      <c r="AK655" s="563"/>
      <c r="AL655" s="285">
        <f t="shared" si="108"/>
        <v>0</v>
      </c>
      <c r="AM655" s="286"/>
      <c r="AO655" s="330" t="s">
        <v>4810</v>
      </c>
    </row>
    <row r="656" spans="1:41">
      <c r="A656" s="587">
        <f t="shared" si="107"/>
        <v>653</v>
      </c>
      <c r="B656" s="330" t="s">
        <v>1643</v>
      </c>
      <c r="C656" s="330" t="s">
        <v>4813</v>
      </c>
      <c r="D656" s="330" t="s">
        <v>1655</v>
      </c>
      <c r="E656" s="330" t="s">
        <v>1857</v>
      </c>
      <c r="F656" s="330" t="s">
        <v>1647</v>
      </c>
      <c r="G656" s="562">
        <v>1114</v>
      </c>
      <c r="H656" s="562">
        <v>683.3</v>
      </c>
      <c r="I656" s="562">
        <v>795.57</v>
      </c>
      <c r="J656" s="561" t="s">
        <v>1810</v>
      </c>
      <c r="K656" s="330" t="s">
        <v>4814</v>
      </c>
      <c r="L656" s="330" t="s">
        <v>4815</v>
      </c>
      <c r="M656" s="330" t="s">
        <v>4816</v>
      </c>
      <c r="N656" s="330" t="s">
        <v>12</v>
      </c>
      <c r="O656" s="395"/>
      <c r="P656" s="333">
        <v>6803524</v>
      </c>
      <c r="Q656" s="330" t="s">
        <v>1660</v>
      </c>
      <c r="R656" s="562">
        <v>0</v>
      </c>
      <c r="S656" s="333">
        <v>0</v>
      </c>
      <c r="T656" s="333">
        <v>-20000</v>
      </c>
      <c r="U656" s="333">
        <f t="shared" si="103"/>
        <v>-20000</v>
      </c>
      <c r="V656" s="333">
        <v>20000</v>
      </c>
      <c r="W656" s="333">
        <v>0</v>
      </c>
      <c r="X656" s="333">
        <v>0</v>
      </c>
      <c r="Y656" s="333">
        <v>0</v>
      </c>
      <c r="Z656" s="333">
        <v>0</v>
      </c>
      <c r="AA656" s="333">
        <v>0</v>
      </c>
      <c r="AB656" s="333">
        <v>0</v>
      </c>
      <c r="AC656" s="333">
        <v>0</v>
      </c>
      <c r="AD656" s="333">
        <v>0</v>
      </c>
      <c r="AE656" s="333"/>
      <c r="AF656" s="333"/>
      <c r="AG656" s="333">
        <f t="shared" si="104"/>
        <v>0</v>
      </c>
      <c r="AH656" s="330"/>
      <c r="AI656" s="330">
        <v>0</v>
      </c>
      <c r="AJ656" s="396">
        <f t="shared" si="106"/>
        <v>0</v>
      </c>
      <c r="AK656" s="563"/>
      <c r="AL656" s="285">
        <f t="shared" si="108"/>
        <v>0</v>
      </c>
      <c r="AM656" s="286"/>
      <c r="AO656" s="330" t="s">
        <v>4814</v>
      </c>
    </row>
    <row r="657" spans="1:41">
      <c r="A657" s="587">
        <f t="shared" si="107"/>
        <v>654</v>
      </c>
      <c r="B657" s="330" t="s">
        <v>1643</v>
      </c>
      <c r="C657" s="330" t="s">
        <v>3788</v>
      </c>
      <c r="D657" s="330" t="s">
        <v>1655</v>
      </c>
      <c r="E657" s="330" t="s">
        <v>2227</v>
      </c>
      <c r="F657" s="330" t="s">
        <v>1647</v>
      </c>
      <c r="G657" s="562">
        <v>1012</v>
      </c>
      <c r="H657" s="562">
        <v>653.59</v>
      </c>
      <c r="I657" s="562">
        <v>723.02</v>
      </c>
      <c r="J657" s="561" t="s">
        <v>1810</v>
      </c>
      <c r="K657" s="330" t="s">
        <v>4817</v>
      </c>
      <c r="L657" s="330" t="s">
        <v>4818</v>
      </c>
      <c r="M657" s="330" t="s">
        <v>4819</v>
      </c>
      <c r="N657" s="330" t="s">
        <v>12</v>
      </c>
      <c r="O657" s="395"/>
      <c r="P657" s="333">
        <v>6133905</v>
      </c>
      <c r="Q657" s="330" t="s">
        <v>1660</v>
      </c>
      <c r="R657" s="562">
        <v>0</v>
      </c>
      <c r="S657" s="333">
        <v>0</v>
      </c>
      <c r="T657" s="333">
        <v>0</v>
      </c>
      <c r="U657" s="333">
        <f t="shared" si="103"/>
        <v>0</v>
      </c>
      <c r="V657" s="333">
        <v>0</v>
      </c>
      <c r="W657" s="333">
        <v>0</v>
      </c>
      <c r="X657" s="333">
        <v>0</v>
      </c>
      <c r="Y657" s="333">
        <v>0</v>
      </c>
      <c r="Z657" s="333">
        <v>0</v>
      </c>
      <c r="AA657" s="333">
        <v>0</v>
      </c>
      <c r="AB657" s="333">
        <v>0</v>
      </c>
      <c r="AC657" s="333">
        <v>0</v>
      </c>
      <c r="AD657" s="333">
        <v>0</v>
      </c>
      <c r="AE657" s="333"/>
      <c r="AF657" s="333"/>
      <c r="AG657" s="333">
        <f t="shared" si="104"/>
        <v>0</v>
      </c>
      <c r="AH657" s="330"/>
      <c r="AI657" s="330">
        <v>0</v>
      </c>
      <c r="AJ657" s="396">
        <f t="shared" si="106"/>
        <v>0</v>
      </c>
      <c r="AK657" s="563"/>
      <c r="AL657" s="285">
        <f t="shared" si="108"/>
        <v>0</v>
      </c>
      <c r="AM657" s="286"/>
      <c r="AO657" s="330" t="s">
        <v>4817</v>
      </c>
    </row>
    <row r="658" spans="1:41">
      <c r="A658" s="587">
        <f t="shared" si="107"/>
        <v>655</v>
      </c>
      <c r="B658" s="330" t="s">
        <v>1643</v>
      </c>
      <c r="C658" s="330" t="s">
        <v>4820</v>
      </c>
      <c r="D658" s="330" t="s">
        <v>1704</v>
      </c>
      <c r="E658" s="330" t="s">
        <v>3323</v>
      </c>
      <c r="F658" s="330" t="s">
        <v>1647</v>
      </c>
      <c r="G658" s="562">
        <v>1375</v>
      </c>
      <c r="H658" s="562">
        <v>876.73</v>
      </c>
      <c r="I658" s="562">
        <v>982.22</v>
      </c>
      <c r="J658" s="561" t="s">
        <v>1648</v>
      </c>
      <c r="K658" s="330" t="s">
        <v>4821</v>
      </c>
      <c r="L658" s="330" t="s">
        <v>4822</v>
      </c>
      <c r="M658" s="330" t="s">
        <v>4823</v>
      </c>
      <c r="N658" s="330" t="s">
        <v>4824</v>
      </c>
      <c r="O658" s="395">
        <v>45561</v>
      </c>
      <c r="P658" s="333">
        <v>8366000</v>
      </c>
      <c r="Q658" s="330" t="s">
        <v>1653</v>
      </c>
      <c r="R658" s="562">
        <v>0</v>
      </c>
      <c r="S658" s="333">
        <v>0</v>
      </c>
      <c r="T658" s="333">
        <v>-2604458</v>
      </c>
      <c r="U658" s="333">
        <f t="shared" si="103"/>
        <v>-2604458</v>
      </c>
      <c r="V658" s="333">
        <v>0</v>
      </c>
      <c r="W658" s="333">
        <v>0</v>
      </c>
      <c r="X658" s="333">
        <v>0</v>
      </c>
      <c r="Y658" s="333">
        <v>0</v>
      </c>
      <c r="Z658" s="333">
        <v>0</v>
      </c>
      <c r="AA658" s="333">
        <v>0</v>
      </c>
      <c r="AB658" s="333">
        <v>0</v>
      </c>
      <c r="AC658" s="333">
        <v>0</v>
      </c>
      <c r="AD658" s="333">
        <v>0</v>
      </c>
      <c r="AE658" s="333"/>
      <c r="AF658" s="333"/>
      <c r="AG658" s="333">
        <f t="shared" si="104"/>
        <v>-2604458</v>
      </c>
      <c r="AH658" s="330"/>
      <c r="AI658" s="330">
        <v>0</v>
      </c>
      <c r="AJ658" s="396">
        <f t="shared" si="106"/>
        <v>-2604458</v>
      </c>
      <c r="AK658" s="563"/>
      <c r="AL658" s="285">
        <f t="shared" si="108"/>
        <v>0</v>
      </c>
      <c r="AM658" s="286"/>
      <c r="AO658" s="330" t="s">
        <v>4821</v>
      </c>
    </row>
    <row r="659" spans="1:41">
      <c r="A659" s="587">
        <f t="shared" si="107"/>
        <v>656</v>
      </c>
      <c r="B659" s="330" t="s">
        <v>1643</v>
      </c>
      <c r="C659" s="330" t="s">
        <v>4825</v>
      </c>
      <c r="D659" s="330" t="s">
        <v>1655</v>
      </c>
      <c r="E659" s="330" t="s">
        <v>2486</v>
      </c>
      <c r="F659" s="330" t="s">
        <v>1647</v>
      </c>
      <c r="G659" s="562">
        <v>1114</v>
      </c>
      <c r="H659" s="562">
        <v>683.3</v>
      </c>
      <c r="I659" s="562">
        <v>795.57</v>
      </c>
      <c r="J659" s="561" t="s">
        <v>1810</v>
      </c>
      <c r="K659" s="330" t="s">
        <v>4826</v>
      </c>
      <c r="L659" s="330" t="s">
        <v>4827</v>
      </c>
      <c r="M659" s="330" t="s">
        <v>4828</v>
      </c>
      <c r="N659" s="330" t="s">
        <v>12</v>
      </c>
      <c r="O659" s="395"/>
      <c r="P659" s="333">
        <v>6785714</v>
      </c>
      <c r="Q659" s="330" t="s">
        <v>1660</v>
      </c>
      <c r="R659" s="562">
        <v>0</v>
      </c>
      <c r="S659" s="333">
        <v>0</v>
      </c>
      <c r="T659" s="333">
        <v>-100000</v>
      </c>
      <c r="U659" s="333">
        <f t="shared" si="103"/>
        <v>-100000</v>
      </c>
      <c r="V659" s="333">
        <v>100000</v>
      </c>
      <c r="W659" s="333">
        <v>0</v>
      </c>
      <c r="X659" s="333">
        <v>0</v>
      </c>
      <c r="Y659" s="333">
        <v>0</v>
      </c>
      <c r="Z659" s="333">
        <v>0</v>
      </c>
      <c r="AA659" s="333">
        <v>0</v>
      </c>
      <c r="AB659" s="333">
        <v>0</v>
      </c>
      <c r="AC659" s="333">
        <v>0</v>
      </c>
      <c r="AD659" s="333">
        <v>0</v>
      </c>
      <c r="AE659" s="333"/>
      <c r="AF659" s="333"/>
      <c r="AG659" s="333">
        <f t="shared" si="104"/>
        <v>0</v>
      </c>
      <c r="AH659" s="330"/>
      <c r="AI659" s="330">
        <v>0</v>
      </c>
      <c r="AJ659" s="396">
        <f t="shared" si="106"/>
        <v>0</v>
      </c>
      <c r="AK659" s="563"/>
      <c r="AL659" s="285">
        <f t="shared" si="108"/>
        <v>0</v>
      </c>
      <c r="AM659" s="286"/>
      <c r="AO659" s="330" t="s">
        <v>4826</v>
      </c>
    </row>
    <row r="660" spans="1:41">
      <c r="A660" s="587">
        <f t="shared" si="107"/>
        <v>657</v>
      </c>
      <c r="B660" s="330" t="s">
        <v>1643</v>
      </c>
      <c r="C660" s="330" t="s">
        <v>4829</v>
      </c>
      <c r="D660" s="330" t="s">
        <v>1746</v>
      </c>
      <c r="E660" s="330" t="s">
        <v>2542</v>
      </c>
      <c r="F660" s="330" t="s">
        <v>1647</v>
      </c>
      <c r="G660" s="562">
        <v>1012</v>
      </c>
      <c r="H660" s="562">
        <v>653.59</v>
      </c>
      <c r="I660" s="562">
        <v>723.02</v>
      </c>
      <c r="J660" s="561" t="s">
        <v>1648</v>
      </c>
      <c r="K660" s="330" t="s">
        <v>4830</v>
      </c>
      <c r="L660" s="330" t="s">
        <v>4831</v>
      </c>
      <c r="M660" s="330" t="s">
        <v>4832</v>
      </c>
      <c r="N660" s="330" t="s">
        <v>4833</v>
      </c>
      <c r="O660" s="395">
        <v>45475</v>
      </c>
      <c r="P660" s="333">
        <v>5669619</v>
      </c>
      <c r="Q660" s="330" t="s">
        <v>1653</v>
      </c>
      <c r="R660" s="562">
        <v>0</v>
      </c>
      <c r="S660" s="333">
        <v>0</v>
      </c>
      <c r="T660" s="333">
        <v>-1700885.7000000004</v>
      </c>
      <c r="U660" s="333">
        <f t="shared" si="103"/>
        <v>-1700885.7000000004</v>
      </c>
      <c r="V660" s="333">
        <v>0</v>
      </c>
      <c r="W660" s="333">
        <v>0</v>
      </c>
      <c r="X660" s="333">
        <v>0</v>
      </c>
      <c r="Y660" s="333">
        <v>0</v>
      </c>
      <c r="Z660" s="333">
        <v>0</v>
      </c>
      <c r="AA660" s="333">
        <v>0</v>
      </c>
      <c r="AB660" s="333">
        <v>0</v>
      </c>
      <c r="AC660" s="333">
        <v>0</v>
      </c>
      <c r="AD660" s="333">
        <v>0</v>
      </c>
      <c r="AE660" s="333"/>
      <c r="AF660" s="333"/>
      <c r="AG660" s="333">
        <f t="shared" si="104"/>
        <v>-1700885.7000000004</v>
      </c>
      <c r="AH660" s="330"/>
      <c r="AI660" s="330">
        <v>0</v>
      </c>
      <c r="AJ660" s="396">
        <f t="shared" si="106"/>
        <v>-1700885.7000000004</v>
      </c>
      <c r="AK660" s="563"/>
      <c r="AL660" s="285">
        <f t="shared" si="108"/>
        <v>0</v>
      </c>
      <c r="AM660" s="286"/>
      <c r="AO660" s="330" t="s">
        <v>4830</v>
      </c>
    </row>
    <row r="661" spans="1:41">
      <c r="A661" s="587">
        <f t="shared" si="107"/>
        <v>658</v>
      </c>
      <c r="B661" s="330" t="s">
        <v>1643</v>
      </c>
      <c r="C661" s="330" t="s">
        <v>4834</v>
      </c>
      <c r="D661" s="330" t="s">
        <v>1645</v>
      </c>
      <c r="E661" s="330" t="s">
        <v>3012</v>
      </c>
      <c r="F661" s="330" t="s">
        <v>1647</v>
      </c>
      <c r="G661" s="562">
        <v>1114</v>
      </c>
      <c r="H661" s="562">
        <v>683.3</v>
      </c>
      <c r="I661" s="562">
        <v>795.57</v>
      </c>
      <c r="J661" s="561" t="s">
        <v>1648</v>
      </c>
      <c r="K661" s="330" t="s">
        <v>4835</v>
      </c>
      <c r="L661" s="330" t="s">
        <v>4836</v>
      </c>
      <c r="M661" s="330" t="s">
        <v>4837</v>
      </c>
      <c r="N661" s="330" t="s">
        <v>4838</v>
      </c>
      <c r="O661" s="395">
        <v>45405</v>
      </c>
      <c r="P661" s="333">
        <v>6270661</v>
      </c>
      <c r="Q661" s="330" t="s">
        <v>1653</v>
      </c>
      <c r="R661" s="562">
        <v>0</v>
      </c>
      <c r="S661" s="333">
        <v>0</v>
      </c>
      <c r="T661" s="333">
        <v>-1827511.6900000004</v>
      </c>
      <c r="U661" s="333">
        <f t="shared" si="103"/>
        <v>-1827511.6900000004</v>
      </c>
      <c r="V661" s="333">
        <v>0</v>
      </c>
      <c r="W661" s="333">
        <v>0</v>
      </c>
      <c r="X661" s="333">
        <v>0</v>
      </c>
      <c r="Y661" s="333">
        <v>0</v>
      </c>
      <c r="Z661" s="333">
        <v>0</v>
      </c>
      <c r="AA661" s="333">
        <v>0</v>
      </c>
      <c r="AB661" s="333">
        <v>0</v>
      </c>
      <c r="AC661" s="333">
        <v>-109249.60000000001</v>
      </c>
      <c r="AD661" s="333">
        <v>0</v>
      </c>
      <c r="AE661" s="333"/>
      <c r="AF661" s="333"/>
      <c r="AG661" s="333">
        <f t="shared" si="104"/>
        <v>-1936761.2900000005</v>
      </c>
      <c r="AH661" s="330"/>
      <c r="AI661" s="330">
        <v>109249.60000000001</v>
      </c>
      <c r="AJ661" s="396">
        <f t="shared" si="106"/>
        <v>-1936761.2900000005</v>
      </c>
      <c r="AK661" s="563"/>
      <c r="AL661" s="285">
        <f>+AC661+AI661</f>
        <v>0</v>
      </c>
      <c r="AM661" s="286"/>
      <c r="AO661" s="330" t="s">
        <v>4835</v>
      </c>
    </row>
    <row r="662" spans="1:41">
      <c r="A662" s="587">
        <f t="shared" si="107"/>
        <v>659</v>
      </c>
      <c r="B662" s="330" t="s">
        <v>1643</v>
      </c>
      <c r="C662" s="330" t="s">
        <v>4839</v>
      </c>
      <c r="D662" s="330" t="s">
        <v>2153</v>
      </c>
      <c r="E662" s="330" t="s">
        <v>1947</v>
      </c>
      <c r="F662" s="330" t="s">
        <v>1647</v>
      </c>
      <c r="G662" s="562">
        <v>1114</v>
      </c>
      <c r="H662" s="562">
        <v>683.3</v>
      </c>
      <c r="I662" s="562">
        <v>795.57</v>
      </c>
      <c r="J662" s="561" t="s">
        <v>1679</v>
      </c>
      <c r="K662" s="330" t="s">
        <v>4840</v>
      </c>
      <c r="L662" s="330" t="s">
        <v>4841</v>
      </c>
      <c r="M662" s="330" t="s">
        <v>4842</v>
      </c>
      <c r="N662" s="330" t="s">
        <v>4843</v>
      </c>
      <c r="O662" s="395">
        <v>45454</v>
      </c>
      <c r="P662" s="333">
        <v>6729714</v>
      </c>
      <c r="Q662" s="330" t="s">
        <v>1653</v>
      </c>
      <c r="R662" s="562">
        <v>0</v>
      </c>
      <c r="S662" s="333">
        <v>0</v>
      </c>
      <c r="T662" s="333">
        <v>-2019554.28</v>
      </c>
      <c r="U662" s="333">
        <f t="shared" si="103"/>
        <v>-2019554.28</v>
      </c>
      <c r="V662" s="333">
        <v>0</v>
      </c>
      <c r="W662" s="333">
        <v>0</v>
      </c>
      <c r="X662" s="333">
        <v>0</v>
      </c>
      <c r="Y662" s="333">
        <v>0</v>
      </c>
      <c r="Z662" s="333">
        <v>0</v>
      </c>
      <c r="AA662" s="333">
        <v>0</v>
      </c>
      <c r="AB662" s="333">
        <v>0</v>
      </c>
      <c r="AC662" s="333">
        <v>0</v>
      </c>
      <c r="AD662" s="333">
        <v>0</v>
      </c>
      <c r="AE662" s="333"/>
      <c r="AF662" s="333"/>
      <c r="AG662" s="333">
        <f t="shared" si="104"/>
        <v>-2019554.28</v>
      </c>
      <c r="AH662" s="330"/>
      <c r="AI662" s="330">
        <v>0</v>
      </c>
      <c r="AJ662" s="396">
        <f t="shared" si="106"/>
        <v>-2019554.28</v>
      </c>
      <c r="AK662" s="563"/>
      <c r="AL662" s="285">
        <f t="shared" si="108"/>
        <v>0</v>
      </c>
      <c r="AM662" s="286"/>
      <c r="AO662" s="330" t="s">
        <v>4840</v>
      </c>
    </row>
    <row r="663" spans="1:41">
      <c r="A663" s="587">
        <f t="shared" si="107"/>
        <v>660</v>
      </c>
      <c r="B663" s="330" t="s">
        <v>1643</v>
      </c>
      <c r="C663" s="330" t="s">
        <v>4844</v>
      </c>
      <c r="D663" s="330" t="s">
        <v>1704</v>
      </c>
      <c r="E663" s="330" t="s">
        <v>2332</v>
      </c>
      <c r="F663" s="330" t="s">
        <v>1671</v>
      </c>
      <c r="G663" s="562">
        <v>1375</v>
      </c>
      <c r="H663" s="562">
        <v>876.73</v>
      </c>
      <c r="I663" s="562">
        <v>982.22</v>
      </c>
      <c r="J663" s="561" t="s">
        <v>1810</v>
      </c>
      <c r="K663" s="330" t="s">
        <v>4845</v>
      </c>
      <c r="L663" s="330" t="s">
        <v>4846</v>
      </c>
      <c r="M663" s="330" t="s">
        <v>4847</v>
      </c>
      <c r="N663" s="330" t="s">
        <v>4848</v>
      </c>
      <c r="O663" s="395">
        <v>45895</v>
      </c>
      <c r="P663" s="333">
        <v>8633910</v>
      </c>
      <c r="Q663" s="330" t="s">
        <v>1653</v>
      </c>
      <c r="R663" s="562">
        <v>0</v>
      </c>
      <c r="S663" s="333">
        <v>0</v>
      </c>
      <c r="T663" s="333">
        <v>0</v>
      </c>
      <c r="U663" s="333">
        <f t="shared" si="103"/>
        <v>0</v>
      </c>
      <c r="V663" s="333">
        <v>-2806021.1</v>
      </c>
      <c r="W663" s="333">
        <v>0</v>
      </c>
      <c r="X663" s="333">
        <v>0</v>
      </c>
      <c r="Y663" s="333">
        <v>0</v>
      </c>
      <c r="Z663" s="333">
        <v>548100</v>
      </c>
      <c r="AA663" s="333">
        <v>-548100</v>
      </c>
      <c r="AB663" s="333">
        <v>0</v>
      </c>
      <c r="AC663" s="333">
        <v>129508.66000000015</v>
      </c>
      <c r="AD663" s="333">
        <v>0</v>
      </c>
      <c r="AE663" s="333"/>
      <c r="AF663" s="333"/>
      <c r="AG663" s="333">
        <f t="shared" si="104"/>
        <v>-2676512.44</v>
      </c>
      <c r="AH663" s="330"/>
      <c r="AI663" s="330">
        <v>-129508.66</v>
      </c>
      <c r="AJ663" s="396">
        <f t="shared" si="106"/>
        <v>-2676512.44</v>
      </c>
      <c r="AK663" s="563"/>
      <c r="AL663" s="285">
        <f>+AC663+AI663</f>
        <v>1.4551915228366852E-10</v>
      </c>
      <c r="AM663" s="286"/>
      <c r="AO663" s="330" t="s">
        <v>4845</v>
      </c>
    </row>
    <row r="664" spans="1:41">
      <c r="A664" s="587">
        <f t="shared" si="107"/>
        <v>661</v>
      </c>
      <c r="B664" s="330" t="s">
        <v>1643</v>
      </c>
      <c r="C664" s="330" t="s">
        <v>4849</v>
      </c>
      <c r="D664" s="330" t="s">
        <v>1662</v>
      </c>
      <c r="E664" s="330" t="s">
        <v>3366</v>
      </c>
      <c r="F664" s="330" t="s">
        <v>1671</v>
      </c>
      <c r="G664" s="562">
        <v>1375</v>
      </c>
      <c r="H664" s="562">
        <v>876.73</v>
      </c>
      <c r="I664" s="562">
        <v>982.22</v>
      </c>
      <c r="J664" s="561" t="s">
        <v>1679</v>
      </c>
      <c r="K664" s="330" t="s">
        <v>4850</v>
      </c>
      <c r="L664" s="330" t="s">
        <v>4851</v>
      </c>
      <c r="M664" s="330" t="s">
        <v>4852</v>
      </c>
      <c r="N664" s="330" t="s">
        <v>4853</v>
      </c>
      <c r="O664" s="395">
        <v>45467</v>
      </c>
      <c r="P664" s="333">
        <v>7810762</v>
      </c>
      <c r="Q664" s="330" t="s">
        <v>1653</v>
      </c>
      <c r="R664" s="562">
        <v>0</v>
      </c>
      <c r="S664" s="333">
        <v>0</v>
      </c>
      <c r="T664" s="333">
        <v>-1735585.1800000009</v>
      </c>
      <c r="U664" s="333">
        <f t="shared" si="103"/>
        <v>-1735585.1800000009</v>
      </c>
      <c r="V664" s="333">
        <v>0</v>
      </c>
      <c r="W664" s="333">
        <v>0</v>
      </c>
      <c r="X664" s="333">
        <v>0</v>
      </c>
      <c r="Y664" s="333">
        <v>0</v>
      </c>
      <c r="Z664" s="333">
        <v>0</v>
      </c>
      <c r="AA664" s="333">
        <v>0</v>
      </c>
      <c r="AB664" s="333">
        <v>0</v>
      </c>
      <c r="AC664" s="333">
        <v>0</v>
      </c>
      <c r="AD664" s="333">
        <v>0</v>
      </c>
      <c r="AE664" s="333"/>
      <c r="AF664" s="333"/>
      <c r="AG664" s="333">
        <f t="shared" si="104"/>
        <v>-1735585.1800000009</v>
      </c>
      <c r="AH664" s="330"/>
      <c r="AI664" s="330">
        <v>0</v>
      </c>
      <c r="AJ664" s="396">
        <f t="shared" si="106"/>
        <v>-1735585.1800000009</v>
      </c>
      <c r="AK664" s="563"/>
      <c r="AL664" s="285">
        <f t="shared" si="108"/>
        <v>0</v>
      </c>
      <c r="AM664" s="286"/>
      <c r="AO664" s="330" t="s">
        <v>4850</v>
      </c>
    </row>
    <row r="665" spans="1:41">
      <c r="A665" s="587">
        <f t="shared" si="107"/>
        <v>662</v>
      </c>
      <c r="B665" s="330" t="s">
        <v>1643</v>
      </c>
      <c r="C665" s="330" t="s">
        <v>4854</v>
      </c>
      <c r="D665" s="330" t="s">
        <v>2153</v>
      </c>
      <c r="E665" s="330" t="s">
        <v>2028</v>
      </c>
      <c r="F665" s="330" t="s">
        <v>1647</v>
      </c>
      <c r="G665" s="562">
        <v>1114</v>
      </c>
      <c r="H665" s="562">
        <v>683.3</v>
      </c>
      <c r="I665" s="562">
        <v>795.57</v>
      </c>
      <c r="J665" s="561" t="s">
        <v>1648</v>
      </c>
      <c r="K665" s="330" t="s">
        <v>4855</v>
      </c>
      <c r="L665" s="330" t="s">
        <v>4856</v>
      </c>
      <c r="M665" s="330" t="s">
        <v>4857</v>
      </c>
      <c r="N665" s="330" t="s">
        <v>4858</v>
      </c>
      <c r="O665" s="395">
        <v>45462</v>
      </c>
      <c r="P665" s="333">
        <v>6696381</v>
      </c>
      <c r="Q665" s="330" t="s">
        <v>1653</v>
      </c>
      <c r="R665" s="562">
        <v>0</v>
      </c>
      <c r="S665" s="333">
        <v>0</v>
      </c>
      <c r="T665" s="333">
        <v>-2051114.2800000005</v>
      </c>
      <c r="U665" s="333">
        <f t="shared" si="103"/>
        <v>-2051114.2800000005</v>
      </c>
      <c r="V665" s="333">
        <v>0</v>
      </c>
      <c r="W665" s="333">
        <v>0</v>
      </c>
      <c r="X665" s="333">
        <v>0</v>
      </c>
      <c r="Y665" s="333">
        <v>0</v>
      </c>
      <c r="Z665" s="333">
        <v>0</v>
      </c>
      <c r="AA665" s="333">
        <v>0</v>
      </c>
      <c r="AB665" s="333">
        <v>0</v>
      </c>
      <c r="AC665" s="333">
        <v>0</v>
      </c>
      <c r="AD665" s="333">
        <v>0</v>
      </c>
      <c r="AE665" s="333"/>
      <c r="AF665" s="333"/>
      <c r="AG665" s="333">
        <f t="shared" si="104"/>
        <v>-2051114.2800000005</v>
      </c>
      <c r="AH665" s="330"/>
      <c r="AI665" s="330">
        <v>0</v>
      </c>
      <c r="AJ665" s="396">
        <f t="shared" si="106"/>
        <v>-2051114.2800000005</v>
      </c>
      <c r="AK665" s="563"/>
      <c r="AL665" s="285">
        <f t="shared" si="108"/>
        <v>0</v>
      </c>
      <c r="AM665" s="286"/>
      <c r="AO665" s="330" t="s">
        <v>4855</v>
      </c>
    </row>
    <row r="666" spans="1:41">
      <c r="A666" s="587">
        <f t="shared" si="107"/>
        <v>663</v>
      </c>
      <c r="B666" s="330" t="s">
        <v>1643</v>
      </c>
      <c r="C666" s="330" t="s">
        <v>4859</v>
      </c>
      <c r="D666" s="330" t="s">
        <v>1655</v>
      </c>
      <c r="E666" s="330" t="s">
        <v>2572</v>
      </c>
      <c r="F666" s="330" t="s">
        <v>1647</v>
      </c>
      <c r="G666" s="562">
        <v>1012</v>
      </c>
      <c r="H666" s="562">
        <v>653.59</v>
      </c>
      <c r="I666" s="562">
        <v>723.02</v>
      </c>
      <c r="J666" s="561" t="s">
        <v>1679</v>
      </c>
      <c r="K666" s="330" t="s">
        <v>4860</v>
      </c>
      <c r="L666" s="330" t="s">
        <v>4861</v>
      </c>
      <c r="M666" s="330" t="s">
        <v>4862</v>
      </c>
      <c r="N666" s="330" t="s">
        <v>12</v>
      </c>
      <c r="O666" s="395"/>
      <c r="P666" s="333">
        <v>6080286</v>
      </c>
      <c r="Q666" s="330" t="s">
        <v>1660</v>
      </c>
      <c r="R666" s="562">
        <v>0</v>
      </c>
      <c r="S666" s="333">
        <v>0</v>
      </c>
      <c r="T666" s="333">
        <v>-100000</v>
      </c>
      <c r="U666" s="333">
        <f t="shared" si="103"/>
        <v>-100000</v>
      </c>
      <c r="V666" s="333">
        <v>100000</v>
      </c>
      <c r="W666" s="333">
        <v>0</v>
      </c>
      <c r="X666" s="333">
        <v>0</v>
      </c>
      <c r="Y666" s="333">
        <v>0</v>
      </c>
      <c r="Z666" s="333">
        <v>0</v>
      </c>
      <c r="AA666" s="333">
        <v>0</v>
      </c>
      <c r="AB666" s="333">
        <v>0</v>
      </c>
      <c r="AC666" s="333">
        <v>0</v>
      </c>
      <c r="AD666" s="333">
        <v>0</v>
      </c>
      <c r="AE666" s="333"/>
      <c r="AF666" s="333"/>
      <c r="AG666" s="333">
        <f t="shared" si="104"/>
        <v>0</v>
      </c>
      <c r="AH666" s="330"/>
      <c r="AI666" s="330">
        <v>0</v>
      </c>
      <c r="AJ666" s="396">
        <f t="shared" si="106"/>
        <v>0</v>
      </c>
      <c r="AK666" s="563"/>
      <c r="AL666" s="285">
        <f t="shared" si="108"/>
        <v>0</v>
      </c>
      <c r="AM666" s="286"/>
      <c r="AO666" s="330" t="s">
        <v>4860</v>
      </c>
    </row>
    <row r="667" spans="1:41">
      <c r="A667" s="587">
        <f t="shared" si="107"/>
        <v>664</v>
      </c>
      <c r="B667" s="330" t="s">
        <v>1643</v>
      </c>
      <c r="C667" s="330" t="s">
        <v>4863</v>
      </c>
      <c r="D667" s="330" t="s">
        <v>2153</v>
      </c>
      <c r="E667" s="330" t="s">
        <v>2594</v>
      </c>
      <c r="F667" s="330" t="s">
        <v>1647</v>
      </c>
      <c r="G667" s="562">
        <v>1114</v>
      </c>
      <c r="H667" s="562">
        <v>683.3</v>
      </c>
      <c r="I667" s="562">
        <v>795.57</v>
      </c>
      <c r="J667" s="561" t="s">
        <v>1648</v>
      </c>
      <c r="K667" s="330" t="s">
        <v>4864</v>
      </c>
      <c r="L667" s="330" t="s">
        <v>4865</v>
      </c>
      <c r="M667" s="330" t="s">
        <v>4866</v>
      </c>
      <c r="N667" s="330" t="s">
        <v>4867</v>
      </c>
      <c r="O667" s="395">
        <v>45454</v>
      </c>
      <c r="P667" s="333">
        <v>6714285</v>
      </c>
      <c r="Q667" s="330" t="s">
        <v>1653</v>
      </c>
      <c r="R667" s="562">
        <v>0</v>
      </c>
      <c r="S667" s="333">
        <v>0</v>
      </c>
      <c r="T667" s="333">
        <v>-2020783.7200000007</v>
      </c>
      <c r="U667" s="333">
        <f t="shared" si="103"/>
        <v>-2020783.7200000007</v>
      </c>
      <c r="V667" s="333">
        <v>0</v>
      </c>
      <c r="W667" s="333">
        <v>0</v>
      </c>
      <c r="X667" s="333">
        <v>0</v>
      </c>
      <c r="Y667" s="333">
        <v>0</v>
      </c>
      <c r="Z667" s="333">
        <v>0</v>
      </c>
      <c r="AA667" s="333">
        <v>0</v>
      </c>
      <c r="AB667" s="333">
        <v>0</v>
      </c>
      <c r="AC667" s="333">
        <v>0</v>
      </c>
      <c r="AD667" s="333">
        <v>0</v>
      </c>
      <c r="AE667" s="333"/>
      <c r="AF667" s="333"/>
      <c r="AG667" s="333">
        <f t="shared" si="104"/>
        <v>-2020783.7200000007</v>
      </c>
      <c r="AH667" s="330"/>
      <c r="AI667" s="330">
        <v>0</v>
      </c>
      <c r="AJ667" s="396">
        <f t="shared" si="106"/>
        <v>-2020783.7200000007</v>
      </c>
      <c r="AK667" s="563"/>
      <c r="AL667" s="285">
        <f t="shared" si="108"/>
        <v>0</v>
      </c>
      <c r="AM667" s="286"/>
      <c r="AO667" s="330" t="s">
        <v>4864</v>
      </c>
    </row>
    <row r="668" spans="1:41">
      <c r="A668" s="587">
        <f t="shared" si="107"/>
        <v>665</v>
      </c>
      <c r="B668" s="330" t="s">
        <v>1643</v>
      </c>
      <c r="C668" s="330" t="s">
        <v>4868</v>
      </c>
      <c r="D668" s="330" t="s">
        <v>1704</v>
      </c>
      <c r="E668" s="330" t="s">
        <v>1840</v>
      </c>
      <c r="F668" s="330" t="s">
        <v>1647</v>
      </c>
      <c r="G668" s="562">
        <v>1012</v>
      </c>
      <c r="H668" s="562">
        <v>653.59</v>
      </c>
      <c r="I668" s="562">
        <v>723.02</v>
      </c>
      <c r="J668" s="561" t="s">
        <v>1648</v>
      </c>
      <c r="K668" s="330" t="s">
        <v>4869</v>
      </c>
      <c r="L668" s="330" t="s">
        <v>4870</v>
      </c>
      <c r="M668" s="330" t="s">
        <v>4871</v>
      </c>
      <c r="N668" s="330" t="s">
        <v>4872</v>
      </c>
      <c r="O668" s="395">
        <v>45456</v>
      </c>
      <c r="P668" s="333">
        <v>5758858</v>
      </c>
      <c r="Q668" s="330" t="s">
        <v>1653</v>
      </c>
      <c r="R668" s="562">
        <v>0</v>
      </c>
      <c r="S668" s="333">
        <v>0</v>
      </c>
      <c r="T668" s="333">
        <v>-1727657.1199999994</v>
      </c>
      <c r="U668" s="333">
        <f t="shared" si="103"/>
        <v>-1727657.1199999994</v>
      </c>
      <c r="V668" s="333">
        <v>0</v>
      </c>
      <c r="W668" s="333">
        <v>0</v>
      </c>
      <c r="X668" s="333">
        <v>0</v>
      </c>
      <c r="Y668" s="333">
        <v>0</v>
      </c>
      <c r="Z668" s="333">
        <v>0</v>
      </c>
      <c r="AA668" s="333">
        <v>0</v>
      </c>
      <c r="AB668" s="333">
        <v>0</v>
      </c>
      <c r="AC668" s="333">
        <v>0</v>
      </c>
      <c r="AD668" s="333">
        <v>0</v>
      </c>
      <c r="AE668" s="333"/>
      <c r="AF668" s="333"/>
      <c r="AG668" s="333">
        <f t="shared" si="104"/>
        <v>-1727657.1199999994</v>
      </c>
      <c r="AH668" s="330"/>
      <c r="AI668" s="330">
        <v>0</v>
      </c>
      <c r="AJ668" s="396">
        <f t="shared" si="106"/>
        <v>-1727657.1199999994</v>
      </c>
      <c r="AK668" s="563"/>
      <c r="AL668" s="285">
        <f t="shared" si="108"/>
        <v>0</v>
      </c>
      <c r="AM668" s="286"/>
      <c r="AO668" s="330" t="s">
        <v>4869</v>
      </c>
    </row>
    <row r="669" spans="1:41">
      <c r="A669" s="587">
        <f t="shared" si="107"/>
        <v>666</v>
      </c>
      <c r="B669" s="330" t="s">
        <v>1643</v>
      </c>
      <c r="C669" s="330" t="s">
        <v>4873</v>
      </c>
      <c r="D669" s="330" t="s">
        <v>1645</v>
      </c>
      <c r="E669" s="330" t="s">
        <v>1758</v>
      </c>
      <c r="F669" s="330" t="s">
        <v>1671</v>
      </c>
      <c r="G669" s="562">
        <v>1498</v>
      </c>
      <c r="H669" s="562">
        <v>954.87</v>
      </c>
      <c r="I669" s="562">
        <v>1069.73</v>
      </c>
      <c r="J669" s="561" t="s">
        <v>1810</v>
      </c>
      <c r="K669" s="330" t="s">
        <v>4874</v>
      </c>
      <c r="L669" s="330" t="s">
        <v>4875</v>
      </c>
      <c r="M669" s="330" t="s">
        <v>4876</v>
      </c>
      <c r="N669" s="330" t="s">
        <v>4877</v>
      </c>
      <c r="O669" s="395">
        <v>45469</v>
      </c>
      <c r="P669" s="333">
        <v>8581345</v>
      </c>
      <c r="Q669" s="330" t="s">
        <v>1653</v>
      </c>
      <c r="R669" s="562">
        <v>0</v>
      </c>
      <c r="S669" s="333">
        <v>0</v>
      </c>
      <c r="T669" s="333">
        <v>-2483240.4400000004</v>
      </c>
      <c r="U669" s="333">
        <f t="shared" si="103"/>
        <v>-2483240.4400000004</v>
      </c>
      <c r="V669" s="333">
        <v>-150000</v>
      </c>
      <c r="W669" s="333">
        <v>0</v>
      </c>
      <c r="X669" s="333">
        <v>0</v>
      </c>
      <c r="Y669" s="333">
        <v>0</v>
      </c>
      <c r="Z669" s="333">
        <v>0</v>
      </c>
      <c r="AA669" s="333">
        <v>0</v>
      </c>
      <c r="AB669" s="333">
        <v>0</v>
      </c>
      <c r="AC669" s="333">
        <v>-26976.84</v>
      </c>
      <c r="AD669" s="333">
        <v>0</v>
      </c>
      <c r="AE669" s="333"/>
      <c r="AF669" s="333"/>
      <c r="AG669" s="333">
        <f t="shared" si="104"/>
        <v>-2660217.2800000003</v>
      </c>
      <c r="AH669" s="330"/>
      <c r="AI669" s="330">
        <v>26976.84</v>
      </c>
      <c r="AJ669" s="396">
        <f t="shared" si="106"/>
        <v>-2660217.2800000003</v>
      </c>
      <c r="AK669" s="563"/>
      <c r="AL669" s="285">
        <f>+AC669+AI669</f>
        <v>0</v>
      </c>
      <c r="AM669" s="286"/>
      <c r="AO669" s="330" t="s">
        <v>4874</v>
      </c>
    </row>
    <row r="670" spans="1:41">
      <c r="A670" s="587">
        <f t="shared" si="107"/>
        <v>667</v>
      </c>
      <c r="B670" s="330" t="s">
        <v>1643</v>
      </c>
      <c r="C670" s="330" t="s">
        <v>4878</v>
      </c>
      <c r="D670" s="330" t="s">
        <v>1704</v>
      </c>
      <c r="E670" s="330" t="s">
        <v>1978</v>
      </c>
      <c r="F670" s="330" t="s">
        <v>1647</v>
      </c>
      <c r="G670" s="562">
        <v>1012</v>
      </c>
      <c r="H670" s="562">
        <v>653.59</v>
      </c>
      <c r="I670" s="562">
        <v>723.02</v>
      </c>
      <c r="J670" s="561" t="s">
        <v>1648</v>
      </c>
      <c r="K670" s="330" t="s">
        <v>4879</v>
      </c>
      <c r="L670" s="330" t="s">
        <v>4880</v>
      </c>
      <c r="M670" s="330" t="s">
        <v>4881</v>
      </c>
      <c r="N670" s="330" t="s">
        <v>4882</v>
      </c>
      <c r="O670" s="395">
        <v>45464</v>
      </c>
      <c r="P670" s="333">
        <v>5687428</v>
      </c>
      <c r="Q670" s="330" t="s">
        <v>1653</v>
      </c>
      <c r="R670" s="562">
        <v>0</v>
      </c>
      <c r="S670" s="333">
        <v>0</v>
      </c>
      <c r="T670" s="333">
        <v>-1706227.5800000003</v>
      </c>
      <c r="U670" s="333">
        <f t="shared" si="103"/>
        <v>-1706227.5800000003</v>
      </c>
      <c r="V670" s="333">
        <v>0</v>
      </c>
      <c r="W670" s="333">
        <v>0</v>
      </c>
      <c r="X670" s="333">
        <v>0</v>
      </c>
      <c r="Y670" s="333">
        <v>0</v>
      </c>
      <c r="Z670" s="333">
        <v>0</v>
      </c>
      <c r="AA670" s="333">
        <v>0</v>
      </c>
      <c r="AB670" s="333">
        <v>0</v>
      </c>
      <c r="AC670" s="333">
        <v>0</v>
      </c>
      <c r="AD670" s="333">
        <v>0</v>
      </c>
      <c r="AE670" s="333"/>
      <c r="AF670" s="333"/>
      <c r="AG670" s="333">
        <f t="shared" si="104"/>
        <v>-1706227.5800000003</v>
      </c>
      <c r="AH670" s="330"/>
      <c r="AI670" s="330">
        <v>0</v>
      </c>
      <c r="AJ670" s="396">
        <f t="shared" si="106"/>
        <v>-1706227.5800000003</v>
      </c>
      <c r="AK670" s="563"/>
      <c r="AL670" s="285">
        <f t="shared" si="108"/>
        <v>0</v>
      </c>
      <c r="AM670" s="286"/>
      <c r="AO670" s="330" t="s">
        <v>4879</v>
      </c>
    </row>
    <row r="671" spans="1:41">
      <c r="A671" s="587">
        <f t="shared" si="107"/>
        <v>668</v>
      </c>
      <c r="B671" s="330" t="s">
        <v>1643</v>
      </c>
      <c r="C671" s="330" t="s">
        <v>4883</v>
      </c>
      <c r="D671" s="330" t="s">
        <v>2153</v>
      </c>
      <c r="E671" s="330" t="s">
        <v>1996</v>
      </c>
      <c r="F671" s="330" t="s">
        <v>1647</v>
      </c>
      <c r="G671" s="562">
        <v>1114</v>
      </c>
      <c r="H671" s="562">
        <v>683.3</v>
      </c>
      <c r="I671" s="562">
        <v>795.57</v>
      </c>
      <c r="J671" s="561" t="s">
        <v>1648</v>
      </c>
      <c r="K671" s="330" t="s">
        <v>4884</v>
      </c>
      <c r="L671" s="330" t="s">
        <v>4885</v>
      </c>
      <c r="M671" s="330" t="s">
        <v>4886</v>
      </c>
      <c r="N671" s="330" t="s">
        <v>4887</v>
      </c>
      <c r="O671" s="395">
        <v>45456</v>
      </c>
      <c r="P671" s="333">
        <v>6580285</v>
      </c>
      <c r="Q671" s="330" t="s">
        <v>1653</v>
      </c>
      <c r="R671" s="562">
        <v>0</v>
      </c>
      <c r="S671" s="333">
        <v>0</v>
      </c>
      <c r="T671" s="333">
        <v>-2120147.5699999994</v>
      </c>
      <c r="U671" s="333">
        <f t="shared" si="103"/>
        <v>-2120147.5699999994</v>
      </c>
      <c r="V671" s="333">
        <v>0</v>
      </c>
      <c r="W671" s="333">
        <v>0</v>
      </c>
      <c r="X671" s="333">
        <v>0</v>
      </c>
      <c r="Y671" s="333">
        <v>0</v>
      </c>
      <c r="Z671" s="333">
        <v>0</v>
      </c>
      <c r="AA671" s="333">
        <v>0</v>
      </c>
      <c r="AB671" s="333">
        <v>0</v>
      </c>
      <c r="AC671" s="333">
        <v>0</v>
      </c>
      <c r="AD671" s="333">
        <v>0</v>
      </c>
      <c r="AE671" s="333"/>
      <c r="AF671" s="333"/>
      <c r="AG671" s="333">
        <f t="shared" si="104"/>
        <v>-2120147.5699999994</v>
      </c>
      <c r="AH671" s="330"/>
      <c r="AI671" s="330">
        <v>0</v>
      </c>
      <c r="AJ671" s="396">
        <f t="shared" si="106"/>
        <v>-2120147.5699999994</v>
      </c>
      <c r="AK671" s="563"/>
      <c r="AL671" s="285">
        <f t="shared" si="108"/>
        <v>0</v>
      </c>
      <c r="AM671" s="286"/>
      <c r="AO671" s="330" t="s">
        <v>4884</v>
      </c>
    </row>
    <row r="672" spans="1:41">
      <c r="A672" s="587">
        <f t="shared" si="107"/>
        <v>669</v>
      </c>
      <c r="B672" s="330" t="s">
        <v>1643</v>
      </c>
      <c r="C672" s="330" t="s">
        <v>4888</v>
      </c>
      <c r="D672" s="330" t="s">
        <v>1704</v>
      </c>
      <c r="E672" s="330" t="s">
        <v>1929</v>
      </c>
      <c r="F672" s="330" t="s">
        <v>1647</v>
      </c>
      <c r="G672" s="562">
        <v>1114</v>
      </c>
      <c r="H672" s="562">
        <v>683.3</v>
      </c>
      <c r="I672" s="562">
        <v>795.57</v>
      </c>
      <c r="J672" s="561" t="s">
        <v>1810</v>
      </c>
      <c r="K672" s="330" t="s">
        <v>4889</v>
      </c>
      <c r="L672" s="330" t="s">
        <v>4890</v>
      </c>
      <c r="M672" s="330" t="s">
        <v>4891</v>
      </c>
      <c r="N672" s="330" t="s">
        <v>4892</v>
      </c>
      <c r="O672" s="395">
        <v>45437</v>
      </c>
      <c r="P672" s="333">
        <v>6357142</v>
      </c>
      <c r="Q672" s="330" t="s">
        <v>1653</v>
      </c>
      <c r="R672" s="562">
        <v>0</v>
      </c>
      <c r="S672" s="333">
        <v>0</v>
      </c>
      <c r="T672" s="333">
        <v>-1907142.86</v>
      </c>
      <c r="U672" s="333">
        <f t="shared" si="103"/>
        <v>-1907142.86</v>
      </c>
      <c r="V672" s="333">
        <v>0</v>
      </c>
      <c r="W672" s="333">
        <v>0</v>
      </c>
      <c r="X672" s="333">
        <v>0</v>
      </c>
      <c r="Y672" s="333">
        <v>0</v>
      </c>
      <c r="Z672" s="333">
        <v>0</v>
      </c>
      <c r="AA672" s="333">
        <v>0</v>
      </c>
      <c r="AB672" s="333">
        <v>0</v>
      </c>
      <c r="AC672" s="333">
        <v>0</v>
      </c>
      <c r="AD672" s="333">
        <v>0</v>
      </c>
      <c r="AE672" s="333"/>
      <c r="AF672" s="333"/>
      <c r="AG672" s="333">
        <f t="shared" si="104"/>
        <v>-1907142.86</v>
      </c>
      <c r="AH672" s="330"/>
      <c r="AI672" s="330">
        <v>0</v>
      </c>
      <c r="AJ672" s="396">
        <f t="shared" si="106"/>
        <v>-1907142.86</v>
      </c>
      <c r="AK672" s="563"/>
      <c r="AL672" s="285">
        <f t="shared" si="108"/>
        <v>0</v>
      </c>
      <c r="AM672" s="286"/>
      <c r="AO672" s="330" t="s">
        <v>4889</v>
      </c>
    </row>
    <row r="673" spans="1:41">
      <c r="A673" s="587">
        <f t="shared" si="107"/>
        <v>670</v>
      </c>
      <c r="B673" s="330" t="s">
        <v>1643</v>
      </c>
      <c r="C673" s="330" t="s">
        <v>4893</v>
      </c>
      <c r="D673" s="330" t="s">
        <v>1669</v>
      </c>
      <c r="E673" s="330" t="s">
        <v>1935</v>
      </c>
      <c r="F673" s="330" t="s">
        <v>1671</v>
      </c>
      <c r="G673" s="562">
        <v>1787</v>
      </c>
      <c r="H673" s="562">
        <v>1138.51</v>
      </c>
      <c r="I673" s="562">
        <v>1276.29</v>
      </c>
      <c r="J673" s="561" t="s">
        <v>1648</v>
      </c>
      <c r="K673" s="330" t="s">
        <v>4894</v>
      </c>
      <c r="L673" s="330" t="s">
        <v>4895</v>
      </c>
      <c r="M673" s="330" t="s">
        <v>4896</v>
      </c>
      <c r="N673" s="330" t="s">
        <v>4897</v>
      </c>
      <c r="O673" s="395">
        <v>45729</v>
      </c>
      <c r="P673" s="333">
        <v>11892857</v>
      </c>
      <c r="Q673" s="330" t="s">
        <v>1653</v>
      </c>
      <c r="R673" s="562">
        <v>0</v>
      </c>
      <c r="S673" s="333">
        <v>0</v>
      </c>
      <c r="T673" s="333">
        <v>-3567856.71</v>
      </c>
      <c r="U673" s="333">
        <f t="shared" si="103"/>
        <v>-3567856.71</v>
      </c>
      <c r="V673" s="333">
        <v>0</v>
      </c>
      <c r="W673" s="333">
        <v>0</v>
      </c>
      <c r="X673" s="333">
        <v>0</v>
      </c>
      <c r="Y673" s="333">
        <v>0</v>
      </c>
      <c r="Z673" s="333">
        <v>0</v>
      </c>
      <c r="AA673" s="333">
        <v>0</v>
      </c>
      <c r="AB673" s="333">
        <v>0</v>
      </c>
      <c r="AC673" s="333">
        <v>0</v>
      </c>
      <c r="AD673" s="333">
        <v>0</v>
      </c>
      <c r="AE673" s="333"/>
      <c r="AF673" s="333"/>
      <c r="AG673" s="333">
        <f t="shared" si="104"/>
        <v>-3567856.71</v>
      </c>
      <c r="AH673" s="330"/>
      <c r="AI673" s="330">
        <v>0</v>
      </c>
      <c r="AJ673" s="396">
        <f t="shared" si="106"/>
        <v>-3567856.71</v>
      </c>
      <c r="AK673" s="563"/>
      <c r="AL673" s="285">
        <f t="shared" si="108"/>
        <v>0</v>
      </c>
      <c r="AM673" s="286"/>
      <c r="AO673" s="330" t="s">
        <v>4894</v>
      </c>
    </row>
    <row r="674" spans="1:41">
      <c r="A674" s="587">
        <f t="shared" si="107"/>
        <v>671</v>
      </c>
      <c r="B674" s="330" t="s">
        <v>1643</v>
      </c>
      <c r="C674" s="330" t="s">
        <v>4898</v>
      </c>
      <c r="D674" s="330" t="s">
        <v>1746</v>
      </c>
      <c r="E674" s="330" t="s">
        <v>1840</v>
      </c>
      <c r="F674" s="330" t="s">
        <v>1647</v>
      </c>
      <c r="G674" s="562">
        <v>1012</v>
      </c>
      <c r="H674" s="562">
        <v>653.59</v>
      </c>
      <c r="I674" s="562">
        <v>723.02</v>
      </c>
      <c r="J674" s="561" t="s">
        <v>1810</v>
      </c>
      <c r="K674" s="330" t="s">
        <v>4899</v>
      </c>
      <c r="L674" s="330" t="s">
        <v>4900</v>
      </c>
      <c r="M674" s="330" t="s">
        <v>4901</v>
      </c>
      <c r="N674" s="330" t="s">
        <v>4902</v>
      </c>
      <c r="O674" s="395">
        <v>45432</v>
      </c>
      <c r="P674" s="333">
        <v>5687429</v>
      </c>
      <c r="Q674" s="330" t="s">
        <v>1653</v>
      </c>
      <c r="R674" s="562">
        <v>0</v>
      </c>
      <c r="S674" s="333">
        <v>0</v>
      </c>
      <c r="T674" s="333">
        <v>-1677101.56</v>
      </c>
      <c r="U674" s="333">
        <f t="shared" si="103"/>
        <v>-1677101.56</v>
      </c>
      <c r="V674" s="333">
        <v>-86000</v>
      </c>
      <c r="W674" s="333">
        <v>0</v>
      </c>
      <c r="X674" s="333">
        <v>0</v>
      </c>
      <c r="Y674" s="333">
        <v>0</v>
      </c>
      <c r="Z674" s="333">
        <v>0</v>
      </c>
      <c r="AA674" s="333">
        <v>0</v>
      </c>
      <c r="AB674" s="333">
        <v>0</v>
      </c>
      <c r="AC674" s="333">
        <v>0</v>
      </c>
      <c r="AD674" s="333">
        <v>0</v>
      </c>
      <c r="AE674" s="333"/>
      <c r="AF674" s="333"/>
      <c r="AG674" s="333">
        <f t="shared" si="104"/>
        <v>-1763101.56</v>
      </c>
      <c r="AH674" s="330"/>
      <c r="AI674" s="330">
        <v>0</v>
      </c>
      <c r="AJ674" s="396">
        <f t="shared" si="106"/>
        <v>-1763101.56</v>
      </c>
      <c r="AK674" s="563"/>
      <c r="AL674" s="285">
        <f t="shared" si="108"/>
        <v>0</v>
      </c>
      <c r="AM674" s="286"/>
      <c r="AO674" s="330" t="s">
        <v>4899</v>
      </c>
    </row>
    <row r="675" spans="1:41">
      <c r="A675" s="587">
        <f t="shared" si="107"/>
        <v>672</v>
      </c>
      <c r="B675" s="330" t="s">
        <v>1643</v>
      </c>
      <c r="C675" s="330" t="s">
        <v>4903</v>
      </c>
      <c r="D675" s="330" t="s">
        <v>1662</v>
      </c>
      <c r="E675" s="330" t="s">
        <v>2567</v>
      </c>
      <c r="F675" s="330" t="s">
        <v>1671</v>
      </c>
      <c r="G675" s="562">
        <v>1498</v>
      </c>
      <c r="H675" s="562">
        <v>954.87</v>
      </c>
      <c r="I675" s="562">
        <v>1069.73</v>
      </c>
      <c r="J675" s="561" t="s">
        <v>1810</v>
      </c>
      <c r="K675" s="330" t="s">
        <v>4904</v>
      </c>
      <c r="L675" s="330" t="s">
        <v>4905</v>
      </c>
      <c r="M675" s="330" t="s">
        <v>4906</v>
      </c>
      <c r="N675" s="330" t="s">
        <v>4907</v>
      </c>
      <c r="O675" s="395">
        <v>45520</v>
      </c>
      <c r="P675" s="333">
        <v>8991048</v>
      </c>
      <c r="Q675" s="330" t="s">
        <v>1653</v>
      </c>
      <c r="R675" s="562">
        <v>0</v>
      </c>
      <c r="S675" s="333">
        <v>0</v>
      </c>
      <c r="T675" s="333">
        <v>-2697315.2799999993</v>
      </c>
      <c r="U675" s="333">
        <f t="shared" si="103"/>
        <v>-2697315.2799999993</v>
      </c>
      <c r="V675" s="333">
        <v>0</v>
      </c>
      <c r="W675" s="333">
        <v>0</v>
      </c>
      <c r="X675" s="333">
        <v>0</v>
      </c>
      <c r="Y675" s="333">
        <v>0</v>
      </c>
      <c r="Z675" s="333">
        <v>0</v>
      </c>
      <c r="AA675" s="333">
        <v>0</v>
      </c>
      <c r="AB675" s="333">
        <v>0</v>
      </c>
      <c r="AC675" s="333">
        <v>0</v>
      </c>
      <c r="AD675" s="333">
        <v>0</v>
      </c>
      <c r="AE675" s="333"/>
      <c r="AF675" s="333"/>
      <c r="AG675" s="333">
        <f t="shared" si="104"/>
        <v>-2697315.2799999993</v>
      </c>
      <c r="AH675" s="330"/>
      <c r="AI675" s="330">
        <v>0</v>
      </c>
      <c r="AJ675" s="396">
        <f t="shared" si="106"/>
        <v>-2697315.2799999993</v>
      </c>
      <c r="AK675" s="563"/>
      <c r="AL675" s="285">
        <f t="shared" si="108"/>
        <v>0</v>
      </c>
      <c r="AM675" s="286"/>
      <c r="AO675" s="330" t="s">
        <v>4904</v>
      </c>
    </row>
    <row r="676" spans="1:41">
      <c r="A676" s="587">
        <f t="shared" si="107"/>
        <v>673</v>
      </c>
      <c r="B676" s="330" t="s">
        <v>1643</v>
      </c>
      <c r="C676" s="330" t="s">
        <v>4908</v>
      </c>
      <c r="D676" s="330" t="s">
        <v>1746</v>
      </c>
      <c r="E676" s="330" t="s">
        <v>1723</v>
      </c>
      <c r="F676" s="330" t="s">
        <v>1647</v>
      </c>
      <c r="G676" s="562">
        <v>1114</v>
      </c>
      <c r="H676" s="562">
        <v>683.3</v>
      </c>
      <c r="I676" s="562">
        <v>795.57</v>
      </c>
      <c r="J676" s="561" t="s">
        <v>1810</v>
      </c>
      <c r="K676" s="330" t="s">
        <v>4909</v>
      </c>
      <c r="L676" s="330" t="s">
        <v>4910</v>
      </c>
      <c r="M676" s="330" t="s">
        <v>4911</v>
      </c>
      <c r="N676" s="330" t="s">
        <v>4912</v>
      </c>
      <c r="O676" s="395">
        <v>45462</v>
      </c>
      <c r="P676" s="333">
        <v>6287368</v>
      </c>
      <c r="Q676" s="330" t="s">
        <v>1653</v>
      </c>
      <c r="R676" s="562">
        <v>0</v>
      </c>
      <c r="S676" s="333">
        <v>0</v>
      </c>
      <c r="T676" s="333">
        <v>-1388074.2200000002</v>
      </c>
      <c r="U676" s="333">
        <f t="shared" si="103"/>
        <v>-1388074.2200000002</v>
      </c>
      <c r="V676" s="333">
        <v>-510174</v>
      </c>
      <c r="W676" s="333">
        <v>0</v>
      </c>
      <c r="X676" s="333">
        <v>0</v>
      </c>
      <c r="Y676" s="333">
        <v>0</v>
      </c>
      <c r="Z676" s="333">
        <v>0</v>
      </c>
      <c r="AA676" s="333">
        <v>0</v>
      </c>
      <c r="AB676" s="333">
        <v>0</v>
      </c>
      <c r="AC676" s="333">
        <v>-7142</v>
      </c>
      <c r="AD676" s="333">
        <v>0</v>
      </c>
      <c r="AE676" s="333"/>
      <c r="AF676" s="333"/>
      <c r="AG676" s="333">
        <f t="shared" si="104"/>
        <v>-1905390.2200000002</v>
      </c>
      <c r="AH676" s="330"/>
      <c r="AI676" s="330">
        <v>7142</v>
      </c>
      <c r="AJ676" s="396">
        <f t="shared" si="106"/>
        <v>-1905390.2200000002</v>
      </c>
      <c r="AK676" s="563"/>
      <c r="AL676" s="285">
        <f>+AC676+AI676</f>
        <v>0</v>
      </c>
      <c r="AM676" s="286"/>
      <c r="AO676" s="330" t="s">
        <v>4909</v>
      </c>
    </row>
    <row r="677" spans="1:41">
      <c r="A677" s="587">
        <f t="shared" si="107"/>
        <v>674</v>
      </c>
      <c r="B677" s="330" t="s">
        <v>1643</v>
      </c>
      <c r="C677" s="330" t="s">
        <v>4088</v>
      </c>
      <c r="D677" s="330" t="s">
        <v>1669</v>
      </c>
      <c r="E677" s="330" t="s">
        <v>3366</v>
      </c>
      <c r="F677" s="330" t="s">
        <v>1671</v>
      </c>
      <c r="G677" s="562">
        <v>1787</v>
      </c>
      <c r="H677" s="562">
        <v>1138.51</v>
      </c>
      <c r="I677" s="562">
        <v>1276.29</v>
      </c>
      <c r="J677" s="561" t="s">
        <v>1810</v>
      </c>
      <c r="K677" s="330" t="s">
        <v>4913</v>
      </c>
      <c r="L677" s="330" t="s">
        <v>4914</v>
      </c>
      <c r="M677" s="330" t="s">
        <v>4915</v>
      </c>
      <c r="N677" s="330" t="s">
        <v>4092</v>
      </c>
      <c r="O677" s="395">
        <v>45448</v>
      </c>
      <c r="P677" s="333">
        <v>11371211</v>
      </c>
      <c r="Q677" s="330" t="s">
        <v>1653</v>
      </c>
      <c r="R677" s="562">
        <v>0</v>
      </c>
      <c r="S677" s="333">
        <v>0</v>
      </c>
      <c r="T677" s="333">
        <v>-3358980.82</v>
      </c>
      <c r="U677" s="333">
        <f t="shared" si="103"/>
        <v>-3358980.82</v>
      </c>
      <c r="V677" s="333">
        <v>-50000</v>
      </c>
      <c r="W677" s="333">
        <v>0</v>
      </c>
      <c r="X677" s="333">
        <v>0</v>
      </c>
      <c r="Y677" s="333">
        <v>0</v>
      </c>
      <c r="Z677" s="333">
        <v>0</v>
      </c>
      <c r="AA677" s="333">
        <v>0</v>
      </c>
      <c r="AB677" s="333">
        <v>0</v>
      </c>
      <c r="AC677" s="333">
        <v>0</v>
      </c>
      <c r="AD677" s="333">
        <v>0</v>
      </c>
      <c r="AE677" s="333"/>
      <c r="AF677" s="333"/>
      <c r="AG677" s="333">
        <f t="shared" si="104"/>
        <v>-3408980.82</v>
      </c>
      <c r="AH677" s="330"/>
      <c r="AI677" s="330">
        <v>0</v>
      </c>
      <c r="AJ677" s="396">
        <f t="shared" si="106"/>
        <v>-3408980.82</v>
      </c>
      <c r="AK677" s="563"/>
      <c r="AL677" s="285">
        <f t="shared" si="108"/>
        <v>0</v>
      </c>
      <c r="AM677" s="286"/>
      <c r="AO677" s="330" t="s">
        <v>4913</v>
      </c>
    </row>
    <row r="678" spans="1:41">
      <c r="A678" s="587">
        <f t="shared" si="107"/>
        <v>675</v>
      </c>
      <c r="B678" s="330" t="s">
        <v>1643</v>
      </c>
      <c r="C678" s="330" t="s">
        <v>4916</v>
      </c>
      <c r="D678" s="330" t="s">
        <v>1746</v>
      </c>
      <c r="E678" s="330" t="s">
        <v>1941</v>
      </c>
      <c r="F678" s="330" t="s">
        <v>1671</v>
      </c>
      <c r="G678" s="562">
        <v>1498</v>
      </c>
      <c r="H678" s="562">
        <v>954.87</v>
      </c>
      <c r="I678" s="562">
        <v>1069.73</v>
      </c>
      <c r="J678" s="561" t="s">
        <v>1648</v>
      </c>
      <c r="K678" s="330" t="s">
        <v>4917</v>
      </c>
      <c r="L678" s="330" t="s">
        <v>4918</v>
      </c>
      <c r="M678" s="330" t="s">
        <v>4919</v>
      </c>
      <c r="N678" s="330" t="s">
        <v>12</v>
      </c>
      <c r="O678" s="395"/>
      <c r="P678" s="333">
        <v>9035714</v>
      </c>
      <c r="Q678" s="330" t="s">
        <v>1660</v>
      </c>
      <c r="R678" s="562">
        <v>0</v>
      </c>
      <c r="S678" s="333">
        <v>0</v>
      </c>
      <c r="T678" s="333">
        <v>0</v>
      </c>
      <c r="U678" s="333">
        <f t="shared" si="103"/>
        <v>0</v>
      </c>
      <c r="V678" s="333">
        <v>0</v>
      </c>
      <c r="W678" s="333">
        <v>0</v>
      </c>
      <c r="X678" s="333">
        <v>0</v>
      </c>
      <c r="Y678" s="333">
        <v>0</v>
      </c>
      <c r="Z678" s="333">
        <v>0</v>
      </c>
      <c r="AA678" s="333">
        <v>0</v>
      </c>
      <c r="AB678" s="333">
        <v>0</v>
      </c>
      <c r="AC678" s="333">
        <v>0</v>
      </c>
      <c r="AD678" s="333">
        <v>0</v>
      </c>
      <c r="AE678" s="333"/>
      <c r="AF678" s="333"/>
      <c r="AG678" s="333">
        <f t="shared" si="104"/>
        <v>0</v>
      </c>
      <c r="AH678" s="330"/>
      <c r="AI678" s="330">
        <v>0</v>
      </c>
      <c r="AJ678" s="396">
        <f t="shared" si="106"/>
        <v>0</v>
      </c>
      <c r="AK678" s="563"/>
      <c r="AL678" s="285">
        <f t="shared" si="108"/>
        <v>0</v>
      </c>
      <c r="AM678" s="286"/>
      <c r="AO678" s="330" t="s">
        <v>4917</v>
      </c>
    </row>
    <row r="679" spans="1:41">
      <c r="A679" s="587">
        <f t="shared" si="107"/>
        <v>676</v>
      </c>
      <c r="B679" s="330" t="s">
        <v>1643</v>
      </c>
      <c r="C679" s="330" t="s">
        <v>4920</v>
      </c>
      <c r="D679" s="330" t="s">
        <v>1704</v>
      </c>
      <c r="E679" s="330" t="s">
        <v>2106</v>
      </c>
      <c r="F679" s="330" t="s">
        <v>1647</v>
      </c>
      <c r="G679" s="562">
        <v>1114</v>
      </c>
      <c r="H679" s="562">
        <v>683.3</v>
      </c>
      <c r="I679" s="562">
        <v>795.57</v>
      </c>
      <c r="J679" s="561" t="s">
        <v>1648</v>
      </c>
      <c r="K679" s="330" t="s">
        <v>4921</v>
      </c>
      <c r="L679" s="330" t="s">
        <v>4922</v>
      </c>
      <c r="M679" s="330" t="s">
        <v>4923</v>
      </c>
      <c r="N679" s="330" t="s">
        <v>4924</v>
      </c>
      <c r="O679" s="395">
        <v>45448</v>
      </c>
      <c r="P679" s="333">
        <v>6419619</v>
      </c>
      <c r="Q679" s="330" t="s">
        <v>1653</v>
      </c>
      <c r="R679" s="562">
        <v>0</v>
      </c>
      <c r="S679" s="333">
        <v>0</v>
      </c>
      <c r="T679" s="333">
        <v>-1990077.699999999</v>
      </c>
      <c r="U679" s="333">
        <f t="shared" si="103"/>
        <v>-1990077.699999999</v>
      </c>
      <c r="V679" s="333">
        <v>0</v>
      </c>
      <c r="W679" s="333">
        <v>0</v>
      </c>
      <c r="X679" s="333">
        <v>0</v>
      </c>
      <c r="Y679" s="333">
        <v>0</v>
      </c>
      <c r="Z679" s="333">
        <v>0</v>
      </c>
      <c r="AA679" s="333">
        <v>0</v>
      </c>
      <c r="AB679" s="333">
        <v>0</v>
      </c>
      <c r="AC679" s="333">
        <v>0</v>
      </c>
      <c r="AD679" s="333">
        <v>0</v>
      </c>
      <c r="AE679" s="333"/>
      <c r="AF679" s="333"/>
      <c r="AG679" s="333">
        <f t="shared" si="104"/>
        <v>-1990077.699999999</v>
      </c>
      <c r="AH679" s="330"/>
      <c r="AI679" s="330">
        <v>0</v>
      </c>
      <c r="AJ679" s="396">
        <f t="shared" si="106"/>
        <v>-1990077.699999999</v>
      </c>
      <c r="AK679" s="563"/>
      <c r="AL679" s="285">
        <f t="shared" si="108"/>
        <v>0</v>
      </c>
      <c r="AM679" s="286"/>
      <c r="AO679" s="330" t="s">
        <v>4921</v>
      </c>
    </row>
    <row r="680" spans="1:41">
      <c r="A680" s="587">
        <f t="shared" si="107"/>
        <v>677</v>
      </c>
      <c r="B680" s="330" t="s">
        <v>1643</v>
      </c>
      <c r="C680" s="330" t="s">
        <v>4925</v>
      </c>
      <c r="D680" s="330" t="s">
        <v>1662</v>
      </c>
      <c r="E680" s="330" t="s">
        <v>1886</v>
      </c>
      <c r="F680" s="330" t="s">
        <v>1647</v>
      </c>
      <c r="G680" s="562">
        <v>1114</v>
      </c>
      <c r="H680" s="562">
        <v>683.3</v>
      </c>
      <c r="I680" s="562">
        <v>795.57</v>
      </c>
      <c r="J680" s="561" t="s">
        <v>1648</v>
      </c>
      <c r="K680" s="330" t="s">
        <v>4926</v>
      </c>
      <c r="L680" s="330" t="s">
        <v>4927</v>
      </c>
      <c r="M680" s="330" t="s">
        <v>4928</v>
      </c>
      <c r="N680" s="330" t="s">
        <v>4929</v>
      </c>
      <c r="O680" s="395">
        <v>45540</v>
      </c>
      <c r="P680" s="333">
        <v>6270661</v>
      </c>
      <c r="Q680" s="330" t="s">
        <v>1653</v>
      </c>
      <c r="R680" s="562">
        <v>0</v>
      </c>
      <c r="S680" s="333">
        <v>0</v>
      </c>
      <c r="T680" s="333">
        <v>-1936758.08</v>
      </c>
      <c r="U680" s="333">
        <f t="shared" si="103"/>
        <v>-1936758.08</v>
      </c>
      <c r="V680" s="333">
        <v>0</v>
      </c>
      <c r="W680" s="333">
        <v>0</v>
      </c>
      <c r="X680" s="333">
        <v>0</v>
      </c>
      <c r="Y680" s="333">
        <v>0</v>
      </c>
      <c r="Z680" s="333">
        <v>0</v>
      </c>
      <c r="AA680" s="333">
        <v>0</v>
      </c>
      <c r="AB680" s="333">
        <v>0</v>
      </c>
      <c r="AC680" s="333">
        <v>-7142</v>
      </c>
      <c r="AD680" s="333">
        <v>0</v>
      </c>
      <c r="AE680" s="333"/>
      <c r="AF680" s="333"/>
      <c r="AG680" s="333">
        <f t="shared" si="104"/>
        <v>-1943900.08</v>
      </c>
      <c r="AH680" s="330"/>
      <c r="AI680" s="330">
        <v>7142</v>
      </c>
      <c r="AJ680" s="396">
        <f t="shared" si="106"/>
        <v>-1943900.08</v>
      </c>
      <c r="AK680" s="563"/>
      <c r="AL680" s="285">
        <f t="shared" ref="AL680:AL681" si="110">+AC680+AI680</f>
        <v>0</v>
      </c>
      <c r="AM680" s="286"/>
      <c r="AO680" s="330" t="s">
        <v>4926</v>
      </c>
    </row>
    <row r="681" spans="1:41">
      <c r="A681" s="587">
        <f t="shared" si="107"/>
        <v>678</v>
      </c>
      <c r="B681" s="330" t="s">
        <v>1643</v>
      </c>
      <c r="C681" s="330" t="s">
        <v>4930</v>
      </c>
      <c r="D681" s="330" t="s">
        <v>1645</v>
      </c>
      <c r="E681" s="330" t="s">
        <v>2305</v>
      </c>
      <c r="F681" s="330" t="s">
        <v>1647</v>
      </c>
      <c r="G681" s="562">
        <v>1012</v>
      </c>
      <c r="H681" s="562">
        <v>653.59</v>
      </c>
      <c r="I681" s="562">
        <v>723.02</v>
      </c>
      <c r="J681" s="561" t="s">
        <v>1648</v>
      </c>
      <c r="K681" s="330" t="s">
        <v>4931</v>
      </c>
      <c r="L681" s="330" t="s">
        <v>4932</v>
      </c>
      <c r="M681" s="330" t="s">
        <v>4933</v>
      </c>
      <c r="N681" s="330" t="s">
        <v>4934</v>
      </c>
      <c r="O681" s="395">
        <v>45489</v>
      </c>
      <c r="P681" s="333">
        <v>5683644</v>
      </c>
      <c r="Q681" s="330" t="s">
        <v>1653</v>
      </c>
      <c r="R681" s="562">
        <v>0</v>
      </c>
      <c r="S681" s="333">
        <v>0</v>
      </c>
      <c r="T681" s="333">
        <v>-1458638.3399999999</v>
      </c>
      <c r="U681" s="333">
        <f t="shared" si="103"/>
        <v>-1458638.3399999999</v>
      </c>
      <c r="V681" s="333">
        <v>-225000</v>
      </c>
      <c r="W681" s="333">
        <v>0</v>
      </c>
      <c r="X681" s="333">
        <v>0</v>
      </c>
      <c r="Y681" s="333">
        <v>0</v>
      </c>
      <c r="Z681" s="333">
        <v>0</v>
      </c>
      <c r="AA681" s="333">
        <v>0</v>
      </c>
      <c r="AB681" s="333">
        <v>0</v>
      </c>
      <c r="AC681" s="333">
        <v>-21454</v>
      </c>
      <c r="AD681" s="333">
        <v>0</v>
      </c>
      <c r="AE681" s="333"/>
      <c r="AF681" s="333"/>
      <c r="AG681" s="333">
        <f t="shared" si="104"/>
        <v>-1705092.3399999999</v>
      </c>
      <c r="AH681" s="330"/>
      <c r="AI681" s="330">
        <v>21454</v>
      </c>
      <c r="AJ681" s="396">
        <f t="shared" si="106"/>
        <v>-1705092.3399999999</v>
      </c>
      <c r="AK681" s="563"/>
      <c r="AL681" s="285">
        <f t="shared" si="110"/>
        <v>0</v>
      </c>
      <c r="AM681" s="286"/>
      <c r="AO681" s="330" t="s">
        <v>4931</v>
      </c>
    </row>
    <row r="682" spans="1:41">
      <c r="A682" s="587">
        <f t="shared" si="107"/>
        <v>679</v>
      </c>
      <c r="B682" s="330" t="s">
        <v>1643</v>
      </c>
      <c r="C682" s="330" t="s">
        <v>4935</v>
      </c>
      <c r="D682" s="330" t="s">
        <v>1669</v>
      </c>
      <c r="E682" s="330" t="s">
        <v>3227</v>
      </c>
      <c r="F682" s="330" t="s">
        <v>1671</v>
      </c>
      <c r="G682" s="562">
        <v>1787</v>
      </c>
      <c r="H682" s="562">
        <v>1138.51</v>
      </c>
      <c r="I682" s="562">
        <v>1276.29</v>
      </c>
      <c r="J682" s="561" t="s">
        <v>1648</v>
      </c>
      <c r="K682" s="330" t="s">
        <v>4936</v>
      </c>
      <c r="L682" s="330" t="s">
        <v>4937</v>
      </c>
      <c r="M682" s="330" t="s">
        <v>4938</v>
      </c>
      <c r="N682" s="330" t="s">
        <v>4939</v>
      </c>
      <c r="O682" s="395">
        <v>45469</v>
      </c>
      <c r="P682" s="333">
        <v>11026762</v>
      </c>
      <c r="Q682" s="330" t="s">
        <v>1653</v>
      </c>
      <c r="R682" s="562">
        <v>0</v>
      </c>
      <c r="S682" s="333">
        <v>0</v>
      </c>
      <c r="T682" s="333">
        <v>-3518295.5699999994</v>
      </c>
      <c r="U682" s="333">
        <f t="shared" si="103"/>
        <v>-3518295.5699999994</v>
      </c>
      <c r="V682" s="333">
        <v>100000</v>
      </c>
      <c r="W682" s="333">
        <v>0</v>
      </c>
      <c r="X682" s="333">
        <v>0</v>
      </c>
      <c r="Y682" s="333">
        <v>0</v>
      </c>
      <c r="Z682" s="333">
        <v>0</v>
      </c>
      <c r="AA682" s="333">
        <v>0</v>
      </c>
      <c r="AB682" s="333">
        <v>0</v>
      </c>
      <c r="AC682" s="333">
        <v>0</v>
      </c>
      <c r="AD682" s="333">
        <v>0</v>
      </c>
      <c r="AE682" s="333"/>
      <c r="AF682" s="333"/>
      <c r="AG682" s="333">
        <f t="shared" si="104"/>
        <v>-3418295.5699999994</v>
      </c>
      <c r="AH682" s="330"/>
      <c r="AI682" s="330">
        <v>0</v>
      </c>
      <c r="AJ682" s="396">
        <f t="shared" si="106"/>
        <v>-3418295.5699999994</v>
      </c>
      <c r="AK682" s="563"/>
      <c r="AL682" s="285">
        <f t="shared" si="108"/>
        <v>0</v>
      </c>
      <c r="AM682" s="286"/>
      <c r="AO682" s="330" t="s">
        <v>4936</v>
      </c>
    </row>
    <row r="683" spans="1:41">
      <c r="A683" s="587">
        <f t="shared" si="107"/>
        <v>680</v>
      </c>
      <c r="B683" s="330" t="s">
        <v>1643</v>
      </c>
      <c r="C683" s="330" t="s">
        <v>4940</v>
      </c>
      <c r="D683" s="330" t="s">
        <v>1645</v>
      </c>
      <c r="E683" s="330" t="s">
        <v>3070</v>
      </c>
      <c r="F683" s="330" t="s">
        <v>1671</v>
      </c>
      <c r="G683" s="562">
        <v>1375</v>
      </c>
      <c r="H683" s="562">
        <v>876.73</v>
      </c>
      <c r="I683" s="562">
        <v>982.22</v>
      </c>
      <c r="J683" s="561" t="s">
        <v>1810</v>
      </c>
      <c r="K683" s="330" t="s">
        <v>4941</v>
      </c>
      <c r="L683" s="330" t="s">
        <v>4942</v>
      </c>
      <c r="M683" s="330" t="s">
        <v>4943</v>
      </c>
      <c r="N683" s="330" t="s">
        <v>4944</v>
      </c>
      <c r="O683" s="395">
        <v>45406</v>
      </c>
      <c r="P683" s="333">
        <v>7741819</v>
      </c>
      <c r="Q683" s="330" t="s">
        <v>1653</v>
      </c>
      <c r="R683" s="562">
        <v>0</v>
      </c>
      <c r="S683" s="333">
        <v>0</v>
      </c>
      <c r="T683" s="333">
        <v>-2135423.7000000002</v>
      </c>
      <c r="U683" s="333">
        <f t="shared" si="103"/>
        <v>-2135423.7000000002</v>
      </c>
      <c r="V683" s="333">
        <v>-257445</v>
      </c>
      <c r="W683" s="333">
        <v>0</v>
      </c>
      <c r="X683" s="333">
        <v>0</v>
      </c>
      <c r="Y683" s="333">
        <v>0</v>
      </c>
      <c r="Z683" s="333">
        <v>0</v>
      </c>
      <c r="AA683" s="333">
        <v>0</v>
      </c>
      <c r="AB683" s="333">
        <v>0</v>
      </c>
      <c r="AC683" s="333">
        <v>0</v>
      </c>
      <c r="AD683" s="333">
        <v>0</v>
      </c>
      <c r="AE683" s="333"/>
      <c r="AF683" s="333"/>
      <c r="AG683" s="333">
        <f t="shared" si="104"/>
        <v>-2392868.7000000002</v>
      </c>
      <c r="AH683" s="330"/>
      <c r="AI683" s="330">
        <v>0</v>
      </c>
      <c r="AJ683" s="396">
        <f t="shared" si="106"/>
        <v>-2392868.7000000002</v>
      </c>
      <c r="AK683" s="563"/>
      <c r="AL683" s="285">
        <f t="shared" ref="AL683:AL686" si="111">+AC683+AI683</f>
        <v>0</v>
      </c>
      <c r="AM683" s="286"/>
      <c r="AO683" s="330" t="s">
        <v>4941</v>
      </c>
    </row>
    <row r="684" spans="1:41">
      <c r="A684" s="587">
        <f t="shared" si="107"/>
        <v>681</v>
      </c>
      <c r="B684" s="330" t="s">
        <v>1643</v>
      </c>
      <c r="C684" s="330" t="s">
        <v>4945</v>
      </c>
      <c r="D684" s="330" t="s">
        <v>1645</v>
      </c>
      <c r="E684" s="330" t="s">
        <v>2588</v>
      </c>
      <c r="F684" s="330" t="s">
        <v>1647</v>
      </c>
      <c r="G684" s="562">
        <v>1012</v>
      </c>
      <c r="H684" s="562">
        <v>653.59</v>
      </c>
      <c r="I684" s="562">
        <v>723.02</v>
      </c>
      <c r="J684" s="561" t="s">
        <v>1810</v>
      </c>
      <c r="K684" s="330" t="s">
        <v>4946</v>
      </c>
      <c r="L684" s="330" t="s">
        <v>4947</v>
      </c>
      <c r="M684" s="330" t="s">
        <v>4948</v>
      </c>
      <c r="N684" s="330" t="s">
        <v>4949</v>
      </c>
      <c r="O684" s="395">
        <v>45443</v>
      </c>
      <c r="P684" s="333">
        <v>5714010</v>
      </c>
      <c r="Q684" s="330" t="s">
        <v>1653</v>
      </c>
      <c r="R684" s="562">
        <v>0</v>
      </c>
      <c r="S684" s="333">
        <v>0</v>
      </c>
      <c r="T684" s="333">
        <v>-1614198.9400000004</v>
      </c>
      <c r="U684" s="333">
        <f t="shared" si="103"/>
        <v>-1614198.9400000004</v>
      </c>
      <c r="V684" s="333">
        <v>-150000</v>
      </c>
      <c r="W684" s="333">
        <v>0</v>
      </c>
      <c r="X684" s="333">
        <v>0</v>
      </c>
      <c r="Y684" s="333">
        <v>0</v>
      </c>
      <c r="Z684" s="333">
        <v>0</v>
      </c>
      <c r="AA684" s="333">
        <v>0</v>
      </c>
      <c r="AB684" s="333">
        <v>0</v>
      </c>
      <c r="AC684" s="333">
        <v>-7142</v>
      </c>
      <c r="AD684" s="333">
        <v>0</v>
      </c>
      <c r="AE684" s="333"/>
      <c r="AF684" s="333"/>
      <c r="AG684" s="333">
        <f t="shared" si="104"/>
        <v>-1771340.9400000004</v>
      </c>
      <c r="AH684" s="330"/>
      <c r="AI684" s="330">
        <v>7142</v>
      </c>
      <c r="AJ684" s="396">
        <f t="shared" si="106"/>
        <v>-1771340.9400000004</v>
      </c>
      <c r="AK684" s="563"/>
      <c r="AL684" s="285">
        <f t="shared" si="111"/>
        <v>0</v>
      </c>
      <c r="AM684" s="286"/>
      <c r="AO684" s="330" t="s">
        <v>4946</v>
      </c>
    </row>
    <row r="685" spans="1:41">
      <c r="A685" s="587">
        <f t="shared" si="107"/>
        <v>682</v>
      </c>
      <c r="B685" s="330" t="s">
        <v>1643</v>
      </c>
      <c r="C685" s="330" t="s">
        <v>4950</v>
      </c>
      <c r="D685" s="330" t="s">
        <v>1746</v>
      </c>
      <c r="E685" s="330" t="s">
        <v>2588</v>
      </c>
      <c r="F685" s="330" t="s">
        <v>1647</v>
      </c>
      <c r="G685" s="562">
        <v>1012</v>
      </c>
      <c r="H685" s="562">
        <v>653.59</v>
      </c>
      <c r="I685" s="562">
        <v>723.02</v>
      </c>
      <c r="J685" s="561" t="s">
        <v>1648</v>
      </c>
      <c r="K685" s="330" t="s">
        <v>4951</v>
      </c>
      <c r="L685" s="330" t="s">
        <v>4952</v>
      </c>
      <c r="M685" s="330" t="s">
        <v>4953</v>
      </c>
      <c r="N685" s="330" t="s">
        <v>4954</v>
      </c>
      <c r="O685" s="395">
        <v>45433</v>
      </c>
      <c r="P685" s="333">
        <v>5714010</v>
      </c>
      <c r="Q685" s="330" t="s">
        <v>1653</v>
      </c>
      <c r="R685" s="562">
        <v>0</v>
      </c>
      <c r="S685" s="333">
        <v>0</v>
      </c>
      <c r="T685" s="333">
        <v>-1764198.8399999999</v>
      </c>
      <c r="U685" s="333">
        <f t="shared" si="103"/>
        <v>-1764198.8399999999</v>
      </c>
      <c r="V685" s="333">
        <v>0</v>
      </c>
      <c r="W685" s="333">
        <v>0</v>
      </c>
      <c r="X685" s="333">
        <v>0</v>
      </c>
      <c r="Y685" s="333">
        <v>0</v>
      </c>
      <c r="Z685" s="333">
        <v>0</v>
      </c>
      <c r="AA685" s="333">
        <v>0</v>
      </c>
      <c r="AB685" s="333">
        <v>0</v>
      </c>
      <c r="AC685" s="333">
        <v>-7142.8999999999942</v>
      </c>
      <c r="AD685" s="333">
        <v>0</v>
      </c>
      <c r="AE685" s="333"/>
      <c r="AF685" s="333"/>
      <c r="AG685" s="333">
        <f t="shared" si="104"/>
        <v>-1771341.7399999998</v>
      </c>
      <c r="AH685" s="330"/>
      <c r="AI685" s="330">
        <v>7142.9000000000005</v>
      </c>
      <c r="AJ685" s="396">
        <f t="shared" si="106"/>
        <v>-1771341.7399999998</v>
      </c>
      <c r="AK685" s="563"/>
      <c r="AL685" s="285">
        <f t="shared" si="111"/>
        <v>0</v>
      </c>
      <c r="AM685" s="286"/>
      <c r="AO685" s="330" t="s">
        <v>4951</v>
      </c>
    </row>
    <row r="686" spans="1:41">
      <c r="A686" s="587">
        <f t="shared" si="107"/>
        <v>683</v>
      </c>
      <c r="B686" s="330" t="s">
        <v>1643</v>
      </c>
      <c r="C686" s="330" t="s">
        <v>4955</v>
      </c>
      <c r="D686" s="330" t="s">
        <v>1746</v>
      </c>
      <c r="E686" s="330" t="s">
        <v>1846</v>
      </c>
      <c r="F686" s="330" t="s">
        <v>1647</v>
      </c>
      <c r="G686" s="562">
        <v>1114</v>
      </c>
      <c r="H686" s="562">
        <v>683.3</v>
      </c>
      <c r="I686" s="562">
        <v>795.57</v>
      </c>
      <c r="J686" s="561" t="s">
        <v>1648</v>
      </c>
      <c r="K686" s="330" t="s">
        <v>4956</v>
      </c>
      <c r="L686" s="330" t="s">
        <v>4957</v>
      </c>
      <c r="M686" s="330" t="s">
        <v>4958</v>
      </c>
      <c r="N686" s="330" t="s">
        <v>4959</v>
      </c>
      <c r="O686" s="395">
        <v>45428</v>
      </c>
      <c r="P686" s="333">
        <v>6304075</v>
      </c>
      <c r="Q686" s="330" t="s">
        <v>1653</v>
      </c>
      <c r="R686" s="562">
        <v>0</v>
      </c>
      <c r="S686" s="333">
        <v>0</v>
      </c>
      <c r="T686" s="333">
        <v>-1947120.6100000008</v>
      </c>
      <c r="U686" s="333">
        <f t="shared" si="103"/>
        <v>-1947120.6100000008</v>
      </c>
      <c r="V686" s="333">
        <v>0</v>
      </c>
      <c r="W686" s="333">
        <v>0</v>
      </c>
      <c r="X686" s="333">
        <v>0</v>
      </c>
      <c r="Y686" s="333">
        <v>0</v>
      </c>
      <c r="Z686" s="333">
        <v>0</v>
      </c>
      <c r="AA686" s="333">
        <v>0</v>
      </c>
      <c r="AB686" s="333">
        <v>0</v>
      </c>
      <c r="AC686" s="333">
        <v>-7142.8999999999942</v>
      </c>
      <c r="AD686" s="333">
        <v>0</v>
      </c>
      <c r="AE686" s="333"/>
      <c r="AF686" s="333"/>
      <c r="AG686" s="333">
        <f t="shared" si="104"/>
        <v>-1954263.5100000007</v>
      </c>
      <c r="AH686" s="330"/>
      <c r="AI686" s="330">
        <v>7142.9000000000005</v>
      </c>
      <c r="AJ686" s="396">
        <f t="shared" si="106"/>
        <v>-1954263.5100000007</v>
      </c>
      <c r="AK686" s="563"/>
      <c r="AL686" s="285">
        <f t="shared" si="111"/>
        <v>0</v>
      </c>
      <c r="AM686" s="286"/>
      <c r="AO686" s="330" t="s">
        <v>4956</v>
      </c>
    </row>
    <row r="687" spans="1:41">
      <c r="A687" s="587">
        <f t="shared" si="107"/>
        <v>684</v>
      </c>
      <c r="B687" s="330" t="s">
        <v>1643</v>
      </c>
      <c r="C687" s="330" t="s">
        <v>3909</v>
      </c>
      <c r="D687" s="330" t="s">
        <v>1645</v>
      </c>
      <c r="E687" s="330" t="s">
        <v>1670</v>
      </c>
      <c r="F687" s="330" t="s">
        <v>1671</v>
      </c>
      <c r="G687" s="562">
        <v>1375</v>
      </c>
      <c r="H687" s="562">
        <v>876.73</v>
      </c>
      <c r="I687" s="562">
        <v>982.22</v>
      </c>
      <c r="J687" s="561" t="s">
        <v>1648</v>
      </c>
      <c r="K687" s="330" t="s">
        <v>4960</v>
      </c>
      <c r="L687" s="330" t="s">
        <v>4961</v>
      </c>
      <c r="M687" s="330" t="s">
        <v>4962</v>
      </c>
      <c r="N687" s="330" t="s">
        <v>3913</v>
      </c>
      <c r="O687" s="395">
        <v>45530</v>
      </c>
      <c r="P687" s="333">
        <v>7714286</v>
      </c>
      <c r="Q687" s="330" t="s">
        <v>1660</v>
      </c>
      <c r="R687" s="562">
        <v>0</v>
      </c>
      <c r="S687" s="333">
        <v>0</v>
      </c>
      <c r="T687" s="333">
        <v>-2241568</v>
      </c>
      <c r="U687" s="333">
        <f t="shared" si="103"/>
        <v>-2241568</v>
      </c>
      <c r="V687" s="333">
        <v>2141568</v>
      </c>
      <c r="W687" s="333">
        <v>0</v>
      </c>
      <c r="X687" s="333">
        <v>0</v>
      </c>
      <c r="Y687" s="333">
        <v>0</v>
      </c>
      <c r="Z687" s="333">
        <v>0</v>
      </c>
      <c r="AA687" s="333">
        <v>0</v>
      </c>
      <c r="AB687" s="333">
        <v>0</v>
      </c>
      <c r="AC687" s="333">
        <v>0</v>
      </c>
      <c r="AD687" s="333">
        <v>0</v>
      </c>
      <c r="AE687" s="333"/>
      <c r="AF687" s="333"/>
      <c r="AG687" s="333">
        <f t="shared" si="104"/>
        <v>-100000</v>
      </c>
      <c r="AH687" s="330"/>
      <c r="AI687" s="330">
        <v>0</v>
      </c>
      <c r="AJ687" s="396">
        <f t="shared" si="106"/>
        <v>-100000</v>
      </c>
      <c r="AK687" s="563"/>
      <c r="AL687" s="285">
        <f t="shared" si="108"/>
        <v>0</v>
      </c>
      <c r="AM687" s="286"/>
      <c r="AO687" s="330" t="s">
        <v>4960</v>
      </c>
    </row>
    <row r="688" spans="1:41">
      <c r="A688" s="587">
        <f t="shared" si="107"/>
        <v>685</v>
      </c>
      <c r="B688" s="330" t="s">
        <v>1643</v>
      </c>
      <c r="C688" s="330" t="s">
        <v>4963</v>
      </c>
      <c r="D688" s="330" t="s">
        <v>1669</v>
      </c>
      <c r="E688" s="330" t="s">
        <v>2028</v>
      </c>
      <c r="F688" s="330" t="s">
        <v>1671</v>
      </c>
      <c r="G688" s="562">
        <v>1787</v>
      </c>
      <c r="H688" s="562">
        <v>1138.51</v>
      </c>
      <c r="I688" s="562">
        <v>1276.29</v>
      </c>
      <c r="J688" s="561" t="s">
        <v>1679</v>
      </c>
      <c r="K688" s="330" t="s">
        <v>4964</v>
      </c>
      <c r="L688" s="330" t="s">
        <v>4965</v>
      </c>
      <c r="M688" s="330" t="s">
        <v>4966</v>
      </c>
      <c r="N688" s="330" t="s">
        <v>4967</v>
      </c>
      <c r="O688" s="395">
        <v>45629</v>
      </c>
      <c r="P688" s="333">
        <v>12294571</v>
      </c>
      <c r="Q688" s="330" t="s">
        <v>1653</v>
      </c>
      <c r="R688" s="562">
        <v>0</v>
      </c>
      <c r="S688" s="333">
        <v>0</v>
      </c>
      <c r="T688" s="333">
        <v>-3911316.1300000013</v>
      </c>
      <c r="U688" s="333">
        <f t="shared" si="103"/>
        <v>-3911316.1300000013</v>
      </c>
      <c r="V688" s="333">
        <v>0</v>
      </c>
      <c r="W688" s="333">
        <v>0</v>
      </c>
      <c r="X688" s="333">
        <v>0</v>
      </c>
      <c r="Y688" s="333">
        <v>0</v>
      </c>
      <c r="Z688" s="333">
        <v>0</v>
      </c>
      <c r="AA688" s="333">
        <v>0</v>
      </c>
      <c r="AB688" s="333">
        <v>0</v>
      </c>
      <c r="AC688" s="333">
        <v>0</v>
      </c>
      <c r="AD688" s="333">
        <v>0</v>
      </c>
      <c r="AE688" s="333"/>
      <c r="AF688" s="333"/>
      <c r="AG688" s="333">
        <f t="shared" si="104"/>
        <v>-3911316.1300000013</v>
      </c>
      <c r="AH688" s="330"/>
      <c r="AI688" s="330">
        <v>0</v>
      </c>
      <c r="AJ688" s="396">
        <f t="shared" si="106"/>
        <v>-3911316.1300000013</v>
      </c>
      <c r="AK688" s="563"/>
      <c r="AL688" s="285">
        <f t="shared" si="108"/>
        <v>0</v>
      </c>
      <c r="AM688" s="286"/>
      <c r="AO688" s="330" t="s">
        <v>4964</v>
      </c>
    </row>
    <row r="689" spans="1:41">
      <c r="A689" s="587">
        <f t="shared" si="107"/>
        <v>686</v>
      </c>
      <c r="B689" s="330" t="s">
        <v>1643</v>
      </c>
      <c r="C689" s="330" t="s">
        <v>4968</v>
      </c>
      <c r="D689" s="330" t="s">
        <v>1655</v>
      </c>
      <c r="E689" s="330" t="s">
        <v>2177</v>
      </c>
      <c r="F689" s="330" t="s">
        <v>1647</v>
      </c>
      <c r="G689" s="562">
        <v>1114</v>
      </c>
      <c r="H689" s="562">
        <v>683.3</v>
      </c>
      <c r="I689" s="562">
        <v>795.57</v>
      </c>
      <c r="J689" s="561" t="s">
        <v>1648</v>
      </c>
      <c r="K689" s="330" t="s">
        <v>4969</v>
      </c>
      <c r="L689" s="330" t="s">
        <v>4970</v>
      </c>
      <c r="M689" s="330" t="s">
        <v>4971</v>
      </c>
      <c r="N689" s="330" t="s">
        <v>12</v>
      </c>
      <c r="O689" s="395"/>
      <c r="P689" s="333">
        <v>6928571</v>
      </c>
      <c r="Q689" s="330" t="s">
        <v>1660</v>
      </c>
      <c r="R689" s="562">
        <v>0</v>
      </c>
      <c r="S689" s="333">
        <v>0</v>
      </c>
      <c r="T689" s="333">
        <v>-734250</v>
      </c>
      <c r="U689" s="333">
        <f t="shared" si="103"/>
        <v>-734250</v>
      </c>
      <c r="V689" s="333">
        <v>734250</v>
      </c>
      <c r="W689" s="333">
        <v>0</v>
      </c>
      <c r="X689" s="333">
        <v>0</v>
      </c>
      <c r="Y689" s="333">
        <v>0</v>
      </c>
      <c r="Z689" s="333">
        <v>0</v>
      </c>
      <c r="AA689" s="333">
        <v>0</v>
      </c>
      <c r="AB689" s="333">
        <v>0</v>
      </c>
      <c r="AC689" s="333">
        <v>0</v>
      </c>
      <c r="AD689" s="333">
        <v>0</v>
      </c>
      <c r="AE689" s="333"/>
      <c r="AF689" s="333"/>
      <c r="AG689" s="333">
        <f t="shared" si="104"/>
        <v>0</v>
      </c>
      <c r="AH689" s="330"/>
      <c r="AI689" s="330">
        <v>0</v>
      </c>
      <c r="AJ689" s="396">
        <f t="shared" si="106"/>
        <v>0</v>
      </c>
      <c r="AK689" s="563"/>
      <c r="AL689" s="285">
        <f t="shared" si="108"/>
        <v>0</v>
      </c>
      <c r="AM689" s="286"/>
      <c r="AO689" s="330" t="s">
        <v>4969</v>
      </c>
    </row>
    <row r="690" spans="1:41">
      <c r="A690" s="587">
        <f t="shared" si="107"/>
        <v>687</v>
      </c>
      <c r="B690" s="330" t="s">
        <v>1643</v>
      </c>
      <c r="C690" s="330" t="s">
        <v>4972</v>
      </c>
      <c r="D690" s="330" t="s">
        <v>1677</v>
      </c>
      <c r="E690" s="330" t="s">
        <v>2661</v>
      </c>
      <c r="F690" s="330" t="s">
        <v>1647</v>
      </c>
      <c r="G690" s="562">
        <v>1012</v>
      </c>
      <c r="H690" s="562">
        <v>653.59</v>
      </c>
      <c r="I690" s="562">
        <v>723.02</v>
      </c>
      <c r="J690" s="561" t="s">
        <v>1648</v>
      </c>
      <c r="K690" s="330" t="s">
        <v>4973</v>
      </c>
      <c r="L690" s="330" t="s">
        <v>4974</v>
      </c>
      <c r="M690" s="330" t="s">
        <v>4975</v>
      </c>
      <c r="N690" s="330" t="s">
        <v>12</v>
      </c>
      <c r="O690" s="395"/>
      <c r="P690" s="333">
        <v>6035714</v>
      </c>
      <c r="Q690" s="330" t="s">
        <v>1653</v>
      </c>
      <c r="R690" s="562">
        <v>0</v>
      </c>
      <c r="S690" s="333">
        <v>0</v>
      </c>
      <c r="T690" s="333">
        <v>-602500</v>
      </c>
      <c r="U690" s="333">
        <f t="shared" si="103"/>
        <v>-602500</v>
      </c>
      <c r="V690" s="333">
        <v>0</v>
      </c>
      <c r="W690" s="333">
        <v>0</v>
      </c>
      <c r="X690" s="333">
        <v>0</v>
      </c>
      <c r="Y690" s="333">
        <v>0</v>
      </c>
      <c r="Z690" s="333">
        <v>0</v>
      </c>
      <c r="AA690" s="333">
        <v>0</v>
      </c>
      <c r="AB690" s="333">
        <v>0</v>
      </c>
      <c r="AC690" s="333">
        <v>0</v>
      </c>
      <c r="AD690" s="333">
        <v>0</v>
      </c>
      <c r="AE690" s="333"/>
      <c r="AF690" s="333"/>
      <c r="AG690" s="333">
        <f t="shared" si="104"/>
        <v>-602500</v>
      </c>
      <c r="AH690" s="330"/>
      <c r="AI690" s="330">
        <v>0</v>
      </c>
      <c r="AJ690" s="396">
        <f t="shared" si="106"/>
        <v>-602500</v>
      </c>
      <c r="AK690" s="563"/>
      <c r="AL690" s="285">
        <f t="shared" si="108"/>
        <v>0</v>
      </c>
      <c r="AM690" s="286"/>
      <c r="AO690" s="330" t="s">
        <v>4973</v>
      </c>
    </row>
    <row r="691" spans="1:41">
      <c r="A691" s="587">
        <f t="shared" si="107"/>
        <v>688</v>
      </c>
      <c r="B691" s="330" t="s">
        <v>1643</v>
      </c>
      <c r="C691" s="330" t="s">
        <v>4976</v>
      </c>
      <c r="D691" s="330" t="s">
        <v>1746</v>
      </c>
      <c r="E691" s="330" t="s">
        <v>2981</v>
      </c>
      <c r="F691" s="330" t="s">
        <v>1647</v>
      </c>
      <c r="G691" s="562">
        <v>1114</v>
      </c>
      <c r="H691" s="562">
        <v>683.3</v>
      </c>
      <c r="I691" s="562">
        <v>795.57</v>
      </c>
      <c r="J691" s="561" t="s">
        <v>1648</v>
      </c>
      <c r="K691" s="330" t="s">
        <v>4977</v>
      </c>
      <c r="L691" s="330" t="s">
        <v>4978</v>
      </c>
      <c r="M691" s="330" t="s">
        <v>4979</v>
      </c>
      <c r="N691" s="330" t="s">
        <v>4980</v>
      </c>
      <c r="O691" s="395">
        <v>45462</v>
      </c>
      <c r="P691" s="333">
        <v>6304075</v>
      </c>
      <c r="Q691" s="330" t="s">
        <v>1653</v>
      </c>
      <c r="R691" s="562">
        <v>0</v>
      </c>
      <c r="S691" s="333">
        <v>0</v>
      </c>
      <c r="T691" s="333">
        <v>-1886413.8600000003</v>
      </c>
      <c r="U691" s="333">
        <f t="shared" si="103"/>
        <v>-1886413.8600000003</v>
      </c>
      <c r="V691" s="333">
        <v>0</v>
      </c>
      <c r="W691" s="333">
        <v>0</v>
      </c>
      <c r="X691" s="333">
        <v>0</v>
      </c>
      <c r="Y691" s="333">
        <v>0</v>
      </c>
      <c r="Z691" s="333">
        <v>0</v>
      </c>
      <c r="AA691" s="333">
        <v>0</v>
      </c>
      <c r="AB691" s="333">
        <v>0</v>
      </c>
      <c r="AC691" s="333">
        <v>-4810</v>
      </c>
      <c r="AD691" s="333">
        <v>0</v>
      </c>
      <c r="AE691" s="333"/>
      <c r="AF691" s="333"/>
      <c r="AG691" s="333">
        <f t="shared" si="104"/>
        <v>-1891223.8600000003</v>
      </c>
      <c r="AH691" s="330"/>
      <c r="AI691" s="330">
        <v>4810</v>
      </c>
      <c r="AJ691" s="396">
        <f t="shared" si="106"/>
        <v>-1891223.8600000003</v>
      </c>
      <c r="AK691" s="563"/>
      <c r="AL691" s="285">
        <f t="shared" ref="AL691:AL695" si="112">+AC691+AI691</f>
        <v>0</v>
      </c>
      <c r="AM691" s="286"/>
      <c r="AO691" s="330" t="s">
        <v>4977</v>
      </c>
    </row>
    <row r="692" spans="1:41">
      <c r="A692" s="587">
        <f t="shared" si="107"/>
        <v>689</v>
      </c>
      <c r="B692" s="330" t="s">
        <v>1643</v>
      </c>
      <c r="C692" s="330" t="s">
        <v>4981</v>
      </c>
      <c r="D692" s="330" t="s">
        <v>1662</v>
      </c>
      <c r="E692" s="330" t="s">
        <v>2177</v>
      </c>
      <c r="F692" s="330" t="s">
        <v>1647</v>
      </c>
      <c r="G692" s="562">
        <v>1114</v>
      </c>
      <c r="H692" s="562">
        <v>683.3</v>
      </c>
      <c r="I692" s="562">
        <v>795.57</v>
      </c>
      <c r="J692" s="561" t="s">
        <v>1648</v>
      </c>
      <c r="K692" s="330" t="s">
        <v>4982</v>
      </c>
      <c r="L692" s="330" t="s">
        <v>4983</v>
      </c>
      <c r="M692" s="330" t="s">
        <v>4984</v>
      </c>
      <c r="N692" s="330" t="s">
        <v>4985</v>
      </c>
      <c r="O692" s="395">
        <v>45428</v>
      </c>
      <c r="P692" s="333">
        <v>6320782</v>
      </c>
      <c r="Q692" s="330" t="s">
        <v>1653</v>
      </c>
      <c r="R692" s="562">
        <v>0</v>
      </c>
      <c r="S692" s="333">
        <v>0</v>
      </c>
      <c r="T692" s="333">
        <v>-1957154.08</v>
      </c>
      <c r="U692" s="333">
        <f t="shared" si="103"/>
        <v>-1957154.08</v>
      </c>
      <c r="V692" s="333">
        <v>0</v>
      </c>
      <c r="W692" s="333">
        <v>0</v>
      </c>
      <c r="X692" s="333">
        <v>0</v>
      </c>
      <c r="Y692" s="333">
        <v>0</v>
      </c>
      <c r="Z692" s="333">
        <v>0</v>
      </c>
      <c r="AA692" s="333">
        <v>0</v>
      </c>
      <c r="AB692" s="333">
        <v>0</v>
      </c>
      <c r="AC692" s="333">
        <v>-2285.9000000000087</v>
      </c>
      <c r="AD692" s="333">
        <v>0</v>
      </c>
      <c r="AE692" s="333"/>
      <c r="AF692" s="333"/>
      <c r="AG692" s="333">
        <f t="shared" si="104"/>
        <v>-1959439.98</v>
      </c>
      <c r="AH692" s="330"/>
      <c r="AI692" s="330">
        <v>2285.9000000000015</v>
      </c>
      <c r="AJ692" s="396">
        <f t="shared" si="106"/>
        <v>-1959439.98</v>
      </c>
      <c r="AK692" s="563"/>
      <c r="AL692" s="285">
        <f t="shared" si="112"/>
        <v>-7.2759576141834259E-12</v>
      </c>
      <c r="AM692" s="286"/>
      <c r="AO692" s="330" t="s">
        <v>4982</v>
      </c>
    </row>
    <row r="693" spans="1:41">
      <c r="A693" s="587">
        <f t="shared" si="107"/>
        <v>690</v>
      </c>
      <c r="B693" s="330" t="s">
        <v>1643</v>
      </c>
      <c r="C693" s="330" t="s">
        <v>4986</v>
      </c>
      <c r="D693" s="330" t="s">
        <v>1645</v>
      </c>
      <c r="E693" s="330" t="s">
        <v>2002</v>
      </c>
      <c r="F693" s="330" t="s">
        <v>1647</v>
      </c>
      <c r="G693" s="562">
        <v>1114</v>
      </c>
      <c r="H693" s="562">
        <v>683.3</v>
      </c>
      <c r="I693" s="562">
        <v>795.57</v>
      </c>
      <c r="J693" s="561" t="s">
        <v>1648</v>
      </c>
      <c r="K693" s="330" t="s">
        <v>4987</v>
      </c>
      <c r="L693" s="330" t="s">
        <v>4988</v>
      </c>
      <c r="M693" s="330" t="s">
        <v>4989</v>
      </c>
      <c r="N693" s="330" t="s">
        <v>4990</v>
      </c>
      <c r="O693" s="395">
        <v>45474</v>
      </c>
      <c r="P693" s="333">
        <v>6248385</v>
      </c>
      <c r="Q693" s="330" t="s">
        <v>1653</v>
      </c>
      <c r="R693" s="562">
        <v>0</v>
      </c>
      <c r="S693" s="333">
        <v>0</v>
      </c>
      <c r="T693" s="333">
        <v>-1709044.0699999998</v>
      </c>
      <c r="U693" s="333">
        <f t="shared" si="103"/>
        <v>-1709044.0699999998</v>
      </c>
      <c r="V693" s="333">
        <v>0</v>
      </c>
      <c r="W693" s="333">
        <v>0</v>
      </c>
      <c r="X693" s="333">
        <v>0</v>
      </c>
      <c r="Y693" s="333">
        <v>0</v>
      </c>
      <c r="Z693" s="333">
        <v>0</v>
      </c>
      <c r="AA693" s="333">
        <v>0</v>
      </c>
      <c r="AB693" s="333">
        <v>0</v>
      </c>
      <c r="AC693" s="333">
        <v>-15472.239999999991</v>
      </c>
      <c r="AD693" s="333">
        <v>0</v>
      </c>
      <c r="AE693" s="333"/>
      <c r="AF693" s="333"/>
      <c r="AG693" s="333">
        <f t="shared" si="104"/>
        <v>-1724516.3099999998</v>
      </c>
      <c r="AH693" s="330"/>
      <c r="AI693" s="330">
        <v>15472.24</v>
      </c>
      <c r="AJ693" s="396">
        <f t="shared" si="106"/>
        <v>-1724516.3099999998</v>
      </c>
      <c r="AK693" s="563"/>
      <c r="AL693" s="285">
        <f t="shared" si="112"/>
        <v>0</v>
      </c>
      <c r="AM693" s="286"/>
      <c r="AO693" s="330" t="s">
        <v>4987</v>
      </c>
    </row>
    <row r="694" spans="1:41">
      <c r="A694" s="587">
        <f t="shared" si="107"/>
        <v>691</v>
      </c>
      <c r="B694" s="330" t="s">
        <v>1643</v>
      </c>
      <c r="C694" s="330" t="s">
        <v>4991</v>
      </c>
      <c r="D694" s="330" t="s">
        <v>1645</v>
      </c>
      <c r="E694" s="330" t="s">
        <v>1678</v>
      </c>
      <c r="F694" s="330" t="s">
        <v>1647</v>
      </c>
      <c r="G694" s="562">
        <v>1012</v>
      </c>
      <c r="H694" s="562">
        <v>653.59</v>
      </c>
      <c r="I694" s="562">
        <v>723.02</v>
      </c>
      <c r="J694" s="561" t="s">
        <v>1648</v>
      </c>
      <c r="K694" s="330" t="s">
        <v>4992</v>
      </c>
      <c r="L694" s="330" t="s">
        <v>4993</v>
      </c>
      <c r="M694" s="330" t="s">
        <v>4994</v>
      </c>
      <c r="N694" s="330" t="s">
        <v>4995</v>
      </c>
      <c r="O694" s="395">
        <v>45443</v>
      </c>
      <c r="P694" s="333">
        <v>5698827</v>
      </c>
      <c r="Q694" s="330" t="s">
        <v>1653</v>
      </c>
      <c r="R694" s="562">
        <v>0</v>
      </c>
      <c r="S694" s="333">
        <v>0</v>
      </c>
      <c r="T694" s="333">
        <v>-1762801.5799999994</v>
      </c>
      <c r="U694" s="333">
        <f t="shared" si="103"/>
        <v>-1762801.5799999994</v>
      </c>
      <c r="V694" s="333">
        <v>0</v>
      </c>
      <c r="W694" s="333">
        <v>0</v>
      </c>
      <c r="X694" s="333">
        <v>0</v>
      </c>
      <c r="Y694" s="333">
        <v>0</v>
      </c>
      <c r="Z694" s="333">
        <v>0</v>
      </c>
      <c r="AA694" s="333">
        <v>0</v>
      </c>
      <c r="AB694" s="333">
        <v>0</v>
      </c>
      <c r="AC694" s="333">
        <v>-3834</v>
      </c>
      <c r="AD694" s="333">
        <v>0</v>
      </c>
      <c r="AE694" s="333"/>
      <c r="AF694" s="333"/>
      <c r="AG694" s="333">
        <f t="shared" si="104"/>
        <v>-1766635.5799999994</v>
      </c>
      <c r="AH694" s="330"/>
      <c r="AI694" s="330">
        <v>3834</v>
      </c>
      <c r="AJ694" s="396">
        <f t="shared" si="106"/>
        <v>-1766635.5799999994</v>
      </c>
      <c r="AK694" s="563"/>
      <c r="AL694" s="285">
        <f t="shared" si="112"/>
        <v>0</v>
      </c>
      <c r="AM694" s="286"/>
      <c r="AO694" s="330" t="s">
        <v>4992</v>
      </c>
    </row>
    <row r="695" spans="1:41">
      <c r="A695" s="587">
        <f t="shared" si="107"/>
        <v>692</v>
      </c>
      <c r="B695" s="330" t="s">
        <v>1643</v>
      </c>
      <c r="C695" s="330" t="s">
        <v>4996</v>
      </c>
      <c r="D695" s="330" t="s">
        <v>1746</v>
      </c>
      <c r="E695" s="330" t="s">
        <v>1929</v>
      </c>
      <c r="F695" s="330" t="s">
        <v>1647</v>
      </c>
      <c r="G695" s="562">
        <v>1114</v>
      </c>
      <c r="H695" s="562">
        <v>683.3</v>
      </c>
      <c r="I695" s="562">
        <v>795.57</v>
      </c>
      <c r="J695" s="561" t="s">
        <v>1810</v>
      </c>
      <c r="K695" s="330" t="s">
        <v>4997</v>
      </c>
      <c r="L695" s="330" t="s">
        <v>4998</v>
      </c>
      <c r="M695" s="330" t="s">
        <v>4999</v>
      </c>
      <c r="N695" s="330" t="s">
        <v>5000</v>
      </c>
      <c r="O695" s="395">
        <v>45435</v>
      </c>
      <c r="P695" s="333">
        <v>6287368</v>
      </c>
      <c r="Q695" s="330" t="s">
        <v>1653</v>
      </c>
      <c r="R695" s="562">
        <v>0</v>
      </c>
      <c r="S695" s="333">
        <v>0</v>
      </c>
      <c r="T695" s="333">
        <v>-1575490.4799999997</v>
      </c>
      <c r="U695" s="333">
        <f t="shared" si="103"/>
        <v>-1575490.4799999997</v>
      </c>
      <c r="V695" s="333">
        <v>-322443</v>
      </c>
      <c r="W695" s="333">
        <v>0</v>
      </c>
      <c r="X695" s="333">
        <v>0</v>
      </c>
      <c r="Y695" s="333">
        <v>0</v>
      </c>
      <c r="Z695" s="333">
        <v>0</v>
      </c>
      <c r="AA695" s="333">
        <v>0</v>
      </c>
      <c r="AB695" s="333">
        <v>0</v>
      </c>
      <c r="AC695" s="333">
        <v>-7143.7999999999884</v>
      </c>
      <c r="AD695" s="333">
        <v>0</v>
      </c>
      <c r="AE695" s="333"/>
      <c r="AF695" s="333"/>
      <c r="AG695" s="333">
        <f t="shared" si="104"/>
        <v>-1905077.2799999998</v>
      </c>
      <c r="AH695" s="330"/>
      <c r="AI695" s="330">
        <v>7143.7999999999993</v>
      </c>
      <c r="AJ695" s="396">
        <f t="shared" si="106"/>
        <v>-1905077.2799999998</v>
      </c>
      <c r="AK695" s="563"/>
      <c r="AL695" s="285">
        <f t="shared" si="112"/>
        <v>1.0913936421275139E-11</v>
      </c>
      <c r="AM695" s="286"/>
      <c r="AO695" s="330" t="s">
        <v>4997</v>
      </c>
    </row>
    <row r="696" spans="1:41">
      <c r="A696" s="587">
        <f t="shared" si="107"/>
        <v>693</v>
      </c>
      <c r="B696" s="330" t="s">
        <v>1643</v>
      </c>
      <c r="C696" s="330" t="s">
        <v>5001</v>
      </c>
      <c r="D696" s="330" t="s">
        <v>1645</v>
      </c>
      <c r="E696" s="330" t="s">
        <v>2332</v>
      </c>
      <c r="F696" s="330" t="s">
        <v>1671</v>
      </c>
      <c r="G696" s="562">
        <v>1375</v>
      </c>
      <c r="H696" s="562">
        <v>876.73</v>
      </c>
      <c r="I696" s="562">
        <v>982.22</v>
      </c>
      <c r="J696" s="561" t="s">
        <v>2611</v>
      </c>
      <c r="K696" s="330" t="s">
        <v>5002</v>
      </c>
      <c r="L696" s="330" t="s">
        <v>5003</v>
      </c>
      <c r="M696" s="330" t="s">
        <v>5004</v>
      </c>
      <c r="N696" s="330" t="s">
        <v>5005</v>
      </c>
      <c r="O696" s="395">
        <v>45455</v>
      </c>
      <c r="P696" s="333">
        <v>7718666</v>
      </c>
      <c r="Q696" s="330" t="s">
        <v>1653</v>
      </c>
      <c r="R696" s="562">
        <v>0</v>
      </c>
      <c r="S696" s="333">
        <v>0</v>
      </c>
      <c r="T696" s="333">
        <v>-2315598</v>
      </c>
      <c r="U696" s="333">
        <f t="shared" si="103"/>
        <v>-2315598</v>
      </c>
      <c r="V696" s="333">
        <v>0</v>
      </c>
      <c r="W696" s="333">
        <v>0</v>
      </c>
      <c r="X696" s="333">
        <v>0</v>
      </c>
      <c r="Y696" s="333">
        <v>0</v>
      </c>
      <c r="Z696" s="333">
        <v>0</v>
      </c>
      <c r="AA696" s="333">
        <v>0</v>
      </c>
      <c r="AB696" s="333">
        <v>0</v>
      </c>
      <c r="AC696" s="333">
        <v>0</v>
      </c>
      <c r="AD696" s="333">
        <v>0</v>
      </c>
      <c r="AE696" s="333"/>
      <c r="AF696" s="333"/>
      <c r="AG696" s="333">
        <f t="shared" si="104"/>
        <v>-2315598</v>
      </c>
      <c r="AH696" s="330"/>
      <c r="AI696" s="330">
        <v>0</v>
      </c>
      <c r="AJ696" s="396">
        <f t="shared" si="106"/>
        <v>-2315598</v>
      </c>
      <c r="AK696" s="563"/>
      <c r="AL696" s="285">
        <f t="shared" si="108"/>
        <v>0</v>
      </c>
      <c r="AM696" s="286"/>
      <c r="AO696" s="330" t="s">
        <v>5002</v>
      </c>
    </row>
    <row r="697" spans="1:41">
      <c r="A697" s="587">
        <f t="shared" si="107"/>
        <v>694</v>
      </c>
      <c r="B697" s="330" t="s">
        <v>1643</v>
      </c>
      <c r="C697" s="330" t="s">
        <v>5006</v>
      </c>
      <c r="D697" s="330" t="s">
        <v>1662</v>
      </c>
      <c r="E697" s="330" t="s">
        <v>2975</v>
      </c>
      <c r="F697" s="330" t="s">
        <v>1647</v>
      </c>
      <c r="G697" s="562">
        <v>1114</v>
      </c>
      <c r="H697" s="562">
        <v>683.3</v>
      </c>
      <c r="I697" s="562">
        <v>795.57</v>
      </c>
      <c r="J697" s="561" t="s">
        <v>1810</v>
      </c>
      <c r="K697" s="330" t="s">
        <v>5007</v>
      </c>
      <c r="L697" s="330" t="s">
        <v>5008</v>
      </c>
      <c r="M697" s="330" t="s">
        <v>5009</v>
      </c>
      <c r="N697" s="330" t="s">
        <v>5010</v>
      </c>
      <c r="O697" s="395">
        <v>45443</v>
      </c>
      <c r="P697" s="333">
        <v>6337489</v>
      </c>
      <c r="Q697" s="330" t="s">
        <v>1653</v>
      </c>
      <c r="R697" s="562">
        <v>0</v>
      </c>
      <c r="S697" s="333">
        <v>0</v>
      </c>
      <c r="T697" s="333">
        <v>-1670853.8400000008</v>
      </c>
      <c r="U697" s="333">
        <f t="shared" si="103"/>
        <v>-1670853.8400000008</v>
      </c>
      <c r="V697" s="333">
        <v>-231290</v>
      </c>
      <c r="W697" s="333">
        <v>0</v>
      </c>
      <c r="X697" s="333">
        <v>0</v>
      </c>
      <c r="Y697" s="333">
        <v>0</v>
      </c>
      <c r="Z697" s="333">
        <v>0</v>
      </c>
      <c r="AA697" s="333">
        <v>0</v>
      </c>
      <c r="AB697" s="333">
        <v>0</v>
      </c>
      <c r="AC697" s="333">
        <v>4.000000001542503E-2</v>
      </c>
      <c r="AD697" s="333">
        <v>0</v>
      </c>
      <c r="AE697" s="333"/>
      <c r="AF697" s="333"/>
      <c r="AG697" s="333">
        <f t="shared" si="104"/>
        <v>-1902143.8000000007</v>
      </c>
      <c r="AH697" s="330"/>
      <c r="AI697" s="330">
        <v>-3.999999999996362E-2</v>
      </c>
      <c r="AJ697" s="396">
        <f t="shared" si="106"/>
        <v>-1902143.8000000007</v>
      </c>
      <c r="AK697" s="563"/>
      <c r="AL697" s="285">
        <f t="shared" si="108"/>
        <v>8.000000001538865E-2</v>
      </c>
      <c r="AM697" s="286"/>
      <c r="AO697" s="330" t="s">
        <v>5007</v>
      </c>
    </row>
    <row r="698" spans="1:41">
      <c r="A698" s="587">
        <f t="shared" si="107"/>
        <v>695</v>
      </c>
      <c r="B698" s="330" t="s">
        <v>1643</v>
      </c>
      <c r="C698" s="330" t="s">
        <v>5011</v>
      </c>
      <c r="D698" s="330" t="s">
        <v>1704</v>
      </c>
      <c r="E698" s="330" t="s">
        <v>3227</v>
      </c>
      <c r="F698" s="330" t="s">
        <v>1647</v>
      </c>
      <c r="G698" s="562">
        <v>1114</v>
      </c>
      <c r="H698" s="562">
        <v>683.3</v>
      </c>
      <c r="I698" s="562">
        <v>795.57</v>
      </c>
      <c r="J698" s="561" t="s">
        <v>1648</v>
      </c>
      <c r="K698" s="330" t="s">
        <v>5012</v>
      </c>
      <c r="L698" s="330" t="s">
        <v>5013</v>
      </c>
      <c r="M698" s="330" t="s">
        <v>5014</v>
      </c>
      <c r="N698" s="330" t="s">
        <v>5015</v>
      </c>
      <c r="O698" s="395">
        <v>45446</v>
      </c>
      <c r="P698" s="333">
        <v>6432952</v>
      </c>
      <c r="Q698" s="330" t="s">
        <v>1653</v>
      </c>
      <c r="R698" s="562">
        <v>0</v>
      </c>
      <c r="S698" s="333">
        <v>0</v>
      </c>
      <c r="T698" s="333">
        <v>-2077354.2400000005</v>
      </c>
      <c r="U698" s="333">
        <f t="shared" si="103"/>
        <v>-2077354.2400000005</v>
      </c>
      <c r="V698" s="333">
        <v>0</v>
      </c>
      <c r="W698" s="333">
        <v>0</v>
      </c>
      <c r="X698" s="333">
        <v>0</v>
      </c>
      <c r="Y698" s="333">
        <v>0</v>
      </c>
      <c r="Z698" s="333">
        <v>0</v>
      </c>
      <c r="AA698" s="333">
        <v>0</v>
      </c>
      <c r="AB698" s="333">
        <v>0</v>
      </c>
      <c r="AC698" s="333">
        <v>-15860.19</v>
      </c>
      <c r="AD698" s="333">
        <v>0</v>
      </c>
      <c r="AE698" s="333"/>
      <c r="AF698" s="333"/>
      <c r="AG698" s="333">
        <f t="shared" si="104"/>
        <v>-2093214.4300000004</v>
      </c>
      <c r="AH698" s="330"/>
      <c r="AI698" s="330">
        <v>15860</v>
      </c>
      <c r="AJ698" s="396">
        <f t="shared" si="106"/>
        <v>-2093214.4300000004</v>
      </c>
      <c r="AK698" s="563"/>
      <c r="AL698" s="285">
        <f>+AC698+AI698</f>
        <v>-0.19000000000050932</v>
      </c>
      <c r="AM698" s="286"/>
      <c r="AO698" s="330" t="s">
        <v>5012</v>
      </c>
    </row>
    <row r="699" spans="1:41">
      <c r="A699" s="587">
        <f t="shared" si="107"/>
        <v>696</v>
      </c>
      <c r="B699" s="330" t="s">
        <v>1643</v>
      </c>
      <c r="C699" s="330" t="s">
        <v>5016</v>
      </c>
      <c r="D699" s="330" t="s">
        <v>1677</v>
      </c>
      <c r="E699" s="330" t="s">
        <v>1728</v>
      </c>
      <c r="F699" s="330" t="s">
        <v>1647</v>
      </c>
      <c r="G699" s="562">
        <v>1012</v>
      </c>
      <c r="H699" s="562">
        <v>653.59</v>
      </c>
      <c r="I699" s="562">
        <v>723.02</v>
      </c>
      <c r="J699" s="561" t="s">
        <v>1648</v>
      </c>
      <c r="K699" s="330" t="s">
        <v>5017</v>
      </c>
      <c r="L699" s="330" t="s">
        <v>5018</v>
      </c>
      <c r="M699" s="330" t="s">
        <v>5019</v>
      </c>
      <c r="N699" s="330" t="s">
        <v>12</v>
      </c>
      <c r="O699" s="395"/>
      <c r="P699" s="333">
        <v>6481238</v>
      </c>
      <c r="Q699" s="330" t="s">
        <v>1660</v>
      </c>
      <c r="R699" s="562">
        <v>0</v>
      </c>
      <c r="S699" s="333">
        <v>0</v>
      </c>
      <c r="T699" s="333">
        <v>-1164230</v>
      </c>
      <c r="U699" s="333">
        <f t="shared" si="103"/>
        <v>-1164230</v>
      </c>
      <c r="V699" s="333">
        <v>1164230</v>
      </c>
      <c r="W699" s="333">
        <v>0</v>
      </c>
      <c r="X699" s="333">
        <v>0</v>
      </c>
      <c r="Y699" s="333">
        <v>0</v>
      </c>
      <c r="Z699" s="333">
        <v>0</v>
      </c>
      <c r="AA699" s="333">
        <v>0</v>
      </c>
      <c r="AB699" s="333">
        <v>0</v>
      </c>
      <c r="AC699" s="333">
        <v>0</v>
      </c>
      <c r="AD699" s="333">
        <v>0</v>
      </c>
      <c r="AE699" s="333"/>
      <c r="AF699" s="333"/>
      <c r="AG699" s="333">
        <f t="shared" si="104"/>
        <v>0</v>
      </c>
      <c r="AH699" s="330"/>
      <c r="AI699" s="330">
        <v>0</v>
      </c>
      <c r="AJ699" s="396">
        <f t="shared" si="106"/>
        <v>0</v>
      </c>
      <c r="AK699" s="563"/>
      <c r="AL699" s="285">
        <f t="shared" si="108"/>
        <v>0</v>
      </c>
      <c r="AM699" s="286"/>
      <c r="AO699" s="330" t="s">
        <v>5017</v>
      </c>
    </row>
    <row r="700" spans="1:41">
      <c r="A700" s="587">
        <f t="shared" si="107"/>
        <v>697</v>
      </c>
      <c r="B700" s="330" t="s">
        <v>1643</v>
      </c>
      <c r="C700" s="330" t="s">
        <v>5020</v>
      </c>
      <c r="D700" s="330" t="s">
        <v>1662</v>
      </c>
      <c r="E700" s="330" t="s">
        <v>2206</v>
      </c>
      <c r="F700" s="330" t="s">
        <v>1647</v>
      </c>
      <c r="G700" s="562">
        <v>1114</v>
      </c>
      <c r="H700" s="562">
        <v>683.3</v>
      </c>
      <c r="I700" s="562">
        <v>795.57</v>
      </c>
      <c r="J700" s="561" t="s">
        <v>1679</v>
      </c>
      <c r="K700" s="330" t="s">
        <v>5021</v>
      </c>
      <c r="L700" s="330" t="s">
        <v>5022</v>
      </c>
      <c r="M700" s="330" t="s">
        <v>5023</v>
      </c>
      <c r="N700" s="330" t="s">
        <v>5024</v>
      </c>
      <c r="O700" s="395">
        <v>45428</v>
      </c>
      <c r="P700" s="333">
        <v>6287368</v>
      </c>
      <c r="Q700" s="330" t="s">
        <v>1653</v>
      </c>
      <c r="R700" s="562">
        <v>0</v>
      </c>
      <c r="S700" s="333">
        <v>0</v>
      </c>
      <c r="T700" s="333">
        <v>-1799084.1599999997</v>
      </c>
      <c r="U700" s="333">
        <f t="shared" si="103"/>
        <v>-1799084.1599999997</v>
      </c>
      <c r="V700" s="333">
        <v>-150000</v>
      </c>
      <c r="W700" s="333">
        <v>0</v>
      </c>
      <c r="X700" s="333">
        <v>0</v>
      </c>
      <c r="Y700" s="333">
        <v>0</v>
      </c>
      <c r="Z700" s="333">
        <v>0</v>
      </c>
      <c r="AA700" s="333">
        <v>0</v>
      </c>
      <c r="AB700" s="333">
        <v>0</v>
      </c>
      <c r="AC700" s="333">
        <v>0</v>
      </c>
      <c r="AD700" s="333">
        <v>0</v>
      </c>
      <c r="AE700" s="333"/>
      <c r="AF700" s="333"/>
      <c r="AG700" s="333">
        <f t="shared" si="104"/>
        <v>-1949084.1599999997</v>
      </c>
      <c r="AH700" s="330"/>
      <c r="AI700" s="330">
        <v>0</v>
      </c>
      <c r="AJ700" s="396">
        <f t="shared" si="106"/>
        <v>-1949084.1599999997</v>
      </c>
      <c r="AK700" s="563"/>
      <c r="AL700" s="285">
        <f t="shared" si="108"/>
        <v>0</v>
      </c>
      <c r="AM700" s="286"/>
      <c r="AO700" s="330" t="s">
        <v>5021</v>
      </c>
    </row>
    <row r="701" spans="1:41">
      <c r="A701" s="587">
        <f t="shared" si="107"/>
        <v>698</v>
      </c>
      <c r="B701" s="330" t="s">
        <v>1643</v>
      </c>
      <c r="C701" s="330" t="s">
        <v>5025</v>
      </c>
      <c r="D701" s="330" t="s">
        <v>2153</v>
      </c>
      <c r="E701" s="330" t="s">
        <v>2132</v>
      </c>
      <c r="F701" s="330" t="s">
        <v>1647</v>
      </c>
      <c r="G701" s="562">
        <v>1114</v>
      </c>
      <c r="H701" s="562">
        <v>683.3</v>
      </c>
      <c r="I701" s="562">
        <v>795.57</v>
      </c>
      <c r="J701" s="561" t="s">
        <v>1810</v>
      </c>
      <c r="K701" s="330" t="s">
        <v>5026</v>
      </c>
      <c r="L701" s="330" t="s">
        <v>5027</v>
      </c>
      <c r="M701" s="330" t="s">
        <v>5028</v>
      </c>
      <c r="N701" s="330" t="s">
        <v>5029</v>
      </c>
      <c r="O701" s="395">
        <v>45464</v>
      </c>
      <c r="P701" s="333">
        <v>6580286</v>
      </c>
      <c r="Q701" s="330" t="s">
        <v>1653</v>
      </c>
      <c r="R701" s="562">
        <v>0</v>
      </c>
      <c r="S701" s="333">
        <v>0</v>
      </c>
      <c r="T701" s="333">
        <v>-1974085.7</v>
      </c>
      <c r="U701" s="333">
        <f t="shared" si="103"/>
        <v>-1974085.7</v>
      </c>
      <c r="V701" s="333">
        <v>0</v>
      </c>
      <c r="W701" s="333">
        <v>0</v>
      </c>
      <c r="X701" s="333">
        <v>0</v>
      </c>
      <c r="Y701" s="333">
        <v>0</v>
      </c>
      <c r="Z701" s="333">
        <v>0</v>
      </c>
      <c r="AA701" s="333">
        <v>0</v>
      </c>
      <c r="AB701" s="333">
        <v>0</v>
      </c>
      <c r="AC701" s="333">
        <v>0</v>
      </c>
      <c r="AD701" s="333">
        <v>0</v>
      </c>
      <c r="AE701" s="333"/>
      <c r="AF701" s="333"/>
      <c r="AG701" s="333">
        <f t="shared" si="104"/>
        <v>-1974085.7</v>
      </c>
      <c r="AH701" s="330"/>
      <c r="AI701" s="330">
        <v>0</v>
      </c>
      <c r="AJ701" s="396">
        <f t="shared" si="106"/>
        <v>-1974085.7</v>
      </c>
      <c r="AK701" s="563"/>
      <c r="AL701" s="285">
        <f t="shared" si="108"/>
        <v>0</v>
      </c>
      <c r="AM701" s="286"/>
      <c r="AO701" s="330" t="s">
        <v>5026</v>
      </c>
    </row>
    <row r="702" spans="1:41">
      <c r="A702" s="587">
        <f t="shared" si="107"/>
        <v>699</v>
      </c>
      <c r="B702" s="330" t="s">
        <v>1643</v>
      </c>
      <c r="C702" s="330" t="s">
        <v>5030</v>
      </c>
      <c r="D702" s="330" t="s">
        <v>1645</v>
      </c>
      <c r="E702" s="330" t="s">
        <v>2733</v>
      </c>
      <c r="F702" s="330" t="s">
        <v>1647</v>
      </c>
      <c r="G702" s="562">
        <v>1012</v>
      </c>
      <c r="H702" s="562">
        <v>653.59</v>
      </c>
      <c r="I702" s="562">
        <v>723.02</v>
      </c>
      <c r="J702" s="561" t="s">
        <v>1648</v>
      </c>
      <c r="K702" s="330" t="s">
        <v>5031</v>
      </c>
      <c r="L702" s="330" t="s">
        <v>5032</v>
      </c>
      <c r="M702" s="330" t="s">
        <v>5033</v>
      </c>
      <c r="N702" s="330" t="s">
        <v>5034</v>
      </c>
      <c r="O702" s="395">
        <v>45443</v>
      </c>
      <c r="P702" s="333">
        <v>5642857</v>
      </c>
      <c r="Q702" s="330" t="s">
        <v>1653</v>
      </c>
      <c r="R702" s="562">
        <v>0</v>
      </c>
      <c r="S702" s="333">
        <v>0</v>
      </c>
      <c r="T702" s="333">
        <v>-1697577.1400000004</v>
      </c>
      <c r="U702" s="333">
        <f t="shared" si="103"/>
        <v>-1697577.1400000004</v>
      </c>
      <c r="V702" s="333">
        <v>75000</v>
      </c>
      <c r="W702" s="333">
        <v>0</v>
      </c>
      <c r="X702" s="333">
        <v>0</v>
      </c>
      <c r="Y702" s="333">
        <v>0</v>
      </c>
      <c r="Z702" s="333">
        <v>0</v>
      </c>
      <c r="AA702" s="333">
        <v>-75000</v>
      </c>
      <c r="AB702" s="333">
        <v>0</v>
      </c>
      <c r="AC702" s="333">
        <v>0</v>
      </c>
      <c r="AD702" s="333">
        <v>0</v>
      </c>
      <c r="AE702" s="333"/>
      <c r="AF702" s="333"/>
      <c r="AG702" s="333">
        <f t="shared" si="104"/>
        <v>-1697577.1400000004</v>
      </c>
      <c r="AH702" s="330"/>
      <c r="AI702" s="330">
        <v>0</v>
      </c>
      <c r="AJ702" s="396">
        <f t="shared" si="106"/>
        <v>-1697577.1400000004</v>
      </c>
      <c r="AK702" s="563"/>
      <c r="AL702" s="285">
        <f t="shared" si="108"/>
        <v>0</v>
      </c>
      <c r="AM702" s="286"/>
      <c r="AO702" s="330" t="s">
        <v>5031</v>
      </c>
    </row>
    <row r="703" spans="1:41">
      <c r="A703" s="587">
        <f t="shared" si="107"/>
        <v>700</v>
      </c>
      <c r="B703" s="330" t="s">
        <v>1643</v>
      </c>
      <c r="C703" s="330" t="s">
        <v>5035</v>
      </c>
      <c r="D703" s="330" t="s">
        <v>1662</v>
      </c>
      <c r="E703" s="330" t="s">
        <v>1996</v>
      </c>
      <c r="F703" s="330" t="s">
        <v>1647</v>
      </c>
      <c r="G703" s="562">
        <v>1114</v>
      </c>
      <c r="H703" s="562">
        <v>683.3</v>
      </c>
      <c r="I703" s="562">
        <v>795.57</v>
      </c>
      <c r="J703" s="561" t="s">
        <v>1810</v>
      </c>
      <c r="K703" s="330" t="s">
        <v>5036</v>
      </c>
      <c r="L703" s="330" t="s">
        <v>5037</v>
      </c>
      <c r="M703" s="330" t="s">
        <v>5038</v>
      </c>
      <c r="N703" s="330" t="s">
        <v>5039</v>
      </c>
      <c r="O703" s="395">
        <v>45468</v>
      </c>
      <c r="P703" s="333">
        <v>6270661</v>
      </c>
      <c r="Q703" s="330" t="s">
        <v>1653</v>
      </c>
      <c r="R703" s="562">
        <v>0</v>
      </c>
      <c r="S703" s="333">
        <v>0</v>
      </c>
      <c r="T703" s="333">
        <v>-1943902.7100000002</v>
      </c>
      <c r="U703" s="333">
        <f t="shared" si="103"/>
        <v>-1943902.7100000002</v>
      </c>
      <c r="V703" s="333">
        <v>0</v>
      </c>
      <c r="W703" s="333">
        <v>0</v>
      </c>
      <c r="X703" s="333">
        <v>0</v>
      </c>
      <c r="Y703" s="333">
        <v>0</v>
      </c>
      <c r="Z703" s="333">
        <v>0</v>
      </c>
      <c r="AA703" s="333">
        <v>0</v>
      </c>
      <c r="AB703" s="333">
        <v>0</v>
      </c>
      <c r="AC703" s="333">
        <v>2.0000000164145604E-2</v>
      </c>
      <c r="AD703" s="333">
        <v>0</v>
      </c>
      <c r="AE703" s="333"/>
      <c r="AF703" s="333"/>
      <c r="AG703" s="333">
        <f t="shared" si="104"/>
        <v>-1943902.69</v>
      </c>
      <c r="AH703" s="330"/>
      <c r="AI703" s="330">
        <v>-2.0000000004074536E-2</v>
      </c>
      <c r="AJ703" s="396">
        <f t="shared" si="106"/>
        <v>-1943902.69</v>
      </c>
      <c r="AK703" s="563"/>
      <c r="AL703" s="285">
        <f t="shared" si="108"/>
        <v>4.000000016822014E-2</v>
      </c>
      <c r="AM703" s="286"/>
      <c r="AO703" s="330" t="s">
        <v>5036</v>
      </c>
    </row>
    <row r="704" spans="1:41">
      <c r="A704" s="587">
        <f t="shared" si="107"/>
        <v>701</v>
      </c>
      <c r="B704" s="330" t="s">
        <v>1643</v>
      </c>
      <c r="C704" s="330" t="s">
        <v>5040</v>
      </c>
      <c r="D704" s="330" t="s">
        <v>1655</v>
      </c>
      <c r="E704" s="330" t="s">
        <v>1897</v>
      </c>
      <c r="F704" s="330" t="s">
        <v>1647</v>
      </c>
      <c r="G704" s="562">
        <v>1114</v>
      </c>
      <c r="H704" s="562">
        <v>683.3</v>
      </c>
      <c r="I704" s="562">
        <v>795.57</v>
      </c>
      <c r="J704" s="561" t="s">
        <v>1810</v>
      </c>
      <c r="K704" s="330" t="s">
        <v>5041</v>
      </c>
      <c r="L704" s="330" t="s">
        <v>5042</v>
      </c>
      <c r="M704" s="330" t="s">
        <v>5043</v>
      </c>
      <c r="N704" s="330" t="s">
        <v>12</v>
      </c>
      <c r="O704" s="395"/>
      <c r="P704" s="333">
        <v>7116071</v>
      </c>
      <c r="Q704" s="330" t="s">
        <v>1660</v>
      </c>
      <c r="R704" s="562">
        <v>0</v>
      </c>
      <c r="S704" s="333">
        <v>0</v>
      </c>
      <c r="T704" s="333">
        <v>0</v>
      </c>
      <c r="U704" s="333">
        <f t="shared" si="103"/>
        <v>0</v>
      </c>
      <c r="V704" s="333">
        <v>-51000</v>
      </c>
      <c r="W704" s="333">
        <v>0</v>
      </c>
      <c r="X704" s="333">
        <v>0</v>
      </c>
      <c r="Y704" s="333">
        <v>0</v>
      </c>
      <c r="Z704" s="333">
        <v>0</v>
      </c>
      <c r="AA704" s="333">
        <v>0</v>
      </c>
      <c r="AB704" s="333">
        <v>0</v>
      </c>
      <c r="AC704" s="333">
        <v>0</v>
      </c>
      <c r="AD704" s="333">
        <v>0</v>
      </c>
      <c r="AE704" s="333"/>
      <c r="AF704" s="333"/>
      <c r="AG704" s="333">
        <f t="shared" si="104"/>
        <v>-51000</v>
      </c>
      <c r="AH704" s="330"/>
      <c r="AI704" s="330">
        <v>0</v>
      </c>
      <c r="AJ704" s="396">
        <f t="shared" si="106"/>
        <v>-51000</v>
      </c>
      <c r="AK704" s="563"/>
      <c r="AL704" s="285">
        <f t="shared" si="108"/>
        <v>0</v>
      </c>
      <c r="AM704" s="286"/>
      <c r="AO704" s="330" t="s">
        <v>5041</v>
      </c>
    </row>
    <row r="705" spans="1:41">
      <c r="A705" s="587">
        <f t="shared" si="107"/>
        <v>702</v>
      </c>
      <c r="B705" s="330" t="s">
        <v>1643</v>
      </c>
      <c r="C705" s="330" t="s">
        <v>5044</v>
      </c>
      <c r="D705" s="330" t="s">
        <v>1677</v>
      </c>
      <c r="E705" s="330" t="s">
        <v>2280</v>
      </c>
      <c r="F705" s="330" t="s">
        <v>1647</v>
      </c>
      <c r="G705" s="562">
        <v>1114</v>
      </c>
      <c r="H705" s="562">
        <v>683.3</v>
      </c>
      <c r="I705" s="562">
        <v>795.57</v>
      </c>
      <c r="J705" s="561" t="s">
        <v>1679</v>
      </c>
      <c r="K705" s="330" t="s">
        <v>5045</v>
      </c>
      <c r="L705" s="330" t="s">
        <v>5046</v>
      </c>
      <c r="M705" s="330" t="s">
        <v>5047</v>
      </c>
      <c r="N705" s="330" t="s">
        <v>12</v>
      </c>
      <c r="O705" s="395"/>
      <c r="P705" s="333">
        <v>6847714</v>
      </c>
      <c r="Q705" s="330" t="s">
        <v>1660</v>
      </c>
      <c r="R705" s="562">
        <v>0</v>
      </c>
      <c r="S705" s="333">
        <v>0</v>
      </c>
      <c r="T705" s="333">
        <v>-150000</v>
      </c>
      <c r="U705" s="333">
        <f t="shared" si="103"/>
        <v>-150000</v>
      </c>
      <c r="V705" s="333">
        <v>150000</v>
      </c>
      <c r="W705" s="333">
        <v>0</v>
      </c>
      <c r="X705" s="333">
        <v>0</v>
      </c>
      <c r="Y705" s="333">
        <v>0</v>
      </c>
      <c r="Z705" s="333">
        <v>0</v>
      </c>
      <c r="AA705" s="333">
        <v>0</v>
      </c>
      <c r="AB705" s="333">
        <v>0</v>
      </c>
      <c r="AC705" s="333">
        <v>0</v>
      </c>
      <c r="AD705" s="333">
        <v>0</v>
      </c>
      <c r="AE705" s="333"/>
      <c r="AF705" s="333"/>
      <c r="AG705" s="333">
        <f t="shared" si="104"/>
        <v>0</v>
      </c>
      <c r="AH705" s="330"/>
      <c r="AI705" s="330">
        <v>0</v>
      </c>
      <c r="AJ705" s="396">
        <f t="shared" si="106"/>
        <v>0</v>
      </c>
      <c r="AK705" s="563"/>
      <c r="AL705" s="285">
        <f t="shared" si="108"/>
        <v>0</v>
      </c>
      <c r="AM705" s="286"/>
      <c r="AO705" s="330" t="s">
        <v>5045</v>
      </c>
    </row>
    <row r="706" spans="1:41">
      <c r="A706" s="587">
        <f t="shared" si="107"/>
        <v>703</v>
      </c>
      <c r="B706" s="330" t="s">
        <v>1643</v>
      </c>
      <c r="C706" s="330" t="s">
        <v>5048</v>
      </c>
      <c r="D706" s="330" t="s">
        <v>1645</v>
      </c>
      <c r="E706" s="330" t="s">
        <v>2883</v>
      </c>
      <c r="F706" s="330" t="s">
        <v>1671</v>
      </c>
      <c r="G706" s="562">
        <v>1498</v>
      </c>
      <c r="H706" s="562">
        <v>954.87</v>
      </c>
      <c r="I706" s="562">
        <v>1069.73</v>
      </c>
      <c r="J706" s="561" t="s">
        <v>1648</v>
      </c>
      <c r="K706" s="330" t="s">
        <v>5049</v>
      </c>
      <c r="L706" s="330" t="s">
        <v>5050</v>
      </c>
      <c r="M706" s="330" t="s">
        <v>5051</v>
      </c>
      <c r="N706" s="330" t="s">
        <v>5052</v>
      </c>
      <c r="O706" s="395">
        <v>45467</v>
      </c>
      <c r="P706" s="333">
        <v>8723143</v>
      </c>
      <c r="Q706" s="330" t="s">
        <v>1653</v>
      </c>
      <c r="R706" s="562">
        <v>0</v>
      </c>
      <c r="S706" s="333">
        <v>0</v>
      </c>
      <c r="T706" s="333">
        <v>-2204173.2699999996</v>
      </c>
      <c r="U706" s="333">
        <f t="shared" si="103"/>
        <v>-2204173.2699999996</v>
      </c>
      <c r="V706" s="333">
        <v>-500000</v>
      </c>
      <c r="W706" s="333">
        <v>0</v>
      </c>
      <c r="X706" s="333">
        <v>0</v>
      </c>
      <c r="Y706" s="333">
        <v>0</v>
      </c>
      <c r="Z706" s="333">
        <v>0</v>
      </c>
      <c r="AA706" s="333">
        <v>0</v>
      </c>
      <c r="AB706" s="333">
        <v>0</v>
      </c>
      <c r="AC706" s="333">
        <v>0</v>
      </c>
      <c r="AD706" s="333">
        <v>0</v>
      </c>
      <c r="AE706" s="333"/>
      <c r="AF706" s="333"/>
      <c r="AG706" s="333">
        <f t="shared" si="104"/>
        <v>-2704173.2699999996</v>
      </c>
      <c r="AH706" s="330"/>
      <c r="AI706" s="330">
        <v>0</v>
      </c>
      <c r="AJ706" s="396">
        <f t="shared" si="106"/>
        <v>-2704173.2699999996</v>
      </c>
      <c r="AK706" s="563"/>
      <c r="AL706" s="285">
        <f t="shared" si="108"/>
        <v>0</v>
      </c>
      <c r="AM706" s="286"/>
      <c r="AO706" s="330" t="s">
        <v>5049</v>
      </c>
    </row>
    <row r="707" spans="1:41">
      <c r="A707" s="587">
        <f t="shared" si="107"/>
        <v>704</v>
      </c>
      <c r="B707" s="330" t="s">
        <v>1643</v>
      </c>
      <c r="C707" s="330" t="s">
        <v>5053</v>
      </c>
      <c r="D707" s="330" t="s">
        <v>1704</v>
      </c>
      <c r="E707" s="330" t="s">
        <v>2362</v>
      </c>
      <c r="F707" s="330" t="s">
        <v>1671</v>
      </c>
      <c r="G707" s="562">
        <v>1375</v>
      </c>
      <c r="H707" s="562">
        <v>876.73</v>
      </c>
      <c r="I707" s="562">
        <v>982.22</v>
      </c>
      <c r="J707" s="561" t="s">
        <v>1679</v>
      </c>
      <c r="K707" s="330" t="s">
        <v>5054</v>
      </c>
      <c r="L707" s="330" t="s">
        <v>5055</v>
      </c>
      <c r="M707" s="330" t="s">
        <v>5056</v>
      </c>
      <c r="N707" s="330" t="s">
        <v>5057</v>
      </c>
      <c r="O707" s="395">
        <v>45750</v>
      </c>
      <c r="P707" s="333">
        <v>8410667</v>
      </c>
      <c r="Q707" s="330" t="s">
        <v>1653</v>
      </c>
      <c r="R707" s="562">
        <v>0</v>
      </c>
      <c r="S707" s="333">
        <v>0</v>
      </c>
      <c r="T707" s="333">
        <v>-233106.66999999998</v>
      </c>
      <c r="U707" s="333">
        <f t="shared" si="103"/>
        <v>-233106.66999999998</v>
      </c>
      <c r="V707" s="333">
        <v>-2416254</v>
      </c>
      <c r="W707" s="333">
        <v>0</v>
      </c>
      <c r="X707" s="333">
        <v>0</v>
      </c>
      <c r="Y707" s="333">
        <v>0</v>
      </c>
      <c r="Z707" s="333">
        <v>0</v>
      </c>
      <c r="AA707" s="333">
        <v>0</v>
      </c>
      <c r="AB707" s="333">
        <v>0</v>
      </c>
      <c r="AC707" s="333">
        <v>126160.01999999979</v>
      </c>
      <c r="AD707" s="333">
        <v>0</v>
      </c>
      <c r="AE707" s="333"/>
      <c r="AF707" s="333"/>
      <c r="AG707" s="333">
        <f t="shared" si="104"/>
        <v>-2523200.6500000004</v>
      </c>
      <c r="AH707" s="330"/>
      <c r="AI707" s="330">
        <v>-126160.01999999999</v>
      </c>
      <c r="AJ707" s="396">
        <f t="shared" si="106"/>
        <v>-2523200.6500000004</v>
      </c>
      <c r="AK707" s="563"/>
      <c r="AL707" s="285">
        <f t="shared" ref="AL707:AL709" si="113">+AC707+AI707</f>
        <v>-2.0372681319713593E-10</v>
      </c>
      <c r="AM707" s="286"/>
      <c r="AO707" s="330" t="s">
        <v>5054</v>
      </c>
    </row>
    <row r="708" spans="1:41">
      <c r="A708" s="587">
        <f t="shared" si="107"/>
        <v>705</v>
      </c>
      <c r="B708" s="330" t="s">
        <v>1643</v>
      </c>
      <c r="C708" s="330" t="s">
        <v>5058</v>
      </c>
      <c r="D708" s="330" t="s">
        <v>1662</v>
      </c>
      <c r="E708" s="330" t="s">
        <v>1918</v>
      </c>
      <c r="F708" s="330" t="s">
        <v>1647</v>
      </c>
      <c r="G708" s="562">
        <v>1114</v>
      </c>
      <c r="H708" s="562">
        <v>683.3</v>
      </c>
      <c r="I708" s="562">
        <v>795.57</v>
      </c>
      <c r="J708" s="561" t="s">
        <v>1810</v>
      </c>
      <c r="K708" s="330" t="s">
        <v>5059</v>
      </c>
      <c r="L708" s="330" t="s">
        <v>5060</v>
      </c>
      <c r="M708" s="330" t="s">
        <v>5061</v>
      </c>
      <c r="N708" s="330" t="s">
        <v>5062</v>
      </c>
      <c r="O708" s="395">
        <v>45454</v>
      </c>
      <c r="P708" s="333">
        <v>6337489</v>
      </c>
      <c r="Q708" s="330" t="s">
        <v>1653</v>
      </c>
      <c r="R708" s="562">
        <v>0</v>
      </c>
      <c r="S708" s="333">
        <v>0</v>
      </c>
      <c r="T708" s="333">
        <v>-2314619.5500000012</v>
      </c>
      <c r="U708" s="333">
        <f t="shared" ref="U708:U771" si="114">SUM(R708:T708)</f>
        <v>-2314619.5500000012</v>
      </c>
      <c r="V708" s="333">
        <v>350000</v>
      </c>
      <c r="W708" s="333">
        <v>0</v>
      </c>
      <c r="X708" s="333">
        <v>0</v>
      </c>
      <c r="Y708" s="333">
        <v>0</v>
      </c>
      <c r="Z708" s="333">
        <v>0</v>
      </c>
      <c r="AA708" s="333">
        <v>0</v>
      </c>
      <c r="AB708" s="333">
        <v>0</v>
      </c>
      <c r="AC708" s="333">
        <v>0</v>
      </c>
      <c r="AD708" s="333">
        <v>0</v>
      </c>
      <c r="AE708" s="333"/>
      <c r="AF708" s="333"/>
      <c r="AG708" s="333">
        <f t="shared" ref="AG708:AG771" si="115">SUM(U708:AF708)</f>
        <v>-1964619.5500000012</v>
      </c>
      <c r="AH708" s="330"/>
      <c r="AI708" s="330">
        <v>0</v>
      </c>
      <c r="AJ708" s="396">
        <f t="shared" si="106"/>
        <v>-1964619.5500000012</v>
      </c>
      <c r="AK708" s="563"/>
      <c r="AL708" s="285">
        <f t="shared" si="113"/>
        <v>0</v>
      </c>
      <c r="AM708" s="286"/>
      <c r="AO708" s="330" t="s">
        <v>5059</v>
      </c>
    </row>
    <row r="709" spans="1:41">
      <c r="A709" s="587">
        <f t="shared" si="107"/>
        <v>706</v>
      </c>
      <c r="B709" s="330" t="s">
        <v>1643</v>
      </c>
      <c r="C709" s="330" t="s">
        <v>5063</v>
      </c>
      <c r="D709" s="330" t="s">
        <v>1655</v>
      </c>
      <c r="E709" s="330" t="s">
        <v>1705</v>
      </c>
      <c r="F709" s="330" t="s">
        <v>1647</v>
      </c>
      <c r="G709" s="562">
        <v>1114</v>
      </c>
      <c r="H709" s="562">
        <v>683.3</v>
      </c>
      <c r="I709" s="562">
        <v>795.57</v>
      </c>
      <c r="J709" s="561" t="s">
        <v>1648</v>
      </c>
      <c r="K709" s="330" t="s">
        <v>5064</v>
      </c>
      <c r="L709" s="330" t="s">
        <v>5065</v>
      </c>
      <c r="M709" s="330" t="s">
        <v>5066</v>
      </c>
      <c r="N709" s="330" t="s">
        <v>12</v>
      </c>
      <c r="O709" s="395"/>
      <c r="P709" s="333">
        <v>6870476</v>
      </c>
      <c r="Q709" s="330" t="s">
        <v>1660</v>
      </c>
      <c r="R709" s="562">
        <v>0</v>
      </c>
      <c r="S709" s="333">
        <v>0</v>
      </c>
      <c r="T709" s="333">
        <v>-535020</v>
      </c>
      <c r="U709" s="333">
        <f t="shared" si="114"/>
        <v>-535020</v>
      </c>
      <c r="V709" s="333">
        <v>0</v>
      </c>
      <c r="W709" s="333">
        <v>0</v>
      </c>
      <c r="X709" s="333">
        <v>0</v>
      </c>
      <c r="Y709" s="333">
        <v>0</v>
      </c>
      <c r="Z709" s="333">
        <v>0</v>
      </c>
      <c r="AA709" s="333">
        <v>0</v>
      </c>
      <c r="AB709" s="333">
        <v>0</v>
      </c>
      <c r="AC709" s="333">
        <v>0</v>
      </c>
      <c r="AD709" s="333">
        <v>510020</v>
      </c>
      <c r="AE709" s="333"/>
      <c r="AF709" s="333"/>
      <c r="AG709" s="333">
        <f t="shared" si="115"/>
        <v>-25000</v>
      </c>
      <c r="AH709" s="330"/>
      <c r="AI709" s="330">
        <v>0</v>
      </c>
      <c r="AJ709" s="396">
        <f t="shared" ref="AJ709:AJ772" si="116">SUM(U709:AE709)</f>
        <v>-25000</v>
      </c>
      <c r="AK709" s="563"/>
      <c r="AL709" s="285">
        <f t="shared" si="113"/>
        <v>0</v>
      </c>
      <c r="AM709" s="286"/>
      <c r="AO709" s="330" t="s">
        <v>5064</v>
      </c>
    </row>
    <row r="710" spans="1:41">
      <c r="A710" s="587">
        <f t="shared" ref="A710:A773" si="117">A709+1</f>
        <v>707</v>
      </c>
      <c r="B710" s="330" t="s">
        <v>1643</v>
      </c>
      <c r="C710" s="330" t="s">
        <v>5067</v>
      </c>
      <c r="D710" s="330" t="s">
        <v>2153</v>
      </c>
      <c r="E710" s="330" t="s">
        <v>3012</v>
      </c>
      <c r="F710" s="330" t="s">
        <v>1647</v>
      </c>
      <c r="G710" s="562">
        <v>1114</v>
      </c>
      <c r="H710" s="562">
        <v>683.3</v>
      </c>
      <c r="I710" s="562">
        <v>795.57</v>
      </c>
      <c r="J710" s="561" t="s">
        <v>1648</v>
      </c>
      <c r="K710" s="330" t="s">
        <v>5068</v>
      </c>
      <c r="L710" s="330" t="s">
        <v>5069</v>
      </c>
      <c r="M710" s="330" t="s">
        <v>5070</v>
      </c>
      <c r="N710" s="330" t="s">
        <v>5071</v>
      </c>
      <c r="O710" s="395">
        <v>45448</v>
      </c>
      <c r="P710" s="333">
        <v>6446381</v>
      </c>
      <c r="Q710" s="330" t="s">
        <v>1653</v>
      </c>
      <c r="R710" s="562">
        <v>0</v>
      </c>
      <c r="S710" s="333">
        <v>0</v>
      </c>
      <c r="T710" s="333">
        <v>-1998376.0900000008</v>
      </c>
      <c r="U710" s="333">
        <f t="shared" si="114"/>
        <v>-1998376.0900000008</v>
      </c>
      <c r="V710" s="333">
        <v>0</v>
      </c>
      <c r="W710" s="333">
        <v>0</v>
      </c>
      <c r="X710" s="333">
        <v>0</v>
      </c>
      <c r="Y710" s="333">
        <v>0</v>
      </c>
      <c r="Z710" s="333">
        <v>0</v>
      </c>
      <c r="AA710" s="333">
        <v>0</v>
      </c>
      <c r="AB710" s="333">
        <v>0</v>
      </c>
      <c r="AC710" s="333">
        <v>0</v>
      </c>
      <c r="AD710" s="333">
        <v>0</v>
      </c>
      <c r="AE710" s="333"/>
      <c r="AF710" s="333"/>
      <c r="AG710" s="333">
        <f t="shared" si="115"/>
        <v>-1998376.0900000008</v>
      </c>
      <c r="AH710" s="330"/>
      <c r="AI710" s="330">
        <v>0</v>
      </c>
      <c r="AJ710" s="396">
        <f t="shared" si="116"/>
        <v>-1998376.0900000008</v>
      </c>
      <c r="AK710" s="563"/>
      <c r="AL710" s="285">
        <f t="shared" ref="AL710:AL773" si="118">+AC710-AI710</f>
        <v>0</v>
      </c>
      <c r="AM710" s="286"/>
      <c r="AO710" s="330" t="s">
        <v>5068</v>
      </c>
    </row>
    <row r="711" spans="1:41">
      <c r="A711" s="587">
        <f t="shared" si="117"/>
        <v>708</v>
      </c>
      <c r="B711" s="330" t="s">
        <v>1643</v>
      </c>
      <c r="C711" s="330" t="s">
        <v>5072</v>
      </c>
      <c r="D711" s="330" t="s">
        <v>1746</v>
      </c>
      <c r="E711" s="330" t="s">
        <v>2907</v>
      </c>
      <c r="F711" s="330" t="s">
        <v>1647</v>
      </c>
      <c r="G711" s="562">
        <v>1012</v>
      </c>
      <c r="H711" s="562">
        <v>653.59</v>
      </c>
      <c r="I711" s="562">
        <v>723.02</v>
      </c>
      <c r="J711" s="561" t="s">
        <v>1648</v>
      </c>
      <c r="K711" s="330" t="s">
        <v>5073</v>
      </c>
      <c r="L711" s="330" t="s">
        <v>5074</v>
      </c>
      <c r="M711" s="330" t="s">
        <v>5075</v>
      </c>
      <c r="N711" s="330" t="s">
        <v>5076</v>
      </c>
      <c r="O711" s="395">
        <v>45437</v>
      </c>
      <c r="P711" s="333">
        <v>5687429</v>
      </c>
      <c r="Q711" s="330" t="s">
        <v>1653</v>
      </c>
      <c r="R711" s="562">
        <v>0</v>
      </c>
      <c r="S711" s="333">
        <v>0</v>
      </c>
      <c r="T711" s="333">
        <v>-1706229.56</v>
      </c>
      <c r="U711" s="333">
        <f t="shared" si="114"/>
        <v>-1706229.56</v>
      </c>
      <c r="V711" s="333">
        <v>0</v>
      </c>
      <c r="W711" s="333">
        <v>0</v>
      </c>
      <c r="X711" s="333">
        <v>0</v>
      </c>
      <c r="Y711" s="333">
        <v>0</v>
      </c>
      <c r="Z711" s="333">
        <v>0</v>
      </c>
      <c r="AA711" s="333">
        <v>0</v>
      </c>
      <c r="AB711" s="333">
        <v>0</v>
      </c>
      <c r="AC711" s="333">
        <v>0</v>
      </c>
      <c r="AD711" s="333">
        <v>0</v>
      </c>
      <c r="AE711" s="333"/>
      <c r="AF711" s="333"/>
      <c r="AG711" s="333">
        <f t="shared" si="115"/>
        <v>-1706229.56</v>
      </c>
      <c r="AH711" s="330"/>
      <c r="AI711" s="330">
        <v>0</v>
      </c>
      <c r="AJ711" s="396">
        <f t="shared" si="116"/>
        <v>-1706229.56</v>
      </c>
      <c r="AK711" s="563"/>
      <c r="AL711" s="285">
        <f t="shared" si="118"/>
        <v>0</v>
      </c>
      <c r="AM711" s="286"/>
      <c r="AO711" s="330" t="s">
        <v>5073</v>
      </c>
    </row>
    <row r="712" spans="1:41">
      <c r="A712" s="587">
        <f t="shared" si="117"/>
        <v>709</v>
      </c>
      <c r="B712" s="330" t="s">
        <v>1643</v>
      </c>
      <c r="C712" s="330" t="s">
        <v>5077</v>
      </c>
      <c r="D712" s="330" t="s">
        <v>1662</v>
      </c>
      <c r="E712" s="330" t="s">
        <v>2212</v>
      </c>
      <c r="F712" s="330" t="s">
        <v>1786</v>
      </c>
      <c r="G712" s="562">
        <v>1265</v>
      </c>
      <c r="H712" s="562">
        <v>813.33</v>
      </c>
      <c r="I712" s="562">
        <v>903.31</v>
      </c>
      <c r="J712" s="561" t="s">
        <v>1648</v>
      </c>
      <c r="K712" s="330" t="s">
        <v>5078</v>
      </c>
      <c r="L712" s="330" t="s">
        <v>5079</v>
      </c>
      <c r="M712" s="330" t="s">
        <v>5080</v>
      </c>
      <c r="N712" s="330" t="s">
        <v>5081</v>
      </c>
      <c r="O712" s="395">
        <v>45440</v>
      </c>
      <c r="P712" s="333">
        <v>7164190</v>
      </c>
      <c r="Q712" s="330" t="s">
        <v>1653</v>
      </c>
      <c r="R712" s="562">
        <v>0</v>
      </c>
      <c r="S712" s="333">
        <v>0</v>
      </c>
      <c r="T712" s="333">
        <v>-2214996.040000001</v>
      </c>
      <c r="U712" s="333">
        <f t="shared" si="114"/>
        <v>-2214996.040000001</v>
      </c>
      <c r="V712" s="333">
        <v>0</v>
      </c>
      <c r="W712" s="333">
        <v>0</v>
      </c>
      <c r="X712" s="333">
        <v>0</v>
      </c>
      <c r="Y712" s="333">
        <v>0</v>
      </c>
      <c r="Z712" s="333">
        <v>0</v>
      </c>
      <c r="AA712" s="333">
        <v>0</v>
      </c>
      <c r="AB712" s="333">
        <v>0</v>
      </c>
      <c r="AC712" s="333">
        <v>-0.1000000000003638</v>
      </c>
      <c r="AD712" s="333">
        <v>0</v>
      </c>
      <c r="AE712" s="333"/>
      <c r="AF712" s="333"/>
      <c r="AG712" s="333">
        <f t="shared" si="115"/>
        <v>-2214996.1400000011</v>
      </c>
      <c r="AH712" s="330"/>
      <c r="AI712" s="330">
        <v>0.1000000000003638</v>
      </c>
      <c r="AJ712" s="396">
        <f t="shared" si="116"/>
        <v>-2214996.1400000011</v>
      </c>
      <c r="AK712" s="563"/>
      <c r="AL712" s="285">
        <f t="shared" ref="AL712:AL713" si="119">+AC712+AI712</f>
        <v>0</v>
      </c>
      <c r="AM712" s="286"/>
      <c r="AO712" s="330" t="s">
        <v>5078</v>
      </c>
    </row>
    <row r="713" spans="1:41">
      <c r="A713" s="587">
        <f t="shared" si="117"/>
        <v>710</v>
      </c>
      <c r="B713" s="330" t="s">
        <v>1643</v>
      </c>
      <c r="C713" s="330" t="s">
        <v>5082</v>
      </c>
      <c r="D713" s="330" t="s">
        <v>1655</v>
      </c>
      <c r="E713" s="330" t="s">
        <v>2274</v>
      </c>
      <c r="F713" s="330" t="s">
        <v>1647</v>
      </c>
      <c r="G713" s="562">
        <v>1012</v>
      </c>
      <c r="H713" s="562">
        <v>653.59</v>
      </c>
      <c r="I713" s="562">
        <v>723.02</v>
      </c>
      <c r="J713" s="561" t="s">
        <v>1679</v>
      </c>
      <c r="K713" s="330" t="s">
        <v>5083</v>
      </c>
      <c r="L713" s="330" t="s">
        <v>5084</v>
      </c>
      <c r="M713" s="330" t="s">
        <v>5085</v>
      </c>
      <c r="N713" s="330" t="s">
        <v>12</v>
      </c>
      <c r="O713" s="395"/>
      <c r="P713" s="333">
        <v>6098190</v>
      </c>
      <c r="Q713" s="330" t="s">
        <v>1660</v>
      </c>
      <c r="R713" s="562">
        <v>0</v>
      </c>
      <c r="S713" s="333">
        <v>0</v>
      </c>
      <c r="T713" s="333">
        <v>-627926</v>
      </c>
      <c r="U713" s="333">
        <f t="shared" si="114"/>
        <v>-627926</v>
      </c>
      <c r="V713" s="333">
        <v>0</v>
      </c>
      <c r="W713" s="333">
        <v>0</v>
      </c>
      <c r="X713" s="333">
        <v>0</v>
      </c>
      <c r="Y713" s="333">
        <v>0</v>
      </c>
      <c r="Z713" s="333">
        <v>0</v>
      </c>
      <c r="AA713" s="333">
        <v>0</v>
      </c>
      <c r="AB713" s="333">
        <v>0</v>
      </c>
      <c r="AC713" s="333">
        <v>-12572</v>
      </c>
      <c r="AD713" s="333">
        <v>634212</v>
      </c>
      <c r="AE713" s="333"/>
      <c r="AF713" s="333"/>
      <c r="AG713" s="333">
        <f t="shared" si="115"/>
        <v>-6286</v>
      </c>
      <c r="AH713" s="330"/>
      <c r="AI713" s="330">
        <v>12572</v>
      </c>
      <c r="AJ713" s="396">
        <f t="shared" si="116"/>
        <v>-6286</v>
      </c>
      <c r="AK713" s="563"/>
      <c r="AL713" s="285">
        <f t="shared" si="119"/>
        <v>0</v>
      </c>
      <c r="AM713" s="286"/>
      <c r="AO713" s="330" t="s">
        <v>5083</v>
      </c>
    </row>
    <row r="714" spans="1:41">
      <c r="A714" s="587">
        <f t="shared" si="117"/>
        <v>711</v>
      </c>
      <c r="B714" s="330" t="s">
        <v>1643</v>
      </c>
      <c r="C714" s="330" t="s">
        <v>5086</v>
      </c>
      <c r="D714" s="330" t="s">
        <v>1746</v>
      </c>
      <c r="E714" s="330" t="s">
        <v>2368</v>
      </c>
      <c r="F714" s="330" t="s">
        <v>1647</v>
      </c>
      <c r="G714" s="562">
        <v>1114</v>
      </c>
      <c r="H714" s="562">
        <v>683.3</v>
      </c>
      <c r="I714" s="562">
        <v>795.57</v>
      </c>
      <c r="J714" s="561" t="s">
        <v>1810</v>
      </c>
      <c r="K714" s="330" t="s">
        <v>5087</v>
      </c>
      <c r="L714" s="330" t="s">
        <v>5088</v>
      </c>
      <c r="M714" s="330" t="s">
        <v>5089</v>
      </c>
      <c r="N714" s="330" t="s">
        <v>5090</v>
      </c>
      <c r="O714" s="395">
        <v>45433</v>
      </c>
      <c r="P714" s="333">
        <v>6320782</v>
      </c>
      <c r="Q714" s="330" t="s">
        <v>1653</v>
      </c>
      <c r="R714" s="562">
        <v>0</v>
      </c>
      <c r="S714" s="333">
        <v>0</v>
      </c>
      <c r="T714" s="333">
        <v>-1762234.08</v>
      </c>
      <c r="U714" s="333">
        <f t="shared" si="114"/>
        <v>-1762234.08</v>
      </c>
      <c r="V714" s="333">
        <v>-47208</v>
      </c>
      <c r="W714" s="333">
        <v>0</v>
      </c>
      <c r="X714" s="333">
        <v>0</v>
      </c>
      <c r="Y714" s="333">
        <v>0</v>
      </c>
      <c r="Z714" s="333">
        <v>0</v>
      </c>
      <c r="AA714" s="333">
        <v>0</v>
      </c>
      <c r="AB714" s="333">
        <v>0</v>
      </c>
      <c r="AC714" s="333">
        <v>0</v>
      </c>
      <c r="AD714" s="333">
        <v>0</v>
      </c>
      <c r="AE714" s="333"/>
      <c r="AF714" s="333"/>
      <c r="AG714" s="333">
        <f t="shared" si="115"/>
        <v>-1809442.08</v>
      </c>
      <c r="AH714" s="330"/>
      <c r="AI714" s="330">
        <v>0</v>
      </c>
      <c r="AJ714" s="396">
        <f t="shared" si="116"/>
        <v>-1809442.08</v>
      </c>
      <c r="AK714" s="563"/>
      <c r="AL714" s="285">
        <f t="shared" si="118"/>
        <v>0</v>
      </c>
      <c r="AM714" s="286"/>
      <c r="AO714" s="330" t="s">
        <v>5087</v>
      </c>
    </row>
    <row r="715" spans="1:41">
      <c r="A715" s="587">
        <f t="shared" si="117"/>
        <v>712</v>
      </c>
      <c r="B715" s="330" t="s">
        <v>1643</v>
      </c>
      <c r="C715" s="330" t="s">
        <v>5091</v>
      </c>
      <c r="D715" s="330" t="s">
        <v>1704</v>
      </c>
      <c r="E715" s="330" t="s">
        <v>2600</v>
      </c>
      <c r="F715" s="330" t="s">
        <v>1647</v>
      </c>
      <c r="G715" s="562">
        <v>1265</v>
      </c>
      <c r="H715" s="562">
        <v>813.33</v>
      </c>
      <c r="I715" s="562">
        <v>903.31</v>
      </c>
      <c r="J715" s="561" t="s">
        <v>1679</v>
      </c>
      <c r="K715" s="330" t="s">
        <v>5092</v>
      </c>
      <c r="L715" s="330" t="s">
        <v>5093</v>
      </c>
      <c r="M715" s="330" t="s">
        <v>5094</v>
      </c>
      <c r="N715" s="330" t="s">
        <v>5095</v>
      </c>
      <c r="O715" s="395">
        <v>45483</v>
      </c>
      <c r="P715" s="333">
        <v>7316952</v>
      </c>
      <c r="Q715" s="330" t="s">
        <v>1653</v>
      </c>
      <c r="R715" s="562">
        <v>0</v>
      </c>
      <c r="S715" s="333">
        <v>0</v>
      </c>
      <c r="T715" s="333">
        <v>-1883254.24</v>
      </c>
      <c r="U715" s="333">
        <f t="shared" si="114"/>
        <v>-1883254.24</v>
      </c>
      <c r="V715" s="333">
        <v>-385000</v>
      </c>
      <c r="W715" s="333">
        <v>0</v>
      </c>
      <c r="X715" s="333">
        <v>0</v>
      </c>
      <c r="Y715" s="333">
        <v>0</v>
      </c>
      <c r="Z715" s="333">
        <v>0</v>
      </c>
      <c r="AA715" s="333">
        <v>0</v>
      </c>
      <c r="AB715" s="333">
        <v>0</v>
      </c>
      <c r="AC715" s="333">
        <v>0</v>
      </c>
      <c r="AD715" s="333">
        <v>0</v>
      </c>
      <c r="AE715" s="333"/>
      <c r="AF715" s="333"/>
      <c r="AG715" s="333">
        <f t="shared" si="115"/>
        <v>-2268254.2400000002</v>
      </c>
      <c r="AH715" s="330"/>
      <c r="AI715" s="330">
        <v>0</v>
      </c>
      <c r="AJ715" s="396">
        <f t="shared" si="116"/>
        <v>-2268254.2400000002</v>
      </c>
      <c r="AK715" s="563"/>
      <c r="AL715" s="285">
        <f t="shared" si="118"/>
        <v>0</v>
      </c>
      <c r="AM715" s="286"/>
      <c r="AO715" s="330" t="s">
        <v>5092</v>
      </c>
    </row>
    <row r="716" spans="1:41">
      <c r="A716" s="587">
        <f t="shared" si="117"/>
        <v>713</v>
      </c>
      <c r="B716" s="330" t="s">
        <v>1643</v>
      </c>
      <c r="C716" s="330" t="s">
        <v>5096</v>
      </c>
      <c r="D716" s="330" t="s">
        <v>1704</v>
      </c>
      <c r="E716" s="330" t="s">
        <v>2388</v>
      </c>
      <c r="F716" s="330" t="s">
        <v>1647</v>
      </c>
      <c r="G716" s="562">
        <v>1114</v>
      </c>
      <c r="H716" s="562">
        <v>683.3</v>
      </c>
      <c r="I716" s="562">
        <v>795.57</v>
      </c>
      <c r="J716" s="561" t="s">
        <v>1648</v>
      </c>
      <c r="K716" s="330" t="s">
        <v>5097</v>
      </c>
      <c r="L716" s="330" t="s">
        <v>5098</v>
      </c>
      <c r="M716" s="330" t="s">
        <v>5099</v>
      </c>
      <c r="N716" s="330" t="s">
        <v>5100</v>
      </c>
      <c r="O716" s="395">
        <v>45483</v>
      </c>
      <c r="P716" s="333">
        <v>6491048</v>
      </c>
      <c r="Q716" s="330" t="s">
        <v>1653</v>
      </c>
      <c r="R716" s="562">
        <v>0</v>
      </c>
      <c r="S716" s="333">
        <v>0</v>
      </c>
      <c r="T716" s="333">
        <v>-2012223.280000001</v>
      </c>
      <c r="U716" s="333">
        <f t="shared" si="114"/>
        <v>-2012223.280000001</v>
      </c>
      <c r="V716" s="333">
        <v>0</v>
      </c>
      <c r="W716" s="333">
        <v>0</v>
      </c>
      <c r="X716" s="333">
        <v>0</v>
      </c>
      <c r="Y716" s="333">
        <v>0</v>
      </c>
      <c r="Z716" s="333">
        <v>0</v>
      </c>
      <c r="AA716" s="333">
        <v>0</v>
      </c>
      <c r="AB716" s="333">
        <v>0</v>
      </c>
      <c r="AC716" s="333">
        <v>0</v>
      </c>
      <c r="AD716" s="333">
        <v>0</v>
      </c>
      <c r="AE716" s="333"/>
      <c r="AF716" s="333"/>
      <c r="AG716" s="333">
        <f t="shared" si="115"/>
        <v>-2012223.280000001</v>
      </c>
      <c r="AH716" s="330"/>
      <c r="AI716" s="330">
        <v>0</v>
      </c>
      <c r="AJ716" s="396">
        <f t="shared" si="116"/>
        <v>-2012223.280000001</v>
      </c>
      <c r="AK716" s="563"/>
      <c r="AL716" s="285">
        <f t="shared" si="118"/>
        <v>0</v>
      </c>
      <c r="AM716" s="286"/>
      <c r="AO716" s="330" t="s">
        <v>5097</v>
      </c>
    </row>
    <row r="717" spans="1:41">
      <c r="A717" s="587">
        <f t="shared" si="117"/>
        <v>714</v>
      </c>
      <c r="B717" s="330" t="s">
        <v>1643</v>
      </c>
      <c r="C717" s="330" t="s">
        <v>5101</v>
      </c>
      <c r="D717" s="330" t="s">
        <v>1645</v>
      </c>
      <c r="E717" s="330" t="s">
        <v>3047</v>
      </c>
      <c r="F717" s="330" t="s">
        <v>1647</v>
      </c>
      <c r="G717" s="562">
        <v>1012</v>
      </c>
      <c r="H717" s="562">
        <v>653.59</v>
      </c>
      <c r="I717" s="562">
        <v>723.02</v>
      </c>
      <c r="J717" s="561" t="s">
        <v>1810</v>
      </c>
      <c r="K717" s="330" t="s">
        <v>5102</v>
      </c>
      <c r="L717" s="330" t="s">
        <v>5103</v>
      </c>
      <c r="M717" s="330" t="s">
        <v>5104</v>
      </c>
      <c r="N717" s="330" t="s">
        <v>5105</v>
      </c>
      <c r="O717" s="395">
        <v>45406</v>
      </c>
      <c r="P717" s="333">
        <v>5683644</v>
      </c>
      <c r="Q717" s="330" t="s">
        <v>1653</v>
      </c>
      <c r="R717" s="562">
        <v>0</v>
      </c>
      <c r="S717" s="333">
        <v>0</v>
      </c>
      <c r="T717" s="333">
        <v>-1563767.3399999999</v>
      </c>
      <c r="U717" s="333">
        <f t="shared" si="114"/>
        <v>-1563767.3399999999</v>
      </c>
      <c r="V717" s="333">
        <v>-191019</v>
      </c>
      <c r="W717" s="333">
        <v>0</v>
      </c>
      <c r="X717" s="333">
        <v>0</v>
      </c>
      <c r="Y717" s="333">
        <v>0</v>
      </c>
      <c r="Z717" s="333">
        <v>0</v>
      </c>
      <c r="AA717" s="333">
        <v>0</v>
      </c>
      <c r="AB717" s="333">
        <v>0</v>
      </c>
      <c r="AC717" s="333">
        <v>-2381</v>
      </c>
      <c r="AD717" s="333">
        <v>0</v>
      </c>
      <c r="AE717" s="333"/>
      <c r="AF717" s="333"/>
      <c r="AG717" s="333">
        <f t="shared" si="115"/>
        <v>-1757167.3399999999</v>
      </c>
      <c r="AH717" s="330"/>
      <c r="AI717" s="330">
        <v>2381</v>
      </c>
      <c r="AJ717" s="396">
        <f t="shared" si="116"/>
        <v>-1757167.3399999999</v>
      </c>
      <c r="AK717" s="563"/>
      <c r="AL717" s="285">
        <f>+AC717+AI717</f>
        <v>0</v>
      </c>
      <c r="AM717" s="286"/>
      <c r="AO717" s="330" t="s">
        <v>5102</v>
      </c>
    </row>
    <row r="718" spans="1:41">
      <c r="A718" s="587">
        <f t="shared" si="117"/>
        <v>715</v>
      </c>
      <c r="B718" s="330" t="s">
        <v>1643</v>
      </c>
      <c r="C718" s="330" t="s">
        <v>4375</v>
      </c>
      <c r="D718" s="330" t="s">
        <v>1662</v>
      </c>
      <c r="E718" s="330" t="s">
        <v>3416</v>
      </c>
      <c r="F718" s="330" t="s">
        <v>1671</v>
      </c>
      <c r="G718" s="562">
        <v>1375</v>
      </c>
      <c r="H718" s="562">
        <v>876.73</v>
      </c>
      <c r="I718" s="562">
        <v>982.22</v>
      </c>
      <c r="J718" s="561" t="s">
        <v>1810</v>
      </c>
      <c r="K718" s="330" t="s">
        <v>5106</v>
      </c>
      <c r="L718" s="330" t="s">
        <v>5107</v>
      </c>
      <c r="M718" s="330" t="s">
        <v>5108</v>
      </c>
      <c r="N718" s="330" t="s">
        <v>4379</v>
      </c>
      <c r="O718" s="395">
        <v>45506</v>
      </c>
      <c r="P718" s="333">
        <v>7696381</v>
      </c>
      <c r="Q718" s="330" t="s">
        <v>1660</v>
      </c>
      <c r="R718" s="562">
        <v>0</v>
      </c>
      <c r="S718" s="333">
        <v>0</v>
      </c>
      <c r="T718" s="333">
        <v>0</v>
      </c>
      <c r="U718" s="333">
        <f t="shared" si="114"/>
        <v>0</v>
      </c>
      <c r="V718" s="333">
        <v>0</v>
      </c>
      <c r="W718" s="333">
        <v>0</v>
      </c>
      <c r="X718" s="333">
        <v>0</v>
      </c>
      <c r="Y718" s="333">
        <v>0</v>
      </c>
      <c r="Z718" s="333">
        <v>0</v>
      </c>
      <c r="AA718" s="333">
        <v>0</v>
      </c>
      <c r="AB718" s="333">
        <v>0</v>
      </c>
      <c r="AC718" s="333">
        <v>0</v>
      </c>
      <c r="AD718" s="333">
        <v>0</v>
      </c>
      <c r="AE718" s="333"/>
      <c r="AF718" s="333"/>
      <c r="AG718" s="333">
        <f t="shared" si="115"/>
        <v>0</v>
      </c>
      <c r="AH718" s="330"/>
      <c r="AI718" s="330">
        <v>0</v>
      </c>
      <c r="AJ718" s="396">
        <f t="shared" si="116"/>
        <v>0</v>
      </c>
      <c r="AK718" s="563"/>
      <c r="AL718" s="285">
        <f t="shared" si="118"/>
        <v>0</v>
      </c>
      <c r="AM718" s="286"/>
      <c r="AO718" s="330" t="s">
        <v>5106</v>
      </c>
    </row>
    <row r="719" spans="1:41">
      <c r="A719" s="587">
        <f t="shared" si="117"/>
        <v>716</v>
      </c>
      <c r="B719" s="330" t="s">
        <v>1643</v>
      </c>
      <c r="C719" s="330" t="s">
        <v>5109</v>
      </c>
      <c r="D719" s="330" t="s">
        <v>1704</v>
      </c>
      <c r="E719" s="330" t="s">
        <v>4049</v>
      </c>
      <c r="F719" s="330" t="s">
        <v>3589</v>
      </c>
      <c r="G719" s="562">
        <v>1498</v>
      </c>
      <c r="H719" s="562">
        <v>954.87</v>
      </c>
      <c r="I719" s="562">
        <v>1069.73</v>
      </c>
      <c r="J719" s="561" t="s">
        <v>1679</v>
      </c>
      <c r="K719" s="330" t="s">
        <v>5110</v>
      </c>
      <c r="L719" s="330" t="s">
        <v>5111</v>
      </c>
      <c r="M719" s="330" t="s">
        <v>5112</v>
      </c>
      <c r="N719" s="330" t="s">
        <v>5113</v>
      </c>
      <c r="O719" s="395">
        <v>45880</v>
      </c>
      <c r="P719" s="333">
        <v>9616000</v>
      </c>
      <c r="Q719" s="330" t="s">
        <v>1653</v>
      </c>
      <c r="R719" s="562">
        <v>0</v>
      </c>
      <c r="S719" s="333">
        <v>0</v>
      </c>
      <c r="T719" s="333">
        <v>0</v>
      </c>
      <c r="U719" s="333">
        <f t="shared" si="114"/>
        <v>0</v>
      </c>
      <c r="V719" s="333">
        <v>-1507994</v>
      </c>
      <c r="W719" s="333">
        <v>0</v>
      </c>
      <c r="X719" s="333">
        <v>0</v>
      </c>
      <c r="Y719" s="333">
        <v>0</v>
      </c>
      <c r="Z719" s="333">
        <v>607000</v>
      </c>
      <c r="AA719" s="333">
        <v>-607000</v>
      </c>
      <c r="AB719" s="333">
        <v>0</v>
      </c>
      <c r="AC719" s="333">
        <v>144240</v>
      </c>
      <c r="AD719" s="333">
        <v>0</v>
      </c>
      <c r="AE719" s="333"/>
      <c r="AF719" s="333"/>
      <c r="AG719" s="333">
        <f t="shared" si="115"/>
        <v>-1363754</v>
      </c>
      <c r="AH719" s="330"/>
      <c r="AI719" s="330">
        <v>-144240</v>
      </c>
      <c r="AJ719" s="396">
        <f t="shared" si="116"/>
        <v>-1363754</v>
      </c>
      <c r="AK719" s="563"/>
      <c r="AL719" s="285">
        <f>+AC719+AI719</f>
        <v>0</v>
      </c>
      <c r="AM719" s="286"/>
      <c r="AO719" s="330" t="s">
        <v>5110</v>
      </c>
    </row>
    <row r="720" spans="1:41">
      <c r="A720" s="587">
        <f t="shared" si="117"/>
        <v>717</v>
      </c>
      <c r="B720" s="330" t="s">
        <v>1643</v>
      </c>
      <c r="C720" s="330" t="s">
        <v>5114</v>
      </c>
      <c r="D720" s="330" t="s">
        <v>1662</v>
      </c>
      <c r="E720" s="330" t="s">
        <v>1958</v>
      </c>
      <c r="F720" s="330" t="s">
        <v>1671</v>
      </c>
      <c r="G720" s="562">
        <v>1375</v>
      </c>
      <c r="H720" s="562">
        <v>876.73</v>
      </c>
      <c r="I720" s="562">
        <v>982.22</v>
      </c>
      <c r="J720" s="561" t="s">
        <v>1810</v>
      </c>
      <c r="K720" s="330" t="s">
        <v>5115</v>
      </c>
      <c r="L720" s="330" t="s">
        <v>5116</v>
      </c>
      <c r="M720" s="330" t="s">
        <v>5117</v>
      </c>
      <c r="N720" s="330" t="s">
        <v>2066</v>
      </c>
      <c r="O720" s="395"/>
      <c r="P720" s="333">
        <v>7377417</v>
      </c>
      <c r="Q720" s="330" t="s">
        <v>1660</v>
      </c>
      <c r="R720" s="562">
        <v>0</v>
      </c>
      <c r="S720" s="333">
        <v>0</v>
      </c>
      <c r="T720" s="333">
        <v>0</v>
      </c>
      <c r="U720" s="333">
        <f t="shared" si="114"/>
        <v>0</v>
      </c>
      <c r="V720" s="333">
        <v>0</v>
      </c>
      <c r="W720" s="333">
        <v>0</v>
      </c>
      <c r="X720" s="333">
        <v>0</v>
      </c>
      <c r="Y720" s="333">
        <v>0</v>
      </c>
      <c r="Z720" s="333">
        <v>0</v>
      </c>
      <c r="AA720" s="333">
        <v>0</v>
      </c>
      <c r="AB720" s="333">
        <v>0</v>
      </c>
      <c r="AC720" s="333">
        <v>0</v>
      </c>
      <c r="AD720" s="333">
        <v>0</v>
      </c>
      <c r="AE720" s="333"/>
      <c r="AF720" s="333"/>
      <c r="AG720" s="333">
        <f t="shared" si="115"/>
        <v>0</v>
      </c>
      <c r="AH720" s="330"/>
      <c r="AI720" s="330">
        <v>0</v>
      </c>
      <c r="AJ720" s="396">
        <f t="shared" si="116"/>
        <v>0</v>
      </c>
      <c r="AK720" s="563"/>
      <c r="AL720" s="285">
        <f t="shared" si="118"/>
        <v>0</v>
      </c>
      <c r="AM720" s="286"/>
      <c r="AO720" s="330" t="s">
        <v>5115</v>
      </c>
    </row>
    <row r="721" spans="1:41">
      <c r="A721" s="587">
        <f t="shared" si="117"/>
        <v>718</v>
      </c>
      <c r="B721" s="330" t="s">
        <v>1643</v>
      </c>
      <c r="C721" s="330" t="s">
        <v>5118</v>
      </c>
      <c r="D721" s="330" t="s">
        <v>1662</v>
      </c>
      <c r="E721" s="330" t="s">
        <v>3564</v>
      </c>
      <c r="F721" s="330" t="s">
        <v>1647</v>
      </c>
      <c r="G721" s="562">
        <v>1114</v>
      </c>
      <c r="H721" s="562">
        <v>683.3</v>
      </c>
      <c r="I721" s="562">
        <v>795.57</v>
      </c>
      <c r="J721" s="561" t="s">
        <v>1810</v>
      </c>
      <c r="K721" s="330" t="s">
        <v>5119</v>
      </c>
      <c r="L721" s="330" t="s">
        <v>5120</v>
      </c>
      <c r="M721" s="330" t="s">
        <v>5121</v>
      </c>
      <c r="N721" s="330" t="s">
        <v>5122</v>
      </c>
      <c r="O721" s="395">
        <v>45433</v>
      </c>
      <c r="P721" s="333">
        <v>6270661</v>
      </c>
      <c r="Q721" s="330" t="s">
        <v>1653</v>
      </c>
      <c r="R721" s="562">
        <v>0</v>
      </c>
      <c r="S721" s="333">
        <v>0</v>
      </c>
      <c r="T721" s="333">
        <v>-1792902.0799999996</v>
      </c>
      <c r="U721" s="333">
        <f t="shared" si="114"/>
        <v>-1792902.0799999996</v>
      </c>
      <c r="V721" s="333">
        <v>-150000</v>
      </c>
      <c r="W721" s="333">
        <v>0</v>
      </c>
      <c r="X721" s="333">
        <v>0</v>
      </c>
      <c r="Y721" s="333">
        <v>0</v>
      </c>
      <c r="Z721" s="333">
        <v>0</v>
      </c>
      <c r="AA721" s="333">
        <v>0</v>
      </c>
      <c r="AB721" s="333">
        <v>0</v>
      </c>
      <c r="AC721" s="333">
        <v>0</v>
      </c>
      <c r="AD721" s="333">
        <v>0</v>
      </c>
      <c r="AE721" s="333"/>
      <c r="AF721" s="333"/>
      <c r="AG721" s="333">
        <f t="shared" si="115"/>
        <v>-1942902.0799999996</v>
      </c>
      <c r="AH721" s="330"/>
      <c r="AI721" s="330">
        <v>0</v>
      </c>
      <c r="AJ721" s="396">
        <f t="shared" si="116"/>
        <v>-1942902.0799999996</v>
      </c>
      <c r="AK721" s="563"/>
      <c r="AL721" s="285">
        <f t="shared" si="118"/>
        <v>0</v>
      </c>
      <c r="AM721" s="286"/>
      <c r="AO721" s="330" t="s">
        <v>5119</v>
      </c>
    </row>
    <row r="722" spans="1:41">
      <c r="A722" s="587">
        <f t="shared" si="117"/>
        <v>719</v>
      </c>
      <c r="B722" s="330" t="s">
        <v>1643</v>
      </c>
      <c r="C722" s="330" t="s">
        <v>5123</v>
      </c>
      <c r="D722" s="330" t="s">
        <v>1645</v>
      </c>
      <c r="E722" s="330" t="s">
        <v>2148</v>
      </c>
      <c r="F722" s="330" t="s">
        <v>1671</v>
      </c>
      <c r="G722" s="562">
        <v>1498</v>
      </c>
      <c r="H722" s="562">
        <v>954.87</v>
      </c>
      <c r="I722" s="562">
        <v>1069.73</v>
      </c>
      <c r="J722" s="561" t="s">
        <v>1648</v>
      </c>
      <c r="K722" s="330" t="s">
        <v>5124</v>
      </c>
      <c r="L722" s="330" t="s">
        <v>5125</v>
      </c>
      <c r="M722" s="330" t="s">
        <v>5126</v>
      </c>
      <c r="N722" s="330" t="s">
        <v>5127</v>
      </c>
      <c r="O722" s="395">
        <v>45657</v>
      </c>
      <c r="P722" s="333">
        <v>9330286</v>
      </c>
      <c r="Q722" s="330" t="s">
        <v>1653</v>
      </c>
      <c r="R722" s="562">
        <v>0</v>
      </c>
      <c r="S722" s="333">
        <v>0</v>
      </c>
      <c r="T722" s="333">
        <v>-2892388.5600000005</v>
      </c>
      <c r="U722" s="333">
        <f t="shared" si="114"/>
        <v>-2892388.5600000005</v>
      </c>
      <c r="V722" s="333">
        <v>0</v>
      </c>
      <c r="W722" s="333">
        <v>0</v>
      </c>
      <c r="X722" s="333">
        <v>0</v>
      </c>
      <c r="Y722" s="333">
        <v>0</v>
      </c>
      <c r="Z722" s="333">
        <v>0</v>
      </c>
      <c r="AA722" s="333">
        <v>0</v>
      </c>
      <c r="AB722" s="333">
        <v>0</v>
      </c>
      <c r="AC722" s="333">
        <v>0</v>
      </c>
      <c r="AD722" s="333">
        <v>0</v>
      </c>
      <c r="AE722" s="333"/>
      <c r="AF722" s="333"/>
      <c r="AG722" s="333">
        <f t="shared" si="115"/>
        <v>-2892388.5600000005</v>
      </c>
      <c r="AH722" s="330"/>
      <c r="AI722" s="330">
        <v>0</v>
      </c>
      <c r="AJ722" s="396">
        <f t="shared" si="116"/>
        <v>-2892388.5600000005</v>
      </c>
      <c r="AK722" s="563"/>
      <c r="AL722" s="285">
        <f t="shared" si="118"/>
        <v>0</v>
      </c>
      <c r="AM722" s="286"/>
      <c r="AO722" s="330" t="s">
        <v>5124</v>
      </c>
    </row>
    <row r="723" spans="1:41">
      <c r="A723" s="587">
        <f t="shared" si="117"/>
        <v>720</v>
      </c>
      <c r="B723" s="330" t="s">
        <v>1643</v>
      </c>
      <c r="C723" s="330" t="s">
        <v>5128</v>
      </c>
      <c r="D723" s="330" t="s">
        <v>1645</v>
      </c>
      <c r="E723" s="330" t="s">
        <v>2436</v>
      </c>
      <c r="F723" s="330" t="s">
        <v>1671</v>
      </c>
      <c r="G723" s="562">
        <v>1498</v>
      </c>
      <c r="H723" s="562">
        <v>954.87</v>
      </c>
      <c r="I723" s="562">
        <v>1069.73</v>
      </c>
      <c r="J723" s="561" t="s">
        <v>1648</v>
      </c>
      <c r="K723" s="330" t="s">
        <v>5129</v>
      </c>
      <c r="L723" s="330" t="s">
        <v>5130</v>
      </c>
      <c r="M723" s="330" t="s">
        <v>5131</v>
      </c>
      <c r="N723" s="330" t="s">
        <v>5132</v>
      </c>
      <c r="O723" s="395">
        <v>45454</v>
      </c>
      <c r="P723" s="333">
        <v>8603809</v>
      </c>
      <c r="Q723" s="330" t="s">
        <v>1653</v>
      </c>
      <c r="R723" s="562">
        <v>0</v>
      </c>
      <c r="S723" s="333">
        <v>0</v>
      </c>
      <c r="T723" s="333">
        <v>-2624163.8600000003</v>
      </c>
      <c r="U723" s="333">
        <f t="shared" si="114"/>
        <v>-2624163.8600000003</v>
      </c>
      <c r="V723" s="333">
        <v>0</v>
      </c>
      <c r="W723" s="333">
        <v>0</v>
      </c>
      <c r="X723" s="333">
        <v>0</v>
      </c>
      <c r="Y723" s="333">
        <v>0</v>
      </c>
      <c r="Z723" s="333">
        <v>0</v>
      </c>
      <c r="AA723" s="333">
        <v>0</v>
      </c>
      <c r="AB723" s="333">
        <v>0</v>
      </c>
      <c r="AC723" s="333">
        <v>-43015.959999999992</v>
      </c>
      <c r="AD723" s="333">
        <v>0</v>
      </c>
      <c r="AE723" s="333"/>
      <c r="AF723" s="333"/>
      <c r="AG723" s="333">
        <f t="shared" si="115"/>
        <v>-2667179.8200000003</v>
      </c>
      <c r="AH723" s="330"/>
      <c r="AI723" s="330">
        <v>43015.960000000006</v>
      </c>
      <c r="AJ723" s="396">
        <f t="shared" si="116"/>
        <v>-2667179.8200000003</v>
      </c>
      <c r="AK723" s="563"/>
      <c r="AL723" s="285">
        <f>+AC723+AI723</f>
        <v>0</v>
      </c>
      <c r="AM723" s="286"/>
      <c r="AO723" s="330" t="s">
        <v>5129</v>
      </c>
    </row>
    <row r="724" spans="1:41">
      <c r="A724" s="587">
        <f t="shared" si="117"/>
        <v>721</v>
      </c>
      <c r="B724" s="330" t="s">
        <v>1643</v>
      </c>
      <c r="C724" s="330" t="s">
        <v>5133</v>
      </c>
      <c r="D724" s="330" t="s">
        <v>1746</v>
      </c>
      <c r="E724" s="330" t="s">
        <v>2237</v>
      </c>
      <c r="F724" s="330" t="s">
        <v>1647</v>
      </c>
      <c r="G724" s="562">
        <v>1012</v>
      </c>
      <c r="H724" s="562">
        <v>653.59</v>
      </c>
      <c r="I724" s="562">
        <v>723.02</v>
      </c>
      <c r="J724" s="561" t="s">
        <v>1648</v>
      </c>
      <c r="K724" s="330" t="s">
        <v>5134</v>
      </c>
      <c r="L724" s="330" t="s">
        <v>5135</v>
      </c>
      <c r="M724" s="330" t="s">
        <v>5136</v>
      </c>
      <c r="N724" s="330" t="s">
        <v>5137</v>
      </c>
      <c r="O724" s="395">
        <v>45433</v>
      </c>
      <c r="P724" s="333">
        <v>5698827</v>
      </c>
      <c r="Q724" s="330" t="s">
        <v>1653</v>
      </c>
      <c r="R724" s="562">
        <v>0</v>
      </c>
      <c r="S724" s="333">
        <v>0</v>
      </c>
      <c r="T724" s="333">
        <v>-1408594.8500000003</v>
      </c>
      <c r="U724" s="333">
        <f t="shared" si="114"/>
        <v>-1408594.8500000003</v>
      </c>
      <c r="V724" s="333">
        <v>-146339</v>
      </c>
      <c r="W724" s="333">
        <v>0</v>
      </c>
      <c r="X724" s="333">
        <v>0</v>
      </c>
      <c r="Y724" s="333">
        <v>0</v>
      </c>
      <c r="Z724" s="333">
        <v>0</v>
      </c>
      <c r="AA724" s="333">
        <v>0</v>
      </c>
      <c r="AB724" s="333">
        <v>0</v>
      </c>
      <c r="AC724" s="333">
        <v>0</v>
      </c>
      <c r="AD724" s="333">
        <v>0</v>
      </c>
      <c r="AE724" s="333"/>
      <c r="AF724" s="333"/>
      <c r="AG724" s="333">
        <f t="shared" si="115"/>
        <v>-1554933.8500000003</v>
      </c>
      <c r="AH724" s="330"/>
      <c r="AI724" s="330">
        <v>0</v>
      </c>
      <c r="AJ724" s="396">
        <f t="shared" si="116"/>
        <v>-1554933.8500000003</v>
      </c>
      <c r="AK724" s="563"/>
      <c r="AL724" s="285">
        <f t="shared" si="118"/>
        <v>0</v>
      </c>
      <c r="AM724" s="286"/>
      <c r="AO724" s="330" t="s">
        <v>5134</v>
      </c>
    </row>
    <row r="725" spans="1:41">
      <c r="A725" s="587">
        <f t="shared" si="117"/>
        <v>722</v>
      </c>
      <c r="B725" s="330" t="s">
        <v>1643</v>
      </c>
      <c r="C725" s="330" t="s">
        <v>5138</v>
      </c>
      <c r="D725" s="330" t="s">
        <v>1645</v>
      </c>
      <c r="E725" s="330" t="s">
        <v>3391</v>
      </c>
      <c r="F725" s="330" t="s">
        <v>1671</v>
      </c>
      <c r="G725" s="562">
        <v>1375</v>
      </c>
      <c r="H725" s="562">
        <v>876.73</v>
      </c>
      <c r="I725" s="562">
        <v>982.22</v>
      </c>
      <c r="J725" s="561" t="s">
        <v>1648</v>
      </c>
      <c r="K725" s="330" t="s">
        <v>5139</v>
      </c>
      <c r="L725" s="330" t="s">
        <v>5140</v>
      </c>
      <c r="M725" s="330" t="s">
        <v>5141</v>
      </c>
      <c r="N725" s="330" t="s">
        <v>5142</v>
      </c>
      <c r="O725" s="395">
        <v>45433</v>
      </c>
      <c r="P725" s="333">
        <v>7819619</v>
      </c>
      <c r="Q725" s="330" t="s">
        <v>1653</v>
      </c>
      <c r="R725" s="562">
        <v>0</v>
      </c>
      <c r="S725" s="333">
        <v>0</v>
      </c>
      <c r="T725" s="333">
        <v>-2295322.2000000002</v>
      </c>
      <c r="U725" s="333">
        <f t="shared" si="114"/>
        <v>-2295322.2000000002</v>
      </c>
      <c r="V725" s="333">
        <v>0</v>
      </c>
      <c r="W725" s="333">
        <v>0</v>
      </c>
      <c r="X725" s="333">
        <v>0</v>
      </c>
      <c r="Y725" s="333">
        <v>0</v>
      </c>
      <c r="Z725" s="333">
        <v>0</v>
      </c>
      <c r="AA725" s="333">
        <v>0</v>
      </c>
      <c r="AB725" s="333">
        <v>0</v>
      </c>
      <c r="AC725" s="333">
        <v>0</v>
      </c>
      <c r="AD725" s="333">
        <v>0</v>
      </c>
      <c r="AE725" s="333"/>
      <c r="AF725" s="333"/>
      <c r="AG725" s="333">
        <f t="shared" si="115"/>
        <v>-2295322.2000000002</v>
      </c>
      <c r="AH725" s="330"/>
      <c r="AI725" s="330">
        <v>0</v>
      </c>
      <c r="AJ725" s="396">
        <f t="shared" si="116"/>
        <v>-2295322.2000000002</v>
      </c>
      <c r="AK725" s="563"/>
      <c r="AL725" s="285">
        <f t="shared" si="118"/>
        <v>0</v>
      </c>
      <c r="AM725" s="286"/>
      <c r="AO725" s="330" t="s">
        <v>5139</v>
      </c>
    </row>
    <row r="726" spans="1:41">
      <c r="A726" s="587">
        <f t="shared" si="117"/>
        <v>723</v>
      </c>
      <c r="B726" s="330" t="s">
        <v>1643</v>
      </c>
      <c r="C726" s="330" t="s">
        <v>5143</v>
      </c>
      <c r="D726" s="330" t="s">
        <v>1669</v>
      </c>
      <c r="E726" s="330" t="s">
        <v>2362</v>
      </c>
      <c r="F726" s="330" t="s">
        <v>1671</v>
      </c>
      <c r="G726" s="562">
        <v>1787</v>
      </c>
      <c r="H726" s="562">
        <v>1138.51</v>
      </c>
      <c r="I726" s="562">
        <v>1276.29</v>
      </c>
      <c r="J726" s="561" t="s">
        <v>1810</v>
      </c>
      <c r="K726" s="330" t="s">
        <v>5144</v>
      </c>
      <c r="L726" s="330" t="s">
        <v>5145</v>
      </c>
      <c r="M726" s="330" t="s">
        <v>5146</v>
      </c>
      <c r="N726" s="330" t="s">
        <v>5147</v>
      </c>
      <c r="O726" s="395">
        <v>45533</v>
      </c>
      <c r="P726" s="333">
        <v>12473143</v>
      </c>
      <c r="Q726" s="330" t="s">
        <v>1653</v>
      </c>
      <c r="R726" s="562">
        <v>0</v>
      </c>
      <c r="S726" s="333">
        <v>0</v>
      </c>
      <c r="T726" s="333">
        <v>-3860773.28</v>
      </c>
      <c r="U726" s="333">
        <f t="shared" si="114"/>
        <v>-3860773.28</v>
      </c>
      <c r="V726" s="333">
        <v>0</v>
      </c>
      <c r="W726" s="333">
        <v>0</v>
      </c>
      <c r="X726" s="333">
        <v>0</v>
      </c>
      <c r="Y726" s="333">
        <v>0</v>
      </c>
      <c r="Z726" s="333">
        <v>0</v>
      </c>
      <c r="AA726" s="333">
        <v>0</v>
      </c>
      <c r="AB726" s="333">
        <v>0</v>
      </c>
      <c r="AC726" s="333">
        <v>0</v>
      </c>
      <c r="AD726" s="333">
        <v>0</v>
      </c>
      <c r="AE726" s="333"/>
      <c r="AF726" s="333"/>
      <c r="AG726" s="333">
        <f t="shared" si="115"/>
        <v>-3860773.28</v>
      </c>
      <c r="AH726" s="330"/>
      <c r="AI726" s="330">
        <v>0</v>
      </c>
      <c r="AJ726" s="396">
        <f t="shared" si="116"/>
        <v>-3860773.28</v>
      </c>
      <c r="AK726" s="563"/>
      <c r="AL726" s="285">
        <f t="shared" si="118"/>
        <v>0</v>
      </c>
      <c r="AM726" s="286"/>
      <c r="AO726" s="330" t="s">
        <v>5144</v>
      </c>
    </row>
    <row r="727" spans="1:41">
      <c r="A727" s="587">
        <f t="shared" si="117"/>
        <v>724</v>
      </c>
      <c r="B727" s="330" t="s">
        <v>1643</v>
      </c>
      <c r="C727" s="330" t="s">
        <v>5148</v>
      </c>
      <c r="D727" s="330" t="s">
        <v>1662</v>
      </c>
      <c r="E727" s="330" t="s">
        <v>2050</v>
      </c>
      <c r="F727" s="330" t="s">
        <v>1671</v>
      </c>
      <c r="G727" s="562">
        <v>1498</v>
      </c>
      <c r="H727" s="562">
        <v>954.87</v>
      </c>
      <c r="I727" s="562">
        <v>1069.73</v>
      </c>
      <c r="J727" s="561" t="s">
        <v>1679</v>
      </c>
      <c r="K727" s="330" t="s">
        <v>5149</v>
      </c>
      <c r="L727" s="330" t="s">
        <v>5150</v>
      </c>
      <c r="M727" s="330" t="s">
        <v>5151</v>
      </c>
      <c r="N727" s="330" t="s">
        <v>5152</v>
      </c>
      <c r="O727" s="395">
        <v>45560</v>
      </c>
      <c r="P727" s="333">
        <v>9062476</v>
      </c>
      <c r="Q727" s="330" t="s">
        <v>1653</v>
      </c>
      <c r="R727" s="562">
        <v>0</v>
      </c>
      <c r="S727" s="333">
        <v>0</v>
      </c>
      <c r="T727" s="333">
        <v>-2748739.8600000003</v>
      </c>
      <c r="U727" s="333">
        <f t="shared" si="114"/>
        <v>-2748739.8600000003</v>
      </c>
      <c r="V727" s="333">
        <v>0</v>
      </c>
      <c r="W727" s="333">
        <v>0</v>
      </c>
      <c r="X727" s="333">
        <v>0</v>
      </c>
      <c r="Y727" s="333">
        <v>0</v>
      </c>
      <c r="Z727" s="333">
        <v>0</v>
      </c>
      <c r="AA727" s="333">
        <v>0</v>
      </c>
      <c r="AB727" s="333">
        <v>0</v>
      </c>
      <c r="AC727" s="333">
        <v>0</v>
      </c>
      <c r="AD727" s="333">
        <v>0</v>
      </c>
      <c r="AE727" s="333"/>
      <c r="AF727" s="333"/>
      <c r="AG727" s="333">
        <f t="shared" si="115"/>
        <v>-2748739.8600000003</v>
      </c>
      <c r="AH727" s="330"/>
      <c r="AI727" s="330">
        <v>0</v>
      </c>
      <c r="AJ727" s="396">
        <f t="shared" si="116"/>
        <v>-2748739.8600000003</v>
      </c>
      <c r="AK727" s="563"/>
      <c r="AL727" s="285">
        <f t="shared" si="118"/>
        <v>0</v>
      </c>
      <c r="AM727" s="286"/>
      <c r="AO727" s="330" t="s">
        <v>5149</v>
      </c>
    </row>
    <row r="728" spans="1:41">
      <c r="A728" s="587">
        <f t="shared" si="117"/>
        <v>725</v>
      </c>
      <c r="B728" s="330" t="s">
        <v>1643</v>
      </c>
      <c r="C728" s="330" t="s">
        <v>4467</v>
      </c>
      <c r="D728" s="330" t="s">
        <v>1645</v>
      </c>
      <c r="E728" s="330" t="s">
        <v>2353</v>
      </c>
      <c r="F728" s="330" t="s">
        <v>1671</v>
      </c>
      <c r="G728" s="562">
        <v>1375</v>
      </c>
      <c r="H728" s="562">
        <v>876.73</v>
      </c>
      <c r="I728" s="562">
        <v>982.22</v>
      </c>
      <c r="J728" s="561" t="s">
        <v>1679</v>
      </c>
      <c r="K728" s="330" t="s">
        <v>5153</v>
      </c>
      <c r="L728" s="330" t="s">
        <v>5154</v>
      </c>
      <c r="M728" s="330" t="s">
        <v>5155</v>
      </c>
      <c r="N728" s="330" t="s">
        <v>4471</v>
      </c>
      <c r="O728" s="395">
        <v>45569</v>
      </c>
      <c r="P728" s="333">
        <v>8232095</v>
      </c>
      <c r="Q728" s="330" t="s">
        <v>1653</v>
      </c>
      <c r="R728" s="562">
        <v>0</v>
      </c>
      <c r="S728" s="333">
        <v>0</v>
      </c>
      <c r="T728" s="333">
        <v>-2551948.5100000002</v>
      </c>
      <c r="U728" s="333">
        <f t="shared" si="114"/>
        <v>-2551948.5100000002</v>
      </c>
      <c r="V728" s="333">
        <v>0</v>
      </c>
      <c r="W728" s="333">
        <v>0</v>
      </c>
      <c r="X728" s="333">
        <v>0</v>
      </c>
      <c r="Y728" s="333">
        <v>0</v>
      </c>
      <c r="Z728" s="333">
        <v>0</v>
      </c>
      <c r="AA728" s="333">
        <v>0</v>
      </c>
      <c r="AB728" s="333">
        <v>0</v>
      </c>
      <c r="AC728" s="333">
        <v>0</v>
      </c>
      <c r="AD728" s="333">
        <v>0</v>
      </c>
      <c r="AE728" s="333"/>
      <c r="AF728" s="333"/>
      <c r="AG728" s="333">
        <f t="shared" si="115"/>
        <v>-2551948.5100000002</v>
      </c>
      <c r="AH728" s="330"/>
      <c r="AI728" s="330">
        <v>0</v>
      </c>
      <c r="AJ728" s="396">
        <f t="shared" si="116"/>
        <v>-2551948.5100000002</v>
      </c>
      <c r="AK728" s="563"/>
      <c r="AL728" s="285">
        <f t="shared" si="118"/>
        <v>0</v>
      </c>
      <c r="AM728" s="286"/>
      <c r="AO728" s="330" t="s">
        <v>5153</v>
      </c>
    </row>
    <row r="729" spans="1:41">
      <c r="A729" s="587">
        <f t="shared" si="117"/>
        <v>726</v>
      </c>
      <c r="B729" s="330" t="s">
        <v>1643</v>
      </c>
      <c r="C729" s="330" t="s">
        <v>5156</v>
      </c>
      <c r="D729" s="330" t="s">
        <v>1704</v>
      </c>
      <c r="E729" s="330" t="s">
        <v>2177</v>
      </c>
      <c r="F729" s="330" t="s">
        <v>1647</v>
      </c>
      <c r="G729" s="562">
        <v>1114</v>
      </c>
      <c r="H729" s="562">
        <v>683.3</v>
      </c>
      <c r="I729" s="562">
        <v>795.57</v>
      </c>
      <c r="J729" s="561" t="s">
        <v>1648</v>
      </c>
      <c r="K729" s="330" t="s">
        <v>5157</v>
      </c>
      <c r="L729" s="330" t="s">
        <v>5158</v>
      </c>
      <c r="M729" s="330" t="s">
        <v>5159</v>
      </c>
      <c r="N729" s="330" t="s">
        <v>5160</v>
      </c>
      <c r="O729" s="395">
        <v>45456</v>
      </c>
      <c r="P729" s="333">
        <v>6388381</v>
      </c>
      <c r="Q729" s="330" t="s">
        <v>1653</v>
      </c>
      <c r="R729" s="562">
        <v>0</v>
      </c>
      <c r="S729" s="333">
        <v>0</v>
      </c>
      <c r="T729" s="333">
        <v>-1766512.090000001</v>
      </c>
      <c r="U729" s="333">
        <f t="shared" si="114"/>
        <v>-1766512.090000001</v>
      </c>
      <c r="V729" s="333">
        <v>-142856</v>
      </c>
      <c r="W729" s="333">
        <v>0</v>
      </c>
      <c r="X729" s="333">
        <v>0</v>
      </c>
      <c r="Y729" s="333">
        <v>0</v>
      </c>
      <c r="Z729" s="333">
        <v>0</v>
      </c>
      <c r="AA729" s="333">
        <v>0</v>
      </c>
      <c r="AB729" s="333">
        <v>0</v>
      </c>
      <c r="AC729" s="333">
        <v>-0.10000000000582077</v>
      </c>
      <c r="AD729" s="333">
        <v>0</v>
      </c>
      <c r="AE729" s="333"/>
      <c r="AF729" s="333"/>
      <c r="AG729" s="333">
        <f t="shared" si="115"/>
        <v>-1909368.1900000011</v>
      </c>
      <c r="AH729" s="330"/>
      <c r="AI729" s="330">
        <v>0.1000000000003638</v>
      </c>
      <c r="AJ729" s="396">
        <f t="shared" si="116"/>
        <v>-1909368.1900000011</v>
      </c>
      <c r="AK729" s="563"/>
      <c r="AL729" s="285">
        <f t="shared" si="118"/>
        <v>-0.20000000000618456</v>
      </c>
      <c r="AM729" s="286"/>
      <c r="AO729" s="330" t="s">
        <v>5157</v>
      </c>
    </row>
    <row r="730" spans="1:41">
      <c r="A730" s="587">
        <f t="shared" si="117"/>
        <v>727</v>
      </c>
      <c r="B730" s="330" t="s">
        <v>1643</v>
      </c>
      <c r="C730" s="330" t="s">
        <v>5161</v>
      </c>
      <c r="D730" s="330" t="s">
        <v>1655</v>
      </c>
      <c r="E730" s="330" t="s">
        <v>2269</v>
      </c>
      <c r="F730" s="330" t="s">
        <v>1647</v>
      </c>
      <c r="G730" s="562">
        <v>1114</v>
      </c>
      <c r="H730" s="562">
        <v>683.3</v>
      </c>
      <c r="I730" s="562">
        <v>795.57</v>
      </c>
      <c r="J730" s="561" t="s">
        <v>1679</v>
      </c>
      <c r="K730" s="330" t="s">
        <v>5162</v>
      </c>
      <c r="L730" s="330" t="s">
        <v>5163</v>
      </c>
      <c r="M730" s="330" t="s">
        <v>5164</v>
      </c>
      <c r="N730" s="330" t="s">
        <v>12</v>
      </c>
      <c r="O730" s="395"/>
      <c r="P730" s="333">
        <v>7026762</v>
      </c>
      <c r="Q730" s="330" t="s">
        <v>1653</v>
      </c>
      <c r="R730" s="562">
        <v>0</v>
      </c>
      <c r="S730" s="333">
        <v>0</v>
      </c>
      <c r="T730" s="333">
        <v>-820605</v>
      </c>
      <c r="U730" s="333">
        <f t="shared" si="114"/>
        <v>-820605</v>
      </c>
      <c r="V730" s="333">
        <v>0</v>
      </c>
      <c r="W730" s="333">
        <v>0</v>
      </c>
      <c r="X730" s="333">
        <v>0</v>
      </c>
      <c r="Y730" s="333">
        <v>0</v>
      </c>
      <c r="Z730" s="333">
        <v>0</v>
      </c>
      <c r="AA730" s="333">
        <v>0</v>
      </c>
      <c r="AB730" s="333">
        <v>0</v>
      </c>
      <c r="AC730" s="333">
        <v>0</v>
      </c>
      <c r="AD730" s="333">
        <v>0</v>
      </c>
      <c r="AE730" s="333"/>
      <c r="AF730" s="333"/>
      <c r="AG730" s="333">
        <f t="shared" si="115"/>
        <v>-820605</v>
      </c>
      <c r="AH730" s="330"/>
      <c r="AI730" s="330">
        <v>0</v>
      </c>
      <c r="AJ730" s="396">
        <f t="shared" si="116"/>
        <v>-820605</v>
      </c>
      <c r="AK730" s="563"/>
      <c r="AL730" s="285">
        <f t="shared" si="118"/>
        <v>0</v>
      </c>
      <c r="AM730" s="286"/>
      <c r="AO730" s="330" t="s">
        <v>5162</v>
      </c>
    </row>
    <row r="731" spans="1:41">
      <c r="A731" s="587">
        <f t="shared" si="117"/>
        <v>728</v>
      </c>
      <c r="B731" s="330" t="s">
        <v>1643</v>
      </c>
      <c r="C731" s="330" t="s">
        <v>5165</v>
      </c>
      <c r="D731" s="330" t="s">
        <v>1677</v>
      </c>
      <c r="E731" s="330" t="s">
        <v>2177</v>
      </c>
      <c r="F731" s="330" t="s">
        <v>1647</v>
      </c>
      <c r="G731" s="562">
        <v>1114</v>
      </c>
      <c r="H731" s="562">
        <v>683.3</v>
      </c>
      <c r="I731" s="562">
        <v>795.57</v>
      </c>
      <c r="J731" s="561" t="s">
        <v>1810</v>
      </c>
      <c r="K731" s="330" t="s">
        <v>5166</v>
      </c>
      <c r="L731" s="330" t="s">
        <v>5167</v>
      </c>
      <c r="M731" s="330" t="s">
        <v>5168</v>
      </c>
      <c r="N731" s="330" t="s">
        <v>12</v>
      </c>
      <c r="O731" s="395"/>
      <c r="P731" s="333">
        <v>6864857</v>
      </c>
      <c r="Q731" s="330" t="s">
        <v>1660</v>
      </c>
      <c r="R731" s="562">
        <v>0</v>
      </c>
      <c r="S731" s="333">
        <v>0</v>
      </c>
      <c r="T731" s="333">
        <v>-99000</v>
      </c>
      <c r="U731" s="333">
        <f t="shared" si="114"/>
        <v>-99000</v>
      </c>
      <c r="V731" s="333">
        <v>99000</v>
      </c>
      <c r="W731" s="333">
        <v>0</v>
      </c>
      <c r="X731" s="333">
        <v>0</v>
      </c>
      <c r="Y731" s="333">
        <v>0</v>
      </c>
      <c r="Z731" s="333">
        <v>0</v>
      </c>
      <c r="AA731" s="333">
        <v>0</v>
      </c>
      <c r="AB731" s="333">
        <v>0</v>
      </c>
      <c r="AC731" s="333">
        <v>0</v>
      </c>
      <c r="AD731" s="333">
        <v>0</v>
      </c>
      <c r="AE731" s="333"/>
      <c r="AF731" s="333"/>
      <c r="AG731" s="333">
        <f t="shared" si="115"/>
        <v>0</v>
      </c>
      <c r="AH731" s="330"/>
      <c r="AI731" s="330">
        <v>0</v>
      </c>
      <c r="AJ731" s="396">
        <f t="shared" si="116"/>
        <v>0</v>
      </c>
      <c r="AK731" s="563"/>
      <c r="AL731" s="285">
        <f t="shared" si="118"/>
        <v>0</v>
      </c>
      <c r="AM731" s="286"/>
      <c r="AO731" s="330" t="s">
        <v>5166</v>
      </c>
    </row>
    <row r="732" spans="1:41">
      <c r="A732" s="587">
        <f t="shared" si="117"/>
        <v>729</v>
      </c>
      <c r="B732" s="330" t="s">
        <v>1643</v>
      </c>
      <c r="C732" s="330" t="s">
        <v>5169</v>
      </c>
      <c r="D732" s="330" t="s">
        <v>1645</v>
      </c>
      <c r="E732" s="330" t="s">
        <v>2542</v>
      </c>
      <c r="F732" s="330" t="s">
        <v>1647</v>
      </c>
      <c r="G732" s="562">
        <v>1012</v>
      </c>
      <c r="H732" s="562">
        <v>653.59</v>
      </c>
      <c r="I732" s="562">
        <v>723.02</v>
      </c>
      <c r="J732" s="561" t="s">
        <v>1648</v>
      </c>
      <c r="K732" s="330" t="s">
        <v>5170</v>
      </c>
      <c r="L732" s="330" t="s">
        <v>5171</v>
      </c>
      <c r="M732" s="330" t="s">
        <v>5172</v>
      </c>
      <c r="N732" s="330" t="s">
        <v>5173</v>
      </c>
      <c r="O732" s="395">
        <v>45468</v>
      </c>
      <c r="P732" s="333">
        <v>5727619</v>
      </c>
      <c r="Q732" s="330" t="s">
        <v>1653</v>
      </c>
      <c r="R732" s="562">
        <v>0</v>
      </c>
      <c r="S732" s="333">
        <v>0</v>
      </c>
      <c r="T732" s="333">
        <v>-1702569.5200000009</v>
      </c>
      <c r="U732" s="333">
        <f t="shared" si="114"/>
        <v>-1702569.5200000009</v>
      </c>
      <c r="V732" s="333">
        <v>0</v>
      </c>
      <c r="W732" s="333">
        <v>0</v>
      </c>
      <c r="X732" s="333">
        <v>0</v>
      </c>
      <c r="Y732" s="333">
        <v>0</v>
      </c>
      <c r="Z732" s="333">
        <v>0</v>
      </c>
      <c r="AA732" s="333">
        <v>0</v>
      </c>
      <c r="AB732" s="333">
        <v>0</v>
      </c>
      <c r="AC732" s="333">
        <v>-15714.18</v>
      </c>
      <c r="AD732" s="333">
        <v>0</v>
      </c>
      <c r="AE732" s="333"/>
      <c r="AF732" s="333"/>
      <c r="AG732" s="333">
        <f t="shared" si="115"/>
        <v>-1718283.7000000009</v>
      </c>
      <c r="AH732" s="330"/>
      <c r="AI732" s="330">
        <v>15714.18</v>
      </c>
      <c r="AJ732" s="396">
        <f t="shared" si="116"/>
        <v>-1718283.7000000009</v>
      </c>
      <c r="AK732" s="563"/>
      <c r="AL732" s="285">
        <f>+AC732+AI732</f>
        <v>0</v>
      </c>
      <c r="AM732" s="286"/>
      <c r="AO732" s="330" t="s">
        <v>5170</v>
      </c>
    </row>
    <row r="733" spans="1:41">
      <c r="A733" s="587">
        <f t="shared" si="117"/>
        <v>730</v>
      </c>
      <c r="B733" s="330" t="s">
        <v>1643</v>
      </c>
      <c r="C733" s="330" t="s">
        <v>5174</v>
      </c>
      <c r="D733" s="330" t="s">
        <v>1704</v>
      </c>
      <c r="E733" s="330" t="s">
        <v>2647</v>
      </c>
      <c r="F733" s="330" t="s">
        <v>1647</v>
      </c>
      <c r="G733" s="562">
        <v>1012</v>
      </c>
      <c r="H733" s="562">
        <v>653.59</v>
      </c>
      <c r="I733" s="562">
        <v>723.02</v>
      </c>
      <c r="J733" s="561" t="s">
        <v>1648</v>
      </c>
      <c r="K733" s="330" t="s">
        <v>5175</v>
      </c>
      <c r="L733" s="330" t="s">
        <v>5176</v>
      </c>
      <c r="M733" s="330" t="s">
        <v>5177</v>
      </c>
      <c r="N733" s="330" t="s">
        <v>5178</v>
      </c>
      <c r="O733" s="395">
        <v>45454</v>
      </c>
      <c r="P733" s="333">
        <v>5767809</v>
      </c>
      <c r="Q733" s="330" t="s">
        <v>1653</v>
      </c>
      <c r="R733" s="562">
        <v>0</v>
      </c>
      <c r="S733" s="333">
        <v>0</v>
      </c>
      <c r="T733" s="333">
        <v>-1788019.9399999992</v>
      </c>
      <c r="U733" s="333">
        <f t="shared" si="114"/>
        <v>-1788019.9399999992</v>
      </c>
      <c r="V733" s="333">
        <v>0</v>
      </c>
      <c r="W733" s="333">
        <v>0</v>
      </c>
      <c r="X733" s="333">
        <v>0</v>
      </c>
      <c r="Y733" s="333">
        <v>0</v>
      </c>
      <c r="Z733" s="333">
        <v>0</v>
      </c>
      <c r="AA733" s="333">
        <v>0</v>
      </c>
      <c r="AB733" s="333">
        <v>0</v>
      </c>
      <c r="AC733" s="333">
        <v>0</v>
      </c>
      <c r="AD733" s="333">
        <v>0</v>
      </c>
      <c r="AE733" s="333"/>
      <c r="AF733" s="333"/>
      <c r="AG733" s="333">
        <f t="shared" si="115"/>
        <v>-1788019.9399999992</v>
      </c>
      <c r="AH733" s="330"/>
      <c r="AI733" s="330">
        <v>0</v>
      </c>
      <c r="AJ733" s="396">
        <f t="shared" si="116"/>
        <v>-1788019.9399999992</v>
      </c>
      <c r="AK733" s="563"/>
      <c r="AL733" s="285">
        <f t="shared" si="118"/>
        <v>0</v>
      </c>
      <c r="AM733" s="286"/>
      <c r="AO733" s="330" t="s">
        <v>5175</v>
      </c>
    </row>
    <row r="734" spans="1:41">
      <c r="A734" s="587">
        <f t="shared" si="117"/>
        <v>731</v>
      </c>
      <c r="B734" s="330" t="s">
        <v>1643</v>
      </c>
      <c r="C734" s="330" t="s">
        <v>5179</v>
      </c>
      <c r="D734" s="330" t="s">
        <v>1645</v>
      </c>
      <c r="E734" s="330" t="s">
        <v>2826</v>
      </c>
      <c r="F734" s="330" t="s">
        <v>1671</v>
      </c>
      <c r="G734" s="562">
        <v>1375</v>
      </c>
      <c r="H734" s="562">
        <v>876.73</v>
      </c>
      <c r="I734" s="562">
        <v>982.22</v>
      </c>
      <c r="J734" s="561" t="s">
        <v>1648</v>
      </c>
      <c r="K734" s="330" t="s">
        <v>5180</v>
      </c>
      <c r="L734" s="330" t="s">
        <v>5181</v>
      </c>
      <c r="M734" s="330" t="s">
        <v>5182</v>
      </c>
      <c r="N734" s="330" t="s">
        <v>5183</v>
      </c>
      <c r="O734" s="395">
        <v>45474</v>
      </c>
      <c r="P734" s="333">
        <v>8053524</v>
      </c>
      <c r="Q734" s="330" t="s">
        <v>1653</v>
      </c>
      <c r="R734" s="562">
        <v>0</v>
      </c>
      <c r="S734" s="333">
        <v>0</v>
      </c>
      <c r="T734" s="333">
        <v>-2540647</v>
      </c>
      <c r="U734" s="333">
        <f t="shared" si="114"/>
        <v>-2540647</v>
      </c>
      <c r="V734" s="333">
        <v>0</v>
      </c>
      <c r="W734" s="333">
        <v>0</v>
      </c>
      <c r="X734" s="333">
        <v>0</v>
      </c>
      <c r="Y734" s="333">
        <v>0</v>
      </c>
      <c r="Z734" s="333">
        <v>0</v>
      </c>
      <c r="AA734" s="333">
        <v>0</v>
      </c>
      <c r="AB734" s="333">
        <v>0</v>
      </c>
      <c r="AC734" s="333">
        <v>120802.86000000057</v>
      </c>
      <c r="AD734" s="333">
        <v>0</v>
      </c>
      <c r="AE734" s="333"/>
      <c r="AF734" s="333"/>
      <c r="AG734" s="333">
        <f t="shared" si="115"/>
        <v>-2419844.1399999997</v>
      </c>
      <c r="AH734" s="330"/>
      <c r="AI734" s="330">
        <v>-120802.86000000002</v>
      </c>
      <c r="AJ734" s="396">
        <f t="shared" si="116"/>
        <v>-2419844.1399999997</v>
      </c>
      <c r="AK734" s="563"/>
      <c r="AL734" s="285">
        <f>+AC734+AI734</f>
        <v>5.5297277867794037E-10</v>
      </c>
      <c r="AM734" s="286"/>
      <c r="AO734" s="330" t="s">
        <v>5180</v>
      </c>
    </row>
    <row r="735" spans="1:41">
      <c r="A735" s="587">
        <f t="shared" si="117"/>
        <v>732</v>
      </c>
      <c r="B735" s="330" t="s">
        <v>1643</v>
      </c>
      <c r="C735" s="330" t="s">
        <v>5184</v>
      </c>
      <c r="D735" s="330" t="s">
        <v>1746</v>
      </c>
      <c r="E735" s="330" t="s">
        <v>1935</v>
      </c>
      <c r="F735" s="330" t="s">
        <v>1671</v>
      </c>
      <c r="G735" s="562">
        <v>1498</v>
      </c>
      <c r="H735" s="562">
        <v>954.87</v>
      </c>
      <c r="I735" s="562">
        <v>1069.73</v>
      </c>
      <c r="J735" s="561" t="s">
        <v>1810</v>
      </c>
      <c r="K735" s="330" t="s">
        <v>5185</v>
      </c>
      <c r="L735" s="330" t="s">
        <v>5186</v>
      </c>
      <c r="M735" s="330" t="s">
        <v>5187</v>
      </c>
      <c r="N735" s="330" t="s">
        <v>5188</v>
      </c>
      <c r="O735" s="395">
        <v>45429</v>
      </c>
      <c r="P735" s="333">
        <v>8581345</v>
      </c>
      <c r="Q735" s="330" t="s">
        <v>1653</v>
      </c>
      <c r="R735" s="562">
        <v>0</v>
      </c>
      <c r="S735" s="333">
        <v>0</v>
      </c>
      <c r="T735" s="333">
        <v>-2266741.8199999998</v>
      </c>
      <c r="U735" s="333">
        <f t="shared" si="114"/>
        <v>-2266741.8199999998</v>
      </c>
      <c r="V735" s="333">
        <v>0</v>
      </c>
      <c r="W735" s="333">
        <v>0</v>
      </c>
      <c r="X735" s="333">
        <v>0</v>
      </c>
      <c r="Y735" s="333">
        <v>0</v>
      </c>
      <c r="Z735" s="333">
        <v>0</v>
      </c>
      <c r="AA735" s="333">
        <v>0</v>
      </c>
      <c r="AB735" s="333">
        <v>0</v>
      </c>
      <c r="AC735" s="333">
        <v>0</v>
      </c>
      <c r="AD735" s="333">
        <v>0</v>
      </c>
      <c r="AE735" s="333"/>
      <c r="AF735" s="333"/>
      <c r="AG735" s="333">
        <f t="shared" si="115"/>
        <v>-2266741.8199999998</v>
      </c>
      <c r="AH735" s="330"/>
      <c r="AI735" s="330">
        <v>0</v>
      </c>
      <c r="AJ735" s="396">
        <f t="shared" si="116"/>
        <v>-2266741.8199999998</v>
      </c>
      <c r="AK735" s="563"/>
      <c r="AL735" s="285">
        <f t="shared" si="118"/>
        <v>0</v>
      </c>
      <c r="AM735" s="286"/>
      <c r="AO735" s="330" t="s">
        <v>5185</v>
      </c>
    </row>
    <row r="736" spans="1:41">
      <c r="A736" s="587">
        <f t="shared" si="117"/>
        <v>733</v>
      </c>
      <c r="B736" s="330" t="s">
        <v>1643</v>
      </c>
      <c r="C736" s="330" t="s">
        <v>5189</v>
      </c>
      <c r="D736" s="330" t="s">
        <v>1677</v>
      </c>
      <c r="E736" s="330" t="s">
        <v>3007</v>
      </c>
      <c r="F736" s="330" t="s">
        <v>1647</v>
      </c>
      <c r="G736" s="562">
        <v>1012</v>
      </c>
      <c r="H736" s="562">
        <v>653.59</v>
      </c>
      <c r="I736" s="562">
        <v>723.02</v>
      </c>
      <c r="J736" s="561" t="s">
        <v>1810</v>
      </c>
      <c r="K736" s="330" t="s">
        <v>5190</v>
      </c>
      <c r="L736" s="330" t="s">
        <v>5191</v>
      </c>
      <c r="M736" s="330" t="s">
        <v>5192</v>
      </c>
      <c r="N736" s="330" t="s">
        <v>12</v>
      </c>
      <c r="O736" s="395"/>
      <c r="P736" s="333">
        <v>5910666</v>
      </c>
      <c r="Q736" s="330" t="s">
        <v>1660</v>
      </c>
      <c r="R736" s="562">
        <v>0</v>
      </c>
      <c r="S736" s="333">
        <v>0</v>
      </c>
      <c r="T736" s="333">
        <v>-180009.76</v>
      </c>
      <c r="U736" s="333">
        <f t="shared" si="114"/>
        <v>-180009.76</v>
      </c>
      <c r="V736" s="333">
        <v>0</v>
      </c>
      <c r="W736" s="333">
        <v>0</v>
      </c>
      <c r="X736" s="333">
        <v>0</v>
      </c>
      <c r="Y736" s="333">
        <v>0</v>
      </c>
      <c r="Z736" s="333">
        <v>0</v>
      </c>
      <c r="AA736" s="333">
        <v>0</v>
      </c>
      <c r="AB736" s="333">
        <v>0</v>
      </c>
      <c r="AC736" s="333">
        <v>-12352.439999999999</v>
      </c>
      <c r="AD736" s="333">
        <v>0</v>
      </c>
      <c r="AE736" s="333"/>
      <c r="AF736" s="333"/>
      <c r="AG736" s="333">
        <f t="shared" si="115"/>
        <v>-192362.2</v>
      </c>
      <c r="AH736" s="330"/>
      <c r="AI736" s="330">
        <v>12352.439999999999</v>
      </c>
      <c r="AJ736" s="396">
        <f t="shared" si="116"/>
        <v>-192362.2</v>
      </c>
      <c r="AK736" s="563"/>
      <c r="AL736" s="285">
        <f>+AC736+AI736</f>
        <v>0</v>
      </c>
      <c r="AM736" s="286"/>
      <c r="AO736" s="330" t="s">
        <v>5190</v>
      </c>
    </row>
    <row r="737" spans="1:41">
      <c r="A737" s="587">
        <f t="shared" si="117"/>
        <v>734</v>
      </c>
      <c r="B737" s="330" t="s">
        <v>1643</v>
      </c>
      <c r="C737" s="330" t="s">
        <v>5193</v>
      </c>
      <c r="D737" s="330" t="s">
        <v>1704</v>
      </c>
      <c r="E737" s="330" t="s">
        <v>3927</v>
      </c>
      <c r="F737" s="330" t="s">
        <v>1647</v>
      </c>
      <c r="G737" s="562">
        <v>1114</v>
      </c>
      <c r="H737" s="562">
        <v>683.3</v>
      </c>
      <c r="I737" s="562">
        <v>795.57</v>
      </c>
      <c r="J737" s="561" t="s">
        <v>1648</v>
      </c>
      <c r="K737" s="330" t="s">
        <v>5194</v>
      </c>
      <c r="L737" s="330" t="s">
        <v>5195</v>
      </c>
      <c r="M737" s="330" t="s">
        <v>5196</v>
      </c>
      <c r="N737" s="330" t="s">
        <v>5197</v>
      </c>
      <c r="O737" s="395">
        <v>45450</v>
      </c>
      <c r="P737" s="333">
        <v>6491048</v>
      </c>
      <c r="Q737" s="330" t="s">
        <v>1653</v>
      </c>
      <c r="R737" s="562">
        <v>0</v>
      </c>
      <c r="S737" s="333">
        <v>0</v>
      </c>
      <c r="T737" s="333">
        <v>-2012223.76</v>
      </c>
      <c r="U737" s="333">
        <f t="shared" si="114"/>
        <v>-2012223.76</v>
      </c>
      <c r="V737" s="333">
        <v>0</v>
      </c>
      <c r="W737" s="333">
        <v>0</v>
      </c>
      <c r="X737" s="333">
        <v>0</v>
      </c>
      <c r="Y737" s="333">
        <v>0</v>
      </c>
      <c r="Z737" s="333">
        <v>0</v>
      </c>
      <c r="AA737" s="333">
        <v>0</v>
      </c>
      <c r="AB737" s="333">
        <v>0</v>
      </c>
      <c r="AC737" s="333">
        <v>0</v>
      </c>
      <c r="AD737" s="333">
        <v>0</v>
      </c>
      <c r="AE737" s="333"/>
      <c r="AF737" s="333"/>
      <c r="AG737" s="333">
        <f t="shared" si="115"/>
        <v>-2012223.76</v>
      </c>
      <c r="AH737" s="330"/>
      <c r="AI737" s="330">
        <v>0</v>
      </c>
      <c r="AJ737" s="396">
        <f t="shared" si="116"/>
        <v>-2012223.76</v>
      </c>
      <c r="AK737" s="563"/>
      <c r="AL737" s="285">
        <f t="shared" si="118"/>
        <v>0</v>
      </c>
      <c r="AM737" s="286"/>
      <c r="AO737" s="330" t="s">
        <v>5194</v>
      </c>
    </row>
    <row r="738" spans="1:41">
      <c r="A738" s="587">
        <f t="shared" si="117"/>
        <v>735</v>
      </c>
      <c r="B738" s="330" t="s">
        <v>1643</v>
      </c>
      <c r="C738" s="330" t="s">
        <v>5198</v>
      </c>
      <c r="D738" s="330" t="s">
        <v>1662</v>
      </c>
      <c r="E738" s="330" t="s">
        <v>1846</v>
      </c>
      <c r="F738" s="330" t="s">
        <v>1647</v>
      </c>
      <c r="G738" s="562">
        <v>1114</v>
      </c>
      <c r="H738" s="562">
        <v>683.3</v>
      </c>
      <c r="I738" s="562">
        <v>795.57</v>
      </c>
      <c r="J738" s="561" t="s">
        <v>1810</v>
      </c>
      <c r="K738" s="330" t="s">
        <v>5199</v>
      </c>
      <c r="L738" s="330" t="s">
        <v>5200</v>
      </c>
      <c r="M738" s="330" t="s">
        <v>5201</v>
      </c>
      <c r="N738" s="330" t="s">
        <v>5202</v>
      </c>
      <c r="O738" s="395">
        <v>45439</v>
      </c>
      <c r="P738" s="333">
        <v>6304075</v>
      </c>
      <c r="Q738" s="330" t="s">
        <v>1653</v>
      </c>
      <c r="R738" s="562">
        <v>0</v>
      </c>
      <c r="S738" s="333">
        <v>0</v>
      </c>
      <c r="T738" s="333">
        <v>-1348638.6100000003</v>
      </c>
      <c r="U738" s="333">
        <f t="shared" si="114"/>
        <v>-1348638.6100000003</v>
      </c>
      <c r="V738" s="333">
        <v>-505624</v>
      </c>
      <c r="W738" s="333">
        <v>0</v>
      </c>
      <c r="X738" s="333">
        <v>0</v>
      </c>
      <c r="Y738" s="333">
        <v>0</v>
      </c>
      <c r="Z738" s="333">
        <v>0</v>
      </c>
      <c r="AA738" s="333">
        <v>0</v>
      </c>
      <c r="AB738" s="333">
        <v>0</v>
      </c>
      <c r="AC738" s="333">
        <v>0</v>
      </c>
      <c r="AD738" s="333">
        <v>0</v>
      </c>
      <c r="AE738" s="333"/>
      <c r="AF738" s="333"/>
      <c r="AG738" s="333">
        <f t="shared" si="115"/>
        <v>-1854262.6100000003</v>
      </c>
      <c r="AH738" s="330"/>
      <c r="AI738" s="330">
        <v>0</v>
      </c>
      <c r="AJ738" s="396">
        <f t="shared" si="116"/>
        <v>-1854262.6100000003</v>
      </c>
      <c r="AK738" s="563"/>
      <c r="AL738" s="285">
        <f>+AC738+AI738</f>
        <v>0</v>
      </c>
      <c r="AM738" s="286"/>
      <c r="AO738" s="330" t="s">
        <v>5199</v>
      </c>
    </row>
    <row r="739" spans="1:41">
      <c r="A739" s="587">
        <f t="shared" si="117"/>
        <v>736</v>
      </c>
      <c r="B739" s="330" t="s">
        <v>1643</v>
      </c>
      <c r="C739" s="330" t="s">
        <v>5203</v>
      </c>
      <c r="D739" s="330" t="s">
        <v>1677</v>
      </c>
      <c r="E739" s="330" t="s">
        <v>2619</v>
      </c>
      <c r="F739" s="330" t="s">
        <v>1647</v>
      </c>
      <c r="G739" s="562">
        <v>1012</v>
      </c>
      <c r="H739" s="562">
        <v>653.59</v>
      </c>
      <c r="I739" s="562">
        <v>723.02</v>
      </c>
      <c r="J739" s="561" t="s">
        <v>1810</v>
      </c>
      <c r="K739" s="330" t="s">
        <v>5204</v>
      </c>
      <c r="L739" s="330" t="s">
        <v>5205</v>
      </c>
      <c r="M739" s="330" t="s">
        <v>5206</v>
      </c>
      <c r="N739" s="330" t="s">
        <v>12</v>
      </c>
      <c r="O739" s="395"/>
      <c r="P739" s="333">
        <v>6494571</v>
      </c>
      <c r="Q739" s="330" t="s">
        <v>1660</v>
      </c>
      <c r="R739" s="562">
        <v>0</v>
      </c>
      <c r="S739" s="333">
        <v>0</v>
      </c>
      <c r="T739" s="333">
        <v>-1101630</v>
      </c>
      <c r="U739" s="333">
        <f t="shared" si="114"/>
        <v>-1101630</v>
      </c>
      <c r="V739" s="333">
        <v>1101630.0000000002</v>
      </c>
      <c r="W739" s="333">
        <v>0</v>
      </c>
      <c r="X739" s="333">
        <v>0</v>
      </c>
      <c r="Y739" s="333">
        <v>0</v>
      </c>
      <c r="Z739" s="333">
        <v>0</v>
      </c>
      <c r="AA739" s="333">
        <v>0</v>
      </c>
      <c r="AB739" s="333">
        <v>0</v>
      </c>
      <c r="AC739" s="333">
        <v>0</v>
      </c>
      <c r="AD739" s="333">
        <v>-1101630</v>
      </c>
      <c r="AE739" s="333"/>
      <c r="AF739" s="333"/>
      <c r="AG739" s="333">
        <f t="shared" si="115"/>
        <v>-1101629.9999999998</v>
      </c>
      <c r="AH739" s="330"/>
      <c r="AI739" s="330">
        <v>0</v>
      </c>
      <c r="AJ739" s="396">
        <f t="shared" si="116"/>
        <v>-1101629.9999999998</v>
      </c>
      <c r="AK739" s="563"/>
      <c r="AL739" s="285">
        <f t="shared" si="118"/>
        <v>0</v>
      </c>
      <c r="AM739" s="286"/>
      <c r="AO739" s="330" t="s">
        <v>5204</v>
      </c>
    </row>
    <row r="740" spans="1:41">
      <c r="A740" s="587">
        <f t="shared" si="117"/>
        <v>737</v>
      </c>
      <c r="B740" s="330" t="s">
        <v>1643</v>
      </c>
      <c r="C740" s="330" t="s">
        <v>1845</v>
      </c>
      <c r="D740" s="330" t="s">
        <v>1669</v>
      </c>
      <c r="E740" s="330" t="s">
        <v>1846</v>
      </c>
      <c r="F740" s="330" t="s">
        <v>1671</v>
      </c>
      <c r="G740" s="562">
        <v>1787</v>
      </c>
      <c r="H740" s="562">
        <v>1138.51</v>
      </c>
      <c r="I740" s="562">
        <v>1276.29</v>
      </c>
      <c r="J740" s="561" t="s">
        <v>1648</v>
      </c>
      <c r="K740" s="330" t="s">
        <v>5207</v>
      </c>
      <c r="L740" s="330" t="s">
        <v>5208</v>
      </c>
      <c r="M740" s="330" t="s">
        <v>5209</v>
      </c>
      <c r="N740" s="330" t="s">
        <v>1850</v>
      </c>
      <c r="O740" s="395">
        <v>45483</v>
      </c>
      <c r="P740" s="333">
        <v>11357143</v>
      </c>
      <c r="Q740" s="330" t="s">
        <v>1660</v>
      </c>
      <c r="R740" s="562">
        <v>0</v>
      </c>
      <c r="S740" s="333">
        <v>0</v>
      </c>
      <c r="T740" s="333">
        <v>0</v>
      </c>
      <c r="U740" s="333">
        <f t="shared" si="114"/>
        <v>0</v>
      </c>
      <c r="V740" s="333">
        <v>0</v>
      </c>
      <c r="W740" s="333">
        <v>0</v>
      </c>
      <c r="X740" s="333">
        <v>0</v>
      </c>
      <c r="Y740" s="333">
        <v>0</v>
      </c>
      <c r="Z740" s="333">
        <v>0</v>
      </c>
      <c r="AA740" s="333">
        <v>0</v>
      </c>
      <c r="AB740" s="333">
        <v>0</v>
      </c>
      <c r="AC740" s="333">
        <v>0</v>
      </c>
      <c r="AD740" s="333">
        <v>0</v>
      </c>
      <c r="AE740" s="333"/>
      <c r="AF740" s="333"/>
      <c r="AG740" s="333">
        <f t="shared" si="115"/>
        <v>0</v>
      </c>
      <c r="AH740" s="330"/>
      <c r="AI740" s="330">
        <v>0</v>
      </c>
      <c r="AJ740" s="396">
        <f t="shared" si="116"/>
        <v>0</v>
      </c>
      <c r="AK740" s="563"/>
      <c r="AL740" s="285">
        <f t="shared" si="118"/>
        <v>0</v>
      </c>
      <c r="AM740" s="286"/>
      <c r="AO740" s="330" t="s">
        <v>5207</v>
      </c>
    </row>
    <row r="741" spans="1:41">
      <c r="A741" s="587">
        <f t="shared" si="117"/>
        <v>738</v>
      </c>
      <c r="B741" s="330" t="s">
        <v>1643</v>
      </c>
      <c r="C741" s="330" t="s">
        <v>5210</v>
      </c>
      <c r="D741" s="330" t="s">
        <v>1662</v>
      </c>
      <c r="E741" s="330" t="s">
        <v>2588</v>
      </c>
      <c r="F741" s="330" t="s">
        <v>1647</v>
      </c>
      <c r="G741" s="562">
        <v>1012</v>
      </c>
      <c r="H741" s="562">
        <v>653.59</v>
      </c>
      <c r="I741" s="562">
        <v>723.02</v>
      </c>
      <c r="J741" s="561" t="s">
        <v>1648</v>
      </c>
      <c r="K741" s="330" t="s">
        <v>5211</v>
      </c>
      <c r="L741" s="330" t="s">
        <v>5212</v>
      </c>
      <c r="M741" s="330" t="s">
        <v>5213</v>
      </c>
      <c r="N741" s="330" t="s">
        <v>5214</v>
      </c>
      <c r="O741" s="395">
        <v>45439</v>
      </c>
      <c r="P741" s="333">
        <v>5714010</v>
      </c>
      <c r="Q741" s="330" t="s">
        <v>1653</v>
      </c>
      <c r="R741" s="562">
        <v>0</v>
      </c>
      <c r="S741" s="333">
        <v>0</v>
      </c>
      <c r="T741" s="333">
        <v>-2107056.84</v>
      </c>
      <c r="U741" s="333">
        <f t="shared" si="114"/>
        <v>-2107056.84</v>
      </c>
      <c r="V741" s="333">
        <v>0</v>
      </c>
      <c r="W741" s="333">
        <v>0</v>
      </c>
      <c r="X741" s="333">
        <v>0</v>
      </c>
      <c r="Y741" s="333">
        <v>0</v>
      </c>
      <c r="Z741" s="333">
        <v>0</v>
      </c>
      <c r="AA741" s="333">
        <v>0</v>
      </c>
      <c r="AB741" s="333">
        <v>0</v>
      </c>
      <c r="AC741" s="333">
        <v>-14285.719999999972</v>
      </c>
      <c r="AD741" s="333">
        <v>0</v>
      </c>
      <c r="AE741" s="333"/>
      <c r="AF741" s="333"/>
      <c r="AG741" s="333">
        <f t="shared" si="115"/>
        <v>-2121342.5599999996</v>
      </c>
      <c r="AH741" s="330"/>
      <c r="AI741" s="330">
        <v>14285.72</v>
      </c>
      <c r="AJ741" s="396">
        <f t="shared" si="116"/>
        <v>-2121342.5599999996</v>
      </c>
      <c r="AK741" s="563"/>
      <c r="AL741" s="285">
        <f>+AC741+AI741</f>
        <v>2.7284841053187847E-11</v>
      </c>
      <c r="AM741" s="286"/>
      <c r="AO741" s="330" t="s">
        <v>5211</v>
      </c>
    </row>
    <row r="742" spans="1:41">
      <c r="A742" s="587">
        <f t="shared" si="117"/>
        <v>739</v>
      </c>
      <c r="B742" s="330" t="s">
        <v>1643</v>
      </c>
      <c r="C742" s="330" t="s">
        <v>3088</v>
      </c>
      <c r="D742" s="330" t="s">
        <v>1746</v>
      </c>
      <c r="E742" s="330" t="s">
        <v>1678</v>
      </c>
      <c r="F742" s="330" t="s">
        <v>1647</v>
      </c>
      <c r="G742" s="562">
        <v>1012</v>
      </c>
      <c r="H742" s="562">
        <v>653.59</v>
      </c>
      <c r="I742" s="562">
        <v>723.02</v>
      </c>
      <c r="J742" s="561" t="s">
        <v>1648</v>
      </c>
      <c r="K742" s="330" t="s">
        <v>5215</v>
      </c>
      <c r="L742" s="330" t="s">
        <v>5216</v>
      </c>
      <c r="M742" s="330" t="s">
        <v>5217</v>
      </c>
      <c r="N742" s="330" t="s">
        <v>3092</v>
      </c>
      <c r="O742" s="395">
        <v>45454</v>
      </c>
      <c r="P742" s="333">
        <v>5698827</v>
      </c>
      <c r="Q742" s="330" t="s">
        <v>1660</v>
      </c>
      <c r="R742" s="562">
        <v>0</v>
      </c>
      <c r="S742" s="333">
        <v>0</v>
      </c>
      <c r="T742" s="333">
        <v>0</v>
      </c>
      <c r="U742" s="333">
        <f t="shared" si="114"/>
        <v>0</v>
      </c>
      <c r="V742" s="333">
        <v>0</v>
      </c>
      <c r="W742" s="333">
        <v>0</v>
      </c>
      <c r="X742" s="333">
        <v>0</v>
      </c>
      <c r="Y742" s="333">
        <v>0</v>
      </c>
      <c r="Z742" s="333">
        <v>0</v>
      </c>
      <c r="AA742" s="333">
        <v>0</v>
      </c>
      <c r="AB742" s="333">
        <v>0</v>
      </c>
      <c r="AC742" s="333">
        <v>0</v>
      </c>
      <c r="AD742" s="333">
        <v>0</v>
      </c>
      <c r="AE742" s="333"/>
      <c r="AF742" s="333"/>
      <c r="AG742" s="333">
        <f t="shared" si="115"/>
        <v>0</v>
      </c>
      <c r="AH742" s="330"/>
      <c r="AI742" s="330">
        <v>0</v>
      </c>
      <c r="AJ742" s="396">
        <f t="shared" si="116"/>
        <v>0</v>
      </c>
      <c r="AK742" s="563"/>
      <c r="AL742" s="285">
        <f t="shared" si="118"/>
        <v>0</v>
      </c>
      <c r="AM742" s="286"/>
      <c r="AO742" s="330" t="s">
        <v>5215</v>
      </c>
    </row>
    <row r="743" spans="1:41">
      <c r="A743" s="587">
        <f t="shared" si="117"/>
        <v>740</v>
      </c>
      <c r="B743" s="330" t="s">
        <v>1643</v>
      </c>
      <c r="C743" s="330" t="s">
        <v>5218</v>
      </c>
      <c r="D743" s="330" t="s">
        <v>1704</v>
      </c>
      <c r="E743" s="330" t="s">
        <v>2567</v>
      </c>
      <c r="F743" s="330" t="s">
        <v>1647</v>
      </c>
      <c r="G743" s="562">
        <v>1498</v>
      </c>
      <c r="H743" s="562">
        <v>954.87</v>
      </c>
      <c r="I743" s="562">
        <v>1069.73</v>
      </c>
      <c r="J743" s="561" t="s">
        <v>1648</v>
      </c>
      <c r="K743" s="330" t="s">
        <v>5219</v>
      </c>
      <c r="L743" s="330" t="s">
        <v>5216</v>
      </c>
      <c r="M743" s="330" t="s">
        <v>5217</v>
      </c>
      <c r="N743" s="330" t="s">
        <v>2066</v>
      </c>
      <c r="O743" s="395"/>
      <c r="P743" s="333">
        <v>6401714</v>
      </c>
      <c r="Q743" s="330" t="s">
        <v>1660</v>
      </c>
      <c r="R743" s="562">
        <v>0</v>
      </c>
      <c r="S743" s="333">
        <v>0</v>
      </c>
      <c r="T743" s="333">
        <v>0</v>
      </c>
      <c r="U743" s="333">
        <f t="shared" si="114"/>
        <v>0</v>
      </c>
      <c r="V743" s="333">
        <v>0</v>
      </c>
      <c r="W743" s="333">
        <v>0</v>
      </c>
      <c r="X743" s="333">
        <v>0</v>
      </c>
      <c r="Y743" s="333">
        <v>0</v>
      </c>
      <c r="Z743" s="333">
        <v>0</v>
      </c>
      <c r="AA743" s="333">
        <v>0</v>
      </c>
      <c r="AB743" s="333">
        <v>0</v>
      </c>
      <c r="AC743" s="333">
        <v>0</v>
      </c>
      <c r="AD743" s="333">
        <v>0</v>
      </c>
      <c r="AE743" s="333"/>
      <c r="AF743" s="333"/>
      <c r="AG743" s="333">
        <f t="shared" si="115"/>
        <v>0</v>
      </c>
      <c r="AH743" s="330"/>
      <c r="AI743" s="330">
        <v>0</v>
      </c>
      <c r="AJ743" s="396">
        <f t="shared" si="116"/>
        <v>0</v>
      </c>
      <c r="AK743" s="563"/>
      <c r="AL743" s="285">
        <f t="shared" si="118"/>
        <v>0</v>
      </c>
      <c r="AM743" s="286"/>
      <c r="AO743" s="330" t="s">
        <v>5219</v>
      </c>
    </row>
    <row r="744" spans="1:41">
      <c r="A744" s="587">
        <f t="shared" si="117"/>
        <v>741</v>
      </c>
      <c r="B744" s="330" t="s">
        <v>1643</v>
      </c>
      <c r="C744" s="330" t="s">
        <v>5220</v>
      </c>
      <c r="D744" s="330" t="s">
        <v>1704</v>
      </c>
      <c r="E744" s="330" t="s">
        <v>2347</v>
      </c>
      <c r="F744" s="330" t="s">
        <v>1647</v>
      </c>
      <c r="G744" s="562">
        <v>1114</v>
      </c>
      <c r="H744" s="562">
        <v>683.3</v>
      </c>
      <c r="I744" s="562">
        <v>795.57</v>
      </c>
      <c r="J744" s="561" t="s">
        <v>1648</v>
      </c>
      <c r="K744" s="330" t="s">
        <v>5221</v>
      </c>
      <c r="L744" s="330" t="s">
        <v>5216</v>
      </c>
      <c r="M744" s="330" t="s">
        <v>5217</v>
      </c>
      <c r="N744" s="330" t="s">
        <v>5222</v>
      </c>
      <c r="O744" s="395">
        <v>45477</v>
      </c>
      <c r="P744" s="333">
        <v>6401714</v>
      </c>
      <c r="Q744" s="330" t="s">
        <v>1653</v>
      </c>
      <c r="R744" s="562">
        <v>0</v>
      </c>
      <c r="S744" s="333">
        <v>0</v>
      </c>
      <c r="T744" s="333">
        <v>-1920514.2799999998</v>
      </c>
      <c r="U744" s="333">
        <f t="shared" si="114"/>
        <v>-1920514.2799999998</v>
      </c>
      <c r="V744" s="333">
        <v>0</v>
      </c>
      <c r="W744" s="333">
        <v>0</v>
      </c>
      <c r="X744" s="333">
        <v>0</v>
      </c>
      <c r="Y744" s="333">
        <v>0</v>
      </c>
      <c r="Z744" s="333">
        <v>0</v>
      </c>
      <c r="AA744" s="333">
        <v>0</v>
      </c>
      <c r="AB744" s="333">
        <v>0</v>
      </c>
      <c r="AC744" s="333">
        <v>0</v>
      </c>
      <c r="AD744" s="333">
        <v>0</v>
      </c>
      <c r="AE744" s="333"/>
      <c r="AF744" s="333"/>
      <c r="AG744" s="333">
        <f t="shared" si="115"/>
        <v>-1920514.2799999998</v>
      </c>
      <c r="AH744" s="330"/>
      <c r="AI744" s="330">
        <v>0</v>
      </c>
      <c r="AJ744" s="396">
        <f t="shared" si="116"/>
        <v>-1920514.2799999998</v>
      </c>
      <c r="AK744" s="563"/>
      <c r="AL744" s="285">
        <f t="shared" si="118"/>
        <v>0</v>
      </c>
      <c r="AM744" s="286"/>
      <c r="AO744" s="330" t="s">
        <v>5221</v>
      </c>
    </row>
    <row r="745" spans="1:41">
      <c r="A745" s="587">
        <f t="shared" si="117"/>
        <v>742</v>
      </c>
      <c r="B745" s="330" t="s">
        <v>1643</v>
      </c>
      <c r="C745" s="330" t="s">
        <v>5223</v>
      </c>
      <c r="D745" s="330" t="s">
        <v>1669</v>
      </c>
      <c r="E745" s="330" t="s">
        <v>1696</v>
      </c>
      <c r="F745" s="330" t="s">
        <v>1671</v>
      </c>
      <c r="G745" s="562">
        <v>1787</v>
      </c>
      <c r="H745" s="562">
        <v>1138.51</v>
      </c>
      <c r="I745" s="562">
        <v>1276.29</v>
      </c>
      <c r="J745" s="561" t="s">
        <v>1648</v>
      </c>
      <c r="K745" s="330" t="s">
        <v>5224</v>
      </c>
      <c r="L745" s="330" t="s">
        <v>5225</v>
      </c>
      <c r="M745" s="330" t="s">
        <v>5226</v>
      </c>
      <c r="N745" s="330" t="s">
        <v>5227</v>
      </c>
      <c r="O745" s="395">
        <v>45439</v>
      </c>
      <c r="P745" s="333">
        <v>11271150</v>
      </c>
      <c r="Q745" s="330" t="s">
        <v>1653</v>
      </c>
      <c r="R745" s="562">
        <v>0</v>
      </c>
      <c r="S745" s="333">
        <v>0</v>
      </c>
      <c r="T745" s="333">
        <v>-3367061.24</v>
      </c>
      <c r="U745" s="333">
        <f t="shared" si="114"/>
        <v>-3367061.24</v>
      </c>
      <c r="V745" s="333">
        <v>0</v>
      </c>
      <c r="W745" s="333">
        <v>0</v>
      </c>
      <c r="X745" s="333">
        <v>0</v>
      </c>
      <c r="Y745" s="333">
        <v>0</v>
      </c>
      <c r="Z745" s="333">
        <v>0</v>
      </c>
      <c r="AA745" s="333">
        <v>0</v>
      </c>
      <c r="AB745" s="333">
        <v>0</v>
      </c>
      <c r="AC745" s="333">
        <v>-14286</v>
      </c>
      <c r="AD745" s="333">
        <v>0</v>
      </c>
      <c r="AE745" s="333"/>
      <c r="AF745" s="333"/>
      <c r="AG745" s="333">
        <f t="shared" si="115"/>
        <v>-3381347.24</v>
      </c>
      <c r="AH745" s="330"/>
      <c r="AI745" s="330">
        <v>14286</v>
      </c>
      <c r="AJ745" s="396">
        <f t="shared" si="116"/>
        <v>-3381347.24</v>
      </c>
      <c r="AK745" s="563"/>
      <c r="AL745" s="285">
        <f t="shared" ref="AL745:AL748" si="120">+AC745+AI745</f>
        <v>0</v>
      </c>
      <c r="AM745" s="286"/>
      <c r="AO745" s="330" t="s">
        <v>5224</v>
      </c>
    </row>
    <row r="746" spans="1:41">
      <c r="A746" s="587">
        <f t="shared" si="117"/>
        <v>743</v>
      </c>
      <c r="B746" s="330" t="s">
        <v>1643</v>
      </c>
      <c r="C746" s="330" t="s">
        <v>5228</v>
      </c>
      <c r="D746" s="330" t="s">
        <v>1662</v>
      </c>
      <c r="E746" s="330" t="s">
        <v>1740</v>
      </c>
      <c r="F746" s="330" t="s">
        <v>1647</v>
      </c>
      <c r="G746" s="562">
        <v>1012</v>
      </c>
      <c r="H746" s="562">
        <v>653.59</v>
      </c>
      <c r="I746" s="562">
        <v>723.02</v>
      </c>
      <c r="J746" s="561" t="s">
        <v>1648</v>
      </c>
      <c r="K746" s="330" t="s">
        <v>5229</v>
      </c>
      <c r="L746" s="330" t="s">
        <v>5230</v>
      </c>
      <c r="M746" s="330" t="s">
        <v>5231</v>
      </c>
      <c r="N746" s="330" t="s">
        <v>5232</v>
      </c>
      <c r="O746" s="395">
        <v>45468</v>
      </c>
      <c r="P746" s="333">
        <v>5803524</v>
      </c>
      <c r="Q746" s="330" t="s">
        <v>1660</v>
      </c>
      <c r="R746" s="562">
        <v>0</v>
      </c>
      <c r="S746" s="333">
        <v>0</v>
      </c>
      <c r="T746" s="333">
        <v>0</v>
      </c>
      <c r="U746" s="333">
        <f t="shared" si="114"/>
        <v>0</v>
      </c>
      <c r="V746" s="333">
        <v>0</v>
      </c>
      <c r="W746" s="333">
        <v>0</v>
      </c>
      <c r="X746" s="333">
        <v>0</v>
      </c>
      <c r="Y746" s="333">
        <v>0</v>
      </c>
      <c r="Z746" s="333">
        <v>0</v>
      </c>
      <c r="AA746" s="333">
        <v>0</v>
      </c>
      <c r="AB746" s="333">
        <v>0</v>
      </c>
      <c r="AC746" s="333">
        <v>0</v>
      </c>
      <c r="AD746" s="333">
        <v>0</v>
      </c>
      <c r="AE746" s="333"/>
      <c r="AF746" s="333"/>
      <c r="AG746" s="333">
        <f t="shared" si="115"/>
        <v>0</v>
      </c>
      <c r="AH746" s="330"/>
      <c r="AI746" s="330">
        <v>0</v>
      </c>
      <c r="AJ746" s="396">
        <f t="shared" si="116"/>
        <v>0</v>
      </c>
      <c r="AK746" s="563"/>
      <c r="AL746" s="285">
        <f t="shared" si="120"/>
        <v>0</v>
      </c>
      <c r="AM746" s="286"/>
      <c r="AO746" s="330" t="s">
        <v>5229</v>
      </c>
    </row>
    <row r="747" spans="1:41">
      <c r="A747" s="587">
        <f t="shared" si="117"/>
        <v>744</v>
      </c>
      <c r="B747" s="330" t="s">
        <v>1643</v>
      </c>
      <c r="C747" s="330" t="s">
        <v>5228</v>
      </c>
      <c r="D747" s="330" t="s">
        <v>1662</v>
      </c>
      <c r="E747" s="330" t="s">
        <v>1740</v>
      </c>
      <c r="F747" s="330" t="s">
        <v>1647</v>
      </c>
      <c r="G747" s="562">
        <v>1012</v>
      </c>
      <c r="H747" s="562">
        <v>653.59</v>
      </c>
      <c r="I747" s="562">
        <v>723.02</v>
      </c>
      <c r="J747" s="561" t="s">
        <v>1648</v>
      </c>
      <c r="K747" s="330" t="s">
        <v>5233</v>
      </c>
      <c r="L747" s="330" t="s">
        <v>5230</v>
      </c>
      <c r="M747" s="330" t="s">
        <v>5231</v>
      </c>
      <c r="N747" s="330" t="s">
        <v>5232</v>
      </c>
      <c r="O747" s="395">
        <v>45468</v>
      </c>
      <c r="P747" s="333">
        <v>5803524</v>
      </c>
      <c r="Q747" s="330" t="s">
        <v>1653</v>
      </c>
      <c r="R747" s="562">
        <v>0</v>
      </c>
      <c r="S747" s="333">
        <v>0</v>
      </c>
      <c r="T747" s="333">
        <v>-1708523.6599999997</v>
      </c>
      <c r="U747" s="333">
        <f t="shared" si="114"/>
        <v>-1708523.6599999997</v>
      </c>
      <c r="V747" s="333">
        <v>-50000</v>
      </c>
      <c r="W747" s="333">
        <v>0</v>
      </c>
      <c r="X747" s="333">
        <v>0</v>
      </c>
      <c r="Y747" s="333">
        <v>0</v>
      </c>
      <c r="Z747" s="333">
        <v>0</v>
      </c>
      <c r="AA747" s="333">
        <v>50000</v>
      </c>
      <c r="AB747" s="333">
        <v>0</v>
      </c>
      <c r="AC747" s="333">
        <v>-87052.9</v>
      </c>
      <c r="AD747" s="333">
        <v>0</v>
      </c>
      <c r="AE747" s="333"/>
      <c r="AF747" s="333"/>
      <c r="AG747" s="333">
        <f t="shared" si="115"/>
        <v>-1795576.5599999996</v>
      </c>
      <c r="AH747" s="330"/>
      <c r="AI747" s="330">
        <v>87052.9</v>
      </c>
      <c r="AJ747" s="396">
        <f t="shared" si="116"/>
        <v>-1795576.5599999996</v>
      </c>
      <c r="AK747" s="563"/>
      <c r="AL747" s="285">
        <f t="shared" si="120"/>
        <v>0</v>
      </c>
      <c r="AM747" s="286"/>
      <c r="AO747" s="330" t="s">
        <v>5233</v>
      </c>
    </row>
    <row r="748" spans="1:41">
      <c r="A748" s="587">
        <f t="shared" si="117"/>
        <v>745</v>
      </c>
      <c r="B748" s="330" t="s">
        <v>1643</v>
      </c>
      <c r="C748" s="330" t="s">
        <v>5234</v>
      </c>
      <c r="D748" s="330" t="s">
        <v>1645</v>
      </c>
      <c r="E748" s="330" t="s">
        <v>2166</v>
      </c>
      <c r="F748" s="330" t="s">
        <v>1647</v>
      </c>
      <c r="G748" s="562">
        <v>1012</v>
      </c>
      <c r="H748" s="562">
        <v>653.59</v>
      </c>
      <c r="I748" s="562">
        <v>723.02</v>
      </c>
      <c r="J748" s="561" t="s">
        <v>1648</v>
      </c>
      <c r="K748" s="330" t="s">
        <v>5235</v>
      </c>
      <c r="L748" s="330" t="s">
        <v>5236</v>
      </c>
      <c r="M748" s="330" t="s">
        <v>5237</v>
      </c>
      <c r="N748" s="330" t="s">
        <v>5238</v>
      </c>
      <c r="O748" s="395">
        <v>45435</v>
      </c>
      <c r="P748" s="333">
        <v>5687429</v>
      </c>
      <c r="Q748" s="330" t="s">
        <v>1653</v>
      </c>
      <c r="R748" s="562">
        <v>0</v>
      </c>
      <c r="S748" s="333">
        <v>0</v>
      </c>
      <c r="T748" s="333">
        <v>-1751005.5600000005</v>
      </c>
      <c r="U748" s="333">
        <f t="shared" si="114"/>
        <v>-1751005.5600000005</v>
      </c>
      <c r="V748" s="333">
        <v>-100000</v>
      </c>
      <c r="W748" s="333">
        <v>0</v>
      </c>
      <c r="X748" s="333">
        <v>0</v>
      </c>
      <c r="Y748" s="333">
        <v>0</v>
      </c>
      <c r="Z748" s="333">
        <v>0</v>
      </c>
      <c r="AA748" s="333">
        <v>0</v>
      </c>
      <c r="AB748" s="333">
        <v>0</v>
      </c>
      <c r="AC748" s="333">
        <v>-2381</v>
      </c>
      <c r="AD748" s="333">
        <v>0</v>
      </c>
      <c r="AE748" s="333"/>
      <c r="AF748" s="333"/>
      <c r="AG748" s="333">
        <f t="shared" si="115"/>
        <v>-1853386.5600000005</v>
      </c>
      <c r="AH748" s="330"/>
      <c r="AI748" s="330">
        <v>2381</v>
      </c>
      <c r="AJ748" s="396">
        <f t="shared" si="116"/>
        <v>-1853386.5600000005</v>
      </c>
      <c r="AK748" s="563"/>
      <c r="AL748" s="285">
        <f t="shared" si="120"/>
        <v>0</v>
      </c>
      <c r="AM748" s="286"/>
      <c r="AO748" s="330" t="s">
        <v>5235</v>
      </c>
    </row>
    <row r="749" spans="1:41">
      <c r="A749" s="587">
        <f t="shared" si="117"/>
        <v>746</v>
      </c>
      <c r="B749" s="330" t="s">
        <v>1643</v>
      </c>
      <c r="C749" s="330" t="s">
        <v>4663</v>
      </c>
      <c r="D749" s="330" t="s">
        <v>1645</v>
      </c>
      <c r="E749" s="330" t="s">
        <v>2661</v>
      </c>
      <c r="F749" s="330" t="s">
        <v>1647</v>
      </c>
      <c r="G749" s="562">
        <v>1012</v>
      </c>
      <c r="H749" s="562">
        <v>653.59</v>
      </c>
      <c r="I749" s="562">
        <v>723.02</v>
      </c>
      <c r="J749" s="561" t="s">
        <v>1648</v>
      </c>
      <c r="K749" s="330" t="s">
        <v>5239</v>
      </c>
      <c r="L749" s="330" t="s">
        <v>5240</v>
      </c>
      <c r="M749" s="330" t="s">
        <v>5241</v>
      </c>
      <c r="N749" s="330" t="s">
        <v>4667</v>
      </c>
      <c r="O749" s="395">
        <v>45457</v>
      </c>
      <c r="P749" s="333">
        <v>5698827</v>
      </c>
      <c r="Q749" s="330" t="s">
        <v>1660</v>
      </c>
      <c r="R749" s="562">
        <v>0</v>
      </c>
      <c r="S749" s="333">
        <v>0</v>
      </c>
      <c r="T749" s="333">
        <v>0</v>
      </c>
      <c r="U749" s="333">
        <f t="shared" si="114"/>
        <v>0</v>
      </c>
      <c r="V749" s="333">
        <v>0</v>
      </c>
      <c r="W749" s="333">
        <v>0</v>
      </c>
      <c r="X749" s="333">
        <v>0</v>
      </c>
      <c r="Y749" s="333">
        <v>0</v>
      </c>
      <c r="Z749" s="333">
        <v>0</v>
      </c>
      <c r="AA749" s="333">
        <v>0</v>
      </c>
      <c r="AB749" s="333">
        <v>0</v>
      </c>
      <c r="AC749" s="333">
        <v>0</v>
      </c>
      <c r="AD749" s="333">
        <v>0</v>
      </c>
      <c r="AE749" s="333"/>
      <c r="AF749" s="333"/>
      <c r="AG749" s="333">
        <f t="shared" si="115"/>
        <v>0</v>
      </c>
      <c r="AH749" s="330"/>
      <c r="AI749" s="330">
        <v>0</v>
      </c>
      <c r="AJ749" s="396">
        <f t="shared" si="116"/>
        <v>0</v>
      </c>
      <c r="AK749" s="563"/>
      <c r="AL749" s="285">
        <f t="shared" si="118"/>
        <v>0</v>
      </c>
      <c r="AM749" s="286"/>
      <c r="AO749" s="330" t="s">
        <v>5239</v>
      </c>
    </row>
    <row r="750" spans="1:41">
      <c r="A750" s="587">
        <f t="shared" si="117"/>
        <v>747</v>
      </c>
      <c r="B750" s="330" t="s">
        <v>1643</v>
      </c>
      <c r="C750" s="330" t="s">
        <v>5242</v>
      </c>
      <c r="D750" s="330" t="s">
        <v>1645</v>
      </c>
      <c r="E750" s="330" t="s">
        <v>2718</v>
      </c>
      <c r="F750" s="330" t="s">
        <v>1671</v>
      </c>
      <c r="G750" s="562">
        <v>1375</v>
      </c>
      <c r="H750" s="562">
        <v>876.73</v>
      </c>
      <c r="I750" s="562">
        <v>982.22</v>
      </c>
      <c r="J750" s="561" t="s">
        <v>1648</v>
      </c>
      <c r="K750" s="330" t="s">
        <v>5243</v>
      </c>
      <c r="L750" s="330" t="s">
        <v>5244</v>
      </c>
      <c r="M750" s="330" t="s">
        <v>5245</v>
      </c>
      <c r="N750" s="330" t="s">
        <v>5246</v>
      </c>
      <c r="O750" s="395">
        <v>45406</v>
      </c>
      <c r="P750" s="333">
        <v>7741048</v>
      </c>
      <c r="Q750" s="330" t="s">
        <v>1653</v>
      </c>
      <c r="R750" s="562">
        <v>0</v>
      </c>
      <c r="S750" s="333">
        <v>0</v>
      </c>
      <c r="T750" s="333">
        <v>-2283609.2800000003</v>
      </c>
      <c r="U750" s="333">
        <f t="shared" si="114"/>
        <v>-2283609.2800000003</v>
      </c>
      <c r="V750" s="333">
        <v>0</v>
      </c>
      <c r="W750" s="333">
        <v>0</v>
      </c>
      <c r="X750" s="333">
        <v>0</v>
      </c>
      <c r="Y750" s="333">
        <v>0</v>
      </c>
      <c r="Z750" s="333">
        <v>0</v>
      </c>
      <c r="AA750" s="333">
        <v>0</v>
      </c>
      <c r="AB750" s="333">
        <v>0</v>
      </c>
      <c r="AC750" s="333">
        <v>-38706</v>
      </c>
      <c r="AD750" s="333">
        <v>0</v>
      </c>
      <c r="AE750" s="333"/>
      <c r="AF750" s="333"/>
      <c r="AG750" s="333">
        <f t="shared" si="115"/>
        <v>-2322315.2800000003</v>
      </c>
      <c r="AH750" s="330"/>
      <c r="AI750" s="330">
        <v>38706</v>
      </c>
      <c r="AJ750" s="396">
        <f t="shared" si="116"/>
        <v>-2322315.2800000003</v>
      </c>
      <c r="AK750" s="563"/>
      <c r="AL750" s="285">
        <f>+AC750+AI750</f>
        <v>0</v>
      </c>
      <c r="AM750" s="286"/>
      <c r="AO750" s="330" t="s">
        <v>5243</v>
      </c>
    </row>
    <row r="751" spans="1:41">
      <c r="A751" s="587">
        <f t="shared" si="117"/>
        <v>748</v>
      </c>
      <c r="B751" s="330" t="s">
        <v>1643</v>
      </c>
      <c r="C751" s="330" t="s">
        <v>5247</v>
      </c>
      <c r="D751" s="330" t="s">
        <v>1662</v>
      </c>
      <c r="E751" s="330" t="s">
        <v>2012</v>
      </c>
      <c r="F751" s="330" t="s">
        <v>1647</v>
      </c>
      <c r="G751" s="562">
        <v>1114</v>
      </c>
      <c r="H751" s="562">
        <v>683.3</v>
      </c>
      <c r="I751" s="562">
        <v>795.57</v>
      </c>
      <c r="J751" s="561" t="s">
        <v>1648</v>
      </c>
      <c r="K751" s="330" t="s">
        <v>5248</v>
      </c>
      <c r="L751" s="330" t="s">
        <v>5249</v>
      </c>
      <c r="M751" s="330" t="s">
        <v>5250</v>
      </c>
      <c r="N751" s="330" t="s">
        <v>5251</v>
      </c>
      <c r="O751" s="395">
        <v>45446</v>
      </c>
      <c r="P751" s="333">
        <v>6320782</v>
      </c>
      <c r="Q751" s="330" t="s">
        <v>1653</v>
      </c>
      <c r="R751" s="562">
        <v>0</v>
      </c>
      <c r="S751" s="333">
        <v>0</v>
      </c>
      <c r="T751" s="333">
        <v>-1777603.0800000012</v>
      </c>
      <c r="U751" s="333">
        <f t="shared" si="114"/>
        <v>-1777603.0800000012</v>
      </c>
      <c r="V751" s="333">
        <v>-181841</v>
      </c>
      <c r="W751" s="333">
        <v>0</v>
      </c>
      <c r="X751" s="333">
        <v>0</v>
      </c>
      <c r="Y751" s="333">
        <v>0</v>
      </c>
      <c r="Z751" s="333">
        <v>0</v>
      </c>
      <c r="AA751" s="333">
        <v>0</v>
      </c>
      <c r="AB751" s="333">
        <v>0</v>
      </c>
      <c r="AC751" s="333">
        <v>-5.9999999985848262E-2</v>
      </c>
      <c r="AD751" s="333">
        <v>0</v>
      </c>
      <c r="AE751" s="333"/>
      <c r="AF751" s="333"/>
      <c r="AG751" s="333">
        <f t="shared" si="115"/>
        <v>-1959444.1400000013</v>
      </c>
      <c r="AH751" s="330"/>
      <c r="AI751" s="330">
        <v>5.9999999999490683E-2</v>
      </c>
      <c r="AJ751" s="396">
        <f t="shared" si="116"/>
        <v>-1959444.1400000013</v>
      </c>
      <c r="AK751" s="563"/>
      <c r="AL751" s="285">
        <f t="shared" si="118"/>
        <v>-0.11999999998533895</v>
      </c>
      <c r="AM751" s="286"/>
      <c r="AO751" s="330" t="s">
        <v>5248</v>
      </c>
    </row>
    <row r="752" spans="1:41">
      <c r="A752" s="587">
        <f t="shared" si="117"/>
        <v>749</v>
      </c>
      <c r="B752" s="330" t="s">
        <v>1643</v>
      </c>
      <c r="C752" s="330" t="s">
        <v>5203</v>
      </c>
      <c r="D752" s="330" t="s">
        <v>1677</v>
      </c>
      <c r="E752" s="330" t="s">
        <v>2619</v>
      </c>
      <c r="F752" s="330" t="s">
        <v>1647</v>
      </c>
      <c r="G752" s="562">
        <v>1012</v>
      </c>
      <c r="H752" s="562">
        <v>653.59</v>
      </c>
      <c r="I752" s="562">
        <v>723.02</v>
      </c>
      <c r="J752" s="561" t="s">
        <v>1648</v>
      </c>
      <c r="K752" s="330" t="s">
        <v>5252</v>
      </c>
      <c r="L752" s="330" t="s">
        <v>5253</v>
      </c>
      <c r="M752" s="330" t="s">
        <v>5254</v>
      </c>
      <c r="N752" s="330" t="s">
        <v>12</v>
      </c>
      <c r="O752" s="395"/>
      <c r="P752" s="333">
        <v>6525490</v>
      </c>
      <c r="Q752" s="330" t="s">
        <v>1660</v>
      </c>
      <c r="R752" s="562">
        <v>0</v>
      </c>
      <c r="S752" s="333">
        <v>0</v>
      </c>
      <c r="T752" s="333">
        <v>0</v>
      </c>
      <c r="U752" s="333">
        <f t="shared" si="114"/>
        <v>0</v>
      </c>
      <c r="V752" s="333">
        <v>0</v>
      </c>
      <c r="W752" s="333">
        <v>0</v>
      </c>
      <c r="X752" s="333">
        <v>0</v>
      </c>
      <c r="Y752" s="333">
        <v>0</v>
      </c>
      <c r="Z752" s="333">
        <v>0</v>
      </c>
      <c r="AA752" s="333">
        <v>0</v>
      </c>
      <c r="AB752" s="333">
        <v>0</v>
      </c>
      <c r="AC752" s="333">
        <v>0</v>
      </c>
      <c r="AD752" s="333">
        <v>0</v>
      </c>
      <c r="AE752" s="333"/>
      <c r="AF752" s="333"/>
      <c r="AG752" s="333">
        <f t="shared" si="115"/>
        <v>0</v>
      </c>
      <c r="AH752" s="330"/>
      <c r="AI752" s="330">
        <v>0</v>
      </c>
      <c r="AJ752" s="396">
        <f t="shared" si="116"/>
        <v>0</v>
      </c>
      <c r="AK752" s="563"/>
      <c r="AL752" s="285">
        <f t="shared" si="118"/>
        <v>0</v>
      </c>
      <c r="AM752" s="286"/>
      <c r="AO752" s="330" t="s">
        <v>5252</v>
      </c>
    </row>
    <row r="753" spans="1:41">
      <c r="A753" s="587">
        <f t="shared" si="117"/>
        <v>750</v>
      </c>
      <c r="B753" s="330" t="s">
        <v>1643</v>
      </c>
      <c r="C753" s="330" t="s">
        <v>2723</v>
      </c>
      <c r="D753" s="330" t="s">
        <v>1655</v>
      </c>
      <c r="E753" s="330" t="s">
        <v>1678</v>
      </c>
      <c r="F753" s="330" t="s">
        <v>1647</v>
      </c>
      <c r="G753" s="562">
        <v>1012</v>
      </c>
      <c r="H753" s="562">
        <v>653.59</v>
      </c>
      <c r="I753" s="562">
        <v>723.02</v>
      </c>
      <c r="J753" s="561" t="s">
        <v>1648</v>
      </c>
      <c r="K753" s="330" t="s">
        <v>5255</v>
      </c>
      <c r="L753" s="330" t="s">
        <v>5253</v>
      </c>
      <c r="M753" s="330" t="s">
        <v>5254</v>
      </c>
      <c r="N753" s="330" t="s">
        <v>12</v>
      </c>
      <c r="O753" s="395"/>
      <c r="P753" s="333">
        <v>6525490</v>
      </c>
      <c r="Q753" s="330" t="s">
        <v>1660</v>
      </c>
      <c r="R753" s="562">
        <v>0</v>
      </c>
      <c r="S753" s="333">
        <v>0</v>
      </c>
      <c r="T753" s="333">
        <v>-736799</v>
      </c>
      <c r="U753" s="333">
        <f t="shared" si="114"/>
        <v>-736799</v>
      </c>
      <c r="V753" s="333">
        <v>0</v>
      </c>
      <c r="W753" s="333">
        <v>0</v>
      </c>
      <c r="X753" s="333">
        <v>0</v>
      </c>
      <c r="Y753" s="333">
        <v>0</v>
      </c>
      <c r="Z753" s="333">
        <v>0</v>
      </c>
      <c r="AA753" s="333">
        <v>0</v>
      </c>
      <c r="AB753" s="333">
        <v>0</v>
      </c>
      <c r="AC753" s="333">
        <v>0</v>
      </c>
      <c r="AD753" s="333">
        <v>736799</v>
      </c>
      <c r="AE753" s="333"/>
      <c r="AF753" s="333"/>
      <c r="AG753" s="333">
        <f t="shared" si="115"/>
        <v>0</v>
      </c>
      <c r="AH753" s="330"/>
      <c r="AI753" s="330">
        <v>0</v>
      </c>
      <c r="AJ753" s="396">
        <f t="shared" si="116"/>
        <v>0</v>
      </c>
      <c r="AK753" s="563"/>
      <c r="AL753" s="285">
        <f>+AC753+AI753</f>
        <v>0</v>
      </c>
      <c r="AM753" s="286"/>
      <c r="AO753" s="330" t="s">
        <v>5255</v>
      </c>
    </row>
    <row r="754" spans="1:41">
      <c r="A754" s="587">
        <f t="shared" si="117"/>
        <v>751</v>
      </c>
      <c r="B754" s="330" t="s">
        <v>1643</v>
      </c>
      <c r="C754" s="330" t="s">
        <v>5256</v>
      </c>
      <c r="D754" s="330" t="s">
        <v>1677</v>
      </c>
      <c r="E754" s="330" t="s">
        <v>2237</v>
      </c>
      <c r="F754" s="330" t="s">
        <v>1647</v>
      </c>
      <c r="G754" s="562">
        <v>1012</v>
      </c>
      <c r="H754" s="562">
        <v>653.59</v>
      </c>
      <c r="I754" s="562">
        <v>723.02</v>
      </c>
      <c r="J754" s="561" t="s">
        <v>1679</v>
      </c>
      <c r="K754" s="330" t="s">
        <v>5257</v>
      </c>
      <c r="L754" s="330" t="s">
        <v>5258</v>
      </c>
      <c r="M754" s="330" t="s">
        <v>5259</v>
      </c>
      <c r="N754" s="330" t="s">
        <v>12</v>
      </c>
      <c r="O754" s="395"/>
      <c r="P754" s="333">
        <v>6276762</v>
      </c>
      <c r="Q754" s="330" t="s">
        <v>1653</v>
      </c>
      <c r="R754" s="562">
        <v>0</v>
      </c>
      <c r="S754" s="333">
        <v>0</v>
      </c>
      <c r="T754" s="333">
        <v>-736230</v>
      </c>
      <c r="U754" s="333">
        <f t="shared" si="114"/>
        <v>-736230</v>
      </c>
      <c r="V754" s="333">
        <v>0</v>
      </c>
      <c r="W754" s="333">
        <v>0</v>
      </c>
      <c r="X754" s="333">
        <v>0</v>
      </c>
      <c r="Y754" s="333">
        <v>0</v>
      </c>
      <c r="Z754" s="333">
        <v>0</v>
      </c>
      <c r="AA754" s="333">
        <v>0</v>
      </c>
      <c r="AB754" s="333">
        <v>0</v>
      </c>
      <c r="AC754" s="333">
        <v>0</v>
      </c>
      <c r="AD754" s="333">
        <v>0</v>
      </c>
      <c r="AE754" s="333"/>
      <c r="AF754" s="333"/>
      <c r="AG754" s="333">
        <f t="shared" si="115"/>
        <v>-736230</v>
      </c>
      <c r="AH754" s="330"/>
      <c r="AI754" s="330">
        <v>0</v>
      </c>
      <c r="AJ754" s="396">
        <f t="shared" si="116"/>
        <v>-736230</v>
      </c>
      <c r="AK754" s="563"/>
      <c r="AL754" s="285">
        <f t="shared" si="118"/>
        <v>0</v>
      </c>
      <c r="AM754" s="286"/>
      <c r="AO754" s="330" t="s">
        <v>5257</v>
      </c>
    </row>
    <row r="755" spans="1:41">
      <c r="A755" s="587">
        <f t="shared" si="117"/>
        <v>752</v>
      </c>
      <c r="B755" s="330" t="s">
        <v>1643</v>
      </c>
      <c r="C755" s="330" t="s">
        <v>5260</v>
      </c>
      <c r="D755" s="330" t="s">
        <v>1677</v>
      </c>
      <c r="E755" s="330" t="s">
        <v>2028</v>
      </c>
      <c r="F755" s="330" t="s">
        <v>1647</v>
      </c>
      <c r="G755" s="562">
        <v>1012</v>
      </c>
      <c r="H755" s="562">
        <v>653.59</v>
      </c>
      <c r="I755" s="562">
        <v>723.02</v>
      </c>
      <c r="J755" s="561" t="s">
        <v>1679</v>
      </c>
      <c r="K755" s="330" t="s">
        <v>5261</v>
      </c>
      <c r="L755" s="330" t="s">
        <v>5262</v>
      </c>
      <c r="M755" s="330" t="s">
        <v>5263</v>
      </c>
      <c r="N755" s="330" t="s">
        <v>12</v>
      </c>
      <c r="O755" s="395"/>
      <c r="P755" s="333">
        <v>6281238</v>
      </c>
      <c r="Q755" s="330" t="s">
        <v>1653</v>
      </c>
      <c r="R755" s="562">
        <v>0</v>
      </c>
      <c r="S755" s="333">
        <v>0</v>
      </c>
      <c r="T755" s="333">
        <v>-736665</v>
      </c>
      <c r="U755" s="333">
        <f t="shared" si="114"/>
        <v>-736665</v>
      </c>
      <c r="V755" s="333">
        <v>0</v>
      </c>
      <c r="W755" s="333">
        <v>0</v>
      </c>
      <c r="X755" s="333">
        <v>0</v>
      </c>
      <c r="Y755" s="333">
        <v>0</v>
      </c>
      <c r="Z755" s="333">
        <v>0</v>
      </c>
      <c r="AA755" s="333">
        <v>0</v>
      </c>
      <c r="AB755" s="333">
        <v>0</v>
      </c>
      <c r="AC755" s="333">
        <v>0</v>
      </c>
      <c r="AD755" s="333">
        <v>0</v>
      </c>
      <c r="AE755" s="333"/>
      <c r="AF755" s="333"/>
      <c r="AG755" s="333">
        <f t="shared" si="115"/>
        <v>-736665</v>
      </c>
      <c r="AH755" s="330"/>
      <c r="AI755" s="330">
        <v>0</v>
      </c>
      <c r="AJ755" s="396">
        <f t="shared" si="116"/>
        <v>-736665</v>
      </c>
      <c r="AK755" s="563"/>
      <c r="AL755" s="285">
        <f t="shared" si="118"/>
        <v>0</v>
      </c>
      <c r="AM755" s="286"/>
      <c r="AO755" s="330" t="s">
        <v>5261</v>
      </c>
    </row>
    <row r="756" spans="1:41">
      <c r="A756" s="587">
        <f t="shared" si="117"/>
        <v>753</v>
      </c>
      <c r="B756" s="330" t="s">
        <v>1643</v>
      </c>
      <c r="C756" s="330" t="s">
        <v>5264</v>
      </c>
      <c r="D756" s="330" t="s">
        <v>1704</v>
      </c>
      <c r="E756" s="330" t="s">
        <v>2274</v>
      </c>
      <c r="F756" s="330" t="s">
        <v>1647</v>
      </c>
      <c r="G756" s="562">
        <v>1012</v>
      </c>
      <c r="H756" s="562">
        <v>653.59</v>
      </c>
      <c r="I756" s="562">
        <v>723.02</v>
      </c>
      <c r="J756" s="561" t="s">
        <v>1648</v>
      </c>
      <c r="K756" s="330" t="s">
        <v>5265</v>
      </c>
      <c r="L756" s="330" t="s">
        <v>5266</v>
      </c>
      <c r="M756" s="330" t="s">
        <v>5267</v>
      </c>
      <c r="N756" s="330" t="s">
        <v>5268</v>
      </c>
      <c r="O756" s="395">
        <v>45509</v>
      </c>
      <c r="P756" s="333">
        <v>5776762</v>
      </c>
      <c r="Q756" s="330" t="s">
        <v>1653</v>
      </c>
      <c r="R756" s="562">
        <v>0</v>
      </c>
      <c r="S756" s="333">
        <v>0</v>
      </c>
      <c r="T756" s="333">
        <v>-1784895.5599999994</v>
      </c>
      <c r="U756" s="333">
        <f t="shared" si="114"/>
        <v>-1784895.5599999994</v>
      </c>
      <c r="V756" s="333">
        <v>0</v>
      </c>
      <c r="W756" s="333">
        <v>0</v>
      </c>
      <c r="X756" s="333">
        <v>0</v>
      </c>
      <c r="Y756" s="333">
        <v>0</v>
      </c>
      <c r="Z756" s="333">
        <v>0</v>
      </c>
      <c r="AA756" s="333">
        <v>0</v>
      </c>
      <c r="AB756" s="333">
        <v>0</v>
      </c>
      <c r="AC756" s="333">
        <v>0</v>
      </c>
      <c r="AD756" s="333">
        <v>0</v>
      </c>
      <c r="AE756" s="333"/>
      <c r="AF756" s="333"/>
      <c r="AG756" s="333">
        <f t="shared" si="115"/>
        <v>-1784895.5599999994</v>
      </c>
      <c r="AH756" s="330"/>
      <c r="AI756" s="330">
        <v>0</v>
      </c>
      <c r="AJ756" s="396">
        <f t="shared" si="116"/>
        <v>-1784895.5599999994</v>
      </c>
      <c r="AK756" s="563"/>
      <c r="AL756" s="285">
        <f t="shared" si="118"/>
        <v>0</v>
      </c>
      <c r="AM756" s="286"/>
      <c r="AO756" s="330" t="s">
        <v>5265</v>
      </c>
    </row>
    <row r="757" spans="1:41">
      <c r="A757" s="587">
        <f t="shared" si="117"/>
        <v>754</v>
      </c>
      <c r="B757" s="330" t="s">
        <v>1643</v>
      </c>
      <c r="C757" s="330" t="s">
        <v>5269</v>
      </c>
      <c r="D757" s="330" t="s">
        <v>1662</v>
      </c>
      <c r="E757" s="330" t="s">
        <v>1646</v>
      </c>
      <c r="F757" s="330" t="s">
        <v>1647</v>
      </c>
      <c r="G757" s="562">
        <v>1012</v>
      </c>
      <c r="H757" s="562">
        <v>653.59</v>
      </c>
      <c r="I757" s="562">
        <v>723.02</v>
      </c>
      <c r="J757" s="561" t="s">
        <v>1810</v>
      </c>
      <c r="K757" s="330" t="s">
        <v>5270</v>
      </c>
      <c r="L757" s="330" t="s">
        <v>5271</v>
      </c>
      <c r="M757" s="330" t="s">
        <v>5272</v>
      </c>
      <c r="N757" s="330" t="s">
        <v>5273</v>
      </c>
      <c r="O757" s="395">
        <v>45441</v>
      </c>
      <c r="P757" s="333">
        <v>5683644</v>
      </c>
      <c r="Q757" s="330" t="s">
        <v>1653</v>
      </c>
      <c r="R757" s="562">
        <v>0</v>
      </c>
      <c r="S757" s="333">
        <v>0</v>
      </c>
      <c r="T757" s="333">
        <v>-1705092</v>
      </c>
      <c r="U757" s="333">
        <f t="shared" si="114"/>
        <v>-1705092</v>
      </c>
      <c r="V757" s="333">
        <v>0</v>
      </c>
      <c r="W757" s="333">
        <v>0</v>
      </c>
      <c r="X757" s="333">
        <v>0</v>
      </c>
      <c r="Y757" s="333">
        <v>0</v>
      </c>
      <c r="Z757" s="333">
        <v>0</v>
      </c>
      <c r="AA757" s="333">
        <v>0</v>
      </c>
      <c r="AB757" s="333">
        <v>0</v>
      </c>
      <c r="AC757" s="333">
        <v>9.9999999220017344E-3</v>
      </c>
      <c r="AD757" s="333">
        <v>0</v>
      </c>
      <c r="AE757" s="333"/>
      <c r="AF757" s="333"/>
      <c r="AG757" s="333">
        <f t="shared" si="115"/>
        <v>-1705091.99</v>
      </c>
      <c r="AH757" s="330"/>
      <c r="AI757" s="330">
        <v>0.33999999999650754</v>
      </c>
      <c r="AJ757" s="396">
        <f t="shared" si="116"/>
        <v>-1705091.99</v>
      </c>
      <c r="AK757" s="563"/>
      <c r="AL757" s="285">
        <f t="shared" si="118"/>
        <v>-0.33000000007450581</v>
      </c>
      <c r="AM757" s="286"/>
      <c r="AO757" s="330" t="s">
        <v>5270</v>
      </c>
    </row>
    <row r="758" spans="1:41">
      <c r="A758" s="587">
        <f t="shared" si="117"/>
        <v>755</v>
      </c>
      <c r="B758" s="330" t="s">
        <v>1643</v>
      </c>
      <c r="C758" s="330" t="s">
        <v>5274</v>
      </c>
      <c r="D758" s="330" t="s">
        <v>1645</v>
      </c>
      <c r="E758" s="330" t="s">
        <v>2100</v>
      </c>
      <c r="F758" s="330" t="s">
        <v>1647</v>
      </c>
      <c r="G758" s="562">
        <v>1114</v>
      </c>
      <c r="H758" s="562">
        <v>683.3</v>
      </c>
      <c r="I758" s="562">
        <v>795.57</v>
      </c>
      <c r="J758" s="561" t="s">
        <v>1810</v>
      </c>
      <c r="K758" s="330" t="s">
        <v>5275</v>
      </c>
      <c r="L758" s="330" t="s">
        <v>5276</v>
      </c>
      <c r="M758" s="330" t="s">
        <v>5277</v>
      </c>
      <c r="N758" s="330" t="s">
        <v>5278</v>
      </c>
      <c r="O758" s="395">
        <v>45442</v>
      </c>
      <c r="P758" s="333">
        <v>6287368</v>
      </c>
      <c r="Q758" s="330" t="s">
        <v>1653</v>
      </c>
      <c r="R758" s="562">
        <v>0</v>
      </c>
      <c r="S758" s="333">
        <v>0</v>
      </c>
      <c r="T758" s="333">
        <v>-1438055.1600000001</v>
      </c>
      <c r="U758" s="333">
        <f t="shared" si="114"/>
        <v>-1438055.1600000001</v>
      </c>
      <c r="V758" s="333">
        <v>-503886</v>
      </c>
      <c r="W758" s="333">
        <v>0</v>
      </c>
      <c r="X758" s="333">
        <v>0</v>
      </c>
      <c r="Y758" s="333">
        <v>0</v>
      </c>
      <c r="Z758" s="333">
        <v>0</v>
      </c>
      <c r="AA758" s="333">
        <v>0</v>
      </c>
      <c r="AB758" s="333">
        <v>0</v>
      </c>
      <c r="AC758" s="333">
        <v>-7143</v>
      </c>
      <c r="AD758" s="333">
        <v>0</v>
      </c>
      <c r="AE758" s="333"/>
      <c r="AF758" s="333"/>
      <c r="AG758" s="333">
        <f t="shared" si="115"/>
        <v>-1949084.1600000001</v>
      </c>
      <c r="AH758" s="330"/>
      <c r="AI758" s="330">
        <v>7143</v>
      </c>
      <c r="AJ758" s="396">
        <f t="shared" si="116"/>
        <v>-1949084.1600000001</v>
      </c>
      <c r="AK758" s="563"/>
      <c r="AL758" s="285">
        <f t="shared" ref="AL758:AL759" si="121">+AC758+AI758</f>
        <v>0</v>
      </c>
      <c r="AM758" s="286"/>
      <c r="AO758" s="330" t="s">
        <v>5275</v>
      </c>
    </row>
    <row r="759" spans="1:41">
      <c r="A759" s="587">
        <f t="shared" si="117"/>
        <v>756</v>
      </c>
      <c r="B759" s="330" t="s">
        <v>1643</v>
      </c>
      <c r="C759" s="330" t="s">
        <v>5279</v>
      </c>
      <c r="D759" s="330" t="s">
        <v>1746</v>
      </c>
      <c r="E759" s="330" t="s">
        <v>3329</v>
      </c>
      <c r="F759" s="330" t="s">
        <v>1647</v>
      </c>
      <c r="G759" s="562">
        <v>1114</v>
      </c>
      <c r="H759" s="562">
        <v>683.3</v>
      </c>
      <c r="I759" s="562">
        <v>795.57</v>
      </c>
      <c r="J759" s="561" t="s">
        <v>1648</v>
      </c>
      <c r="K759" s="330" t="s">
        <v>5280</v>
      </c>
      <c r="L759" s="330" t="s">
        <v>5281</v>
      </c>
      <c r="M759" s="330" t="s">
        <v>5282</v>
      </c>
      <c r="N759" s="330" t="s">
        <v>5283</v>
      </c>
      <c r="O759" s="395">
        <v>45443</v>
      </c>
      <c r="P759" s="333">
        <v>6337489</v>
      </c>
      <c r="Q759" s="330" t="s">
        <v>1653</v>
      </c>
      <c r="R759" s="562">
        <v>0</v>
      </c>
      <c r="S759" s="333">
        <v>0</v>
      </c>
      <c r="T759" s="333">
        <v>-1777185.6600000004</v>
      </c>
      <c r="U759" s="333">
        <f t="shared" si="114"/>
        <v>-1777185.6600000004</v>
      </c>
      <c r="V759" s="333">
        <v>-182718</v>
      </c>
      <c r="W759" s="333">
        <v>0</v>
      </c>
      <c r="X759" s="333">
        <v>0</v>
      </c>
      <c r="Y759" s="333">
        <v>0</v>
      </c>
      <c r="Z759" s="333">
        <v>0</v>
      </c>
      <c r="AA759" s="333">
        <v>0</v>
      </c>
      <c r="AB759" s="333">
        <v>0</v>
      </c>
      <c r="AC759" s="333">
        <v>-4714</v>
      </c>
      <c r="AD759" s="333">
        <v>0</v>
      </c>
      <c r="AE759" s="333"/>
      <c r="AF759" s="333"/>
      <c r="AG759" s="333">
        <f t="shared" si="115"/>
        <v>-1964617.6600000004</v>
      </c>
      <c r="AH759" s="330"/>
      <c r="AI759" s="330">
        <v>4714</v>
      </c>
      <c r="AJ759" s="396">
        <f t="shared" si="116"/>
        <v>-1964617.6600000004</v>
      </c>
      <c r="AK759" s="563"/>
      <c r="AL759" s="285">
        <f t="shared" si="121"/>
        <v>0</v>
      </c>
      <c r="AM759" s="286"/>
      <c r="AO759" s="330" t="s">
        <v>5280</v>
      </c>
    </row>
    <row r="760" spans="1:41">
      <c r="A760" s="587">
        <f t="shared" si="117"/>
        <v>757</v>
      </c>
      <c r="B760" s="330" t="s">
        <v>1643</v>
      </c>
      <c r="C760" s="330" t="s">
        <v>5284</v>
      </c>
      <c r="D760" s="330" t="s">
        <v>1655</v>
      </c>
      <c r="E760" s="330" t="s">
        <v>1747</v>
      </c>
      <c r="F760" s="330" t="s">
        <v>1647</v>
      </c>
      <c r="G760" s="562">
        <v>1114</v>
      </c>
      <c r="H760" s="562">
        <v>683.3</v>
      </c>
      <c r="I760" s="562">
        <v>795.57</v>
      </c>
      <c r="J760" s="561" t="s">
        <v>1648</v>
      </c>
      <c r="K760" s="330" t="s">
        <v>5285</v>
      </c>
      <c r="L760" s="330" t="s">
        <v>5286</v>
      </c>
      <c r="M760" s="330" t="s">
        <v>5287</v>
      </c>
      <c r="N760" s="330" t="s">
        <v>12</v>
      </c>
      <c r="O760" s="395"/>
      <c r="P760" s="333">
        <v>6959810</v>
      </c>
      <c r="Q760" s="330" t="s">
        <v>1653</v>
      </c>
      <c r="R760" s="562">
        <v>0</v>
      </c>
      <c r="S760" s="333">
        <v>0</v>
      </c>
      <c r="T760" s="333">
        <v>-219234</v>
      </c>
      <c r="U760" s="333">
        <f t="shared" si="114"/>
        <v>-219234</v>
      </c>
      <c r="V760" s="333">
        <v>0</v>
      </c>
      <c r="W760" s="333">
        <v>0</v>
      </c>
      <c r="X760" s="333">
        <v>0</v>
      </c>
      <c r="Y760" s="333">
        <v>0</v>
      </c>
      <c r="Z760" s="333">
        <v>0</v>
      </c>
      <c r="AA760" s="333">
        <v>0</v>
      </c>
      <c r="AB760" s="333">
        <v>0</v>
      </c>
      <c r="AC760" s="333">
        <v>0</v>
      </c>
      <c r="AD760" s="333">
        <v>0</v>
      </c>
      <c r="AE760" s="333"/>
      <c r="AF760" s="333"/>
      <c r="AG760" s="333">
        <f t="shared" si="115"/>
        <v>-219234</v>
      </c>
      <c r="AH760" s="330"/>
      <c r="AI760" s="330">
        <v>0</v>
      </c>
      <c r="AJ760" s="396">
        <f t="shared" si="116"/>
        <v>-219234</v>
      </c>
      <c r="AK760" s="563"/>
      <c r="AL760" s="285">
        <f t="shared" si="118"/>
        <v>0</v>
      </c>
      <c r="AM760" s="286"/>
      <c r="AO760" s="330" t="s">
        <v>5285</v>
      </c>
    </row>
    <row r="761" spans="1:41">
      <c r="A761" s="587">
        <f t="shared" si="117"/>
        <v>758</v>
      </c>
      <c r="B761" s="330" t="s">
        <v>1643</v>
      </c>
      <c r="C761" s="330" t="s">
        <v>5288</v>
      </c>
      <c r="D761" s="330" t="s">
        <v>1645</v>
      </c>
      <c r="E761" s="330" t="s">
        <v>4038</v>
      </c>
      <c r="F761" s="330" t="s">
        <v>1647</v>
      </c>
      <c r="G761" s="562">
        <v>1114</v>
      </c>
      <c r="H761" s="562">
        <v>683.3</v>
      </c>
      <c r="I761" s="562">
        <v>795.57</v>
      </c>
      <c r="J761" s="561" t="s">
        <v>1648</v>
      </c>
      <c r="K761" s="330" t="s">
        <v>5289</v>
      </c>
      <c r="L761" s="330" t="s">
        <v>5290</v>
      </c>
      <c r="M761" s="330" t="s">
        <v>5291</v>
      </c>
      <c r="N761" s="330" t="s">
        <v>5292</v>
      </c>
      <c r="O761" s="395">
        <v>45437</v>
      </c>
      <c r="P761" s="333">
        <v>6248385</v>
      </c>
      <c r="Q761" s="330" t="s">
        <v>1653</v>
      </c>
      <c r="R761" s="562">
        <v>0</v>
      </c>
      <c r="S761" s="333">
        <v>0</v>
      </c>
      <c r="T761" s="333">
        <v>-1957862.0799999991</v>
      </c>
      <c r="U761" s="333">
        <f t="shared" si="114"/>
        <v>-1957862.0799999991</v>
      </c>
      <c r="V761" s="333">
        <v>0</v>
      </c>
      <c r="W761" s="333">
        <v>0</v>
      </c>
      <c r="X761" s="333">
        <v>0</v>
      </c>
      <c r="Y761" s="333">
        <v>0</v>
      </c>
      <c r="Z761" s="333">
        <v>0</v>
      </c>
      <c r="AA761" s="333">
        <v>0</v>
      </c>
      <c r="AB761" s="333">
        <v>0</v>
      </c>
      <c r="AC761" s="333">
        <v>-16666.899999999994</v>
      </c>
      <c r="AD761" s="333">
        <v>0</v>
      </c>
      <c r="AE761" s="333"/>
      <c r="AF761" s="333"/>
      <c r="AG761" s="333">
        <f t="shared" si="115"/>
        <v>-1974528.9799999991</v>
      </c>
      <c r="AH761" s="330"/>
      <c r="AI761" s="330">
        <v>16666.900000000001</v>
      </c>
      <c r="AJ761" s="396">
        <f t="shared" si="116"/>
        <v>-1974528.9799999991</v>
      </c>
      <c r="AK761" s="563"/>
      <c r="AL761" s="285">
        <f>+AC761+AI761</f>
        <v>0</v>
      </c>
      <c r="AM761" s="286"/>
      <c r="AO761" s="330" t="s">
        <v>5289</v>
      </c>
    </row>
    <row r="762" spans="1:41">
      <c r="A762" s="587">
        <f t="shared" si="117"/>
        <v>759</v>
      </c>
      <c r="B762" s="330" t="s">
        <v>1643</v>
      </c>
      <c r="C762" s="330" t="s">
        <v>5293</v>
      </c>
      <c r="D762" s="330" t="s">
        <v>1662</v>
      </c>
      <c r="E762" s="330" t="s">
        <v>2661</v>
      </c>
      <c r="F762" s="330" t="s">
        <v>1647</v>
      </c>
      <c r="G762" s="562">
        <v>1012</v>
      </c>
      <c r="H762" s="562">
        <v>653.59</v>
      </c>
      <c r="I762" s="562">
        <v>723.02</v>
      </c>
      <c r="J762" s="561" t="s">
        <v>1648</v>
      </c>
      <c r="K762" s="330" t="s">
        <v>5294</v>
      </c>
      <c r="L762" s="330" t="s">
        <v>5295</v>
      </c>
      <c r="M762" s="330" t="s">
        <v>5296</v>
      </c>
      <c r="N762" s="330" t="s">
        <v>5297</v>
      </c>
      <c r="O762" s="395">
        <v>45432</v>
      </c>
      <c r="P762" s="333">
        <v>5647945</v>
      </c>
      <c r="Q762" s="330" t="s">
        <v>1653</v>
      </c>
      <c r="R762" s="562">
        <v>0</v>
      </c>
      <c r="S762" s="333">
        <v>0</v>
      </c>
      <c r="T762" s="333">
        <v>-1743722.2700000003</v>
      </c>
      <c r="U762" s="333">
        <f t="shared" si="114"/>
        <v>-1743722.2700000003</v>
      </c>
      <c r="V762" s="333">
        <v>0</v>
      </c>
      <c r="W762" s="333">
        <v>0</v>
      </c>
      <c r="X762" s="333">
        <v>0</v>
      </c>
      <c r="Y762" s="333">
        <v>0</v>
      </c>
      <c r="Z762" s="333">
        <v>0</v>
      </c>
      <c r="AA762" s="333">
        <v>0</v>
      </c>
      <c r="AB762" s="333">
        <v>0</v>
      </c>
      <c r="AC762" s="333">
        <v>0</v>
      </c>
      <c r="AD762" s="333">
        <v>0</v>
      </c>
      <c r="AE762" s="333"/>
      <c r="AF762" s="333"/>
      <c r="AG762" s="333">
        <f t="shared" si="115"/>
        <v>-1743722.2700000003</v>
      </c>
      <c r="AH762" s="330"/>
      <c r="AI762" s="330">
        <v>0</v>
      </c>
      <c r="AJ762" s="396">
        <f t="shared" si="116"/>
        <v>-1743722.2700000003</v>
      </c>
      <c r="AK762" s="563"/>
      <c r="AL762" s="285">
        <f t="shared" si="118"/>
        <v>0</v>
      </c>
      <c r="AM762" s="286"/>
      <c r="AO762" s="330" t="s">
        <v>5294</v>
      </c>
    </row>
    <row r="763" spans="1:41">
      <c r="A763" s="587">
        <f t="shared" si="117"/>
        <v>760</v>
      </c>
      <c r="B763" s="330" t="s">
        <v>1643</v>
      </c>
      <c r="C763" s="330" t="s">
        <v>5298</v>
      </c>
      <c r="D763" s="330" t="s">
        <v>2153</v>
      </c>
      <c r="E763" s="330" t="s">
        <v>2073</v>
      </c>
      <c r="F763" s="330" t="s">
        <v>1647</v>
      </c>
      <c r="G763" s="562">
        <v>1114</v>
      </c>
      <c r="H763" s="562">
        <v>683.3</v>
      </c>
      <c r="I763" s="562">
        <v>795.57</v>
      </c>
      <c r="J763" s="561" t="s">
        <v>1648</v>
      </c>
      <c r="K763" s="330" t="s">
        <v>5299</v>
      </c>
      <c r="L763" s="330" t="s">
        <v>5300</v>
      </c>
      <c r="M763" s="330" t="s">
        <v>5301</v>
      </c>
      <c r="N763" s="330" t="s">
        <v>5302</v>
      </c>
      <c r="O763" s="395">
        <v>45454</v>
      </c>
      <c r="P763" s="333">
        <v>6446381</v>
      </c>
      <c r="Q763" s="330" t="s">
        <v>1653</v>
      </c>
      <c r="R763" s="562">
        <v>0</v>
      </c>
      <c r="S763" s="333">
        <v>0</v>
      </c>
      <c r="T763" s="333">
        <v>-1738745.28</v>
      </c>
      <c r="U763" s="333">
        <f t="shared" si="114"/>
        <v>-1738745.28</v>
      </c>
      <c r="V763" s="333">
        <v>0</v>
      </c>
      <c r="W763" s="333">
        <v>0</v>
      </c>
      <c r="X763" s="333">
        <v>0</v>
      </c>
      <c r="Y763" s="333">
        <v>0</v>
      </c>
      <c r="Z763" s="333">
        <v>0</v>
      </c>
      <c r="AA763" s="333">
        <v>0</v>
      </c>
      <c r="AB763" s="333">
        <v>0</v>
      </c>
      <c r="AC763" s="333">
        <v>-95166.85</v>
      </c>
      <c r="AD763" s="333">
        <v>0</v>
      </c>
      <c r="AE763" s="333"/>
      <c r="AF763" s="333"/>
      <c r="AG763" s="333">
        <f t="shared" si="115"/>
        <v>-1833912.1300000001</v>
      </c>
      <c r="AH763" s="330"/>
      <c r="AI763" s="330">
        <v>95167</v>
      </c>
      <c r="AJ763" s="396">
        <f t="shared" si="116"/>
        <v>-1833912.1300000001</v>
      </c>
      <c r="AK763" s="563"/>
      <c r="AL763" s="285">
        <f>+AC763+AI763</f>
        <v>0.14999999999417923</v>
      </c>
      <c r="AM763" s="286"/>
      <c r="AO763" s="330" t="s">
        <v>5299</v>
      </c>
    </row>
    <row r="764" spans="1:41">
      <c r="A764" s="587">
        <f t="shared" si="117"/>
        <v>761</v>
      </c>
      <c r="B764" s="330" t="s">
        <v>1643</v>
      </c>
      <c r="C764" s="330" t="s">
        <v>5303</v>
      </c>
      <c r="D764" s="330" t="s">
        <v>1662</v>
      </c>
      <c r="E764" s="330" t="s">
        <v>2274</v>
      </c>
      <c r="F764" s="330" t="s">
        <v>1647</v>
      </c>
      <c r="G764" s="562">
        <v>1012</v>
      </c>
      <c r="H764" s="562">
        <v>653.59</v>
      </c>
      <c r="I764" s="562">
        <v>723.02</v>
      </c>
      <c r="J764" s="561" t="s">
        <v>1679</v>
      </c>
      <c r="K764" s="330" t="s">
        <v>5304</v>
      </c>
      <c r="L764" s="330" t="s">
        <v>5305</v>
      </c>
      <c r="M764" s="330" t="s">
        <v>5306</v>
      </c>
      <c r="N764" s="330" t="s">
        <v>5307</v>
      </c>
      <c r="O764" s="395">
        <v>45429</v>
      </c>
      <c r="P764" s="333">
        <v>5729194</v>
      </c>
      <c r="Q764" s="330" t="s">
        <v>1653</v>
      </c>
      <c r="R764" s="562">
        <v>0</v>
      </c>
      <c r="S764" s="333">
        <v>0</v>
      </c>
      <c r="T764" s="333">
        <v>-1080214.02</v>
      </c>
      <c r="U764" s="333">
        <f t="shared" si="114"/>
        <v>-1080214.02</v>
      </c>
      <c r="V764" s="333">
        <v>-588694</v>
      </c>
      <c r="W764" s="333">
        <v>0</v>
      </c>
      <c r="X764" s="333">
        <v>0</v>
      </c>
      <c r="Y764" s="333">
        <v>0</v>
      </c>
      <c r="Z764" s="333">
        <v>0</v>
      </c>
      <c r="AA764" s="333">
        <v>0</v>
      </c>
      <c r="AB764" s="333">
        <v>0</v>
      </c>
      <c r="AC764" s="333">
        <v>4.0000000008149073E-2</v>
      </c>
      <c r="AD764" s="333">
        <v>0</v>
      </c>
      <c r="AE764" s="333"/>
      <c r="AF764" s="333"/>
      <c r="AG764" s="333">
        <f t="shared" si="115"/>
        <v>-1668907.98</v>
      </c>
      <c r="AH764" s="330"/>
      <c r="AI764" s="330">
        <v>-3.999999999996362E-2</v>
      </c>
      <c r="AJ764" s="396">
        <f t="shared" si="116"/>
        <v>-1668907.98</v>
      </c>
      <c r="AK764" s="563"/>
      <c r="AL764" s="285">
        <f t="shared" si="118"/>
        <v>8.0000000008112693E-2</v>
      </c>
      <c r="AM764" s="286"/>
      <c r="AO764" s="330" t="s">
        <v>5304</v>
      </c>
    </row>
    <row r="765" spans="1:41">
      <c r="A765" s="587">
        <f t="shared" si="117"/>
        <v>762</v>
      </c>
      <c r="B765" s="330" t="s">
        <v>1643</v>
      </c>
      <c r="C765" s="330" t="s">
        <v>5308</v>
      </c>
      <c r="D765" s="330" t="s">
        <v>1655</v>
      </c>
      <c r="E765" s="330" t="s">
        <v>3344</v>
      </c>
      <c r="F765" s="330" t="s">
        <v>1647</v>
      </c>
      <c r="G765" s="562">
        <v>1012</v>
      </c>
      <c r="H765" s="562">
        <v>653.59</v>
      </c>
      <c r="I765" s="562">
        <v>723.02</v>
      </c>
      <c r="J765" s="561" t="s">
        <v>1648</v>
      </c>
      <c r="K765" s="330" t="s">
        <v>5309</v>
      </c>
      <c r="L765" s="330" t="s">
        <v>5310</v>
      </c>
      <c r="M765" s="330" t="s">
        <v>5311</v>
      </c>
      <c r="N765" s="330" t="s">
        <v>12</v>
      </c>
      <c r="O765" s="395"/>
      <c r="P765" s="333">
        <v>6066952</v>
      </c>
      <c r="Q765" s="330" t="s">
        <v>1660</v>
      </c>
      <c r="R765" s="562">
        <v>0</v>
      </c>
      <c r="S765" s="333">
        <v>0</v>
      </c>
      <c r="T765" s="333">
        <v>-773215</v>
      </c>
      <c r="U765" s="333">
        <f t="shared" si="114"/>
        <v>-773215</v>
      </c>
      <c r="V765" s="333">
        <v>773215</v>
      </c>
      <c r="W765" s="333">
        <v>0</v>
      </c>
      <c r="X765" s="333">
        <v>0</v>
      </c>
      <c r="Y765" s="333">
        <v>0</v>
      </c>
      <c r="Z765" s="333">
        <v>0</v>
      </c>
      <c r="AA765" s="333">
        <v>0</v>
      </c>
      <c r="AB765" s="333">
        <v>0</v>
      </c>
      <c r="AC765" s="333">
        <v>0</v>
      </c>
      <c r="AD765" s="333">
        <v>0</v>
      </c>
      <c r="AE765" s="333"/>
      <c r="AF765" s="333"/>
      <c r="AG765" s="333">
        <f t="shared" si="115"/>
        <v>0</v>
      </c>
      <c r="AH765" s="330"/>
      <c r="AI765" s="330">
        <v>0</v>
      </c>
      <c r="AJ765" s="396">
        <f t="shared" si="116"/>
        <v>0</v>
      </c>
      <c r="AK765" s="563"/>
      <c r="AL765" s="285">
        <f t="shared" si="118"/>
        <v>0</v>
      </c>
      <c r="AM765" s="286"/>
      <c r="AO765" s="330" t="s">
        <v>5309</v>
      </c>
    </row>
    <row r="766" spans="1:41">
      <c r="A766" s="587">
        <f t="shared" si="117"/>
        <v>763</v>
      </c>
      <c r="B766" s="330" t="s">
        <v>1643</v>
      </c>
      <c r="C766" s="330" t="s">
        <v>5312</v>
      </c>
      <c r="D766" s="330" t="s">
        <v>1662</v>
      </c>
      <c r="E766" s="330" t="s">
        <v>1684</v>
      </c>
      <c r="F766" s="330" t="s">
        <v>1786</v>
      </c>
      <c r="G766" s="562">
        <v>1265</v>
      </c>
      <c r="H766" s="562">
        <v>813.33</v>
      </c>
      <c r="I766" s="562">
        <v>903.31</v>
      </c>
      <c r="J766" s="561" t="s">
        <v>1648</v>
      </c>
      <c r="K766" s="330" t="s">
        <v>5313</v>
      </c>
      <c r="L766" s="330" t="s">
        <v>5314</v>
      </c>
      <c r="M766" s="330" t="s">
        <v>5315</v>
      </c>
      <c r="N766" s="330" t="s">
        <v>5316</v>
      </c>
      <c r="O766" s="395">
        <v>45434</v>
      </c>
      <c r="P766" s="333">
        <v>7221099</v>
      </c>
      <c r="Q766" s="330" t="s">
        <v>1653</v>
      </c>
      <c r="R766" s="562">
        <v>0</v>
      </c>
      <c r="S766" s="333">
        <v>0</v>
      </c>
      <c r="T766" s="333">
        <v>-2231397.5000000009</v>
      </c>
      <c r="U766" s="333">
        <f t="shared" si="114"/>
        <v>-2231397.5000000009</v>
      </c>
      <c r="V766" s="333">
        <v>24070</v>
      </c>
      <c r="W766" s="333">
        <v>0</v>
      </c>
      <c r="X766" s="333">
        <v>0</v>
      </c>
      <c r="Y766" s="333">
        <v>0</v>
      </c>
      <c r="Z766" s="333">
        <v>0</v>
      </c>
      <c r="AA766" s="333">
        <v>0</v>
      </c>
      <c r="AB766" s="333">
        <v>0</v>
      </c>
      <c r="AC766" s="333">
        <v>-7143.0800000000163</v>
      </c>
      <c r="AD766" s="333">
        <v>0</v>
      </c>
      <c r="AE766" s="333"/>
      <c r="AF766" s="333"/>
      <c r="AG766" s="333">
        <f t="shared" si="115"/>
        <v>-2214470.580000001</v>
      </c>
      <c r="AH766" s="330"/>
      <c r="AI766" s="330">
        <v>7143.0800000000017</v>
      </c>
      <c r="AJ766" s="396">
        <f t="shared" si="116"/>
        <v>-2214470.580000001</v>
      </c>
      <c r="AK766" s="563"/>
      <c r="AL766" s="285">
        <f>+AC766+AI766</f>
        <v>-1.4551915228366852E-11</v>
      </c>
      <c r="AM766" s="286"/>
      <c r="AO766" s="330" t="s">
        <v>5313</v>
      </c>
    </row>
    <row r="767" spans="1:41">
      <c r="A767" s="587">
        <f t="shared" si="117"/>
        <v>764</v>
      </c>
      <c r="B767" s="330" t="s">
        <v>1643</v>
      </c>
      <c r="C767" s="330" t="s">
        <v>3250</v>
      </c>
      <c r="D767" s="330" t="s">
        <v>1746</v>
      </c>
      <c r="E767" s="330" t="s">
        <v>2572</v>
      </c>
      <c r="F767" s="330" t="s">
        <v>1647</v>
      </c>
      <c r="G767" s="562">
        <v>1012</v>
      </c>
      <c r="H767" s="562">
        <v>653.59</v>
      </c>
      <c r="I767" s="562">
        <v>723.02</v>
      </c>
      <c r="J767" s="561" t="s">
        <v>1648</v>
      </c>
      <c r="K767" s="330" t="s">
        <v>5317</v>
      </c>
      <c r="L767" s="330" t="s">
        <v>5318</v>
      </c>
      <c r="M767" s="330" t="s">
        <v>5319</v>
      </c>
      <c r="N767" s="330" t="s">
        <v>3254</v>
      </c>
      <c r="O767" s="395">
        <v>45506</v>
      </c>
      <c r="P767" s="333">
        <v>5821428</v>
      </c>
      <c r="Q767" s="330" t="s">
        <v>1653</v>
      </c>
      <c r="R767" s="562">
        <v>0</v>
      </c>
      <c r="S767" s="333">
        <v>0</v>
      </c>
      <c r="T767" s="333">
        <v>-1469892.5799999998</v>
      </c>
      <c r="U767" s="333">
        <f t="shared" si="114"/>
        <v>-1469892.5799999998</v>
      </c>
      <c r="V767" s="333">
        <v>-276535</v>
      </c>
      <c r="W767" s="333">
        <v>0</v>
      </c>
      <c r="X767" s="333">
        <v>0</v>
      </c>
      <c r="Y767" s="333">
        <v>0</v>
      </c>
      <c r="Z767" s="333">
        <v>0</v>
      </c>
      <c r="AA767" s="333">
        <v>0</v>
      </c>
      <c r="AB767" s="333">
        <v>0</v>
      </c>
      <c r="AC767" s="333">
        <v>0</v>
      </c>
      <c r="AD767" s="333">
        <v>0</v>
      </c>
      <c r="AE767" s="333"/>
      <c r="AF767" s="333"/>
      <c r="AG767" s="333">
        <f t="shared" si="115"/>
        <v>-1746427.5799999998</v>
      </c>
      <c r="AH767" s="330"/>
      <c r="AI767" s="330">
        <v>0</v>
      </c>
      <c r="AJ767" s="396">
        <f t="shared" si="116"/>
        <v>-1746427.5799999998</v>
      </c>
      <c r="AK767" s="563"/>
      <c r="AL767" s="285">
        <f t="shared" si="118"/>
        <v>0</v>
      </c>
      <c r="AM767" s="286"/>
      <c r="AO767" s="330" t="s">
        <v>5317</v>
      </c>
    </row>
    <row r="768" spans="1:41">
      <c r="A768" s="587">
        <f t="shared" si="117"/>
        <v>765</v>
      </c>
      <c r="B768" s="330" t="s">
        <v>1643</v>
      </c>
      <c r="C768" s="330" t="s">
        <v>5320</v>
      </c>
      <c r="D768" s="330" t="s">
        <v>1645</v>
      </c>
      <c r="E768" s="330" t="s">
        <v>2212</v>
      </c>
      <c r="F768" s="330" t="s">
        <v>1786</v>
      </c>
      <c r="G768" s="562">
        <v>1265</v>
      </c>
      <c r="H768" s="562">
        <v>813.33</v>
      </c>
      <c r="I768" s="562">
        <v>903.31</v>
      </c>
      <c r="J768" s="561" t="s">
        <v>1648</v>
      </c>
      <c r="K768" s="330" t="s">
        <v>5321</v>
      </c>
      <c r="L768" s="330" t="s">
        <v>5322</v>
      </c>
      <c r="M768" s="330" t="s">
        <v>5323</v>
      </c>
      <c r="N768" s="330" t="s">
        <v>5324</v>
      </c>
      <c r="O768" s="395">
        <v>45442</v>
      </c>
      <c r="P768" s="333">
        <v>7164190</v>
      </c>
      <c r="Q768" s="330" t="s">
        <v>1653</v>
      </c>
      <c r="R768" s="562">
        <v>0</v>
      </c>
      <c r="S768" s="333">
        <v>0</v>
      </c>
      <c r="T768" s="333">
        <v>-2147827.1400000006</v>
      </c>
      <c r="U768" s="333">
        <f t="shared" si="114"/>
        <v>-2147827.1400000006</v>
      </c>
      <c r="V768" s="333">
        <v>0</v>
      </c>
      <c r="W768" s="333">
        <v>0</v>
      </c>
      <c r="X768" s="333">
        <v>0</v>
      </c>
      <c r="Y768" s="333">
        <v>0</v>
      </c>
      <c r="Z768" s="333">
        <v>0</v>
      </c>
      <c r="AA768" s="333">
        <v>0</v>
      </c>
      <c r="AB768" s="333">
        <v>0</v>
      </c>
      <c r="AC768" s="333">
        <v>0</v>
      </c>
      <c r="AD768" s="333">
        <v>0</v>
      </c>
      <c r="AE768" s="333"/>
      <c r="AF768" s="333"/>
      <c r="AG768" s="333">
        <f t="shared" si="115"/>
        <v>-2147827.1400000006</v>
      </c>
      <c r="AH768" s="330"/>
      <c r="AI768" s="330">
        <v>0</v>
      </c>
      <c r="AJ768" s="396">
        <f t="shared" si="116"/>
        <v>-2147827.1400000006</v>
      </c>
      <c r="AK768" s="563"/>
      <c r="AL768" s="285">
        <f t="shared" si="118"/>
        <v>0</v>
      </c>
      <c r="AM768" s="286"/>
      <c r="AO768" s="330" t="s">
        <v>5321</v>
      </c>
    </row>
    <row r="769" spans="1:41">
      <c r="A769" s="587">
        <f t="shared" si="117"/>
        <v>766</v>
      </c>
      <c r="B769" s="330" t="s">
        <v>1643</v>
      </c>
      <c r="C769" s="330" t="s">
        <v>5325</v>
      </c>
      <c r="D769" s="330" t="s">
        <v>1645</v>
      </c>
      <c r="E769" s="330" t="s">
        <v>1886</v>
      </c>
      <c r="F769" s="330" t="s">
        <v>1647</v>
      </c>
      <c r="G769" s="562">
        <v>1114</v>
      </c>
      <c r="H769" s="562">
        <v>683.3</v>
      </c>
      <c r="I769" s="562">
        <v>795.57</v>
      </c>
      <c r="J769" s="561" t="s">
        <v>1648</v>
      </c>
      <c r="K769" s="330" t="s">
        <v>5326</v>
      </c>
      <c r="L769" s="330" t="s">
        <v>5327</v>
      </c>
      <c r="M769" s="330" t="s">
        <v>5328</v>
      </c>
      <c r="N769" s="330" t="s">
        <v>5329</v>
      </c>
      <c r="O769" s="395">
        <v>45446</v>
      </c>
      <c r="P769" s="333">
        <v>6270661</v>
      </c>
      <c r="Q769" s="330" t="s">
        <v>1653</v>
      </c>
      <c r="R769" s="562">
        <v>0</v>
      </c>
      <c r="S769" s="333">
        <v>0</v>
      </c>
      <c r="T769" s="333">
        <v>-1928227.6900000004</v>
      </c>
      <c r="U769" s="333">
        <f t="shared" si="114"/>
        <v>-1928227.6900000004</v>
      </c>
      <c r="V769" s="333">
        <v>0</v>
      </c>
      <c r="W769" s="333">
        <v>0</v>
      </c>
      <c r="X769" s="333">
        <v>0</v>
      </c>
      <c r="Y769" s="333">
        <v>0</v>
      </c>
      <c r="Z769" s="333">
        <v>0</v>
      </c>
      <c r="AA769" s="333">
        <v>0</v>
      </c>
      <c r="AB769" s="333">
        <v>0</v>
      </c>
      <c r="AC769" s="333">
        <v>-15677</v>
      </c>
      <c r="AD769" s="333">
        <v>0</v>
      </c>
      <c r="AE769" s="333"/>
      <c r="AF769" s="333"/>
      <c r="AG769" s="333">
        <f t="shared" si="115"/>
        <v>-1943904.6900000004</v>
      </c>
      <c r="AH769" s="330"/>
      <c r="AI769" s="330">
        <v>15677</v>
      </c>
      <c r="AJ769" s="396">
        <f t="shared" si="116"/>
        <v>-1943904.6900000004</v>
      </c>
      <c r="AK769" s="563"/>
      <c r="AL769" s="285">
        <f t="shared" ref="AL769:AL770" si="122">+AC769+AI769</f>
        <v>0</v>
      </c>
      <c r="AM769" s="286"/>
      <c r="AO769" s="330" t="s">
        <v>5326</v>
      </c>
    </row>
    <row r="770" spans="1:41">
      <c r="A770" s="587">
        <f t="shared" si="117"/>
        <v>767</v>
      </c>
      <c r="B770" s="330" t="s">
        <v>1643</v>
      </c>
      <c r="C770" s="330" t="s">
        <v>5330</v>
      </c>
      <c r="D770" s="330" t="s">
        <v>1662</v>
      </c>
      <c r="E770" s="330" t="s">
        <v>2685</v>
      </c>
      <c r="F770" s="330" t="s">
        <v>1647</v>
      </c>
      <c r="G770" s="562">
        <v>1114</v>
      </c>
      <c r="H770" s="562">
        <v>683.3</v>
      </c>
      <c r="I770" s="562">
        <v>795.57</v>
      </c>
      <c r="J770" s="561" t="s">
        <v>1810</v>
      </c>
      <c r="K770" s="330" t="s">
        <v>5331</v>
      </c>
      <c r="L770" s="330" t="s">
        <v>5332</v>
      </c>
      <c r="M770" s="330" t="s">
        <v>5333</v>
      </c>
      <c r="N770" s="330" t="s">
        <v>5334</v>
      </c>
      <c r="O770" s="395">
        <v>45496</v>
      </c>
      <c r="P770" s="333">
        <v>6248385</v>
      </c>
      <c r="Q770" s="330" t="s">
        <v>1653</v>
      </c>
      <c r="R770" s="562">
        <v>0</v>
      </c>
      <c r="S770" s="333">
        <v>0</v>
      </c>
      <c r="T770" s="333">
        <v>-1834618.0699999989</v>
      </c>
      <c r="U770" s="333">
        <f t="shared" si="114"/>
        <v>-1834618.0699999989</v>
      </c>
      <c r="V770" s="333">
        <v>-100000</v>
      </c>
      <c r="W770" s="333">
        <v>0</v>
      </c>
      <c r="X770" s="333">
        <v>0</v>
      </c>
      <c r="Y770" s="333">
        <v>0</v>
      </c>
      <c r="Z770" s="333">
        <v>0</v>
      </c>
      <c r="AA770" s="333">
        <v>0</v>
      </c>
      <c r="AB770" s="333">
        <v>0</v>
      </c>
      <c r="AC770" s="333">
        <v>0</v>
      </c>
      <c r="AD770" s="333">
        <v>0</v>
      </c>
      <c r="AE770" s="333"/>
      <c r="AF770" s="333"/>
      <c r="AG770" s="333">
        <f t="shared" si="115"/>
        <v>-1934618.0699999989</v>
      </c>
      <c r="AH770" s="330"/>
      <c r="AI770" s="330">
        <v>0</v>
      </c>
      <c r="AJ770" s="396">
        <f t="shared" si="116"/>
        <v>-1934618.0699999989</v>
      </c>
      <c r="AK770" s="563"/>
      <c r="AL770" s="285">
        <f t="shared" si="122"/>
        <v>0</v>
      </c>
      <c r="AM770" s="286"/>
      <c r="AO770" s="330" t="s">
        <v>5331</v>
      </c>
    </row>
    <row r="771" spans="1:41">
      <c r="A771" s="587">
        <f t="shared" si="117"/>
        <v>768</v>
      </c>
      <c r="B771" s="330" t="s">
        <v>1643</v>
      </c>
      <c r="C771" s="330" t="s">
        <v>5335</v>
      </c>
      <c r="D771" s="330" t="s">
        <v>1746</v>
      </c>
      <c r="E771" s="330" t="s">
        <v>3334</v>
      </c>
      <c r="F771" s="330" t="s">
        <v>1671</v>
      </c>
      <c r="G771" s="562">
        <v>1498</v>
      </c>
      <c r="H771" s="562">
        <v>954.87</v>
      </c>
      <c r="I771" s="562">
        <v>1069.73</v>
      </c>
      <c r="J771" s="561" t="s">
        <v>1679</v>
      </c>
      <c r="K771" s="330" t="s">
        <v>5336</v>
      </c>
      <c r="L771" s="330" t="s">
        <v>5337</v>
      </c>
      <c r="M771" s="330" t="s">
        <v>5338</v>
      </c>
      <c r="N771" s="330" t="s">
        <v>5339</v>
      </c>
      <c r="O771" s="395">
        <v>45489</v>
      </c>
      <c r="P771" s="333">
        <v>9303524</v>
      </c>
      <c r="Q771" s="330" t="s">
        <v>1653</v>
      </c>
      <c r="R771" s="562">
        <v>0</v>
      </c>
      <c r="S771" s="333">
        <v>0</v>
      </c>
      <c r="T771" s="333">
        <v>-930352.37999999942</v>
      </c>
      <c r="U771" s="333">
        <f t="shared" si="114"/>
        <v>-930352.37999999942</v>
      </c>
      <c r="V771" s="333">
        <v>-1953745</v>
      </c>
      <c r="W771" s="333">
        <v>0</v>
      </c>
      <c r="X771" s="333">
        <v>0</v>
      </c>
      <c r="Y771" s="333">
        <v>0</v>
      </c>
      <c r="Z771" s="333">
        <v>0</v>
      </c>
      <c r="AA771" s="333">
        <v>0</v>
      </c>
      <c r="AB771" s="333">
        <v>0</v>
      </c>
      <c r="AC771" s="333">
        <v>0</v>
      </c>
      <c r="AD771" s="333">
        <v>0</v>
      </c>
      <c r="AE771" s="333"/>
      <c r="AF771" s="333"/>
      <c r="AG771" s="333">
        <f t="shared" si="115"/>
        <v>-2884097.3799999994</v>
      </c>
      <c r="AH771" s="330"/>
      <c r="AI771" s="330">
        <v>0</v>
      </c>
      <c r="AJ771" s="396">
        <f t="shared" si="116"/>
        <v>-2884097.3799999994</v>
      </c>
      <c r="AK771" s="563"/>
      <c r="AL771" s="285">
        <f t="shared" si="118"/>
        <v>0</v>
      </c>
      <c r="AM771" s="286"/>
      <c r="AO771" s="330" t="s">
        <v>5336</v>
      </c>
    </row>
    <row r="772" spans="1:41">
      <c r="A772" s="587">
        <f t="shared" si="117"/>
        <v>769</v>
      </c>
      <c r="B772" s="330" t="s">
        <v>1643</v>
      </c>
      <c r="C772" s="330" t="s">
        <v>5340</v>
      </c>
      <c r="D772" s="330" t="s">
        <v>1645</v>
      </c>
      <c r="E772" s="330" t="s">
        <v>2572</v>
      </c>
      <c r="F772" s="330" t="s">
        <v>1647</v>
      </c>
      <c r="G772" s="562">
        <v>1012</v>
      </c>
      <c r="H772" s="562">
        <v>653.59</v>
      </c>
      <c r="I772" s="562">
        <v>723.02</v>
      </c>
      <c r="J772" s="561" t="s">
        <v>1648</v>
      </c>
      <c r="K772" s="330" t="s">
        <v>5341</v>
      </c>
      <c r="L772" s="330" t="s">
        <v>5342</v>
      </c>
      <c r="M772" s="330" t="s">
        <v>5343</v>
      </c>
      <c r="N772" s="330" t="s">
        <v>5344</v>
      </c>
      <c r="O772" s="395">
        <v>45527</v>
      </c>
      <c r="P772" s="333">
        <v>5598191</v>
      </c>
      <c r="Q772" s="330" t="s">
        <v>1653</v>
      </c>
      <c r="R772" s="562">
        <v>0</v>
      </c>
      <c r="S772" s="333">
        <v>0</v>
      </c>
      <c r="T772" s="333">
        <v>-1679456.12</v>
      </c>
      <c r="U772" s="333">
        <f t="shared" ref="U772:U835" si="123">SUM(R772:T772)</f>
        <v>-1679456.12</v>
      </c>
      <c r="V772" s="333">
        <v>0</v>
      </c>
      <c r="W772" s="333">
        <v>0</v>
      </c>
      <c r="X772" s="333">
        <v>0</v>
      </c>
      <c r="Y772" s="333">
        <v>0</v>
      </c>
      <c r="Z772" s="333">
        <v>0</v>
      </c>
      <c r="AA772" s="333">
        <v>0</v>
      </c>
      <c r="AB772" s="333">
        <v>0</v>
      </c>
      <c r="AC772" s="333">
        <v>0</v>
      </c>
      <c r="AD772" s="333">
        <v>0</v>
      </c>
      <c r="AE772" s="333"/>
      <c r="AF772" s="333"/>
      <c r="AG772" s="333">
        <f t="shared" ref="AG772:AG835" si="124">SUM(U772:AF772)</f>
        <v>-1679456.12</v>
      </c>
      <c r="AH772" s="330"/>
      <c r="AI772" s="330">
        <v>0</v>
      </c>
      <c r="AJ772" s="396">
        <f t="shared" si="116"/>
        <v>-1679456.12</v>
      </c>
      <c r="AK772" s="563"/>
      <c r="AL772" s="285">
        <f t="shared" si="118"/>
        <v>0</v>
      </c>
      <c r="AM772" s="286"/>
      <c r="AO772" s="330" t="s">
        <v>5341</v>
      </c>
    </row>
    <row r="773" spans="1:41">
      <c r="A773" s="587">
        <f t="shared" si="117"/>
        <v>770</v>
      </c>
      <c r="B773" s="330" t="s">
        <v>1643</v>
      </c>
      <c r="C773" s="330" t="s">
        <v>5345</v>
      </c>
      <c r="D773" s="330" t="s">
        <v>1645</v>
      </c>
      <c r="E773" s="330" t="s">
        <v>2530</v>
      </c>
      <c r="F773" s="330" t="s">
        <v>1671</v>
      </c>
      <c r="G773" s="562">
        <v>1375</v>
      </c>
      <c r="H773" s="562">
        <v>876.73</v>
      </c>
      <c r="I773" s="562">
        <v>982.22</v>
      </c>
      <c r="J773" s="561" t="s">
        <v>1648</v>
      </c>
      <c r="K773" s="330" t="s">
        <v>5346</v>
      </c>
      <c r="L773" s="330" t="s">
        <v>5347</v>
      </c>
      <c r="M773" s="330" t="s">
        <v>5348</v>
      </c>
      <c r="N773" s="330" t="s">
        <v>5349</v>
      </c>
      <c r="O773" s="395">
        <v>45446</v>
      </c>
      <c r="P773" s="333">
        <v>7718667</v>
      </c>
      <c r="Q773" s="330" t="s">
        <v>1653</v>
      </c>
      <c r="R773" s="562">
        <v>0</v>
      </c>
      <c r="S773" s="333">
        <v>0</v>
      </c>
      <c r="T773" s="333">
        <v>-2392784.3200000003</v>
      </c>
      <c r="U773" s="333">
        <f t="shared" si="123"/>
        <v>-2392784.3200000003</v>
      </c>
      <c r="V773" s="333">
        <v>0</v>
      </c>
      <c r="W773" s="333">
        <v>0</v>
      </c>
      <c r="X773" s="333">
        <v>0</v>
      </c>
      <c r="Y773" s="333">
        <v>0</v>
      </c>
      <c r="Z773" s="333">
        <v>0</v>
      </c>
      <c r="AA773" s="333">
        <v>0</v>
      </c>
      <c r="AB773" s="333">
        <v>0</v>
      </c>
      <c r="AC773" s="333">
        <v>0</v>
      </c>
      <c r="AD773" s="333">
        <v>0</v>
      </c>
      <c r="AE773" s="333"/>
      <c r="AF773" s="333"/>
      <c r="AG773" s="333">
        <f t="shared" si="124"/>
        <v>-2392784.3200000003</v>
      </c>
      <c r="AH773" s="330"/>
      <c r="AI773" s="330">
        <v>0</v>
      </c>
      <c r="AJ773" s="396">
        <f t="shared" ref="AJ773:AJ836" si="125">SUM(U773:AE773)</f>
        <v>-2392784.3200000003</v>
      </c>
      <c r="AK773" s="563"/>
      <c r="AL773" s="285">
        <f t="shared" si="118"/>
        <v>0</v>
      </c>
      <c r="AM773" s="286"/>
      <c r="AO773" s="330" t="s">
        <v>5346</v>
      </c>
    </row>
    <row r="774" spans="1:41">
      <c r="A774" s="587">
        <f t="shared" ref="A774:A837" si="126">A773+1</f>
        <v>771</v>
      </c>
      <c r="B774" s="330" t="s">
        <v>1643</v>
      </c>
      <c r="C774" s="330" t="s">
        <v>4290</v>
      </c>
      <c r="D774" s="330" t="s">
        <v>2153</v>
      </c>
      <c r="E774" s="330" t="s">
        <v>2486</v>
      </c>
      <c r="F774" s="330" t="s">
        <v>1786</v>
      </c>
      <c r="G774" s="562">
        <v>1114</v>
      </c>
      <c r="H774" s="562">
        <v>683.3</v>
      </c>
      <c r="I774" s="562">
        <v>795.57</v>
      </c>
      <c r="J774" s="561" t="s">
        <v>1810</v>
      </c>
      <c r="K774" s="330" t="s">
        <v>5350</v>
      </c>
      <c r="L774" s="330" t="s">
        <v>5351</v>
      </c>
      <c r="M774" s="330" t="s">
        <v>5352</v>
      </c>
      <c r="N774" s="330" t="s">
        <v>12</v>
      </c>
      <c r="O774" s="395"/>
      <c r="P774" s="333">
        <v>7116000</v>
      </c>
      <c r="Q774" s="330" t="s">
        <v>1660</v>
      </c>
      <c r="R774" s="562">
        <v>0</v>
      </c>
      <c r="S774" s="333">
        <v>0</v>
      </c>
      <c r="T774" s="333">
        <v>0</v>
      </c>
      <c r="U774" s="333">
        <f t="shared" si="123"/>
        <v>0</v>
      </c>
      <c r="V774" s="333">
        <v>0</v>
      </c>
      <c r="W774" s="333">
        <v>0</v>
      </c>
      <c r="X774" s="333">
        <v>0</v>
      </c>
      <c r="Y774" s="333">
        <v>0</v>
      </c>
      <c r="Z774" s="333">
        <v>0</v>
      </c>
      <c r="AA774" s="333">
        <v>0</v>
      </c>
      <c r="AB774" s="333">
        <v>0</v>
      </c>
      <c r="AC774" s="333">
        <v>0</v>
      </c>
      <c r="AD774" s="333">
        <v>0</v>
      </c>
      <c r="AE774" s="333"/>
      <c r="AF774" s="333"/>
      <c r="AG774" s="333">
        <f t="shared" si="124"/>
        <v>0</v>
      </c>
      <c r="AH774" s="330"/>
      <c r="AI774" s="330">
        <v>0</v>
      </c>
      <c r="AJ774" s="396">
        <f t="shared" si="125"/>
        <v>0</v>
      </c>
      <c r="AK774" s="563"/>
      <c r="AL774" s="285">
        <f t="shared" ref="AL774:AL837" si="127">+AC774-AI774</f>
        <v>0</v>
      </c>
      <c r="AM774" s="286"/>
      <c r="AO774" s="330" t="s">
        <v>5350</v>
      </c>
    </row>
    <row r="775" spans="1:41">
      <c r="A775" s="587">
        <f t="shared" si="126"/>
        <v>772</v>
      </c>
      <c r="B775" s="330" t="s">
        <v>1643</v>
      </c>
      <c r="C775" s="330" t="s">
        <v>3491</v>
      </c>
      <c r="D775" s="330" t="s">
        <v>1677</v>
      </c>
      <c r="E775" s="330" t="s">
        <v>2044</v>
      </c>
      <c r="F775" s="330" t="s">
        <v>1647</v>
      </c>
      <c r="G775" s="562">
        <v>1012</v>
      </c>
      <c r="H775" s="562">
        <v>653.59</v>
      </c>
      <c r="I775" s="562">
        <v>723.02</v>
      </c>
      <c r="J775" s="561" t="s">
        <v>1679</v>
      </c>
      <c r="K775" s="330" t="s">
        <v>5353</v>
      </c>
      <c r="L775" s="330" t="s">
        <v>5354</v>
      </c>
      <c r="M775" s="330" t="s">
        <v>5355</v>
      </c>
      <c r="N775" s="330" t="s">
        <v>12</v>
      </c>
      <c r="O775" s="395"/>
      <c r="P775" s="333">
        <v>6379450</v>
      </c>
      <c r="Q775" s="330" t="s">
        <v>1660</v>
      </c>
      <c r="R775" s="562">
        <v>0</v>
      </c>
      <c r="S775" s="333">
        <v>0</v>
      </c>
      <c r="T775" s="333">
        <v>0</v>
      </c>
      <c r="U775" s="333">
        <f t="shared" si="123"/>
        <v>0</v>
      </c>
      <c r="V775" s="333">
        <v>0</v>
      </c>
      <c r="W775" s="333">
        <v>0</v>
      </c>
      <c r="X775" s="333">
        <v>0</v>
      </c>
      <c r="Y775" s="333">
        <v>0</v>
      </c>
      <c r="Z775" s="333">
        <v>0</v>
      </c>
      <c r="AA775" s="333">
        <v>0</v>
      </c>
      <c r="AB775" s="333">
        <v>0</v>
      </c>
      <c r="AC775" s="333">
        <v>0</v>
      </c>
      <c r="AD775" s="333">
        <v>0</v>
      </c>
      <c r="AE775" s="333"/>
      <c r="AF775" s="333"/>
      <c r="AG775" s="333">
        <f t="shared" si="124"/>
        <v>0</v>
      </c>
      <c r="AH775" s="330"/>
      <c r="AI775" s="330">
        <v>0</v>
      </c>
      <c r="AJ775" s="396">
        <f t="shared" si="125"/>
        <v>0</v>
      </c>
      <c r="AK775" s="563"/>
      <c r="AL775" s="285">
        <f t="shared" si="127"/>
        <v>0</v>
      </c>
      <c r="AM775" s="286"/>
      <c r="AO775" s="330" t="s">
        <v>5353</v>
      </c>
    </row>
    <row r="776" spans="1:41">
      <c r="A776" s="587">
        <f t="shared" si="126"/>
        <v>773</v>
      </c>
      <c r="B776" s="330" t="s">
        <v>1643</v>
      </c>
      <c r="C776" s="330" t="s">
        <v>5356</v>
      </c>
      <c r="D776" s="330" t="s">
        <v>1655</v>
      </c>
      <c r="E776" s="330" t="s">
        <v>1840</v>
      </c>
      <c r="F776" s="330" t="s">
        <v>1647</v>
      </c>
      <c r="G776" s="562">
        <v>1012</v>
      </c>
      <c r="H776" s="562">
        <v>653.59</v>
      </c>
      <c r="I776" s="562">
        <v>723.02</v>
      </c>
      <c r="J776" s="561" t="s">
        <v>1810</v>
      </c>
      <c r="K776" s="330" t="s">
        <v>5357</v>
      </c>
      <c r="L776" s="330" t="s">
        <v>5358</v>
      </c>
      <c r="M776" s="330" t="s">
        <v>5359</v>
      </c>
      <c r="N776" s="330" t="s">
        <v>5360</v>
      </c>
      <c r="O776" s="395"/>
      <c r="P776" s="333">
        <v>6044571</v>
      </c>
      <c r="Q776" s="330" t="s">
        <v>1660</v>
      </c>
      <c r="R776" s="562">
        <v>0</v>
      </c>
      <c r="S776" s="333">
        <v>0</v>
      </c>
      <c r="T776" s="333">
        <v>-590317.13999999978</v>
      </c>
      <c r="U776" s="333">
        <f t="shared" si="123"/>
        <v>-590317.13999999978</v>
      </c>
      <c r="V776" s="333">
        <v>620539.99999999988</v>
      </c>
      <c r="W776" s="333">
        <v>0</v>
      </c>
      <c r="X776" s="333">
        <v>0</v>
      </c>
      <c r="Y776" s="333">
        <v>0</v>
      </c>
      <c r="Z776" s="333">
        <v>0</v>
      </c>
      <c r="AA776" s="333">
        <v>0</v>
      </c>
      <c r="AB776" s="333">
        <v>0</v>
      </c>
      <c r="AC776" s="333">
        <v>-60445.759999999987</v>
      </c>
      <c r="AD776" s="333">
        <v>0</v>
      </c>
      <c r="AE776" s="333"/>
      <c r="AF776" s="333"/>
      <c r="AG776" s="333">
        <f t="shared" si="124"/>
        <v>-30222.899999999885</v>
      </c>
      <c r="AH776" s="330"/>
      <c r="AI776" s="330">
        <v>60445.759999999995</v>
      </c>
      <c r="AJ776" s="396">
        <f t="shared" si="125"/>
        <v>-30222.899999999885</v>
      </c>
      <c r="AK776" s="563"/>
      <c r="AL776" s="285">
        <f>+AC776+AI776</f>
        <v>0</v>
      </c>
      <c r="AM776" s="286"/>
      <c r="AO776" s="330" t="s">
        <v>5357</v>
      </c>
    </row>
    <row r="777" spans="1:41">
      <c r="A777" s="587">
        <f t="shared" si="126"/>
        <v>774</v>
      </c>
      <c r="B777" s="330" t="s">
        <v>1643</v>
      </c>
      <c r="C777" s="330" t="s">
        <v>3103</v>
      </c>
      <c r="D777" s="330" t="s">
        <v>1655</v>
      </c>
      <c r="E777" s="330" t="s">
        <v>2588</v>
      </c>
      <c r="F777" s="330" t="s">
        <v>1647</v>
      </c>
      <c r="G777" s="562">
        <v>1012</v>
      </c>
      <c r="H777" s="562">
        <v>653.59</v>
      </c>
      <c r="I777" s="562">
        <v>723.02</v>
      </c>
      <c r="J777" s="561" t="s">
        <v>1679</v>
      </c>
      <c r="K777" s="330" t="s">
        <v>5361</v>
      </c>
      <c r="L777" s="330" t="s">
        <v>5362</v>
      </c>
      <c r="M777" s="330" t="s">
        <v>5363</v>
      </c>
      <c r="N777" s="330" t="s">
        <v>12</v>
      </c>
      <c r="O777" s="395"/>
      <c r="P777" s="333">
        <v>6423400</v>
      </c>
      <c r="Q777" s="330" t="s">
        <v>1660</v>
      </c>
      <c r="R777" s="562">
        <v>0</v>
      </c>
      <c r="S777" s="333">
        <v>0</v>
      </c>
      <c r="T777" s="333">
        <v>0</v>
      </c>
      <c r="U777" s="333">
        <f t="shared" si="123"/>
        <v>0</v>
      </c>
      <c r="V777" s="333">
        <v>0</v>
      </c>
      <c r="W777" s="333">
        <v>0</v>
      </c>
      <c r="X777" s="333">
        <v>0</v>
      </c>
      <c r="Y777" s="333">
        <v>0</v>
      </c>
      <c r="Z777" s="333">
        <v>0</v>
      </c>
      <c r="AA777" s="333">
        <v>0</v>
      </c>
      <c r="AB777" s="333">
        <v>0</v>
      </c>
      <c r="AC777" s="333">
        <v>0</v>
      </c>
      <c r="AD777" s="333">
        <v>0</v>
      </c>
      <c r="AE777" s="333"/>
      <c r="AF777" s="333"/>
      <c r="AG777" s="333">
        <f t="shared" si="124"/>
        <v>0</v>
      </c>
      <c r="AH777" s="330"/>
      <c r="AI777" s="330">
        <v>0</v>
      </c>
      <c r="AJ777" s="396">
        <f t="shared" si="125"/>
        <v>0</v>
      </c>
      <c r="AK777" s="563"/>
      <c r="AL777" s="285">
        <f t="shared" si="127"/>
        <v>0</v>
      </c>
      <c r="AM777" s="286"/>
      <c r="AO777" s="330" t="s">
        <v>5361</v>
      </c>
    </row>
    <row r="778" spans="1:41">
      <c r="A778" s="587">
        <f t="shared" si="126"/>
        <v>775</v>
      </c>
      <c r="B778" s="330" t="s">
        <v>1643</v>
      </c>
      <c r="C778" s="330" t="s">
        <v>5364</v>
      </c>
      <c r="D778" s="330" t="s">
        <v>1662</v>
      </c>
      <c r="E778" s="330" t="s">
        <v>3007</v>
      </c>
      <c r="F778" s="330" t="s">
        <v>1647</v>
      </c>
      <c r="G778" s="562">
        <v>1012</v>
      </c>
      <c r="H778" s="562">
        <v>653.59</v>
      </c>
      <c r="I778" s="562">
        <v>723.02</v>
      </c>
      <c r="J778" s="561" t="s">
        <v>1648</v>
      </c>
      <c r="K778" s="330" t="s">
        <v>5365</v>
      </c>
      <c r="L778" s="330" t="s">
        <v>5366</v>
      </c>
      <c r="M778" s="330" t="s">
        <v>5367</v>
      </c>
      <c r="N778" s="330" t="s">
        <v>5368</v>
      </c>
      <c r="O778" s="395">
        <v>45435</v>
      </c>
      <c r="P778" s="333">
        <v>5687429</v>
      </c>
      <c r="Q778" s="330" t="s">
        <v>1653</v>
      </c>
      <c r="R778" s="562">
        <v>0</v>
      </c>
      <c r="S778" s="333">
        <v>0</v>
      </c>
      <c r="T778" s="333">
        <v>-1717469.1299999994</v>
      </c>
      <c r="U778" s="333">
        <f t="shared" si="123"/>
        <v>-1717469.1299999994</v>
      </c>
      <c r="V778" s="333">
        <v>0</v>
      </c>
      <c r="W778" s="333">
        <v>0</v>
      </c>
      <c r="X778" s="333">
        <v>0</v>
      </c>
      <c r="Y778" s="333">
        <v>0</v>
      </c>
      <c r="Z778" s="333">
        <v>0</v>
      </c>
      <c r="AA778" s="333">
        <v>0</v>
      </c>
      <c r="AB778" s="333">
        <v>0</v>
      </c>
      <c r="AC778" s="333">
        <v>-45632.74</v>
      </c>
      <c r="AD778" s="333">
        <v>0</v>
      </c>
      <c r="AE778" s="333"/>
      <c r="AF778" s="333"/>
      <c r="AG778" s="333">
        <f t="shared" si="124"/>
        <v>-1763101.8699999994</v>
      </c>
      <c r="AH778" s="330"/>
      <c r="AI778" s="330">
        <v>45632.740000000005</v>
      </c>
      <c r="AJ778" s="396">
        <f t="shared" si="125"/>
        <v>-1763101.8699999994</v>
      </c>
      <c r="AK778" s="563"/>
      <c r="AL778" s="285">
        <f>+AC778+AI778</f>
        <v>0</v>
      </c>
      <c r="AM778" s="286"/>
      <c r="AO778" s="330" t="s">
        <v>5365</v>
      </c>
    </row>
    <row r="779" spans="1:41">
      <c r="A779" s="587">
        <f t="shared" si="126"/>
        <v>776</v>
      </c>
      <c r="B779" s="330" t="s">
        <v>1643</v>
      </c>
      <c r="C779" s="330" t="s">
        <v>5369</v>
      </c>
      <c r="D779" s="330" t="s">
        <v>1704</v>
      </c>
      <c r="E779" s="330" t="s">
        <v>1747</v>
      </c>
      <c r="F779" s="330" t="s">
        <v>1647</v>
      </c>
      <c r="G779" s="562">
        <v>1114</v>
      </c>
      <c r="H779" s="562">
        <v>683.3</v>
      </c>
      <c r="I779" s="562">
        <v>795.57</v>
      </c>
      <c r="J779" s="561" t="s">
        <v>1648</v>
      </c>
      <c r="K779" s="330" t="s">
        <v>5370</v>
      </c>
      <c r="L779" s="330" t="s">
        <v>5371</v>
      </c>
      <c r="M779" s="330" t="s">
        <v>5372</v>
      </c>
      <c r="N779" s="330" t="s">
        <v>5373</v>
      </c>
      <c r="O779" s="395">
        <v>45448</v>
      </c>
      <c r="P779" s="333">
        <v>6388381</v>
      </c>
      <c r="Q779" s="330" t="s">
        <v>1653</v>
      </c>
      <c r="R779" s="562">
        <v>0</v>
      </c>
      <c r="S779" s="333">
        <v>0</v>
      </c>
      <c r="T779" s="333">
        <v>-1980396.0899999996</v>
      </c>
      <c r="U779" s="333">
        <f t="shared" si="123"/>
        <v>-1980396.0899999996</v>
      </c>
      <c r="V779" s="333">
        <v>0</v>
      </c>
      <c r="W779" s="333">
        <v>0</v>
      </c>
      <c r="X779" s="333">
        <v>0</v>
      </c>
      <c r="Y779" s="333">
        <v>0</v>
      </c>
      <c r="Z779" s="333">
        <v>0</v>
      </c>
      <c r="AA779" s="333">
        <v>0</v>
      </c>
      <c r="AB779" s="333">
        <v>0</v>
      </c>
      <c r="AC779" s="333">
        <v>0</v>
      </c>
      <c r="AD779" s="333">
        <v>0</v>
      </c>
      <c r="AE779" s="333"/>
      <c r="AF779" s="333"/>
      <c r="AG779" s="333">
        <f t="shared" si="124"/>
        <v>-1980396.0899999996</v>
      </c>
      <c r="AH779" s="330"/>
      <c r="AI779" s="330">
        <v>0</v>
      </c>
      <c r="AJ779" s="396">
        <f t="shared" si="125"/>
        <v>-1980396.0899999996</v>
      </c>
      <c r="AK779" s="563"/>
      <c r="AL779" s="285">
        <f t="shared" si="127"/>
        <v>0</v>
      </c>
      <c r="AM779" s="286"/>
      <c r="AO779" s="330" t="s">
        <v>5370</v>
      </c>
    </row>
    <row r="780" spans="1:41">
      <c r="A780" s="587">
        <f t="shared" si="126"/>
        <v>777</v>
      </c>
      <c r="B780" s="330" t="s">
        <v>1643</v>
      </c>
      <c r="C780" s="330" t="s">
        <v>5374</v>
      </c>
      <c r="D780" s="330" t="s">
        <v>1645</v>
      </c>
      <c r="E780" s="330" t="s">
        <v>2975</v>
      </c>
      <c r="F780" s="330" t="s">
        <v>1647</v>
      </c>
      <c r="G780" s="562">
        <v>1114</v>
      </c>
      <c r="H780" s="562">
        <v>683.3</v>
      </c>
      <c r="I780" s="562">
        <v>795.57</v>
      </c>
      <c r="J780" s="561" t="s">
        <v>1648</v>
      </c>
      <c r="K780" s="330" t="s">
        <v>5375</v>
      </c>
      <c r="L780" s="330" t="s">
        <v>5376</v>
      </c>
      <c r="M780" s="330" t="s">
        <v>5377</v>
      </c>
      <c r="N780" s="330" t="s">
        <v>5378</v>
      </c>
      <c r="O780" s="395">
        <v>45435</v>
      </c>
      <c r="P780" s="333">
        <v>6337489</v>
      </c>
      <c r="Q780" s="330" t="s">
        <v>1653</v>
      </c>
      <c r="R780" s="562">
        <v>0</v>
      </c>
      <c r="S780" s="333">
        <v>0</v>
      </c>
      <c r="T780" s="333">
        <v>-1964621.5500000003</v>
      </c>
      <c r="U780" s="333">
        <f t="shared" si="123"/>
        <v>-1964621.5500000003</v>
      </c>
      <c r="V780" s="333">
        <v>0</v>
      </c>
      <c r="W780" s="333">
        <v>0</v>
      </c>
      <c r="X780" s="333">
        <v>0</v>
      </c>
      <c r="Y780" s="333">
        <v>0</v>
      </c>
      <c r="Z780" s="333">
        <v>0</v>
      </c>
      <c r="AA780" s="333">
        <v>0</v>
      </c>
      <c r="AB780" s="333">
        <v>0</v>
      </c>
      <c r="AC780" s="333">
        <v>1.9999999994979589E-2</v>
      </c>
      <c r="AD780" s="333">
        <v>0</v>
      </c>
      <c r="AE780" s="333"/>
      <c r="AF780" s="333"/>
      <c r="AG780" s="333">
        <f t="shared" si="124"/>
        <v>-1964621.5300000003</v>
      </c>
      <c r="AH780" s="330"/>
      <c r="AI780" s="330">
        <v>-2.0000000000436557E-2</v>
      </c>
      <c r="AJ780" s="396">
        <f t="shared" si="125"/>
        <v>-1964621.5300000003</v>
      </c>
      <c r="AK780" s="563"/>
      <c r="AL780" s="285">
        <f>+AC780+AI780</f>
        <v>-5.4569682106375694E-12</v>
      </c>
      <c r="AM780" s="286"/>
      <c r="AO780" s="330" t="s">
        <v>5375</v>
      </c>
    </row>
    <row r="781" spans="1:41">
      <c r="A781" s="587">
        <f t="shared" si="126"/>
        <v>778</v>
      </c>
      <c r="B781" s="330" t="s">
        <v>1643</v>
      </c>
      <c r="C781" s="330" t="s">
        <v>5379</v>
      </c>
      <c r="D781" s="330" t="s">
        <v>2153</v>
      </c>
      <c r="E781" s="330" t="s">
        <v>2572</v>
      </c>
      <c r="F781" s="330" t="s">
        <v>1647</v>
      </c>
      <c r="G781" s="562">
        <v>1114</v>
      </c>
      <c r="H781" s="562">
        <v>683.3</v>
      </c>
      <c r="I781" s="562">
        <v>795.57</v>
      </c>
      <c r="J781" s="561" t="s">
        <v>1648</v>
      </c>
      <c r="K781" s="330" t="s">
        <v>5380</v>
      </c>
      <c r="L781" s="330" t="s">
        <v>5381</v>
      </c>
      <c r="M781" s="330" t="s">
        <v>5382</v>
      </c>
      <c r="N781" s="330" t="s">
        <v>12</v>
      </c>
      <c r="O781" s="395"/>
      <c r="P781" s="333">
        <v>8053524</v>
      </c>
      <c r="Q781" s="330" t="s">
        <v>1660</v>
      </c>
      <c r="R781" s="562">
        <v>0</v>
      </c>
      <c r="S781" s="333">
        <v>0</v>
      </c>
      <c r="T781" s="333">
        <v>0</v>
      </c>
      <c r="U781" s="333">
        <f t="shared" si="123"/>
        <v>0</v>
      </c>
      <c r="V781" s="333">
        <v>0</v>
      </c>
      <c r="W781" s="333">
        <v>0</v>
      </c>
      <c r="X781" s="333">
        <v>0</v>
      </c>
      <c r="Y781" s="333">
        <v>0</v>
      </c>
      <c r="Z781" s="333">
        <v>0</v>
      </c>
      <c r="AA781" s="333">
        <v>0</v>
      </c>
      <c r="AB781" s="333">
        <v>0</v>
      </c>
      <c r="AC781" s="333">
        <v>0</v>
      </c>
      <c r="AD781" s="333">
        <v>0</v>
      </c>
      <c r="AE781" s="333"/>
      <c r="AF781" s="333"/>
      <c r="AG781" s="333">
        <f t="shared" si="124"/>
        <v>0</v>
      </c>
      <c r="AH781" s="330"/>
      <c r="AI781" s="330">
        <v>0</v>
      </c>
      <c r="AJ781" s="396">
        <f t="shared" si="125"/>
        <v>0</v>
      </c>
      <c r="AK781" s="563"/>
      <c r="AL781" s="285">
        <f t="shared" si="127"/>
        <v>0</v>
      </c>
      <c r="AM781" s="286"/>
      <c r="AO781" s="330" t="s">
        <v>5380</v>
      </c>
    </row>
    <row r="782" spans="1:41">
      <c r="A782" s="587">
        <f t="shared" si="126"/>
        <v>779</v>
      </c>
      <c r="B782" s="330" t="s">
        <v>1643</v>
      </c>
      <c r="C782" s="330" t="s">
        <v>5383</v>
      </c>
      <c r="D782" s="330" t="s">
        <v>1662</v>
      </c>
      <c r="E782" s="330" t="s">
        <v>2023</v>
      </c>
      <c r="F782" s="330" t="s">
        <v>1647</v>
      </c>
      <c r="G782" s="562">
        <v>1012</v>
      </c>
      <c r="H782" s="562">
        <v>653.59</v>
      </c>
      <c r="I782" s="562">
        <v>723.02</v>
      </c>
      <c r="J782" s="561" t="s">
        <v>1648</v>
      </c>
      <c r="K782" s="330" t="s">
        <v>5384</v>
      </c>
      <c r="L782" s="330" t="s">
        <v>5385</v>
      </c>
      <c r="M782" s="330" t="s">
        <v>5386</v>
      </c>
      <c r="N782" s="330" t="s">
        <v>5387</v>
      </c>
      <c r="O782" s="395">
        <v>45434</v>
      </c>
      <c r="P782" s="333">
        <v>5729194</v>
      </c>
      <c r="Q782" s="330" t="s">
        <v>1653</v>
      </c>
      <c r="R782" s="562">
        <v>0</v>
      </c>
      <c r="S782" s="333">
        <v>0</v>
      </c>
      <c r="T782" s="333">
        <v>-1791602.0199999996</v>
      </c>
      <c r="U782" s="333">
        <f t="shared" si="123"/>
        <v>-1791602.0199999996</v>
      </c>
      <c r="V782" s="333">
        <v>0</v>
      </c>
      <c r="W782" s="333">
        <v>0</v>
      </c>
      <c r="X782" s="333">
        <v>0</v>
      </c>
      <c r="Y782" s="333">
        <v>0</v>
      </c>
      <c r="Z782" s="333">
        <v>0</v>
      </c>
      <c r="AA782" s="333">
        <v>0</v>
      </c>
      <c r="AB782" s="333">
        <v>0</v>
      </c>
      <c r="AC782" s="333">
        <v>0</v>
      </c>
      <c r="AD782" s="333">
        <v>0</v>
      </c>
      <c r="AE782" s="333"/>
      <c r="AF782" s="333"/>
      <c r="AG782" s="333">
        <f t="shared" si="124"/>
        <v>-1791602.0199999996</v>
      </c>
      <c r="AH782" s="330"/>
      <c r="AI782" s="330">
        <v>0</v>
      </c>
      <c r="AJ782" s="396">
        <f t="shared" si="125"/>
        <v>-1791602.0199999996</v>
      </c>
      <c r="AK782" s="563"/>
      <c r="AL782" s="285">
        <f t="shared" si="127"/>
        <v>0</v>
      </c>
      <c r="AM782" s="286"/>
      <c r="AO782" s="330" t="s">
        <v>5384</v>
      </c>
    </row>
    <row r="783" spans="1:41">
      <c r="A783" s="587">
        <f t="shared" si="126"/>
        <v>780</v>
      </c>
      <c r="B783" s="330" t="s">
        <v>1643</v>
      </c>
      <c r="C783" s="330" t="s">
        <v>5388</v>
      </c>
      <c r="D783" s="330" t="s">
        <v>1662</v>
      </c>
      <c r="E783" s="330" t="s">
        <v>2542</v>
      </c>
      <c r="F783" s="330" t="s">
        <v>1647</v>
      </c>
      <c r="G783" s="562">
        <v>1012</v>
      </c>
      <c r="H783" s="562">
        <v>653.59</v>
      </c>
      <c r="I783" s="562">
        <v>723.02</v>
      </c>
      <c r="J783" s="561" t="s">
        <v>1648</v>
      </c>
      <c r="K783" s="330" t="s">
        <v>5389</v>
      </c>
      <c r="L783" s="330" t="s">
        <v>5390</v>
      </c>
      <c r="M783" s="330" t="s">
        <v>5391</v>
      </c>
      <c r="N783" s="330" t="s">
        <v>5392</v>
      </c>
      <c r="O783" s="395">
        <v>45440</v>
      </c>
      <c r="P783" s="333">
        <v>5669619</v>
      </c>
      <c r="Q783" s="330" t="s">
        <v>1653</v>
      </c>
      <c r="R783" s="562">
        <v>0</v>
      </c>
      <c r="S783" s="333">
        <v>0</v>
      </c>
      <c r="T783" s="333">
        <v>-1757581.7</v>
      </c>
      <c r="U783" s="333">
        <f t="shared" si="123"/>
        <v>-1757581.7</v>
      </c>
      <c r="V783" s="333">
        <v>0</v>
      </c>
      <c r="W783" s="333">
        <v>0</v>
      </c>
      <c r="X783" s="333">
        <v>0</v>
      </c>
      <c r="Y783" s="333">
        <v>0</v>
      </c>
      <c r="Z783" s="333">
        <v>0</v>
      </c>
      <c r="AA783" s="333">
        <v>0</v>
      </c>
      <c r="AB783" s="333">
        <v>0</v>
      </c>
      <c r="AC783" s="333">
        <v>0</v>
      </c>
      <c r="AD783" s="333">
        <v>0</v>
      </c>
      <c r="AE783" s="333"/>
      <c r="AF783" s="333"/>
      <c r="AG783" s="333">
        <f t="shared" si="124"/>
        <v>-1757581.7</v>
      </c>
      <c r="AH783" s="330"/>
      <c r="AI783" s="330">
        <v>0</v>
      </c>
      <c r="AJ783" s="396">
        <f t="shared" si="125"/>
        <v>-1757581.7</v>
      </c>
      <c r="AK783" s="563"/>
      <c r="AL783" s="285">
        <f t="shared" si="127"/>
        <v>0</v>
      </c>
      <c r="AM783" s="286"/>
      <c r="AO783" s="330" t="s">
        <v>5389</v>
      </c>
    </row>
    <row r="784" spans="1:41">
      <c r="A784" s="587">
        <f t="shared" si="126"/>
        <v>781</v>
      </c>
      <c r="B784" s="330" t="s">
        <v>1643</v>
      </c>
      <c r="C784" s="330" t="s">
        <v>5393</v>
      </c>
      <c r="D784" s="330" t="s">
        <v>1662</v>
      </c>
      <c r="E784" s="330" t="s">
        <v>3654</v>
      </c>
      <c r="F784" s="330" t="s">
        <v>1671</v>
      </c>
      <c r="G784" s="562">
        <v>1375</v>
      </c>
      <c r="H784" s="562">
        <v>876.73</v>
      </c>
      <c r="I784" s="562">
        <v>982.22</v>
      </c>
      <c r="J784" s="561" t="s">
        <v>1648</v>
      </c>
      <c r="K784" s="330" t="s">
        <v>5394</v>
      </c>
      <c r="L784" s="330" t="s">
        <v>5395</v>
      </c>
      <c r="M784" s="330" t="s">
        <v>5396</v>
      </c>
      <c r="N784" s="330" t="s">
        <v>5397</v>
      </c>
      <c r="O784" s="395">
        <v>45462</v>
      </c>
      <c r="P784" s="333">
        <v>7584762</v>
      </c>
      <c r="Q784" s="330" t="s">
        <v>1653</v>
      </c>
      <c r="R784" s="562">
        <v>0</v>
      </c>
      <c r="S784" s="333">
        <v>0</v>
      </c>
      <c r="T784" s="333">
        <v>-2240541.2399999998</v>
      </c>
      <c r="U784" s="333">
        <f t="shared" si="123"/>
        <v>-2240541.2399999998</v>
      </c>
      <c r="V784" s="333">
        <v>-49991</v>
      </c>
      <c r="W784" s="333">
        <v>0</v>
      </c>
      <c r="X784" s="333">
        <v>0</v>
      </c>
      <c r="Y784" s="333">
        <v>0</v>
      </c>
      <c r="Z784" s="333">
        <v>0</v>
      </c>
      <c r="AA784" s="333">
        <v>0</v>
      </c>
      <c r="AB784" s="333">
        <v>0</v>
      </c>
      <c r="AC784" s="333">
        <v>-20162.32</v>
      </c>
      <c r="AD784" s="333">
        <v>0</v>
      </c>
      <c r="AE784" s="333"/>
      <c r="AF784" s="333"/>
      <c r="AG784" s="333">
        <f t="shared" si="124"/>
        <v>-2310694.5599999996</v>
      </c>
      <c r="AH784" s="330"/>
      <c r="AI784" s="330">
        <v>20162.32</v>
      </c>
      <c r="AJ784" s="396">
        <f t="shared" si="125"/>
        <v>-2310694.5599999996</v>
      </c>
      <c r="AK784" s="563"/>
      <c r="AL784" s="285">
        <f>+AC784+AI784</f>
        <v>0</v>
      </c>
      <c r="AM784" s="286"/>
      <c r="AO784" s="330" t="s">
        <v>5394</v>
      </c>
    </row>
    <row r="785" spans="1:41">
      <c r="A785" s="587">
        <f t="shared" si="126"/>
        <v>782</v>
      </c>
      <c r="B785" s="330" t="s">
        <v>1643</v>
      </c>
      <c r="C785" s="330" t="s">
        <v>5398</v>
      </c>
      <c r="D785" s="330" t="s">
        <v>1746</v>
      </c>
      <c r="E785" s="330" t="s">
        <v>2567</v>
      </c>
      <c r="F785" s="330" t="s">
        <v>1671</v>
      </c>
      <c r="G785" s="562">
        <v>1498</v>
      </c>
      <c r="H785" s="562">
        <v>954.87</v>
      </c>
      <c r="I785" s="562">
        <v>1069.73</v>
      </c>
      <c r="J785" s="561" t="s">
        <v>1648</v>
      </c>
      <c r="K785" s="330" t="s">
        <v>5399</v>
      </c>
      <c r="L785" s="330" t="s">
        <v>5400</v>
      </c>
      <c r="M785" s="330" t="s">
        <v>5401</v>
      </c>
      <c r="N785" s="330" t="s">
        <v>5402</v>
      </c>
      <c r="O785" s="395">
        <v>45635</v>
      </c>
      <c r="P785" s="333">
        <v>9169643</v>
      </c>
      <c r="Q785" s="330" t="s">
        <v>1653</v>
      </c>
      <c r="R785" s="562">
        <v>0</v>
      </c>
      <c r="S785" s="333">
        <v>0</v>
      </c>
      <c r="T785" s="333">
        <v>-2727968.3400000008</v>
      </c>
      <c r="U785" s="333">
        <f t="shared" si="123"/>
        <v>-2727968.3400000008</v>
      </c>
      <c r="V785" s="333">
        <v>0</v>
      </c>
      <c r="W785" s="333">
        <v>0</v>
      </c>
      <c r="X785" s="333">
        <v>0</v>
      </c>
      <c r="Y785" s="333">
        <v>0</v>
      </c>
      <c r="Z785" s="333">
        <v>0</v>
      </c>
      <c r="AA785" s="333">
        <v>0</v>
      </c>
      <c r="AB785" s="333">
        <v>0</v>
      </c>
      <c r="AC785" s="333">
        <v>0</v>
      </c>
      <c r="AD785" s="333">
        <v>0</v>
      </c>
      <c r="AE785" s="333"/>
      <c r="AF785" s="333"/>
      <c r="AG785" s="333">
        <f t="shared" si="124"/>
        <v>-2727968.3400000008</v>
      </c>
      <c r="AH785" s="330"/>
      <c r="AI785" s="330">
        <v>0</v>
      </c>
      <c r="AJ785" s="396">
        <f t="shared" si="125"/>
        <v>-2727968.3400000008</v>
      </c>
      <c r="AK785" s="563"/>
      <c r="AL785" s="285">
        <f t="shared" si="127"/>
        <v>0</v>
      </c>
      <c r="AM785" s="286"/>
      <c r="AO785" s="330" t="s">
        <v>5399</v>
      </c>
    </row>
    <row r="786" spans="1:41">
      <c r="A786" s="587">
        <f t="shared" si="126"/>
        <v>783</v>
      </c>
      <c r="B786" s="330" t="s">
        <v>1643</v>
      </c>
      <c r="C786" s="330" t="s">
        <v>5403</v>
      </c>
      <c r="D786" s="330" t="s">
        <v>1655</v>
      </c>
      <c r="E786" s="330" t="s">
        <v>1880</v>
      </c>
      <c r="F786" s="330" t="s">
        <v>1647</v>
      </c>
      <c r="G786" s="562">
        <v>1114</v>
      </c>
      <c r="H786" s="562">
        <v>683.3</v>
      </c>
      <c r="I786" s="562">
        <v>795.57</v>
      </c>
      <c r="J786" s="561" t="s">
        <v>1648</v>
      </c>
      <c r="K786" s="330" t="s">
        <v>5404</v>
      </c>
      <c r="L786" s="330" t="s">
        <v>5405</v>
      </c>
      <c r="M786" s="330" t="s">
        <v>5406</v>
      </c>
      <c r="N786" s="330" t="s">
        <v>12</v>
      </c>
      <c r="O786" s="395"/>
      <c r="P786" s="333">
        <v>7026762</v>
      </c>
      <c r="Q786" s="330" t="s">
        <v>1660</v>
      </c>
      <c r="R786" s="562">
        <v>0</v>
      </c>
      <c r="S786" s="333">
        <v>0</v>
      </c>
      <c r="T786" s="333">
        <v>-315392</v>
      </c>
      <c r="U786" s="333">
        <f t="shared" si="123"/>
        <v>-315392</v>
      </c>
      <c r="V786" s="333">
        <v>315392</v>
      </c>
      <c r="W786" s="333">
        <v>0</v>
      </c>
      <c r="X786" s="333">
        <v>0</v>
      </c>
      <c r="Y786" s="333">
        <v>0</v>
      </c>
      <c r="Z786" s="333">
        <v>0</v>
      </c>
      <c r="AA786" s="333">
        <v>0</v>
      </c>
      <c r="AB786" s="333">
        <v>0</v>
      </c>
      <c r="AC786" s="333">
        <v>0</v>
      </c>
      <c r="AD786" s="333">
        <v>0</v>
      </c>
      <c r="AE786" s="333"/>
      <c r="AF786" s="333"/>
      <c r="AG786" s="333">
        <f t="shared" si="124"/>
        <v>0</v>
      </c>
      <c r="AH786" s="330"/>
      <c r="AI786" s="330">
        <v>0</v>
      </c>
      <c r="AJ786" s="396">
        <f t="shared" si="125"/>
        <v>0</v>
      </c>
      <c r="AK786" s="563"/>
      <c r="AL786" s="285">
        <f t="shared" si="127"/>
        <v>0</v>
      </c>
      <c r="AM786" s="286"/>
      <c r="AO786" s="330" t="s">
        <v>5404</v>
      </c>
    </row>
    <row r="787" spans="1:41">
      <c r="A787" s="587">
        <f t="shared" si="126"/>
        <v>784</v>
      </c>
      <c r="B787" s="330" t="s">
        <v>1643</v>
      </c>
      <c r="C787" s="330" t="s">
        <v>5407</v>
      </c>
      <c r="D787" s="330" t="s">
        <v>1746</v>
      </c>
      <c r="E787" s="330" t="s">
        <v>2873</v>
      </c>
      <c r="F787" s="330" t="s">
        <v>1647</v>
      </c>
      <c r="G787" s="562">
        <v>1012</v>
      </c>
      <c r="H787" s="562">
        <v>653.59</v>
      </c>
      <c r="I787" s="562">
        <v>723.02</v>
      </c>
      <c r="J787" s="561" t="s">
        <v>1648</v>
      </c>
      <c r="K787" s="330" t="s">
        <v>5408</v>
      </c>
      <c r="L787" s="330" t="s">
        <v>5409</v>
      </c>
      <c r="M787" s="330" t="s">
        <v>5410</v>
      </c>
      <c r="N787" s="330" t="s">
        <v>5411</v>
      </c>
      <c r="O787" s="395">
        <v>45441</v>
      </c>
      <c r="P787" s="333">
        <v>5714010</v>
      </c>
      <c r="Q787" s="330" t="s">
        <v>1653</v>
      </c>
      <c r="R787" s="562">
        <v>0</v>
      </c>
      <c r="S787" s="333">
        <v>0</v>
      </c>
      <c r="T787" s="333">
        <v>-1557630.2399999998</v>
      </c>
      <c r="U787" s="333">
        <f t="shared" si="123"/>
        <v>-1557630.2399999998</v>
      </c>
      <c r="V787" s="333">
        <v>0</v>
      </c>
      <c r="W787" s="333">
        <v>0</v>
      </c>
      <c r="X787" s="333">
        <v>0</v>
      </c>
      <c r="Y787" s="333">
        <v>0</v>
      </c>
      <c r="Z787" s="333">
        <v>0</v>
      </c>
      <c r="AA787" s="333">
        <v>0</v>
      </c>
      <c r="AB787" s="333">
        <v>0</v>
      </c>
      <c r="AC787" s="333">
        <v>-7142</v>
      </c>
      <c r="AD787" s="333">
        <v>0</v>
      </c>
      <c r="AE787" s="333"/>
      <c r="AF787" s="333"/>
      <c r="AG787" s="333">
        <f t="shared" si="124"/>
        <v>-1564772.2399999998</v>
      </c>
      <c r="AH787" s="330"/>
      <c r="AI787" s="330">
        <v>7142</v>
      </c>
      <c r="AJ787" s="396">
        <f t="shared" si="125"/>
        <v>-1564772.2399999998</v>
      </c>
      <c r="AK787" s="563"/>
      <c r="AL787" s="285">
        <f>+AC787+AI787</f>
        <v>0</v>
      </c>
      <c r="AM787" s="286"/>
      <c r="AO787" s="330" t="s">
        <v>5408</v>
      </c>
    </row>
    <row r="788" spans="1:41">
      <c r="A788" s="587">
        <f t="shared" si="126"/>
        <v>785</v>
      </c>
      <c r="B788" s="330" t="s">
        <v>1643</v>
      </c>
      <c r="C788" s="330" t="s">
        <v>5412</v>
      </c>
      <c r="D788" s="330" t="s">
        <v>1704</v>
      </c>
      <c r="E788" s="330" t="s">
        <v>2588</v>
      </c>
      <c r="F788" s="330" t="s">
        <v>1647</v>
      </c>
      <c r="G788" s="562">
        <v>1012</v>
      </c>
      <c r="H788" s="562">
        <v>653.59</v>
      </c>
      <c r="I788" s="562">
        <v>723.02</v>
      </c>
      <c r="J788" s="561" t="s">
        <v>1648</v>
      </c>
      <c r="K788" s="330" t="s">
        <v>5413</v>
      </c>
      <c r="L788" s="330" t="s">
        <v>5414</v>
      </c>
      <c r="M788" s="330" t="s">
        <v>5415</v>
      </c>
      <c r="N788" s="330" t="s">
        <v>5416</v>
      </c>
      <c r="O788" s="395">
        <v>45446</v>
      </c>
      <c r="P788" s="333">
        <v>5803524</v>
      </c>
      <c r="Q788" s="330" t="s">
        <v>1653</v>
      </c>
      <c r="R788" s="562">
        <v>0</v>
      </c>
      <c r="S788" s="333">
        <v>0</v>
      </c>
      <c r="T788" s="333">
        <v>-1690056.1399999994</v>
      </c>
      <c r="U788" s="333">
        <f t="shared" si="123"/>
        <v>-1690056.1399999994</v>
      </c>
      <c r="V788" s="333">
        <v>-48572</v>
      </c>
      <c r="W788" s="333">
        <v>0</v>
      </c>
      <c r="X788" s="333">
        <v>0</v>
      </c>
      <c r="Y788" s="333">
        <v>0</v>
      </c>
      <c r="Z788" s="333">
        <v>0</v>
      </c>
      <c r="AA788" s="333">
        <v>0</v>
      </c>
      <c r="AB788" s="333">
        <v>0</v>
      </c>
      <c r="AC788" s="333">
        <v>0</v>
      </c>
      <c r="AD788" s="333">
        <v>0</v>
      </c>
      <c r="AE788" s="333"/>
      <c r="AF788" s="333"/>
      <c r="AG788" s="333">
        <f t="shared" si="124"/>
        <v>-1738628.1399999994</v>
      </c>
      <c r="AH788" s="330"/>
      <c r="AI788" s="330">
        <v>0</v>
      </c>
      <c r="AJ788" s="396">
        <f t="shared" si="125"/>
        <v>-1738628.1399999994</v>
      </c>
      <c r="AK788" s="563"/>
      <c r="AL788" s="285">
        <f t="shared" si="127"/>
        <v>0</v>
      </c>
      <c r="AM788" s="286"/>
      <c r="AO788" s="330" t="s">
        <v>5413</v>
      </c>
    </row>
    <row r="789" spans="1:41">
      <c r="A789" s="587">
        <f t="shared" si="126"/>
        <v>786</v>
      </c>
      <c r="B789" s="330" t="s">
        <v>1643</v>
      </c>
      <c r="C789" s="330" t="s">
        <v>5417</v>
      </c>
      <c r="D789" s="330" t="s">
        <v>1645</v>
      </c>
      <c r="E789" s="330" t="s">
        <v>4043</v>
      </c>
      <c r="F789" s="330" t="s">
        <v>1671</v>
      </c>
      <c r="G789" s="562">
        <v>1375</v>
      </c>
      <c r="H789" s="562">
        <v>876.73</v>
      </c>
      <c r="I789" s="562">
        <v>982.22</v>
      </c>
      <c r="J789" s="561" t="s">
        <v>1679</v>
      </c>
      <c r="K789" s="330" t="s">
        <v>5418</v>
      </c>
      <c r="L789" s="330" t="s">
        <v>5419</v>
      </c>
      <c r="M789" s="330" t="s">
        <v>5420</v>
      </c>
      <c r="N789" s="330" t="s">
        <v>5421</v>
      </c>
      <c r="O789" s="395">
        <v>45477</v>
      </c>
      <c r="P789" s="333">
        <v>7990953</v>
      </c>
      <c r="Q789" s="330" t="s">
        <v>1653</v>
      </c>
      <c r="R789" s="562">
        <v>0</v>
      </c>
      <c r="S789" s="333">
        <v>0</v>
      </c>
      <c r="T789" s="333">
        <v>-2612588.5299999998</v>
      </c>
      <c r="U789" s="333">
        <f t="shared" si="123"/>
        <v>-2612588.5299999998</v>
      </c>
      <c r="V789" s="333">
        <v>0</v>
      </c>
      <c r="W789" s="333">
        <v>0</v>
      </c>
      <c r="X789" s="333">
        <v>0</v>
      </c>
      <c r="Y789" s="333">
        <v>0</v>
      </c>
      <c r="Z789" s="333">
        <v>0</v>
      </c>
      <c r="AA789" s="333">
        <v>0</v>
      </c>
      <c r="AB789" s="333">
        <v>0</v>
      </c>
      <c r="AC789" s="333">
        <v>119864.30000000005</v>
      </c>
      <c r="AD789" s="333">
        <v>0</v>
      </c>
      <c r="AE789" s="333"/>
      <c r="AF789" s="333"/>
      <c r="AG789" s="333">
        <f t="shared" si="124"/>
        <v>-2492724.2299999995</v>
      </c>
      <c r="AH789" s="330"/>
      <c r="AI789" s="330">
        <v>-119864.29999999999</v>
      </c>
      <c r="AJ789" s="396">
        <f t="shared" si="125"/>
        <v>-2492724.2299999995</v>
      </c>
      <c r="AK789" s="563"/>
      <c r="AL789" s="285">
        <f t="shared" ref="AL789:AL790" si="128">+AC789+AI789</f>
        <v>0</v>
      </c>
      <c r="AM789" s="286"/>
      <c r="AO789" s="330" t="s">
        <v>5418</v>
      </c>
    </row>
    <row r="790" spans="1:41">
      <c r="A790" s="587">
        <f t="shared" si="126"/>
        <v>787</v>
      </c>
      <c r="B790" s="330" t="s">
        <v>1643</v>
      </c>
      <c r="C790" s="330" t="s">
        <v>5422</v>
      </c>
      <c r="D790" s="330" t="s">
        <v>1669</v>
      </c>
      <c r="E790" s="330" t="s">
        <v>1809</v>
      </c>
      <c r="F790" s="330" t="s">
        <v>1671</v>
      </c>
      <c r="G790" s="562">
        <v>1787</v>
      </c>
      <c r="H790" s="562">
        <v>1138.51</v>
      </c>
      <c r="I790" s="562">
        <v>1276.29</v>
      </c>
      <c r="J790" s="561" t="s">
        <v>1810</v>
      </c>
      <c r="K790" s="330" t="s">
        <v>5423</v>
      </c>
      <c r="L790" s="330" t="s">
        <v>5424</v>
      </c>
      <c r="M790" s="330" t="s">
        <v>5425</v>
      </c>
      <c r="N790" s="330" t="s">
        <v>5426</v>
      </c>
      <c r="O790" s="395">
        <v>45876</v>
      </c>
      <c r="P790" s="333">
        <v>13008860</v>
      </c>
      <c r="Q790" s="330" t="s">
        <v>1653</v>
      </c>
      <c r="R790" s="562">
        <v>0</v>
      </c>
      <c r="S790" s="333">
        <v>0</v>
      </c>
      <c r="T790" s="333">
        <v>0</v>
      </c>
      <c r="U790" s="333">
        <f t="shared" si="123"/>
        <v>0</v>
      </c>
      <c r="V790" s="333">
        <v>-4038852.6</v>
      </c>
      <c r="W790" s="333">
        <v>0</v>
      </c>
      <c r="X790" s="333">
        <v>0</v>
      </c>
      <c r="Y790" s="333">
        <v>0</v>
      </c>
      <c r="Z790" s="333">
        <v>810600</v>
      </c>
      <c r="AA790" s="333">
        <v>-810600</v>
      </c>
      <c r="AB790" s="333">
        <v>0</v>
      </c>
      <c r="AC790" s="333">
        <v>195132.89999999944</v>
      </c>
      <c r="AD790" s="333">
        <v>0</v>
      </c>
      <c r="AE790" s="333"/>
      <c r="AF790" s="333"/>
      <c r="AG790" s="333">
        <f t="shared" si="124"/>
        <v>-3843719.7000000007</v>
      </c>
      <c r="AH790" s="330"/>
      <c r="AI790" s="330">
        <v>-195132.90000000002</v>
      </c>
      <c r="AJ790" s="396">
        <f t="shared" si="125"/>
        <v>-3843719.7000000007</v>
      </c>
      <c r="AK790" s="563"/>
      <c r="AL790" s="285">
        <f t="shared" si="128"/>
        <v>-5.8207660913467407E-10</v>
      </c>
      <c r="AM790" s="286"/>
      <c r="AO790" s="330" t="s">
        <v>5423</v>
      </c>
    </row>
    <row r="791" spans="1:41">
      <c r="A791" s="587">
        <f t="shared" si="126"/>
        <v>788</v>
      </c>
      <c r="B791" s="330" t="s">
        <v>1643</v>
      </c>
      <c r="C791" s="330" t="s">
        <v>3140</v>
      </c>
      <c r="D791" s="330" t="s">
        <v>1746</v>
      </c>
      <c r="E791" s="330" t="s">
        <v>2212</v>
      </c>
      <c r="F791" s="330" t="s">
        <v>1685</v>
      </c>
      <c r="G791" s="562">
        <v>1265</v>
      </c>
      <c r="H791" s="562">
        <v>813.33</v>
      </c>
      <c r="I791" s="562">
        <v>903.31</v>
      </c>
      <c r="J791" s="561" t="s">
        <v>1648</v>
      </c>
      <c r="K791" s="330" t="s">
        <v>5427</v>
      </c>
      <c r="L791" s="330" t="s">
        <v>5428</v>
      </c>
      <c r="M791" s="330" t="s">
        <v>5429</v>
      </c>
      <c r="N791" s="330" t="s">
        <v>2066</v>
      </c>
      <c r="O791" s="395"/>
      <c r="P791" s="333">
        <v>7164190</v>
      </c>
      <c r="Q791" s="330" t="s">
        <v>1660</v>
      </c>
      <c r="R791" s="562">
        <v>0</v>
      </c>
      <c r="S791" s="333">
        <v>0</v>
      </c>
      <c r="T791" s="333">
        <v>0</v>
      </c>
      <c r="U791" s="333">
        <f t="shared" si="123"/>
        <v>0</v>
      </c>
      <c r="V791" s="333">
        <v>0</v>
      </c>
      <c r="W791" s="333">
        <v>0</v>
      </c>
      <c r="X791" s="333">
        <v>0</v>
      </c>
      <c r="Y791" s="333">
        <v>0</v>
      </c>
      <c r="Z791" s="333">
        <v>0</v>
      </c>
      <c r="AA791" s="333">
        <v>0</v>
      </c>
      <c r="AB791" s="333">
        <v>0</v>
      </c>
      <c r="AC791" s="333">
        <v>0</v>
      </c>
      <c r="AD791" s="333">
        <v>0</v>
      </c>
      <c r="AE791" s="333"/>
      <c r="AF791" s="333"/>
      <c r="AG791" s="333">
        <f t="shared" si="124"/>
        <v>0</v>
      </c>
      <c r="AH791" s="330"/>
      <c r="AI791" s="330">
        <v>0</v>
      </c>
      <c r="AJ791" s="396">
        <f t="shared" si="125"/>
        <v>0</v>
      </c>
      <c r="AK791" s="563"/>
      <c r="AL791" s="285">
        <f t="shared" si="127"/>
        <v>0</v>
      </c>
      <c r="AM791" s="286"/>
      <c r="AO791" s="330" t="s">
        <v>5427</v>
      </c>
    </row>
    <row r="792" spans="1:41">
      <c r="A792" s="587">
        <f t="shared" si="126"/>
        <v>789</v>
      </c>
      <c r="B792" s="330" t="s">
        <v>1643</v>
      </c>
      <c r="C792" s="330" t="s">
        <v>5430</v>
      </c>
      <c r="D792" s="330" t="s">
        <v>1645</v>
      </c>
      <c r="E792" s="330" t="s">
        <v>3962</v>
      </c>
      <c r="F792" s="330" t="s">
        <v>1671</v>
      </c>
      <c r="G792" s="562">
        <v>1375</v>
      </c>
      <c r="H792" s="562">
        <v>876.73</v>
      </c>
      <c r="I792" s="562">
        <v>982.22</v>
      </c>
      <c r="J792" s="561" t="s">
        <v>1648</v>
      </c>
      <c r="K792" s="330" t="s">
        <v>5431</v>
      </c>
      <c r="L792" s="330" t="s">
        <v>5432</v>
      </c>
      <c r="M792" s="330" t="s">
        <v>5433</v>
      </c>
      <c r="N792" s="330" t="s">
        <v>5434</v>
      </c>
      <c r="O792" s="395">
        <v>45406</v>
      </c>
      <c r="P792" s="333">
        <v>7762445</v>
      </c>
      <c r="Q792" s="330" t="s">
        <v>1653</v>
      </c>
      <c r="R792" s="562">
        <v>0</v>
      </c>
      <c r="S792" s="333">
        <v>0</v>
      </c>
      <c r="T792" s="333">
        <v>-2399212.3200000003</v>
      </c>
      <c r="U792" s="333">
        <f t="shared" si="123"/>
        <v>-2399212.3200000003</v>
      </c>
      <c r="V792" s="333">
        <v>0</v>
      </c>
      <c r="W792" s="333">
        <v>0</v>
      </c>
      <c r="X792" s="333">
        <v>0</v>
      </c>
      <c r="Y792" s="333">
        <v>0</v>
      </c>
      <c r="Z792" s="333">
        <v>0</v>
      </c>
      <c r="AA792" s="333">
        <v>0</v>
      </c>
      <c r="AB792" s="333">
        <v>0</v>
      </c>
      <c r="AC792" s="333">
        <v>-7143</v>
      </c>
      <c r="AD792" s="333">
        <v>0</v>
      </c>
      <c r="AE792" s="333"/>
      <c r="AF792" s="333"/>
      <c r="AG792" s="333">
        <f t="shared" si="124"/>
        <v>-2406355.3200000003</v>
      </c>
      <c r="AH792" s="330"/>
      <c r="AI792" s="330">
        <v>7143</v>
      </c>
      <c r="AJ792" s="396">
        <f t="shared" si="125"/>
        <v>-2406355.3200000003</v>
      </c>
      <c r="AK792" s="563"/>
      <c r="AL792" s="285">
        <f>+AC792+AI792</f>
        <v>0</v>
      </c>
      <c r="AM792" s="286"/>
      <c r="AO792" s="330" t="s">
        <v>5431</v>
      </c>
    </row>
    <row r="793" spans="1:41">
      <c r="A793" s="587">
        <f t="shared" si="126"/>
        <v>790</v>
      </c>
      <c r="B793" s="330" t="s">
        <v>1643</v>
      </c>
      <c r="C793" s="330" t="s">
        <v>5435</v>
      </c>
      <c r="D793" s="330" t="s">
        <v>1662</v>
      </c>
      <c r="E793" s="330" t="s">
        <v>2425</v>
      </c>
      <c r="F793" s="330" t="s">
        <v>1671</v>
      </c>
      <c r="G793" s="562">
        <v>1375</v>
      </c>
      <c r="H793" s="562">
        <v>876.73</v>
      </c>
      <c r="I793" s="562">
        <v>982.22</v>
      </c>
      <c r="J793" s="561" t="s">
        <v>1648</v>
      </c>
      <c r="K793" s="330" t="s">
        <v>5436</v>
      </c>
      <c r="L793" s="330" t="s">
        <v>5437</v>
      </c>
      <c r="M793" s="330" t="s">
        <v>5438</v>
      </c>
      <c r="N793" s="330" t="s">
        <v>5439</v>
      </c>
      <c r="O793" s="395">
        <v>45437</v>
      </c>
      <c r="P793" s="333">
        <v>7803698</v>
      </c>
      <c r="Q793" s="330" t="s">
        <v>1653</v>
      </c>
      <c r="R793" s="562">
        <v>0</v>
      </c>
      <c r="S793" s="333">
        <v>0</v>
      </c>
      <c r="T793" s="333">
        <v>-2341110.5</v>
      </c>
      <c r="U793" s="333">
        <f t="shared" si="123"/>
        <v>-2341110.5</v>
      </c>
      <c r="V793" s="333">
        <v>0</v>
      </c>
      <c r="W793" s="333">
        <v>0</v>
      </c>
      <c r="X793" s="333">
        <v>0</v>
      </c>
      <c r="Y793" s="333">
        <v>0</v>
      </c>
      <c r="Z793" s="333">
        <v>0</v>
      </c>
      <c r="AA793" s="333">
        <v>0</v>
      </c>
      <c r="AB793" s="333">
        <v>0</v>
      </c>
      <c r="AC793" s="333">
        <v>6.000000000858563E-2</v>
      </c>
      <c r="AD793" s="333">
        <v>0</v>
      </c>
      <c r="AE793" s="333"/>
      <c r="AF793" s="333"/>
      <c r="AG793" s="333">
        <f t="shared" si="124"/>
        <v>-2341110.44</v>
      </c>
      <c r="AH793" s="330"/>
      <c r="AI793" s="330">
        <v>-5.9999999997671694E-2</v>
      </c>
      <c r="AJ793" s="396">
        <f t="shared" si="125"/>
        <v>-2341110.44</v>
      </c>
      <c r="AK793" s="563"/>
      <c r="AL793" s="285">
        <f t="shared" si="127"/>
        <v>0.12000000000625732</v>
      </c>
      <c r="AM793" s="286"/>
      <c r="AO793" s="330" t="s">
        <v>5436</v>
      </c>
    </row>
    <row r="794" spans="1:41">
      <c r="A794" s="587">
        <f t="shared" si="126"/>
        <v>791</v>
      </c>
      <c r="B794" s="330" t="s">
        <v>1643</v>
      </c>
      <c r="C794" s="330" t="s">
        <v>5440</v>
      </c>
      <c r="D794" s="330" t="s">
        <v>1746</v>
      </c>
      <c r="E794" s="330" t="s">
        <v>2744</v>
      </c>
      <c r="F794" s="330" t="s">
        <v>1671</v>
      </c>
      <c r="G794" s="562">
        <v>1498</v>
      </c>
      <c r="H794" s="562">
        <v>954.87</v>
      </c>
      <c r="I794" s="562">
        <v>1069.73</v>
      </c>
      <c r="J794" s="561" t="s">
        <v>1648</v>
      </c>
      <c r="K794" s="330" t="s">
        <v>5441</v>
      </c>
      <c r="L794" s="330" t="s">
        <v>5442</v>
      </c>
      <c r="M794" s="330" t="s">
        <v>5443</v>
      </c>
      <c r="N794" s="330" t="s">
        <v>5444</v>
      </c>
      <c r="O794" s="395">
        <v>45443</v>
      </c>
      <c r="P794" s="333">
        <v>8633904</v>
      </c>
      <c r="Q794" s="330" t="s">
        <v>1653</v>
      </c>
      <c r="R794" s="562">
        <v>0</v>
      </c>
      <c r="S794" s="333">
        <v>0</v>
      </c>
      <c r="T794" s="333">
        <v>-2587742.44</v>
      </c>
      <c r="U794" s="333">
        <f t="shared" si="123"/>
        <v>-2587742.44</v>
      </c>
      <c r="V794" s="333">
        <v>0</v>
      </c>
      <c r="W794" s="333">
        <v>0</v>
      </c>
      <c r="X794" s="333">
        <v>0</v>
      </c>
      <c r="Y794" s="333">
        <v>0</v>
      </c>
      <c r="Z794" s="333">
        <v>0</v>
      </c>
      <c r="AA794" s="333">
        <v>0</v>
      </c>
      <c r="AB794" s="333">
        <v>0</v>
      </c>
      <c r="AC794" s="333">
        <v>0</v>
      </c>
      <c r="AD794" s="333">
        <v>0</v>
      </c>
      <c r="AE794" s="333"/>
      <c r="AF794" s="333"/>
      <c r="AG794" s="333">
        <f t="shared" si="124"/>
        <v>-2587742.44</v>
      </c>
      <c r="AH794" s="330"/>
      <c r="AI794" s="330">
        <v>0</v>
      </c>
      <c r="AJ794" s="396">
        <f t="shared" si="125"/>
        <v>-2587742.44</v>
      </c>
      <c r="AK794" s="563"/>
      <c r="AL794" s="285">
        <f t="shared" si="127"/>
        <v>0</v>
      </c>
      <c r="AM794" s="286"/>
      <c r="AO794" s="330" t="s">
        <v>5441</v>
      </c>
    </row>
    <row r="795" spans="1:41">
      <c r="A795" s="587">
        <f t="shared" si="126"/>
        <v>792</v>
      </c>
      <c r="B795" s="330" t="s">
        <v>1643</v>
      </c>
      <c r="C795" s="330" t="s">
        <v>3069</v>
      </c>
      <c r="D795" s="330" t="s">
        <v>1662</v>
      </c>
      <c r="E795" s="330" t="s">
        <v>3070</v>
      </c>
      <c r="F795" s="330" t="s">
        <v>1671</v>
      </c>
      <c r="G795" s="562">
        <v>1375</v>
      </c>
      <c r="H795" s="562">
        <v>876.73</v>
      </c>
      <c r="I795" s="562">
        <v>982.22</v>
      </c>
      <c r="J795" s="561" t="s">
        <v>1648</v>
      </c>
      <c r="K795" s="330" t="s">
        <v>5445</v>
      </c>
      <c r="L795" s="330" t="s">
        <v>5446</v>
      </c>
      <c r="M795" s="330" t="s">
        <v>5447</v>
      </c>
      <c r="N795" s="330" t="s">
        <v>5448</v>
      </c>
      <c r="O795" s="395">
        <v>45548</v>
      </c>
      <c r="P795" s="333">
        <v>8035714</v>
      </c>
      <c r="Q795" s="330" t="s">
        <v>1653</v>
      </c>
      <c r="R795" s="562">
        <v>0</v>
      </c>
      <c r="S795" s="333">
        <v>0</v>
      </c>
      <c r="T795" s="333">
        <v>-2410716.2800000003</v>
      </c>
      <c r="U795" s="333">
        <f t="shared" si="123"/>
        <v>-2410716.2800000003</v>
      </c>
      <c r="V795" s="333">
        <v>0</v>
      </c>
      <c r="W795" s="333">
        <v>0</v>
      </c>
      <c r="X795" s="333">
        <v>0</v>
      </c>
      <c r="Y795" s="333">
        <v>0</v>
      </c>
      <c r="Z795" s="333">
        <v>0</v>
      </c>
      <c r="AA795" s="333">
        <v>0</v>
      </c>
      <c r="AB795" s="333">
        <v>0</v>
      </c>
      <c r="AC795" s="333">
        <v>0</v>
      </c>
      <c r="AD795" s="333">
        <v>0</v>
      </c>
      <c r="AE795" s="333"/>
      <c r="AF795" s="333"/>
      <c r="AG795" s="333">
        <f t="shared" si="124"/>
        <v>-2410716.2800000003</v>
      </c>
      <c r="AH795" s="330"/>
      <c r="AI795" s="330">
        <v>0</v>
      </c>
      <c r="AJ795" s="396">
        <f t="shared" si="125"/>
        <v>-2410716.2800000003</v>
      </c>
      <c r="AK795" s="563"/>
      <c r="AL795" s="285">
        <f t="shared" si="127"/>
        <v>0</v>
      </c>
      <c r="AM795" s="286"/>
      <c r="AO795" s="330" t="s">
        <v>5445</v>
      </c>
    </row>
    <row r="796" spans="1:41">
      <c r="A796" s="587">
        <f t="shared" si="126"/>
        <v>793</v>
      </c>
      <c r="B796" s="330" t="s">
        <v>1643</v>
      </c>
      <c r="C796" s="330" t="s">
        <v>2358</v>
      </c>
      <c r="D796" s="330" t="s">
        <v>1746</v>
      </c>
      <c r="E796" s="330" t="s">
        <v>2359</v>
      </c>
      <c r="F796" s="330" t="s">
        <v>1671</v>
      </c>
      <c r="G796" s="562">
        <v>1375</v>
      </c>
      <c r="H796" s="562">
        <v>876.73</v>
      </c>
      <c r="I796" s="562">
        <v>982.22</v>
      </c>
      <c r="J796" s="561" t="s">
        <v>1648</v>
      </c>
      <c r="K796" s="330" t="s">
        <v>5449</v>
      </c>
      <c r="L796" s="330" t="s">
        <v>5450</v>
      </c>
      <c r="M796" s="330" t="s">
        <v>5451</v>
      </c>
      <c r="N796" s="330" t="s">
        <v>5452</v>
      </c>
      <c r="O796" s="395">
        <v>45446</v>
      </c>
      <c r="P796" s="333">
        <v>7750000</v>
      </c>
      <c r="Q796" s="330" t="s">
        <v>1653</v>
      </c>
      <c r="R796" s="562">
        <v>0</v>
      </c>
      <c r="S796" s="333">
        <v>0</v>
      </c>
      <c r="T796" s="333">
        <v>-2068125</v>
      </c>
      <c r="U796" s="333">
        <f t="shared" si="123"/>
        <v>-2068125</v>
      </c>
      <c r="V796" s="333">
        <v>-256875</v>
      </c>
      <c r="W796" s="333">
        <v>0</v>
      </c>
      <c r="X796" s="333">
        <v>0</v>
      </c>
      <c r="Y796" s="333">
        <v>0</v>
      </c>
      <c r="Z796" s="333">
        <v>0</v>
      </c>
      <c r="AA796" s="333">
        <v>0</v>
      </c>
      <c r="AB796" s="333">
        <v>0</v>
      </c>
      <c r="AC796" s="333">
        <v>0</v>
      </c>
      <c r="AD796" s="333">
        <v>0</v>
      </c>
      <c r="AE796" s="333"/>
      <c r="AF796" s="333"/>
      <c r="AG796" s="333">
        <f t="shared" si="124"/>
        <v>-2325000</v>
      </c>
      <c r="AH796" s="330"/>
      <c r="AI796" s="330">
        <v>0</v>
      </c>
      <c r="AJ796" s="396">
        <f t="shared" si="125"/>
        <v>-2325000</v>
      </c>
      <c r="AK796" s="563"/>
      <c r="AL796" s="285">
        <f t="shared" si="127"/>
        <v>0</v>
      </c>
      <c r="AM796" s="286"/>
      <c r="AO796" s="330" t="s">
        <v>5449</v>
      </c>
    </row>
    <row r="797" spans="1:41">
      <c r="A797" s="587">
        <f t="shared" si="126"/>
        <v>794</v>
      </c>
      <c r="B797" s="330" t="s">
        <v>1643</v>
      </c>
      <c r="C797" s="330" t="s">
        <v>4067</v>
      </c>
      <c r="D797" s="330" t="s">
        <v>1746</v>
      </c>
      <c r="E797" s="330" t="s">
        <v>1918</v>
      </c>
      <c r="F797" s="330" t="s">
        <v>1647</v>
      </c>
      <c r="G797" s="562">
        <v>1114</v>
      </c>
      <c r="H797" s="562">
        <v>683.3</v>
      </c>
      <c r="I797" s="562">
        <v>795.57</v>
      </c>
      <c r="J797" s="561" t="s">
        <v>1648</v>
      </c>
      <c r="K797" s="330" t="s">
        <v>5453</v>
      </c>
      <c r="L797" s="330" t="s">
        <v>5454</v>
      </c>
      <c r="M797" s="330" t="s">
        <v>4070</v>
      </c>
      <c r="N797" s="330" t="s">
        <v>4071</v>
      </c>
      <c r="O797" s="395">
        <v>45537</v>
      </c>
      <c r="P797" s="333">
        <v>6337489</v>
      </c>
      <c r="Q797" s="330" t="s">
        <v>1653</v>
      </c>
      <c r="R797" s="562">
        <v>0</v>
      </c>
      <c r="S797" s="333">
        <v>0</v>
      </c>
      <c r="T797" s="333">
        <v>0</v>
      </c>
      <c r="U797" s="333">
        <f t="shared" si="123"/>
        <v>0</v>
      </c>
      <c r="V797" s="333">
        <v>-1989166</v>
      </c>
      <c r="W797" s="333">
        <v>0</v>
      </c>
      <c r="X797" s="333">
        <v>0</v>
      </c>
      <c r="Y797" s="333">
        <v>0</v>
      </c>
      <c r="Z797" s="333">
        <v>0</v>
      </c>
      <c r="AA797" s="333">
        <v>0</v>
      </c>
      <c r="AB797" s="333">
        <v>0</v>
      </c>
      <c r="AC797" s="333">
        <v>95062.340000000084</v>
      </c>
      <c r="AD797" s="333">
        <v>0</v>
      </c>
      <c r="AE797" s="333"/>
      <c r="AF797" s="333"/>
      <c r="AG797" s="333">
        <f t="shared" si="124"/>
        <v>-1894103.66</v>
      </c>
      <c r="AH797" s="330"/>
      <c r="AI797" s="330">
        <v>-95062.34</v>
      </c>
      <c r="AJ797" s="396">
        <f t="shared" si="125"/>
        <v>-1894103.66</v>
      </c>
      <c r="AK797" s="563"/>
      <c r="AL797" s="285">
        <f t="shared" ref="AL797:AL799" si="129">+AC797+AI797</f>
        <v>0</v>
      </c>
      <c r="AM797" s="286"/>
      <c r="AO797" s="330" t="s">
        <v>5453</v>
      </c>
    </row>
    <row r="798" spans="1:41">
      <c r="A798" s="587">
        <f t="shared" si="126"/>
        <v>795</v>
      </c>
      <c r="B798" s="330" t="s">
        <v>1643</v>
      </c>
      <c r="C798" s="330" t="s">
        <v>5455</v>
      </c>
      <c r="D798" s="330" t="s">
        <v>1645</v>
      </c>
      <c r="E798" s="330" t="s">
        <v>1656</v>
      </c>
      <c r="F798" s="330" t="s">
        <v>1647</v>
      </c>
      <c r="G798" s="562">
        <v>1114</v>
      </c>
      <c r="H798" s="562">
        <v>683.3</v>
      </c>
      <c r="I798" s="562">
        <v>795.57</v>
      </c>
      <c r="J798" s="561" t="s">
        <v>1810</v>
      </c>
      <c r="K798" s="330" t="s">
        <v>5456</v>
      </c>
      <c r="L798" s="330" t="s">
        <v>5457</v>
      </c>
      <c r="M798" s="330" t="s">
        <v>5458</v>
      </c>
      <c r="N798" s="330" t="s">
        <v>5459</v>
      </c>
      <c r="O798" s="395">
        <v>45435</v>
      </c>
      <c r="P798" s="333">
        <v>6304075</v>
      </c>
      <c r="Q798" s="330" t="s">
        <v>1653</v>
      </c>
      <c r="R798" s="562">
        <v>0</v>
      </c>
      <c r="S798" s="333">
        <v>0</v>
      </c>
      <c r="T798" s="333">
        <v>-1884079.8599999999</v>
      </c>
      <c r="U798" s="333">
        <f t="shared" si="123"/>
        <v>-1884079.8599999999</v>
      </c>
      <c r="V798" s="333">
        <v>0</v>
      </c>
      <c r="W798" s="333">
        <v>0</v>
      </c>
      <c r="X798" s="333">
        <v>0</v>
      </c>
      <c r="Y798" s="333">
        <v>0</v>
      </c>
      <c r="Z798" s="333">
        <v>0</v>
      </c>
      <c r="AA798" s="333">
        <v>0</v>
      </c>
      <c r="AB798" s="333">
        <v>0</v>
      </c>
      <c r="AC798" s="333">
        <v>-7142</v>
      </c>
      <c r="AD798" s="333">
        <v>0</v>
      </c>
      <c r="AE798" s="333"/>
      <c r="AF798" s="333"/>
      <c r="AG798" s="333">
        <f t="shared" si="124"/>
        <v>-1891221.8599999999</v>
      </c>
      <c r="AH798" s="330"/>
      <c r="AI798" s="330">
        <v>7142</v>
      </c>
      <c r="AJ798" s="396">
        <f t="shared" si="125"/>
        <v>-1891221.8599999999</v>
      </c>
      <c r="AK798" s="563"/>
      <c r="AL798" s="285">
        <f t="shared" si="129"/>
        <v>0</v>
      </c>
      <c r="AM798" s="286"/>
      <c r="AO798" s="330" t="s">
        <v>5456</v>
      </c>
    </row>
    <row r="799" spans="1:41">
      <c r="A799" s="587">
        <f t="shared" si="126"/>
        <v>796</v>
      </c>
      <c r="B799" s="330" t="s">
        <v>1643</v>
      </c>
      <c r="C799" s="330" t="s">
        <v>5460</v>
      </c>
      <c r="D799" s="330" t="s">
        <v>1677</v>
      </c>
      <c r="E799" s="330" t="s">
        <v>2655</v>
      </c>
      <c r="F799" s="330" t="s">
        <v>1647</v>
      </c>
      <c r="G799" s="562">
        <v>1114</v>
      </c>
      <c r="H799" s="562">
        <v>683.3</v>
      </c>
      <c r="I799" s="562">
        <v>795.57</v>
      </c>
      <c r="J799" s="561" t="s">
        <v>1679</v>
      </c>
      <c r="K799" s="330" t="s">
        <v>5461</v>
      </c>
      <c r="L799" s="330" t="s">
        <v>5462</v>
      </c>
      <c r="M799" s="330" t="s">
        <v>5463</v>
      </c>
      <c r="N799" s="330" t="s">
        <v>12</v>
      </c>
      <c r="O799" s="395"/>
      <c r="P799" s="333">
        <v>6982095</v>
      </c>
      <c r="Q799" s="330" t="s">
        <v>1653</v>
      </c>
      <c r="R799" s="562">
        <v>0</v>
      </c>
      <c r="S799" s="333">
        <v>0</v>
      </c>
      <c r="T799" s="333">
        <v>-875538.67999999993</v>
      </c>
      <c r="U799" s="333">
        <f t="shared" si="123"/>
        <v>-875538.67999999993</v>
      </c>
      <c r="V799" s="333">
        <v>0</v>
      </c>
      <c r="W799" s="333">
        <v>0</v>
      </c>
      <c r="X799" s="333">
        <v>0</v>
      </c>
      <c r="Y799" s="333">
        <v>0</v>
      </c>
      <c r="Z799" s="333">
        <v>0</v>
      </c>
      <c r="AA799" s="333">
        <v>0</v>
      </c>
      <c r="AB799" s="333">
        <v>0</v>
      </c>
      <c r="AC799" s="333">
        <v>-9821.32</v>
      </c>
      <c r="AD799" s="333">
        <v>0</v>
      </c>
      <c r="AE799" s="333"/>
      <c r="AF799" s="333"/>
      <c r="AG799" s="333">
        <f t="shared" si="124"/>
        <v>-885359.99999999988</v>
      </c>
      <c r="AH799" s="330"/>
      <c r="AI799" s="330">
        <v>9821.32</v>
      </c>
      <c r="AJ799" s="396">
        <f t="shared" si="125"/>
        <v>-885359.99999999988</v>
      </c>
      <c r="AK799" s="563"/>
      <c r="AL799" s="285">
        <f t="shared" si="129"/>
        <v>0</v>
      </c>
      <c r="AM799" s="286"/>
      <c r="AO799" s="330" t="s">
        <v>5461</v>
      </c>
    </row>
    <row r="800" spans="1:41">
      <c r="A800" s="587">
        <f t="shared" si="126"/>
        <v>797</v>
      </c>
      <c r="B800" s="330" t="s">
        <v>1643</v>
      </c>
      <c r="C800" s="330" t="s">
        <v>5464</v>
      </c>
      <c r="D800" s="330" t="s">
        <v>1669</v>
      </c>
      <c r="E800" s="330" t="s">
        <v>2436</v>
      </c>
      <c r="F800" s="330" t="s">
        <v>1671</v>
      </c>
      <c r="G800" s="562">
        <v>1787</v>
      </c>
      <c r="H800" s="562">
        <v>1138.51</v>
      </c>
      <c r="I800" s="562">
        <v>1276.29</v>
      </c>
      <c r="J800" s="561" t="s">
        <v>1648</v>
      </c>
      <c r="K800" s="330" t="s">
        <v>5465</v>
      </c>
      <c r="L800" s="330" t="s">
        <v>5466</v>
      </c>
      <c r="M800" s="330" t="s">
        <v>5467</v>
      </c>
      <c r="N800" s="330" t="s">
        <v>5468</v>
      </c>
      <c r="O800" s="395">
        <v>45665</v>
      </c>
      <c r="P800" s="333">
        <v>12607143</v>
      </c>
      <c r="Q800" s="330" t="s">
        <v>1653</v>
      </c>
      <c r="R800" s="562">
        <v>0</v>
      </c>
      <c r="S800" s="333">
        <v>0</v>
      </c>
      <c r="T800" s="333">
        <v>-3908214.8400000003</v>
      </c>
      <c r="U800" s="333">
        <f t="shared" si="123"/>
        <v>-3908214.8400000003</v>
      </c>
      <c r="V800" s="333">
        <v>0</v>
      </c>
      <c r="W800" s="333">
        <v>0</v>
      </c>
      <c r="X800" s="333">
        <v>0</v>
      </c>
      <c r="Y800" s="333">
        <v>0</v>
      </c>
      <c r="Z800" s="333">
        <v>0</v>
      </c>
      <c r="AA800" s="333">
        <v>0</v>
      </c>
      <c r="AB800" s="333">
        <v>0</v>
      </c>
      <c r="AC800" s="333">
        <v>0</v>
      </c>
      <c r="AD800" s="333">
        <v>0</v>
      </c>
      <c r="AE800" s="333"/>
      <c r="AF800" s="333"/>
      <c r="AG800" s="333">
        <f t="shared" si="124"/>
        <v>-3908214.8400000003</v>
      </c>
      <c r="AH800" s="330"/>
      <c r="AI800" s="330">
        <v>0</v>
      </c>
      <c r="AJ800" s="396">
        <f t="shared" si="125"/>
        <v>-3908214.8400000003</v>
      </c>
      <c r="AK800" s="563"/>
      <c r="AL800" s="285">
        <f t="shared" si="127"/>
        <v>0</v>
      </c>
      <c r="AM800" s="286"/>
      <c r="AO800" s="330" t="s">
        <v>5465</v>
      </c>
    </row>
    <row r="801" spans="1:41">
      <c r="A801" s="587">
        <f t="shared" si="126"/>
        <v>798</v>
      </c>
      <c r="B801" s="330" t="s">
        <v>1643</v>
      </c>
      <c r="C801" s="330" t="s">
        <v>5469</v>
      </c>
      <c r="D801" s="330" t="s">
        <v>1704</v>
      </c>
      <c r="E801" s="330" t="s">
        <v>2619</v>
      </c>
      <c r="F801" s="330" t="s">
        <v>1647</v>
      </c>
      <c r="G801" s="562">
        <v>1012</v>
      </c>
      <c r="H801" s="562">
        <v>653.59</v>
      </c>
      <c r="I801" s="562">
        <v>723.02</v>
      </c>
      <c r="J801" s="561" t="s">
        <v>1648</v>
      </c>
      <c r="K801" s="330" t="s">
        <v>5470</v>
      </c>
      <c r="L801" s="330" t="s">
        <v>5471</v>
      </c>
      <c r="M801" s="330" t="s">
        <v>5472</v>
      </c>
      <c r="N801" s="330" t="s">
        <v>5473</v>
      </c>
      <c r="O801" s="395">
        <v>45454</v>
      </c>
      <c r="P801" s="333">
        <v>5767809</v>
      </c>
      <c r="Q801" s="330" t="s">
        <v>1653</v>
      </c>
      <c r="R801" s="562">
        <v>0</v>
      </c>
      <c r="S801" s="333">
        <v>0</v>
      </c>
      <c r="T801" s="333">
        <v>-1788019.9499999997</v>
      </c>
      <c r="U801" s="333">
        <f t="shared" si="123"/>
        <v>-1788019.9499999997</v>
      </c>
      <c r="V801" s="333">
        <v>0</v>
      </c>
      <c r="W801" s="333">
        <v>0</v>
      </c>
      <c r="X801" s="333">
        <v>0</v>
      </c>
      <c r="Y801" s="333">
        <v>0</v>
      </c>
      <c r="Z801" s="333">
        <v>0</v>
      </c>
      <c r="AA801" s="333">
        <v>0</v>
      </c>
      <c r="AB801" s="333">
        <v>0</v>
      </c>
      <c r="AC801" s="333">
        <v>0</v>
      </c>
      <c r="AD801" s="333">
        <v>0</v>
      </c>
      <c r="AE801" s="333"/>
      <c r="AF801" s="333"/>
      <c r="AG801" s="333">
        <f t="shared" si="124"/>
        <v>-1788019.9499999997</v>
      </c>
      <c r="AH801" s="330"/>
      <c r="AI801" s="330">
        <v>0</v>
      </c>
      <c r="AJ801" s="396">
        <f t="shared" si="125"/>
        <v>-1788019.9499999997</v>
      </c>
      <c r="AK801" s="563"/>
      <c r="AL801" s="285">
        <f t="shared" si="127"/>
        <v>0</v>
      </c>
      <c r="AM801" s="286"/>
      <c r="AO801" s="330" t="s">
        <v>5470</v>
      </c>
    </row>
    <row r="802" spans="1:41">
      <c r="A802" s="587">
        <f t="shared" si="126"/>
        <v>799</v>
      </c>
      <c r="B802" s="330" t="s">
        <v>1643</v>
      </c>
      <c r="C802" s="330" t="s">
        <v>5474</v>
      </c>
      <c r="D802" s="330" t="s">
        <v>1645</v>
      </c>
      <c r="E802" s="330" t="s">
        <v>1701</v>
      </c>
      <c r="F802" s="330" t="s">
        <v>1647</v>
      </c>
      <c r="G802" s="562">
        <v>1114</v>
      </c>
      <c r="H802" s="562">
        <v>683.3</v>
      </c>
      <c r="I802" s="562">
        <v>795.57</v>
      </c>
      <c r="J802" s="561" t="s">
        <v>1648</v>
      </c>
      <c r="K802" s="330" t="s">
        <v>5475</v>
      </c>
      <c r="L802" s="330" t="s">
        <v>5476</v>
      </c>
      <c r="M802" s="330" t="s">
        <v>5477</v>
      </c>
      <c r="N802" s="330" t="s">
        <v>5478</v>
      </c>
      <c r="O802" s="395">
        <v>45442</v>
      </c>
      <c r="P802" s="333">
        <v>6337489</v>
      </c>
      <c r="Q802" s="330" t="s">
        <v>1653</v>
      </c>
      <c r="R802" s="562">
        <v>0</v>
      </c>
      <c r="S802" s="333">
        <v>0</v>
      </c>
      <c r="T802" s="333">
        <v>-1812257.5500000003</v>
      </c>
      <c r="U802" s="333">
        <f t="shared" si="123"/>
        <v>-1812257.5500000003</v>
      </c>
      <c r="V802" s="333">
        <v>0</v>
      </c>
      <c r="W802" s="333">
        <v>0</v>
      </c>
      <c r="X802" s="333">
        <v>0</v>
      </c>
      <c r="Y802" s="333">
        <v>0</v>
      </c>
      <c r="Z802" s="333">
        <v>0</v>
      </c>
      <c r="AA802" s="333">
        <v>0</v>
      </c>
      <c r="AB802" s="333">
        <v>0</v>
      </c>
      <c r="AC802" s="333">
        <v>-2364</v>
      </c>
      <c r="AD802" s="333">
        <v>0</v>
      </c>
      <c r="AE802" s="333"/>
      <c r="AF802" s="333"/>
      <c r="AG802" s="333">
        <f t="shared" si="124"/>
        <v>-1814621.5500000003</v>
      </c>
      <c r="AH802" s="330"/>
      <c r="AI802" s="330">
        <v>2364</v>
      </c>
      <c r="AJ802" s="396">
        <f t="shared" si="125"/>
        <v>-1814621.5500000003</v>
      </c>
      <c r="AK802" s="563"/>
      <c r="AL802" s="285">
        <f>+AC802+AI802</f>
        <v>0</v>
      </c>
      <c r="AM802" s="286"/>
      <c r="AO802" s="330" t="s">
        <v>5475</v>
      </c>
    </row>
    <row r="803" spans="1:41">
      <c r="A803" s="587">
        <f t="shared" si="126"/>
        <v>800</v>
      </c>
      <c r="B803" s="330" t="s">
        <v>1643</v>
      </c>
      <c r="C803" s="330" t="s">
        <v>5479</v>
      </c>
      <c r="D803" s="330" t="s">
        <v>1662</v>
      </c>
      <c r="E803" s="330" t="s">
        <v>4141</v>
      </c>
      <c r="F803" s="330" t="s">
        <v>1786</v>
      </c>
      <c r="G803" s="562">
        <v>1265</v>
      </c>
      <c r="H803" s="562">
        <v>813.33</v>
      </c>
      <c r="I803" s="562">
        <v>903.31</v>
      </c>
      <c r="J803" s="561" t="s">
        <v>1648</v>
      </c>
      <c r="K803" s="330" t="s">
        <v>5480</v>
      </c>
      <c r="L803" s="330" t="s">
        <v>5481</v>
      </c>
      <c r="M803" s="330" t="s">
        <v>5482</v>
      </c>
      <c r="N803" s="330" t="s">
        <v>5483</v>
      </c>
      <c r="O803" s="395">
        <v>45560</v>
      </c>
      <c r="P803" s="333">
        <v>7205334</v>
      </c>
      <c r="Q803" s="330" t="s">
        <v>1653</v>
      </c>
      <c r="R803" s="562">
        <v>0</v>
      </c>
      <c r="S803" s="333">
        <v>0</v>
      </c>
      <c r="T803" s="333">
        <v>-2233653.3200000003</v>
      </c>
      <c r="U803" s="333">
        <f t="shared" si="123"/>
        <v>-2233653.3200000003</v>
      </c>
      <c r="V803" s="333">
        <v>0</v>
      </c>
      <c r="W803" s="333">
        <v>0</v>
      </c>
      <c r="X803" s="333">
        <v>0</v>
      </c>
      <c r="Y803" s="333">
        <v>0</v>
      </c>
      <c r="Z803" s="333">
        <v>0</v>
      </c>
      <c r="AA803" s="333">
        <v>0</v>
      </c>
      <c r="AB803" s="333">
        <v>0</v>
      </c>
      <c r="AC803" s="333">
        <v>0</v>
      </c>
      <c r="AD803" s="333">
        <v>0</v>
      </c>
      <c r="AE803" s="333"/>
      <c r="AF803" s="333"/>
      <c r="AG803" s="333">
        <f t="shared" si="124"/>
        <v>-2233653.3200000003</v>
      </c>
      <c r="AH803" s="330"/>
      <c r="AI803" s="330">
        <v>0</v>
      </c>
      <c r="AJ803" s="396">
        <f t="shared" si="125"/>
        <v>-2233653.3200000003</v>
      </c>
      <c r="AK803" s="563"/>
      <c r="AL803" s="285">
        <f t="shared" si="127"/>
        <v>0</v>
      </c>
      <c r="AM803" s="286"/>
      <c r="AO803" s="330" t="s">
        <v>5480</v>
      </c>
    </row>
    <row r="804" spans="1:41">
      <c r="A804" s="587">
        <f t="shared" si="126"/>
        <v>801</v>
      </c>
      <c r="B804" s="330" t="s">
        <v>1643</v>
      </c>
      <c r="C804" s="330" t="s">
        <v>5484</v>
      </c>
      <c r="D804" s="330" t="s">
        <v>1746</v>
      </c>
      <c r="E804" s="330" t="s">
        <v>3007</v>
      </c>
      <c r="F804" s="330" t="s">
        <v>1647</v>
      </c>
      <c r="G804" s="562">
        <v>1012</v>
      </c>
      <c r="H804" s="562">
        <v>653.59</v>
      </c>
      <c r="I804" s="562">
        <v>723.02</v>
      </c>
      <c r="J804" s="561" t="s">
        <v>1810</v>
      </c>
      <c r="K804" s="330" t="s">
        <v>5485</v>
      </c>
      <c r="L804" s="330" t="s">
        <v>5486</v>
      </c>
      <c r="M804" s="330" t="s">
        <v>5487</v>
      </c>
      <c r="N804" s="330" t="s">
        <v>5488</v>
      </c>
      <c r="O804" s="395">
        <v>45435</v>
      </c>
      <c r="P804" s="333">
        <v>5729194</v>
      </c>
      <c r="Q804" s="330" t="s">
        <v>1653</v>
      </c>
      <c r="R804" s="562">
        <v>0</v>
      </c>
      <c r="S804" s="333">
        <v>0</v>
      </c>
      <c r="T804" s="333">
        <v>-1711618.6800000002</v>
      </c>
      <c r="U804" s="333">
        <f t="shared" si="123"/>
        <v>-1711618.6800000002</v>
      </c>
      <c r="V804" s="333">
        <v>0</v>
      </c>
      <c r="W804" s="333">
        <v>0</v>
      </c>
      <c r="X804" s="333">
        <v>0</v>
      </c>
      <c r="Y804" s="333">
        <v>0</v>
      </c>
      <c r="Z804" s="333">
        <v>0</v>
      </c>
      <c r="AA804" s="333">
        <v>0</v>
      </c>
      <c r="AB804" s="333">
        <v>0</v>
      </c>
      <c r="AC804" s="333">
        <v>-7143</v>
      </c>
      <c r="AD804" s="333">
        <v>0</v>
      </c>
      <c r="AE804" s="333"/>
      <c r="AF804" s="333"/>
      <c r="AG804" s="333">
        <f t="shared" si="124"/>
        <v>-1718761.6800000002</v>
      </c>
      <c r="AH804" s="330"/>
      <c r="AI804" s="330">
        <v>7143</v>
      </c>
      <c r="AJ804" s="396">
        <f t="shared" si="125"/>
        <v>-1718761.6800000002</v>
      </c>
      <c r="AK804" s="563"/>
      <c r="AL804" s="285">
        <f t="shared" ref="AL804:AL805" si="130">+AC804+AI804</f>
        <v>0</v>
      </c>
      <c r="AM804" s="286"/>
      <c r="AO804" s="330" t="s">
        <v>5485</v>
      </c>
    </row>
    <row r="805" spans="1:41">
      <c r="A805" s="587">
        <f t="shared" si="126"/>
        <v>802</v>
      </c>
      <c r="B805" s="330" t="s">
        <v>1643</v>
      </c>
      <c r="C805" s="330" t="s">
        <v>5489</v>
      </c>
      <c r="D805" s="330" t="s">
        <v>1677</v>
      </c>
      <c r="E805" s="330" t="s">
        <v>1696</v>
      </c>
      <c r="F805" s="330" t="s">
        <v>1647</v>
      </c>
      <c r="G805" s="562">
        <v>1012</v>
      </c>
      <c r="H805" s="562">
        <v>653.59</v>
      </c>
      <c r="I805" s="562">
        <v>723.02</v>
      </c>
      <c r="J805" s="561" t="s">
        <v>1679</v>
      </c>
      <c r="K805" s="330" t="s">
        <v>5490</v>
      </c>
      <c r="L805" s="330" t="s">
        <v>5491</v>
      </c>
      <c r="M805" s="330" t="s">
        <v>5492</v>
      </c>
      <c r="N805" s="330" t="s">
        <v>12</v>
      </c>
      <c r="O805" s="395"/>
      <c r="P805" s="333">
        <v>6116000</v>
      </c>
      <c r="Q805" s="330" t="s">
        <v>1653</v>
      </c>
      <c r="R805" s="562">
        <v>0</v>
      </c>
      <c r="S805" s="333">
        <v>0</v>
      </c>
      <c r="T805" s="333">
        <v>-587623</v>
      </c>
      <c r="U805" s="333">
        <f t="shared" si="123"/>
        <v>-587623</v>
      </c>
      <c r="V805" s="333">
        <v>0</v>
      </c>
      <c r="W805" s="333">
        <v>0</v>
      </c>
      <c r="X805" s="333">
        <v>0</v>
      </c>
      <c r="Y805" s="333">
        <v>0</v>
      </c>
      <c r="Z805" s="333">
        <v>0</v>
      </c>
      <c r="AA805" s="333">
        <v>0</v>
      </c>
      <c r="AB805" s="333">
        <v>0</v>
      </c>
      <c r="AC805" s="333">
        <v>-2031</v>
      </c>
      <c r="AD805" s="333">
        <v>0</v>
      </c>
      <c r="AE805" s="333"/>
      <c r="AF805" s="333"/>
      <c r="AG805" s="333">
        <f t="shared" si="124"/>
        <v>-589654</v>
      </c>
      <c r="AH805" s="330"/>
      <c r="AI805" s="330">
        <v>2031</v>
      </c>
      <c r="AJ805" s="396">
        <f t="shared" si="125"/>
        <v>-589654</v>
      </c>
      <c r="AK805" s="563"/>
      <c r="AL805" s="285">
        <f t="shared" si="130"/>
        <v>0</v>
      </c>
      <c r="AM805" s="286"/>
      <c r="AO805" s="330" t="s">
        <v>5490</v>
      </c>
    </row>
    <row r="806" spans="1:41">
      <c r="A806" s="587">
        <f t="shared" si="126"/>
        <v>803</v>
      </c>
      <c r="B806" s="330" t="s">
        <v>1643</v>
      </c>
      <c r="C806" s="330" t="s">
        <v>5493</v>
      </c>
      <c r="D806" s="330" t="s">
        <v>1662</v>
      </c>
      <c r="E806" s="330" t="s">
        <v>5494</v>
      </c>
      <c r="F806" s="330" t="s">
        <v>1671</v>
      </c>
      <c r="G806" s="562">
        <v>1375</v>
      </c>
      <c r="H806" s="562">
        <v>876.73</v>
      </c>
      <c r="I806" s="562">
        <v>982.22</v>
      </c>
      <c r="J806" s="561" t="s">
        <v>1810</v>
      </c>
      <c r="K806" s="330" t="s">
        <v>5495</v>
      </c>
      <c r="L806" s="330" t="s">
        <v>5496</v>
      </c>
      <c r="M806" s="330" t="s">
        <v>5497</v>
      </c>
      <c r="N806" s="330" t="s">
        <v>5498</v>
      </c>
      <c r="O806" s="395">
        <v>45488</v>
      </c>
      <c r="P806" s="333">
        <v>7767810</v>
      </c>
      <c r="Q806" s="330" t="s">
        <v>1653</v>
      </c>
      <c r="R806" s="562">
        <v>0</v>
      </c>
      <c r="S806" s="333">
        <v>0</v>
      </c>
      <c r="T806" s="333">
        <v>-2330343.84</v>
      </c>
      <c r="U806" s="333">
        <f t="shared" si="123"/>
        <v>-2330343.84</v>
      </c>
      <c r="V806" s="333">
        <v>0</v>
      </c>
      <c r="W806" s="333">
        <v>0</v>
      </c>
      <c r="X806" s="333">
        <v>0</v>
      </c>
      <c r="Y806" s="333">
        <v>0</v>
      </c>
      <c r="Z806" s="333">
        <v>0</v>
      </c>
      <c r="AA806" s="333">
        <v>0</v>
      </c>
      <c r="AB806" s="333">
        <v>0</v>
      </c>
      <c r="AC806" s="333">
        <v>0</v>
      </c>
      <c r="AD806" s="333">
        <v>0</v>
      </c>
      <c r="AE806" s="333"/>
      <c r="AF806" s="333"/>
      <c r="AG806" s="333">
        <f t="shared" si="124"/>
        <v>-2330343.84</v>
      </c>
      <c r="AH806" s="330"/>
      <c r="AI806" s="330">
        <v>0</v>
      </c>
      <c r="AJ806" s="396">
        <f t="shared" si="125"/>
        <v>-2330343.84</v>
      </c>
      <c r="AK806" s="563"/>
      <c r="AL806" s="285">
        <f t="shared" si="127"/>
        <v>0</v>
      </c>
      <c r="AM806" s="286"/>
      <c r="AO806" s="330" t="s">
        <v>5495</v>
      </c>
    </row>
    <row r="807" spans="1:41">
      <c r="A807" s="587">
        <f t="shared" si="126"/>
        <v>804</v>
      </c>
      <c r="B807" s="330" t="s">
        <v>1643</v>
      </c>
      <c r="C807" s="330" t="s">
        <v>5499</v>
      </c>
      <c r="D807" s="330" t="s">
        <v>1677</v>
      </c>
      <c r="E807" s="330" t="s">
        <v>2002</v>
      </c>
      <c r="F807" s="330" t="s">
        <v>1647</v>
      </c>
      <c r="G807" s="562">
        <v>1114</v>
      </c>
      <c r="H807" s="562">
        <v>683.3</v>
      </c>
      <c r="I807" s="562">
        <v>795.57</v>
      </c>
      <c r="J807" s="561" t="s">
        <v>1810</v>
      </c>
      <c r="K807" s="330" t="s">
        <v>5500</v>
      </c>
      <c r="L807" s="330" t="s">
        <v>5501</v>
      </c>
      <c r="M807" s="330" t="s">
        <v>5502</v>
      </c>
      <c r="N807" s="330" t="s">
        <v>12</v>
      </c>
      <c r="O807" s="395"/>
      <c r="P807" s="333">
        <v>6803524</v>
      </c>
      <c r="Q807" s="330" t="s">
        <v>1660</v>
      </c>
      <c r="R807" s="562">
        <v>0</v>
      </c>
      <c r="S807" s="333">
        <v>0</v>
      </c>
      <c r="T807" s="333">
        <v>-90000</v>
      </c>
      <c r="U807" s="333">
        <f t="shared" si="123"/>
        <v>-90000</v>
      </c>
      <c r="V807" s="333">
        <v>90000</v>
      </c>
      <c r="W807" s="333">
        <v>0</v>
      </c>
      <c r="X807" s="333">
        <v>0</v>
      </c>
      <c r="Y807" s="333">
        <v>0</v>
      </c>
      <c r="Z807" s="333">
        <v>0</v>
      </c>
      <c r="AA807" s="333">
        <v>0</v>
      </c>
      <c r="AB807" s="333">
        <v>0</v>
      </c>
      <c r="AC807" s="333">
        <v>0</v>
      </c>
      <c r="AD807" s="333">
        <v>0</v>
      </c>
      <c r="AE807" s="333"/>
      <c r="AF807" s="333"/>
      <c r="AG807" s="333">
        <f t="shared" si="124"/>
        <v>0</v>
      </c>
      <c r="AH807" s="330"/>
      <c r="AI807" s="330">
        <v>0</v>
      </c>
      <c r="AJ807" s="396">
        <f t="shared" si="125"/>
        <v>0</v>
      </c>
      <c r="AK807" s="563"/>
      <c r="AL807" s="285">
        <f t="shared" si="127"/>
        <v>0</v>
      </c>
      <c r="AM807" s="286"/>
      <c r="AO807" s="330" t="s">
        <v>5500</v>
      </c>
    </row>
    <row r="808" spans="1:41">
      <c r="A808" s="587">
        <f t="shared" si="126"/>
        <v>805</v>
      </c>
      <c r="B808" s="330" t="s">
        <v>1643</v>
      </c>
      <c r="C808" s="330" t="s">
        <v>5503</v>
      </c>
      <c r="D808" s="330" t="s">
        <v>1746</v>
      </c>
      <c r="E808" s="330" t="s">
        <v>1822</v>
      </c>
      <c r="F808" s="330" t="s">
        <v>1786</v>
      </c>
      <c r="G808" s="562">
        <v>1265</v>
      </c>
      <c r="H808" s="562">
        <v>813.33</v>
      </c>
      <c r="I808" s="562">
        <v>903.31</v>
      </c>
      <c r="J808" s="561" t="s">
        <v>1810</v>
      </c>
      <c r="K808" s="330" t="s">
        <v>5504</v>
      </c>
      <c r="L808" s="330" t="s">
        <v>5505</v>
      </c>
      <c r="M808" s="330" t="s">
        <v>5506</v>
      </c>
      <c r="N808" s="330" t="s">
        <v>5507</v>
      </c>
      <c r="O808" s="395">
        <v>45454</v>
      </c>
      <c r="P808" s="333">
        <v>7227619</v>
      </c>
      <c r="Q808" s="330" t="s">
        <v>1653</v>
      </c>
      <c r="R808" s="562">
        <v>0</v>
      </c>
      <c r="S808" s="333">
        <v>0</v>
      </c>
      <c r="T808" s="333">
        <v>-2240561.7000000002</v>
      </c>
      <c r="U808" s="333">
        <f t="shared" si="123"/>
        <v>-2240561.7000000002</v>
      </c>
      <c r="V808" s="333">
        <v>0</v>
      </c>
      <c r="W808" s="333">
        <v>0</v>
      </c>
      <c r="X808" s="333">
        <v>0</v>
      </c>
      <c r="Y808" s="333">
        <v>0</v>
      </c>
      <c r="Z808" s="333">
        <v>0</v>
      </c>
      <c r="AA808" s="333">
        <v>0</v>
      </c>
      <c r="AB808" s="333">
        <v>0</v>
      </c>
      <c r="AC808" s="333">
        <v>0</v>
      </c>
      <c r="AD808" s="333">
        <v>0</v>
      </c>
      <c r="AE808" s="333"/>
      <c r="AF808" s="333"/>
      <c r="AG808" s="333">
        <f t="shared" si="124"/>
        <v>-2240561.7000000002</v>
      </c>
      <c r="AH808" s="330"/>
      <c r="AI808" s="330">
        <v>0</v>
      </c>
      <c r="AJ808" s="396">
        <f t="shared" si="125"/>
        <v>-2240561.7000000002</v>
      </c>
      <c r="AK808" s="563"/>
      <c r="AL808" s="285">
        <f t="shared" si="127"/>
        <v>0</v>
      </c>
      <c r="AM808" s="286"/>
      <c r="AO808" s="330" t="s">
        <v>5504</v>
      </c>
    </row>
    <row r="809" spans="1:41">
      <c r="A809" s="587">
        <f t="shared" si="126"/>
        <v>806</v>
      </c>
      <c r="B809" s="330" t="s">
        <v>1643</v>
      </c>
      <c r="C809" s="330" t="s">
        <v>5508</v>
      </c>
      <c r="D809" s="330" t="s">
        <v>1645</v>
      </c>
      <c r="E809" s="330" t="s">
        <v>2056</v>
      </c>
      <c r="F809" s="330" t="s">
        <v>1671</v>
      </c>
      <c r="G809" s="562">
        <v>1498</v>
      </c>
      <c r="H809" s="562">
        <v>954.87</v>
      </c>
      <c r="I809" s="562">
        <v>1069.73</v>
      </c>
      <c r="J809" s="561" t="s">
        <v>1810</v>
      </c>
      <c r="K809" s="330" t="s">
        <v>5509</v>
      </c>
      <c r="L809" s="330" t="s">
        <v>5510</v>
      </c>
      <c r="M809" s="330" t="s">
        <v>5511</v>
      </c>
      <c r="N809" s="330" t="s">
        <v>5512</v>
      </c>
      <c r="O809" s="395">
        <v>45677</v>
      </c>
      <c r="P809" s="333">
        <v>8991071</v>
      </c>
      <c r="Q809" s="330" t="s">
        <v>1653</v>
      </c>
      <c r="R809" s="562">
        <v>0</v>
      </c>
      <c r="S809" s="333">
        <v>0</v>
      </c>
      <c r="T809" s="333">
        <v>-2787232.63</v>
      </c>
      <c r="U809" s="333">
        <f t="shared" si="123"/>
        <v>-2787232.63</v>
      </c>
      <c r="V809" s="333">
        <v>0</v>
      </c>
      <c r="W809" s="333">
        <v>0</v>
      </c>
      <c r="X809" s="333">
        <v>0</v>
      </c>
      <c r="Y809" s="333">
        <v>0</v>
      </c>
      <c r="Z809" s="333">
        <v>0</v>
      </c>
      <c r="AA809" s="333">
        <v>0</v>
      </c>
      <c r="AB809" s="333">
        <v>0</v>
      </c>
      <c r="AC809" s="333">
        <v>0</v>
      </c>
      <c r="AD809" s="333">
        <v>0</v>
      </c>
      <c r="AE809" s="333"/>
      <c r="AF809" s="333"/>
      <c r="AG809" s="333">
        <f t="shared" si="124"/>
        <v>-2787232.63</v>
      </c>
      <c r="AH809" s="330"/>
      <c r="AI809" s="330">
        <v>0</v>
      </c>
      <c r="AJ809" s="396">
        <f t="shared" si="125"/>
        <v>-2787232.63</v>
      </c>
      <c r="AK809" s="563"/>
      <c r="AL809" s="285">
        <f t="shared" si="127"/>
        <v>0</v>
      </c>
      <c r="AM809" s="286"/>
      <c r="AO809" s="330" t="s">
        <v>5509</v>
      </c>
    </row>
    <row r="810" spans="1:41">
      <c r="A810" s="587">
        <f t="shared" si="126"/>
        <v>807</v>
      </c>
      <c r="B810" s="330" t="s">
        <v>1643</v>
      </c>
      <c r="C810" s="330" t="s">
        <v>5513</v>
      </c>
      <c r="D810" s="330" t="s">
        <v>1746</v>
      </c>
      <c r="E810" s="330" t="s">
        <v>3323</v>
      </c>
      <c r="F810" s="330" t="s">
        <v>1671</v>
      </c>
      <c r="G810" s="562">
        <v>1375</v>
      </c>
      <c r="H810" s="562">
        <v>876.73</v>
      </c>
      <c r="I810" s="562">
        <v>982.22</v>
      </c>
      <c r="J810" s="561" t="s">
        <v>1648</v>
      </c>
      <c r="K810" s="330" t="s">
        <v>5514</v>
      </c>
      <c r="L810" s="330" t="s">
        <v>5515</v>
      </c>
      <c r="M810" s="330" t="s">
        <v>5516</v>
      </c>
      <c r="N810" s="330" t="s">
        <v>5517</v>
      </c>
      <c r="O810" s="395">
        <v>45722</v>
      </c>
      <c r="P810" s="333">
        <v>8455333</v>
      </c>
      <c r="Q810" s="330" t="s">
        <v>1653</v>
      </c>
      <c r="R810" s="562">
        <v>0</v>
      </c>
      <c r="S810" s="333">
        <v>0</v>
      </c>
      <c r="T810" s="333">
        <v>-837078.00000000023</v>
      </c>
      <c r="U810" s="333">
        <f t="shared" si="123"/>
        <v>-837078.00000000023</v>
      </c>
      <c r="V810" s="333">
        <v>-1700000</v>
      </c>
      <c r="W810" s="333">
        <v>0</v>
      </c>
      <c r="X810" s="333">
        <v>0</v>
      </c>
      <c r="Y810" s="333">
        <v>0</v>
      </c>
      <c r="Z810" s="333">
        <v>0</v>
      </c>
      <c r="AA810" s="333">
        <v>0</v>
      </c>
      <c r="AB810" s="333">
        <v>0</v>
      </c>
      <c r="AC810" s="333">
        <v>0</v>
      </c>
      <c r="AD810" s="333">
        <v>0</v>
      </c>
      <c r="AE810" s="333"/>
      <c r="AF810" s="333"/>
      <c r="AG810" s="333">
        <f t="shared" si="124"/>
        <v>-2537078</v>
      </c>
      <c r="AH810" s="330"/>
      <c r="AI810" s="330">
        <v>0</v>
      </c>
      <c r="AJ810" s="396">
        <f t="shared" si="125"/>
        <v>-2537078</v>
      </c>
      <c r="AK810" s="563"/>
      <c r="AL810" s="285">
        <f t="shared" si="127"/>
        <v>0</v>
      </c>
      <c r="AM810" s="286"/>
      <c r="AO810" s="330" t="s">
        <v>5514</v>
      </c>
    </row>
    <row r="811" spans="1:41">
      <c r="A811" s="587">
        <f t="shared" si="126"/>
        <v>808</v>
      </c>
      <c r="B811" s="330" t="s">
        <v>1643</v>
      </c>
      <c r="C811" s="330" t="s">
        <v>5518</v>
      </c>
      <c r="D811" s="330" t="s">
        <v>1645</v>
      </c>
      <c r="E811" s="330" t="s">
        <v>2394</v>
      </c>
      <c r="F811" s="330" t="s">
        <v>1647</v>
      </c>
      <c r="G811" s="562">
        <v>1114</v>
      </c>
      <c r="H811" s="562">
        <v>683.3</v>
      </c>
      <c r="I811" s="562">
        <v>795.57</v>
      </c>
      <c r="J811" s="561" t="s">
        <v>1810</v>
      </c>
      <c r="K811" s="330" t="s">
        <v>5519</v>
      </c>
      <c r="L811" s="330" t="s">
        <v>5520</v>
      </c>
      <c r="M811" s="330" t="s">
        <v>5521</v>
      </c>
      <c r="N811" s="330" t="s">
        <v>5522</v>
      </c>
      <c r="O811" s="395">
        <v>45437</v>
      </c>
      <c r="P811" s="333">
        <v>6320782</v>
      </c>
      <c r="Q811" s="330" t="s">
        <v>1653</v>
      </c>
      <c r="R811" s="562">
        <v>0</v>
      </c>
      <c r="S811" s="333">
        <v>0</v>
      </c>
      <c r="T811" s="333">
        <v>-1865194.26</v>
      </c>
      <c r="U811" s="333">
        <f t="shared" si="123"/>
        <v>-1865194.26</v>
      </c>
      <c r="V811" s="333">
        <v>-100000</v>
      </c>
      <c r="W811" s="333">
        <v>0</v>
      </c>
      <c r="X811" s="333">
        <v>0</v>
      </c>
      <c r="Y811" s="333">
        <v>0</v>
      </c>
      <c r="Z811" s="333">
        <v>0</v>
      </c>
      <c r="AA811" s="333">
        <v>0</v>
      </c>
      <c r="AB811" s="333">
        <v>0</v>
      </c>
      <c r="AC811" s="333">
        <v>0</v>
      </c>
      <c r="AD811" s="333">
        <v>0</v>
      </c>
      <c r="AE811" s="333"/>
      <c r="AF811" s="333"/>
      <c r="AG811" s="333">
        <f t="shared" si="124"/>
        <v>-1965194.26</v>
      </c>
      <c r="AH811" s="330"/>
      <c r="AI811" s="330">
        <v>0</v>
      </c>
      <c r="AJ811" s="396">
        <f t="shared" si="125"/>
        <v>-1965194.26</v>
      </c>
      <c r="AK811" s="563"/>
      <c r="AL811" s="285">
        <f t="shared" si="127"/>
        <v>0</v>
      </c>
      <c r="AM811" s="286"/>
      <c r="AO811" s="330" t="s">
        <v>5519</v>
      </c>
    </row>
    <row r="812" spans="1:41">
      <c r="A812" s="587">
        <f t="shared" si="126"/>
        <v>809</v>
      </c>
      <c r="B812" s="330" t="s">
        <v>1643</v>
      </c>
      <c r="C812" s="330" t="s">
        <v>5523</v>
      </c>
      <c r="D812" s="330" t="s">
        <v>1746</v>
      </c>
      <c r="E812" s="330" t="s">
        <v>2883</v>
      </c>
      <c r="F812" s="330" t="s">
        <v>1671</v>
      </c>
      <c r="G812" s="562">
        <v>1498</v>
      </c>
      <c r="H812" s="562">
        <v>954.87</v>
      </c>
      <c r="I812" s="562">
        <v>1069.73</v>
      </c>
      <c r="J812" s="561" t="s">
        <v>1679</v>
      </c>
      <c r="K812" s="330" t="s">
        <v>5524</v>
      </c>
      <c r="L812" s="330" t="s">
        <v>5525</v>
      </c>
      <c r="M812" s="330" t="s">
        <v>5526</v>
      </c>
      <c r="N812" s="330" t="s">
        <v>12</v>
      </c>
      <c r="O812" s="395"/>
      <c r="P812" s="333">
        <v>9161428</v>
      </c>
      <c r="Q812" s="330" t="s">
        <v>1660</v>
      </c>
      <c r="R812" s="562">
        <v>0</v>
      </c>
      <c r="S812" s="333">
        <v>0</v>
      </c>
      <c r="T812" s="333">
        <v>0</v>
      </c>
      <c r="U812" s="333">
        <f t="shared" si="123"/>
        <v>0</v>
      </c>
      <c r="V812" s="333">
        <v>0</v>
      </c>
      <c r="W812" s="333">
        <v>0</v>
      </c>
      <c r="X812" s="333">
        <v>0</v>
      </c>
      <c r="Y812" s="333">
        <v>0</v>
      </c>
      <c r="Z812" s="333">
        <v>0</v>
      </c>
      <c r="AA812" s="333">
        <v>0</v>
      </c>
      <c r="AB812" s="333">
        <v>0</v>
      </c>
      <c r="AC812" s="333">
        <v>0</v>
      </c>
      <c r="AD812" s="333">
        <v>0</v>
      </c>
      <c r="AE812" s="333"/>
      <c r="AF812" s="333"/>
      <c r="AG812" s="333">
        <f t="shared" si="124"/>
        <v>0</v>
      </c>
      <c r="AH812" s="330"/>
      <c r="AI812" s="330">
        <v>0</v>
      </c>
      <c r="AJ812" s="396">
        <f t="shared" si="125"/>
        <v>0</v>
      </c>
      <c r="AK812" s="563"/>
      <c r="AL812" s="285">
        <f t="shared" si="127"/>
        <v>0</v>
      </c>
      <c r="AM812" s="286"/>
      <c r="AO812" s="330" t="s">
        <v>5524</v>
      </c>
    </row>
    <row r="813" spans="1:41">
      <c r="A813" s="587">
        <f t="shared" si="126"/>
        <v>810</v>
      </c>
      <c r="B813" s="330" t="s">
        <v>1643</v>
      </c>
      <c r="C813" s="330" t="s">
        <v>5527</v>
      </c>
      <c r="D813" s="330" t="s">
        <v>1746</v>
      </c>
      <c r="E813" s="330" t="s">
        <v>2733</v>
      </c>
      <c r="F813" s="330" t="s">
        <v>1647</v>
      </c>
      <c r="G813" s="562">
        <v>1012</v>
      </c>
      <c r="H813" s="562">
        <v>653.59</v>
      </c>
      <c r="I813" s="562">
        <v>723.02</v>
      </c>
      <c r="J813" s="561" t="s">
        <v>1648</v>
      </c>
      <c r="K813" s="330" t="s">
        <v>5528</v>
      </c>
      <c r="L813" s="330" t="s">
        <v>5529</v>
      </c>
      <c r="M813" s="330" t="s">
        <v>5530</v>
      </c>
      <c r="N813" s="330" t="s">
        <v>5531</v>
      </c>
      <c r="O813" s="395">
        <v>45477</v>
      </c>
      <c r="P813" s="333">
        <v>5611524</v>
      </c>
      <c r="Q813" s="330" t="s">
        <v>1653</v>
      </c>
      <c r="R813" s="562">
        <v>0</v>
      </c>
      <c r="S813" s="333">
        <v>0</v>
      </c>
      <c r="T813" s="333">
        <v>-1670461.14</v>
      </c>
      <c r="U813" s="333">
        <f t="shared" si="123"/>
        <v>-1670461.14</v>
      </c>
      <c r="V813" s="333">
        <v>0</v>
      </c>
      <c r="W813" s="333">
        <v>0</v>
      </c>
      <c r="X813" s="333">
        <v>0</v>
      </c>
      <c r="Y813" s="333">
        <v>0</v>
      </c>
      <c r="Z813" s="333">
        <v>0</v>
      </c>
      <c r="AA813" s="333">
        <v>0</v>
      </c>
      <c r="AB813" s="333">
        <v>0</v>
      </c>
      <c r="AC813" s="333">
        <v>-12995.19</v>
      </c>
      <c r="AD813" s="333">
        <v>0</v>
      </c>
      <c r="AE813" s="333"/>
      <c r="AF813" s="333"/>
      <c r="AG813" s="333">
        <f t="shared" si="124"/>
        <v>-1683456.3299999998</v>
      </c>
      <c r="AH813" s="330"/>
      <c r="AI813" s="330">
        <v>12995</v>
      </c>
      <c r="AJ813" s="396">
        <f t="shared" si="125"/>
        <v>-1683456.3299999998</v>
      </c>
      <c r="AK813" s="563"/>
      <c r="AL813" s="285">
        <f t="shared" ref="AL813:AL814" si="131">+AC813+AI813</f>
        <v>-0.19000000000050932</v>
      </c>
      <c r="AM813" s="286"/>
      <c r="AO813" s="330" t="s">
        <v>5528</v>
      </c>
    </row>
    <row r="814" spans="1:41">
      <c r="A814" s="587">
        <f t="shared" si="126"/>
        <v>811</v>
      </c>
      <c r="B814" s="330" t="s">
        <v>1643</v>
      </c>
      <c r="C814" s="330" t="s">
        <v>5532</v>
      </c>
      <c r="D814" s="330" t="s">
        <v>1662</v>
      </c>
      <c r="E814" s="330" t="s">
        <v>2547</v>
      </c>
      <c r="F814" s="330" t="s">
        <v>1671</v>
      </c>
      <c r="G814" s="562">
        <v>1375</v>
      </c>
      <c r="H814" s="562">
        <v>876.73</v>
      </c>
      <c r="I814" s="562">
        <v>982.22</v>
      </c>
      <c r="J814" s="561" t="s">
        <v>1648</v>
      </c>
      <c r="K814" s="330" t="s">
        <v>5533</v>
      </c>
      <c r="L814" s="330" t="s">
        <v>5534</v>
      </c>
      <c r="M814" s="330" t="s">
        <v>5535</v>
      </c>
      <c r="N814" s="330" t="s">
        <v>5536</v>
      </c>
      <c r="O814" s="395">
        <v>45443</v>
      </c>
      <c r="P814" s="333">
        <v>7803698</v>
      </c>
      <c r="Q814" s="330" t="s">
        <v>1653</v>
      </c>
      <c r="R814" s="562">
        <v>0</v>
      </c>
      <c r="S814" s="333">
        <v>0</v>
      </c>
      <c r="T814" s="333">
        <v>-2178931.5</v>
      </c>
      <c r="U814" s="333">
        <f t="shared" si="123"/>
        <v>-2178931.5</v>
      </c>
      <c r="V814" s="333">
        <v>-150000</v>
      </c>
      <c r="W814" s="333">
        <v>0</v>
      </c>
      <c r="X814" s="333">
        <v>0</v>
      </c>
      <c r="Y814" s="333">
        <v>0</v>
      </c>
      <c r="Z814" s="333">
        <v>0</v>
      </c>
      <c r="AA814" s="333">
        <v>0</v>
      </c>
      <c r="AB814" s="333">
        <v>0</v>
      </c>
      <c r="AC814" s="333">
        <v>-12180</v>
      </c>
      <c r="AD814" s="333">
        <v>0</v>
      </c>
      <c r="AE814" s="333"/>
      <c r="AF814" s="333"/>
      <c r="AG814" s="333">
        <f t="shared" si="124"/>
        <v>-2341111.5</v>
      </c>
      <c r="AH814" s="330"/>
      <c r="AI814" s="330">
        <v>12180</v>
      </c>
      <c r="AJ814" s="396">
        <f t="shared" si="125"/>
        <v>-2341111.5</v>
      </c>
      <c r="AK814" s="563"/>
      <c r="AL814" s="285">
        <f t="shared" si="131"/>
        <v>0</v>
      </c>
      <c r="AM814" s="286"/>
      <c r="AO814" s="330" t="s">
        <v>5533</v>
      </c>
    </row>
    <row r="815" spans="1:41">
      <c r="A815" s="587">
        <f t="shared" si="126"/>
        <v>812</v>
      </c>
      <c r="B815" s="330" t="s">
        <v>1643</v>
      </c>
      <c r="C815" s="330" t="s">
        <v>5537</v>
      </c>
      <c r="D815" s="330" t="s">
        <v>1704</v>
      </c>
      <c r="E815" s="330" t="s">
        <v>2237</v>
      </c>
      <c r="F815" s="330" t="s">
        <v>1647</v>
      </c>
      <c r="G815" s="562">
        <v>1012</v>
      </c>
      <c r="H815" s="562">
        <v>653.59</v>
      </c>
      <c r="I815" s="562">
        <v>723.02</v>
      </c>
      <c r="J815" s="561" t="s">
        <v>1648</v>
      </c>
      <c r="K815" s="330" t="s">
        <v>5538</v>
      </c>
      <c r="L815" s="330" t="s">
        <v>5539</v>
      </c>
      <c r="M815" s="330" t="s">
        <v>5540</v>
      </c>
      <c r="N815" s="330" t="s">
        <v>5541</v>
      </c>
      <c r="O815" s="395">
        <v>45436</v>
      </c>
      <c r="P815" s="333">
        <v>5732096</v>
      </c>
      <c r="Q815" s="330" t="s">
        <v>1653</v>
      </c>
      <c r="R815" s="562">
        <v>0</v>
      </c>
      <c r="S815" s="333">
        <v>0</v>
      </c>
      <c r="T815" s="333">
        <v>-1719627.52</v>
      </c>
      <c r="U815" s="333">
        <f t="shared" si="123"/>
        <v>-1719627.52</v>
      </c>
      <c r="V815" s="333">
        <v>0</v>
      </c>
      <c r="W815" s="333">
        <v>0</v>
      </c>
      <c r="X815" s="333">
        <v>0</v>
      </c>
      <c r="Y815" s="333">
        <v>0</v>
      </c>
      <c r="Z815" s="333">
        <v>0</v>
      </c>
      <c r="AA815" s="333">
        <v>0</v>
      </c>
      <c r="AB815" s="333">
        <v>0</v>
      </c>
      <c r="AC815" s="333">
        <v>0</v>
      </c>
      <c r="AD815" s="333">
        <v>0</v>
      </c>
      <c r="AE815" s="333"/>
      <c r="AF815" s="333"/>
      <c r="AG815" s="333">
        <f t="shared" si="124"/>
        <v>-1719627.52</v>
      </c>
      <c r="AH815" s="330"/>
      <c r="AI815" s="330">
        <v>0</v>
      </c>
      <c r="AJ815" s="396">
        <f t="shared" si="125"/>
        <v>-1719627.52</v>
      </c>
      <c r="AK815" s="563"/>
      <c r="AL815" s="285">
        <f t="shared" si="127"/>
        <v>0</v>
      </c>
      <c r="AM815" s="286"/>
      <c r="AO815" s="330" t="s">
        <v>5538</v>
      </c>
    </row>
    <row r="816" spans="1:41">
      <c r="A816" s="587">
        <f t="shared" si="126"/>
        <v>813</v>
      </c>
      <c r="B816" s="330" t="s">
        <v>1643</v>
      </c>
      <c r="C816" s="330" t="s">
        <v>2263</v>
      </c>
      <c r="D816" s="330" t="s">
        <v>1655</v>
      </c>
      <c r="E816" s="330" t="s">
        <v>2264</v>
      </c>
      <c r="F816" s="330" t="s">
        <v>1647</v>
      </c>
      <c r="G816" s="562">
        <v>1114</v>
      </c>
      <c r="H816" s="562">
        <v>683.3</v>
      </c>
      <c r="I816" s="562">
        <v>795.57</v>
      </c>
      <c r="J816" s="561" t="s">
        <v>1648</v>
      </c>
      <c r="K816" s="330" t="s">
        <v>5542</v>
      </c>
      <c r="L816" s="330" t="s">
        <v>5543</v>
      </c>
      <c r="M816" s="330" t="s">
        <v>5544</v>
      </c>
      <c r="N816" s="330" t="s">
        <v>12</v>
      </c>
      <c r="O816" s="395"/>
      <c r="P816" s="333">
        <v>6892857</v>
      </c>
      <c r="Q816" s="330" t="s">
        <v>1660</v>
      </c>
      <c r="R816" s="562">
        <v>0</v>
      </c>
      <c r="S816" s="333">
        <v>0</v>
      </c>
      <c r="T816" s="333">
        <v>0</v>
      </c>
      <c r="U816" s="333">
        <f t="shared" si="123"/>
        <v>0</v>
      </c>
      <c r="V816" s="333">
        <v>0</v>
      </c>
      <c r="W816" s="333">
        <v>0</v>
      </c>
      <c r="X816" s="333">
        <v>0</v>
      </c>
      <c r="Y816" s="333">
        <v>0</v>
      </c>
      <c r="Z816" s="333">
        <v>0</v>
      </c>
      <c r="AA816" s="333">
        <v>0</v>
      </c>
      <c r="AB816" s="333">
        <v>0</v>
      </c>
      <c r="AC816" s="333">
        <v>0</v>
      </c>
      <c r="AD816" s="333">
        <v>0</v>
      </c>
      <c r="AE816" s="333"/>
      <c r="AF816" s="333"/>
      <c r="AG816" s="333">
        <f t="shared" si="124"/>
        <v>0</v>
      </c>
      <c r="AH816" s="330"/>
      <c r="AI816" s="330">
        <v>0</v>
      </c>
      <c r="AJ816" s="396">
        <f t="shared" si="125"/>
        <v>0</v>
      </c>
      <c r="AK816" s="563"/>
      <c r="AL816" s="285">
        <f t="shared" ref="AL816:AL817" si="132">+AC816+AI816</f>
        <v>0</v>
      </c>
      <c r="AM816" s="286"/>
      <c r="AO816" s="330" t="s">
        <v>5542</v>
      </c>
    </row>
    <row r="817" spans="1:41">
      <c r="A817" s="587">
        <f t="shared" si="126"/>
        <v>814</v>
      </c>
      <c r="B817" s="330" t="s">
        <v>1643</v>
      </c>
      <c r="C817" s="330" t="s">
        <v>5545</v>
      </c>
      <c r="D817" s="330" t="s">
        <v>1704</v>
      </c>
      <c r="E817" s="330" t="s">
        <v>3366</v>
      </c>
      <c r="F817" s="330" t="s">
        <v>1647</v>
      </c>
      <c r="G817" s="562">
        <v>1375</v>
      </c>
      <c r="H817" s="562">
        <v>876.73</v>
      </c>
      <c r="I817" s="562">
        <v>982.22</v>
      </c>
      <c r="J817" s="561" t="s">
        <v>1648</v>
      </c>
      <c r="K817" s="330" t="s">
        <v>5546</v>
      </c>
      <c r="L817" s="330" t="s">
        <v>5543</v>
      </c>
      <c r="M817" s="330" t="s">
        <v>5544</v>
      </c>
      <c r="N817" s="330" t="s">
        <v>5547</v>
      </c>
      <c r="O817" s="395">
        <v>45805</v>
      </c>
      <c r="P817" s="333">
        <v>8455333</v>
      </c>
      <c r="Q817" s="330" t="s">
        <v>1653</v>
      </c>
      <c r="R817" s="562">
        <v>0</v>
      </c>
      <c r="S817" s="333">
        <v>0</v>
      </c>
      <c r="T817" s="333">
        <v>-1236250</v>
      </c>
      <c r="U817" s="333">
        <f t="shared" si="123"/>
        <v>-1236250</v>
      </c>
      <c r="V817" s="333">
        <v>-2075234.33</v>
      </c>
      <c r="W817" s="333">
        <v>0</v>
      </c>
      <c r="X817" s="333">
        <v>0</v>
      </c>
      <c r="Y817" s="333">
        <v>0</v>
      </c>
      <c r="Z817" s="333">
        <v>621900</v>
      </c>
      <c r="AA817" s="333">
        <v>-109400</v>
      </c>
      <c r="AB817" s="333">
        <v>0</v>
      </c>
      <c r="AC817" s="333">
        <v>126829.99999999977</v>
      </c>
      <c r="AD817" s="333">
        <v>0</v>
      </c>
      <c r="AE817" s="333"/>
      <c r="AF817" s="333"/>
      <c r="AG817" s="333">
        <f t="shared" si="124"/>
        <v>-2672154.33</v>
      </c>
      <c r="AH817" s="330"/>
      <c r="AI817" s="330">
        <v>-126830</v>
      </c>
      <c r="AJ817" s="396">
        <f t="shared" si="125"/>
        <v>-2672154.33</v>
      </c>
      <c r="AK817" s="563"/>
      <c r="AL817" s="285">
        <f t="shared" si="132"/>
        <v>-2.3283064365386963E-10</v>
      </c>
      <c r="AM817" s="286"/>
      <c r="AO817" s="330" t="s">
        <v>5546</v>
      </c>
    </row>
    <row r="818" spans="1:41">
      <c r="A818" s="587">
        <f t="shared" si="126"/>
        <v>815</v>
      </c>
      <c r="B818" s="330" t="s">
        <v>1643</v>
      </c>
      <c r="C818" s="330" t="s">
        <v>5548</v>
      </c>
      <c r="D818" s="330" t="s">
        <v>1645</v>
      </c>
      <c r="E818" s="330" t="s">
        <v>2359</v>
      </c>
      <c r="F818" s="330" t="s">
        <v>1671</v>
      </c>
      <c r="G818" s="562">
        <v>1375</v>
      </c>
      <c r="H818" s="562">
        <v>876.73</v>
      </c>
      <c r="I818" s="562">
        <v>982.22</v>
      </c>
      <c r="J818" s="561" t="s">
        <v>1648</v>
      </c>
      <c r="K818" s="330" t="s">
        <v>5549</v>
      </c>
      <c r="L818" s="330" t="s">
        <v>5550</v>
      </c>
      <c r="M818" s="330" t="s">
        <v>5551</v>
      </c>
      <c r="N818" s="330" t="s">
        <v>5552</v>
      </c>
      <c r="O818" s="395">
        <v>45443</v>
      </c>
      <c r="P818" s="333">
        <v>7783072</v>
      </c>
      <c r="Q818" s="330" t="s">
        <v>1653</v>
      </c>
      <c r="R818" s="562">
        <v>0</v>
      </c>
      <c r="S818" s="333">
        <v>0</v>
      </c>
      <c r="T818" s="333">
        <v>-2334918.92</v>
      </c>
      <c r="U818" s="333">
        <f t="shared" si="123"/>
        <v>-2334918.92</v>
      </c>
      <c r="V818" s="333">
        <v>0</v>
      </c>
      <c r="W818" s="333">
        <v>0</v>
      </c>
      <c r="X818" s="333">
        <v>0</v>
      </c>
      <c r="Y818" s="333">
        <v>0</v>
      </c>
      <c r="Z818" s="333">
        <v>0</v>
      </c>
      <c r="AA818" s="333">
        <v>0</v>
      </c>
      <c r="AB818" s="333">
        <v>0</v>
      </c>
      <c r="AC818" s="333">
        <v>0</v>
      </c>
      <c r="AD818" s="333">
        <v>0</v>
      </c>
      <c r="AE818" s="333"/>
      <c r="AF818" s="333"/>
      <c r="AG818" s="333">
        <f t="shared" si="124"/>
        <v>-2334918.92</v>
      </c>
      <c r="AH818" s="330"/>
      <c r="AI818" s="330">
        <v>0</v>
      </c>
      <c r="AJ818" s="396">
        <f t="shared" si="125"/>
        <v>-2334918.92</v>
      </c>
      <c r="AK818" s="563"/>
      <c r="AL818" s="285">
        <f t="shared" si="127"/>
        <v>0</v>
      </c>
      <c r="AM818" s="286"/>
      <c r="AO818" s="330" t="s">
        <v>5549</v>
      </c>
    </row>
    <row r="819" spans="1:41">
      <c r="A819" s="587">
        <f t="shared" si="126"/>
        <v>816</v>
      </c>
      <c r="B819" s="330" t="s">
        <v>1643</v>
      </c>
      <c r="C819" s="330" t="s">
        <v>5553</v>
      </c>
      <c r="D819" s="330" t="s">
        <v>1746</v>
      </c>
      <c r="E819" s="330" t="s">
        <v>1663</v>
      </c>
      <c r="F819" s="330" t="s">
        <v>1647</v>
      </c>
      <c r="G819" s="562">
        <v>1012</v>
      </c>
      <c r="H819" s="562">
        <v>653.59</v>
      </c>
      <c r="I819" s="562">
        <v>723.02</v>
      </c>
      <c r="J819" s="561" t="s">
        <v>1648</v>
      </c>
      <c r="K819" s="330" t="s">
        <v>5554</v>
      </c>
      <c r="L819" s="330" t="s">
        <v>5555</v>
      </c>
      <c r="M819" s="330" t="s">
        <v>5556</v>
      </c>
      <c r="N819" s="330" t="s">
        <v>4595</v>
      </c>
      <c r="O819" s="395">
        <v>45442</v>
      </c>
      <c r="P819" s="333">
        <v>5698827</v>
      </c>
      <c r="Q819" s="330" t="s">
        <v>1653</v>
      </c>
      <c r="R819" s="562">
        <v>0</v>
      </c>
      <c r="S819" s="333">
        <v>0</v>
      </c>
      <c r="T819" s="333">
        <v>-1361114.8499999999</v>
      </c>
      <c r="U819" s="333">
        <f t="shared" si="123"/>
        <v>-1361114.8499999999</v>
      </c>
      <c r="V819" s="333">
        <v>-341389</v>
      </c>
      <c r="W819" s="333">
        <v>0</v>
      </c>
      <c r="X819" s="333">
        <v>0</v>
      </c>
      <c r="Y819" s="333">
        <v>0</v>
      </c>
      <c r="Z819" s="333">
        <v>0</v>
      </c>
      <c r="AA819" s="333">
        <v>0</v>
      </c>
      <c r="AB819" s="333">
        <v>0</v>
      </c>
      <c r="AC819" s="333">
        <v>-7142</v>
      </c>
      <c r="AD819" s="333">
        <v>0</v>
      </c>
      <c r="AE819" s="333"/>
      <c r="AF819" s="333"/>
      <c r="AG819" s="333">
        <f t="shared" si="124"/>
        <v>-1709645.8499999999</v>
      </c>
      <c r="AH819" s="330"/>
      <c r="AI819" s="330">
        <v>7142</v>
      </c>
      <c r="AJ819" s="396">
        <f t="shared" si="125"/>
        <v>-1709645.8499999999</v>
      </c>
      <c r="AK819" s="563"/>
      <c r="AL819" s="285">
        <f t="shared" ref="AL819:AL820" si="133">+AC819+AI819</f>
        <v>0</v>
      </c>
      <c r="AM819" s="286"/>
      <c r="AO819" s="330" t="s">
        <v>5554</v>
      </c>
    </row>
    <row r="820" spans="1:41">
      <c r="A820" s="587">
        <f t="shared" si="126"/>
        <v>817</v>
      </c>
      <c r="B820" s="330" t="s">
        <v>1643</v>
      </c>
      <c r="C820" s="330" t="s">
        <v>5557</v>
      </c>
      <c r="D820" s="330" t="s">
        <v>1662</v>
      </c>
      <c r="E820" s="330" t="s">
        <v>3344</v>
      </c>
      <c r="F820" s="330" t="s">
        <v>1647</v>
      </c>
      <c r="G820" s="562">
        <v>1012</v>
      </c>
      <c r="H820" s="562">
        <v>653.59</v>
      </c>
      <c r="I820" s="562">
        <v>723.02</v>
      </c>
      <c r="J820" s="561" t="s">
        <v>1648</v>
      </c>
      <c r="K820" s="330" t="s">
        <v>5558</v>
      </c>
      <c r="L820" s="330" t="s">
        <v>5559</v>
      </c>
      <c r="M820" s="330" t="s">
        <v>5560</v>
      </c>
      <c r="N820" s="330" t="s">
        <v>5561</v>
      </c>
      <c r="O820" s="395">
        <v>45439</v>
      </c>
      <c r="P820" s="333">
        <v>5698827</v>
      </c>
      <c r="Q820" s="330" t="s">
        <v>1653</v>
      </c>
      <c r="R820" s="562">
        <v>0</v>
      </c>
      <c r="S820" s="333">
        <v>0</v>
      </c>
      <c r="T820" s="333">
        <v>-1838140.5799999994</v>
      </c>
      <c r="U820" s="333">
        <f t="shared" si="123"/>
        <v>-1838140.5799999994</v>
      </c>
      <c r="V820" s="333">
        <v>0</v>
      </c>
      <c r="W820" s="333">
        <v>0</v>
      </c>
      <c r="X820" s="333">
        <v>0</v>
      </c>
      <c r="Y820" s="333">
        <v>0</v>
      </c>
      <c r="Z820" s="333">
        <v>0</v>
      </c>
      <c r="AA820" s="333">
        <v>0</v>
      </c>
      <c r="AB820" s="333">
        <v>0</v>
      </c>
      <c r="AC820" s="333">
        <v>-7143</v>
      </c>
      <c r="AD820" s="333">
        <v>0</v>
      </c>
      <c r="AE820" s="333"/>
      <c r="AF820" s="333"/>
      <c r="AG820" s="333">
        <f t="shared" si="124"/>
        <v>-1845283.5799999994</v>
      </c>
      <c r="AH820" s="330"/>
      <c r="AI820" s="330">
        <v>7143</v>
      </c>
      <c r="AJ820" s="396">
        <f t="shared" si="125"/>
        <v>-1845283.5799999994</v>
      </c>
      <c r="AK820" s="563"/>
      <c r="AL820" s="285">
        <f t="shared" si="133"/>
        <v>0</v>
      </c>
      <c r="AM820" s="286"/>
      <c r="AO820" s="330" t="s">
        <v>5558</v>
      </c>
    </row>
    <row r="821" spans="1:41">
      <c r="A821" s="587">
        <f t="shared" si="126"/>
        <v>818</v>
      </c>
      <c r="B821" s="330" t="s">
        <v>1643</v>
      </c>
      <c r="C821" s="330" t="s">
        <v>5562</v>
      </c>
      <c r="D821" s="330" t="s">
        <v>1677</v>
      </c>
      <c r="E821" s="330" t="s">
        <v>2733</v>
      </c>
      <c r="F821" s="330" t="s">
        <v>1647</v>
      </c>
      <c r="G821" s="562">
        <v>1012</v>
      </c>
      <c r="H821" s="562">
        <v>653.59</v>
      </c>
      <c r="I821" s="562">
        <v>723.02</v>
      </c>
      <c r="J821" s="561" t="s">
        <v>1648</v>
      </c>
      <c r="K821" s="330" t="s">
        <v>5563</v>
      </c>
      <c r="L821" s="330" t="s">
        <v>5564</v>
      </c>
      <c r="M821" s="330" t="s">
        <v>5565</v>
      </c>
      <c r="N821" s="330" t="s">
        <v>12</v>
      </c>
      <c r="O821" s="395"/>
      <c r="P821" s="333">
        <v>5982095</v>
      </c>
      <c r="Q821" s="330" t="s">
        <v>1660</v>
      </c>
      <c r="R821" s="562">
        <v>0</v>
      </c>
      <c r="S821" s="333">
        <v>0</v>
      </c>
      <c r="T821" s="333">
        <v>0</v>
      </c>
      <c r="U821" s="333">
        <f t="shared" si="123"/>
        <v>0</v>
      </c>
      <c r="V821" s="333">
        <v>0</v>
      </c>
      <c r="W821" s="333">
        <v>0</v>
      </c>
      <c r="X821" s="333">
        <v>0</v>
      </c>
      <c r="Y821" s="333">
        <v>0</v>
      </c>
      <c r="Z821" s="333">
        <v>0</v>
      </c>
      <c r="AA821" s="333">
        <v>0</v>
      </c>
      <c r="AB821" s="333">
        <v>0</v>
      </c>
      <c r="AC821" s="333">
        <v>0</v>
      </c>
      <c r="AD821" s="333">
        <v>0</v>
      </c>
      <c r="AE821" s="333"/>
      <c r="AF821" s="333"/>
      <c r="AG821" s="333">
        <f t="shared" si="124"/>
        <v>0</v>
      </c>
      <c r="AH821" s="330"/>
      <c r="AI821" s="330">
        <v>0</v>
      </c>
      <c r="AJ821" s="396">
        <f t="shared" si="125"/>
        <v>0</v>
      </c>
      <c r="AK821" s="563"/>
      <c r="AL821" s="285">
        <f t="shared" si="127"/>
        <v>0</v>
      </c>
      <c r="AM821" s="286"/>
      <c r="AO821" s="330" t="s">
        <v>5563</v>
      </c>
    </row>
    <row r="822" spans="1:41">
      <c r="A822" s="587">
        <f t="shared" si="126"/>
        <v>819</v>
      </c>
      <c r="B822" s="330" t="s">
        <v>1643</v>
      </c>
      <c r="C822" s="330" t="s">
        <v>5566</v>
      </c>
      <c r="D822" s="330" t="s">
        <v>1746</v>
      </c>
      <c r="E822" s="330" t="s">
        <v>2647</v>
      </c>
      <c r="F822" s="330" t="s">
        <v>1647</v>
      </c>
      <c r="G822" s="562">
        <v>1012</v>
      </c>
      <c r="H822" s="562">
        <v>653.59</v>
      </c>
      <c r="I822" s="562">
        <v>723.02</v>
      </c>
      <c r="J822" s="561" t="s">
        <v>1648</v>
      </c>
      <c r="K822" s="330" t="s">
        <v>5567</v>
      </c>
      <c r="L822" s="330" t="s">
        <v>5568</v>
      </c>
      <c r="M822" s="330" t="s">
        <v>5569</v>
      </c>
      <c r="N822" s="330" t="s">
        <v>5570</v>
      </c>
      <c r="O822" s="395">
        <v>45428</v>
      </c>
      <c r="P822" s="333">
        <v>5665143</v>
      </c>
      <c r="Q822" s="330" t="s">
        <v>1653</v>
      </c>
      <c r="R822" s="562">
        <v>0</v>
      </c>
      <c r="S822" s="333">
        <v>0</v>
      </c>
      <c r="T822" s="333">
        <v>-1699539.84</v>
      </c>
      <c r="U822" s="333">
        <f t="shared" si="123"/>
        <v>-1699539.84</v>
      </c>
      <c r="V822" s="333">
        <v>0</v>
      </c>
      <c r="W822" s="333">
        <v>0</v>
      </c>
      <c r="X822" s="333">
        <v>0</v>
      </c>
      <c r="Y822" s="333">
        <v>0</v>
      </c>
      <c r="Z822" s="333">
        <v>0</v>
      </c>
      <c r="AA822" s="333">
        <v>0</v>
      </c>
      <c r="AB822" s="333">
        <v>0</v>
      </c>
      <c r="AC822" s="333">
        <v>0.1000000000003638</v>
      </c>
      <c r="AD822" s="333">
        <v>0</v>
      </c>
      <c r="AE822" s="333"/>
      <c r="AF822" s="333"/>
      <c r="AG822" s="333">
        <f t="shared" si="124"/>
        <v>-1699539.74</v>
      </c>
      <c r="AH822" s="330"/>
      <c r="AI822" s="330">
        <v>-0.1000000000003638</v>
      </c>
      <c r="AJ822" s="396">
        <f t="shared" si="125"/>
        <v>-1699539.74</v>
      </c>
      <c r="AK822" s="563"/>
      <c r="AL822" s="285">
        <f t="shared" ref="AL822:AL823" si="134">+AC822+AI822</f>
        <v>0</v>
      </c>
      <c r="AM822" s="286"/>
      <c r="AO822" s="330" t="s">
        <v>5567</v>
      </c>
    </row>
    <row r="823" spans="1:41">
      <c r="A823" s="587">
        <f t="shared" si="126"/>
        <v>820</v>
      </c>
      <c r="B823" s="330" t="s">
        <v>1643</v>
      </c>
      <c r="C823" s="330" t="s">
        <v>5571</v>
      </c>
      <c r="D823" s="330" t="s">
        <v>1645</v>
      </c>
      <c r="E823" s="330" t="s">
        <v>2739</v>
      </c>
      <c r="F823" s="330" t="s">
        <v>1647</v>
      </c>
      <c r="G823" s="562">
        <v>1012</v>
      </c>
      <c r="H823" s="562">
        <v>653.59</v>
      </c>
      <c r="I823" s="562">
        <v>723.02</v>
      </c>
      <c r="J823" s="561" t="s">
        <v>1648</v>
      </c>
      <c r="K823" s="330" t="s">
        <v>5572</v>
      </c>
      <c r="L823" s="330" t="s">
        <v>5573</v>
      </c>
      <c r="M823" s="330" t="s">
        <v>5574</v>
      </c>
      <c r="N823" s="330" t="s">
        <v>5575</v>
      </c>
      <c r="O823" s="395">
        <v>45442</v>
      </c>
      <c r="P823" s="333">
        <v>5714010</v>
      </c>
      <c r="Q823" s="330" t="s">
        <v>1653</v>
      </c>
      <c r="R823" s="562">
        <v>0</v>
      </c>
      <c r="S823" s="333">
        <v>0</v>
      </c>
      <c r="T823" s="333">
        <v>-1766582.8399999999</v>
      </c>
      <c r="U823" s="333">
        <f t="shared" si="123"/>
        <v>-1766582.8399999999</v>
      </c>
      <c r="V823" s="333">
        <v>0</v>
      </c>
      <c r="W823" s="333">
        <v>0</v>
      </c>
      <c r="X823" s="333">
        <v>0</v>
      </c>
      <c r="Y823" s="333">
        <v>0</v>
      </c>
      <c r="Z823" s="333">
        <v>0</v>
      </c>
      <c r="AA823" s="333">
        <v>0</v>
      </c>
      <c r="AB823" s="333">
        <v>0</v>
      </c>
      <c r="AC823" s="333">
        <v>-4762</v>
      </c>
      <c r="AD823" s="333">
        <v>0</v>
      </c>
      <c r="AE823" s="333"/>
      <c r="AF823" s="333"/>
      <c r="AG823" s="333">
        <f t="shared" si="124"/>
        <v>-1771344.8399999999</v>
      </c>
      <c r="AH823" s="330"/>
      <c r="AI823" s="330">
        <v>4762</v>
      </c>
      <c r="AJ823" s="396">
        <f t="shared" si="125"/>
        <v>-1771344.8399999999</v>
      </c>
      <c r="AK823" s="563"/>
      <c r="AL823" s="285">
        <f t="shared" si="134"/>
        <v>0</v>
      </c>
      <c r="AM823" s="286"/>
      <c r="AO823" s="330" t="s">
        <v>5572</v>
      </c>
    </row>
    <row r="824" spans="1:41">
      <c r="A824" s="587">
        <f t="shared" si="126"/>
        <v>821</v>
      </c>
      <c r="B824" s="330" t="s">
        <v>1643</v>
      </c>
      <c r="C824" s="330" t="s">
        <v>5576</v>
      </c>
      <c r="D824" s="330" t="s">
        <v>1662</v>
      </c>
      <c r="E824" s="330" t="s">
        <v>3766</v>
      </c>
      <c r="F824" s="330" t="s">
        <v>1685</v>
      </c>
      <c r="G824" s="562">
        <v>1265</v>
      </c>
      <c r="H824" s="562">
        <v>813.33</v>
      </c>
      <c r="I824" s="562">
        <v>903.31</v>
      </c>
      <c r="J824" s="561" t="s">
        <v>1648</v>
      </c>
      <c r="K824" s="330" t="s">
        <v>5577</v>
      </c>
      <c r="L824" s="330" t="s">
        <v>5578</v>
      </c>
      <c r="M824" s="330" t="s">
        <v>5579</v>
      </c>
      <c r="N824" s="330" t="s">
        <v>2066</v>
      </c>
      <c r="O824" s="395"/>
      <c r="P824" s="333">
        <v>6829060</v>
      </c>
      <c r="Q824" s="330" t="s">
        <v>1660</v>
      </c>
      <c r="R824" s="562">
        <v>0</v>
      </c>
      <c r="S824" s="333">
        <v>0</v>
      </c>
      <c r="T824" s="333">
        <v>0</v>
      </c>
      <c r="U824" s="333">
        <f t="shared" si="123"/>
        <v>0</v>
      </c>
      <c r="V824" s="333">
        <v>0</v>
      </c>
      <c r="W824" s="333">
        <v>0</v>
      </c>
      <c r="X824" s="333">
        <v>0</v>
      </c>
      <c r="Y824" s="333">
        <v>0</v>
      </c>
      <c r="Z824" s="333">
        <v>0</v>
      </c>
      <c r="AA824" s="333">
        <v>0</v>
      </c>
      <c r="AB824" s="333">
        <v>0</v>
      </c>
      <c r="AC824" s="333">
        <v>0</v>
      </c>
      <c r="AD824" s="333">
        <v>0</v>
      </c>
      <c r="AE824" s="333"/>
      <c r="AF824" s="333"/>
      <c r="AG824" s="333">
        <f t="shared" si="124"/>
        <v>0</v>
      </c>
      <c r="AH824" s="330"/>
      <c r="AI824" s="330">
        <v>0</v>
      </c>
      <c r="AJ824" s="396">
        <f t="shared" si="125"/>
        <v>0</v>
      </c>
      <c r="AK824" s="563"/>
      <c r="AL824" s="285">
        <f t="shared" si="127"/>
        <v>0</v>
      </c>
      <c r="AM824" s="286"/>
      <c r="AO824" s="330" t="s">
        <v>5577</v>
      </c>
    </row>
    <row r="825" spans="1:41">
      <c r="A825" s="587">
        <f t="shared" si="126"/>
        <v>822</v>
      </c>
      <c r="B825" s="330" t="s">
        <v>1643</v>
      </c>
      <c r="C825" s="330" t="s">
        <v>5580</v>
      </c>
      <c r="D825" s="330" t="s">
        <v>1662</v>
      </c>
      <c r="E825" s="330" t="s">
        <v>2655</v>
      </c>
      <c r="F825" s="330" t="s">
        <v>1647</v>
      </c>
      <c r="G825" s="562">
        <v>1114</v>
      </c>
      <c r="H825" s="562">
        <v>683.3</v>
      </c>
      <c r="I825" s="562">
        <v>795.57</v>
      </c>
      <c r="J825" s="561" t="s">
        <v>1648</v>
      </c>
      <c r="K825" s="330" t="s">
        <v>5581</v>
      </c>
      <c r="L825" s="330" t="s">
        <v>5582</v>
      </c>
      <c r="M825" s="330" t="s">
        <v>5583</v>
      </c>
      <c r="N825" s="330" t="s">
        <v>5584</v>
      </c>
      <c r="O825" s="395">
        <v>45435</v>
      </c>
      <c r="P825" s="333">
        <v>6245524</v>
      </c>
      <c r="Q825" s="330" t="s">
        <v>1653</v>
      </c>
      <c r="R825" s="562">
        <v>0</v>
      </c>
      <c r="S825" s="333">
        <v>0</v>
      </c>
      <c r="T825" s="333">
        <v>-1928969.38</v>
      </c>
      <c r="U825" s="333">
        <f t="shared" si="123"/>
        <v>-1928969.38</v>
      </c>
      <c r="V825" s="333">
        <v>0</v>
      </c>
      <c r="W825" s="333">
        <v>0</v>
      </c>
      <c r="X825" s="333">
        <v>0</v>
      </c>
      <c r="Y825" s="333">
        <v>0</v>
      </c>
      <c r="Z825" s="333">
        <v>0</v>
      </c>
      <c r="AA825" s="333">
        <v>0</v>
      </c>
      <c r="AB825" s="333">
        <v>0</v>
      </c>
      <c r="AC825" s="333">
        <v>-7142</v>
      </c>
      <c r="AD825" s="333">
        <v>0</v>
      </c>
      <c r="AE825" s="333"/>
      <c r="AF825" s="333"/>
      <c r="AG825" s="333">
        <f t="shared" si="124"/>
        <v>-1936111.38</v>
      </c>
      <c r="AH825" s="330"/>
      <c r="AI825" s="330">
        <v>7142</v>
      </c>
      <c r="AJ825" s="396">
        <f t="shared" si="125"/>
        <v>-1936111.38</v>
      </c>
      <c r="AK825" s="563"/>
      <c r="AL825" s="285">
        <f>+AC825+AI825</f>
        <v>0</v>
      </c>
      <c r="AM825" s="286"/>
      <c r="AO825" s="330" t="s">
        <v>5581</v>
      </c>
    </row>
    <row r="826" spans="1:41">
      <c r="A826" s="587">
        <f t="shared" si="126"/>
        <v>823</v>
      </c>
      <c r="B826" s="330" t="s">
        <v>1643</v>
      </c>
      <c r="C826" s="330" t="s">
        <v>5585</v>
      </c>
      <c r="D826" s="330" t="s">
        <v>1704</v>
      </c>
      <c r="E826" s="330" t="s">
        <v>2056</v>
      </c>
      <c r="F826" s="330" t="s">
        <v>1647</v>
      </c>
      <c r="G826" s="562">
        <v>1498</v>
      </c>
      <c r="H826" s="562">
        <v>954.87</v>
      </c>
      <c r="I826" s="562">
        <v>1069.73</v>
      </c>
      <c r="J826" s="561" t="s">
        <v>1648</v>
      </c>
      <c r="K826" s="330" t="s">
        <v>5586</v>
      </c>
      <c r="L826" s="330" t="s">
        <v>5587</v>
      </c>
      <c r="M826" s="330" t="s">
        <v>5588</v>
      </c>
      <c r="N826" s="330" t="s">
        <v>5589</v>
      </c>
      <c r="O826" s="395">
        <v>45446</v>
      </c>
      <c r="P826" s="333">
        <v>8633904</v>
      </c>
      <c r="Q826" s="330" t="s">
        <v>1653</v>
      </c>
      <c r="R826" s="562">
        <v>0</v>
      </c>
      <c r="S826" s="333">
        <v>0</v>
      </c>
      <c r="T826" s="333">
        <v>-2590171.4800000004</v>
      </c>
      <c r="U826" s="333">
        <f t="shared" si="123"/>
        <v>-2590171.4800000004</v>
      </c>
      <c r="V826" s="333">
        <v>0</v>
      </c>
      <c r="W826" s="333">
        <v>0</v>
      </c>
      <c r="X826" s="333">
        <v>0</v>
      </c>
      <c r="Y826" s="333">
        <v>0</v>
      </c>
      <c r="Z826" s="333">
        <v>0</v>
      </c>
      <c r="AA826" s="333">
        <v>0</v>
      </c>
      <c r="AB826" s="333">
        <v>0</v>
      </c>
      <c r="AC826" s="333">
        <v>0</v>
      </c>
      <c r="AD826" s="333">
        <v>0</v>
      </c>
      <c r="AE826" s="333"/>
      <c r="AF826" s="333"/>
      <c r="AG826" s="333">
        <f t="shared" si="124"/>
        <v>-2590171.4800000004</v>
      </c>
      <c r="AH826" s="330"/>
      <c r="AI826" s="330">
        <v>0</v>
      </c>
      <c r="AJ826" s="396">
        <f t="shared" si="125"/>
        <v>-2590171.4800000004</v>
      </c>
      <c r="AK826" s="563"/>
      <c r="AL826" s="285">
        <f t="shared" si="127"/>
        <v>0</v>
      </c>
      <c r="AM826" s="286"/>
      <c r="AO826" s="330" t="s">
        <v>5586</v>
      </c>
    </row>
    <row r="827" spans="1:41">
      <c r="A827" s="587">
        <f t="shared" si="126"/>
        <v>824</v>
      </c>
      <c r="B827" s="330" t="s">
        <v>1643</v>
      </c>
      <c r="C827" s="330" t="s">
        <v>5503</v>
      </c>
      <c r="D827" s="330" t="s">
        <v>1746</v>
      </c>
      <c r="E827" s="330" t="s">
        <v>1822</v>
      </c>
      <c r="F827" s="330" t="s">
        <v>1685</v>
      </c>
      <c r="G827" s="562">
        <v>1265</v>
      </c>
      <c r="H827" s="562">
        <v>813.33</v>
      </c>
      <c r="I827" s="562">
        <v>903.31</v>
      </c>
      <c r="J827" s="561" t="s">
        <v>1648</v>
      </c>
      <c r="K827" s="330" t="s">
        <v>5590</v>
      </c>
      <c r="L827" s="330" t="s">
        <v>5591</v>
      </c>
      <c r="M827" s="330" t="s">
        <v>5592</v>
      </c>
      <c r="N827" s="330" t="s">
        <v>5507</v>
      </c>
      <c r="O827" s="395">
        <v>45454</v>
      </c>
      <c r="P827" s="333">
        <v>7202130</v>
      </c>
      <c r="Q827" s="330" t="s">
        <v>1660</v>
      </c>
      <c r="R827" s="562">
        <v>0</v>
      </c>
      <c r="S827" s="333">
        <v>0</v>
      </c>
      <c r="T827" s="333">
        <v>-152000</v>
      </c>
      <c r="U827" s="333">
        <f t="shared" si="123"/>
        <v>-152000</v>
      </c>
      <c r="V827" s="333">
        <v>0</v>
      </c>
      <c r="W827" s="333">
        <v>0</v>
      </c>
      <c r="X827" s="333">
        <v>0</v>
      </c>
      <c r="Y827" s="333">
        <v>0</v>
      </c>
      <c r="Z827" s="333">
        <v>0</v>
      </c>
      <c r="AA827" s="333">
        <v>0</v>
      </c>
      <c r="AB827" s="333">
        <v>0</v>
      </c>
      <c r="AC827" s="333">
        <v>0</v>
      </c>
      <c r="AD827" s="333">
        <v>0</v>
      </c>
      <c r="AE827" s="333"/>
      <c r="AF827" s="333"/>
      <c r="AG827" s="333">
        <f t="shared" si="124"/>
        <v>-152000</v>
      </c>
      <c r="AH827" s="330"/>
      <c r="AI827" s="330">
        <v>0</v>
      </c>
      <c r="AJ827" s="396">
        <f t="shared" si="125"/>
        <v>-152000</v>
      </c>
      <c r="AK827" s="563"/>
      <c r="AL827" s="285">
        <f t="shared" si="127"/>
        <v>0</v>
      </c>
      <c r="AM827" s="286"/>
      <c r="AO827" s="330" t="s">
        <v>5590</v>
      </c>
    </row>
    <row r="828" spans="1:41">
      <c r="A828" s="587">
        <f t="shared" si="126"/>
        <v>825</v>
      </c>
      <c r="B828" s="330" t="s">
        <v>1643</v>
      </c>
      <c r="C828" s="330" t="s">
        <v>5593</v>
      </c>
      <c r="D828" s="330" t="s">
        <v>1704</v>
      </c>
      <c r="E828" s="330" t="s">
        <v>1918</v>
      </c>
      <c r="F828" s="330" t="s">
        <v>1647</v>
      </c>
      <c r="G828" s="562">
        <v>1114</v>
      </c>
      <c r="H828" s="562">
        <v>683.3</v>
      </c>
      <c r="I828" s="562">
        <v>795.57</v>
      </c>
      <c r="J828" s="561" t="s">
        <v>1648</v>
      </c>
      <c r="K828" s="330" t="s">
        <v>5594</v>
      </c>
      <c r="L828" s="330" t="s">
        <v>5595</v>
      </c>
      <c r="M828" s="330" t="s">
        <v>5592</v>
      </c>
      <c r="N828" s="330" t="s">
        <v>5596</v>
      </c>
      <c r="O828" s="395">
        <v>45456</v>
      </c>
      <c r="P828" s="333">
        <v>6428571</v>
      </c>
      <c r="Q828" s="330" t="s">
        <v>1660</v>
      </c>
      <c r="R828" s="562">
        <v>0</v>
      </c>
      <c r="S828" s="333">
        <v>0</v>
      </c>
      <c r="T828" s="333">
        <v>-1992855.7100000007</v>
      </c>
      <c r="U828" s="333">
        <f t="shared" si="123"/>
        <v>-1992855.7100000007</v>
      </c>
      <c r="V828" s="333">
        <v>0</v>
      </c>
      <c r="W828" s="333">
        <v>0</v>
      </c>
      <c r="X828" s="333">
        <v>0</v>
      </c>
      <c r="Y828" s="333">
        <v>0</v>
      </c>
      <c r="Z828" s="333">
        <v>0</v>
      </c>
      <c r="AA828" s="333">
        <v>0</v>
      </c>
      <c r="AB828" s="333">
        <v>0</v>
      </c>
      <c r="AC828" s="333">
        <v>-176333.27</v>
      </c>
      <c r="AD828" s="333">
        <v>2008474.72</v>
      </c>
      <c r="AE828" s="333"/>
      <c r="AF828" s="333"/>
      <c r="AG828" s="333">
        <f t="shared" si="124"/>
        <v>-160714.26000000047</v>
      </c>
      <c r="AH828" s="330"/>
      <c r="AI828" s="330">
        <v>173245.47999999998</v>
      </c>
      <c r="AJ828" s="396">
        <f t="shared" si="125"/>
        <v>-160714.26000000047</v>
      </c>
      <c r="AK828" s="563"/>
      <c r="AL828" s="285">
        <f>+AC828+AI828</f>
        <v>-3087.7900000000081</v>
      </c>
      <c r="AM828" s="286" t="s">
        <v>3062</v>
      </c>
      <c r="AO828" s="330" t="s">
        <v>5594</v>
      </c>
    </row>
    <row r="829" spans="1:41">
      <c r="A829" s="587">
        <f t="shared" si="126"/>
        <v>826</v>
      </c>
      <c r="B829" s="330" t="s">
        <v>1643</v>
      </c>
      <c r="C829" s="330" t="s">
        <v>5597</v>
      </c>
      <c r="D829" s="330" t="s">
        <v>1704</v>
      </c>
      <c r="E829" s="330" t="s">
        <v>3329</v>
      </c>
      <c r="F829" s="330" t="s">
        <v>1647</v>
      </c>
      <c r="G829" s="562">
        <v>1114</v>
      </c>
      <c r="H829" s="562">
        <v>683.3</v>
      </c>
      <c r="I829" s="562">
        <v>795.57</v>
      </c>
      <c r="J829" s="561" t="s">
        <v>1648</v>
      </c>
      <c r="K829" s="330" t="s">
        <v>5598</v>
      </c>
      <c r="L829" s="330" t="s">
        <v>5599</v>
      </c>
      <c r="M829" s="330" t="s">
        <v>5600</v>
      </c>
      <c r="N829" s="330" t="s">
        <v>5601</v>
      </c>
      <c r="O829" s="395">
        <v>45454</v>
      </c>
      <c r="P829" s="333">
        <v>6401715</v>
      </c>
      <c r="Q829" s="330" t="s">
        <v>1653</v>
      </c>
      <c r="R829" s="562">
        <v>0</v>
      </c>
      <c r="S829" s="333">
        <v>0</v>
      </c>
      <c r="T829" s="333">
        <v>-2032102.4099999997</v>
      </c>
      <c r="U829" s="333">
        <f t="shared" si="123"/>
        <v>-2032102.4099999997</v>
      </c>
      <c r="V829" s="333">
        <v>0</v>
      </c>
      <c r="W829" s="333">
        <v>0</v>
      </c>
      <c r="X829" s="333">
        <v>0</v>
      </c>
      <c r="Y829" s="333">
        <v>0</v>
      </c>
      <c r="Z829" s="333">
        <v>0</v>
      </c>
      <c r="AA829" s="333">
        <v>0</v>
      </c>
      <c r="AB829" s="333">
        <v>0</v>
      </c>
      <c r="AC829" s="333">
        <v>0</v>
      </c>
      <c r="AD829" s="333">
        <v>0</v>
      </c>
      <c r="AE829" s="333"/>
      <c r="AF829" s="333"/>
      <c r="AG829" s="333">
        <f t="shared" si="124"/>
        <v>-2032102.4099999997</v>
      </c>
      <c r="AH829" s="330"/>
      <c r="AI829" s="330">
        <v>0</v>
      </c>
      <c r="AJ829" s="396">
        <f t="shared" si="125"/>
        <v>-2032102.4099999997</v>
      </c>
      <c r="AK829" s="563"/>
      <c r="AL829" s="285">
        <f t="shared" si="127"/>
        <v>0</v>
      </c>
      <c r="AM829" s="286"/>
      <c r="AO829" s="330" t="s">
        <v>5598</v>
      </c>
    </row>
    <row r="830" spans="1:41">
      <c r="A830" s="587">
        <f t="shared" si="126"/>
        <v>827</v>
      </c>
      <c r="B830" s="330" t="s">
        <v>1643</v>
      </c>
      <c r="C830" s="330" t="s">
        <v>5602</v>
      </c>
      <c r="D830" s="330" t="s">
        <v>1662</v>
      </c>
      <c r="E830" s="330" t="s">
        <v>2625</v>
      </c>
      <c r="F830" s="330" t="s">
        <v>1647</v>
      </c>
      <c r="G830" s="562">
        <v>1012</v>
      </c>
      <c r="H830" s="562">
        <v>653.59</v>
      </c>
      <c r="I830" s="562">
        <v>723.02</v>
      </c>
      <c r="J830" s="561" t="s">
        <v>1648</v>
      </c>
      <c r="K830" s="330" t="s">
        <v>5603</v>
      </c>
      <c r="L830" s="330" t="s">
        <v>5604</v>
      </c>
      <c r="M830" s="330" t="s">
        <v>5605</v>
      </c>
      <c r="N830" s="330" t="s">
        <v>5606</v>
      </c>
      <c r="O830" s="395">
        <v>45467</v>
      </c>
      <c r="P830" s="333">
        <v>6356026</v>
      </c>
      <c r="Q830" s="330" t="s">
        <v>1660</v>
      </c>
      <c r="R830" s="562">
        <v>0</v>
      </c>
      <c r="S830" s="333">
        <v>0</v>
      </c>
      <c r="T830" s="333">
        <v>-1636680</v>
      </c>
      <c r="U830" s="333">
        <f t="shared" si="123"/>
        <v>-1636680</v>
      </c>
      <c r="V830" s="333">
        <v>1636680</v>
      </c>
      <c r="W830" s="333">
        <v>0</v>
      </c>
      <c r="X830" s="333">
        <v>0</v>
      </c>
      <c r="Y830" s="333">
        <v>0</v>
      </c>
      <c r="Z830" s="333">
        <v>0</v>
      </c>
      <c r="AA830" s="333">
        <v>0</v>
      </c>
      <c r="AB830" s="333">
        <v>0</v>
      </c>
      <c r="AC830" s="333">
        <v>-86651.4</v>
      </c>
      <c r="AD830" s="333">
        <v>0</v>
      </c>
      <c r="AE830" s="333"/>
      <c r="AF830" s="333"/>
      <c r="AG830" s="333">
        <f t="shared" si="124"/>
        <v>-86651.4</v>
      </c>
      <c r="AH830" s="330"/>
      <c r="AI830" s="330">
        <v>86651.4</v>
      </c>
      <c r="AJ830" s="396">
        <f t="shared" si="125"/>
        <v>-86651.4</v>
      </c>
      <c r="AK830" s="563"/>
      <c r="AL830" s="285">
        <f>+AC830+AI830</f>
        <v>0</v>
      </c>
      <c r="AM830" s="286"/>
      <c r="AO830" s="330" t="s">
        <v>5603</v>
      </c>
    </row>
    <row r="831" spans="1:41">
      <c r="A831" s="587">
        <f t="shared" si="126"/>
        <v>828</v>
      </c>
      <c r="B831" s="330" t="s">
        <v>1643</v>
      </c>
      <c r="C831" s="330" t="s">
        <v>5607</v>
      </c>
      <c r="D831" s="330" t="s">
        <v>1662</v>
      </c>
      <c r="E831" s="330" t="s">
        <v>2647</v>
      </c>
      <c r="F831" s="330" t="s">
        <v>1647</v>
      </c>
      <c r="G831" s="562">
        <v>1012</v>
      </c>
      <c r="H831" s="562">
        <v>653.59</v>
      </c>
      <c r="I831" s="562">
        <v>723.02</v>
      </c>
      <c r="J831" s="561" t="s">
        <v>1648</v>
      </c>
      <c r="K831" s="330" t="s">
        <v>5608</v>
      </c>
      <c r="L831" s="330" t="s">
        <v>5609</v>
      </c>
      <c r="M831" s="330" t="s">
        <v>5610</v>
      </c>
      <c r="N831" s="330" t="s">
        <v>5611</v>
      </c>
      <c r="O831" s="395">
        <v>45436</v>
      </c>
      <c r="P831" s="333">
        <v>5729194</v>
      </c>
      <c r="Q831" s="330" t="s">
        <v>1653</v>
      </c>
      <c r="R831" s="562">
        <v>0</v>
      </c>
      <c r="S831" s="333">
        <v>0</v>
      </c>
      <c r="T831" s="333">
        <v>-1618123.02</v>
      </c>
      <c r="U831" s="333">
        <f t="shared" si="123"/>
        <v>-1618123.02</v>
      </c>
      <c r="V831" s="333">
        <v>-150783</v>
      </c>
      <c r="W831" s="333">
        <v>0</v>
      </c>
      <c r="X831" s="333">
        <v>0</v>
      </c>
      <c r="Y831" s="333">
        <v>0</v>
      </c>
      <c r="Z831" s="333">
        <v>0</v>
      </c>
      <c r="AA831" s="333">
        <v>0</v>
      </c>
      <c r="AB831" s="333">
        <v>0</v>
      </c>
      <c r="AC831" s="333">
        <v>0</v>
      </c>
      <c r="AD831" s="333">
        <v>0</v>
      </c>
      <c r="AE831" s="333"/>
      <c r="AF831" s="333"/>
      <c r="AG831" s="333">
        <f t="shared" si="124"/>
        <v>-1768906.02</v>
      </c>
      <c r="AH831" s="330"/>
      <c r="AI831" s="330">
        <v>0</v>
      </c>
      <c r="AJ831" s="396">
        <f t="shared" si="125"/>
        <v>-1768906.02</v>
      </c>
      <c r="AK831" s="563"/>
      <c r="AL831" s="285">
        <f t="shared" si="127"/>
        <v>0</v>
      </c>
      <c r="AM831" s="286"/>
      <c r="AO831" s="330" t="s">
        <v>5608</v>
      </c>
    </row>
    <row r="832" spans="1:41">
      <c r="A832" s="587">
        <f t="shared" si="126"/>
        <v>829</v>
      </c>
      <c r="B832" s="330" t="s">
        <v>1643</v>
      </c>
      <c r="C832" s="330" t="s">
        <v>5612</v>
      </c>
      <c r="D832" s="330" t="s">
        <v>1645</v>
      </c>
      <c r="E832" s="330" t="s">
        <v>1816</v>
      </c>
      <c r="F832" s="330" t="s">
        <v>1671</v>
      </c>
      <c r="G832" s="562">
        <v>1375</v>
      </c>
      <c r="H832" s="562">
        <v>876.73</v>
      </c>
      <c r="I832" s="562">
        <v>982.22</v>
      </c>
      <c r="J832" s="561" t="s">
        <v>1648</v>
      </c>
      <c r="K832" s="330" t="s">
        <v>5613</v>
      </c>
      <c r="L832" s="330" t="s">
        <v>5614</v>
      </c>
      <c r="M832" s="330" t="s">
        <v>5615</v>
      </c>
      <c r="N832" s="330" t="s">
        <v>5616</v>
      </c>
      <c r="O832" s="395">
        <v>45664</v>
      </c>
      <c r="P832" s="333">
        <v>8455333</v>
      </c>
      <c r="Q832" s="330" t="s">
        <v>1653</v>
      </c>
      <c r="R832" s="562">
        <v>0</v>
      </c>
      <c r="S832" s="333">
        <v>0</v>
      </c>
      <c r="T832" s="333">
        <v>-2536601</v>
      </c>
      <c r="U832" s="333">
        <f t="shared" si="123"/>
        <v>-2536601</v>
      </c>
      <c r="V832" s="333">
        <v>0</v>
      </c>
      <c r="W832" s="333">
        <v>0</v>
      </c>
      <c r="X832" s="333">
        <v>0</v>
      </c>
      <c r="Y832" s="333">
        <v>0</v>
      </c>
      <c r="Z832" s="333">
        <v>0</v>
      </c>
      <c r="AA832" s="333">
        <v>0</v>
      </c>
      <c r="AB832" s="333">
        <v>0</v>
      </c>
      <c r="AC832" s="333">
        <v>0</v>
      </c>
      <c r="AD832" s="333">
        <v>0</v>
      </c>
      <c r="AE832" s="333"/>
      <c r="AF832" s="333"/>
      <c r="AG832" s="333">
        <f t="shared" si="124"/>
        <v>-2536601</v>
      </c>
      <c r="AH832" s="330"/>
      <c r="AI832" s="330">
        <v>0</v>
      </c>
      <c r="AJ832" s="396">
        <f t="shared" si="125"/>
        <v>-2536601</v>
      </c>
      <c r="AK832" s="563"/>
      <c r="AL832" s="285">
        <f t="shared" si="127"/>
        <v>0</v>
      </c>
      <c r="AM832" s="286"/>
      <c r="AO832" s="330" t="s">
        <v>5613</v>
      </c>
    </row>
    <row r="833" spans="1:41">
      <c r="A833" s="587">
        <f t="shared" si="126"/>
        <v>830</v>
      </c>
      <c r="B833" s="330" t="s">
        <v>1643</v>
      </c>
      <c r="C833" s="330" t="s">
        <v>5617</v>
      </c>
      <c r="D833" s="330" t="s">
        <v>1645</v>
      </c>
      <c r="E833" s="330" t="s">
        <v>3927</v>
      </c>
      <c r="F833" s="330" t="s">
        <v>1647</v>
      </c>
      <c r="G833" s="562">
        <v>1114</v>
      </c>
      <c r="H833" s="562">
        <v>683.3</v>
      </c>
      <c r="I833" s="562">
        <v>795.57</v>
      </c>
      <c r="J833" s="561" t="s">
        <v>1648</v>
      </c>
      <c r="K833" s="330" t="s">
        <v>5618</v>
      </c>
      <c r="L833" s="330" t="s">
        <v>5619</v>
      </c>
      <c r="M833" s="330" t="s">
        <v>5620</v>
      </c>
      <c r="N833" s="330" t="s">
        <v>5621</v>
      </c>
      <c r="O833" s="395">
        <v>45435</v>
      </c>
      <c r="P833" s="333">
        <v>6337489</v>
      </c>
      <c r="Q833" s="330" t="s">
        <v>1653</v>
      </c>
      <c r="R833" s="562">
        <v>0</v>
      </c>
      <c r="S833" s="333">
        <v>0</v>
      </c>
      <c r="T833" s="333">
        <v>-1792062.5500000007</v>
      </c>
      <c r="U833" s="333">
        <f t="shared" si="123"/>
        <v>-1792062.5500000007</v>
      </c>
      <c r="V833" s="333">
        <v>-150000</v>
      </c>
      <c r="W833" s="333">
        <v>0</v>
      </c>
      <c r="X833" s="333">
        <v>0</v>
      </c>
      <c r="Y833" s="333">
        <v>0</v>
      </c>
      <c r="Z833" s="333">
        <v>0</v>
      </c>
      <c r="AA833" s="333">
        <v>0</v>
      </c>
      <c r="AB833" s="333">
        <v>0</v>
      </c>
      <c r="AC833" s="333">
        <v>-22556.899999999994</v>
      </c>
      <c r="AD833" s="333">
        <v>0</v>
      </c>
      <c r="AE833" s="333"/>
      <c r="AF833" s="333"/>
      <c r="AG833" s="333">
        <f t="shared" si="124"/>
        <v>-1964619.4500000007</v>
      </c>
      <c r="AH833" s="330"/>
      <c r="AI833" s="330">
        <v>22556.9</v>
      </c>
      <c r="AJ833" s="396">
        <f t="shared" si="125"/>
        <v>-1964619.4500000007</v>
      </c>
      <c r="AK833" s="563"/>
      <c r="AL833" s="285">
        <f t="shared" ref="AL833:AL834" si="135">+AC833+AI833</f>
        <v>0</v>
      </c>
      <c r="AM833" s="286"/>
      <c r="AO833" s="330" t="s">
        <v>5618</v>
      </c>
    </row>
    <row r="834" spans="1:41">
      <c r="A834" s="587">
        <f t="shared" si="126"/>
        <v>831</v>
      </c>
      <c r="B834" s="330" t="s">
        <v>1643</v>
      </c>
      <c r="C834" s="330" t="s">
        <v>2935</v>
      </c>
      <c r="D834" s="330" t="s">
        <v>1669</v>
      </c>
      <c r="E834" s="330" t="s">
        <v>1863</v>
      </c>
      <c r="F834" s="330" t="s">
        <v>1671</v>
      </c>
      <c r="G834" s="562">
        <v>1787</v>
      </c>
      <c r="H834" s="562">
        <v>1138.51</v>
      </c>
      <c r="I834" s="562">
        <v>1276.29</v>
      </c>
      <c r="J834" s="561" t="s">
        <v>1648</v>
      </c>
      <c r="K834" s="330" t="s">
        <v>5622</v>
      </c>
      <c r="L834" s="330" t="s">
        <v>5623</v>
      </c>
      <c r="M834" s="330" t="s">
        <v>5624</v>
      </c>
      <c r="N834" s="330" t="s">
        <v>5625</v>
      </c>
      <c r="O834" s="395">
        <v>45629</v>
      </c>
      <c r="P834" s="333">
        <v>11103191</v>
      </c>
      <c r="Q834" s="330" t="s">
        <v>1653</v>
      </c>
      <c r="R834" s="562">
        <v>0</v>
      </c>
      <c r="S834" s="333">
        <v>0</v>
      </c>
      <c r="T834" s="333">
        <v>-5810249.8999999994</v>
      </c>
      <c r="U834" s="333">
        <f t="shared" si="123"/>
        <v>-5810249.8999999994</v>
      </c>
      <c r="V834" s="333">
        <v>0</v>
      </c>
      <c r="W834" s="333">
        <v>0</v>
      </c>
      <c r="X834" s="333">
        <v>0</v>
      </c>
      <c r="Y834" s="333">
        <v>0</v>
      </c>
      <c r="Z834" s="333">
        <v>0</v>
      </c>
      <c r="AA834" s="333">
        <v>0</v>
      </c>
      <c r="AB834" s="333">
        <v>0</v>
      </c>
      <c r="AC834" s="333">
        <v>-142749.50000000012</v>
      </c>
      <c r="AD834" s="333">
        <v>0</v>
      </c>
      <c r="AE834" s="333"/>
      <c r="AF834" s="333"/>
      <c r="AG834" s="333">
        <f t="shared" si="124"/>
        <v>-5952999.3999999994</v>
      </c>
      <c r="AH834" s="330"/>
      <c r="AI834" s="330">
        <v>142749.5</v>
      </c>
      <c r="AJ834" s="396">
        <f t="shared" si="125"/>
        <v>-5952999.3999999994</v>
      </c>
      <c r="AK834" s="563"/>
      <c r="AL834" s="285">
        <f t="shared" si="135"/>
        <v>0</v>
      </c>
      <c r="AM834" s="286"/>
      <c r="AO834" s="330" t="s">
        <v>5622</v>
      </c>
    </row>
    <row r="835" spans="1:41">
      <c r="A835" s="587">
        <f t="shared" si="126"/>
        <v>832</v>
      </c>
      <c r="B835" s="330" t="s">
        <v>1643</v>
      </c>
      <c r="C835" s="330" t="s">
        <v>5626</v>
      </c>
      <c r="D835" s="330" t="s">
        <v>1655</v>
      </c>
      <c r="E835" s="330" t="s">
        <v>1984</v>
      </c>
      <c r="F835" s="330" t="s">
        <v>1647</v>
      </c>
      <c r="G835" s="562">
        <v>1012</v>
      </c>
      <c r="H835" s="562">
        <v>653.59</v>
      </c>
      <c r="I835" s="562">
        <v>723.02</v>
      </c>
      <c r="J835" s="561" t="s">
        <v>1648</v>
      </c>
      <c r="K835" s="330" t="s">
        <v>5627</v>
      </c>
      <c r="L835" s="330" t="s">
        <v>5628</v>
      </c>
      <c r="M835" s="330" t="s">
        <v>5629</v>
      </c>
      <c r="N835" s="330" t="s">
        <v>12</v>
      </c>
      <c r="O835" s="395"/>
      <c r="P835" s="333">
        <v>6347238</v>
      </c>
      <c r="Q835" s="330" t="s">
        <v>1660</v>
      </c>
      <c r="R835" s="562">
        <v>0</v>
      </c>
      <c r="S835" s="333">
        <v>0</v>
      </c>
      <c r="T835" s="333">
        <v>-183230</v>
      </c>
      <c r="U835" s="333">
        <f t="shared" si="123"/>
        <v>-183230</v>
      </c>
      <c r="V835" s="333">
        <v>183230</v>
      </c>
      <c r="W835" s="333">
        <v>0</v>
      </c>
      <c r="X835" s="333">
        <v>0</v>
      </c>
      <c r="Y835" s="333">
        <v>0</v>
      </c>
      <c r="Z835" s="333">
        <v>0</v>
      </c>
      <c r="AA835" s="333">
        <v>0</v>
      </c>
      <c r="AB835" s="333">
        <v>0</v>
      </c>
      <c r="AC835" s="333">
        <v>0</v>
      </c>
      <c r="AD835" s="333">
        <v>0</v>
      </c>
      <c r="AE835" s="333"/>
      <c r="AF835" s="333"/>
      <c r="AG835" s="333">
        <f t="shared" si="124"/>
        <v>0</v>
      </c>
      <c r="AH835" s="330"/>
      <c r="AI835" s="330">
        <v>0</v>
      </c>
      <c r="AJ835" s="396">
        <f t="shared" si="125"/>
        <v>0</v>
      </c>
      <c r="AK835" s="563"/>
      <c r="AL835" s="285">
        <f t="shared" si="127"/>
        <v>0</v>
      </c>
      <c r="AM835" s="286"/>
      <c r="AO835" s="330" t="s">
        <v>5627</v>
      </c>
    </row>
    <row r="836" spans="1:41">
      <c r="A836" s="587">
        <f t="shared" si="126"/>
        <v>833</v>
      </c>
      <c r="B836" s="330" t="s">
        <v>1643</v>
      </c>
      <c r="C836" s="330" t="s">
        <v>5499</v>
      </c>
      <c r="D836" s="330" t="s">
        <v>1677</v>
      </c>
      <c r="E836" s="330" t="s">
        <v>2002</v>
      </c>
      <c r="F836" s="330" t="s">
        <v>1647</v>
      </c>
      <c r="G836" s="562">
        <v>1114</v>
      </c>
      <c r="H836" s="562">
        <v>683.3</v>
      </c>
      <c r="I836" s="562">
        <v>795.57</v>
      </c>
      <c r="J836" s="561" t="s">
        <v>1810</v>
      </c>
      <c r="K836" s="330" t="s">
        <v>5630</v>
      </c>
      <c r="L836" s="330" t="s">
        <v>5631</v>
      </c>
      <c r="M836" s="330" t="s">
        <v>5632</v>
      </c>
      <c r="N836" s="330" t="s">
        <v>12</v>
      </c>
      <c r="O836" s="395"/>
      <c r="P836" s="333">
        <v>7991100</v>
      </c>
      <c r="Q836" s="330" t="s">
        <v>1660</v>
      </c>
      <c r="R836" s="562">
        <v>0</v>
      </c>
      <c r="S836" s="333">
        <v>0</v>
      </c>
      <c r="T836" s="333">
        <v>0</v>
      </c>
      <c r="U836" s="333">
        <f t="shared" ref="U836:U899" si="136">SUM(R836:T836)</f>
        <v>0</v>
      </c>
      <c r="V836" s="333">
        <v>0</v>
      </c>
      <c r="W836" s="333">
        <v>0</v>
      </c>
      <c r="X836" s="333">
        <v>0</v>
      </c>
      <c r="Y836" s="333">
        <v>0</v>
      </c>
      <c r="Z836" s="333">
        <v>0</v>
      </c>
      <c r="AA836" s="333">
        <v>0</v>
      </c>
      <c r="AB836" s="333">
        <v>0</v>
      </c>
      <c r="AC836" s="333">
        <v>0</v>
      </c>
      <c r="AD836" s="333">
        <v>0</v>
      </c>
      <c r="AE836" s="333"/>
      <c r="AF836" s="333"/>
      <c r="AG836" s="333">
        <f t="shared" ref="AG836:AG899" si="137">SUM(U836:AF836)</f>
        <v>0</v>
      </c>
      <c r="AH836" s="330"/>
      <c r="AI836" s="330">
        <v>0</v>
      </c>
      <c r="AJ836" s="396">
        <f t="shared" si="125"/>
        <v>0</v>
      </c>
      <c r="AK836" s="563"/>
      <c r="AL836" s="285">
        <f t="shared" si="127"/>
        <v>0</v>
      </c>
      <c r="AM836" s="286"/>
      <c r="AO836" s="330" t="s">
        <v>5630</v>
      </c>
    </row>
    <row r="837" spans="1:41">
      <c r="A837" s="587">
        <f t="shared" si="126"/>
        <v>834</v>
      </c>
      <c r="B837" s="330" t="s">
        <v>1643</v>
      </c>
      <c r="C837" s="330" t="s">
        <v>5633</v>
      </c>
      <c r="D837" s="330" t="s">
        <v>1662</v>
      </c>
      <c r="E837" s="330" t="s">
        <v>2195</v>
      </c>
      <c r="F837" s="330" t="s">
        <v>1671</v>
      </c>
      <c r="G837" s="562">
        <v>1498</v>
      </c>
      <c r="H837" s="562">
        <v>954.87</v>
      </c>
      <c r="I837" s="562">
        <v>1069.73</v>
      </c>
      <c r="J837" s="561" t="s">
        <v>1648</v>
      </c>
      <c r="K837" s="330" t="s">
        <v>5634</v>
      </c>
      <c r="L837" s="330" t="s">
        <v>5635</v>
      </c>
      <c r="M837" s="330" t="s">
        <v>5636</v>
      </c>
      <c r="N837" s="330" t="s">
        <v>5637</v>
      </c>
      <c r="O837" s="395">
        <v>45435</v>
      </c>
      <c r="P837" s="333">
        <v>8581345</v>
      </c>
      <c r="Q837" s="330" t="s">
        <v>1653</v>
      </c>
      <c r="R837" s="562">
        <v>0</v>
      </c>
      <c r="S837" s="333">
        <v>0</v>
      </c>
      <c r="T837" s="333">
        <v>-2480009.2700000005</v>
      </c>
      <c r="U837" s="333">
        <f t="shared" si="136"/>
        <v>-2480009.2700000005</v>
      </c>
      <c r="V837" s="333">
        <v>-180208</v>
      </c>
      <c r="W837" s="333">
        <v>0</v>
      </c>
      <c r="X837" s="333">
        <v>0</v>
      </c>
      <c r="Y837" s="333">
        <v>0</v>
      </c>
      <c r="Z837" s="333">
        <v>0</v>
      </c>
      <c r="AA837" s="333">
        <v>0</v>
      </c>
      <c r="AB837" s="333">
        <v>0</v>
      </c>
      <c r="AC837" s="333">
        <v>0</v>
      </c>
      <c r="AD837" s="333">
        <v>0</v>
      </c>
      <c r="AE837" s="333"/>
      <c r="AF837" s="333"/>
      <c r="AG837" s="333">
        <f t="shared" si="137"/>
        <v>-2660217.2700000005</v>
      </c>
      <c r="AH837" s="330"/>
      <c r="AI837" s="330">
        <v>0</v>
      </c>
      <c r="AJ837" s="396">
        <f t="shared" ref="AJ837:AJ900" si="138">SUM(U837:AE837)</f>
        <v>-2660217.2700000005</v>
      </c>
      <c r="AK837" s="563"/>
      <c r="AL837" s="285">
        <f t="shared" si="127"/>
        <v>0</v>
      </c>
      <c r="AM837" s="286"/>
      <c r="AO837" s="330" t="s">
        <v>5634</v>
      </c>
    </row>
    <row r="838" spans="1:41">
      <c r="A838" s="587">
        <f t="shared" ref="A838:A901" si="139">A837+1</f>
        <v>835</v>
      </c>
      <c r="B838" s="330" t="s">
        <v>1643</v>
      </c>
      <c r="C838" s="330" t="s">
        <v>5638</v>
      </c>
      <c r="D838" s="330" t="s">
        <v>1704</v>
      </c>
      <c r="E838" s="330" t="s">
        <v>1984</v>
      </c>
      <c r="F838" s="330" t="s">
        <v>1647</v>
      </c>
      <c r="G838" s="562">
        <v>1012</v>
      </c>
      <c r="H838" s="562">
        <v>653.59</v>
      </c>
      <c r="I838" s="562">
        <v>723.02</v>
      </c>
      <c r="J838" s="561" t="s">
        <v>1648</v>
      </c>
      <c r="K838" s="330" t="s">
        <v>5639</v>
      </c>
      <c r="L838" s="330" t="s">
        <v>5640</v>
      </c>
      <c r="M838" s="330" t="s">
        <v>5641</v>
      </c>
      <c r="N838" s="330" t="s">
        <v>5642</v>
      </c>
      <c r="O838" s="395">
        <v>45464</v>
      </c>
      <c r="P838" s="333">
        <v>5767809</v>
      </c>
      <c r="Q838" s="330" t="s">
        <v>1653</v>
      </c>
      <c r="R838" s="562">
        <v>0</v>
      </c>
      <c r="S838" s="333">
        <v>0</v>
      </c>
      <c r="T838" s="333">
        <v>-1788019.86</v>
      </c>
      <c r="U838" s="333">
        <f t="shared" si="136"/>
        <v>-1788019.86</v>
      </c>
      <c r="V838" s="333">
        <v>0</v>
      </c>
      <c r="W838" s="333">
        <v>0</v>
      </c>
      <c r="X838" s="333">
        <v>0</v>
      </c>
      <c r="Y838" s="333">
        <v>0</v>
      </c>
      <c r="Z838" s="333">
        <v>0</v>
      </c>
      <c r="AA838" s="333">
        <v>0</v>
      </c>
      <c r="AB838" s="333">
        <v>0</v>
      </c>
      <c r="AC838" s="333">
        <v>0</v>
      </c>
      <c r="AD838" s="333">
        <v>0</v>
      </c>
      <c r="AE838" s="333"/>
      <c r="AF838" s="333"/>
      <c r="AG838" s="333">
        <f t="shared" si="137"/>
        <v>-1788019.86</v>
      </c>
      <c r="AH838" s="330"/>
      <c r="AI838" s="330">
        <v>0</v>
      </c>
      <c r="AJ838" s="396">
        <f t="shared" si="138"/>
        <v>-1788019.86</v>
      </c>
      <c r="AK838" s="563"/>
      <c r="AL838" s="285">
        <f t="shared" ref="AL838:AL901" si="140">+AC838-AI838</f>
        <v>0</v>
      </c>
      <c r="AM838" s="286"/>
      <c r="AO838" s="330" t="s">
        <v>5639</v>
      </c>
    </row>
    <row r="839" spans="1:41">
      <c r="A839" s="587">
        <f t="shared" si="139"/>
        <v>836</v>
      </c>
      <c r="B839" s="330" t="s">
        <v>1643</v>
      </c>
      <c r="C839" s="330" t="s">
        <v>5643</v>
      </c>
      <c r="D839" s="330" t="s">
        <v>1669</v>
      </c>
      <c r="E839" s="330" t="s">
        <v>2600</v>
      </c>
      <c r="F839" s="330" t="s">
        <v>1671</v>
      </c>
      <c r="G839" s="562">
        <v>1787</v>
      </c>
      <c r="H839" s="562">
        <v>1138.51</v>
      </c>
      <c r="I839" s="562">
        <v>1276.29</v>
      </c>
      <c r="J839" s="561" t="s">
        <v>1648</v>
      </c>
      <c r="K839" s="330" t="s">
        <v>5644</v>
      </c>
      <c r="L839" s="330" t="s">
        <v>5645</v>
      </c>
      <c r="M839" s="330" t="s">
        <v>5646</v>
      </c>
      <c r="N839" s="330" t="s">
        <v>5647</v>
      </c>
      <c r="O839" s="395">
        <v>45455</v>
      </c>
      <c r="P839" s="333">
        <v>10903069</v>
      </c>
      <c r="Q839" s="330" t="s">
        <v>1653</v>
      </c>
      <c r="R839" s="562">
        <v>0</v>
      </c>
      <c r="S839" s="333">
        <v>0</v>
      </c>
      <c r="T839" s="333">
        <v>-3018537.6499999994</v>
      </c>
      <c r="U839" s="333">
        <f t="shared" si="136"/>
        <v>-3018537.6499999994</v>
      </c>
      <c r="V839" s="333">
        <v>-250000</v>
      </c>
      <c r="W839" s="333">
        <v>0</v>
      </c>
      <c r="X839" s="333">
        <v>0</v>
      </c>
      <c r="Y839" s="333">
        <v>0</v>
      </c>
      <c r="Z839" s="333">
        <v>0</v>
      </c>
      <c r="AA839" s="333">
        <v>0</v>
      </c>
      <c r="AB839" s="333">
        <v>0</v>
      </c>
      <c r="AC839" s="333">
        <v>0</v>
      </c>
      <c r="AD839" s="333">
        <v>0</v>
      </c>
      <c r="AE839" s="333"/>
      <c r="AF839" s="333"/>
      <c r="AG839" s="333">
        <f t="shared" si="137"/>
        <v>-3268537.6499999994</v>
      </c>
      <c r="AH839" s="330"/>
      <c r="AI839" s="330">
        <v>0</v>
      </c>
      <c r="AJ839" s="396">
        <f t="shared" si="138"/>
        <v>-3268537.6499999994</v>
      </c>
      <c r="AK839" s="563"/>
      <c r="AL839" s="285">
        <f t="shared" si="140"/>
        <v>0</v>
      </c>
      <c r="AM839" s="286"/>
      <c r="AO839" s="330" t="s">
        <v>5644</v>
      </c>
    </row>
    <row r="840" spans="1:41">
      <c r="A840" s="587">
        <f t="shared" si="139"/>
        <v>837</v>
      </c>
      <c r="B840" s="330" t="s">
        <v>1643</v>
      </c>
      <c r="C840" s="330" t="s">
        <v>5648</v>
      </c>
      <c r="D840" s="330" t="s">
        <v>1645</v>
      </c>
      <c r="E840" s="330" t="s">
        <v>2044</v>
      </c>
      <c r="F840" s="330" t="s">
        <v>1647</v>
      </c>
      <c r="G840" s="562">
        <v>1012</v>
      </c>
      <c r="H840" s="562">
        <v>653.59</v>
      </c>
      <c r="I840" s="562">
        <v>723.02</v>
      </c>
      <c r="J840" s="561" t="s">
        <v>1648</v>
      </c>
      <c r="K840" s="330" t="s">
        <v>5649</v>
      </c>
      <c r="L840" s="330" t="s">
        <v>5650</v>
      </c>
      <c r="M840" s="330" t="s">
        <v>5651</v>
      </c>
      <c r="N840" s="330" t="s">
        <v>5652</v>
      </c>
      <c r="O840" s="395">
        <v>45443</v>
      </c>
      <c r="P840" s="333">
        <v>5687428</v>
      </c>
      <c r="Q840" s="330" t="s">
        <v>1653</v>
      </c>
      <c r="R840" s="562">
        <v>0</v>
      </c>
      <c r="S840" s="333">
        <v>0</v>
      </c>
      <c r="T840" s="333">
        <v>-1748816.5800000003</v>
      </c>
      <c r="U840" s="333">
        <f t="shared" si="136"/>
        <v>-1748816.5800000003</v>
      </c>
      <c r="V840" s="333">
        <v>0</v>
      </c>
      <c r="W840" s="333">
        <v>0</v>
      </c>
      <c r="X840" s="333">
        <v>0</v>
      </c>
      <c r="Y840" s="333">
        <v>0</v>
      </c>
      <c r="Z840" s="333">
        <v>0</v>
      </c>
      <c r="AA840" s="333">
        <v>0</v>
      </c>
      <c r="AB840" s="333">
        <v>0</v>
      </c>
      <c r="AC840" s="333">
        <v>-14284</v>
      </c>
      <c r="AD840" s="333">
        <v>0</v>
      </c>
      <c r="AE840" s="333"/>
      <c r="AF840" s="333"/>
      <c r="AG840" s="333">
        <f t="shared" si="137"/>
        <v>-1763100.5800000003</v>
      </c>
      <c r="AH840" s="330"/>
      <c r="AI840" s="330">
        <v>14284</v>
      </c>
      <c r="AJ840" s="396">
        <f t="shared" si="138"/>
        <v>-1763100.5800000003</v>
      </c>
      <c r="AK840" s="563"/>
      <c r="AL840" s="285">
        <f>+AC840+AI840</f>
        <v>0</v>
      </c>
      <c r="AM840" s="286"/>
      <c r="AO840" s="330" t="s">
        <v>5649</v>
      </c>
    </row>
    <row r="841" spans="1:41">
      <c r="A841" s="587">
        <f t="shared" si="139"/>
        <v>838</v>
      </c>
      <c r="B841" s="330" t="s">
        <v>1643</v>
      </c>
      <c r="C841" s="330" t="s">
        <v>3159</v>
      </c>
      <c r="D841" s="330" t="s">
        <v>1677</v>
      </c>
      <c r="E841" s="330" t="s">
        <v>2264</v>
      </c>
      <c r="F841" s="330" t="s">
        <v>1647</v>
      </c>
      <c r="G841" s="562">
        <v>1114</v>
      </c>
      <c r="H841" s="562">
        <v>683.3</v>
      </c>
      <c r="I841" s="562">
        <v>795.57</v>
      </c>
      <c r="J841" s="561" t="s">
        <v>1648</v>
      </c>
      <c r="K841" s="330" t="s">
        <v>5653</v>
      </c>
      <c r="L841" s="330" t="s">
        <v>5654</v>
      </c>
      <c r="M841" s="330" t="s">
        <v>5655</v>
      </c>
      <c r="N841" s="330" t="s">
        <v>12</v>
      </c>
      <c r="O841" s="395"/>
      <c r="P841" s="333">
        <v>7071429</v>
      </c>
      <c r="Q841" s="330" t="s">
        <v>1660</v>
      </c>
      <c r="R841" s="562">
        <v>0</v>
      </c>
      <c r="S841" s="333">
        <v>0</v>
      </c>
      <c r="T841" s="333">
        <v>0</v>
      </c>
      <c r="U841" s="333">
        <f t="shared" si="136"/>
        <v>0</v>
      </c>
      <c r="V841" s="333">
        <v>0</v>
      </c>
      <c r="W841" s="333">
        <v>0</v>
      </c>
      <c r="X841" s="333">
        <v>0</v>
      </c>
      <c r="Y841" s="333">
        <v>0</v>
      </c>
      <c r="Z841" s="333">
        <v>0</v>
      </c>
      <c r="AA841" s="333">
        <v>0</v>
      </c>
      <c r="AB841" s="333">
        <v>0</v>
      </c>
      <c r="AC841" s="333">
        <v>0</v>
      </c>
      <c r="AD841" s="333">
        <v>0</v>
      </c>
      <c r="AE841" s="333"/>
      <c r="AF841" s="333"/>
      <c r="AG841" s="333">
        <f t="shared" si="137"/>
        <v>0</v>
      </c>
      <c r="AH841" s="330"/>
      <c r="AI841" s="330">
        <v>0</v>
      </c>
      <c r="AJ841" s="396">
        <f t="shared" si="138"/>
        <v>0</v>
      </c>
      <c r="AK841" s="563"/>
      <c r="AL841" s="285">
        <f t="shared" si="140"/>
        <v>0</v>
      </c>
      <c r="AM841" s="286"/>
      <c r="AO841" s="330" t="s">
        <v>5653</v>
      </c>
    </row>
    <row r="842" spans="1:41">
      <c r="A842" s="587">
        <f t="shared" si="139"/>
        <v>839</v>
      </c>
      <c r="B842" s="330" t="s">
        <v>1643</v>
      </c>
      <c r="C842" s="330" t="s">
        <v>5602</v>
      </c>
      <c r="D842" s="330" t="s">
        <v>1662</v>
      </c>
      <c r="E842" s="330" t="s">
        <v>2625</v>
      </c>
      <c r="F842" s="330" t="s">
        <v>1647</v>
      </c>
      <c r="G842" s="562">
        <v>1012</v>
      </c>
      <c r="H842" s="562">
        <v>653.59</v>
      </c>
      <c r="I842" s="562">
        <v>723.02</v>
      </c>
      <c r="J842" s="561" t="s">
        <v>1648</v>
      </c>
      <c r="K842" s="330" t="s">
        <v>5656</v>
      </c>
      <c r="L842" s="330" t="s">
        <v>5657</v>
      </c>
      <c r="M842" s="330" t="s">
        <v>5658</v>
      </c>
      <c r="N842" s="330" t="s">
        <v>5606</v>
      </c>
      <c r="O842" s="395">
        <v>45467</v>
      </c>
      <c r="P842" s="333">
        <v>5776762</v>
      </c>
      <c r="Q842" s="330" t="s">
        <v>1660</v>
      </c>
      <c r="R842" s="562">
        <v>0</v>
      </c>
      <c r="S842" s="333">
        <v>0</v>
      </c>
      <c r="T842" s="333">
        <v>0</v>
      </c>
      <c r="U842" s="333">
        <f t="shared" si="136"/>
        <v>0</v>
      </c>
      <c r="V842" s="333">
        <v>0</v>
      </c>
      <c r="W842" s="333">
        <v>0</v>
      </c>
      <c r="X842" s="333">
        <v>0</v>
      </c>
      <c r="Y842" s="333">
        <v>0</v>
      </c>
      <c r="Z842" s="333">
        <v>0</v>
      </c>
      <c r="AA842" s="333">
        <v>0</v>
      </c>
      <c r="AB842" s="333">
        <v>0</v>
      </c>
      <c r="AC842" s="333">
        <v>0</v>
      </c>
      <c r="AD842" s="333">
        <v>0</v>
      </c>
      <c r="AE842" s="333"/>
      <c r="AF842" s="333"/>
      <c r="AG842" s="333">
        <f t="shared" si="137"/>
        <v>0</v>
      </c>
      <c r="AH842" s="330"/>
      <c r="AI842" s="330">
        <v>0</v>
      </c>
      <c r="AJ842" s="396">
        <f t="shared" si="138"/>
        <v>0</v>
      </c>
      <c r="AK842" s="563"/>
      <c r="AL842" s="285">
        <f t="shared" si="140"/>
        <v>0</v>
      </c>
      <c r="AM842" s="286"/>
      <c r="AO842" s="330" t="s">
        <v>5656</v>
      </c>
    </row>
    <row r="843" spans="1:41">
      <c r="A843" s="587">
        <f t="shared" si="139"/>
        <v>840</v>
      </c>
      <c r="B843" s="330" t="s">
        <v>1643</v>
      </c>
      <c r="C843" s="330" t="s">
        <v>5602</v>
      </c>
      <c r="D843" s="330" t="s">
        <v>1662</v>
      </c>
      <c r="E843" s="330" t="s">
        <v>2625</v>
      </c>
      <c r="F843" s="330" t="s">
        <v>1647</v>
      </c>
      <c r="G843" s="562">
        <v>1012</v>
      </c>
      <c r="H843" s="562">
        <v>653.59</v>
      </c>
      <c r="I843" s="562">
        <v>723.02</v>
      </c>
      <c r="J843" s="561" t="s">
        <v>1648</v>
      </c>
      <c r="K843" s="330" t="s">
        <v>5659</v>
      </c>
      <c r="L843" s="330" t="s">
        <v>5657</v>
      </c>
      <c r="M843" s="330" t="s">
        <v>5658</v>
      </c>
      <c r="N843" s="330" t="s">
        <v>5606</v>
      </c>
      <c r="O843" s="395">
        <v>45832</v>
      </c>
      <c r="P843" s="333">
        <v>5776762</v>
      </c>
      <c r="Q843" s="330" t="s">
        <v>1653</v>
      </c>
      <c r="R843" s="562">
        <v>0</v>
      </c>
      <c r="S843" s="333">
        <v>0</v>
      </c>
      <c r="T843" s="333">
        <v>-116348.55999999982</v>
      </c>
      <c r="U843" s="333">
        <f t="shared" si="136"/>
        <v>-116348.55999999982</v>
      </c>
      <c r="V843" s="333">
        <v>-1636680</v>
      </c>
      <c r="W843" s="333">
        <v>0</v>
      </c>
      <c r="X843" s="333">
        <v>0</v>
      </c>
      <c r="Y843" s="333">
        <v>0</v>
      </c>
      <c r="Z843" s="333">
        <v>0</v>
      </c>
      <c r="AA843" s="333">
        <v>0</v>
      </c>
      <c r="AB843" s="333">
        <v>0</v>
      </c>
      <c r="AC843" s="333">
        <v>0</v>
      </c>
      <c r="AD843" s="333">
        <v>0</v>
      </c>
      <c r="AE843" s="333"/>
      <c r="AF843" s="333"/>
      <c r="AG843" s="333">
        <f t="shared" si="137"/>
        <v>-1753028.5599999998</v>
      </c>
      <c r="AH843" s="330"/>
      <c r="AI843" s="330">
        <v>0</v>
      </c>
      <c r="AJ843" s="396">
        <f t="shared" si="138"/>
        <v>-1753028.5599999998</v>
      </c>
      <c r="AK843" s="563"/>
      <c r="AL843" s="285">
        <f t="shared" si="140"/>
        <v>0</v>
      </c>
      <c r="AM843" s="286"/>
      <c r="AO843" s="330" t="s">
        <v>5659</v>
      </c>
    </row>
    <row r="844" spans="1:41">
      <c r="A844" s="587">
        <f t="shared" si="139"/>
        <v>841</v>
      </c>
      <c r="B844" s="330" t="s">
        <v>1643</v>
      </c>
      <c r="C844" s="330" t="s">
        <v>5660</v>
      </c>
      <c r="D844" s="330" t="s">
        <v>1746</v>
      </c>
      <c r="E844" s="330" t="s">
        <v>2289</v>
      </c>
      <c r="F844" s="330" t="s">
        <v>1647</v>
      </c>
      <c r="G844" s="562">
        <v>1012</v>
      </c>
      <c r="H844" s="562">
        <v>653.59</v>
      </c>
      <c r="I844" s="562">
        <v>723.02</v>
      </c>
      <c r="J844" s="561" t="s">
        <v>1648</v>
      </c>
      <c r="K844" s="330" t="s">
        <v>5661</v>
      </c>
      <c r="L844" s="330" t="s">
        <v>5662</v>
      </c>
      <c r="M844" s="330" t="s">
        <v>5663</v>
      </c>
      <c r="N844" s="330" t="s">
        <v>5664</v>
      </c>
      <c r="O844" s="395">
        <v>45428</v>
      </c>
      <c r="P844" s="333">
        <v>5714010</v>
      </c>
      <c r="Q844" s="330" t="s">
        <v>1653</v>
      </c>
      <c r="R844" s="562">
        <v>0</v>
      </c>
      <c r="S844" s="333">
        <v>0</v>
      </c>
      <c r="T844" s="333">
        <v>-1612772.8400000008</v>
      </c>
      <c r="U844" s="333">
        <f t="shared" si="136"/>
        <v>-1612772.8400000008</v>
      </c>
      <c r="V844" s="333">
        <v>-99000</v>
      </c>
      <c r="W844" s="333">
        <v>0</v>
      </c>
      <c r="X844" s="333">
        <v>0</v>
      </c>
      <c r="Y844" s="333">
        <v>0</v>
      </c>
      <c r="Z844" s="333">
        <v>0</v>
      </c>
      <c r="AA844" s="333">
        <v>0</v>
      </c>
      <c r="AB844" s="333">
        <v>0</v>
      </c>
      <c r="AC844" s="333">
        <v>0</v>
      </c>
      <c r="AD844" s="333">
        <v>0</v>
      </c>
      <c r="AE844" s="333"/>
      <c r="AF844" s="333"/>
      <c r="AG844" s="333">
        <f t="shared" si="137"/>
        <v>-1711772.8400000008</v>
      </c>
      <c r="AH844" s="330"/>
      <c r="AI844" s="330">
        <v>0</v>
      </c>
      <c r="AJ844" s="396">
        <f t="shared" si="138"/>
        <v>-1711772.8400000008</v>
      </c>
      <c r="AK844" s="563"/>
      <c r="AL844" s="285">
        <f t="shared" si="140"/>
        <v>0</v>
      </c>
      <c r="AM844" s="286"/>
      <c r="AO844" s="330" t="s">
        <v>5661</v>
      </c>
    </row>
    <row r="845" spans="1:41">
      <c r="A845" s="587">
        <f t="shared" si="139"/>
        <v>842</v>
      </c>
      <c r="B845" s="330" t="s">
        <v>1643</v>
      </c>
      <c r="C845" s="330" t="s">
        <v>5665</v>
      </c>
      <c r="D845" s="330" t="s">
        <v>1746</v>
      </c>
      <c r="E845" s="330" t="s">
        <v>1996</v>
      </c>
      <c r="F845" s="330" t="s">
        <v>1647</v>
      </c>
      <c r="G845" s="562">
        <v>1114</v>
      </c>
      <c r="H845" s="562">
        <v>683.3</v>
      </c>
      <c r="I845" s="562">
        <v>795.57</v>
      </c>
      <c r="J845" s="561" t="s">
        <v>1648</v>
      </c>
      <c r="K845" s="330" t="s">
        <v>5666</v>
      </c>
      <c r="L845" s="330" t="s">
        <v>5667</v>
      </c>
      <c r="M845" s="330" t="s">
        <v>5668</v>
      </c>
      <c r="N845" s="330" t="s">
        <v>5669</v>
      </c>
      <c r="O845" s="395">
        <v>45468</v>
      </c>
      <c r="P845" s="333">
        <v>6401715</v>
      </c>
      <c r="Q845" s="330" t="s">
        <v>1653</v>
      </c>
      <c r="R845" s="562">
        <v>0</v>
      </c>
      <c r="S845" s="333">
        <v>0</v>
      </c>
      <c r="T845" s="333">
        <v>-1920515.2599999998</v>
      </c>
      <c r="U845" s="333">
        <f t="shared" si="136"/>
        <v>-1920515.2599999998</v>
      </c>
      <c r="V845" s="333">
        <v>0</v>
      </c>
      <c r="W845" s="333">
        <v>0</v>
      </c>
      <c r="X845" s="333">
        <v>0</v>
      </c>
      <c r="Y845" s="333">
        <v>0</v>
      </c>
      <c r="Z845" s="333">
        <v>0</v>
      </c>
      <c r="AA845" s="333">
        <v>0</v>
      </c>
      <c r="AB845" s="333">
        <v>0</v>
      </c>
      <c r="AC845" s="333">
        <v>0</v>
      </c>
      <c r="AD845" s="333">
        <v>0</v>
      </c>
      <c r="AE845" s="333"/>
      <c r="AF845" s="333"/>
      <c r="AG845" s="333">
        <f t="shared" si="137"/>
        <v>-1920515.2599999998</v>
      </c>
      <c r="AH845" s="330"/>
      <c r="AI845" s="330">
        <v>0</v>
      </c>
      <c r="AJ845" s="396">
        <f t="shared" si="138"/>
        <v>-1920515.2599999998</v>
      </c>
      <c r="AK845" s="563"/>
      <c r="AL845" s="285">
        <f t="shared" si="140"/>
        <v>0</v>
      </c>
      <c r="AM845" s="286"/>
      <c r="AO845" s="330" t="s">
        <v>5666</v>
      </c>
    </row>
    <row r="846" spans="1:41">
      <c r="A846" s="587">
        <f t="shared" si="139"/>
        <v>843</v>
      </c>
      <c r="B846" s="330" t="s">
        <v>1643</v>
      </c>
      <c r="C846" s="330" t="s">
        <v>5670</v>
      </c>
      <c r="D846" s="330" t="s">
        <v>1662</v>
      </c>
      <c r="E846" s="330" t="s">
        <v>2536</v>
      </c>
      <c r="F846" s="330" t="s">
        <v>1786</v>
      </c>
      <c r="G846" s="562">
        <v>1265</v>
      </c>
      <c r="H846" s="562">
        <v>813.33</v>
      </c>
      <c r="I846" s="562">
        <v>903.31</v>
      </c>
      <c r="J846" s="561" t="s">
        <v>1648</v>
      </c>
      <c r="K846" s="330" t="s">
        <v>5671</v>
      </c>
      <c r="L846" s="330" t="s">
        <v>5672</v>
      </c>
      <c r="M846" s="330" t="s">
        <v>5673</v>
      </c>
      <c r="N846" s="330" t="s">
        <v>5674</v>
      </c>
      <c r="O846" s="395">
        <v>45496</v>
      </c>
      <c r="P846" s="333">
        <v>7473143</v>
      </c>
      <c r="Q846" s="330" t="s">
        <v>1653</v>
      </c>
      <c r="R846" s="562">
        <v>0</v>
      </c>
      <c r="S846" s="333">
        <v>0</v>
      </c>
      <c r="T846" s="333">
        <v>-2294255.2699999996</v>
      </c>
      <c r="U846" s="333">
        <f t="shared" si="136"/>
        <v>-2294255.2699999996</v>
      </c>
      <c r="V846" s="333">
        <v>0</v>
      </c>
      <c r="W846" s="333">
        <v>0</v>
      </c>
      <c r="X846" s="333">
        <v>0</v>
      </c>
      <c r="Y846" s="333">
        <v>0</v>
      </c>
      <c r="Z846" s="333">
        <v>0</v>
      </c>
      <c r="AA846" s="333">
        <v>0</v>
      </c>
      <c r="AB846" s="333">
        <v>0</v>
      </c>
      <c r="AC846" s="333">
        <v>0</v>
      </c>
      <c r="AD846" s="333">
        <v>0</v>
      </c>
      <c r="AE846" s="333"/>
      <c r="AF846" s="333"/>
      <c r="AG846" s="333">
        <f t="shared" si="137"/>
        <v>-2294255.2699999996</v>
      </c>
      <c r="AH846" s="330"/>
      <c r="AI846" s="330">
        <v>0</v>
      </c>
      <c r="AJ846" s="396">
        <f t="shared" si="138"/>
        <v>-2294255.2699999996</v>
      </c>
      <c r="AK846" s="563"/>
      <c r="AL846" s="285">
        <f t="shared" si="140"/>
        <v>0</v>
      </c>
      <c r="AM846" s="286"/>
      <c r="AO846" s="330" t="s">
        <v>5671</v>
      </c>
    </row>
    <row r="847" spans="1:41">
      <c r="A847" s="587">
        <f t="shared" si="139"/>
        <v>844</v>
      </c>
      <c r="B847" s="330" t="s">
        <v>1643</v>
      </c>
      <c r="C847" s="330" t="s">
        <v>5675</v>
      </c>
      <c r="D847" s="330" t="s">
        <v>1677</v>
      </c>
      <c r="E847" s="330" t="s">
        <v>1880</v>
      </c>
      <c r="F847" s="330" t="s">
        <v>1647</v>
      </c>
      <c r="G847" s="562">
        <v>1114</v>
      </c>
      <c r="H847" s="562">
        <v>683.3</v>
      </c>
      <c r="I847" s="562">
        <v>795.57</v>
      </c>
      <c r="J847" s="561" t="s">
        <v>1648</v>
      </c>
      <c r="K847" s="330" t="s">
        <v>5676</v>
      </c>
      <c r="L847" s="330" t="s">
        <v>5677</v>
      </c>
      <c r="M847" s="330" t="s">
        <v>5678</v>
      </c>
      <c r="N847" s="330" t="s">
        <v>12</v>
      </c>
      <c r="O847" s="395"/>
      <c r="P847" s="333">
        <v>6892857</v>
      </c>
      <c r="Q847" s="330" t="s">
        <v>1653</v>
      </c>
      <c r="R847" s="562">
        <v>0</v>
      </c>
      <c r="S847" s="333">
        <v>0</v>
      </c>
      <c r="T847" s="333">
        <v>-1208802.0000000002</v>
      </c>
      <c r="U847" s="333">
        <f t="shared" si="136"/>
        <v>-1208802.0000000002</v>
      </c>
      <c r="V847" s="333">
        <v>0</v>
      </c>
      <c r="W847" s="333">
        <v>0</v>
      </c>
      <c r="X847" s="333">
        <v>0</v>
      </c>
      <c r="Y847" s="333">
        <v>0</v>
      </c>
      <c r="Z847" s="333">
        <v>0</v>
      </c>
      <c r="AA847" s="333">
        <v>0</v>
      </c>
      <c r="AB847" s="333">
        <v>0</v>
      </c>
      <c r="AC847" s="333">
        <v>-28449.41</v>
      </c>
      <c r="AD847" s="333">
        <v>0</v>
      </c>
      <c r="AE847" s="333"/>
      <c r="AF847" s="333"/>
      <c r="AG847" s="333">
        <f t="shared" si="137"/>
        <v>-1237251.4100000001</v>
      </c>
      <c r="AH847" s="330"/>
      <c r="AI847" s="330">
        <v>28449</v>
      </c>
      <c r="AJ847" s="396">
        <f t="shared" si="138"/>
        <v>-1237251.4100000001</v>
      </c>
      <c r="AK847" s="563"/>
      <c r="AL847" s="285">
        <f t="shared" ref="AL847:AL848" si="141">+AC847+AI847</f>
        <v>-0.40999999999985448</v>
      </c>
      <c r="AM847" s="286"/>
      <c r="AO847" s="330" t="s">
        <v>5676</v>
      </c>
    </row>
    <row r="848" spans="1:41">
      <c r="A848" s="587">
        <f t="shared" si="139"/>
        <v>845</v>
      </c>
      <c r="B848" s="330" t="s">
        <v>1643</v>
      </c>
      <c r="C848" s="330" t="s">
        <v>5679</v>
      </c>
      <c r="D848" s="330" t="s">
        <v>1645</v>
      </c>
      <c r="E848" s="330" t="s">
        <v>2873</v>
      </c>
      <c r="F848" s="330" t="s">
        <v>1647</v>
      </c>
      <c r="G848" s="562">
        <v>1012</v>
      </c>
      <c r="H848" s="562">
        <v>653.59</v>
      </c>
      <c r="I848" s="562">
        <v>723.02</v>
      </c>
      <c r="J848" s="561" t="s">
        <v>1648</v>
      </c>
      <c r="K848" s="330" t="s">
        <v>5680</v>
      </c>
      <c r="L848" s="330" t="s">
        <v>5681</v>
      </c>
      <c r="M848" s="330" t="s">
        <v>5682</v>
      </c>
      <c r="N848" s="330" t="s">
        <v>5683</v>
      </c>
      <c r="O848" s="395">
        <v>45433</v>
      </c>
      <c r="P848" s="333">
        <v>5714010</v>
      </c>
      <c r="Q848" s="330" t="s">
        <v>1653</v>
      </c>
      <c r="R848" s="562">
        <v>0</v>
      </c>
      <c r="S848" s="333">
        <v>0</v>
      </c>
      <c r="T848" s="333">
        <v>-1764199.8400000003</v>
      </c>
      <c r="U848" s="333">
        <f t="shared" si="136"/>
        <v>-1764199.8400000003</v>
      </c>
      <c r="V848" s="333">
        <v>0</v>
      </c>
      <c r="W848" s="333">
        <v>0</v>
      </c>
      <c r="X848" s="333">
        <v>0</v>
      </c>
      <c r="Y848" s="333">
        <v>0</v>
      </c>
      <c r="Z848" s="333">
        <v>0</v>
      </c>
      <c r="AA848" s="333">
        <v>0</v>
      </c>
      <c r="AB848" s="333">
        <v>0</v>
      </c>
      <c r="AC848" s="333">
        <v>-7143</v>
      </c>
      <c r="AD848" s="333">
        <v>0</v>
      </c>
      <c r="AE848" s="333"/>
      <c r="AF848" s="333"/>
      <c r="AG848" s="333">
        <f t="shared" si="137"/>
        <v>-1771342.8400000003</v>
      </c>
      <c r="AH848" s="330"/>
      <c r="AI848" s="330">
        <v>7143</v>
      </c>
      <c r="AJ848" s="396">
        <f t="shared" si="138"/>
        <v>-1771342.8400000003</v>
      </c>
      <c r="AK848" s="563"/>
      <c r="AL848" s="285">
        <f t="shared" si="141"/>
        <v>0</v>
      </c>
      <c r="AM848" s="286"/>
      <c r="AO848" s="330" t="s">
        <v>5680</v>
      </c>
    </row>
    <row r="849" spans="1:41">
      <c r="A849" s="587">
        <f t="shared" si="139"/>
        <v>846</v>
      </c>
      <c r="B849" s="330" t="s">
        <v>1643</v>
      </c>
      <c r="C849" s="330" t="s">
        <v>5684</v>
      </c>
      <c r="D849" s="330" t="s">
        <v>1662</v>
      </c>
      <c r="E849" s="330" t="s">
        <v>2739</v>
      </c>
      <c r="F849" s="330" t="s">
        <v>1647</v>
      </c>
      <c r="G849" s="562">
        <v>1012</v>
      </c>
      <c r="H849" s="562">
        <v>653.59</v>
      </c>
      <c r="I849" s="562">
        <v>723.02</v>
      </c>
      <c r="J849" s="561" t="s">
        <v>1648</v>
      </c>
      <c r="K849" s="330" t="s">
        <v>5685</v>
      </c>
      <c r="L849" s="330" t="s">
        <v>5686</v>
      </c>
      <c r="M849" s="330" t="s">
        <v>5687</v>
      </c>
      <c r="N849" s="330" t="s">
        <v>5688</v>
      </c>
      <c r="O849" s="395">
        <v>45433</v>
      </c>
      <c r="P849" s="333">
        <v>5714010</v>
      </c>
      <c r="Q849" s="330" t="s">
        <v>1653</v>
      </c>
      <c r="R849" s="562">
        <v>0</v>
      </c>
      <c r="S849" s="333">
        <v>0</v>
      </c>
      <c r="T849" s="333">
        <v>-1134202.8399999999</v>
      </c>
      <c r="U849" s="333">
        <f t="shared" si="136"/>
        <v>-1134202.8399999999</v>
      </c>
      <c r="V849" s="333">
        <v>280000</v>
      </c>
      <c r="W849" s="333">
        <v>0</v>
      </c>
      <c r="X849" s="333">
        <v>0</v>
      </c>
      <c r="Y849" s="333">
        <v>0</v>
      </c>
      <c r="Z849" s="333">
        <v>0</v>
      </c>
      <c r="AA849" s="333">
        <v>-430000</v>
      </c>
      <c r="AB849" s="333">
        <v>0</v>
      </c>
      <c r="AC849" s="333">
        <v>0</v>
      </c>
      <c r="AD849" s="333">
        <v>0</v>
      </c>
      <c r="AE849" s="333"/>
      <c r="AF849" s="333"/>
      <c r="AG849" s="333">
        <f t="shared" si="137"/>
        <v>-1284202.8399999999</v>
      </c>
      <c r="AH849" s="330"/>
      <c r="AI849" s="330">
        <v>0</v>
      </c>
      <c r="AJ849" s="396">
        <f t="shared" si="138"/>
        <v>-1284202.8399999999</v>
      </c>
      <c r="AK849" s="563"/>
      <c r="AL849" s="285">
        <f t="shared" si="140"/>
        <v>0</v>
      </c>
      <c r="AM849" s="286"/>
      <c r="AO849" s="330" t="s">
        <v>5685</v>
      </c>
    </row>
    <row r="850" spans="1:41">
      <c r="A850" s="587">
        <f t="shared" si="139"/>
        <v>847</v>
      </c>
      <c r="B850" s="330" t="s">
        <v>1643</v>
      </c>
      <c r="C850" s="330" t="s">
        <v>5689</v>
      </c>
      <c r="D850" s="330" t="s">
        <v>1677</v>
      </c>
      <c r="E850" s="330" t="s">
        <v>1857</v>
      </c>
      <c r="F850" s="330" t="s">
        <v>1647</v>
      </c>
      <c r="G850" s="562">
        <v>1114</v>
      </c>
      <c r="H850" s="562">
        <v>683.3</v>
      </c>
      <c r="I850" s="562">
        <v>795.57</v>
      </c>
      <c r="J850" s="561" t="s">
        <v>1648</v>
      </c>
      <c r="K850" s="330" t="s">
        <v>5690</v>
      </c>
      <c r="L850" s="330" t="s">
        <v>5691</v>
      </c>
      <c r="M850" s="330" t="s">
        <v>5692</v>
      </c>
      <c r="N850" s="330" t="s">
        <v>12</v>
      </c>
      <c r="O850" s="395"/>
      <c r="P850" s="333">
        <v>6919619</v>
      </c>
      <c r="Q850" s="330" t="s">
        <v>1660</v>
      </c>
      <c r="R850" s="562">
        <v>0</v>
      </c>
      <c r="S850" s="333">
        <v>0</v>
      </c>
      <c r="T850" s="333">
        <v>-726750.48</v>
      </c>
      <c r="U850" s="333">
        <f t="shared" si="136"/>
        <v>-726750.48</v>
      </c>
      <c r="V850" s="333">
        <v>732368</v>
      </c>
      <c r="W850" s="333">
        <v>0</v>
      </c>
      <c r="X850" s="333">
        <v>0</v>
      </c>
      <c r="Y850" s="333">
        <v>0</v>
      </c>
      <c r="Z850" s="333">
        <v>0</v>
      </c>
      <c r="AA850" s="333">
        <v>0</v>
      </c>
      <c r="AB850" s="333">
        <v>0</v>
      </c>
      <c r="AC850" s="333">
        <v>-11235.02</v>
      </c>
      <c r="AD850" s="333">
        <v>0</v>
      </c>
      <c r="AE850" s="333"/>
      <c r="AF850" s="333"/>
      <c r="AG850" s="333">
        <f t="shared" si="137"/>
        <v>-5617.4999999999818</v>
      </c>
      <c r="AH850" s="330"/>
      <c r="AI850" s="330">
        <v>11235.02</v>
      </c>
      <c r="AJ850" s="396">
        <f t="shared" si="138"/>
        <v>-5617.4999999999818</v>
      </c>
      <c r="AK850" s="563"/>
      <c r="AL850" s="285">
        <f t="shared" ref="AL850:AL851" si="142">+AC850+AI850</f>
        <v>0</v>
      </c>
      <c r="AM850" s="286"/>
      <c r="AO850" s="330" t="s">
        <v>5690</v>
      </c>
    </row>
    <row r="851" spans="1:41">
      <c r="A851" s="587">
        <f t="shared" si="139"/>
        <v>848</v>
      </c>
      <c r="B851" s="330" t="s">
        <v>1643</v>
      </c>
      <c r="C851" s="330" t="s">
        <v>5693</v>
      </c>
      <c r="D851" s="330" t="s">
        <v>1645</v>
      </c>
      <c r="E851" s="330" t="s">
        <v>3350</v>
      </c>
      <c r="F851" s="330" t="s">
        <v>1647</v>
      </c>
      <c r="G851" s="562">
        <v>1012</v>
      </c>
      <c r="H851" s="562">
        <v>653.59</v>
      </c>
      <c r="I851" s="562">
        <v>723.02</v>
      </c>
      <c r="J851" s="561" t="s">
        <v>1648</v>
      </c>
      <c r="K851" s="330" t="s">
        <v>5694</v>
      </c>
      <c r="L851" s="330" t="s">
        <v>5695</v>
      </c>
      <c r="M851" s="330" t="s">
        <v>5696</v>
      </c>
      <c r="N851" s="330" t="s">
        <v>5697</v>
      </c>
      <c r="O851" s="395">
        <v>45406</v>
      </c>
      <c r="P851" s="333">
        <v>5683644</v>
      </c>
      <c r="Q851" s="330" t="s">
        <v>1653</v>
      </c>
      <c r="R851" s="562">
        <v>0</v>
      </c>
      <c r="S851" s="333">
        <v>0</v>
      </c>
      <c r="T851" s="333">
        <v>-1741552.7800000003</v>
      </c>
      <c r="U851" s="333">
        <f t="shared" si="136"/>
        <v>-1741552.7800000003</v>
      </c>
      <c r="V851" s="333">
        <v>0</v>
      </c>
      <c r="W851" s="333">
        <v>0</v>
      </c>
      <c r="X851" s="333">
        <v>0</v>
      </c>
      <c r="Y851" s="333">
        <v>0</v>
      </c>
      <c r="Z851" s="333">
        <v>0</v>
      </c>
      <c r="AA851" s="333">
        <v>0</v>
      </c>
      <c r="AB851" s="333">
        <v>0</v>
      </c>
      <c r="AC851" s="333">
        <v>-20376</v>
      </c>
      <c r="AD851" s="333">
        <v>0</v>
      </c>
      <c r="AE851" s="333"/>
      <c r="AF851" s="333"/>
      <c r="AG851" s="333">
        <f t="shared" si="137"/>
        <v>-1761928.7800000003</v>
      </c>
      <c r="AH851" s="330"/>
      <c r="AI851" s="330">
        <v>20376</v>
      </c>
      <c r="AJ851" s="396">
        <f t="shared" si="138"/>
        <v>-1761928.7800000003</v>
      </c>
      <c r="AK851" s="563"/>
      <c r="AL851" s="285">
        <f t="shared" si="142"/>
        <v>0</v>
      </c>
      <c r="AM851" s="286"/>
      <c r="AO851" s="330" t="s">
        <v>5694</v>
      </c>
    </row>
    <row r="852" spans="1:41">
      <c r="A852" s="587">
        <f t="shared" si="139"/>
        <v>849</v>
      </c>
      <c r="B852" s="330" t="s">
        <v>1643</v>
      </c>
      <c r="C852" s="330" t="s">
        <v>5698</v>
      </c>
      <c r="D852" s="330" t="s">
        <v>1746</v>
      </c>
      <c r="E852" s="330" t="s">
        <v>3227</v>
      </c>
      <c r="F852" s="330" t="s">
        <v>1647</v>
      </c>
      <c r="G852" s="562">
        <v>1114</v>
      </c>
      <c r="H852" s="562">
        <v>683.3</v>
      </c>
      <c r="I852" s="562">
        <v>795.57</v>
      </c>
      <c r="J852" s="561" t="s">
        <v>1648</v>
      </c>
      <c r="K852" s="330" t="s">
        <v>5699</v>
      </c>
      <c r="L852" s="330" t="s">
        <v>5700</v>
      </c>
      <c r="M852" s="330" t="s">
        <v>5701</v>
      </c>
      <c r="N852" s="330" t="s">
        <v>5702</v>
      </c>
      <c r="O852" s="395">
        <v>45435</v>
      </c>
      <c r="P852" s="333">
        <v>6383905</v>
      </c>
      <c r="Q852" s="330" t="s">
        <v>1653</v>
      </c>
      <c r="R852" s="562">
        <v>0</v>
      </c>
      <c r="S852" s="333">
        <v>0</v>
      </c>
      <c r="T852" s="333">
        <v>-1979012.47</v>
      </c>
      <c r="U852" s="333">
        <f t="shared" si="136"/>
        <v>-1979012.47</v>
      </c>
      <c r="V852" s="333">
        <v>0</v>
      </c>
      <c r="W852" s="333">
        <v>0</v>
      </c>
      <c r="X852" s="333">
        <v>0</v>
      </c>
      <c r="Y852" s="333">
        <v>0</v>
      </c>
      <c r="Z852" s="333">
        <v>0</v>
      </c>
      <c r="AA852" s="333">
        <v>0</v>
      </c>
      <c r="AB852" s="333">
        <v>0</v>
      </c>
      <c r="AC852" s="333">
        <v>0</v>
      </c>
      <c r="AD852" s="333">
        <v>0</v>
      </c>
      <c r="AE852" s="333"/>
      <c r="AF852" s="333"/>
      <c r="AG852" s="333">
        <f t="shared" si="137"/>
        <v>-1979012.47</v>
      </c>
      <c r="AH852" s="330"/>
      <c r="AI852" s="330">
        <v>0</v>
      </c>
      <c r="AJ852" s="396">
        <f t="shared" si="138"/>
        <v>-1979012.47</v>
      </c>
      <c r="AK852" s="563"/>
      <c r="AL852" s="285">
        <f t="shared" si="140"/>
        <v>0</v>
      </c>
      <c r="AM852" s="286"/>
      <c r="AO852" s="330" t="s">
        <v>5699</v>
      </c>
    </row>
    <row r="853" spans="1:41">
      <c r="A853" s="587">
        <f t="shared" si="139"/>
        <v>850</v>
      </c>
      <c r="B853" s="330" t="s">
        <v>1643</v>
      </c>
      <c r="C853" s="330" t="s">
        <v>5703</v>
      </c>
      <c r="D853" s="330" t="s">
        <v>1645</v>
      </c>
      <c r="E853" s="330" t="s">
        <v>4049</v>
      </c>
      <c r="F853" s="330" t="s">
        <v>1671</v>
      </c>
      <c r="G853" s="562">
        <v>1498</v>
      </c>
      <c r="H853" s="562">
        <v>954.87</v>
      </c>
      <c r="I853" s="562">
        <v>1069.73</v>
      </c>
      <c r="J853" s="561" t="s">
        <v>1648</v>
      </c>
      <c r="K853" s="330" t="s">
        <v>5704</v>
      </c>
      <c r="L853" s="330" t="s">
        <v>5705</v>
      </c>
      <c r="M853" s="330" t="s">
        <v>5706</v>
      </c>
      <c r="N853" s="330" t="s">
        <v>5707</v>
      </c>
      <c r="O853" s="395">
        <v>45454</v>
      </c>
      <c r="P853" s="333">
        <v>8544571</v>
      </c>
      <c r="Q853" s="330" t="s">
        <v>1653</v>
      </c>
      <c r="R853" s="562">
        <v>0</v>
      </c>
      <c r="S853" s="333">
        <v>0</v>
      </c>
      <c r="T853" s="333">
        <v>-2648816.129999999</v>
      </c>
      <c r="U853" s="333">
        <f t="shared" si="136"/>
        <v>-2648816.129999999</v>
      </c>
      <c r="V853" s="333">
        <v>0</v>
      </c>
      <c r="W853" s="333">
        <v>0</v>
      </c>
      <c r="X853" s="333">
        <v>0</v>
      </c>
      <c r="Y853" s="333">
        <v>0</v>
      </c>
      <c r="Z853" s="333">
        <v>0</v>
      </c>
      <c r="AA853" s="333">
        <v>0</v>
      </c>
      <c r="AB853" s="333">
        <v>0</v>
      </c>
      <c r="AC853" s="333">
        <v>0</v>
      </c>
      <c r="AD853" s="333">
        <v>0</v>
      </c>
      <c r="AE853" s="333"/>
      <c r="AF853" s="333"/>
      <c r="AG853" s="333">
        <f t="shared" si="137"/>
        <v>-2648816.129999999</v>
      </c>
      <c r="AH853" s="330"/>
      <c r="AI853" s="330">
        <v>0</v>
      </c>
      <c r="AJ853" s="396">
        <f t="shared" si="138"/>
        <v>-2648816.129999999</v>
      </c>
      <c r="AK853" s="563"/>
      <c r="AL853" s="285">
        <f t="shared" si="140"/>
        <v>0</v>
      </c>
      <c r="AM853" s="286"/>
      <c r="AO853" s="330" t="s">
        <v>5704</v>
      </c>
    </row>
    <row r="854" spans="1:41">
      <c r="A854" s="587">
        <f t="shared" si="139"/>
        <v>851</v>
      </c>
      <c r="B854" s="330" t="s">
        <v>1643</v>
      </c>
      <c r="C854" s="330" t="s">
        <v>5708</v>
      </c>
      <c r="D854" s="330" t="s">
        <v>1746</v>
      </c>
      <c r="E854" s="330" t="s">
        <v>3047</v>
      </c>
      <c r="F854" s="330" t="s">
        <v>1647</v>
      </c>
      <c r="G854" s="562">
        <v>1012</v>
      </c>
      <c r="H854" s="562">
        <v>653.59</v>
      </c>
      <c r="I854" s="562">
        <v>723.02</v>
      </c>
      <c r="J854" s="561" t="s">
        <v>1648</v>
      </c>
      <c r="K854" s="330" t="s">
        <v>5709</v>
      </c>
      <c r="L854" s="330" t="s">
        <v>5710</v>
      </c>
      <c r="M854" s="330" t="s">
        <v>5711</v>
      </c>
      <c r="N854" s="330" t="s">
        <v>5712</v>
      </c>
      <c r="O854" s="395">
        <v>45441</v>
      </c>
      <c r="P854" s="333">
        <v>5683644</v>
      </c>
      <c r="Q854" s="330" t="s">
        <v>1653</v>
      </c>
      <c r="R854" s="562">
        <v>0</v>
      </c>
      <c r="S854" s="333">
        <v>0</v>
      </c>
      <c r="T854" s="333">
        <v>-1676673.5599999989</v>
      </c>
      <c r="U854" s="333">
        <f t="shared" si="136"/>
        <v>-1676673.5599999989</v>
      </c>
      <c r="V854" s="333">
        <v>0</v>
      </c>
      <c r="W854" s="333">
        <v>0</v>
      </c>
      <c r="X854" s="333">
        <v>0</v>
      </c>
      <c r="Y854" s="333">
        <v>0</v>
      </c>
      <c r="Z854" s="333">
        <v>0</v>
      </c>
      <c r="AA854" s="333">
        <v>0</v>
      </c>
      <c r="AB854" s="333">
        <v>0</v>
      </c>
      <c r="AC854" s="333">
        <v>-85254</v>
      </c>
      <c r="AD854" s="333">
        <v>0</v>
      </c>
      <c r="AE854" s="333"/>
      <c r="AF854" s="333"/>
      <c r="AG854" s="333">
        <f t="shared" si="137"/>
        <v>-1761927.5599999989</v>
      </c>
      <c r="AH854" s="330"/>
      <c r="AI854" s="330">
        <v>85254</v>
      </c>
      <c r="AJ854" s="396">
        <f t="shared" si="138"/>
        <v>-1761927.5599999989</v>
      </c>
      <c r="AK854" s="563"/>
      <c r="AL854" s="285">
        <f>+AC854+AI854</f>
        <v>0</v>
      </c>
      <c r="AM854" s="286"/>
      <c r="AO854" s="330" t="s">
        <v>5709</v>
      </c>
    </row>
    <row r="855" spans="1:41">
      <c r="A855" s="587">
        <f t="shared" si="139"/>
        <v>852</v>
      </c>
      <c r="B855" s="330" t="s">
        <v>1643</v>
      </c>
      <c r="C855" s="330" t="s">
        <v>5713</v>
      </c>
      <c r="D855" s="330" t="s">
        <v>1645</v>
      </c>
      <c r="E855" s="330" t="s">
        <v>5714</v>
      </c>
      <c r="F855" s="330" t="s">
        <v>1671</v>
      </c>
      <c r="G855" s="562">
        <v>1375</v>
      </c>
      <c r="H855" s="562">
        <v>876.73</v>
      </c>
      <c r="I855" s="562">
        <v>982.22</v>
      </c>
      <c r="J855" s="561" t="s">
        <v>1648</v>
      </c>
      <c r="K855" s="330" t="s">
        <v>5715</v>
      </c>
      <c r="L855" s="330" t="s">
        <v>5716</v>
      </c>
      <c r="M855" s="330" t="s">
        <v>5717</v>
      </c>
      <c r="N855" s="330" t="s">
        <v>5718</v>
      </c>
      <c r="O855" s="395">
        <v>45462</v>
      </c>
      <c r="P855" s="333">
        <v>7696381</v>
      </c>
      <c r="Q855" s="330" t="s">
        <v>1653</v>
      </c>
      <c r="R855" s="562">
        <v>0</v>
      </c>
      <c r="S855" s="333">
        <v>0</v>
      </c>
      <c r="T855" s="333">
        <v>-2385878.0900000008</v>
      </c>
      <c r="U855" s="333">
        <f t="shared" si="136"/>
        <v>-2385878.0900000008</v>
      </c>
      <c r="V855" s="333">
        <v>0</v>
      </c>
      <c r="W855" s="333">
        <v>0</v>
      </c>
      <c r="X855" s="333">
        <v>0</v>
      </c>
      <c r="Y855" s="333">
        <v>0</v>
      </c>
      <c r="Z855" s="333">
        <v>0</v>
      </c>
      <c r="AA855" s="333">
        <v>0</v>
      </c>
      <c r="AB855" s="333">
        <v>0</v>
      </c>
      <c r="AC855" s="333">
        <v>0</v>
      </c>
      <c r="AD855" s="333">
        <v>0</v>
      </c>
      <c r="AE855" s="333"/>
      <c r="AF855" s="333"/>
      <c r="AG855" s="333">
        <f t="shared" si="137"/>
        <v>-2385878.0900000008</v>
      </c>
      <c r="AH855" s="330"/>
      <c r="AI855" s="330">
        <v>0</v>
      </c>
      <c r="AJ855" s="396">
        <f t="shared" si="138"/>
        <v>-2385878.0900000008</v>
      </c>
      <c r="AK855" s="563"/>
      <c r="AL855" s="285">
        <f t="shared" si="140"/>
        <v>0</v>
      </c>
      <c r="AM855" s="286"/>
      <c r="AO855" s="330" t="s">
        <v>5715</v>
      </c>
    </row>
    <row r="856" spans="1:41">
      <c r="A856" s="587">
        <f t="shared" si="139"/>
        <v>853</v>
      </c>
      <c r="B856" s="330" t="s">
        <v>1643</v>
      </c>
      <c r="C856" s="330" t="s">
        <v>5719</v>
      </c>
      <c r="D856" s="330" t="s">
        <v>1704</v>
      </c>
      <c r="E856" s="330" t="s">
        <v>2542</v>
      </c>
      <c r="F856" s="330" t="s">
        <v>1647</v>
      </c>
      <c r="G856" s="562">
        <v>1012</v>
      </c>
      <c r="H856" s="562">
        <v>653.59</v>
      </c>
      <c r="I856" s="562">
        <v>723.02</v>
      </c>
      <c r="J856" s="561" t="s">
        <v>1648</v>
      </c>
      <c r="K856" s="330" t="s">
        <v>5720</v>
      </c>
      <c r="L856" s="330" t="s">
        <v>5721</v>
      </c>
      <c r="M856" s="330" t="s">
        <v>5722</v>
      </c>
      <c r="N856" s="330" t="s">
        <v>3097</v>
      </c>
      <c r="O856" s="395">
        <v>45443</v>
      </c>
      <c r="P856" s="333">
        <v>5757746</v>
      </c>
      <c r="Q856" s="330" t="s">
        <v>1653</v>
      </c>
      <c r="R856" s="562">
        <v>0</v>
      </c>
      <c r="S856" s="333">
        <v>0</v>
      </c>
      <c r="T856" s="333">
        <v>-1642793.7999999993</v>
      </c>
      <c r="U856" s="333">
        <f t="shared" si="136"/>
        <v>-1642793.7999999993</v>
      </c>
      <c r="V856" s="333">
        <v>0</v>
      </c>
      <c r="W856" s="333">
        <v>0</v>
      </c>
      <c r="X856" s="333">
        <v>0</v>
      </c>
      <c r="Y856" s="333">
        <v>0</v>
      </c>
      <c r="Z856" s="333">
        <v>0</v>
      </c>
      <c r="AA856" s="333">
        <v>0</v>
      </c>
      <c r="AB856" s="333">
        <v>0</v>
      </c>
      <c r="AC856" s="333">
        <v>-84721.09</v>
      </c>
      <c r="AD856" s="333">
        <v>0</v>
      </c>
      <c r="AE856" s="333"/>
      <c r="AF856" s="333"/>
      <c r="AG856" s="333">
        <f t="shared" si="137"/>
        <v>-1727514.8899999994</v>
      </c>
      <c r="AH856" s="330"/>
      <c r="AI856" s="330">
        <v>84721</v>
      </c>
      <c r="AJ856" s="396">
        <f t="shared" si="138"/>
        <v>-1727514.8899999994</v>
      </c>
      <c r="AK856" s="563"/>
      <c r="AL856" s="285">
        <f t="shared" ref="AL856:AL857" si="143">+AC856+AI856</f>
        <v>-8.999999999650754E-2</v>
      </c>
      <c r="AM856" s="286"/>
      <c r="AO856" s="330" t="s">
        <v>5720</v>
      </c>
    </row>
    <row r="857" spans="1:41">
      <c r="A857" s="587">
        <f t="shared" si="139"/>
        <v>854</v>
      </c>
      <c r="B857" s="330" t="s">
        <v>1643</v>
      </c>
      <c r="C857" s="330" t="s">
        <v>5723</v>
      </c>
      <c r="D857" s="330" t="s">
        <v>1677</v>
      </c>
      <c r="E857" s="330" t="s">
        <v>2322</v>
      </c>
      <c r="F857" s="330" t="s">
        <v>1647</v>
      </c>
      <c r="G857" s="562">
        <v>1012</v>
      </c>
      <c r="H857" s="562">
        <v>653.59</v>
      </c>
      <c r="I857" s="562">
        <v>723.02</v>
      </c>
      <c r="J857" s="561" t="s">
        <v>1648</v>
      </c>
      <c r="K857" s="330" t="s">
        <v>5724</v>
      </c>
      <c r="L857" s="330" t="s">
        <v>5725</v>
      </c>
      <c r="M857" s="330" t="s">
        <v>5726</v>
      </c>
      <c r="N857" s="330" t="s">
        <v>12</v>
      </c>
      <c r="O857" s="395"/>
      <c r="P857" s="333">
        <v>6066953</v>
      </c>
      <c r="Q857" s="330" t="s">
        <v>1653</v>
      </c>
      <c r="R857" s="562">
        <v>0</v>
      </c>
      <c r="S857" s="333">
        <v>0</v>
      </c>
      <c r="T857" s="333">
        <v>-313810</v>
      </c>
      <c r="U857" s="333">
        <f t="shared" si="136"/>
        <v>-313810</v>
      </c>
      <c r="V857" s="333">
        <v>0</v>
      </c>
      <c r="W857" s="333">
        <v>0</v>
      </c>
      <c r="X857" s="333">
        <v>0</v>
      </c>
      <c r="Y857" s="333">
        <v>0</v>
      </c>
      <c r="Z857" s="333">
        <v>0</v>
      </c>
      <c r="AA857" s="333">
        <v>0</v>
      </c>
      <c r="AB857" s="333">
        <v>0</v>
      </c>
      <c r="AC857" s="333">
        <v>-8190</v>
      </c>
      <c r="AD857" s="333">
        <v>0</v>
      </c>
      <c r="AE857" s="333"/>
      <c r="AF857" s="333"/>
      <c r="AG857" s="333">
        <f t="shared" si="137"/>
        <v>-322000</v>
      </c>
      <c r="AH857" s="330"/>
      <c r="AI857" s="330">
        <v>8190</v>
      </c>
      <c r="AJ857" s="396">
        <f t="shared" si="138"/>
        <v>-322000</v>
      </c>
      <c r="AK857" s="563"/>
      <c r="AL857" s="285">
        <f t="shared" si="143"/>
        <v>0</v>
      </c>
      <c r="AM857" s="286"/>
      <c r="AO857" s="330" t="s">
        <v>5724</v>
      </c>
    </row>
    <row r="858" spans="1:41">
      <c r="A858" s="587">
        <f t="shared" si="139"/>
        <v>855</v>
      </c>
      <c r="B858" s="330" t="s">
        <v>1643</v>
      </c>
      <c r="C858" s="330" t="s">
        <v>5727</v>
      </c>
      <c r="D858" s="330" t="s">
        <v>2153</v>
      </c>
      <c r="E858" s="330" t="s">
        <v>1705</v>
      </c>
      <c r="F858" s="330" t="s">
        <v>1647</v>
      </c>
      <c r="G858" s="562">
        <v>1114</v>
      </c>
      <c r="H858" s="562">
        <v>683.3</v>
      </c>
      <c r="I858" s="562">
        <v>795.57</v>
      </c>
      <c r="J858" s="561" t="s">
        <v>1648</v>
      </c>
      <c r="K858" s="330" t="s">
        <v>5728</v>
      </c>
      <c r="L858" s="330" t="s">
        <v>5729</v>
      </c>
      <c r="M858" s="330" t="s">
        <v>5730</v>
      </c>
      <c r="N858" s="330" t="s">
        <v>5731</v>
      </c>
      <c r="O858" s="395">
        <v>45454</v>
      </c>
      <c r="P858" s="333">
        <v>6714285</v>
      </c>
      <c r="Q858" s="330" t="s">
        <v>1653</v>
      </c>
      <c r="R858" s="562">
        <v>0</v>
      </c>
      <c r="S858" s="333">
        <v>0</v>
      </c>
      <c r="T858" s="333">
        <v>-2081428.58</v>
      </c>
      <c r="U858" s="333">
        <f t="shared" si="136"/>
        <v>-2081428.58</v>
      </c>
      <c r="V858" s="333">
        <v>0</v>
      </c>
      <c r="W858" s="333">
        <v>0</v>
      </c>
      <c r="X858" s="333">
        <v>0</v>
      </c>
      <c r="Y858" s="333">
        <v>0</v>
      </c>
      <c r="Z858" s="333">
        <v>0</v>
      </c>
      <c r="AA858" s="333">
        <v>0</v>
      </c>
      <c r="AB858" s="333">
        <v>0</v>
      </c>
      <c r="AC858" s="333">
        <v>0</v>
      </c>
      <c r="AD858" s="333">
        <v>0</v>
      </c>
      <c r="AE858" s="333"/>
      <c r="AF858" s="333"/>
      <c r="AG858" s="333">
        <f t="shared" si="137"/>
        <v>-2081428.58</v>
      </c>
      <c r="AH858" s="330"/>
      <c r="AI858" s="330">
        <v>0</v>
      </c>
      <c r="AJ858" s="396">
        <f t="shared" si="138"/>
        <v>-2081428.58</v>
      </c>
      <c r="AK858" s="563"/>
      <c r="AL858" s="285">
        <f t="shared" si="140"/>
        <v>0</v>
      </c>
      <c r="AM858" s="286"/>
      <c r="AO858" s="330" t="s">
        <v>5728</v>
      </c>
    </row>
    <row r="859" spans="1:41">
      <c r="A859" s="587">
        <f t="shared" si="139"/>
        <v>856</v>
      </c>
      <c r="B859" s="330" t="s">
        <v>1643</v>
      </c>
      <c r="C859" s="330" t="s">
        <v>5732</v>
      </c>
      <c r="D859" s="330" t="s">
        <v>1662</v>
      </c>
      <c r="E859" s="330" t="s">
        <v>2243</v>
      </c>
      <c r="F859" s="330" t="s">
        <v>1786</v>
      </c>
      <c r="G859" s="562">
        <v>1265</v>
      </c>
      <c r="H859" s="562">
        <v>813.33</v>
      </c>
      <c r="I859" s="562">
        <v>903.31</v>
      </c>
      <c r="J859" s="561" t="s">
        <v>1648</v>
      </c>
      <c r="K859" s="330" t="s">
        <v>5733</v>
      </c>
      <c r="L859" s="330" t="s">
        <v>5734</v>
      </c>
      <c r="M859" s="330" t="s">
        <v>5735</v>
      </c>
      <c r="N859" s="330" t="s">
        <v>5736</v>
      </c>
      <c r="O859" s="395">
        <v>45454</v>
      </c>
      <c r="P859" s="333">
        <v>7182953</v>
      </c>
      <c r="Q859" s="330" t="s">
        <v>1653</v>
      </c>
      <c r="R859" s="562">
        <v>0</v>
      </c>
      <c r="S859" s="333">
        <v>0</v>
      </c>
      <c r="T859" s="333">
        <v>-2153762.2400000002</v>
      </c>
      <c r="U859" s="333">
        <f t="shared" si="136"/>
        <v>-2153762.2400000002</v>
      </c>
      <c r="V859" s="333">
        <v>0</v>
      </c>
      <c r="W859" s="333">
        <v>0</v>
      </c>
      <c r="X859" s="333">
        <v>0</v>
      </c>
      <c r="Y859" s="333">
        <v>0</v>
      </c>
      <c r="Z859" s="333">
        <v>0</v>
      </c>
      <c r="AA859" s="333">
        <v>0</v>
      </c>
      <c r="AB859" s="333">
        <v>0</v>
      </c>
      <c r="AC859" s="333">
        <v>-2429</v>
      </c>
      <c r="AD859" s="333">
        <v>0</v>
      </c>
      <c r="AE859" s="333"/>
      <c r="AF859" s="333"/>
      <c r="AG859" s="333">
        <f t="shared" si="137"/>
        <v>-2156191.2400000002</v>
      </c>
      <c r="AH859" s="330"/>
      <c r="AI859" s="330">
        <v>2429</v>
      </c>
      <c r="AJ859" s="396">
        <f t="shared" si="138"/>
        <v>-2156191.2400000002</v>
      </c>
      <c r="AK859" s="563"/>
      <c r="AL859" s="285">
        <f>+AC859+AI859</f>
        <v>0</v>
      </c>
      <c r="AM859" s="286"/>
      <c r="AO859" s="330" t="s">
        <v>5733</v>
      </c>
    </row>
    <row r="860" spans="1:41">
      <c r="A860" s="587">
        <f t="shared" si="139"/>
        <v>857</v>
      </c>
      <c r="B860" s="330" t="s">
        <v>1643</v>
      </c>
      <c r="C860" s="330" t="s">
        <v>2706</v>
      </c>
      <c r="D860" s="330" t="s">
        <v>1677</v>
      </c>
      <c r="E860" s="330" t="s">
        <v>2394</v>
      </c>
      <c r="F860" s="330" t="s">
        <v>1647</v>
      </c>
      <c r="G860" s="562">
        <v>1114</v>
      </c>
      <c r="H860" s="562">
        <v>683.3</v>
      </c>
      <c r="I860" s="562">
        <v>795.57</v>
      </c>
      <c r="J860" s="561" t="s">
        <v>1648</v>
      </c>
      <c r="K860" s="330" t="s">
        <v>5737</v>
      </c>
      <c r="L860" s="330" t="s">
        <v>5738</v>
      </c>
      <c r="M860" s="330" t="s">
        <v>5739</v>
      </c>
      <c r="N860" s="330" t="s">
        <v>12</v>
      </c>
      <c r="O860" s="395"/>
      <c r="P860" s="333">
        <v>7116071</v>
      </c>
      <c r="Q860" s="330" t="s">
        <v>1660</v>
      </c>
      <c r="R860" s="562">
        <v>0</v>
      </c>
      <c r="S860" s="333">
        <v>0</v>
      </c>
      <c r="T860" s="333">
        <v>0</v>
      </c>
      <c r="U860" s="333">
        <f t="shared" si="136"/>
        <v>0</v>
      </c>
      <c r="V860" s="333">
        <v>0</v>
      </c>
      <c r="W860" s="333">
        <v>0</v>
      </c>
      <c r="X860" s="333">
        <v>0</v>
      </c>
      <c r="Y860" s="333">
        <v>0</v>
      </c>
      <c r="Z860" s="333">
        <v>0</v>
      </c>
      <c r="AA860" s="333">
        <v>0</v>
      </c>
      <c r="AB860" s="333">
        <v>0</v>
      </c>
      <c r="AC860" s="333">
        <v>0</v>
      </c>
      <c r="AD860" s="333">
        <v>0</v>
      </c>
      <c r="AE860" s="333"/>
      <c r="AF860" s="333"/>
      <c r="AG860" s="333">
        <f t="shared" si="137"/>
        <v>0</v>
      </c>
      <c r="AH860" s="330"/>
      <c r="AI860" s="330">
        <v>0</v>
      </c>
      <c r="AJ860" s="396">
        <f t="shared" si="138"/>
        <v>0</v>
      </c>
      <c r="AK860" s="563"/>
      <c r="AL860" s="285">
        <f t="shared" si="140"/>
        <v>0</v>
      </c>
      <c r="AM860" s="286"/>
      <c r="AO860" s="330" t="s">
        <v>5737</v>
      </c>
    </row>
    <row r="861" spans="1:41">
      <c r="A861" s="587">
        <f t="shared" si="139"/>
        <v>858</v>
      </c>
      <c r="B861" s="330" t="s">
        <v>1643</v>
      </c>
      <c r="C861" s="330" t="s">
        <v>5740</v>
      </c>
      <c r="D861" s="330" t="s">
        <v>1662</v>
      </c>
      <c r="E861" s="330" t="s">
        <v>2062</v>
      </c>
      <c r="F861" s="330" t="s">
        <v>1671</v>
      </c>
      <c r="G861" s="562">
        <v>1498</v>
      </c>
      <c r="H861" s="562">
        <v>954.87</v>
      </c>
      <c r="I861" s="562">
        <v>1069.73</v>
      </c>
      <c r="J861" s="561" t="s">
        <v>1648</v>
      </c>
      <c r="K861" s="330" t="s">
        <v>5741</v>
      </c>
      <c r="L861" s="330" t="s">
        <v>5742</v>
      </c>
      <c r="M861" s="330" t="s">
        <v>5743</v>
      </c>
      <c r="N861" s="330" t="s">
        <v>5744</v>
      </c>
      <c r="O861" s="395">
        <v>45428</v>
      </c>
      <c r="P861" s="333">
        <v>8626273</v>
      </c>
      <c r="Q861" s="330" t="s">
        <v>1653</v>
      </c>
      <c r="R861" s="562">
        <v>0</v>
      </c>
      <c r="S861" s="333">
        <v>0</v>
      </c>
      <c r="T861" s="333">
        <v>-1911244.6400000004</v>
      </c>
      <c r="U861" s="333">
        <f t="shared" si="136"/>
        <v>-1911244.6400000004</v>
      </c>
      <c r="V861" s="333">
        <v>-669496</v>
      </c>
      <c r="W861" s="333">
        <v>0</v>
      </c>
      <c r="X861" s="333">
        <v>0</v>
      </c>
      <c r="Y861" s="333">
        <v>0</v>
      </c>
      <c r="Z861" s="333">
        <v>0</v>
      </c>
      <c r="AA861" s="333">
        <v>0</v>
      </c>
      <c r="AB861" s="333">
        <v>0</v>
      </c>
      <c r="AC861" s="333">
        <v>-7142.859999999986</v>
      </c>
      <c r="AD861" s="333">
        <v>0</v>
      </c>
      <c r="AE861" s="333"/>
      <c r="AF861" s="333"/>
      <c r="AG861" s="333">
        <f t="shared" si="137"/>
        <v>-2587883.5000000005</v>
      </c>
      <c r="AH861" s="330"/>
      <c r="AI861" s="330">
        <v>7142.86</v>
      </c>
      <c r="AJ861" s="396">
        <f t="shared" si="138"/>
        <v>-2587883.5000000005</v>
      </c>
      <c r="AK861" s="563"/>
      <c r="AL861" s="285">
        <f>+AC861+AI861</f>
        <v>1.3642420526593924E-11</v>
      </c>
      <c r="AM861" s="286"/>
      <c r="AO861" s="330" t="s">
        <v>5741</v>
      </c>
    </row>
    <row r="862" spans="1:41">
      <c r="A862" s="587">
        <f t="shared" si="139"/>
        <v>859</v>
      </c>
      <c r="B862" s="107" t="s">
        <v>1643</v>
      </c>
      <c r="C862" s="330" t="s">
        <v>5745</v>
      </c>
      <c r="D862" s="107" t="s">
        <v>1655</v>
      </c>
      <c r="E862" s="107" t="s">
        <v>2154</v>
      </c>
      <c r="F862" s="107" t="s">
        <v>1671</v>
      </c>
      <c r="G862" s="566">
        <v>1375</v>
      </c>
      <c r="H862" s="566">
        <v>876.73</v>
      </c>
      <c r="I862" s="566">
        <v>982.22</v>
      </c>
      <c r="J862" s="107" t="s">
        <v>1648</v>
      </c>
      <c r="K862" s="107" t="s">
        <v>5746</v>
      </c>
      <c r="L862" s="107" t="s">
        <v>5747</v>
      </c>
      <c r="M862" s="107" t="s">
        <v>5748</v>
      </c>
      <c r="N862" s="107" t="s">
        <v>12</v>
      </c>
      <c r="O862" s="567"/>
      <c r="P862" s="566">
        <v>8678571</v>
      </c>
      <c r="Q862" s="107" t="s">
        <v>1653</v>
      </c>
      <c r="R862" s="562">
        <v>0</v>
      </c>
      <c r="S862" s="333">
        <v>0</v>
      </c>
      <c r="T862" s="333">
        <v>0</v>
      </c>
      <c r="U862" s="333">
        <f t="shared" si="136"/>
        <v>0</v>
      </c>
      <c r="V862" s="333">
        <v>0</v>
      </c>
      <c r="W862" s="333">
        <v>0</v>
      </c>
      <c r="X862" s="333">
        <v>0</v>
      </c>
      <c r="Y862" s="333">
        <v>0</v>
      </c>
      <c r="Z862" s="333">
        <v>0</v>
      </c>
      <c r="AA862" s="333">
        <v>0</v>
      </c>
      <c r="AB862" s="333">
        <v>0</v>
      </c>
      <c r="AC862" s="333">
        <v>0</v>
      </c>
      <c r="AD862" s="333">
        <v>0</v>
      </c>
      <c r="AE862" s="333"/>
      <c r="AF862" s="333"/>
      <c r="AG862" s="333">
        <f t="shared" si="137"/>
        <v>0</v>
      </c>
      <c r="AH862" s="330"/>
      <c r="AI862" s="330">
        <v>0</v>
      </c>
      <c r="AJ862" s="396">
        <f t="shared" si="138"/>
        <v>0</v>
      </c>
      <c r="AK862" s="563"/>
      <c r="AL862" s="285">
        <f t="shared" si="140"/>
        <v>0</v>
      </c>
      <c r="AM862" s="286"/>
      <c r="AO862" s="107" t="s">
        <v>5746</v>
      </c>
    </row>
    <row r="863" spans="1:41">
      <c r="A863" s="587">
        <f t="shared" si="139"/>
        <v>860</v>
      </c>
      <c r="B863" s="107" t="s">
        <v>1643</v>
      </c>
      <c r="C863" s="330" t="s">
        <v>5749</v>
      </c>
      <c r="D863" s="107" t="s">
        <v>1677</v>
      </c>
      <c r="E863" s="107" t="s">
        <v>1734</v>
      </c>
      <c r="F863" s="107" t="s">
        <v>1647</v>
      </c>
      <c r="G863" s="566">
        <v>1012</v>
      </c>
      <c r="H863" s="566">
        <v>653.59</v>
      </c>
      <c r="I863" s="566">
        <v>723.02</v>
      </c>
      <c r="J863" s="107" t="s">
        <v>1648</v>
      </c>
      <c r="K863" s="107" t="s">
        <v>5750</v>
      </c>
      <c r="L863" s="107" t="s">
        <v>5751</v>
      </c>
      <c r="M863" s="107" t="s">
        <v>5752</v>
      </c>
      <c r="N863" s="107" t="s">
        <v>12</v>
      </c>
      <c r="O863" s="567"/>
      <c r="P863" s="566">
        <v>6279238</v>
      </c>
      <c r="Q863" s="107" t="s">
        <v>1653</v>
      </c>
      <c r="R863" s="562">
        <v>0</v>
      </c>
      <c r="S863" s="333">
        <v>0</v>
      </c>
      <c r="T863" s="333">
        <v>-50000</v>
      </c>
      <c r="U863" s="333">
        <f t="shared" si="136"/>
        <v>-50000</v>
      </c>
      <c r="V863" s="333">
        <v>50000</v>
      </c>
      <c r="W863" s="333">
        <v>0</v>
      </c>
      <c r="X863" s="333">
        <v>0</v>
      </c>
      <c r="Y863" s="333">
        <v>0</v>
      </c>
      <c r="Z863" s="333">
        <v>0</v>
      </c>
      <c r="AA863" s="333">
        <v>0</v>
      </c>
      <c r="AB863" s="333">
        <v>0</v>
      </c>
      <c r="AC863" s="333">
        <v>0</v>
      </c>
      <c r="AD863" s="333">
        <v>0</v>
      </c>
      <c r="AE863" s="333"/>
      <c r="AF863" s="333"/>
      <c r="AG863" s="333">
        <f t="shared" si="137"/>
        <v>0</v>
      </c>
      <c r="AH863" s="330"/>
      <c r="AI863" s="330">
        <v>0</v>
      </c>
      <c r="AJ863" s="396">
        <f t="shared" si="138"/>
        <v>0</v>
      </c>
      <c r="AK863" s="563"/>
      <c r="AL863" s="285">
        <f t="shared" si="140"/>
        <v>0</v>
      </c>
      <c r="AM863" s="286"/>
      <c r="AO863" s="107" t="s">
        <v>5750</v>
      </c>
    </row>
    <row r="864" spans="1:41">
      <c r="A864" s="587">
        <f t="shared" si="139"/>
        <v>861</v>
      </c>
      <c r="B864" s="107" t="s">
        <v>1643</v>
      </c>
      <c r="C864" s="330" t="s">
        <v>5753</v>
      </c>
      <c r="D864" s="107" t="s">
        <v>1677</v>
      </c>
      <c r="E864" s="107" t="s">
        <v>2625</v>
      </c>
      <c r="F864" s="107" t="s">
        <v>1647</v>
      </c>
      <c r="G864" s="566">
        <v>1012</v>
      </c>
      <c r="H864" s="566">
        <v>653.59</v>
      </c>
      <c r="I864" s="566">
        <v>723.02</v>
      </c>
      <c r="J864" s="107" t="s">
        <v>1679</v>
      </c>
      <c r="K864" s="107" t="s">
        <v>5754</v>
      </c>
      <c r="L864" s="107" t="s">
        <v>5755</v>
      </c>
      <c r="M864" s="107" t="s">
        <v>5756</v>
      </c>
      <c r="N864" s="107" t="s">
        <v>12</v>
      </c>
      <c r="O864" s="567"/>
      <c r="P864" s="566">
        <v>6099048</v>
      </c>
      <c r="Q864" s="107" t="s">
        <v>1653</v>
      </c>
      <c r="R864" s="562">
        <v>0</v>
      </c>
      <c r="S864" s="333">
        <v>0</v>
      </c>
      <c r="T864" s="333">
        <v>-713150</v>
      </c>
      <c r="U864" s="333">
        <f t="shared" si="136"/>
        <v>-713150</v>
      </c>
      <c r="V864" s="333">
        <v>713150</v>
      </c>
      <c r="W864" s="333">
        <v>0</v>
      </c>
      <c r="X864" s="333">
        <v>0</v>
      </c>
      <c r="Y864" s="333">
        <v>0</v>
      </c>
      <c r="Z864" s="333">
        <v>0</v>
      </c>
      <c r="AA864" s="333">
        <v>0</v>
      </c>
      <c r="AB864" s="333">
        <v>0</v>
      </c>
      <c r="AC864" s="333">
        <v>0</v>
      </c>
      <c r="AD864" s="333">
        <v>0</v>
      </c>
      <c r="AE864" s="333"/>
      <c r="AF864" s="333"/>
      <c r="AG864" s="333">
        <f t="shared" si="137"/>
        <v>0</v>
      </c>
      <c r="AH864" s="330"/>
      <c r="AI864" s="330">
        <v>0</v>
      </c>
      <c r="AJ864" s="396">
        <f t="shared" si="138"/>
        <v>0</v>
      </c>
      <c r="AK864" s="563"/>
      <c r="AL864" s="285">
        <f t="shared" si="140"/>
        <v>0</v>
      </c>
      <c r="AM864" s="286"/>
      <c r="AO864" s="107" t="s">
        <v>5754</v>
      </c>
    </row>
    <row r="865" spans="1:41">
      <c r="A865" s="587">
        <f t="shared" si="139"/>
        <v>862</v>
      </c>
      <c r="B865" s="107" t="s">
        <v>1643</v>
      </c>
      <c r="C865" s="330" t="s">
        <v>5757</v>
      </c>
      <c r="D865" s="107" t="s">
        <v>1677</v>
      </c>
      <c r="E865" s="107" t="s">
        <v>1996</v>
      </c>
      <c r="F865" s="107" t="s">
        <v>1647</v>
      </c>
      <c r="G865" s="566">
        <v>1114</v>
      </c>
      <c r="H865" s="566">
        <v>683.3</v>
      </c>
      <c r="I865" s="566">
        <v>795.57</v>
      </c>
      <c r="J865" s="107" t="s">
        <v>1810</v>
      </c>
      <c r="K865" s="107" t="s">
        <v>5758</v>
      </c>
      <c r="L865" s="107" t="s">
        <v>5759</v>
      </c>
      <c r="M865" s="107" t="s">
        <v>5760</v>
      </c>
      <c r="N865" s="107" t="s">
        <v>12</v>
      </c>
      <c r="O865" s="567"/>
      <c r="P865" s="566">
        <v>6848190</v>
      </c>
      <c r="Q865" s="107" t="s">
        <v>1660</v>
      </c>
      <c r="R865" s="562">
        <v>0</v>
      </c>
      <c r="S865" s="333">
        <v>0</v>
      </c>
      <c r="T865" s="333">
        <v>-1041612</v>
      </c>
      <c r="U865" s="333">
        <f t="shared" si="136"/>
        <v>-1041612</v>
      </c>
      <c r="V865" s="333">
        <v>1041612</v>
      </c>
      <c r="W865" s="333">
        <v>0</v>
      </c>
      <c r="X865" s="333">
        <v>0</v>
      </c>
      <c r="Y865" s="333">
        <v>0</v>
      </c>
      <c r="Z865" s="333">
        <v>0</v>
      </c>
      <c r="AA865" s="333">
        <v>0</v>
      </c>
      <c r="AB865" s="333">
        <v>0</v>
      </c>
      <c r="AC865" s="333">
        <v>0</v>
      </c>
      <c r="AD865" s="333">
        <v>0</v>
      </c>
      <c r="AE865" s="333"/>
      <c r="AF865" s="333"/>
      <c r="AG865" s="333">
        <f t="shared" si="137"/>
        <v>0</v>
      </c>
      <c r="AH865" s="330"/>
      <c r="AI865" s="330">
        <v>0</v>
      </c>
      <c r="AJ865" s="396">
        <f t="shared" si="138"/>
        <v>0</v>
      </c>
      <c r="AK865" s="563"/>
      <c r="AL865" s="285">
        <f t="shared" si="140"/>
        <v>0</v>
      </c>
      <c r="AM865" s="286"/>
      <c r="AO865" s="107" t="s">
        <v>5758</v>
      </c>
    </row>
    <row r="866" spans="1:41">
      <c r="A866" s="587">
        <f t="shared" si="139"/>
        <v>863</v>
      </c>
      <c r="B866" s="107" t="s">
        <v>1643</v>
      </c>
      <c r="C866" s="330" t="s">
        <v>5761</v>
      </c>
      <c r="D866" s="107" t="s">
        <v>1677</v>
      </c>
      <c r="E866" s="107" t="s">
        <v>2100</v>
      </c>
      <c r="F866" s="107" t="s">
        <v>1647</v>
      </c>
      <c r="G866" s="566">
        <v>1114</v>
      </c>
      <c r="H866" s="566">
        <v>683.3</v>
      </c>
      <c r="I866" s="566">
        <v>795.57</v>
      </c>
      <c r="J866" s="107" t="s">
        <v>1810</v>
      </c>
      <c r="K866" s="107" t="s">
        <v>5762</v>
      </c>
      <c r="L866" s="107" t="s">
        <v>5763</v>
      </c>
      <c r="M866" s="107" t="s">
        <v>5764</v>
      </c>
      <c r="N866" s="107" t="s">
        <v>12</v>
      </c>
      <c r="O866" s="567"/>
      <c r="P866" s="566">
        <v>6968667</v>
      </c>
      <c r="Q866" s="107" t="s">
        <v>1660</v>
      </c>
      <c r="R866" s="562">
        <v>0</v>
      </c>
      <c r="S866" s="333">
        <v>0</v>
      </c>
      <c r="T866" s="333">
        <v>-499200</v>
      </c>
      <c r="U866" s="333">
        <f t="shared" si="136"/>
        <v>-499200</v>
      </c>
      <c r="V866" s="333">
        <v>499200</v>
      </c>
      <c r="W866" s="333">
        <v>0</v>
      </c>
      <c r="X866" s="333">
        <v>0</v>
      </c>
      <c r="Y866" s="333">
        <v>0</v>
      </c>
      <c r="Z866" s="333">
        <v>0</v>
      </c>
      <c r="AA866" s="333">
        <v>0</v>
      </c>
      <c r="AB866" s="333">
        <v>0</v>
      </c>
      <c r="AC866" s="333">
        <v>0</v>
      </c>
      <c r="AD866" s="333">
        <v>-598200</v>
      </c>
      <c r="AE866" s="333"/>
      <c r="AF866" s="333"/>
      <c r="AG866" s="333">
        <f t="shared" si="137"/>
        <v>-598200</v>
      </c>
      <c r="AH866" s="330"/>
      <c r="AI866" s="330">
        <v>0</v>
      </c>
      <c r="AJ866" s="396">
        <f t="shared" si="138"/>
        <v>-598200</v>
      </c>
      <c r="AK866" s="563"/>
      <c r="AL866" s="285">
        <f t="shared" si="140"/>
        <v>0</v>
      </c>
      <c r="AM866" s="286"/>
      <c r="AO866" s="107" t="s">
        <v>5762</v>
      </c>
    </row>
    <row r="867" spans="1:41">
      <c r="A867" s="587">
        <f t="shared" si="139"/>
        <v>864</v>
      </c>
      <c r="B867" s="107" t="s">
        <v>1643</v>
      </c>
      <c r="C867" s="330" t="s">
        <v>5765</v>
      </c>
      <c r="D867" s="107" t="s">
        <v>1677</v>
      </c>
      <c r="E867" s="107" t="s">
        <v>1723</v>
      </c>
      <c r="F867" s="107" t="s">
        <v>1647</v>
      </c>
      <c r="G867" s="566">
        <v>1114</v>
      </c>
      <c r="H867" s="566">
        <v>683.3</v>
      </c>
      <c r="I867" s="566">
        <v>795.57</v>
      </c>
      <c r="J867" s="107" t="s">
        <v>1648</v>
      </c>
      <c r="K867" s="107" t="s">
        <v>5766</v>
      </c>
      <c r="L867" s="107" t="s">
        <v>5767</v>
      </c>
      <c r="M867" s="107" t="s">
        <v>5768</v>
      </c>
      <c r="N867" s="107" t="s">
        <v>12</v>
      </c>
      <c r="O867" s="567"/>
      <c r="P867" s="566">
        <v>6834762</v>
      </c>
      <c r="Q867" s="107" t="s">
        <v>1653</v>
      </c>
      <c r="R867" s="562">
        <v>0</v>
      </c>
      <c r="S867" s="333">
        <v>0</v>
      </c>
      <c r="T867" s="333">
        <v>-150000</v>
      </c>
      <c r="U867" s="333">
        <f t="shared" si="136"/>
        <v>-150000</v>
      </c>
      <c r="V867" s="333">
        <v>0</v>
      </c>
      <c r="W867" s="333">
        <v>0</v>
      </c>
      <c r="X867" s="333">
        <v>0</v>
      </c>
      <c r="Y867" s="333">
        <v>0</v>
      </c>
      <c r="Z867" s="333">
        <v>0</v>
      </c>
      <c r="AA867" s="333">
        <v>0</v>
      </c>
      <c r="AB867" s="333">
        <v>0</v>
      </c>
      <c r="AC867" s="333">
        <v>0</v>
      </c>
      <c r="AD867" s="333">
        <v>0</v>
      </c>
      <c r="AE867" s="333"/>
      <c r="AF867" s="333"/>
      <c r="AG867" s="333">
        <f t="shared" si="137"/>
        <v>-150000</v>
      </c>
      <c r="AH867" s="330"/>
      <c r="AI867" s="330">
        <v>0</v>
      </c>
      <c r="AJ867" s="396">
        <f t="shared" si="138"/>
        <v>-150000</v>
      </c>
      <c r="AK867" s="563"/>
      <c r="AL867" s="285">
        <f t="shared" si="140"/>
        <v>0</v>
      </c>
      <c r="AM867" s="286"/>
      <c r="AO867" s="107" t="s">
        <v>5766</v>
      </c>
    </row>
    <row r="868" spans="1:41">
      <c r="A868" s="587">
        <f t="shared" si="139"/>
        <v>865</v>
      </c>
      <c r="B868" s="107" t="s">
        <v>1643</v>
      </c>
      <c r="C868" s="330" t="s">
        <v>4177</v>
      </c>
      <c r="D868" s="107" t="s">
        <v>1655</v>
      </c>
      <c r="E868" s="107" t="s">
        <v>1663</v>
      </c>
      <c r="F868" s="107" t="s">
        <v>1647</v>
      </c>
      <c r="G868" s="566">
        <v>1012</v>
      </c>
      <c r="H868" s="566">
        <v>653.59</v>
      </c>
      <c r="I868" s="566">
        <v>723.02</v>
      </c>
      <c r="J868" s="107" t="s">
        <v>1810</v>
      </c>
      <c r="K868" s="107" t="s">
        <v>5769</v>
      </c>
      <c r="L868" s="107" t="s">
        <v>5770</v>
      </c>
      <c r="M868" s="107" t="s">
        <v>5771</v>
      </c>
      <c r="N868" s="107" t="s">
        <v>12</v>
      </c>
      <c r="O868" s="567"/>
      <c r="P868" s="566">
        <v>6044572</v>
      </c>
      <c r="Q868" s="107" t="s">
        <v>1660</v>
      </c>
      <c r="R868" s="562">
        <v>0</v>
      </c>
      <c r="S868" s="333">
        <v>0</v>
      </c>
      <c r="T868" s="333">
        <v>-710041</v>
      </c>
      <c r="U868" s="333">
        <f t="shared" si="136"/>
        <v>-710041</v>
      </c>
      <c r="V868" s="333">
        <v>710040.99999999988</v>
      </c>
      <c r="W868" s="333">
        <v>0</v>
      </c>
      <c r="X868" s="333">
        <v>0</v>
      </c>
      <c r="Y868" s="333">
        <v>0</v>
      </c>
      <c r="Z868" s="333">
        <v>0</v>
      </c>
      <c r="AA868" s="333">
        <v>0</v>
      </c>
      <c r="AB868" s="333">
        <v>0</v>
      </c>
      <c r="AC868" s="333">
        <v>0</v>
      </c>
      <c r="AD868" s="333">
        <v>0</v>
      </c>
      <c r="AE868" s="333"/>
      <c r="AF868" s="333"/>
      <c r="AG868" s="333">
        <f t="shared" si="137"/>
        <v>-1.1641532182693481E-10</v>
      </c>
      <c r="AH868" s="330"/>
      <c r="AI868" s="330">
        <v>0</v>
      </c>
      <c r="AJ868" s="396">
        <f t="shared" si="138"/>
        <v>-1.1641532182693481E-10</v>
      </c>
      <c r="AK868" s="563"/>
      <c r="AL868" s="285">
        <f t="shared" si="140"/>
        <v>0</v>
      </c>
      <c r="AM868" s="286"/>
      <c r="AO868" s="107" t="s">
        <v>5769</v>
      </c>
    </row>
    <row r="869" spans="1:41">
      <c r="A869" s="587">
        <f t="shared" si="139"/>
        <v>866</v>
      </c>
      <c r="B869" s="107" t="s">
        <v>1643</v>
      </c>
      <c r="C869" s="330"/>
      <c r="D869" s="330"/>
      <c r="E869" s="330"/>
      <c r="F869" s="330"/>
      <c r="G869" s="562"/>
      <c r="H869" s="562"/>
      <c r="I869" s="562"/>
      <c r="J869" s="561"/>
      <c r="K869" s="330" t="s">
        <v>5772</v>
      </c>
      <c r="L869" s="568" t="s">
        <v>5773</v>
      </c>
      <c r="M869" s="107"/>
      <c r="N869" s="330"/>
      <c r="O869" s="395"/>
      <c r="P869" s="333"/>
      <c r="Q869" s="330"/>
      <c r="R869" s="562">
        <v>0</v>
      </c>
      <c r="S869" s="333">
        <v>0</v>
      </c>
      <c r="T869" s="333">
        <v>-21941823.299999997</v>
      </c>
      <c r="U869" s="333">
        <f t="shared" si="136"/>
        <v>-21941823.299999997</v>
      </c>
      <c r="V869" s="333">
        <v>18758593.300000001</v>
      </c>
      <c r="W869" s="333">
        <v>0</v>
      </c>
      <c r="X869" s="333">
        <v>0</v>
      </c>
      <c r="Y869" s="333">
        <v>0</v>
      </c>
      <c r="Z869" s="333">
        <v>0</v>
      </c>
      <c r="AA869" s="333">
        <v>0</v>
      </c>
      <c r="AB869" s="333">
        <v>0</v>
      </c>
      <c r="AC869" s="333">
        <v>0</v>
      </c>
      <c r="AD869" s="333">
        <v>0</v>
      </c>
      <c r="AE869" s="333"/>
      <c r="AF869" s="333"/>
      <c r="AG869" s="333">
        <f t="shared" si="137"/>
        <v>-3183229.9999999963</v>
      </c>
      <c r="AH869" s="330"/>
      <c r="AI869" s="330">
        <v>0</v>
      </c>
      <c r="AJ869" s="396">
        <f t="shared" si="138"/>
        <v>-3183229.9999999963</v>
      </c>
      <c r="AK869" s="563"/>
      <c r="AL869" s="285">
        <f t="shared" si="140"/>
        <v>0</v>
      </c>
      <c r="AM869" s="286"/>
      <c r="AO869" s="330" t="s">
        <v>5772</v>
      </c>
    </row>
    <row r="870" spans="1:41">
      <c r="A870" s="587">
        <f t="shared" si="139"/>
        <v>867</v>
      </c>
      <c r="B870" s="107" t="s">
        <v>1643</v>
      </c>
      <c r="C870" s="330"/>
      <c r="D870" s="330"/>
      <c r="E870" s="330"/>
      <c r="F870" s="330"/>
      <c r="G870" s="562"/>
      <c r="H870" s="562"/>
      <c r="I870" s="562"/>
      <c r="J870" s="561"/>
      <c r="K870" s="330" t="s">
        <v>5774</v>
      </c>
      <c r="L870" s="107" t="s">
        <v>5775</v>
      </c>
      <c r="M870" s="107"/>
      <c r="N870" s="330"/>
      <c r="O870" s="395"/>
      <c r="P870" s="333"/>
      <c r="Q870" s="330"/>
      <c r="R870" s="562">
        <v>0</v>
      </c>
      <c r="S870" s="333">
        <v>0</v>
      </c>
      <c r="T870" s="333">
        <v>-48572</v>
      </c>
      <c r="U870" s="333">
        <f t="shared" si="136"/>
        <v>-48572</v>
      </c>
      <c r="V870" s="333">
        <v>0</v>
      </c>
      <c r="W870" s="333">
        <v>0</v>
      </c>
      <c r="X870" s="333">
        <v>0</v>
      </c>
      <c r="Y870" s="333">
        <v>0</v>
      </c>
      <c r="Z870" s="333">
        <v>0</v>
      </c>
      <c r="AA870" s="333">
        <v>0</v>
      </c>
      <c r="AB870" s="333">
        <v>0</v>
      </c>
      <c r="AC870" s="333">
        <v>0</v>
      </c>
      <c r="AD870" s="333">
        <v>48572</v>
      </c>
      <c r="AE870" s="333"/>
      <c r="AF870" s="333"/>
      <c r="AG870" s="333">
        <f t="shared" si="137"/>
        <v>0</v>
      </c>
      <c r="AH870" s="330"/>
      <c r="AI870" s="330">
        <v>0</v>
      </c>
      <c r="AJ870" s="396">
        <f t="shared" si="138"/>
        <v>0</v>
      </c>
      <c r="AK870" s="563"/>
      <c r="AL870" s="285">
        <f>+AC870+AI870</f>
        <v>0</v>
      </c>
      <c r="AM870" s="286"/>
      <c r="AO870" s="330" t="s">
        <v>5774</v>
      </c>
    </row>
    <row r="871" spans="1:41">
      <c r="A871" s="587">
        <f t="shared" si="139"/>
        <v>868</v>
      </c>
      <c r="B871" s="107" t="s">
        <v>1643</v>
      </c>
      <c r="C871" s="330"/>
      <c r="D871" s="330"/>
      <c r="E871" s="330"/>
      <c r="F871" s="330"/>
      <c r="G871" s="562"/>
      <c r="H871" s="562"/>
      <c r="I871" s="562"/>
      <c r="J871" s="561"/>
      <c r="K871" s="107" t="s">
        <v>5776</v>
      </c>
      <c r="L871" s="107" t="s">
        <v>5777</v>
      </c>
      <c r="M871" s="107"/>
      <c r="N871" s="330"/>
      <c r="O871" s="395"/>
      <c r="P871" s="333"/>
      <c r="Q871" s="330"/>
      <c r="R871" s="562">
        <v>0</v>
      </c>
      <c r="S871" s="333">
        <v>0</v>
      </c>
      <c r="T871" s="333">
        <v>-50000</v>
      </c>
      <c r="U871" s="333">
        <f t="shared" si="136"/>
        <v>-50000</v>
      </c>
      <c r="V871" s="333">
        <v>0</v>
      </c>
      <c r="W871" s="333">
        <v>0</v>
      </c>
      <c r="X871" s="333">
        <v>0</v>
      </c>
      <c r="Y871" s="333">
        <v>0</v>
      </c>
      <c r="Z871" s="333">
        <v>0</v>
      </c>
      <c r="AA871" s="333">
        <v>0</v>
      </c>
      <c r="AB871" s="333">
        <v>0</v>
      </c>
      <c r="AC871" s="333">
        <v>0</v>
      </c>
      <c r="AD871" s="333">
        <v>0</v>
      </c>
      <c r="AE871" s="333"/>
      <c r="AF871" s="333"/>
      <c r="AG871" s="333">
        <f t="shared" si="137"/>
        <v>-50000</v>
      </c>
      <c r="AH871" s="330"/>
      <c r="AI871" s="330">
        <v>0</v>
      </c>
      <c r="AJ871" s="396">
        <f t="shared" si="138"/>
        <v>-50000</v>
      </c>
      <c r="AK871" s="563"/>
      <c r="AL871" s="285">
        <f t="shared" si="140"/>
        <v>0</v>
      </c>
      <c r="AM871" s="286"/>
      <c r="AO871" s="107" t="s">
        <v>5776</v>
      </c>
    </row>
    <row r="872" spans="1:41">
      <c r="A872" s="587">
        <f t="shared" si="139"/>
        <v>869</v>
      </c>
      <c r="B872" s="107" t="s">
        <v>1643</v>
      </c>
      <c r="C872" s="330"/>
      <c r="D872" s="330"/>
      <c r="E872" s="330"/>
      <c r="F872" s="330"/>
      <c r="G872" s="562"/>
      <c r="H872" s="562"/>
      <c r="I872" s="562"/>
      <c r="J872" s="561"/>
      <c r="K872" s="107" t="s">
        <v>5778</v>
      </c>
      <c r="L872" s="107" t="s">
        <v>5779</v>
      </c>
      <c r="M872" s="107"/>
      <c r="N872" s="330"/>
      <c r="O872" s="395"/>
      <c r="P872" s="333"/>
      <c r="Q872" s="330"/>
      <c r="R872" s="562">
        <v>0</v>
      </c>
      <c r="S872" s="333">
        <v>0</v>
      </c>
      <c r="T872" s="333">
        <v>-94286</v>
      </c>
      <c r="U872" s="333">
        <f t="shared" si="136"/>
        <v>-94286</v>
      </c>
      <c r="V872" s="333">
        <v>0</v>
      </c>
      <c r="W872" s="333">
        <v>0</v>
      </c>
      <c r="X872" s="333">
        <v>0</v>
      </c>
      <c r="Y872" s="333">
        <v>0</v>
      </c>
      <c r="Z872" s="333">
        <v>0</v>
      </c>
      <c r="AA872" s="333">
        <v>0</v>
      </c>
      <c r="AB872" s="333">
        <v>0</v>
      </c>
      <c r="AC872" s="333">
        <v>0</v>
      </c>
      <c r="AD872" s="333">
        <v>0</v>
      </c>
      <c r="AE872" s="333"/>
      <c r="AF872" s="333"/>
      <c r="AG872" s="333">
        <f t="shared" si="137"/>
        <v>-94286</v>
      </c>
      <c r="AH872" s="330"/>
      <c r="AI872" s="330">
        <v>0</v>
      </c>
      <c r="AJ872" s="396">
        <f t="shared" si="138"/>
        <v>-94286</v>
      </c>
      <c r="AK872" s="563"/>
      <c r="AL872" s="285">
        <f t="shared" si="140"/>
        <v>0</v>
      </c>
      <c r="AM872" s="286"/>
      <c r="AO872" s="107" t="s">
        <v>5778</v>
      </c>
    </row>
    <row r="873" spans="1:41">
      <c r="A873" s="587">
        <f t="shared" si="139"/>
        <v>870</v>
      </c>
      <c r="B873" s="107" t="s">
        <v>1643</v>
      </c>
      <c r="C873" s="330"/>
      <c r="D873" s="330"/>
      <c r="E873" s="330"/>
      <c r="F873" s="330"/>
      <c r="G873" s="562"/>
      <c r="H873" s="562"/>
      <c r="I873" s="562"/>
      <c r="J873" s="561"/>
      <c r="K873" s="107" t="s">
        <v>5780</v>
      </c>
      <c r="L873" s="107" t="s">
        <v>5781</v>
      </c>
      <c r="M873" s="107"/>
      <c r="N873" s="330"/>
      <c r="O873" s="395"/>
      <c r="P873" s="333"/>
      <c r="Q873" s="330"/>
      <c r="R873" s="562">
        <v>0</v>
      </c>
      <c r="S873" s="333">
        <v>0</v>
      </c>
      <c r="T873" s="333">
        <v>-150000</v>
      </c>
      <c r="U873" s="333">
        <f t="shared" si="136"/>
        <v>-150000</v>
      </c>
      <c r="V873" s="333">
        <v>0</v>
      </c>
      <c r="W873" s="333">
        <v>0</v>
      </c>
      <c r="X873" s="333">
        <v>0</v>
      </c>
      <c r="Y873" s="333">
        <v>0</v>
      </c>
      <c r="Z873" s="333">
        <v>0</v>
      </c>
      <c r="AA873" s="333">
        <v>0</v>
      </c>
      <c r="AB873" s="333">
        <v>0</v>
      </c>
      <c r="AC873" s="333">
        <v>0</v>
      </c>
      <c r="AD873" s="333">
        <v>0</v>
      </c>
      <c r="AE873" s="333"/>
      <c r="AF873" s="333"/>
      <c r="AG873" s="333">
        <f t="shared" si="137"/>
        <v>-150000</v>
      </c>
      <c r="AH873" s="330"/>
      <c r="AI873" s="330">
        <v>0</v>
      </c>
      <c r="AJ873" s="396">
        <f t="shared" si="138"/>
        <v>-150000</v>
      </c>
      <c r="AK873" s="563"/>
      <c r="AL873" s="285">
        <f t="shared" si="140"/>
        <v>0</v>
      </c>
      <c r="AM873" s="286"/>
      <c r="AO873" s="107" t="s">
        <v>5780</v>
      </c>
    </row>
    <row r="874" spans="1:41">
      <c r="A874" s="587">
        <f t="shared" si="139"/>
        <v>871</v>
      </c>
      <c r="B874" s="107" t="s">
        <v>1643</v>
      </c>
      <c r="C874" s="330"/>
      <c r="D874" s="330"/>
      <c r="E874" s="330"/>
      <c r="F874" s="330"/>
      <c r="G874" s="562"/>
      <c r="H874" s="562"/>
      <c r="I874" s="562"/>
      <c r="J874" s="561"/>
      <c r="K874" s="107" t="s">
        <v>5782</v>
      </c>
      <c r="L874" s="107" t="s">
        <v>5783</v>
      </c>
      <c r="M874" s="107"/>
      <c r="N874" s="330"/>
      <c r="O874" s="395"/>
      <c r="P874" s="333"/>
      <c r="Q874" s="330"/>
      <c r="R874" s="562">
        <v>0</v>
      </c>
      <c r="S874" s="333">
        <v>0</v>
      </c>
      <c r="T874" s="333">
        <v>-1780</v>
      </c>
      <c r="U874" s="333">
        <f t="shared" si="136"/>
        <v>-1780</v>
      </c>
      <c r="V874" s="333">
        <v>0</v>
      </c>
      <c r="W874" s="333">
        <v>0</v>
      </c>
      <c r="X874" s="333">
        <v>0</v>
      </c>
      <c r="Y874" s="333">
        <v>0</v>
      </c>
      <c r="Z874" s="333">
        <v>0</v>
      </c>
      <c r="AA874" s="333">
        <v>0</v>
      </c>
      <c r="AB874" s="333">
        <v>0</v>
      </c>
      <c r="AC874" s="333">
        <v>0</v>
      </c>
      <c r="AD874" s="333">
        <v>0</v>
      </c>
      <c r="AE874" s="333"/>
      <c r="AF874" s="333"/>
      <c r="AG874" s="333">
        <f t="shared" si="137"/>
        <v>-1780</v>
      </c>
      <c r="AH874" s="330"/>
      <c r="AI874" s="330">
        <v>0</v>
      </c>
      <c r="AJ874" s="396">
        <f t="shared" si="138"/>
        <v>-1780</v>
      </c>
      <c r="AK874" s="563"/>
      <c r="AL874" s="285">
        <f t="shared" si="140"/>
        <v>0</v>
      </c>
      <c r="AM874" s="286"/>
      <c r="AO874" s="107" t="s">
        <v>5782</v>
      </c>
    </row>
    <row r="875" spans="1:41">
      <c r="A875" s="587">
        <f t="shared" si="139"/>
        <v>872</v>
      </c>
      <c r="B875" s="107" t="s">
        <v>1643</v>
      </c>
      <c r="C875" s="330"/>
      <c r="D875" s="330"/>
      <c r="E875" s="330"/>
      <c r="F875" s="330"/>
      <c r="G875" s="562"/>
      <c r="H875" s="562"/>
      <c r="I875" s="562"/>
      <c r="J875" s="561"/>
      <c r="K875" s="107" t="s">
        <v>5784</v>
      </c>
      <c r="L875" s="107" t="s">
        <v>5785</v>
      </c>
      <c r="M875" s="107"/>
      <c r="N875" s="330"/>
      <c r="O875" s="395"/>
      <c r="P875" s="333"/>
      <c r="Q875" s="330"/>
      <c r="R875" s="562">
        <v>0</v>
      </c>
      <c r="S875" s="333">
        <v>0</v>
      </c>
      <c r="T875" s="333">
        <v>-100170</v>
      </c>
      <c r="U875" s="333">
        <f t="shared" si="136"/>
        <v>-100170</v>
      </c>
      <c r="V875" s="333">
        <v>100170</v>
      </c>
      <c r="W875" s="333">
        <v>0</v>
      </c>
      <c r="X875" s="333">
        <v>0</v>
      </c>
      <c r="Y875" s="333">
        <v>0</v>
      </c>
      <c r="Z875" s="333">
        <v>0</v>
      </c>
      <c r="AA875" s="333">
        <v>0</v>
      </c>
      <c r="AB875" s="333">
        <v>0</v>
      </c>
      <c r="AC875" s="333">
        <v>0</v>
      </c>
      <c r="AD875" s="333">
        <v>0</v>
      </c>
      <c r="AE875" s="333"/>
      <c r="AF875" s="333"/>
      <c r="AG875" s="333">
        <f t="shared" si="137"/>
        <v>0</v>
      </c>
      <c r="AH875" s="330"/>
      <c r="AI875" s="330">
        <v>0</v>
      </c>
      <c r="AJ875" s="396">
        <f t="shared" si="138"/>
        <v>0</v>
      </c>
      <c r="AK875" s="563"/>
      <c r="AL875" s="285">
        <f t="shared" si="140"/>
        <v>0</v>
      </c>
      <c r="AM875" s="286"/>
      <c r="AO875" s="107" t="s">
        <v>5784</v>
      </c>
    </row>
    <row r="876" spans="1:41">
      <c r="A876" s="587">
        <f t="shared" si="139"/>
        <v>873</v>
      </c>
      <c r="B876" s="107" t="s">
        <v>1643</v>
      </c>
      <c r="C876" s="330"/>
      <c r="D876" s="330"/>
      <c r="E876" s="330"/>
      <c r="F876" s="330"/>
      <c r="G876" s="562"/>
      <c r="H876" s="562"/>
      <c r="I876" s="562"/>
      <c r="J876" s="561"/>
      <c r="K876" s="107" t="s">
        <v>5786</v>
      </c>
      <c r="L876" s="107" t="s">
        <v>5787</v>
      </c>
      <c r="M876" s="107"/>
      <c r="N876" s="330"/>
      <c r="O876" s="395"/>
      <c r="P876" s="333"/>
      <c r="Q876" s="330"/>
      <c r="R876" s="562">
        <v>0</v>
      </c>
      <c r="S876" s="333">
        <v>0</v>
      </c>
      <c r="T876" s="333">
        <v>-142858</v>
      </c>
      <c r="U876" s="333">
        <f t="shared" si="136"/>
        <v>-142858</v>
      </c>
      <c r="V876" s="333">
        <v>0</v>
      </c>
      <c r="W876" s="333">
        <v>0</v>
      </c>
      <c r="X876" s="333">
        <v>0</v>
      </c>
      <c r="Y876" s="333">
        <v>0</v>
      </c>
      <c r="Z876" s="333">
        <v>0</v>
      </c>
      <c r="AA876" s="333">
        <v>0</v>
      </c>
      <c r="AB876" s="333">
        <v>0</v>
      </c>
      <c r="AC876" s="333">
        <v>0</v>
      </c>
      <c r="AD876" s="333">
        <v>0</v>
      </c>
      <c r="AE876" s="333"/>
      <c r="AF876" s="333"/>
      <c r="AG876" s="333">
        <f t="shared" si="137"/>
        <v>-142858</v>
      </c>
      <c r="AH876" s="330"/>
      <c r="AI876" s="330">
        <v>0</v>
      </c>
      <c r="AJ876" s="396">
        <f t="shared" si="138"/>
        <v>-142858</v>
      </c>
      <c r="AK876" s="563"/>
      <c r="AL876" s="285">
        <f t="shared" si="140"/>
        <v>0</v>
      </c>
      <c r="AM876" s="286"/>
      <c r="AO876" s="107" t="s">
        <v>5786</v>
      </c>
    </row>
    <row r="877" spans="1:41">
      <c r="A877" s="587">
        <f t="shared" si="139"/>
        <v>874</v>
      </c>
      <c r="B877" s="107" t="s">
        <v>1643</v>
      </c>
      <c r="C877" s="330"/>
      <c r="D877" s="330"/>
      <c r="E877" s="330"/>
      <c r="F877" s="330"/>
      <c r="G877" s="562"/>
      <c r="H877" s="562"/>
      <c r="I877" s="562"/>
      <c r="J877" s="561"/>
      <c r="K877" s="107" t="s">
        <v>5788</v>
      </c>
      <c r="L877" s="107" t="s">
        <v>5789</v>
      </c>
      <c r="M877" s="107"/>
      <c r="N877" s="330"/>
      <c r="O877" s="395"/>
      <c r="P877" s="333"/>
      <c r="Q877" s="330"/>
      <c r="R877" s="562">
        <v>0</v>
      </c>
      <c r="S877" s="333">
        <v>0</v>
      </c>
      <c r="T877" s="333">
        <v>-461700</v>
      </c>
      <c r="U877" s="333">
        <f t="shared" si="136"/>
        <v>-461700</v>
      </c>
      <c r="V877" s="333">
        <v>461700</v>
      </c>
      <c r="W877" s="333">
        <v>0</v>
      </c>
      <c r="X877" s="333">
        <v>0</v>
      </c>
      <c r="Y877" s="333">
        <v>0</v>
      </c>
      <c r="Z877" s="333">
        <v>0</v>
      </c>
      <c r="AA877" s="333">
        <v>0</v>
      </c>
      <c r="AB877" s="333">
        <v>0</v>
      </c>
      <c r="AC877" s="333">
        <v>0</v>
      </c>
      <c r="AD877" s="333">
        <v>-531700</v>
      </c>
      <c r="AE877" s="333"/>
      <c r="AF877" s="333"/>
      <c r="AG877" s="333">
        <f t="shared" si="137"/>
        <v>-531700</v>
      </c>
      <c r="AH877" s="330"/>
      <c r="AI877" s="330">
        <v>0</v>
      </c>
      <c r="AJ877" s="396">
        <f t="shared" si="138"/>
        <v>-531700</v>
      </c>
      <c r="AK877" s="563"/>
      <c r="AL877" s="285">
        <f t="shared" si="140"/>
        <v>0</v>
      </c>
      <c r="AM877" s="286"/>
      <c r="AO877" s="107" t="s">
        <v>5788</v>
      </c>
    </row>
    <row r="878" spans="1:41">
      <c r="A878" s="587">
        <f t="shared" si="139"/>
        <v>875</v>
      </c>
      <c r="B878" s="107" t="s">
        <v>1643</v>
      </c>
      <c r="C878" s="330"/>
      <c r="D878" s="330"/>
      <c r="E878" s="330"/>
      <c r="F878" s="330"/>
      <c r="G878" s="562"/>
      <c r="H878" s="562"/>
      <c r="I878" s="562"/>
      <c r="J878" s="561"/>
      <c r="K878" s="107" t="s">
        <v>5790</v>
      </c>
      <c r="L878" s="107" t="s">
        <v>5791</v>
      </c>
      <c r="M878" s="107"/>
      <c r="N878" s="330"/>
      <c r="O878" s="395"/>
      <c r="P878" s="333"/>
      <c r="Q878" s="330"/>
      <c r="R878" s="562">
        <v>0</v>
      </c>
      <c r="S878" s="333">
        <v>0</v>
      </c>
      <c r="T878" s="333">
        <v>-51000</v>
      </c>
      <c r="U878" s="333">
        <f t="shared" si="136"/>
        <v>-51000</v>
      </c>
      <c r="V878" s="333">
        <v>51000</v>
      </c>
      <c r="W878" s="333">
        <v>0</v>
      </c>
      <c r="X878" s="333">
        <v>0</v>
      </c>
      <c r="Y878" s="333">
        <v>0</v>
      </c>
      <c r="Z878" s="333">
        <v>0</v>
      </c>
      <c r="AA878" s="333">
        <v>0</v>
      </c>
      <c r="AB878" s="333">
        <v>0</v>
      </c>
      <c r="AC878" s="333">
        <v>0</v>
      </c>
      <c r="AD878" s="333">
        <v>0</v>
      </c>
      <c r="AE878" s="333"/>
      <c r="AF878" s="333"/>
      <c r="AG878" s="333">
        <f t="shared" si="137"/>
        <v>0</v>
      </c>
      <c r="AH878" s="330"/>
      <c r="AI878" s="330">
        <v>0</v>
      </c>
      <c r="AJ878" s="396">
        <f t="shared" si="138"/>
        <v>0</v>
      </c>
      <c r="AK878" s="563"/>
      <c r="AL878" s="285">
        <f t="shared" si="140"/>
        <v>0</v>
      </c>
      <c r="AM878" s="286"/>
      <c r="AO878" s="107" t="s">
        <v>5790</v>
      </c>
    </row>
    <row r="879" spans="1:41">
      <c r="A879" s="587">
        <f t="shared" si="139"/>
        <v>876</v>
      </c>
      <c r="B879" s="107" t="s">
        <v>1643</v>
      </c>
      <c r="C879" s="330"/>
      <c r="D879" s="330"/>
      <c r="E879" s="330"/>
      <c r="F879" s="330"/>
      <c r="G879" s="562"/>
      <c r="H879" s="562"/>
      <c r="I879" s="562"/>
      <c r="J879" s="561"/>
      <c r="K879" s="107" t="s">
        <v>5792</v>
      </c>
      <c r="L879" s="107" t="s">
        <v>5793</v>
      </c>
      <c r="M879" s="107"/>
      <c r="N879" s="330"/>
      <c r="O879" s="395"/>
      <c r="P879" s="333"/>
      <c r="Q879" s="330"/>
      <c r="R879" s="562">
        <v>0</v>
      </c>
      <c r="S879" s="333">
        <v>0</v>
      </c>
      <c r="T879" s="333">
        <v>-11000</v>
      </c>
      <c r="U879" s="333">
        <f t="shared" si="136"/>
        <v>-11000</v>
      </c>
      <c r="V879" s="333">
        <v>11000</v>
      </c>
      <c r="W879" s="333">
        <v>0</v>
      </c>
      <c r="X879" s="333">
        <v>0</v>
      </c>
      <c r="Y879" s="333">
        <v>0</v>
      </c>
      <c r="Z879" s="333">
        <v>0</v>
      </c>
      <c r="AA879" s="333">
        <v>0</v>
      </c>
      <c r="AB879" s="333">
        <v>0</v>
      </c>
      <c r="AC879" s="333">
        <v>0</v>
      </c>
      <c r="AD879" s="333">
        <v>0</v>
      </c>
      <c r="AE879" s="333"/>
      <c r="AF879" s="333"/>
      <c r="AG879" s="333">
        <f t="shared" si="137"/>
        <v>0</v>
      </c>
      <c r="AH879" s="330"/>
      <c r="AI879" s="330">
        <v>0</v>
      </c>
      <c r="AJ879" s="396">
        <f t="shared" si="138"/>
        <v>0</v>
      </c>
      <c r="AK879" s="563"/>
      <c r="AL879" s="285">
        <f t="shared" si="140"/>
        <v>0</v>
      </c>
      <c r="AM879" s="286"/>
      <c r="AO879" s="107" t="s">
        <v>5792</v>
      </c>
    </row>
    <row r="880" spans="1:41">
      <c r="A880" s="587">
        <f t="shared" si="139"/>
        <v>877</v>
      </c>
      <c r="B880" s="107" t="s">
        <v>1643</v>
      </c>
      <c r="C880" s="330"/>
      <c r="D880" s="330"/>
      <c r="E880" s="330"/>
      <c r="F880" s="330"/>
      <c r="G880" s="562"/>
      <c r="H880" s="562"/>
      <c r="I880" s="562"/>
      <c r="J880" s="561"/>
      <c r="K880" s="107" t="s">
        <v>5794</v>
      </c>
      <c r="L880" s="107" t="s">
        <v>5795</v>
      </c>
      <c r="M880" s="107"/>
      <c r="N880" s="330"/>
      <c r="O880" s="395"/>
      <c r="P880" s="333"/>
      <c r="Q880" s="330"/>
      <c r="R880" s="562">
        <v>0</v>
      </c>
      <c r="S880" s="333">
        <v>0</v>
      </c>
      <c r="T880" s="333">
        <v>-51000</v>
      </c>
      <c r="U880" s="333">
        <f t="shared" si="136"/>
        <v>-51000</v>
      </c>
      <c r="V880" s="333">
        <v>0</v>
      </c>
      <c r="W880" s="333">
        <v>0</v>
      </c>
      <c r="X880" s="333">
        <v>0</v>
      </c>
      <c r="Y880" s="333">
        <v>0</v>
      </c>
      <c r="Z880" s="333">
        <v>0</v>
      </c>
      <c r="AA880" s="333">
        <v>0</v>
      </c>
      <c r="AB880" s="333">
        <v>0</v>
      </c>
      <c r="AC880" s="333">
        <v>0</v>
      </c>
      <c r="AD880" s="333">
        <v>0</v>
      </c>
      <c r="AE880" s="333"/>
      <c r="AF880" s="333"/>
      <c r="AG880" s="333">
        <f t="shared" si="137"/>
        <v>-51000</v>
      </c>
      <c r="AH880" s="330"/>
      <c r="AI880" s="330">
        <v>0</v>
      </c>
      <c r="AJ880" s="396">
        <f t="shared" si="138"/>
        <v>-51000</v>
      </c>
      <c r="AK880" s="563"/>
      <c r="AL880" s="285">
        <f t="shared" si="140"/>
        <v>0</v>
      </c>
      <c r="AM880" s="286"/>
      <c r="AO880" s="107" t="s">
        <v>5794</v>
      </c>
    </row>
    <row r="881" spans="1:41">
      <c r="A881" s="587">
        <f t="shared" si="139"/>
        <v>878</v>
      </c>
      <c r="B881" s="107" t="s">
        <v>1643</v>
      </c>
      <c r="C881" s="330"/>
      <c r="D881" s="330"/>
      <c r="E881" s="330"/>
      <c r="F881" s="330"/>
      <c r="G881" s="562"/>
      <c r="H881" s="562"/>
      <c r="I881" s="562"/>
      <c r="J881" s="561"/>
      <c r="K881" s="107" t="s">
        <v>5796</v>
      </c>
      <c r="L881" s="107" t="s">
        <v>5797</v>
      </c>
      <c r="M881" s="107"/>
      <c r="N881" s="330"/>
      <c r="O881" s="395"/>
      <c r="P881" s="333"/>
      <c r="Q881" s="330"/>
      <c r="R881" s="562">
        <v>0</v>
      </c>
      <c r="S881" s="333">
        <v>0</v>
      </c>
      <c r="T881" s="333">
        <v>-142858</v>
      </c>
      <c r="U881" s="333">
        <f t="shared" si="136"/>
        <v>-142858</v>
      </c>
      <c r="V881" s="333">
        <v>0</v>
      </c>
      <c r="W881" s="333">
        <v>0</v>
      </c>
      <c r="X881" s="333">
        <v>0</v>
      </c>
      <c r="Y881" s="333">
        <v>0</v>
      </c>
      <c r="Z881" s="333">
        <v>0</v>
      </c>
      <c r="AA881" s="333">
        <v>0</v>
      </c>
      <c r="AB881" s="333">
        <v>0</v>
      </c>
      <c r="AC881" s="333">
        <v>0</v>
      </c>
      <c r="AD881" s="333">
        <v>0</v>
      </c>
      <c r="AE881" s="333"/>
      <c r="AF881" s="333"/>
      <c r="AG881" s="333">
        <f t="shared" si="137"/>
        <v>-142858</v>
      </c>
      <c r="AH881" s="330"/>
      <c r="AI881" s="330">
        <v>0</v>
      </c>
      <c r="AJ881" s="396">
        <f t="shared" si="138"/>
        <v>-142858</v>
      </c>
      <c r="AK881" s="563"/>
      <c r="AL881" s="285">
        <f t="shared" si="140"/>
        <v>0</v>
      </c>
      <c r="AM881" s="286"/>
      <c r="AO881" s="107" t="s">
        <v>5796</v>
      </c>
    </row>
    <row r="882" spans="1:41">
      <c r="A882" s="587">
        <f t="shared" si="139"/>
        <v>879</v>
      </c>
      <c r="B882" s="107" t="s">
        <v>1643</v>
      </c>
      <c r="C882" s="330"/>
      <c r="D882" s="330"/>
      <c r="E882" s="330"/>
      <c r="F882" s="330"/>
      <c r="G882" s="562"/>
      <c r="H882" s="562"/>
      <c r="I882" s="562"/>
      <c r="J882" s="561"/>
      <c r="K882" s="107" t="s">
        <v>5798</v>
      </c>
      <c r="L882" s="107" t="s">
        <v>5799</v>
      </c>
      <c r="M882" s="107"/>
      <c r="N882" s="330"/>
      <c r="O882" s="395"/>
      <c r="P882" s="333"/>
      <c r="Q882" s="330"/>
      <c r="R882" s="562">
        <v>0</v>
      </c>
      <c r="S882" s="333">
        <v>0</v>
      </c>
      <c r="T882" s="333">
        <v>-150000</v>
      </c>
      <c r="U882" s="333">
        <f t="shared" si="136"/>
        <v>-150000</v>
      </c>
      <c r="V882" s="333">
        <v>150000</v>
      </c>
      <c r="W882" s="333">
        <v>0</v>
      </c>
      <c r="X882" s="333">
        <v>0</v>
      </c>
      <c r="Y882" s="333">
        <v>0</v>
      </c>
      <c r="Z882" s="333">
        <v>0</v>
      </c>
      <c r="AA882" s="333">
        <v>0</v>
      </c>
      <c r="AB882" s="333">
        <v>0</v>
      </c>
      <c r="AC882" s="333">
        <v>0</v>
      </c>
      <c r="AD882" s="333">
        <v>0</v>
      </c>
      <c r="AE882" s="333"/>
      <c r="AF882" s="333"/>
      <c r="AG882" s="333">
        <f t="shared" si="137"/>
        <v>0</v>
      </c>
      <c r="AH882" s="330"/>
      <c r="AI882" s="330">
        <v>0</v>
      </c>
      <c r="AJ882" s="396">
        <f t="shared" si="138"/>
        <v>0</v>
      </c>
      <c r="AK882" s="563"/>
      <c r="AL882" s="285">
        <f t="shared" si="140"/>
        <v>0</v>
      </c>
      <c r="AM882" s="286"/>
      <c r="AO882" s="107" t="s">
        <v>5798</v>
      </c>
    </row>
    <row r="883" spans="1:41">
      <c r="A883" s="587">
        <f t="shared" si="139"/>
        <v>880</v>
      </c>
      <c r="B883" s="107" t="s">
        <v>1643</v>
      </c>
      <c r="C883" s="330"/>
      <c r="D883" s="330"/>
      <c r="E883" s="330"/>
      <c r="F883" s="330"/>
      <c r="G883" s="562"/>
      <c r="H883" s="562"/>
      <c r="I883" s="562"/>
      <c r="J883" s="561"/>
      <c r="K883" s="107" t="s">
        <v>5800</v>
      </c>
      <c r="L883" s="107" t="s">
        <v>5801</v>
      </c>
      <c r="M883" s="107"/>
      <c r="N883" s="330"/>
      <c r="O883" s="395"/>
      <c r="P883" s="333"/>
      <c r="Q883" s="330"/>
      <c r="R883" s="562">
        <v>0</v>
      </c>
      <c r="S883" s="333">
        <v>0</v>
      </c>
      <c r="T883" s="333">
        <v>-21000</v>
      </c>
      <c r="U883" s="333">
        <f t="shared" si="136"/>
        <v>-21000</v>
      </c>
      <c r="V883" s="333">
        <v>0</v>
      </c>
      <c r="W883" s="333">
        <v>0</v>
      </c>
      <c r="X883" s="333">
        <v>0</v>
      </c>
      <c r="Y883" s="333">
        <v>0</v>
      </c>
      <c r="Z883" s="333">
        <v>0</v>
      </c>
      <c r="AA883" s="333">
        <v>0</v>
      </c>
      <c r="AB883" s="333">
        <v>0</v>
      </c>
      <c r="AC883" s="333">
        <v>0</v>
      </c>
      <c r="AD883" s="333">
        <v>0</v>
      </c>
      <c r="AE883" s="333"/>
      <c r="AF883" s="333"/>
      <c r="AG883" s="333">
        <f t="shared" si="137"/>
        <v>-21000</v>
      </c>
      <c r="AH883" s="330"/>
      <c r="AI883" s="330">
        <v>0</v>
      </c>
      <c r="AJ883" s="396">
        <f t="shared" si="138"/>
        <v>-21000</v>
      </c>
      <c r="AK883" s="563"/>
      <c r="AL883" s="285">
        <f t="shared" si="140"/>
        <v>0</v>
      </c>
      <c r="AM883" s="286"/>
      <c r="AO883" s="107" t="s">
        <v>5800</v>
      </c>
    </row>
    <row r="884" spans="1:41">
      <c r="A884" s="587">
        <f t="shared" si="139"/>
        <v>881</v>
      </c>
      <c r="B884" s="107" t="s">
        <v>1643</v>
      </c>
      <c r="C884" s="330"/>
      <c r="D884" s="330"/>
      <c r="E884" s="330"/>
      <c r="F884" s="330"/>
      <c r="G884" s="562"/>
      <c r="H884" s="562"/>
      <c r="I884" s="562"/>
      <c r="J884" s="561"/>
      <c r="K884" s="107" t="s">
        <v>5802</v>
      </c>
      <c r="L884" s="107" t="s">
        <v>5803</v>
      </c>
      <c r="M884" s="107"/>
      <c r="N884" s="330"/>
      <c r="O884" s="395"/>
      <c r="P884" s="333"/>
      <c r="Q884" s="330"/>
      <c r="R884" s="562">
        <v>0</v>
      </c>
      <c r="S884" s="333">
        <v>0</v>
      </c>
      <c r="T884" s="333">
        <v>-48572</v>
      </c>
      <c r="U884" s="333">
        <f t="shared" si="136"/>
        <v>-48572</v>
      </c>
      <c r="V884" s="333">
        <v>0</v>
      </c>
      <c r="W884" s="333">
        <v>0</v>
      </c>
      <c r="X884" s="333">
        <v>0</v>
      </c>
      <c r="Y884" s="333">
        <v>0</v>
      </c>
      <c r="Z884" s="333">
        <v>0</v>
      </c>
      <c r="AA884" s="333">
        <v>0</v>
      </c>
      <c r="AB884" s="333">
        <v>0</v>
      </c>
      <c r="AC884" s="333">
        <v>0</v>
      </c>
      <c r="AD884" s="333">
        <v>0</v>
      </c>
      <c r="AE884" s="333"/>
      <c r="AF884" s="333"/>
      <c r="AG884" s="333">
        <f t="shared" si="137"/>
        <v>-48572</v>
      </c>
      <c r="AH884" s="330"/>
      <c r="AI884" s="330">
        <v>0</v>
      </c>
      <c r="AJ884" s="396">
        <f t="shared" si="138"/>
        <v>-48572</v>
      </c>
      <c r="AK884" s="563"/>
      <c r="AL884" s="285">
        <f t="shared" si="140"/>
        <v>0</v>
      </c>
      <c r="AM884" s="286"/>
      <c r="AO884" s="107" t="s">
        <v>5802</v>
      </c>
    </row>
    <row r="885" spans="1:41">
      <c r="A885" s="587">
        <f t="shared" si="139"/>
        <v>882</v>
      </c>
      <c r="B885" s="107" t="s">
        <v>1643</v>
      </c>
      <c r="C885" s="330"/>
      <c r="D885" s="330"/>
      <c r="E885" s="330"/>
      <c r="F885" s="330"/>
      <c r="G885" s="562"/>
      <c r="H885" s="562"/>
      <c r="I885" s="562"/>
      <c r="J885" s="561"/>
      <c r="K885" s="107" t="s">
        <v>5804</v>
      </c>
      <c r="L885" s="107" t="s">
        <v>5805</v>
      </c>
      <c r="M885" s="107"/>
      <c r="N885" s="330"/>
      <c r="O885" s="395"/>
      <c r="P885" s="333"/>
      <c r="Q885" s="330"/>
      <c r="R885" s="562">
        <v>0</v>
      </c>
      <c r="S885" s="333">
        <v>0</v>
      </c>
      <c r="T885" s="333">
        <v>-48572</v>
      </c>
      <c r="U885" s="333">
        <f t="shared" si="136"/>
        <v>-48572</v>
      </c>
      <c r="V885" s="333">
        <v>0</v>
      </c>
      <c r="W885" s="333">
        <v>0</v>
      </c>
      <c r="X885" s="333">
        <v>0</v>
      </c>
      <c r="Y885" s="333">
        <v>0</v>
      </c>
      <c r="Z885" s="333">
        <v>0</v>
      </c>
      <c r="AA885" s="333">
        <v>0</v>
      </c>
      <c r="AB885" s="333">
        <v>0</v>
      </c>
      <c r="AC885" s="333">
        <v>0</v>
      </c>
      <c r="AD885" s="333">
        <v>0</v>
      </c>
      <c r="AE885" s="333"/>
      <c r="AF885" s="333"/>
      <c r="AG885" s="333">
        <f t="shared" si="137"/>
        <v>-48572</v>
      </c>
      <c r="AH885" s="330"/>
      <c r="AI885" s="330">
        <v>0</v>
      </c>
      <c r="AJ885" s="396">
        <f t="shared" si="138"/>
        <v>-48572</v>
      </c>
      <c r="AK885" s="563"/>
      <c r="AL885" s="285">
        <f t="shared" si="140"/>
        <v>0</v>
      </c>
      <c r="AM885" s="286"/>
      <c r="AO885" s="107" t="s">
        <v>5804</v>
      </c>
    </row>
    <row r="886" spans="1:41">
      <c r="A886" s="587">
        <f t="shared" si="139"/>
        <v>883</v>
      </c>
      <c r="B886" s="107" t="s">
        <v>1643</v>
      </c>
      <c r="C886" s="330"/>
      <c r="D886" s="330"/>
      <c r="E886" s="330"/>
      <c r="F886" s="330"/>
      <c r="G886" s="562"/>
      <c r="H886" s="562"/>
      <c r="I886" s="562"/>
      <c r="J886" s="561"/>
      <c r="K886" s="107" t="s">
        <v>5806</v>
      </c>
      <c r="L886" s="107" t="s">
        <v>5807</v>
      </c>
      <c r="M886" s="107"/>
      <c r="N886" s="330"/>
      <c r="O886" s="395"/>
      <c r="P886" s="333"/>
      <c r="Q886" s="330"/>
      <c r="R886" s="562">
        <v>0</v>
      </c>
      <c r="S886" s="333">
        <v>0</v>
      </c>
      <c r="T886" s="333">
        <v>-150000.00000000003</v>
      </c>
      <c r="U886" s="333">
        <f t="shared" si="136"/>
        <v>-150000.00000000003</v>
      </c>
      <c r="V886" s="333">
        <v>0</v>
      </c>
      <c r="W886" s="333">
        <v>0</v>
      </c>
      <c r="X886" s="333">
        <v>0</v>
      </c>
      <c r="Y886" s="333">
        <v>0</v>
      </c>
      <c r="Z886" s="333">
        <v>0</v>
      </c>
      <c r="AA886" s="333">
        <v>0</v>
      </c>
      <c r="AB886" s="333">
        <v>0</v>
      </c>
      <c r="AC886" s="333">
        <v>0</v>
      </c>
      <c r="AD886" s="333">
        <v>0</v>
      </c>
      <c r="AE886" s="333"/>
      <c r="AF886" s="333"/>
      <c r="AG886" s="333">
        <f t="shared" si="137"/>
        <v>-150000.00000000003</v>
      </c>
      <c r="AH886" s="330"/>
      <c r="AI886" s="330">
        <v>0</v>
      </c>
      <c r="AJ886" s="396">
        <f t="shared" si="138"/>
        <v>-150000.00000000003</v>
      </c>
      <c r="AK886" s="563"/>
      <c r="AL886" s="285">
        <f t="shared" si="140"/>
        <v>0</v>
      </c>
      <c r="AM886" s="286"/>
      <c r="AO886" s="107" t="s">
        <v>5806</v>
      </c>
    </row>
    <row r="887" spans="1:41">
      <c r="A887" s="587">
        <f t="shared" si="139"/>
        <v>884</v>
      </c>
      <c r="B887" s="569" t="s">
        <v>1643</v>
      </c>
      <c r="C887" s="564"/>
      <c r="D887" s="330"/>
      <c r="E887" s="330"/>
      <c r="F887" s="330"/>
      <c r="G887" s="562"/>
      <c r="H887" s="562"/>
      <c r="I887" s="562"/>
      <c r="J887" s="561"/>
      <c r="K887" s="569" t="s">
        <v>5808</v>
      </c>
      <c r="L887" s="569" t="s">
        <v>5809</v>
      </c>
      <c r="M887" s="107"/>
      <c r="N887" s="330"/>
      <c r="O887" s="395"/>
      <c r="P887" s="333"/>
      <c r="Q887" s="330"/>
      <c r="R887" s="562">
        <v>0</v>
      </c>
      <c r="S887" s="333">
        <v>0</v>
      </c>
      <c r="T887" s="333">
        <v>1530463.3599999999</v>
      </c>
      <c r="U887" s="333">
        <f t="shared" si="136"/>
        <v>1530463.3599999999</v>
      </c>
      <c r="V887" s="333">
        <v>0</v>
      </c>
      <c r="W887" s="333">
        <v>0</v>
      </c>
      <c r="X887" s="333">
        <v>0</v>
      </c>
      <c r="Y887" s="333">
        <v>0</v>
      </c>
      <c r="Z887" s="333">
        <v>0</v>
      </c>
      <c r="AA887" s="333">
        <v>0</v>
      </c>
      <c r="AB887" s="333">
        <v>0</v>
      </c>
      <c r="AC887" s="333">
        <v>5521326.1200000001</v>
      </c>
      <c r="AD887" s="333">
        <v>1332122.8</v>
      </c>
      <c r="AE887" s="333"/>
      <c r="AF887" s="333"/>
      <c r="AG887" s="565">
        <f t="shared" si="137"/>
        <v>8383912.2800000003</v>
      </c>
      <c r="AH887" s="330"/>
      <c r="AI887" s="330">
        <v>-5521326.120000001</v>
      </c>
      <c r="AJ887" s="396">
        <f t="shared" si="138"/>
        <v>8383912.2800000003</v>
      </c>
      <c r="AK887" s="563"/>
      <c r="AL887" s="285">
        <f t="shared" ref="AL887:AL888" si="144">+AC887+AI887</f>
        <v>0</v>
      </c>
      <c r="AM887" s="286"/>
      <c r="AO887" s="107" t="s">
        <v>5808</v>
      </c>
    </row>
    <row r="888" spans="1:41">
      <c r="A888" s="587">
        <f t="shared" si="139"/>
        <v>885</v>
      </c>
      <c r="B888" s="107" t="s">
        <v>1643</v>
      </c>
      <c r="C888" s="330"/>
      <c r="D888" s="330"/>
      <c r="E888" s="330"/>
      <c r="F888" s="330"/>
      <c r="G888" s="562"/>
      <c r="H888" s="562"/>
      <c r="I888" s="562"/>
      <c r="J888" s="561"/>
      <c r="K888" s="107" t="s">
        <v>5810</v>
      </c>
      <c r="L888" s="107" t="s">
        <v>5811</v>
      </c>
      <c r="M888" s="107"/>
      <c r="N888" s="330"/>
      <c r="O888" s="395"/>
      <c r="P888" s="333"/>
      <c r="Q888" s="330"/>
      <c r="R888" s="562">
        <v>0</v>
      </c>
      <c r="S888" s="333">
        <v>0</v>
      </c>
      <c r="T888" s="333">
        <v>-771006</v>
      </c>
      <c r="U888" s="333">
        <f t="shared" si="136"/>
        <v>-771006</v>
      </c>
      <c r="V888" s="333">
        <v>0</v>
      </c>
      <c r="W888" s="333">
        <v>0</v>
      </c>
      <c r="X888" s="333">
        <v>0</v>
      </c>
      <c r="Y888" s="333">
        <v>0</v>
      </c>
      <c r="Z888" s="333">
        <v>0</v>
      </c>
      <c r="AA888" s="333">
        <v>0</v>
      </c>
      <c r="AB888" s="333">
        <v>0</v>
      </c>
      <c r="AC888" s="333">
        <v>-7749</v>
      </c>
      <c r="AD888" s="333">
        <v>0</v>
      </c>
      <c r="AE888" s="333"/>
      <c r="AF888" s="333"/>
      <c r="AG888" s="333">
        <f t="shared" si="137"/>
        <v>-778755</v>
      </c>
      <c r="AH888" s="330"/>
      <c r="AI888" s="330">
        <v>7749</v>
      </c>
      <c r="AJ888" s="396">
        <f t="shared" si="138"/>
        <v>-778755</v>
      </c>
      <c r="AK888" s="563"/>
      <c r="AL888" s="285">
        <f t="shared" si="144"/>
        <v>0</v>
      </c>
      <c r="AM888" s="286"/>
      <c r="AO888" s="107" t="s">
        <v>5810</v>
      </c>
    </row>
    <row r="889" spans="1:41">
      <c r="A889" s="587">
        <f t="shared" si="139"/>
        <v>886</v>
      </c>
      <c r="B889" s="107" t="s">
        <v>1643</v>
      </c>
      <c r="C889" s="330"/>
      <c r="D889" s="330"/>
      <c r="E889" s="330"/>
      <c r="F889" s="330"/>
      <c r="G889" s="562"/>
      <c r="H889" s="562"/>
      <c r="I889" s="562"/>
      <c r="J889" s="561"/>
      <c r="K889" s="107" t="s">
        <v>5812</v>
      </c>
      <c r="L889" s="107" t="s">
        <v>5813</v>
      </c>
      <c r="M889" s="107"/>
      <c r="N889" s="330"/>
      <c r="O889" s="395"/>
      <c r="P889" s="333"/>
      <c r="Q889" s="330"/>
      <c r="R889" s="562">
        <v>0</v>
      </c>
      <c r="S889" s="333">
        <v>0</v>
      </c>
      <c r="T889" s="333">
        <v>-285714</v>
      </c>
      <c r="U889" s="333">
        <f t="shared" si="136"/>
        <v>-285714</v>
      </c>
      <c r="V889" s="333">
        <v>0</v>
      </c>
      <c r="W889" s="333">
        <v>0</v>
      </c>
      <c r="X889" s="333">
        <v>0</v>
      </c>
      <c r="Y889" s="333">
        <v>0</v>
      </c>
      <c r="Z889" s="333">
        <v>0</v>
      </c>
      <c r="AA889" s="333">
        <v>0</v>
      </c>
      <c r="AB889" s="333">
        <v>0</v>
      </c>
      <c r="AC889" s="333">
        <v>0</v>
      </c>
      <c r="AD889" s="333">
        <v>285714</v>
      </c>
      <c r="AE889" s="333"/>
      <c r="AF889" s="333"/>
      <c r="AG889" s="333">
        <f t="shared" si="137"/>
        <v>0</v>
      </c>
      <c r="AH889" s="330"/>
      <c r="AI889" s="330">
        <v>0</v>
      </c>
      <c r="AJ889" s="396">
        <f t="shared" si="138"/>
        <v>0</v>
      </c>
      <c r="AK889" s="563"/>
      <c r="AL889" s="285">
        <f t="shared" si="140"/>
        <v>0</v>
      </c>
      <c r="AM889" s="286"/>
      <c r="AO889" s="107" t="s">
        <v>5812</v>
      </c>
    </row>
    <row r="890" spans="1:41">
      <c r="A890" s="587">
        <f t="shared" si="139"/>
        <v>887</v>
      </c>
      <c r="B890" s="107" t="s">
        <v>1643</v>
      </c>
      <c r="C890" s="330"/>
      <c r="D890" s="330"/>
      <c r="E890" s="330"/>
      <c r="F890" s="330"/>
      <c r="G890" s="562"/>
      <c r="H890" s="562"/>
      <c r="I890" s="562"/>
      <c r="J890" s="561"/>
      <c r="K890" s="107" t="s">
        <v>5814</v>
      </c>
      <c r="L890" s="107" t="s">
        <v>5815</v>
      </c>
      <c r="M890" s="107"/>
      <c r="N890" s="330"/>
      <c r="O890" s="395"/>
      <c r="P890" s="333"/>
      <c r="Q890" s="330"/>
      <c r="R890" s="562">
        <v>0</v>
      </c>
      <c r="S890" s="333">
        <v>0</v>
      </c>
      <c r="T890" s="333">
        <v>-89999.999999999971</v>
      </c>
      <c r="U890" s="333">
        <f t="shared" si="136"/>
        <v>-89999.999999999971</v>
      </c>
      <c r="V890" s="333">
        <v>0</v>
      </c>
      <c r="W890" s="333">
        <v>0</v>
      </c>
      <c r="X890" s="333">
        <v>0</v>
      </c>
      <c r="Y890" s="333">
        <v>0</v>
      </c>
      <c r="Z890" s="333">
        <v>0</v>
      </c>
      <c r="AA890" s="333">
        <v>0</v>
      </c>
      <c r="AB890" s="333">
        <v>0</v>
      </c>
      <c r="AC890" s="333">
        <v>0</v>
      </c>
      <c r="AD890" s="333">
        <v>0</v>
      </c>
      <c r="AE890" s="333"/>
      <c r="AF890" s="333"/>
      <c r="AG890" s="333">
        <f t="shared" si="137"/>
        <v>-89999.999999999971</v>
      </c>
      <c r="AH890" s="330"/>
      <c r="AI890" s="330">
        <v>0</v>
      </c>
      <c r="AJ890" s="396">
        <f t="shared" si="138"/>
        <v>-89999.999999999971</v>
      </c>
      <c r="AK890" s="563"/>
      <c r="AL890" s="285">
        <f t="shared" si="140"/>
        <v>0</v>
      </c>
      <c r="AM890" s="286"/>
      <c r="AO890" s="107" t="s">
        <v>5814</v>
      </c>
    </row>
    <row r="891" spans="1:41">
      <c r="A891" s="587">
        <f t="shared" si="139"/>
        <v>888</v>
      </c>
      <c r="B891" s="107" t="s">
        <v>1643</v>
      </c>
      <c r="C891" s="330"/>
      <c r="D891" s="330"/>
      <c r="E891" s="330"/>
      <c r="F891" s="330"/>
      <c r="G891" s="562"/>
      <c r="H891" s="562"/>
      <c r="I891" s="562"/>
      <c r="J891" s="561"/>
      <c r="K891" s="107" t="s">
        <v>5816</v>
      </c>
      <c r="L891" s="107" t="s">
        <v>5817</v>
      </c>
      <c r="M891" s="107"/>
      <c r="N891" s="330"/>
      <c r="O891" s="395"/>
      <c r="P891" s="333"/>
      <c r="Q891" s="330"/>
      <c r="R891" s="562">
        <v>0</v>
      </c>
      <c r="S891" s="333">
        <v>0</v>
      </c>
      <c r="T891" s="333">
        <v>-95238</v>
      </c>
      <c r="U891" s="333">
        <f t="shared" si="136"/>
        <v>-95238</v>
      </c>
      <c r="V891" s="333">
        <v>95238</v>
      </c>
      <c r="W891" s="333">
        <v>0</v>
      </c>
      <c r="X891" s="333">
        <v>0</v>
      </c>
      <c r="Y891" s="333">
        <v>0</v>
      </c>
      <c r="Z891" s="333">
        <v>0</v>
      </c>
      <c r="AA891" s="333">
        <v>0</v>
      </c>
      <c r="AB891" s="333">
        <v>0</v>
      </c>
      <c r="AC891" s="333">
        <v>0</v>
      </c>
      <c r="AD891" s="333">
        <v>0</v>
      </c>
      <c r="AE891" s="333"/>
      <c r="AF891" s="333"/>
      <c r="AG891" s="333">
        <f t="shared" si="137"/>
        <v>0</v>
      </c>
      <c r="AH891" s="330"/>
      <c r="AI891" s="330">
        <v>0</v>
      </c>
      <c r="AJ891" s="396">
        <f t="shared" si="138"/>
        <v>0</v>
      </c>
      <c r="AK891" s="563"/>
      <c r="AL891" s="285">
        <f t="shared" si="140"/>
        <v>0</v>
      </c>
      <c r="AM891" s="286"/>
      <c r="AO891" s="107" t="s">
        <v>5816</v>
      </c>
    </row>
    <row r="892" spans="1:41">
      <c r="A892" s="587">
        <f t="shared" si="139"/>
        <v>889</v>
      </c>
      <c r="B892" s="107" t="s">
        <v>1643</v>
      </c>
      <c r="C892" s="330"/>
      <c r="D892" s="330"/>
      <c r="E892" s="330"/>
      <c r="F892" s="330"/>
      <c r="G892" s="562"/>
      <c r="H892" s="562"/>
      <c r="I892" s="562"/>
      <c r="J892" s="561"/>
      <c r="K892" s="107" t="s">
        <v>5818</v>
      </c>
      <c r="L892" s="107" t="s">
        <v>5819</v>
      </c>
      <c r="M892" s="107"/>
      <c r="N892" s="330"/>
      <c r="O892" s="395"/>
      <c r="P892" s="333"/>
      <c r="Q892" s="330"/>
      <c r="R892" s="562">
        <v>0</v>
      </c>
      <c r="S892" s="333">
        <v>0</v>
      </c>
      <c r="T892" s="333">
        <v>-48572</v>
      </c>
      <c r="U892" s="333">
        <f t="shared" si="136"/>
        <v>-48572</v>
      </c>
      <c r="V892" s="333">
        <v>0</v>
      </c>
      <c r="W892" s="333">
        <v>0</v>
      </c>
      <c r="X892" s="333">
        <v>0</v>
      </c>
      <c r="Y892" s="333">
        <v>0</v>
      </c>
      <c r="Z892" s="333">
        <v>0</v>
      </c>
      <c r="AA892" s="333">
        <v>0</v>
      </c>
      <c r="AB892" s="333">
        <v>0</v>
      </c>
      <c r="AC892" s="333">
        <v>0</v>
      </c>
      <c r="AD892" s="333">
        <v>0</v>
      </c>
      <c r="AE892" s="333"/>
      <c r="AF892" s="333"/>
      <c r="AG892" s="333">
        <f t="shared" si="137"/>
        <v>-48572</v>
      </c>
      <c r="AH892" s="330"/>
      <c r="AI892" s="330">
        <v>0</v>
      </c>
      <c r="AJ892" s="396">
        <f t="shared" si="138"/>
        <v>-48572</v>
      </c>
      <c r="AK892" s="563"/>
      <c r="AL892" s="285">
        <f t="shared" si="140"/>
        <v>0</v>
      </c>
      <c r="AM892" s="286"/>
      <c r="AO892" s="107" t="s">
        <v>5818</v>
      </c>
    </row>
    <row r="893" spans="1:41">
      <c r="A893" s="587">
        <f t="shared" si="139"/>
        <v>890</v>
      </c>
      <c r="B893" s="107" t="s">
        <v>1643</v>
      </c>
      <c r="C893" s="330"/>
      <c r="D893" s="330"/>
      <c r="E893" s="330"/>
      <c r="F893" s="330"/>
      <c r="G893" s="562"/>
      <c r="H893" s="562"/>
      <c r="I893" s="562"/>
      <c r="J893" s="561"/>
      <c r="K893" s="107" t="s">
        <v>5820</v>
      </c>
      <c r="L893" s="107" t="s">
        <v>5821</v>
      </c>
      <c r="M893" s="107"/>
      <c r="N893" s="330"/>
      <c r="O893" s="395"/>
      <c r="P893" s="333"/>
      <c r="Q893" s="330"/>
      <c r="R893" s="562">
        <v>0</v>
      </c>
      <c r="S893" s="333">
        <v>0</v>
      </c>
      <c r="T893" s="333">
        <v>-51000</v>
      </c>
      <c r="U893" s="333">
        <f t="shared" si="136"/>
        <v>-51000</v>
      </c>
      <c r="V893" s="333">
        <v>0</v>
      </c>
      <c r="W893" s="333">
        <v>0</v>
      </c>
      <c r="X893" s="333">
        <v>0</v>
      </c>
      <c r="Y893" s="333">
        <v>0</v>
      </c>
      <c r="Z893" s="333">
        <v>0</v>
      </c>
      <c r="AA893" s="333">
        <v>0</v>
      </c>
      <c r="AB893" s="333">
        <v>0</v>
      </c>
      <c r="AC893" s="333">
        <v>0</v>
      </c>
      <c r="AD893" s="333">
        <v>0</v>
      </c>
      <c r="AE893" s="333"/>
      <c r="AF893" s="333"/>
      <c r="AG893" s="333">
        <f t="shared" si="137"/>
        <v>-51000</v>
      </c>
      <c r="AH893" s="330"/>
      <c r="AI893" s="330">
        <v>0</v>
      </c>
      <c r="AJ893" s="396">
        <f t="shared" si="138"/>
        <v>-51000</v>
      </c>
      <c r="AK893" s="563"/>
      <c r="AL893" s="285">
        <f t="shared" si="140"/>
        <v>0</v>
      </c>
      <c r="AM893" s="286"/>
      <c r="AO893" s="107" t="s">
        <v>5820</v>
      </c>
    </row>
    <row r="894" spans="1:41">
      <c r="A894" s="587">
        <f t="shared" si="139"/>
        <v>891</v>
      </c>
      <c r="B894" s="107" t="s">
        <v>1643</v>
      </c>
      <c r="C894" s="330"/>
      <c r="D894" s="330"/>
      <c r="E894" s="330"/>
      <c r="F894" s="330"/>
      <c r="G894" s="562"/>
      <c r="H894" s="562"/>
      <c r="I894" s="562"/>
      <c r="J894" s="561"/>
      <c r="K894" s="107" t="s">
        <v>5822</v>
      </c>
      <c r="L894" s="107" t="s">
        <v>5823</v>
      </c>
      <c r="M894" s="107"/>
      <c r="N894" s="330"/>
      <c r="O894" s="395"/>
      <c r="P894" s="333"/>
      <c r="Q894" s="330"/>
      <c r="R894" s="562">
        <v>0</v>
      </c>
      <c r="S894" s="333">
        <v>0</v>
      </c>
      <c r="T894" s="333">
        <v>-48572</v>
      </c>
      <c r="U894" s="333">
        <f t="shared" si="136"/>
        <v>-48572</v>
      </c>
      <c r="V894" s="333">
        <v>0</v>
      </c>
      <c r="W894" s="333">
        <v>0</v>
      </c>
      <c r="X894" s="333">
        <v>0</v>
      </c>
      <c r="Y894" s="333">
        <v>0</v>
      </c>
      <c r="Z894" s="333">
        <v>0</v>
      </c>
      <c r="AA894" s="333">
        <v>0</v>
      </c>
      <c r="AB894" s="333">
        <v>0</v>
      </c>
      <c r="AC894" s="333">
        <v>0</v>
      </c>
      <c r="AD894" s="333">
        <v>48572</v>
      </c>
      <c r="AE894" s="333"/>
      <c r="AF894" s="333"/>
      <c r="AG894" s="333">
        <f t="shared" si="137"/>
        <v>0</v>
      </c>
      <c r="AH894" s="330"/>
      <c r="AI894" s="330">
        <v>0</v>
      </c>
      <c r="AJ894" s="396">
        <f t="shared" si="138"/>
        <v>0</v>
      </c>
      <c r="AK894" s="563"/>
      <c r="AL894" s="285">
        <f t="shared" si="140"/>
        <v>0</v>
      </c>
      <c r="AM894" s="286"/>
      <c r="AO894" s="107" t="s">
        <v>5822</v>
      </c>
    </row>
    <row r="895" spans="1:41">
      <c r="A895" s="587">
        <f t="shared" si="139"/>
        <v>892</v>
      </c>
      <c r="B895" s="107" t="s">
        <v>1643</v>
      </c>
      <c r="C895" s="330"/>
      <c r="D895" s="330"/>
      <c r="E895" s="330"/>
      <c r="F895" s="330"/>
      <c r="G895" s="562"/>
      <c r="H895" s="562"/>
      <c r="I895" s="562"/>
      <c r="J895" s="561"/>
      <c r="K895" s="107" t="s">
        <v>5824</v>
      </c>
      <c r="L895" s="107" t="s">
        <v>5825</v>
      </c>
      <c r="M895" s="107"/>
      <c r="N895" s="330"/>
      <c r="O895" s="395"/>
      <c r="P895" s="333"/>
      <c r="Q895" s="330"/>
      <c r="R895" s="562">
        <v>0</v>
      </c>
      <c r="S895" s="333">
        <v>0</v>
      </c>
      <c r="T895" s="333">
        <v>-90000</v>
      </c>
      <c r="U895" s="333">
        <f t="shared" si="136"/>
        <v>-90000</v>
      </c>
      <c r="V895" s="333">
        <v>0</v>
      </c>
      <c r="W895" s="333">
        <v>0</v>
      </c>
      <c r="X895" s="333">
        <v>0</v>
      </c>
      <c r="Y895" s="333">
        <v>0</v>
      </c>
      <c r="Z895" s="333">
        <v>0</v>
      </c>
      <c r="AA895" s="333">
        <v>0</v>
      </c>
      <c r="AB895" s="333">
        <v>0</v>
      </c>
      <c r="AC895" s="333">
        <v>0</v>
      </c>
      <c r="AD895" s="333">
        <v>0</v>
      </c>
      <c r="AE895" s="333"/>
      <c r="AF895" s="333"/>
      <c r="AG895" s="333">
        <f t="shared" si="137"/>
        <v>-90000</v>
      </c>
      <c r="AH895" s="330"/>
      <c r="AI895" s="330">
        <v>0</v>
      </c>
      <c r="AJ895" s="396">
        <f t="shared" si="138"/>
        <v>-90000</v>
      </c>
      <c r="AK895" s="563"/>
      <c r="AL895" s="285">
        <f t="shared" si="140"/>
        <v>0</v>
      </c>
      <c r="AM895" s="286"/>
      <c r="AO895" s="107" t="s">
        <v>5824</v>
      </c>
    </row>
    <row r="896" spans="1:41">
      <c r="A896" s="587">
        <f t="shared" si="139"/>
        <v>893</v>
      </c>
      <c r="B896" s="107" t="s">
        <v>1643</v>
      </c>
      <c r="C896" s="330"/>
      <c r="D896" s="330"/>
      <c r="E896" s="330"/>
      <c r="F896" s="330"/>
      <c r="G896" s="562"/>
      <c r="H896" s="562"/>
      <c r="I896" s="562"/>
      <c r="J896" s="561"/>
      <c r="K896" s="107" t="s">
        <v>5826</v>
      </c>
      <c r="L896" s="107" t="s">
        <v>5827</v>
      </c>
      <c r="M896" s="107"/>
      <c r="N896" s="330"/>
      <c r="O896" s="395"/>
      <c r="P896" s="333"/>
      <c r="Q896" s="330"/>
      <c r="R896" s="562">
        <v>0</v>
      </c>
      <c r="S896" s="333">
        <v>0</v>
      </c>
      <c r="T896" s="333">
        <v>-150000</v>
      </c>
      <c r="U896" s="333">
        <f t="shared" si="136"/>
        <v>-150000</v>
      </c>
      <c r="V896" s="333">
        <v>150000</v>
      </c>
      <c r="W896" s="333">
        <v>0</v>
      </c>
      <c r="X896" s="333">
        <v>0</v>
      </c>
      <c r="Y896" s="333">
        <v>0</v>
      </c>
      <c r="Z896" s="333">
        <v>0</v>
      </c>
      <c r="AA896" s="333">
        <v>0</v>
      </c>
      <c r="AB896" s="333">
        <v>0</v>
      </c>
      <c r="AC896" s="333">
        <v>0</v>
      </c>
      <c r="AD896" s="333">
        <v>0</v>
      </c>
      <c r="AE896" s="333"/>
      <c r="AF896" s="333"/>
      <c r="AG896" s="333">
        <f t="shared" si="137"/>
        <v>0</v>
      </c>
      <c r="AH896" s="330"/>
      <c r="AI896" s="330">
        <v>0</v>
      </c>
      <c r="AJ896" s="396">
        <f t="shared" si="138"/>
        <v>0</v>
      </c>
      <c r="AK896" s="563"/>
      <c r="AL896" s="285">
        <f t="shared" si="140"/>
        <v>0</v>
      </c>
      <c r="AM896" s="286"/>
      <c r="AO896" s="107" t="s">
        <v>5826</v>
      </c>
    </row>
    <row r="897" spans="1:41">
      <c r="A897" s="587">
        <f t="shared" si="139"/>
        <v>894</v>
      </c>
      <c r="B897" s="107" t="s">
        <v>1643</v>
      </c>
      <c r="C897" s="330"/>
      <c r="D897" s="330"/>
      <c r="E897" s="330"/>
      <c r="F897" s="330"/>
      <c r="G897" s="562"/>
      <c r="H897" s="562"/>
      <c r="I897" s="562"/>
      <c r="J897" s="561"/>
      <c r="K897" s="107" t="s">
        <v>5828</v>
      </c>
      <c r="L897" s="107" t="s">
        <v>5829</v>
      </c>
      <c r="M897" s="107"/>
      <c r="N897" s="330"/>
      <c r="O897" s="395"/>
      <c r="P897" s="333"/>
      <c r="Q897" s="330"/>
      <c r="R897" s="562">
        <v>0</v>
      </c>
      <c r="S897" s="333">
        <v>0</v>
      </c>
      <c r="T897" s="333">
        <v>-142856</v>
      </c>
      <c r="U897" s="333">
        <f t="shared" si="136"/>
        <v>-142856</v>
      </c>
      <c r="V897" s="333">
        <v>0</v>
      </c>
      <c r="W897" s="333">
        <v>0</v>
      </c>
      <c r="X897" s="333">
        <v>0</v>
      </c>
      <c r="Y897" s="333">
        <v>0</v>
      </c>
      <c r="Z897" s="333">
        <v>0</v>
      </c>
      <c r="AA897" s="333">
        <v>0</v>
      </c>
      <c r="AB897" s="333">
        <v>0</v>
      </c>
      <c r="AC897" s="333">
        <v>0</v>
      </c>
      <c r="AD897" s="333">
        <v>0</v>
      </c>
      <c r="AE897" s="333"/>
      <c r="AF897" s="333"/>
      <c r="AG897" s="333">
        <f t="shared" si="137"/>
        <v>-142856</v>
      </c>
      <c r="AH897" s="330"/>
      <c r="AI897" s="330">
        <v>0</v>
      </c>
      <c r="AJ897" s="396">
        <f t="shared" si="138"/>
        <v>-142856</v>
      </c>
      <c r="AK897" s="563"/>
      <c r="AL897" s="285">
        <f t="shared" si="140"/>
        <v>0</v>
      </c>
      <c r="AM897" s="286"/>
      <c r="AO897" s="107" t="s">
        <v>5828</v>
      </c>
    </row>
    <row r="898" spans="1:41">
      <c r="A898" s="587">
        <f t="shared" si="139"/>
        <v>895</v>
      </c>
      <c r="B898" s="107" t="s">
        <v>1643</v>
      </c>
      <c r="C898" s="330"/>
      <c r="D898" s="330"/>
      <c r="E898" s="330"/>
      <c r="F898" s="330"/>
      <c r="G898" s="562"/>
      <c r="H898" s="562"/>
      <c r="I898" s="562"/>
      <c r="J898" s="561"/>
      <c r="K898" s="107" t="s">
        <v>5830</v>
      </c>
      <c r="L898" s="107" t="s">
        <v>5831</v>
      </c>
      <c r="M898" s="107"/>
      <c r="N898" s="330"/>
      <c r="O898" s="395"/>
      <c r="P898" s="333"/>
      <c r="Q898" s="330"/>
      <c r="R898" s="562">
        <v>0</v>
      </c>
      <c r="S898" s="333">
        <v>0</v>
      </c>
      <c r="T898" s="333">
        <v>-142858</v>
      </c>
      <c r="U898" s="333">
        <f t="shared" si="136"/>
        <v>-142858</v>
      </c>
      <c r="V898" s="333">
        <v>0</v>
      </c>
      <c r="W898" s="333">
        <v>0</v>
      </c>
      <c r="X898" s="333">
        <v>0</v>
      </c>
      <c r="Y898" s="333">
        <v>0</v>
      </c>
      <c r="Z898" s="333">
        <v>0</v>
      </c>
      <c r="AA898" s="333">
        <v>0</v>
      </c>
      <c r="AB898" s="333">
        <v>0</v>
      </c>
      <c r="AC898" s="333">
        <v>0</v>
      </c>
      <c r="AD898" s="333">
        <v>142858</v>
      </c>
      <c r="AE898" s="333"/>
      <c r="AF898" s="333"/>
      <c r="AG898" s="333">
        <f t="shared" si="137"/>
        <v>0</v>
      </c>
      <c r="AH898" s="330"/>
      <c r="AI898" s="330">
        <v>0</v>
      </c>
      <c r="AJ898" s="396">
        <f t="shared" si="138"/>
        <v>0</v>
      </c>
      <c r="AK898" s="563"/>
      <c r="AL898" s="285">
        <f t="shared" si="140"/>
        <v>0</v>
      </c>
      <c r="AM898" s="286"/>
      <c r="AO898" s="107" t="s">
        <v>5830</v>
      </c>
    </row>
    <row r="899" spans="1:41">
      <c r="A899" s="587">
        <f t="shared" si="139"/>
        <v>896</v>
      </c>
      <c r="B899" s="107" t="s">
        <v>1643</v>
      </c>
      <c r="C899" s="330"/>
      <c r="D899" s="330"/>
      <c r="E899" s="330"/>
      <c r="F899" s="330"/>
      <c r="G899" s="562"/>
      <c r="H899" s="562"/>
      <c r="I899" s="562"/>
      <c r="J899" s="561"/>
      <c r="K899" s="107" t="s">
        <v>5832</v>
      </c>
      <c r="L899" s="107" t="s">
        <v>5833</v>
      </c>
      <c r="M899" s="107"/>
      <c r="N899" s="330"/>
      <c r="O899" s="395"/>
      <c r="P899" s="333"/>
      <c r="Q899" s="330"/>
      <c r="R899" s="562">
        <v>0</v>
      </c>
      <c r="S899" s="333">
        <v>0</v>
      </c>
      <c r="T899" s="333">
        <v>-142858</v>
      </c>
      <c r="U899" s="333">
        <f t="shared" si="136"/>
        <v>-142858</v>
      </c>
      <c r="V899" s="333">
        <v>0</v>
      </c>
      <c r="W899" s="333">
        <v>0</v>
      </c>
      <c r="X899" s="333">
        <v>0</v>
      </c>
      <c r="Y899" s="333">
        <v>0</v>
      </c>
      <c r="Z899" s="333">
        <v>0</v>
      </c>
      <c r="AA899" s="333">
        <v>0</v>
      </c>
      <c r="AB899" s="333">
        <v>0</v>
      </c>
      <c r="AC899" s="333">
        <v>0</v>
      </c>
      <c r="AD899" s="333">
        <v>0</v>
      </c>
      <c r="AE899" s="333"/>
      <c r="AF899" s="333"/>
      <c r="AG899" s="333">
        <f t="shared" si="137"/>
        <v>-142858</v>
      </c>
      <c r="AH899" s="330"/>
      <c r="AI899" s="330">
        <v>0</v>
      </c>
      <c r="AJ899" s="396">
        <f t="shared" si="138"/>
        <v>-142858</v>
      </c>
      <c r="AK899" s="563"/>
      <c r="AL899" s="285">
        <f t="shared" si="140"/>
        <v>0</v>
      </c>
      <c r="AM899" s="286"/>
      <c r="AO899" s="107" t="s">
        <v>5832</v>
      </c>
    </row>
    <row r="900" spans="1:41">
      <c r="A900" s="587">
        <f t="shared" si="139"/>
        <v>897</v>
      </c>
      <c r="B900" s="107" t="s">
        <v>1643</v>
      </c>
      <c r="C900" s="330"/>
      <c r="D900" s="330"/>
      <c r="E900" s="330"/>
      <c r="F900" s="330"/>
      <c r="G900" s="562"/>
      <c r="H900" s="562"/>
      <c r="I900" s="562"/>
      <c r="J900" s="561"/>
      <c r="K900" s="107" t="s">
        <v>5834</v>
      </c>
      <c r="L900" s="107" t="s">
        <v>5835</v>
      </c>
      <c r="M900" s="107"/>
      <c r="N900" s="330"/>
      <c r="O900" s="395"/>
      <c r="P900" s="333"/>
      <c r="Q900" s="330"/>
      <c r="R900" s="562">
        <v>0</v>
      </c>
      <c r="S900" s="333">
        <v>0</v>
      </c>
      <c r="T900" s="333">
        <v>-90000</v>
      </c>
      <c r="U900" s="333">
        <f t="shared" ref="U900:U948" si="145">SUM(R900:T900)</f>
        <v>-90000</v>
      </c>
      <c r="V900" s="333">
        <v>90000</v>
      </c>
      <c r="W900" s="333">
        <v>0</v>
      </c>
      <c r="X900" s="333">
        <v>0</v>
      </c>
      <c r="Y900" s="333">
        <v>0</v>
      </c>
      <c r="Z900" s="333">
        <v>0</v>
      </c>
      <c r="AA900" s="333">
        <v>0</v>
      </c>
      <c r="AB900" s="333">
        <v>0</v>
      </c>
      <c r="AC900" s="333">
        <v>0</v>
      </c>
      <c r="AD900" s="333">
        <v>0</v>
      </c>
      <c r="AE900" s="333"/>
      <c r="AF900" s="333"/>
      <c r="AG900" s="333">
        <f t="shared" ref="AG900:AG947" si="146">SUM(U900:AF900)</f>
        <v>0</v>
      </c>
      <c r="AH900" s="330"/>
      <c r="AI900" s="330">
        <v>0</v>
      </c>
      <c r="AJ900" s="396">
        <f t="shared" si="138"/>
        <v>0</v>
      </c>
      <c r="AK900" s="563"/>
      <c r="AL900" s="285">
        <f t="shared" si="140"/>
        <v>0</v>
      </c>
      <c r="AM900" s="286"/>
      <c r="AO900" s="107" t="s">
        <v>5834</v>
      </c>
    </row>
    <row r="901" spans="1:41">
      <c r="A901" s="587">
        <f t="shared" si="139"/>
        <v>898</v>
      </c>
      <c r="B901" s="107" t="s">
        <v>1643</v>
      </c>
      <c r="C901" s="330"/>
      <c r="D901" s="330"/>
      <c r="E901" s="330"/>
      <c r="F901" s="330"/>
      <c r="G901" s="562"/>
      <c r="H901" s="562"/>
      <c r="I901" s="562"/>
      <c r="J901" s="561"/>
      <c r="K901" s="107" t="s">
        <v>5836</v>
      </c>
      <c r="L901" s="107" t="s">
        <v>5837</v>
      </c>
      <c r="M901" s="107"/>
      <c r="N901" s="330"/>
      <c r="O901" s="395"/>
      <c r="P901" s="333"/>
      <c r="Q901" s="330"/>
      <c r="R901" s="562">
        <v>0</v>
      </c>
      <c r="S901" s="333">
        <v>0</v>
      </c>
      <c r="T901" s="333">
        <v>-150000</v>
      </c>
      <c r="U901" s="333">
        <f t="shared" si="145"/>
        <v>-150000</v>
      </c>
      <c r="V901" s="333">
        <v>0</v>
      </c>
      <c r="W901" s="333">
        <v>0</v>
      </c>
      <c r="X901" s="333">
        <v>0</v>
      </c>
      <c r="Y901" s="333">
        <v>0</v>
      </c>
      <c r="Z901" s="333">
        <v>0</v>
      </c>
      <c r="AA901" s="333">
        <v>0</v>
      </c>
      <c r="AB901" s="333">
        <v>0</v>
      </c>
      <c r="AC901" s="333">
        <v>0</v>
      </c>
      <c r="AD901" s="333">
        <v>0</v>
      </c>
      <c r="AE901" s="333"/>
      <c r="AF901" s="333"/>
      <c r="AG901" s="333">
        <f t="shared" si="146"/>
        <v>-150000</v>
      </c>
      <c r="AH901" s="330"/>
      <c r="AI901" s="330">
        <v>0</v>
      </c>
      <c r="AJ901" s="396">
        <f t="shared" ref="AJ901:AJ947" si="147">SUM(U901:AE901)</f>
        <v>-150000</v>
      </c>
      <c r="AK901" s="563"/>
      <c r="AL901" s="285">
        <f t="shared" si="140"/>
        <v>0</v>
      </c>
      <c r="AM901" s="286"/>
      <c r="AO901" s="107" t="s">
        <v>5836</v>
      </c>
    </row>
    <row r="902" spans="1:41">
      <c r="A902" s="587">
        <f t="shared" ref="A902:A948" si="148">A901+1</f>
        <v>899</v>
      </c>
      <c r="B902" s="107" t="s">
        <v>1643</v>
      </c>
      <c r="C902" s="330"/>
      <c r="D902" s="330"/>
      <c r="E902" s="330"/>
      <c r="F902" s="330"/>
      <c r="G902" s="562"/>
      <c r="H902" s="562"/>
      <c r="I902" s="562"/>
      <c r="J902" s="561"/>
      <c r="K902" s="107" t="s">
        <v>5838</v>
      </c>
      <c r="L902" s="107" t="s">
        <v>5839</v>
      </c>
      <c r="M902" s="107"/>
      <c r="N902" s="330"/>
      <c r="O902" s="395"/>
      <c r="P902" s="333"/>
      <c r="Q902" s="330"/>
      <c r="R902" s="562">
        <v>0</v>
      </c>
      <c r="S902" s="333">
        <v>0</v>
      </c>
      <c r="T902" s="333">
        <v>-142858</v>
      </c>
      <c r="U902" s="333">
        <f t="shared" si="145"/>
        <v>-142858</v>
      </c>
      <c r="V902" s="333">
        <v>0</v>
      </c>
      <c r="W902" s="333">
        <v>0</v>
      </c>
      <c r="X902" s="333">
        <v>0</v>
      </c>
      <c r="Y902" s="333">
        <v>0</v>
      </c>
      <c r="Z902" s="333">
        <v>0</v>
      </c>
      <c r="AA902" s="333">
        <v>0</v>
      </c>
      <c r="AB902" s="333">
        <v>0</v>
      </c>
      <c r="AC902" s="333">
        <v>0</v>
      </c>
      <c r="AD902" s="333">
        <v>142858</v>
      </c>
      <c r="AE902" s="333"/>
      <c r="AF902" s="333"/>
      <c r="AG902" s="333">
        <f t="shared" si="146"/>
        <v>0</v>
      </c>
      <c r="AH902" s="330"/>
      <c r="AI902" s="330">
        <v>0</v>
      </c>
      <c r="AJ902" s="396">
        <f t="shared" si="147"/>
        <v>0</v>
      </c>
      <c r="AK902" s="563"/>
      <c r="AL902" s="285">
        <f t="shared" ref="AL902:AL948" si="149">+AC902-AI902</f>
        <v>0</v>
      </c>
      <c r="AM902" s="286"/>
      <c r="AO902" s="107" t="s">
        <v>5838</v>
      </c>
    </row>
    <row r="903" spans="1:41">
      <c r="A903" s="587">
        <f t="shared" si="148"/>
        <v>900</v>
      </c>
      <c r="B903" s="107" t="s">
        <v>1643</v>
      </c>
      <c r="C903" s="330"/>
      <c r="D903" s="330"/>
      <c r="E903" s="330"/>
      <c r="F903" s="330"/>
      <c r="G903" s="562"/>
      <c r="H903" s="562"/>
      <c r="I903" s="562"/>
      <c r="J903" s="561"/>
      <c r="K903" s="107" t="s">
        <v>5840</v>
      </c>
      <c r="L903" s="107" t="s">
        <v>5841</v>
      </c>
      <c r="M903" s="107"/>
      <c r="N903" s="330"/>
      <c r="O903" s="395"/>
      <c r="P903" s="333"/>
      <c r="Q903" s="330"/>
      <c r="R903" s="562">
        <v>0</v>
      </c>
      <c r="S903" s="333">
        <v>0</v>
      </c>
      <c r="T903" s="333">
        <v>-94286</v>
      </c>
      <c r="U903" s="333">
        <f t="shared" si="145"/>
        <v>-94286</v>
      </c>
      <c r="V903" s="333">
        <v>0</v>
      </c>
      <c r="W903" s="333">
        <v>0</v>
      </c>
      <c r="X903" s="333">
        <v>0</v>
      </c>
      <c r="Y903" s="333">
        <v>0</v>
      </c>
      <c r="Z903" s="333">
        <v>0</v>
      </c>
      <c r="AA903" s="333">
        <v>0</v>
      </c>
      <c r="AB903" s="333">
        <v>0</v>
      </c>
      <c r="AC903" s="333">
        <v>0</v>
      </c>
      <c r="AD903" s="333">
        <v>0</v>
      </c>
      <c r="AE903" s="333"/>
      <c r="AF903" s="333"/>
      <c r="AG903" s="333">
        <f t="shared" si="146"/>
        <v>-94286</v>
      </c>
      <c r="AH903" s="330"/>
      <c r="AI903" s="330">
        <v>0</v>
      </c>
      <c r="AJ903" s="396">
        <f t="shared" si="147"/>
        <v>-94286</v>
      </c>
      <c r="AK903" s="563"/>
      <c r="AL903" s="285">
        <f t="shared" si="149"/>
        <v>0</v>
      </c>
      <c r="AM903" s="286"/>
      <c r="AO903" s="107" t="s">
        <v>5840</v>
      </c>
    </row>
    <row r="904" spans="1:41">
      <c r="A904" s="587">
        <f t="shared" si="148"/>
        <v>901</v>
      </c>
      <c r="B904" s="107" t="s">
        <v>1643</v>
      </c>
      <c r="C904" s="330"/>
      <c r="D904" s="330"/>
      <c r="E904" s="330"/>
      <c r="F904" s="330"/>
      <c r="G904" s="562"/>
      <c r="H904" s="562"/>
      <c r="I904" s="562"/>
      <c r="J904" s="561"/>
      <c r="K904" s="107" t="s">
        <v>5842</v>
      </c>
      <c r="L904" s="107" t="s">
        <v>5843</v>
      </c>
      <c r="M904" s="107"/>
      <c r="N904" s="330"/>
      <c r="O904" s="395"/>
      <c r="P904" s="333"/>
      <c r="Q904" s="330"/>
      <c r="R904" s="562">
        <v>0</v>
      </c>
      <c r="S904" s="333">
        <v>0</v>
      </c>
      <c r="T904" s="333">
        <v>-100000</v>
      </c>
      <c r="U904" s="333">
        <f t="shared" si="145"/>
        <v>-100000</v>
      </c>
      <c r="V904" s="333">
        <v>100000</v>
      </c>
      <c r="W904" s="333">
        <v>0</v>
      </c>
      <c r="X904" s="333">
        <v>0</v>
      </c>
      <c r="Y904" s="333">
        <v>0</v>
      </c>
      <c r="Z904" s="333">
        <v>0</v>
      </c>
      <c r="AA904" s="333">
        <v>0</v>
      </c>
      <c r="AB904" s="333">
        <v>0</v>
      </c>
      <c r="AC904" s="333">
        <v>0</v>
      </c>
      <c r="AD904" s="333">
        <v>0</v>
      </c>
      <c r="AE904" s="333"/>
      <c r="AF904" s="333"/>
      <c r="AG904" s="333">
        <f t="shared" si="146"/>
        <v>0</v>
      </c>
      <c r="AH904" s="330"/>
      <c r="AI904" s="330">
        <v>0</v>
      </c>
      <c r="AJ904" s="396">
        <f t="shared" si="147"/>
        <v>0</v>
      </c>
      <c r="AK904" s="563"/>
      <c r="AL904" s="285">
        <f t="shared" si="149"/>
        <v>0</v>
      </c>
      <c r="AM904" s="286"/>
      <c r="AO904" s="107" t="s">
        <v>5842</v>
      </c>
    </row>
    <row r="905" spans="1:41">
      <c r="A905" s="587">
        <f t="shared" si="148"/>
        <v>902</v>
      </c>
      <c r="B905" s="107" t="s">
        <v>1643</v>
      </c>
      <c r="C905" s="330"/>
      <c r="D905" s="330"/>
      <c r="E905" s="330"/>
      <c r="F905" s="330"/>
      <c r="G905" s="562"/>
      <c r="H905" s="562"/>
      <c r="I905" s="562"/>
      <c r="J905" s="561"/>
      <c r="K905" s="107" t="s">
        <v>5844</v>
      </c>
      <c r="L905" s="107" t="s">
        <v>5845</v>
      </c>
      <c r="M905" s="107"/>
      <c r="N905" s="330"/>
      <c r="O905" s="395"/>
      <c r="P905" s="333"/>
      <c r="Q905" s="330"/>
      <c r="R905" s="562">
        <v>0</v>
      </c>
      <c r="S905" s="333">
        <v>0</v>
      </c>
      <c r="T905" s="333">
        <v>-142858</v>
      </c>
      <c r="U905" s="333">
        <f t="shared" si="145"/>
        <v>-142858</v>
      </c>
      <c r="V905" s="333">
        <v>0</v>
      </c>
      <c r="W905" s="333">
        <v>0</v>
      </c>
      <c r="X905" s="333">
        <v>0</v>
      </c>
      <c r="Y905" s="333">
        <v>0</v>
      </c>
      <c r="Z905" s="333">
        <v>0</v>
      </c>
      <c r="AA905" s="333">
        <v>0</v>
      </c>
      <c r="AB905" s="333">
        <v>0</v>
      </c>
      <c r="AC905" s="333">
        <v>0</v>
      </c>
      <c r="AD905" s="333">
        <v>0</v>
      </c>
      <c r="AE905" s="333"/>
      <c r="AF905" s="333"/>
      <c r="AG905" s="333">
        <f t="shared" si="146"/>
        <v>-142858</v>
      </c>
      <c r="AH905" s="330"/>
      <c r="AI905" s="330">
        <v>0</v>
      </c>
      <c r="AJ905" s="396">
        <f t="shared" si="147"/>
        <v>-142858</v>
      </c>
      <c r="AK905" s="563"/>
      <c r="AL905" s="285">
        <f t="shared" si="149"/>
        <v>0</v>
      </c>
      <c r="AM905" s="286"/>
      <c r="AO905" s="107" t="s">
        <v>5844</v>
      </c>
    </row>
    <row r="906" spans="1:41">
      <c r="A906" s="587">
        <f t="shared" si="148"/>
        <v>903</v>
      </c>
      <c r="B906" s="107" t="s">
        <v>1643</v>
      </c>
      <c r="C906" s="330"/>
      <c r="D906" s="330"/>
      <c r="E906" s="330"/>
      <c r="F906" s="330"/>
      <c r="G906" s="562"/>
      <c r="H906" s="562"/>
      <c r="I906" s="562"/>
      <c r="J906" s="561"/>
      <c r="K906" s="107" t="s">
        <v>5846</v>
      </c>
      <c r="L906" s="107" t="s">
        <v>5847</v>
      </c>
      <c r="M906" s="107"/>
      <c r="N906" s="330"/>
      <c r="O906" s="395"/>
      <c r="P906" s="333"/>
      <c r="Q906" s="330"/>
      <c r="R906" s="562">
        <v>0</v>
      </c>
      <c r="S906" s="333">
        <v>0</v>
      </c>
      <c r="T906" s="333">
        <v>-142858</v>
      </c>
      <c r="U906" s="333">
        <f t="shared" si="145"/>
        <v>-142858</v>
      </c>
      <c r="V906" s="333">
        <v>0</v>
      </c>
      <c r="W906" s="333">
        <v>0</v>
      </c>
      <c r="X906" s="333">
        <v>0</v>
      </c>
      <c r="Y906" s="333">
        <v>0</v>
      </c>
      <c r="Z906" s="333">
        <v>0</v>
      </c>
      <c r="AA906" s="333">
        <v>0</v>
      </c>
      <c r="AB906" s="333">
        <v>0</v>
      </c>
      <c r="AC906" s="333">
        <v>0</v>
      </c>
      <c r="AD906" s="333">
        <v>142858</v>
      </c>
      <c r="AE906" s="333"/>
      <c r="AF906" s="333"/>
      <c r="AG906" s="333">
        <f t="shared" si="146"/>
        <v>0</v>
      </c>
      <c r="AH906" s="330"/>
      <c r="AI906" s="330">
        <v>0</v>
      </c>
      <c r="AJ906" s="396">
        <f t="shared" si="147"/>
        <v>0</v>
      </c>
      <c r="AK906" s="563"/>
      <c r="AL906" s="285">
        <f t="shared" si="149"/>
        <v>0</v>
      </c>
      <c r="AM906" s="286"/>
      <c r="AO906" s="107" t="s">
        <v>5846</v>
      </c>
    </row>
    <row r="907" spans="1:41">
      <c r="A907" s="587">
        <f t="shared" si="148"/>
        <v>904</v>
      </c>
      <c r="B907" s="107" t="s">
        <v>1643</v>
      </c>
      <c r="C907" s="330"/>
      <c r="D907" s="330"/>
      <c r="E907" s="330"/>
      <c r="F907" s="330"/>
      <c r="G907" s="562"/>
      <c r="H907" s="562"/>
      <c r="I907" s="562"/>
      <c r="J907" s="561"/>
      <c r="K907" s="107" t="s">
        <v>5848</v>
      </c>
      <c r="L907" s="107" t="s">
        <v>5849</v>
      </c>
      <c r="M907" s="107"/>
      <c r="N907" s="330"/>
      <c r="O907" s="395"/>
      <c r="P907" s="333"/>
      <c r="Q907" s="330"/>
      <c r="R907" s="562">
        <v>0</v>
      </c>
      <c r="S907" s="333">
        <v>0</v>
      </c>
      <c r="T907" s="333">
        <v>-315465</v>
      </c>
      <c r="U907" s="333">
        <f t="shared" si="145"/>
        <v>-315465</v>
      </c>
      <c r="V907" s="333">
        <v>0</v>
      </c>
      <c r="W907" s="333">
        <v>0</v>
      </c>
      <c r="X907" s="333">
        <v>0</v>
      </c>
      <c r="Y907" s="333">
        <v>0</v>
      </c>
      <c r="Z907" s="333">
        <v>0</v>
      </c>
      <c r="AA907" s="333">
        <v>0</v>
      </c>
      <c r="AB907" s="333">
        <v>0</v>
      </c>
      <c r="AC907" s="333">
        <v>0</v>
      </c>
      <c r="AD907" s="333">
        <v>0</v>
      </c>
      <c r="AE907" s="333"/>
      <c r="AF907" s="333"/>
      <c r="AG907" s="333">
        <f t="shared" si="146"/>
        <v>-315465</v>
      </c>
      <c r="AH907" s="330"/>
      <c r="AI907" s="330">
        <v>0</v>
      </c>
      <c r="AJ907" s="396">
        <f t="shared" si="147"/>
        <v>-315465</v>
      </c>
      <c r="AK907" s="563"/>
      <c r="AL907" s="285">
        <f t="shared" si="149"/>
        <v>0</v>
      </c>
      <c r="AM907" s="286"/>
      <c r="AO907" s="107" t="s">
        <v>5848</v>
      </c>
    </row>
    <row r="908" spans="1:41">
      <c r="A908" s="587">
        <f t="shared" si="148"/>
        <v>905</v>
      </c>
      <c r="B908" s="107" t="s">
        <v>1643</v>
      </c>
      <c r="C908" s="330"/>
      <c r="D908" s="330"/>
      <c r="E908" s="330"/>
      <c r="F908" s="330"/>
      <c r="G908" s="562"/>
      <c r="H908" s="562"/>
      <c r="I908" s="562"/>
      <c r="J908" s="561"/>
      <c r="K908" s="107" t="s">
        <v>5850</v>
      </c>
      <c r="L908" s="107" t="s">
        <v>5851</v>
      </c>
      <c r="M908" s="107"/>
      <c r="N908" s="330"/>
      <c r="O908" s="395"/>
      <c r="P908" s="333"/>
      <c r="Q908" s="330"/>
      <c r="R908" s="562">
        <v>0</v>
      </c>
      <c r="S908" s="333">
        <v>0</v>
      </c>
      <c r="T908" s="333">
        <v>-385000</v>
      </c>
      <c r="U908" s="333">
        <f t="shared" si="145"/>
        <v>-385000</v>
      </c>
      <c r="V908" s="333">
        <v>385000</v>
      </c>
      <c r="W908" s="333">
        <v>0</v>
      </c>
      <c r="X908" s="333">
        <v>0</v>
      </c>
      <c r="Y908" s="333">
        <v>0</v>
      </c>
      <c r="Z908" s="333">
        <v>0</v>
      </c>
      <c r="AA908" s="333">
        <v>0</v>
      </c>
      <c r="AB908" s="333">
        <v>0</v>
      </c>
      <c r="AC908" s="333">
        <v>0</v>
      </c>
      <c r="AD908" s="333">
        <v>0</v>
      </c>
      <c r="AE908" s="333"/>
      <c r="AF908" s="333"/>
      <c r="AG908" s="333">
        <f t="shared" si="146"/>
        <v>0</v>
      </c>
      <c r="AH908" s="330"/>
      <c r="AI908" s="330">
        <v>0</v>
      </c>
      <c r="AJ908" s="396">
        <f t="shared" si="147"/>
        <v>0</v>
      </c>
      <c r="AK908" s="563"/>
      <c r="AL908" s="285">
        <f t="shared" si="149"/>
        <v>0</v>
      </c>
      <c r="AM908" s="286"/>
      <c r="AO908" s="107" t="s">
        <v>5850</v>
      </c>
    </row>
    <row r="909" spans="1:41">
      <c r="A909" s="587">
        <f t="shared" si="148"/>
        <v>906</v>
      </c>
      <c r="B909" s="107" t="s">
        <v>1643</v>
      </c>
      <c r="C909" s="330"/>
      <c r="D909" s="330"/>
      <c r="E909" s="330"/>
      <c r="F909" s="330"/>
      <c r="G909" s="562"/>
      <c r="H909" s="562"/>
      <c r="I909" s="562"/>
      <c r="J909" s="561"/>
      <c r="K909" s="107" t="s">
        <v>5852</v>
      </c>
      <c r="L909" s="107" t="s">
        <v>5853</v>
      </c>
      <c r="M909" s="107"/>
      <c r="N909" s="330"/>
      <c r="O909" s="395"/>
      <c r="P909" s="333"/>
      <c r="Q909" s="330"/>
      <c r="R909" s="562">
        <v>0</v>
      </c>
      <c r="S909" s="333">
        <v>0</v>
      </c>
      <c r="T909" s="333">
        <v>-142858</v>
      </c>
      <c r="U909" s="333">
        <f t="shared" si="145"/>
        <v>-142858</v>
      </c>
      <c r="V909" s="333">
        <v>0</v>
      </c>
      <c r="W909" s="333">
        <v>0</v>
      </c>
      <c r="X909" s="333">
        <v>0</v>
      </c>
      <c r="Y909" s="333">
        <v>0</v>
      </c>
      <c r="Z909" s="333">
        <v>0</v>
      </c>
      <c r="AA909" s="333">
        <v>0</v>
      </c>
      <c r="AB909" s="333">
        <v>0</v>
      </c>
      <c r="AC909" s="333">
        <v>0</v>
      </c>
      <c r="AD909" s="333">
        <v>0</v>
      </c>
      <c r="AE909" s="333"/>
      <c r="AF909" s="333"/>
      <c r="AG909" s="333">
        <f t="shared" si="146"/>
        <v>-142858</v>
      </c>
      <c r="AH909" s="330"/>
      <c r="AI909" s="330">
        <v>0</v>
      </c>
      <c r="AJ909" s="396">
        <f t="shared" si="147"/>
        <v>-142858</v>
      </c>
      <c r="AK909" s="563"/>
      <c r="AL909" s="285">
        <f t="shared" si="149"/>
        <v>0</v>
      </c>
      <c r="AM909" s="286"/>
      <c r="AO909" s="107" t="s">
        <v>5852</v>
      </c>
    </row>
    <row r="910" spans="1:41">
      <c r="A910" s="587">
        <f t="shared" si="148"/>
        <v>907</v>
      </c>
      <c r="B910" s="107" t="s">
        <v>1643</v>
      </c>
      <c r="C910" s="330"/>
      <c r="D910" s="330"/>
      <c r="E910" s="330"/>
      <c r="F910" s="330"/>
      <c r="G910" s="562"/>
      <c r="H910" s="562"/>
      <c r="I910" s="562"/>
      <c r="J910" s="561"/>
      <c r="K910" s="107" t="s">
        <v>5854</v>
      </c>
      <c r="L910" s="107" t="s">
        <v>5855</v>
      </c>
      <c r="M910" s="107"/>
      <c r="N910" s="330"/>
      <c r="O910" s="395"/>
      <c r="P910" s="333"/>
      <c r="Q910" s="330"/>
      <c r="R910" s="562">
        <v>0</v>
      </c>
      <c r="S910" s="333">
        <v>0</v>
      </c>
      <c r="T910" s="333">
        <v>4535</v>
      </c>
      <c r="U910" s="333">
        <f t="shared" si="145"/>
        <v>4535</v>
      </c>
      <c r="V910" s="333">
        <v>0</v>
      </c>
      <c r="W910" s="333">
        <v>0</v>
      </c>
      <c r="X910" s="333">
        <v>0</v>
      </c>
      <c r="Y910" s="333">
        <v>0</v>
      </c>
      <c r="Z910" s="333">
        <v>0</v>
      </c>
      <c r="AA910" s="333">
        <v>0</v>
      </c>
      <c r="AB910" s="333">
        <v>0</v>
      </c>
      <c r="AC910" s="333">
        <v>-4535</v>
      </c>
      <c r="AD910" s="333">
        <v>0</v>
      </c>
      <c r="AE910" s="333"/>
      <c r="AF910" s="333"/>
      <c r="AG910" s="333">
        <f t="shared" si="146"/>
        <v>0</v>
      </c>
      <c r="AH910" s="330"/>
      <c r="AI910" s="330">
        <v>4535</v>
      </c>
      <c r="AJ910" s="396">
        <f t="shared" si="147"/>
        <v>0</v>
      </c>
      <c r="AK910" s="563"/>
      <c r="AL910" s="285">
        <f>+AC910+AI910</f>
        <v>0</v>
      </c>
      <c r="AM910" s="286"/>
      <c r="AO910" s="107" t="s">
        <v>5854</v>
      </c>
    </row>
    <row r="911" spans="1:41">
      <c r="A911" s="587">
        <f t="shared" si="148"/>
        <v>908</v>
      </c>
      <c r="B911" s="107" t="s">
        <v>1643</v>
      </c>
      <c r="C911" s="330"/>
      <c r="D911" s="330"/>
      <c r="E911" s="330"/>
      <c r="F911" s="330"/>
      <c r="G911" s="562"/>
      <c r="H911" s="562"/>
      <c r="I911" s="562"/>
      <c r="J911" s="561"/>
      <c r="K911" s="107" t="s">
        <v>5856</v>
      </c>
      <c r="L911" s="107" t="s">
        <v>5857</v>
      </c>
      <c r="M911" s="107"/>
      <c r="N911" s="330"/>
      <c r="O911" s="395"/>
      <c r="P911" s="333"/>
      <c r="Q911" s="330"/>
      <c r="R911" s="562">
        <v>0</v>
      </c>
      <c r="S911" s="333">
        <v>0</v>
      </c>
      <c r="T911" s="333">
        <v>-23810</v>
      </c>
      <c r="U911" s="333">
        <f t="shared" si="145"/>
        <v>-23810</v>
      </c>
      <c r="V911" s="333">
        <v>0</v>
      </c>
      <c r="W911" s="333">
        <v>0</v>
      </c>
      <c r="X911" s="333">
        <v>0</v>
      </c>
      <c r="Y911" s="333">
        <v>0</v>
      </c>
      <c r="Z911" s="333">
        <v>0</v>
      </c>
      <c r="AA911" s="333">
        <v>0</v>
      </c>
      <c r="AB911" s="333">
        <v>0</v>
      </c>
      <c r="AC911" s="333">
        <v>0</v>
      </c>
      <c r="AD911" s="333">
        <v>0</v>
      </c>
      <c r="AE911" s="333"/>
      <c r="AF911" s="333"/>
      <c r="AG911" s="333">
        <f t="shared" si="146"/>
        <v>-23810</v>
      </c>
      <c r="AH911" s="330"/>
      <c r="AI911" s="330">
        <v>0</v>
      </c>
      <c r="AJ911" s="396">
        <f t="shared" si="147"/>
        <v>-23810</v>
      </c>
      <c r="AK911" s="563"/>
      <c r="AL911" s="285">
        <f t="shared" si="149"/>
        <v>0</v>
      </c>
      <c r="AM911" s="286"/>
      <c r="AO911" s="107" t="s">
        <v>5856</v>
      </c>
    </row>
    <row r="912" spans="1:41">
      <c r="A912" s="587">
        <f t="shared" si="148"/>
        <v>909</v>
      </c>
      <c r="B912" s="107" t="s">
        <v>1643</v>
      </c>
      <c r="C912" s="330"/>
      <c r="D912" s="330"/>
      <c r="E912" s="330"/>
      <c r="F912" s="330"/>
      <c r="G912" s="562"/>
      <c r="H912" s="562"/>
      <c r="I912" s="562"/>
      <c r="J912" s="561"/>
      <c r="K912" s="107" t="s">
        <v>5858</v>
      </c>
      <c r="L912" s="107" t="s">
        <v>5859</v>
      </c>
      <c r="M912" s="107"/>
      <c r="N912" s="330"/>
      <c r="O912" s="395"/>
      <c r="P912" s="333"/>
      <c r="Q912" s="330"/>
      <c r="R912" s="562">
        <v>0</v>
      </c>
      <c r="S912" s="333">
        <v>0</v>
      </c>
      <c r="T912" s="333">
        <v>-142858</v>
      </c>
      <c r="U912" s="333">
        <f t="shared" si="145"/>
        <v>-142858</v>
      </c>
      <c r="V912" s="333">
        <v>0</v>
      </c>
      <c r="W912" s="333">
        <v>0</v>
      </c>
      <c r="X912" s="333">
        <v>0</v>
      </c>
      <c r="Y912" s="333">
        <v>0</v>
      </c>
      <c r="Z912" s="333">
        <v>0</v>
      </c>
      <c r="AA912" s="333">
        <v>0</v>
      </c>
      <c r="AB912" s="333">
        <v>0</v>
      </c>
      <c r="AC912" s="333">
        <v>0</v>
      </c>
      <c r="AD912" s="333">
        <v>142858</v>
      </c>
      <c r="AE912" s="333"/>
      <c r="AF912" s="333"/>
      <c r="AG912" s="333">
        <f t="shared" si="146"/>
        <v>0</v>
      </c>
      <c r="AH912" s="330"/>
      <c r="AI912" s="330">
        <v>0</v>
      </c>
      <c r="AJ912" s="396">
        <f t="shared" si="147"/>
        <v>0</v>
      </c>
      <c r="AK912" s="563"/>
      <c r="AL912" s="285">
        <f t="shared" si="149"/>
        <v>0</v>
      </c>
      <c r="AM912" s="286"/>
      <c r="AO912" s="107" t="s">
        <v>5858</v>
      </c>
    </row>
    <row r="913" spans="1:41">
      <c r="A913" s="587">
        <f t="shared" si="148"/>
        <v>910</v>
      </c>
      <c r="B913" s="107" t="s">
        <v>1643</v>
      </c>
      <c r="C913" s="330"/>
      <c r="D913" s="330"/>
      <c r="E913" s="330"/>
      <c r="F913" s="330"/>
      <c r="G913" s="562"/>
      <c r="H913" s="562"/>
      <c r="I913" s="562"/>
      <c r="J913" s="561"/>
      <c r="K913" s="107" t="s">
        <v>5860</v>
      </c>
      <c r="L913" s="107" t="s">
        <v>5861</v>
      </c>
      <c r="M913" s="107"/>
      <c r="N913" s="330"/>
      <c r="O913" s="395"/>
      <c r="P913" s="333"/>
      <c r="Q913" s="330"/>
      <c r="R913" s="562">
        <v>0</v>
      </c>
      <c r="S913" s="333">
        <v>0</v>
      </c>
      <c r="T913" s="333">
        <v>-142858</v>
      </c>
      <c r="U913" s="333">
        <f t="shared" si="145"/>
        <v>-142858</v>
      </c>
      <c r="V913" s="333">
        <v>0</v>
      </c>
      <c r="W913" s="333">
        <v>0</v>
      </c>
      <c r="X913" s="333">
        <v>0</v>
      </c>
      <c r="Y913" s="333">
        <v>0</v>
      </c>
      <c r="Z913" s="333">
        <v>0</v>
      </c>
      <c r="AA913" s="333">
        <v>0</v>
      </c>
      <c r="AB913" s="333">
        <v>0</v>
      </c>
      <c r="AC913" s="333">
        <v>0</v>
      </c>
      <c r="AD913" s="333">
        <v>142858</v>
      </c>
      <c r="AE913" s="333"/>
      <c r="AF913" s="333"/>
      <c r="AG913" s="333">
        <f t="shared" si="146"/>
        <v>0</v>
      </c>
      <c r="AH913" s="330"/>
      <c r="AI913" s="330">
        <v>0</v>
      </c>
      <c r="AJ913" s="396">
        <f t="shared" si="147"/>
        <v>0</v>
      </c>
      <c r="AK913" s="563"/>
      <c r="AL913" s="285">
        <f t="shared" si="149"/>
        <v>0</v>
      </c>
      <c r="AM913" s="286"/>
      <c r="AO913" s="107" t="s">
        <v>5860</v>
      </c>
    </row>
    <row r="914" spans="1:41">
      <c r="A914" s="587">
        <f t="shared" si="148"/>
        <v>911</v>
      </c>
      <c r="B914" s="107" t="s">
        <v>1643</v>
      </c>
      <c r="C914" s="330"/>
      <c r="D914" s="330"/>
      <c r="E914" s="330"/>
      <c r="F914" s="330"/>
      <c r="G914" s="562"/>
      <c r="H914" s="562"/>
      <c r="I914" s="562"/>
      <c r="J914" s="561"/>
      <c r="K914" s="107" t="s">
        <v>5862</v>
      </c>
      <c r="L914" s="107" t="s">
        <v>5863</v>
      </c>
      <c r="M914" s="107"/>
      <c r="N914" s="330"/>
      <c r="O914" s="395"/>
      <c r="P914" s="333"/>
      <c r="Q914" s="330"/>
      <c r="R914" s="562">
        <v>0</v>
      </c>
      <c r="S914" s="333">
        <v>0</v>
      </c>
      <c r="T914" s="333">
        <v>-94286</v>
      </c>
      <c r="U914" s="333">
        <f t="shared" si="145"/>
        <v>-94286</v>
      </c>
      <c r="V914" s="333">
        <v>0</v>
      </c>
      <c r="W914" s="333">
        <v>0</v>
      </c>
      <c r="X914" s="333">
        <v>0</v>
      </c>
      <c r="Y914" s="333">
        <v>0</v>
      </c>
      <c r="Z914" s="333">
        <v>0</v>
      </c>
      <c r="AA914" s="333">
        <v>0</v>
      </c>
      <c r="AB914" s="333">
        <v>0</v>
      </c>
      <c r="AC914" s="333">
        <v>0</v>
      </c>
      <c r="AD914" s="333">
        <v>0</v>
      </c>
      <c r="AE914" s="333"/>
      <c r="AF914" s="333"/>
      <c r="AG914" s="333">
        <f t="shared" si="146"/>
        <v>-94286</v>
      </c>
      <c r="AH914" s="330"/>
      <c r="AI914" s="330">
        <v>0</v>
      </c>
      <c r="AJ914" s="396">
        <f t="shared" si="147"/>
        <v>-94286</v>
      </c>
      <c r="AK914" s="563"/>
      <c r="AL914" s="285">
        <f t="shared" si="149"/>
        <v>0</v>
      </c>
      <c r="AM914" s="286"/>
      <c r="AO914" s="107" t="s">
        <v>5862</v>
      </c>
    </row>
    <row r="915" spans="1:41">
      <c r="A915" s="587">
        <f t="shared" si="148"/>
        <v>912</v>
      </c>
      <c r="B915" s="107" t="s">
        <v>1643</v>
      </c>
      <c r="C915" s="330"/>
      <c r="D915" s="330"/>
      <c r="E915" s="330"/>
      <c r="F915" s="330"/>
      <c r="G915" s="562"/>
      <c r="H915" s="562"/>
      <c r="I915" s="562"/>
      <c r="J915" s="561"/>
      <c r="K915" s="107" t="s">
        <v>5864</v>
      </c>
      <c r="L915" s="107" t="s">
        <v>5865</v>
      </c>
      <c r="M915" s="107"/>
      <c r="N915" s="330"/>
      <c r="O915" s="395"/>
      <c r="P915" s="333"/>
      <c r="Q915" s="330"/>
      <c r="R915" s="562">
        <v>0</v>
      </c>
      <c r="S915" s="333">
        <v>0</v>
      </c>
      <c r="T915" s="333">
        <v>-50000</v>
      </c>
      <c r="U915" s="333">
        <f t="shared" si="145"/>
        <v>-50000</v>
      </c>
      <c r="V915" s="333">
        <v>50000</v>
      </c>
      <c r="W915" s="333">
        <v>0</v>
      </c>
      <c r="X915" s="333">
        <v>0</v>
      </c>
      <c r="Y915" s="333">
        <v>0</v>
      </c>
      <c r="Z915" s="333">
        <v>0</v>
      </c>
      <c r="AA915" s="333">
        <v>0</v>
      </c>
      <c r="AB915" s="333">
        <v>0</v>
      </c>
      <c r="AC915" s="333">
        <v>0</v>
      </c>
      <c r="AD915" s="333">
        <v>0</v>
      </c>
      <c r="AE915" s="333"/>
      <c r="AF915" s="333"/>
      <c r="AG915" s="333">
        <f t="shared" si="146"/>
        <v>0</v>
      </c>
      <c r="AH915" s="330"/>
      <c r="AI915" s="330">
        <v>0</v>
      </c>
      <c r="AJ915" s="396">
        <f t="shared" si="147"/>
        <v>0</v>
      </c>
      <c r="AK915" s="563"/>
      <c r="AL915" s="285">
        <f t="shared" si="149"/>
        <v>0</v>
      </c>
      <c r="AM915" s="286"/>
      <c r="AO915" s="107" t="s">
        <v>5864</v>
      </c>
    </row>
    <row r="916" spans="1:41">
      <c r="A916" s="587">
        <f t="shared" si="148"/>
        <v>913</v>
      </c>
      <c r="B916" s="107" t="s">
        <v>1643</v>
      </c>
      <c r="C916" s="330"/>
      <c r="D916" s="330"/>
      <c r="E916" s="330"/>
      <c r="F916" s="330"/>
      <c r="G916" s="562"/>
      <c r="H916" s="562"/>
      <c r="I916" s="562"/>
      <c r="J916" s="561"/>
      <c r="K916" s="107" t="s">
        <v>5866</v>
      </c>
      <c r="L916" s="107" t="s">
        <v>5867</v>
      </c>
      <c r="M916" s="107"/>
      <c r="N916" s="330"/>
      <c r="O916" s="395"/>
      <c r="P916" s="333"/>
      <c r="Q916" s="330"/>
      <c r="R916" s="562">
        <v>0</v>
      </c>
      <c r="S916" s="333">
        <v>0</v>
      </c>
      <c r="T916" s="333">
        <v>-99999.999999999971</v>
      </c>
      <c r="U916" s="333">
        <f t="shared" si="145"/>
        <v>-99999.999999999971</v>
      </c>
      <c r="V916" s="333">
        <v>0</v>
      </c>
      <c r="W916" s="333">
        <v>0</v>
      </c>
      <c r="X916" s="333">
        <v>0</v>
      </c>
      <c r="Y916" s="333">
        <v>0</v>
      </c>
      <c r="Z916" s="333">
        <v>0</v>
      </c>
      <c r="AA916" s="333">
        <v>0</v>
      </c>
      <c r="AB916" s="333">
        <v>0</v>
      </c>
      <c r="AC916" s="333">
        <v>0</v>
      </c>
      <c r="AD916" s="333">
        <v>0</v>
      </c>
      <c r="AE916" s="333"/>
      <c r="AF916" s="333"/>
      <c r="AG916" s="333">
        <f t="shared" si="146"/>
        <v>-99999.999999999971</v>
      </c>
      <c r="AH916" s="330"/>
      <c r="AI916" s="330">
        <v>0</v>
      </c>
      <c r="AJ916" s="396">
        <f t="shared" si="147"/>
        <v>-99999.999999999971</v>
      </c>
      <c r="AK916" s="563"/>
      <c r="AL916" s="285">
        <f t="shared" si="149"/>
        <v>0</v>
      </c>
      <c r="AM916" s="286"/>
      <c r="AO916" s="107" t="s">
        <v>5866</v>
      </c>
    </row>
    <row r="917" spans="1:41">
      <c r="A917" s="587">
        <f t="shared" si="148"/>
        <v>914</v>
      </c>
      <c r="B917" s="107" t="s">
        <v>1643</v>
      </c>
      <c r="C917" s="330"/>
      <c r="D917" s="330"/>
      <c r="E917" s="330"/>
      <c r="F917" s="330"/>
      <c r="G917" s="562"/>
      <c r="H917" s="562"/>
      <c r="I917" s="562"/>
      <c r="J917" s="561"/>
      <c r="K917" s="107" t="s">
        <v>5868</v>
      </c>
      <c r="L917" s="107" t="s">
        <v>5869</v>
      </c>
      <c r="M917" s="107"/>
      <c r="N917" s="330"/>
      <c r="O917" s="395"/>
      <c r="P917" s="333"/>
      <c r="Q917" s="330"/>
      <c r="R917" s="562">
        <v>0</v>
      </c>
      <c r="S917" s="333">
        <v>0</v>
      </c>
      <c r="T917" s="333">
        <v>-150000</v>
      </c>
      <c r="U917" s="333">
        <f t="shared" si="145"/>
        <v>-150000</v>
      </c>
      <c r="V917" s="333">
        <v>0</v>
      </c>
      <c r="W917" s="333">
        <v>0</v>
      </c>
      <c r="X917" s="333">
        <v>0</v>
      </c>
      <c r="Y917" s="333">
        <v>0</v>
      </c>
      <c r="Z917" s="333">
        <v>0</v>
      </c>
      <c r="AA917" s="333">
        <v>0</v>
      </c>
      <c r="AB917" s="333">
        <v>0</v>
      </c>
      <c r="AC917" s="333">
        <v>0</v>
      </c>
      <c r="AD917" s="333">
        <v>0</v>
      </c>
      <c r="AE917" s="333"/>
      <c r="AF917" s="333"/>
      <c r="AG917" s="333">
        <f t="shared" si="146"/>
        <v>-150000</v>
      </c>
      <c r="AH917" s="330"/>
      <c r="AI917" s="330">
        <v>0</v>
      </c>
      <c r="AJ917" s="396">
        <f t="shared" si="147"/>
        <v>-150000</v>
      </c>
      <c r="AK917" s="563"/>
      <c r="AL917" s="285">
        <f t="shared" si="149"/>
        <v>0</v>
      </c>
      <c r="AM917" s="286"/>
      <c r="AO917" s="107" t="s">
        <v>5868</v>
      </c>
    </row>
    <row r="918" spans="1:41">
      <c r="A918" s="587">
        <f t="shared" si="148"/>
        <v>915</v>
      </c>
      <c r="B918" s="107" t="s">
        <v>1643</v>
      </c>
      <c r="C918" s="330"/>
      <c r="D918" s="330"/>
      <c r="E918" s="330"/>
      <c r="F918" s="330"/>
      <c r="G918" s="562"/>
      <c r="H918" s="562"/>
      <c r="I918" s="562"/>
      <c r="J918" s="561"/>
      <c r="K918" s="107" t="s">
        <v>5870</v>
      </c>
      <c r="L918" s="107" t="s">
        <v>5871</v>
      </c>
      <c r="M918" s="107"/>
      <c r="N918" s="330"/>
      <c r="O918" s="395"/>
      <c r="P918" s="333"/>
      <c r="Q918" s="330"/>
      <c r="R918" s="562">
        <v>0</v>
      </c>
      <c r="S918" s="333">
        <v>0</v>
      </c>
      <c r="T918" s="333">
        <v>-150000.00000000003</v>
      </c>
      <c r="U918" s="333">
        <f t="shared" si="145"/>
        <v>-150000.00000000003</v>
      </c>
      <c r="V918" s="333">
        <v>0</v>
      </c>
      <c r="W918" s="333">
        <v>0</v>
      </c>
      <c r="X918" s="333">
        <v>0</v>
      </c>
      <c r="Y918" s="333">
        <v>0</v>
      </c>
      <c r="Z918" s="333">
        <v>0</v>
      </c>
      <c r="AA918" s="333">
        <v>0</v>
      </c>
      <c r="AB918" s="333">
        <v>0</v>
      </c>
      <c r="AC918" s="333">
        <v>0</v>
      </c>
      <c r="AD918" s="333">
        <v>0</v>
      </c>
      <c r="AE918" s="333"/>
      <c r="AF918" s="333"/>
      <c r="AG918" s="333">
        <f t="shared" si="146"/>
        <v>-150000.00000000003</v>
      </c>
      <c r="AH918" s="330"/>
      <c r="AI918" s="330">
        <v>0</v>
      </c>
      <c r="AJ918" s="396">
        <f t="shared" si="147"/>
        <v>-150000.00000000003</v>
      </c>
      <c r="AK918" s="563"/>
      <c r="AL918" s="285">
        <f t="shared" si="149"/>
        <v>0</v>
      </c>
      <c r="AM918" s="286"/>
      <c r="AO918" s="107" t="s">
        <v>5870</v>
      </c>
    </row>
    <row r="919" spans="1:41">
      <c r="A919" s="587">
        <f t="shared" si="148"/>
        <v>916</v>
      </c>
      <c r="B919" s="107" t="s">
        <v>1643</v>
      </c>
      <c r="C919" s="330"/>
      <c r="D919" s="330"/>
      <c r="E919" s="330"/>
      <c r="F919" s="330"/>
      <c r="G919" s="562"/>
      <c r="H919" s="562"/>
      <c r="I919" s="562"/>
      <c r="J919" s="561"/>
      <c r="K919" s="107" t="s">
        <v>5872</v>
      </c>
      <c r="L919" s="107" t="s">
        <v>5873</v>
      </c>
      <c r="M919" s="107"/>
      <c r="N919" s="330"/>
      <c r="O919" s="395"/>
      <c r="P919" s="333"/>
      <c r="Q919" s="330"/>
      <c r="R919" s="562">
        <v>0</v>
      </c>
      <c r="S919" s="333">
        <v>0</v>
      </c>
      <c r="T919" s="333">
        <v>-51000</v>
      </c>
      <c r="U919" s="333">
        <f t="shared" si="145"/>
        <v>-51000</v>
      </c>
      <c r="V919" s="333">
        <v>0</v>
      </c>
      <c r="W919" s="333">
        <v>0</v>
      </c>
      <c r="X919" s="333">
        <v>0</v>
      </c>
      <c r="Y919" s="333">
        <v>0</v>
      </c>
      <c r="Z919" s="333">
        <v>0</v>
      </c>
      <c r="AA919" s="333">
        <v>0</v>
      </c>
      <c r="AB919" s="333">
        <v>0</v>
      </c>
      <c r="AC919" s="333">
        <v>0</v>
      </c>
      <c r="AD919" s="333">
        <v>0</v>
      </c>
      <c r="AE919" s="333"/>
      <c r="AF919" s="333"/>
      <c r="AG919" s="333">
        <f t="shared" si="146"/>
        <v>-51000</v>
      </c>
      <c r="AH919" s="330"/>
      <c r="AI919" s="330">
        <v>0</v>
      </c>
      <c r="AJ919" s="396">
        <f t="shared" si="147"/>
        <v>-51000</v>
      </c>
      <c r="AK919" s="563"/>
      <c r="AL919" s="285">
        <f t="shared" si="149"/>
        <v>0</v>
      </c>
      <c r="AM919" s="286"/>
      <c r="AO919" s="107" t="s">
        <v>5872</v>
      </c>
    </row>
    <row r="920" spans="1:41">
      <c r="A920" s="587">
        <f t="shared" si="148"/>
        <v>917</v>
      </c>
      <c r="B920" s="107" t="s">
        <v>1643</v>
      </c>
      <c r="C920" s="330"/>
      <c r="D920" s="330"/>
      <c r="E920" s="330"/>
      <c r="F920" s="330"/>
      <c r="G920" s="562"/>
      <c r="H920" s="562"/>
      <c r="I920" s="562"/>
      <c r="J920" s="561"/>
      <c r="K920" s="107" t="s">
        <v>5874</v>
      </c>
      <c r="L920" s="107" t="s">
        <v>5875</v>
      </c>
      <c r="M920" s="107"/>
      <c r="N920" s="330"/>
      <c r="O920" s="395"/>
      <c r="P920" s="333"/>
      <c r="Q920" s="330"/>
      <c r="R920" s="562">
        <v>0</v>
      </c>
      <c r="S920" s="333">
        <v>0</v>
      </c>
      <c r="T920" s="333">
        <v>-149999.99999999997</v>
      </c>
      <c r="U920" s="333">
        <f t="shared" si="145"/>
        <v>-149999.99999999997</v>
      </c>
      <c r="V920" s="333">
        <v>-207185</v>
      </c>
      <c r="W920" s="333">
        <v>0</v>
      </c>
      <c r="X920" s="333">
        <v>0</v>
      </c>
      <c r="Y920" s="333">
        <v>0</v>
      </c>
      <c r="Z920" s="333">
        <v>0</v>
      </c>
      <c r="AA920" s="333">
        <v>0</v>
      </c>
      <c r="AB920" s="333">
        <v>0</v>
      </c>
      <c r="AC920" s="333">
        <v>0</v>
      </c>
      <c r="AD920" s="333">
        <v>0</v>
      </c>
      <c r="AE920" s="333"/>
      <c r="AF920" s="333"/>
      <c r="AG920" s="333">
        <f t="shared" si="146"/>
        <v>-357185</v>
      </c>
      <c r="AH920" s="330"/>
      <c r="AI920" s="330">
        <v>0</v>
      </c>
      <c r="AJ920" s="396">
        <f t="shared" si="147"/>
        <v>-357185</v>
      </c>
      <c r="AK920" s="563"/>
      <c r="AL920" s="285">
        <f t="shared" si="149"/>
        <v>0</v>
      </c>
      <c r="AM920" s="286"/>
      <c r="AO920" s="107" t="s">
        <v>5874</v>
      </c>
    </row>
    <row r="921" spans="1:41">
      <c r="A921" s="587">
        <f t="shared" si="148"/>
        <v>918</v>
      </c>
      <c r="B921" s="107" t="s">
        <v>1643</v>
      </c>
      <c r="C921" s="330"/>
      <c r="D921" s="330"/>
      <c r="E921" s="330"/>
      <c r="F921" s="330"/>
      <c r="G921" s="562"/>
      <c r="H921" s="562"/>
      <c r="I921" s="562"/>
      <c r="J921" s="561"/>
      <c r="K921" s="107" t="s">
        <v>5876</v>
      </c>
      <c r="L921" s="107" t="s">
        <v>5877</v>
      </c>
      <c r="M921" s="107"/>
      <c r="N921" s="330"/>
      <c r="O921" s="395"/>
      <c r="P921" s="333"/>
      <c r="Q921" s="330"/>
      <c r="R921" s="562">
        <v>0</v>
      </c>
      <c r="S921" s="333">
        <v>0</v>
      </c>
      <c r="T921" s="333">
        <v>-100000</v>
      </c>
      <c r="U921" s="333">
        <f t="shared" si="145"/>
        <v>-100000</v>
      </c>
      <c r="V921" s="333">
        <v>0</v>
      </c>
      <c r="W921" s="333">
        <v>0</v>
      </c>
      <c r="X921" s="333">
        <v>0</v>
      </c>
      <c r="Y921" s="333">
        <v>0</v>
      </c>
      <c r="Z921" s="333">
        <v>0</v>
      </c>
      <c r="AA921" s="333">
        <v>0</v>
      </c>
      <c r="AB921" s="333">
        <v>0</v>
      </c>
      <c r="AC921" s="333">
        <v>0</v>
      </c>
      <c r="AD921" s="333">
        <v>0</v>
      </c>
      <c r="AE921" s="333"/>
      <c r="AF921" s="333"/>
      <c r="AG921" s="333">
        <f t="shared" si="146"/>
        <v>-100000</v>
      </c>
      <c r="AH921" s="330"/>
      <c r="AI921" s="330">
        <v>0</v>
      </c>
      <c r="AJ921" s="396">
        <f t="shared" si="147"/>
        <v>-100000</v>
      </c>
      <c r="AK921" s="563"/>
      <c r="AL921" s="285">
        <f t="shared" si="149"/>
        <v>0</v>
      </c>
      <c r="AM921" s="286"/>
      <c r="AO921" s="107" t="s">
        <v>5876</v>
      </c>
    </row>
    <row r="922" spans="1:41">
      <c r="A922" s="587">
        <f t="shared" si="148"/>
        <v>919</v>
      </c>
      <c r="B922" s="107" t="s">
        <v>1643</v>
      </c>
      <c r="C922" s="330"/>
      <c r="D922" s="330"/>
      <c r="E922" s="330"/>
      <c r="F922" s="330"/>
      <c r="G922" s="562"/>
      <c r="H922" s="562"/>
      <c r="I922" s="562"/>
      <c r="J922" s="561"/>
      <c r="K922" s="107" t="s">
        <v>5878</v>
      </c>
      <c r="L922" s="107" t="s">
        <v>5879</v>
      </c>
      <c r="M922" s="107"/>
      <c r="N922" s="330"/>
      <c r="O922" s="395"/>
      <c r="P922" s="333"/>
      <c r="Q922" s="330"/>
      <c r="R922" s="562">
        <v>0</v>
      </c>
      <c r="S922" s="333">
        <v>0</v>
      </c>
      <c r="T922" s="333">
        <v>-51000</v>
      </c>
      <c r="U922" s="333">
        <f t="shared" si="145"/>
        <v>-51000</v>
      </c>
      <c r="V922" s="333">
        <v>0</v>
      </c>
      <c r="W922" s="333">
        <v>0</v>
      </c>
      <c r="X922" s="333">
        <v>0</v>
      </c>
      <c r="Y922" s="333">
        <v>0</v>
      </c>
      <c r="Z922" s="333">
        <v>0</v>
      </c>
      <c r="AA922" s="333">
        <v>0</v>
      </c>
      <c r="AB922" s="333">
        <v>0</v>
      </c>
      <c r="AC922" s="333">
        <v>0</v>
      </c>
      <c r="AD922" s="333">
        <v>0</v>
      </c>
      <c r="AE922" s="333"/>
      <c r="AF922" s="333"/>
      <c r="AG922" s="333">
        <f t="shared" si="146"/>
        <v>-51000</v>
      </c>
      <c r="AH922" s="330"/>
      <c r="AI922" s="330">
        <v>0</v>
      </c>
      <c r="AJ922" s="396">
        <f t="shared" si="147"/>
        <v>-51000</v>
      </c>
      <c r="AK922" s="563"/>
      <c r="AL922" s="285">
        <f t="shared" si="149"/>
        <v>0</v>
      </c>
      <c r="AM922" s="286"/>
      <c r="AO922" s="107" t="s">
        <v>5878</v>
      </c>
    </row>
    <row r="923" spans="1:41">
      <c r="A923" s="587">
        <f t="shared" si="148"/>
        <v>920</v>
      </c>
      <c r="B923" s="107" t="s">
        <v>1643</v>
      </c>
      <c r="C923" s="330"/>
      <c r="D923" s="330"/>
      <c r="E923" s="330"/>
      <c r="F923" s="330"/>
      <c r="G923" s="562"/>
      <c r="H923" s="562"/>
      <c r="I923" s="562"/>
      <c r="J923" s="561"/>
      <c r="K923" s="107" t="s">
        <v>5880</v>
      </c>
      <c r="L923" s="107" t="s">
        <v>5881</v>
      </c>
      <c r="M923" s="107"/>
      <c r="N923" s="330"/>
      <c r="O923" s="395"/>
      <c r="P923" s="333"/>
      <c r="Q923" s="330"/>
      <c r="R923" s="562">
        <v>0</v>
      </c>
      <c r="S923" s="333">
        <v>0</v>
      </c>
      <c r="T923" s="333">
        <v>-100000</v>
      </c>
      <c r="U923" s="333">
        <f t="shared" si="145"/>
        <v>-100000</v>
      </c>
      <c r="V923" s="333">
        <v>0</v>
      </c>
      <c r="W923" s="333">
        <v>0</v>
      </c>
      <c r="X923" s="333">
        <v>0</v>
      </c>
      <c r="Y923" s="333">
        <v>0</v>
      </c>
      <c r="Z923" s="333">
        <v>0</v>
      </c>
      <c r="AA923" s="333">
        <v>0</v>
      </c>
      <c r="AB923" s="333">
        <v>0</v>
      </c>
      <c r="AC923" s="333">
        <v>0</v>
      </c>
      <c r="AD923" s="333">
        <v>0</v>
      </c>
      <c r="AE923" s="333"/>
      <c r="AF923" s="333"/>
      <c r="AG923" s="333">
        <f t="shared" si="146"/>
        <v>-100000</v>
      </c>
      <c r="AH923" s="330"/>
      <c r="AI923" s="330">
        <v>0</v>
      </c>
      <c r="AJ923" s="396">
        <f t="shared" si="147"/>
        <v>-100000</v>
      </c>
      <c r="AK923" s="563"/>
      <c r="AL923" s="285">
        <f t="shared" si="149"/>
        <v>0</v>
      </c>
      <c r="AM923" s="286"/>
      <c r="AO923" s="107" t="s">
        <v>5880</v>
      </c>
    </row>
    <row r="924" spans="1:41">
      <c r="A924" s="587">
        <f t="shared" si="148"/>
        <v>921</v>
      </c>
      <c r="B924" s="107" t="s">
        <v>1643</v>
      </c>
      <c r="C924" s="330"/>
      <c r="D924" s="330"/>
      <c r="E924" s="330"/>
      <c r="F924" s="330"/>
      <c r="G924" s="562"/>
      <c r="H924" s="562"/>
      <c r="I924" s="562"/>
      <c r="J924" s="561"/>
      <c r="K924" s="107" t="s">
        <v>5882</v>
      </c>
      <c r="L924" s="107" t="s">
        <v>5883</v>
      </c>
      <c r="M924" s="107"/>
      <c r="N924" s="330"/>
      <c r="O924" s="395"/>
      <c r="P924" s="333"/>
      <c r="Q924" s="330"/>
      <c r="R924" s="562">
        <v>0</v>
      </c>
      <c r="S924" s="333">
        <v>0</v>
      </c>
      <c r="T924" s="333">
        <v>-48572</v>
      </c>
      <c r="U924" s="333">
        <f t="shared" si="145"/>
        <v>-48572</v>
      </c>
      <c r="V924" s="333">
        <v>0</v>
      </c>
      <c r="W924" s="333">
        <v>0</v>
      </c>
      <c r="X924" s="333">
        <v>0</v>
      </c>
      <c r="Y924" s="333">
        <v>0</v>
      </c>
      <c r="Z924" s="333">
        <v>0</v>
      </c>
      <c r="AA924" s="333">
        <v>0</v>
      </c>
      <c r="AB924" s="333">
        <v>0</v>
      </c>
      <c r="AC924" s="333">
        <v>0</v>
      </c>
      <c r="AD924" s="333">
        <v>0</v>
      </c>
      <c r="AE924" s="333"/>
      <c r="AF924" s="333"/>
      <c r="AG924" s="333">
        <f t="shared" si="146"/>
        <v>-48572</v>
      </c>
      <c r="AH924" s="330"/>
      <c r="AI924" s="330">
        <v>0</v>
      </c>
      <c r="AJ924" s="396">
        <f t="shared" si="147"/>
        <v>-48572</v>
      </c>
      <c r="AK924" s="563"/>
      <c r="AL924" s="285">
        <f t="shared" si="149"/>
        <v>0</v>
      </c>
      <c r="AM924" s="286"/>
      <c r="AO924" s="107" t="s">
        <v>5882</v>
      </c>
    </row>
    <row r="925" spans="1:41">
      <c r="A925" s="587">
        <f t="shared" si="148"/>
        <v>922</v>
      </c>
      <c r="B925" s="107" t="s">
        <v>1643</v>
      </c>
      <c r="C925" s="330"/>
      <c r="D925" s="330"/>
      <c r="E925" s="330"/>
      <c r="F925" s="330"/>
      <c r="G925" s="562"/>
      <c r="H925" s="562"/>
      <c r="I925" s="562"/>
      <c r="J925" s="561"/>
      <c r="K925" s="107" t="s">
        <v>5884</v>
      </c>
      <c r="L925" s="107" t="s">
        <v>5885</v>
      </c>
      <c r="M925" s="107"/>
      <c r="N925" s="330"/>
      <c r="O925" s="395"/>
      <c r="P925" s="333"/>
      <c r="Q925" s="330"/>
      <c r="R925" s="562">
        <v>0</v>
      </c>
      <c r="S925" s="333">
        <v>0</v>
      </c>
      <c r="T925" s="333">
        <v>-142858</v>
      </c>
      <c r="U925" s="333">
        <f t="shared" si="145"/>
        <v>-142858</v>
      </c>
      <c r="V925" s="333">
        <v>0</v>
      </c>
      <c r="W925" s="333">
        <v>0</v>
      </c>
      <c r="X925" s="333">
        <v>0</v>
      </c>
      <c r="Y925" s="333">
        <v>0</v>
      </c>
      <c r="Z925" s="333">
        <v>0</v>
      </c>
      <c r="AA925" s="333">
        <v>0</v>
      </c>
      <c r="AB925" s="333">
        <v>0</v>
      </c>
      <c r="AC925" s="333">
        <v>0</v>
      </c>
      <c r="AD925" s="333">
        <v>142858</v>
      </c>
      <c r="AE925" s="333"/>
      <c r="AF925" s="333"/>
      <c r="AG925" s="333">
        <f t="shared" si="146"/>
        <v>0</v>
      </c>
      <c r="AH925" s="330"/>
      <c r="AI925" s="330">
        <v>0</v>
      </c>
      <c r="AJ925" s="396">
        <f t="shared" si="147"/>
        <v>0</v>
      </c>
      <c r="AK925" s="563"/>
      <c r="AL925" s="285">
        <f t="shared" si="149"/>
        <v>0</v>
      </c>
      <c r="AM925" s="286"/>
      <c r="AO925" s="107" t="s">
        <v>5884</v>
      </c>
    </row>
    <row r="926" spans="1:41">
      <c r="A926" s="587">
        <f t="shared" si="148"/>
        <v>923</v>
      </c>
      <c r="B926" s="107" t="s">
        <v>1643</v>
      </c>
      <c r="C926" s="330"/>
      <c r="D926" s="330"/>
      <c r="E926" s="330"/>
      <c r="F926" s="330"/>
      <c r="G926" s="562"/>
      <c r="H926" s="562"/>
      <c r="I926" s="562"/>
      <c r="J926" s="561"/>
      <c r="K926" s="107" t="s">
        <v>5886</v>
      </c>
      <c r="L926" s="107" t="s">
        <v>5887</v>
      </c>
      <c r="M926" s="107"/>
      <c r="N926" s="330"/>
      <c r="O926" s="395"/>
      <c r="P926" s="333"/>
      <c r="Q926" s="330"/>
      <c r="R926" s="562">
        <v>0</v>
      </c>
      <c r="S926" s="333">
        <v>0</v>
      </c>
      <c r="T926" s="333">
        <v>-142858</v>
      </c>
      <c r="U926" s="333">
        <f t="shared" si="145"/>
        <v>-142858</v>
      </c>
      <c r="V926" s="333">
        <v>0</v>
      </c>
      <c r="W926" s="333">
        <v>0</v>
      </c>
      <c r="X926" s="333">
        <v>0</v>
      </c>
      <c r="Y926" s="333">
        <v>0</v>
      </c>
      <c r="Z926" s="333">
        <v>0</v>
      </c>
      <c r="AA926" s="333">
        <v>0</v>
      </c>
      <c r="AB926" s="333">
        <v>0</v>
      </c>
      <c r="AC926" s="333">
        <v>0</v>
      </c>
      <c r="AD926" s="333">
        <v>0</v>
      </c>
      <c r="AE926" s="333"/>
      <c r="AF926" s="333"/>
      <c r="AG926" s="333">
        <f t="shared" si="146"/>
        <v>-142858</v>
      </c>
      <c r="AH926" s="330"/>
      <c r="AI926" s="330">
        <v>0</v>
      </c>
      <c r="AJ926" s="396">
        <f t="shared" si="147"/>
        <v>-142858</v>
      </c>
      <c r="AK926" s="563"/>
      <c r="AL926" s="285">
        <f t="shared" si="149"/>
        <v>0</v>
      </c>
      <c r="AM926" s="286"/>
      <c r="AO926" s="107" t="s">
        <v>5886</v>
      </c>
    </row>
    <row r="927" spans="1:41">
      <c r="A927" s="587">
        <f t="shared" si="148"/>
        <v>924</v>
      </c>
      <c r="B927" s="107" t="s">
        <v>1643</v>
      </c>
      <c r="C927" s="330"/>
      <c r="D927" s="330"/>
      <c r="E927" s="330"/>
      <c r="F927" s="330"/>
      <c r="G927" s="562"/>
      <c r="H927" s="562"/>
      <c r="I927" s="562"/>
      <c r="J927" s="561"/>
      <c r="K927" s="107" t="s">
        <v>5888</v>
      </c>
      <c r="L927" s="107" t="s">
        <v>5889</v>
      </c>
      <c r="M927" s="107"/>
      <c r="N927" s="330"/>
      <c r="O927" s="395"/>
      <c r="P927" s="333"/>
      <c r="Q927" s="330"/>
      <c r="R927" s="562">
        <v>0</v>
      </c>
      <c r="S927" s="333">
        <v>0</v>
      </c>
      <c r="T927" s="333">
        <v>-150000.00000000003</v>
      </c>
      <c r="U927" s="333">
        <f t="shared" si="145"/>
        <v>-150000.00000000003</v>
      </c>
      <c r="V927" s="333">
        <v>0</v>
      </c>
      <c r="W927" s="333">
        <v>0</v>
      </c>
      <c r="X927" s="333">
        <v>0</v>
      </c>
      <c r="Y927" s="333">
        <v>0</v>
      </c>
      <c r="Z927" s="333">
        <v>0</v>
      </c>
      <c r="AA927" s="333">
        <v>0</v>
      </c>
      <c r="AB927" s="333">
        <v>0</v>
      </c>
      <c r="AC927" s="333">
        <v>0</v>
      </c>
      <c r="AD927" s="333">
        <v>0</v>
      </c>
      <c r="AE927" s="333"/>
      <c r="AF927" s="333"/>
      <c r="AG927" s="333">
        <f t="shared" si="146"/>
        <v>-150000.00000000003</v>
      </c>
      <c r="AH927" s="330"/>
      <c r="AI927" s="330">
        <v>0</v>
      </c>
      <c r="AJ927" s="396">
        <f t="shared" si="147"/>
        <v>-150000.00000000003</v>
      </c>
      <c r="AK927" s="563"/>
      <c r="AL927" s="285">
        <f t="shared" si="149"/>
        <v>0</v>
      </c>
      <c r="AM927" s="286"/>
      <c r="AO927" s="107" t="s">
        <v>5888</v>
      </c>
    </row>
    <row r="928" spans="1:41">
      <c r="A928" s="587">
        <f t="shared" si="148"/>
        <v>925</v>
      </c>
      <c r="B928" s="107" t="s">
        <v>1643</v>
      </c>
      <c r="C928" s="330"/>
      <c r="D928" s="330"/>
      <c r="E928" s="330"/>
      <c r="F928" s="330"/>
      <c r="G928" s="562"/>
      <c r="H928" s="562"/>
      <c r="I928" s="562"/>
      <c r="J928" s="561"/>
      <c r="K928" s="107" t="s">
        <v>5890</v>
      </c>
      <c r="L928" s="107" t="s">
        <v>5891</v>
      </c>
      <c r="M928" s="107"/>
      <c r="N928" s="330"/>
      <c r="O928" s="395"/>
      <c r="P928" s="333"/>
      <c r="Q928" s="330"/>
      <c r="R928" s="562">
        <v>0</v>
      </c>
      <c r="S928" s="333">
        <v>0</v>
      </c>
      <c r="T928" s="333">
        <v>-47620</v>
      </c>
      <c r="U928" s="333">
        <f t="shared" si="145"/>
        <v>-47620</v>
      </c>
      <c r="V928" s="333">
        <v>0</v>
      </c>
      <c r="W928" s="333">
        <v>0</v>
      </c>
      <c r="X928" s="333">
        <v>0</v>
      </c>
      <c r="Y928" s="333">
        <v>0</v>
      </c>
      <c r="Z928" s="333">
        <v>0</v>
      </c>
      <c r="AA928" s="333">
        <v>0</v>
      </c>
      <c r="AB928" s="333">
        <v>0</v>
      </c>
      <c r="AC928" s="333">
        <v>0</v>
      </c>
      <c r="AD928" s="333">
        <v>47620</v>
      </c>
      <c r="AE928" s="333"/>
      <c r="AF928" s="333"/>
      <c r="AG928" s="333">
        <f t="shared" si="146"/>
        <v>0</v>
      </c>
      <c r="AH928" s="330"/>
      <c r="AI928" s="330">
        <v>0</v>
      </c>
      <c r="AJ928" s="396">
        <f t="shared" si="147"/>
        <v>0</v>
      </c>
      <c r="AK928" s="563"/>
      <c r="AL928" s="285">
        <f t="shared" si="149"/>
        <v>0</v>
      </c>
      <c r="AM928" s="286"/>
      <c r="AO928" s="107" t="s">
        <v>5890</v>
      </c>
    </row>
    <row r="929" spans="1:41">
      <c r="A929" s="587">
        <f t="shared" si="148"/>
        <v>926</v>
      </c>
      <c r="B929" s="107" t="s">
        <v>1643</v>
      </c>
      <c r="C929" s="330"/>
      <c r="D929" s="330"/>
      <c r="E929" s="330"/>
      <c r="F929" s="330"/>
      <c r="G929" s="562"/>
      <c r="H929" s="562"/>
      <c r="I929" s="562"/>
      <c r="J929" s="561"/>
      <c r="K929" s="107" t="s">
        <v>5892</v>
      </c>
      <c r="L929" s="107" t="s">
        <v>5893</v>
      </c>
      <c r="M929" s="107"/>
      <c r="N929" s="330"/>
      <c r="O929" s="395"/>
      <c r="P929" s="333"/>
      <c r="Q929" s="330"/>
      <c r="R929" s="562">
        <v>0</v>
      </c>
      <c r="S929" s="333">
        <v>0</v>
      </c>
      <c r="T929" s="333">
        <v>-142858</v>
      </c>
      <c r="U929" s="333">
        <f t="shared" si="145"/>
        <v>-142858</v>
      </c>
      <c r="V929" s="333">
        <v>0</v>
      </c>
      <c r="W929" s="333">
        <v>0</v>
      </c>
      <c r="X929" s="333">
        <v>0</v>
      </c>
      <c r="Y929" s="333">
        <v>0</v>
      </c>
      <c r="Z929" s="333">
        <v>0</v>
      </c>
      <c r="AA929" s="333">
        <v>0</v>
      </c>
      <c r="AB929" s="333">
        <v>0</v>
      </c>
      <c r="AC929" s="333">
        <v>0</v>
      </c>
      <c r="AD929" s="333">
        <v>0</v>
      </c>
      <c r="AE929" s="333"/>
      <c r="AF929" s="333"/>
      <c r="AG929" s="333">
        <f t="shared" si="146"/>
        <v>-142858</v>
      </c>
      <c r="AH929" s="330"/>
      <c r="AI929" s="330">
        <v>0</v>
      </c>
      <c r="AJ929" s="396">
        <f t="shared" si="147"/>
        <v>-142858</v>
      </c>
      <c r="AK929" s="563"/>
      <c r="AL929" s="285">
        <f t="shared" si="149"/>
        <v>0</v>
      </c>
      <c r="AM929" s="286"/>
      <c r="AO929" s="107" t="s">
        <v>5892</v>
      </c>
    </row>
    <row r="930" spans="1:41">
      <c r="A930" s="587">
        <f t="shared" si="148"/>
        <v>927</v>
      </c>
      <c r="B930" s="107" t="s">
        <v>1643</v>
      </c>
      <c r="C930" s="330"/>
      <c r="D930" s="330"/>
      <c r="E930" s="330"/>
      <c r="F930" s="330"/>
      <c r="G930" s="562"/>
      <c r="H930" s="562"/>
      <c r="I930" s="562"/>
      <c r="J930" s="561"/>
      <c r="K930" s="107" t="s">
        <v>5894</v>
      </c>
      <c r="L930" s="107" t="s">
        <v>5895</v>
      </c>
      <c r="M930" s="107"/>
      <c r="N930" s="330"/>
      <c r="O930" s="395"/>
      <c r="P930" s="333"/>
      <c r="Q930" s="330"/>
      <c r="R930" s="562">
        <v>0</v>
      </c>
      <c r="S930" s="333">
        <v>0</v>
      </c>
      <c r="T930" s="333">
        <v>-100000</v>
      </c>
      <c r="U930" s="333">
        <f t="shared" si="145"/>
        <v>-100000</v>
      </c>
      <c r="V930" s="333">
        <v>0</v>
      </c>
      <c r="W930" s="333">
        <v>0</v>
      </c>
      <c r="X930" s="333">
        <v>0</v>
      </c>
      <c r="Y930" s="333">
        <v>0</v>
      </c>
      <c r="Z930" s="333">
        <v>0</v>
      </c>
      <c r="AA930" s="333">
        <v>0</v>
      </c>
      <c r="AB930" s="333">
        <v>0</v>
      </c>
      <c r="AC930" s="333">
        <v>0</v>
      </c>
      <c r="AD930" s="333">
        <v>0</v>
      </c>
      <c r="AE930" s="333"/>
      <c r="AF930" s="333"/>
      <c r="AG930" s="333">
        <f t="shared" si="146"/>
        <v>-100000</v>
      </c>
      <c r="AH930" s="330"/>
      <c r="AI930" s="330">
        <v>0</v>
      </c>
      <c r="AJ930" s="396">
        <f t="shared" si="147"/>
        <v>-100000</v>
      </c>
      <c r="AK930" s="563"/>
      <c r="AL930" s="285">
        <f t="shared" si="149"/>
        <v>0</v>
      </c>
      <c r="AM930" s="286"/>
      <c r="AO930" s="107" t="s">
        <v>5894</v>
      </c>
    </row>
    <row r="931" spans="1:41">
      <c r="A931" s="587">
        <f t="shared" si="148"/>
        <v>928</v>
      </c>
      <c r="B931" s="107" t="s">
        <v>1643</v>
      </c>
      <c r="C931" s="330"/>
      <c r="D931" s="330"/>
      <c r="E931" s="330"/>
      <c r="F931" s="330"/>
      <c r="G931" s="562"/>
      <c r="H931" s="562"/>
      <c r="I931" s="562"/>
      <c r="J931" s="561"/>
      <c r="K931" s="107" t="s">
        <v>5896</v>
      </c>
      <c r="L931" s="107" t="s">
        <v>5897</v>
      </c>
      <c r="M931" s="107"/>
      <c r="N931" s="330"/>
      <c r="O931" s="395"/>
      <c r="P931" s="333"/>
      <c r="Q931" s="330"/>
      <c r="R931" s="562">
        <v>0</v>
      </c>
      <c r="S931" s="333">
        <v>0</v>
      </c>
      <c r="T931" s="333">
        <v>9805</v>
      </c>
      <c r="U931" s="333">
        <f t="shared" si="145"/>
        <v>9805</v>
      </c>
      <c r="V931" s="333">
        <v>0</v>
      </c>
      <c r="W931" s="333">
        <v>0</v>
      </c>
      <c r="X931" s="333">
        <v>0</v>
      </c>
      <c r="Y931" s="333">
        <v>0</v>
      </c>
      <c r="Z931" s="333">
        <v>0</v>
      </c>
      <c r="AA931" s="333">
        <v>0</v>
      </c>
      <c r="AB931" s="333">
        <v>0</v>
      </c>
      <c r="AC931" s="333">
        <v>-9805</v>
      </c>
      <c r="AD931" s="333">
        <v>0</v>
      </c>
      <c r="AE931" s="333"/>
      <c r="AF931" s="333"/>
      <c r="AG931" s="333">
        <f t="shared" si="146"/>
        <v>0</v>
      </c>
      <c r="AH931" s="330"/>
      <c r="AI931" s="330">
        <v>9805</v>
      </c>
      <c r="AJ931" s="396">
        <f t="shared" si="147"/>
        <v>0</v>
      </c>
      <c r="AK931" s="563"/>
      <c r="AL931" s="285">
        <f>+AC931+AI931</f>
        <v>0</v>
      </c>
      <c r="AM931" s="286"/>
      <c r="AO931" s="107" t="s">
        <v>5896</v>
      </c>
    </row>
    <row r="932" spans="1:41">
      <c r="A932" s="587">
        <f t="shared" si="148"/>
        <v>929</v>
      </c>
      <c r="B932" s="107" t="s">
        <v>1643</v>
      </c>
      <c r="C932" s="330"/>
      <c r="D932" s="330"/>
      <c r="E932" s="330"/>
      <c r="F932" s="330"/>
      <c r="G932" s="562"/>
      <c r="H932" s="562"/>
      <c r="I932" s="562"/>
      <c r="J932" s="561"/>
      <c r="K932" s="107" t="s">
        <v>5898</v>
      </c>
      <c r="L932" s="107" t="s">
        <v>5899</v>
      </c>
      <c r="M932" s="107"/>
      <c r="N932" s="330"/>
      <c r="O932" s="395"/>
      <c r="P932" s="333"/>
      <c r="Q932" s="330"/>
      <c r="R932" s="562">
        <v>0</v>
      </c>
      <c r="S932" s="333">
        <v>0</v>
      </c>
      <c r="T932" s="333">
        <v>-225678</v>
      </c>
      <c r="U932" s="333">
        <f t="shared" si="145"/>
        <v>-225678</v>
      </c>
      <c r="V932" s="333">
        <v>225678</v>
      </c>
      <c r="W932" s="333">
        <v>0</v>
      </c>
      <c r="X932" s="333">
        <v>0</v>
      </c>
      <c r="Y932" s="333">
        <v>0</v>
      </c>
      <c r="Z932" s="333">
        <v>0</v>
      </c>
      <c r="AA932" s="333">
        <v>0</v>
      </c>
      <c r="AB932" s="333">
        <v>0</v>
      </c>
      <c r="AC932" s="333">
        <v>0</v>
      </c>
      <c r="AD932" s="333">
        <v>0</v>
      </c>
      <c r="AE932" s="333"/>
      <c r="AF932" s="333"/>
      <c r="AG932" s="333">
        <f t="shared" si="146"/>
        <v>0</v>
      </c>
      <c r="AH932" s="330"/>
      <c r="AI932" s="330">
        <v>0</v>
      </c>
      <c r="AJ932" s="396">
        <f t="shared" si="147"/>
        <v>0</v>
      </c>
      <c r="AK932" s="563"/>
      <c r="AL932" s="285">
        <f t="shared" si="149"/>
        <v>0</v>
      </c>
      <c r="AM932" s="286"/>
      <c r="AO932" s="107" t="s">
        <v>5898</v>
      </c>
    </row>
    <row r="933" spans="1:41">
      <c r="A933" s="587">
        <f t="shared" si="148"/>
        <v>930</v>
      </c>
      <c r="B933" s="107" t="s">
        <v>1643</v>
      </c>
      <c r="C933" s="330"/>
      <c r="D933" s="330"/>
      <c r="E933" s="330"/>
      <c r="F933" s="330"/>
      <c r="G933" s="562"/>
      <c r="H933" s="562"/>
      <c r="I933" s="562"/>
      <c r="J933" s="561"/>
      <c r="K933" s="107" t="s">
        <v>5900</v>
      </c>
      <c r="L933" s="107" t="s">
        <v>5901</v>
      </c>
      <c r="M933" s="107"/>
      <c r="N933" s="330"/>
      <c r="O933" s="395"/>
      <c r="P933" s="333"/>
      <c r="Q933" s="330"/>
      <c r="R933" s="562">
        <v>0</v>
      </c>
      <c r="S933" s="333">
        <v>0</v>
      </c>
      <c r="T933" s="333">
        <v>-48572</v>
      </c>
      <c r="U933" s="333">
        <f t="shared" si="145"/>
        <v>-48572</v>
      </c>
      <c r="V933" s="333">
        <v>0</v>
      </c>
      <c r="W933" s="333">
        <v>0</v>
      </c>
      <c r="X933" s="333">
        <v>0</v>
      </c>
      <c r="Y933" s="333">
        <v>0</v>
      </c>
      <c r="Z933" s="333">
        <v>0</v>
      </c>
      <c r="AA933" s="333">
        <v>0</v>
      </c>
      <c r="AB933" s="333">
        <v>0</v>
      </c>
      <c r="AC933" s="333">
        <v>0</v>
      </c>
      <c r="AD933" s="333">
        <v>48572</v>
      </c>
      <c r="AE933" s="333"/>
      <c r="AF933" s="333"/>
      <c r="AG933" s="333">
        <f t="shared" si="146"/>
        <v>0</v>
      </c>
      <c r="AH933" s="330"/>
      <c r="AI933" s="330">
        <v>0</v>
      </c>
      <c r="AJ933" s="396">
        <f t="shared" si="147"/>
        <v>0</v>
      </c>
      <c r="AK933" s="563"/>
      <c r="AL933" s="285">
        <f t="shared" si="149"/>
        <v>0</v>
      </c>
      <c r="AM933" s="286"/>
      <c r="AO933" s="107" t="s">
        <v>5900</v>
      </c>
    </row>
    <row r="934" spans="1:41">
      <c r="A934" s="587">
        <f t="shared" si="148"/>
        <v>931</v>
      </c>
      <c r="B934" s="107" t="s">
        <v>1643</v>
      </c>
      <c r="C934" s="330"/>
      <c r="D934" s="330"/>
      <c r="E934" s="330"/>
      <c r="F934" s="330"/>
      <c r="G934" s="562"/>
      <c r="H934" s="562"/>
      <c r="I934" s="562"/>
      <c r="J934" s="561"/>
      <c r="K934" s="107" t="s">
        <v>5902</v>
      </c>
      <c r="L934" s="107" t="s">
        <v>5903</v>
      </c>
      <c r="M934" s="107"/>
      <c r="N934" s="330"/>
      <c r="O934" s="395"/>
      <c r="P934" s="333"/>
      <c r="Q934" s="330"/>
      <c r="R934" s="562">
        <v>0</v>
      </c>
      <c r="S934" s="333">
        <v>0</v>
      </c>
      <c r="T934" s="333">
        <v>-150000</v>
      </c>
      <c r="U934" s="333">
        <f t="shared" si="145"/>
        <v>-150000</v>
      </c>
      <c r="V934" s="333">
        <v>0</v>
      </c>
      <c r="W934" s="333">
        <v>0</v>
      </c>
      <c r="X934" s="333">
        <v>0</v>
      </c>
      <c r="Y934" s="333">
        <v>0</v>
      </c>
      <c r="Z934" s="333">
        <v>0</v>
      </c>
      <c r="AA934" s="333">
        <v>0</v>
      </c>
      <c r="AB934" s="333">
        <v>0</v>
      </c>
      <c r="AC934" s="333">
        <v>0</v>
      </c>
      <c r="AD934" s="333">
        <v>0</v>
      </c>
      <c r="AE934" s="333"/>
      <c r="AF934" s="333"/>
      <c r="AG934" s="333">
        <f t="shared" si="146"/>
        <v>-150000</v>
      </c>
      <c r="AH934" s="330"/>
      <c r="AI934" s="330">
        <v>0</v>
      </c>
      <c r="AJ934" s="396">
        <f t="shared" si="147"/>
        <v>-150000</v>
      </c>
      <c r="AK934" s="563"/>
      <c r="AL934" s="285">
        <f t="shared" si="149"/>
        <v>0</v>
      </c>
      <c r="AM934" s="286"/>
      <c r="AO934" s="107" t="s">
        <v>5902</v>
      </c>
    </row>
    <row r="935" spans="1:41">
      <c r="A935" s="587">
        <f t="shared" si="148"/>
        <v>932</v>
      </c>
      <c r="B935" s="107" t="s">
        <v>1643</v>
      </c>
      <c r="C935" s="330"/>
      <c r="D935" s="330"/>
      <c r="E935" s="330"/>
      <c r="F935" s="330"/>
      <c r="G935" s="562"/>
      <c r="H935" s="562"/>
      <c r="I935" s="562"/>
      <c r="J935" s="561"/>
      <c r="K935" s="107" t="s">
        <v>5904</v>
      </c>
      <c r="L935" s="107" t="s">
        <v>5905</v>
      </c>
      <c r="M935" s="107"/>
      <c r="N935" s="330"/>
      <c r="O935" s="395"/>
      <c r="P935" s="333"/>
      <c r="Q935" s="330"/>
      <c r="R935" s="562">
        <v>0</v>
      </c>
      <c r="S935" s="333">
        <v>0</v>
      </c>
      <c r="T935" s="333">
        <v>-48572</v>
      </c>
      <c r="U935" s="333">
        <f t="shared" si="145"/>
        <v>-48572</v>
      </c>
      <c r="V935" s="333">
        <v>0</v>
      </c>
      <c r="W935" s="333">
        <v>0</v>
      </c>
      <c r="X935" s="333">
        <v>0</v>
      </c>
      <c r="Y935" s="333">
        <v>0</v>
      </c>
      <c r="Z935" s="333">
        <v>0</v>
      </c>
      <c r="AA935" s="333">
        <v>0</v>
      </c>
      <c r="AB935" s="333">
        <v>0</v>
      </c>
      <c r="AC935" s="333">
        <v>0</v>
      </c>
      <c r="AD935" s="333">
        <v>0</v>
      </c>
      <c r="AE935" s="333"/>
      <c r="AF935" s="333"/>
      <c r="AG935" s="333">
        <f t="shared" si="146"/>
        <v>-48572</v>
      </c>
      <c r="AH935" s="330"/>
      <c r="AI935" s="330">
        <v>0</v>
      </c>
      <c r="AJ935" s="396">
        <f t="shared" si="147"/>
        <v>-48572</v>
      </c>
      <c r="AK935" s="563"/>
      <c r="AL935" s="285">
        <f t="shared" si="149"/>
        <v>0</v>
      </c>
      <c r="AM935" s="286"/>
      <c r="AO935" s="107" t="s">
        <v>5904</v>
      </c>
    </row>
    <row r="936" spans="1:41">
      <c r="A936" s="587">
        <f t="shared" si="148"/>
        <v>933</v>
      </c>
      <c r="B936" s="107" t="s">
        <v>1643</v>
      </c>
      <c r="C936" s="330"/>
      <c r="D936" s="330"/>
      <c r="E936" s="330"/>
      <c r="F936" s="330"/>
      <c r="G936" s="562"/>
      <c r="H936" s="562"/>
      <c r="I936" s="562"/>
      <c r="J936" s="561"/>
      <c r="K936" s="107" t="s">
        <v>5906</v>
      </c>
      <c r="L936" s="107" t="s">
        <v>5907</v>
      </c>
      <c r="M936" s="107"/>
      <c r="N936" s="330"/>
      <c r="O936" s="395"/>
      <c r="P936" s="333"/>
      <c r="Q936" s="330"/>
      <c r="R936" s="562">
        <v>0</v>
      </c>
      <c r="S936" s="333">
        <v>0</v>
      </c>
      <c r="T936" s="333">
        <v>-150000</v>
      </c>
      <c r="U936" s="333">
        <f t="shared" si="145"/>
        <v>-150000</v>
      </c>
      <c r="V936" s="333">
        <v>0</v>
      </c>
      <c r="W936" s="333">
        <v>0</v>
      </c>
      <c r="X936" s="333">
        <v>0</v>
      </c>
      <c r="Y936" s="333">
        <v>0</v>
      </c>
      <c r="Z936" s="333">
        <v>0</v>
      </c>
      <c r="AA936" s="333">
        <v>0</v>
      </c>
      <c r="AB936" s="333">
        <v>0</v>
      </c>
      <c r="AC936" s="333">
        <v>0</v>
      </c>
      <c r="AD936" s="333">
        <v>0</v>
      </c>
      <c r="AE936" s="333"/>
      <c r="AF936" s="333"/>
      <c r="AG936" s="333">
        <f t="shared" si="146"/>
        <v>-150000</v>
      </c>
      <c r="AH936" s="330"/>
      <c r="AI936" s="330">
        <v>0</v>
      </c>
      <c r="AJ936" s="396">
        <f t="shared" si="147"/>
        <v>-150000</v>
      </c>
      <c r="AK936" s="563"/>
      <c r="AL936" s="285">
        <f t="shared" si="149"/>
        <v>0</v>
      </c>
      <c r="AM936" s="286"/>
      <c r="AO936" s="107" t="s">
        <v>5906</v>
      </c>
    </row>
    <row r="937" spans="1:41">
      <c r="A937" s="587">
        <f t="shared" si="148"/>
        <v>934</v>
      </c>
      <c r="B937" s="107" t="s">
        <v>1643</v>
      </c>
      <c r="C937" s="330"/>
      <c r="D937" s="330"/>
      <c r="E937" s="330"/>
      <c r="F937" s="330"/>
      <c r="G937" s="562"/>
      <c r="H937" s="562"/>
      <c r="I937" s="562"/>
      <c r="J937" s="561"/>
      <c r="K937" s="107" t="s">
        <v>5908</v>
      </c>
      <c r="L937" s="107" t="s">
        <v>5909</v>
      </c>
      <c r="M937" s="107"/>
      <c r="N937" s="330"/>
      <c r="O937" s="395"/>
      <c r="P937" s="333"/>
      <c r="Q937" s="330"/>
      <c r="R937" s="562">
        <v>0</v>
      </c>
      <c r="S937" s="333">
        <v>0</v>
      </c>
      <c r="T937" s="333">
        <v>-289000.00000000006</v>
      </c>
      <c r="U937" s="333">
        <f t="shared" si="145"/>
        <v>-289000.00000000006</v>
      </c>
      <c r="V937" s="333">
        <v>0</v>
      </c>
      <c r="W937" s="333">
        <v>0</v>
      </c>
      <c r="X937" s="333">
        <v>0</v>
      </c>
      <c r="Y937" s="333">
        <v>0</v>
      </c>
      <c r="Z937" s="333">
        <v>0</v>
      </c>
      <c r="AA937" s="333">
        <v>0</v>
      </c>
      <c r="AB937" s="333">
        <v>0</v>
      </c>
      <c r="AC937" s="333">
        <v>0</v>
      </c>
      <c r="AD937" s="333">
        <v>0</v>
      </c>
      <c r="AE937" s="333"/>
      <c r="AF937" s="333"/>
      <c r="AG937" s="333">
        <f t="shared" si="146"/>
        <v>-289000.00000000006</v>
      </c>
      <c r="AH937" s="330"/>
      <c r="AI937" s="330">
        <v>0</v>
      </c>
      <c r="AJ937" s="396">
        <f t="shared" si="147"/>
        <v>-289000.00000000006</v>
      </c>
      <c r="AK937" s="563"/>
      <c r="AL937" s="285">
        <f t="shared" si="149"/>
        <v>0</v>
      </c>
      <c r="AM937" s="286"/>
      <c r="AO937" s="107" t="s">
        <v>5908</v>
      </c>
    </row>
    <row r="938" spans="1:41">
      <c r="A938" s="587">
        <f t="shared" si="148"/>
        <v>935</v>
      </c>
      <c r="B938" s="107" t="s">
        <v>1643</v>
      </c>
      <c r="C938" s="330"/>
      <c r="D938" s="330"/>
      <c r="E938" s="330"/>
      <c r="F938" s="330"/>
      <c r="G938" s="562"/>
      <c r="H938" s="562"/>
      <c r="I938" s="562"/>
      <c r="J938" s="561"/>
      <c r="K938" s="107" t="s">
        <v>5910</v>
      </c>
      <c r="L938" s="107" t="s">
        <v>5911</v>
      </c>
      <c r="M938" s="107"/>
      <c r="N938" s="330"/>
      <c r="O938" s="395"/>
      <c r="P938" s="333"/>
      <c r="Q938" s="330"/>
      <c r="R938" s="562">
        <v>0</v>
      </c>
      <c r="S938" s="333">
        <v>0</v>
      </c>
      <c r="T938" s="333">
        <v>-142856</v>
      </c>
      <c r="U938" s="333">
        <f t="shared" si="145"/>
        <v>-142856</v>
      </c>
      <c r="V938" s="333">
        <v>0</v>
      </c>
      <c r="W938" s="333">
        <v>0</v>
      </c>
      <c r="X938" s="333">
        <v>0</v>
      </c>
      <c r="Y938" s="333">
        <v>0</v>
      </c>
      <c r="Z938" s="333">
        <v>0</v>
      </c>
      <c r="AA938" s="333">
        <v>0</v>
      </c>
      <c r="AB938" s="333">
        <v>0</v>
      </c>
      <c r="AC938" s="333">
        <v>0</v>
      </c>
      <c r="AD938" s="333">
        <v>142856</v>
      </c>
      <c r="AE938" s="333"/>
      <c r="AF938" s="333"/>
      <c r="AG938" s="333">
        <f t="shared" si="146"/>
        <v>0</v>
      </c>
      <c r="AH938" s="330"/>
      <c r="AI938" s="330">
        <v>0</v>
      </c>
      <c r="AJ938" s="396">
        <f t="shared" si="147"/>
        <v>0</v>
      </c>
      <c r="AK938" s="563"/>
      <c r="AL938" s="285">
        <f t="shared" si="149"/>
        <v>0</v>
      </c>
      <c r="AM938" s="286"/>
      <c r="AO938" s="107" t="s">
        <v>5910</v>
      </c>
    </row>
    <row r="939" spans="1:41">
      <c r="A939" s="587">
        <f t="shared" si="148"/>
        <v>936</v>
      </c>
      <c r="B939" s="107" t="s">
        <v>1643</v>
      </c>
      <c r="C939" s="330"/>
      <c r="D939" s="330"/>
      <c r="E939" s="330"/>
      <c r="F939" s="330"/>
      <c r="G939" s="562"/>
      <c r="H939" s="562"/>
      <c r="I939" s="562"/>
      <c r="J939" s="561"/>
      <c r="K939" s="107" t="s">
        <v>5912</v>
      </c>
      <c r="L939" s="107" t="s">
        <v>5913</v>
      </c>
      <c r="M939" s="107"/>
      <c r="N939" s="330"/>
      <c r="O939" s="395"/>
      <c r="P939" s="333"/>
      <c r="Q939" s="330"/>
      <c r="R939" s="562">
        <v>0</v>
      </c>
      <c r="S939" s="333">
        <v>0</v>
      </c>
      <c r="T939" s="333">
        <v>0</v>
      </c>
      <c r="U939" s="333">
        <f t="shared" si="145"/>
        <v>0</v>
      </c>
      <c r="V939" s="333">
        <v>-95000</v>
      </c>
      <c r="W939" s="333">
        <v>0</v>
      </c>
      <c r="X939" s="333">
        <v>0</v>
      </c>
      <c r="Y939" s="333">
        <v>0</v>
      </c>
      <c r="Z939" s="333">
        <v>0</v>
      </c>
      <c r="AA939" s="333">
        <v>0</v>
      </c>
      <c r="AB939" s="333">
        <v>0</v>
      </c>
      <c r="AC939" s="333">
        <v>0</v>
      </c>
      <c r="AD939" s="333">
        <v>0</v>
      </c>
      <c r="AE939" s="333"/>
      <c r="AF939" s="333"/>
      <c r="AG939" s="333">
        <f t="shared" si="146"/>
        <v>-95000</v>
      </c>
      <c r="AH939" s="330"/>
      <c r="AI939" s="330">
        <v>0</v>
      </c>
      <c r="AJ939" s="396">
        <f t="shared" si="147"/>
        <v>-95000</v>
      </c>
      <c r="AK939" s="563"/>
      <c r="AL939" s="285">
        <f t="shared" si="149"/>
        <v>0</v>
      </c>
      <c r="AM939" s="286"/>
      <c r="AO939" s="107" t="s">
        <v>5912</v>
      </c>
    </row>
    <row r="940" spans="1:41">
      <c r="A940" s="587">
        <f t="shared" si="148"/>
        <v>937</v>
      </c>
      <c r="B940" s="107" t="s">
        <v>1643</v>
      </c>
      <c r="C940" s="330"/>
      <c r="D940" s="330"/>
      <c r="E940" s="330"/>
      <c r="F940" s="330"/>
      <c r="G940" s="562"/>
      <c r="H940" s="562"/>
      <c r="I940" s="562"/>
      <c r="J940" s="561"/>
      <c r="K940" s="107" t="s">
        <v>5914</v>
      </c>
      <c r="L940" s="107" t="s">
        <v>5915</v>
      </c>
      <c r="M940" s="107"/>
      <c r="N940" s="330"/>
      <c r="O940" s="395"/>
      <c r="P940" s="333"/>
      <c r="Q940" s="330"/>
      <c r="R940" s="562">
        <v>0</v>
      </c>
      <c r="S940" s="333">
        <v>0</v>
      </c>
      <c r="T940" s="333">
        <v>0</v>
      </c>
      <c r="U940" s="333">
        <f t="shared" si="145"/>
        <v>0</v>
      </c>
      <c r="V940" s="333">
        <v>-101000</v>
      </c>
      <c r="W940" s="333">
        <v>0</v>
      </c>
      <c r="X940" s="333">
        <v>0</v>
      </c>
      <c r="Y940" s="333">
        <v>0</v>
      </c>
      <c r="Z940" s="333">
        <v>0</v>
      </c>
      <c r="AA940" s="333">
        <v>0</v>
      </c>
      <c r="AB940" s="333">
        <v>0</v>
      </c>
      <c r="AC940" s="333">
        <v>0</v>
      </c>
      <c r="AD940" s="333">
        <v>0</v>
      </c>
      <c r="AE940" s="333"/>
      <c r="AF940" s="333"/>
      <c r="AG940" s="333">
        <f t="shared" si="146"/>
        <v>-101000</v>
      </c>
      <c r="AH940" s="330"/>
      <c r="AI940" s="330">
        <v>0</v>
      </c>
      <c r="AJ940" s="396">
        <f t="shared" si="147"/>
        <v>-101000</v>
      </c>
      <c r="AK940" s="563"/>
      <c r="AL940" s="285">
        <f t="shared" si="149"/>
        <v>0</v>
      </c>
      <c r="AM940" s="286"/>
      <c r="AO940" s="107" t="s">
        <v>5914</v>
      </c>
    </row>
    <row r="941" spans="1:41">
      <c r="A941" s="587">
        <f t="shared" si="148"/>
        <v>938</v>
      </c>
      <c r="B941" s="107" t="s">
        <v>1643</v>
      </c>
      <c r="C941" s="330"/>
      <c r="D941" s="330"/>
      <c r="E941" s="330"/>
      <c r="F941" s="330"/>
      <c r="G941" s="562"/>
      <c r="H941" s="562"/>
      <c r="I941" s="562"/>
      <c r="J941" s="561"/>
      <c r="K941" s="107" t="s">
        <v>5916</v>
      </c>
      <c r="L941" s="107" t="s">
        <v>5917</v>
      </c>
      <c r="M941" s="107"/>
      <c r="N941" s="330"/>
      <c r="O941" s="395"/>
      <c r="P941" s="333"/>
      <c r="Q941" s="330"/>
      <c r="R941" s="562">
        <v>0</v>
      </c>
      <c r="S941" s="333">
        <v>0</v>
      </c>
      <c r="T941" s="333">
        <v>0</v>
      </c>
      <c r="U941" s="333">
        <f t="shared" si="145"/>
        <v>0</v>
      </c>
      <c r="V941" s="333">
        <v>-75000</v>
      </c>
      <c r="W941" s="333">
        <v>0</v>
      </c>
      <c r="X941" s="333">
        <v>0</v>
      </c>
      <c r="Y941" s="333">
        <v>0</v>
      </c>
      <c r="Z941" s="333">
        <v>0</v>
      </c>
      <c r="AA941" s="333">
        <v>0</v>
      </c>
      <c r="AB941" s="333">
        <v>0</v>
      </c>
      <c r="AC941" s="333">
        <v>0</v>
      </c>
      <c r="AD941" s="333">
        <v>0</v>
      </c>
      <c r="AE941" s="333"/>
      <c r="AF941" s="333"/>
      <c r="AG941" s="333">
        <f t="shared" si="146"/>
        <v>-75000</v>
      </c>
      <c r="AH941" s="330"/>
      <c r="AI941" s="330">
        <v>0</v>
      </c>
      <c r="AJ941" s="396">
        <f t="shared" si="147"/>
        <v>-75000</v>
      </c>
      <c r="AK941" s="563"/>
      <c r="AL941" s="285">
        <f t="shared" si="149"/>
        <v>0</v>
      </c>
      <c r="AM941" s="286"/>
      <c r="AO941" s="107" t="s">
        <v>5916</v>
      </c>
    </row>
    <row r="942" spans="1:41">
      <c r="A942" s="587">
        <f t="shared" si="148"/>
        <v>939</v>
      </c>
      <c r="B942" s="107" t="s">
        <v>1643</v>
      </c>
      <c r="C942" s="330"/>
      <c r="D942" s="330"/>
      <c r="E942" s="330"/>
      <c r="F942" s="330"/>
      <c r="G942" s="562"/>
      <c r="H942" s="562"/>
      <c r="I942" s="562"/>
      <c r="J942" s="561"/>
      <c r="K942" s="330" t="s">
        <v>5918</v>
      </c>
      <c r="L942" s="107" t="s">
        <v>5919</v>
      </c>
      <c r="M942" s="107"/>
      <c r="N942" s="330"/>
      <c r="O942" s="395"/>
      <c r="P942" s="333"/>
      <c r="Q942" s="330"/>
      <c r="R942" s="562">
        <v>0</v>
      </c>
      <c r="S942" s="333">
        <v>0</v>
      </c>
      <c r="T942" s="333">
        <v>0</v>
      </c>
      <c r="U942" s="333">
        <f t="shared" si="145"/>
        <v>0</v>
      </c>
      <c r="V942" s="333">
        <v>-100000</v>
      </c>
      <c r="W942" s="333">
        <v>0</v>
      </c>
      <c r="X942" s="333">
        <v>0</v>
      </c>
      <c r="Y942" s="333">
        <v>0</v>
      </c>
      <c r="Z942" s="333">
        <v>0</v>
      </c>
      <c r="AA942" s="333">
        <v>0</v>
      </c>
      <c r="AB942" s="333">
        <v>0</v>
      </c>
      <c r="AC942" s="333">
        <v>0</v>
      </c>
      <c r="AD942" s="333">
        <v>0</v>
      </c>
      <c r="AE942" s="333"/>
      <c r="AF942" s="333"/>
      <c r="AG942" s="333">
        <f t="shared" si="146"/>
        <v>-100000</v>
      </c>
      <c r="AH942" s="330"/>
      <c r="AI942" s="330">
        <v>0</v>
      </c>
      <c r="AJ942" s="396">
        <f t="shared" si="147"/>
        <v>-100000</v>
      </c>
      <c r="AK942" s="563"/>
      <c r="AL942" s="285">
        <f t="shared" si="149"/>
        <v>0</v>
      </c>
      <c r="AM942" s="286"/>
      <c r="AO942" s="330" t="s">
        <v>5918</v>
      </c>
    </row>
    <row r="943" spans="1:41">
      <c r="A943" s="587">
        <f t="shared" si="148"/>
        <v>940</v>
      </c>
      <c r="B943" s="107" t="s">
        <v>1643</v>
      </c>
      <c r="C943" s="330"/>
      <c r="D943" s="330"/>
      <c r="E943" s="330"/>
      <c r="F943" s="330"/>
      <c r="G943" s="562"/>
      <c r="H943" s="562"/>
      <c r="I943" s="562"/>
      <c r="J943" s="561"/>
      <c r="K943" s="107" t="s">
        <v>5920</v>
      </c>
      <c r="L943" s="107" t="s">
        <v>5921</v>
      </c>
      <c r="M943" s="107"/>
      <c r="N943" s="330"/>
      <c r="O943" s="395"/>
      <c r="P943" s="333"/>
      <c r="Q943" s="330"/>
      <c r="R943" s="562">
        <v>0</v>
      </c>
      <c r="S943" s="333">
        <v>0</v>
      </c>
      <c r="T943" s="333">
        <v>0</v>
      </c>
      <c r="U943" s="333">
        <f t="shared" si="145"/>
        <v>0</v>
      </c>
      <c r="V943" s="333">
        <v>-100000</v>
      </c>
      <c r="W943" s="333">
        <v>0</v>
      </c>
      <c r="X943" s="333">
        <v>0</v>
      </c>
      <c r="Y943" s="333">
        <v>0</v>
      </c>
      <c r="Z943" s="333">
        <v>0</v>
      </c>
      <c r="AA943" s="333">
        <v>0</v>
      </c>
      <c r="AB943" s="333">
        <v>0</v>
      </c>
      <c r="AC943" s="333">
        <v>0</v>
      </c>
      <c r="AD943" s="333">
        <v>0</v>
      </c>
      <c r="AE943" s="333"/>
      <c r="AF943" s="333"/>
      <c r="AG943" s="333">
        <f t="shared" si="146"/>
        <v>-100000</v>
      </c>
      <c r="AH943" s="330"/>
      <c r="AI943" s="330">
        <v>0</v>
      </c>
      <c r="AJ943" s="396">
        <f t="shared" si="147"/>
        <v>-100000</v>
      </c>
      <c r="AK943" s="563"/>
      <c r="AL943" s="285">
        <f t="shared" si="149"/>
        <v>0</v>
      </c>
      <c r="AM943" s="286"/>
      <c r="AO943" s="107" t="s">
        <v>5920</v>
      </c>
    </row>
    <row r="944" spans="1:41">
      <c r="A944" s="587">
        <f t="shared" si="148"/>
        <v>941</v>
      </c>
      <c r="B944" s="107" t="s">
        <v>1643</v>
      </c>
      <c r="C944" s="330"/>
      <c r="D944" s="330"/>
      <c r="E944" s="330"/>
      <c r="F944" s="330"/>
      <c r="G944" s="562"/>
      <c r="H944" s="562"/>
      <c r="I944" s="562"/>
      <c r="J944" s="561"/>
      <c r="K944" s="107" t="s">
        <v>5922</v>
      </c>
      <c r="L944" s="107" t="s">
        <v>5923</v>
      </c>
      <c r="M944" s="107"/>
      <c r="N944" s="330"/>
      <c r="O944" s="395"/>
      <c r="P944" s="333"/>
      <c r="Q944" s="330"/>
      <c r="R944" s="562">
        <v>0</v>
      </c>
      <c r="S944" s="333">
        <v>0</v>
      </c>
      <c r="T944" s="333">
        <v>0</v>
      </c>
      <c r="U944" s="333">
        <f t="shared" si="145"/>
        <v>0</v>
      </c>
      <c r="V944" s="333">
        <v>-71000</v>
      </c>
      <c r="W944" s="333">
        <v>0</v>
      </c>
      <c r="X944" s="333">
        <v>0</v>
      </c>
      <c r="Y944" s="333">
        <v>0</v>
      </c>
      <c r="Z944" s="333">
        <v>0</v>
      </c>
      <c r="AA944" s="333">
        <v>0</v>
      </c>
      <c r="AB944" s="333">
        <v>0</v>
      </c>
      <c r="AC944" s="333">
        <v>0</v>
      </c>
      <c r="AD944" s="333">
        <v>0</v>
      </c>
      <c r="AE944" s="333"/>
      <c r="AF944" s="333"/>
      <c r="AG944" s="333">
        <f t="shared" si="146"/>
        <v>-71000</v>
      </c>
      <c r="AH944" s="330"/>
      <c r="AI944" s="330">
        <v>0</v>
      </c>
      <c r="AJ944" s="396">
        <f t="shared" si="147"/>
        <v>-71000</v>
      </c>
      <c r="AK944" s="563"/>
      <c r="AL944" s="285">
        <f t="shared" si="149"/>
        <v>0</v>
      </c>
      <c r="AM944" s="286"/>
      <c r="AO944" s="107" t="s">
        <v>5922</v>
      </c>
    </row>
    <row r="945" spans="1:41">
      <c r="A945" s="587">
        <f t="shared" si="148"/>
        <v>942</v>
      </c>
      <c r="B945" s="107" t="s">
        <v>1643</v>
      </c>
      <c r="C945" s="330"/>
      <c r="D945" s="330"/>
      <c r="E945" s="330"/>
      <c r="F945" s="330"/>
      <c r="G945" s="562"/>
      <c r="H945" s="562"/>
      <c r="I945" s="562"/>
      <c r="J945" s="561"/>
      <c r="K945" s="107" t="s">
        <v>5924</v>
      </c>
      <c r="L945" s="107" t="s">
        <v>5925</v>
      </c>
      <c r="M945" s="107"/>
      <c r="N945" s="330"/>
      <c r="O945" s="395"/>
      <c r="P945" s="333"/>
      <c r="Q945" s="330"/>
      <c r="R945" s="562">
        <v>0</v>
      </c>
      <c r="S945" s="333">
        <v>0</v>
      </c>
      <c r="T945" s="333">
        <v>0</v>
      </c>
      <c r="U945" s="333">
        <f t="shared" si="145"/>
        <v>0</v>
      </c>
      <c r="V945" s="333">
        <v>-51000</v>
      </c>
      <c r="W945" s="333">
        <v>0</v>
      </c>
      <c r="X945" s="333">
        <v>0</v>
      </c>
      <c r="Y945" s="333">
        <v>0</v>
      </c>
      <c r="Z945" s="333">
        <v>0</v>
      </c>
      <c r="AA945" s="333">
        <v>0</v>
      </c>
      <c r="AB945" s="333">
        <v>0</v>
      </c>
      <c r="AC945" s="333">
        <v>0</v>
      </c>
      <c r="AD945" s="333">
        <v>0</v>
      </c>
      <c r="AE945" s="333"/>
      <c r="AF945" s="333"/>
      <c r="AG945" s="333">
        <f t="shared" si="146"/>
        <v>-51000</v>
      </c>
      <c r="AH945" s="330"/>
      <c r="AI945" s="330">
        <v>0</v>
      </c>
      <c r="AJ945" s="396">
        <f t="shared" si="147"/>
        <v>-51000</v>
      </c>
      <c r="AK945" s="563"/>
      <c r="AL945" s="285">
        <f t="shared" si="149"/>
        <v>0</v>
      </c>
      <c r="AM945" s="286"/>
      <c r="AO945" s="107" t="s">
        <v>5924</v>
      </c>
    </row>
    <row r="946" spans="1:41">
      <c r="A946" s="587">
        <f t="shared" si="148"/>
        <v>943</v>
      </c>
      <c r="B946" s="107" t="s">
        <v>1643</v>
      </c>
      <c r="C946" s="330"/>
      <c r="D946" s="330"/>
      <c r="E946" s="330"/>
      <c r="F946" s="330"/>
      <c r="G946" s="562"/>
      <c r="H946" s="562"/>
      <c r="I946" s="562"/>
      <c r="J946" s="561"/>
      <c r="K946" s="107" t="s">
        <v>5926</v>
      </c>
      <c r="L946" s="107" t="s">
        <v>5927</v>
      </c>
      <c r="M946" s="107"/>
      <c r="N946" s="330"/>
      <c r="O946" s="395"/>
      <c r="P946" s="333"/>
      <c r="Q946" s="330"/>
      <c r="R946" s="562">
        <v>0</v>
      </c>
      <c r="S946" s="333">
        <v>0</v>
      </c>
      <c r="T946" s="333">
        <v>0</v>
      </c>
      <c r="U946" s="333">
        <f t="shared" si="145"/>
        <v>0</v>
      </c>
      <c r="V946" s="333">
        <v>0</v>
      </c>
      <c r="W946" s="333">
        <v>0</v>
      </c>
      <c r="X946" s="333">
        <v>0</v>
      </c>
      <c r="Y946" s="333">
        <v>0</v>
      </c>
      <c r="Z946" s="333">
        <v>0</v>
      </c>
      <c r="AA946" s="333">
        <v>0</v>
      </c>
      <c r="AB946" s="333">
        <v>0</v>
      </c>
      <c r="AC946" s="333">
        <v>0</v>
      </c>
      <c r="AD946" s="333">
        <v>0</v>
      </c>
      <c r="AE946" s="333"/>
      <c r="AF946" s="333"/>
      <c r="AG946" s="333">
        <f t="shared" si="146"/>
        <v>0</v>
      </c>
      <c r="AH946" s="330"/>
      <c r="AI946" s="330">
        <v>0</v>
      </c>
      <c r="AJ946" s="396">
        <f t="shared" si="147"/>
        <v>0</v>
      </c>
      <c r="AK946" s="563"/>
      <c r="AL946" s="285">
        <f t="shared" si="149"/>
        <v>0</v>
      </c>
      <c r="AM946" s="286"/>
      <c r="AO946" s="107" t="s">
        <v>5926</v>
      </c>
    </row>
    <row r="947" spans="1:41">
      <c r="A947" s="587">
        <f t="shared" si="148"/>
        <v>944</v>
      </c>
      <c r="B947" s="107" t="s">
        <v>1643</v>
      </c>
      <c r="C947" s="330"/>
      <c r="D947" s="330"/>
      <c r="E947" s="330"/>
      <c r="F947" s="330"/>
      <c r="G947" s="562"/>
      <c r="H947" s="562"/>
      <c r="I947" s="562"/>
      <c r="J947" s="561"/>
      <c r="K947" s="107" t="s">
        <v>5928</v>
      </c>
      <c r="L947" s="107" t="s">
        <v>5929</v>
      </c>
      <c r="M947" s="107"/>
      <c r="N947" s="330"/>
      <c r="O947" s="395"/>
      <c r="P947" s="333"/>
      <c r="Q947" s="330"/>
      <c r="R947" s="562">
        <v>0</v>
      </c>
      <c r="S947" s="333">
        <v>0</v>
      </c>
      <c r="T947" s="333">
        <v>0</v>
      </c>
      <c r="U947" s="333">
        <f t="shared" si="145"/>
        <v>0</v>
      </c>
      <c r="V947" s="333">
        <v>-51000</v>
      </c>
      <c r="W947" s="333">
        <v>0</v>
      </c>
      <c r="X947" s="333">
        <v>0</v>
      </c>
      <c r="Y947" s="333">
        <v>0</v>
      </c>
      <c r="Z947" s="333">
        <v>0</v>
      </c>
      <c r="AA947" s="333">
        <v>0</v>
      </c>
      <c r="AB947" s="333">
        <v>0</v>
      </c>
      <c r="AC947" s="333">
        <v>0</v>
      </c>
      <c r="AD947" s="333">
        <v>0</v>
      </c>
      <c r="AE947" s="333"/>
      <c r="AF947" s="333"/>
      <c r="AG947" s="333">
        <f t="shared" si="146"/>
        <v>-51000</v>
      </c>
      <c r="AH947" s="330"/>
      <c r="AI947" s="330">
        <v>0</v>
      </c>
      <c r="AJ947" s="396">
        <f t="shared" si="147"/>
        <v>-51000</v>
      </c>
      <c r="AK947" s="563"/>
      <c r="AL947" s="285">
        <f t="shared" si="149"/>
        <v>0</v>
      </c>
      <c r="AM947" s="286"/>
      <c r="AO947" s="107" t="s">
        <v>5928</v>
      </c>
    </row>
    <row r="948" spans="1:41">
      <c r="A948" s="587">
        <f t="shared" si="148"/>
        <v>945</v>
      </c>
      <c r="B948" s="107" t="s">
        <v>1643</v>
      </c>
      <c r="C948" s="330"/>
      <c r="D948" s="330"/>
      <c r="E948" s="330"/>
      <c r="F948" s="330"/>
      <c r="G948" s="562"/>
      <c r="H948" s="562"/>
      <c r="I948" s="562"/>
      <c r="J948" s="561"/>
      <c r="K948" s="330"/>
      <c r="L948" s="107" t="s">
        <v>5930</v>
      </c>
      <c r="M948" s="107"/>
      <c r="N948" s="330"/>
      <c r="O948" s="395"/>
      <c r="P948" s="333"/>
      <c r="Q948" s="330"/>
      <c r="R948" s="330"/>
      <c r="S948" s="333"/>
      <c r="T948" s="333">
        <v>-3864584.67</v>
      </c>
      <c r="U948" s="333">
        <f t="shared" si="145"/>
        <v>-3864584.67</v>
      </c>
      <c r="V948" s="333">
        <v>0</v>
      </c>
      <c r="W948" s="333">
        <v>0</v>
      </c>
      <c r="X948" s="333">
        <v>0</v>
      </c>
      <c r="Y948" s="333">
        <v>0</v>
      </c>
      <c r="Z948" s="333">
        <v>0</v>
      </c>
      <c r="AA948" s="333">
        <v>0</v>
      </c>
      <c r="AB948" s="333">
        <v>0</v>
      </c>
      <c r="AC948" s="333">
        <v>0</v>
      </c>
      <c r="AD948" s="333">
        <v>0</v>
      </c>
      <c r="AE948" s="333"/>
      <c r="AF948" s="333"/>
      <c r="AG948" s="333">
        <f>Z960+Z958+Z959</f>
        <v>-1517526.67</v>
      </c>
      <c r="AH948" s="330"/>
      <c r="AI948" s="330">
        <v>0</v>
      </c>
      <c r="AJ948" s="396">
        <f t="shared" ref="AJ948" si="150">SUM(V948:AE948)</f>
        <v>0</v>
      </c>
      <c r="AK948" s="563"/>
      <c r="AL948" s="285">
        <f t="shared" si="149"/>
        <v>0</v>
      </c>
      <c r="AM948" s="286"/>
    </row>
    <row r="949" spans="1:41" s="575" customFormat="1">
      <c r="A949" s="570"/>
      <c r="B949" s="571" t="s">
        <v>5931</v>
      </c>
      <c r="C949" s="571"/>
      <c r="D949" s="571"/>
      <c r="E949" s="571"/>
      <c r="F949" s="571"/>
      <c r="G949" s="572"/>
      <c r="H949" s="572"/>
      <c r="I949" s="572"/>
      <c r="J949" s="570"/>
      <c r="K949" s="571"/>
      <c r="L949" s="571"/>
      <c r="M949" s="571"/>
      <c r="N949" s="571"/>
      <c r="O949" s="573"/>
      <c r="P949" s="574"/>
      <c r="Q949" s="571"/>
      <c r="R949" s="571">
        <f t="shared" ref="R949:AJ949" si="151">SUM(R4:R948)</f>
        <v>0</v>
      </c>
      <c r="S949" s="574">
        <f t="shared" si="151"/>
        <v>-615700</v>
      </c>
      <c r="T949" s="574">
        <f t="shared" si="151"/>
        <v>-1368628713.8699989</v>
      </c>
      <c r="U949" s="574">
        <f t="shared" si="151"/>
        <v>-1369244413.8699989</v>
      </c>
      <c r="V949" s="574">
        <f t="shared" si="151"/>
        <v>-12863428.530000005</v>
      </c>
      <c r="W949" s="574">
        <f t="shared" si="151"/>
        <v>0</v>
      </c>
      <c r="X949" s="574">
        <f t="shared" si="151"/>
        <v>0</v>
      </c>
      <c r="Y949" s="574">
        <f t="shared" si="151"/>
        <v>0</v>
      </c>
      <c r="Z949" s="574">
        <f t="shared" si="151"/>
        <v>8428500</v>
      </c>
      <c r="AA949" s="574">
        <f t="shared" si="151"/>
        <v>-8388001</v>
      </c>
      <c r="AB949" s="574">
        <f t="shared" si="151"/>
        <v>0</v>
      </c>
      <c r="AC949" s="574">
        <f t="shared" si="151"/>
        <v>3322157.6900000027</v>
      </c>
      <c r="AD949" s="574">
        <f t="shared" si="151"/>
        <v>12971471.120000001</v>
      </c>
      <c r="AE949" s="574">
        <f t="shared" si="151"/>
        <v>0</v>
      </c>
      <c r="AF949" s="574">
        <f t="shared" si="151"/>
        <v>0</v>
      </c>
      <c r="AG949" s="574">
        <f t="shared" si="151"/>
        <v>-1363426656.589999</v>
      </c>
      <c r="AH949" s="571"/>
      <c r="AI949" s="574">
        <f t="shared" si="151"/>
        <v>-3308492.7500000023</v>
      </c>
      <c r="AJ949" s="574">
        <f t="shared" si="151"/>
        <v>-1361909129.9199989</v>
      </c>
      <c r="AL949" s="576">
        <f>SUM(AL4:AL948)</f>
        <v>13663.780000000286</v>
      </c>
      <c r="AM949" s="576"/>
    </row>
    <row r="952" spans="1:41" ht="51">
      <c r="S952" s="577" t="s">
        <v>318</v>
      </c>
      <c r="T952" s="577" t="s">
        <v>319</v>
      </c>
      <c r="U952" s="577" t="s">
        <v>5932</v>
      </c>
      <c r="V952" s="578" t="s">
        <v>321</v>
      </c>
      <c r="W952" s="578" t="s">
        <v>463</v>
      </c>
      <c r="X952" s="578" t="s">
        <v>322</v>
      </c>
      <c r="Y952" s="578" t="s">
        <v>323</v>
      </c>
      <c r="Z952" s="578" t="s">
        <v>324</v>
      </c>
      <c r="AF952"/>
      <c r="AG952"/>
    </row>
    <row r="953" spans="1:41">
      <c r="S953" s="107" t="s">
        <v>384</v>
      </c>
      <c r="T953" s="107">
        <v>10500001</v>
      </c>
      <c r="U953" s="579" t="s">
        <v>5933</v>
      </c>
      <c r="V953" s="580">
        <v>835132253.33000004</v>
      </c>
      <c r="W953" s="580">
        <v>0</v>
      </c>
      <c r="X953" s="580">
        <v>82317594.280000001</v>
      </c>
      <c r="Y953" s="581">
        <v>53683312.899999999</v>
      </c>
      <c r="Z953" s="333">
        <v>863766534.71000004</v>
      </c>
      <c r="AA953" s="285" t="e" cm="1">
        <f t="array" ref="AA953">vlo</f>
        <v>#NAME?</v>
      </c>
      <c r="AE953" s="582"/>
      <c r="AF953"/>
      <c r="AG953"/>
    </row>
    <row r="954" spans="1:41">
      <c r="S954" s="107" t="s">
        <v>384</v>
      </c>
      <c r="T954" s="107">
        <v>10500002</v>
      </c>
      <c r="U954" s="579" t="s">
        <v>5934</v>
      </c>
      <c r="V954" s="580">
        <v>45177026.520000003</v>
      </c>
      <c r="W954" s="580">
        <v>0</v>
      </c>
      <c r="X954" s="580">
        <v>3583960.76</v>
      </c>
      <c r="Y954" s="581">
        <v>1842689.61</v>
      </c>
      <c r="Z954" s="333">
        <v>46918297.670000002</v>
      </c>
      <c r="AE954" s="582"/>
      <c r="AF954"/>
      <c r="AG954"/>
    </row>
    <row r="955" spans="1:41">
      <c r="S955" s="107" t="s">
        <v>384</v>
      </c>
      <c r="T955" s="107">
        <v>10500003</v>
      </c>
      <c r="U955" s="579" t="s">
        <v>5935</v>
      </c>
      <c r="V955" s="580">
        <v>-22777476</v>
      </c>
      <c r="W955" s="580">
        <v>0</v>
      </c>
      <c r="X955" s="580">
        <v>22831301</v>
      </c>
      <c r="Y955" s="581">
        <v>24576201</v>
      </c>
      <c r="Z955" s="333">
        <v>-24522376</v>
      </c>
      <c r="AE955" s="582"/>
      <c r="AF955"/>
      <c r="AG955"/>
    </row>
    <row r="956" spans="1:41">
      <c r="S956" s="107" t="s">
        <v>384</v>
      </c>
      <c r="T956" s="107">
        <v>10500009</v>
      </c>
      <c r="U956" s="579" t="s">
        <v>5936</v>
      </c>
      <c r="V956" s="580">
        <v>261151400.69999999</v>
      </c>
      <c r="W956" s="580">
        <v>0</v>
      </c>
      <c r="X956" s="580">
        <v>240500368.86000001</v>
      </c>
      <c r="Y956" s="581">
        <v>330886296.76999998</v>
      </c>
      <c r="Z956" s="333">
        <v>170765472.78999999</v>
      </c>
      <c r="AE956" s="582"/>
      <c r="AF956"/>
      <c r="AG956"/>
    </row>
    <row r="957" spans="1:41">
      <c r="S957" s="107" t="s">
        <v>384</v>
      </c>
      <c r="T957" s="107">
        <v>10500100</v>
      </c>
      <c r="U957" s="579" t="s">
        <v>427</v>
      </c>
      <c r="V957" s="382">
        <v>0</v>
      </c>
      <c r="W957" s="382">
        <v>0</v>
      </c>
      <c r="X957" s="382">
        <v>2319592.64</v>
      </c>
      <c r="Y957" s="581">
        <v>2319592.64</v>
      </c>
      <c r="Z957" s="333">
        <v>0</v>
      </c>
      <c r="AE957" s="582"/>
      <c r="AF957"/>
      <c r="AG957"/>
    </row>
    <row r="958" spans="1:41">
      <c r="S958" s="107" t="s">
        <v>384</v>
      </c>
      <c r="T958" s="107">
        <v>20411001</v>
      </c>
      <c r="U958" s="579" t="s">
        <v>5937</v>
      </c>
      <c r="V958" s="382">
        <v>-1214</v>
      </c>
      <c r="W958" s="382">
        <v>0</v>
      </c>
      <c r="X958" s="382">
        <v>0</v>
      </c>
      <c r="Y958" s="581">
        <v>0</v>
      </c>
      <c r="Z958" s="333">
        <v>-1214</v>
      </c>
      <c r="AE958" s="582"/>
      <c r="AF958"/>
      <c r="AG958"/>
    </row>
    <row r="959" spans="1:41">
      <c r="S959" s="107" t="s">
        <v>384</v>
      </c>
      <c r="T959" s="107">
        <v>20411002</v>
      </c>
      <c r="U959" s="579" t="s">
        <v>5938</v>
      </c>
      <c r="V959" s="382">
        <v>-1214</v>
      </c>
      <c r="W959" s="382">
        <v>0</v>
      </c>
      <c r="X959" s="382">
        <v>0</v>
      </c>
      <c r="Y959" s="581">
        <v>0</v>
      </c>
      <c r="Z959" s="333">
        <v>-1214</v>
      </c>
      <c r="AE959" s="582"/>
      <c r="AF959"/>
      <c r="AG959"/>
    </row>
    <row r="960" spans="1:41">
      <c r="S960" s="107" t="s">
        <v>384</v>
      </c>
      <c r="T960" s="107">
        <v>20490001</v>
      </c>
      <c r="U960" s="579" t="s">
        <v>104</v>
      </c>
      <c r="V960" s="382">
        <v>-3862156.67</v>
      </c>
      <c r="W960" s="382">
        <v>0</v>
      </c>
      <c r="X960" s="382">
        <v>12417809.939999999</v>
      </c>
      <c r="Y960" s="581">
        <v>10070751.939999999</v>
      </c>
      <c r="Z960" s="333">
        <v>-1515098.67</v>
      </c>
      <c r="AE960" s="582"/>
      <c r="AF960"/>
      <c r="AG960"/>
    </row>
    <row r="961" spans="19:33">
      <c r="S961" s="107" t="s">
        <v>384</v>
      </c>
      <c r="T961" s="107">
        <v>20710001</v>
      </c>
      <c r="U961" s="579" t="s">
        <v>5939</v>
      </c>
      <c r="V961" s="382">
        <v>-1149942404.79</v>
      </c>
      <c r="W961" s="382">
        <v>0</v>
      </c>
      <c r="X961" s="382">
        <v>118840963.64</v>
      </c>
      <c r="Y961" s="581">
        <v>48909538.689999998</v>
      </c>
      <c r="Z961" s="333">
        <v>-1080010979.8399999</v>
      </c>
      <c r="AE961" s="582"/>
      <c r="AF961"/>
      <c r="AG961"/>
    </row>
    <row r="962" spans="19:33">
      <c r="S962" s="107" t="s">
        <v>384</v>
      </c>
      <c r="T962" s="107">
        <v>20710003</v>
      </c>
      <c r="U962" s="579" t="s">
        <v>5940</v>
      </c>
      <c r="V962" s="580">
        <v>-56136699.979999997</v>
      </c>
      <c r="W962" s="580">
        <v>0</v>
      </c>
      <c r="X962" s="580">
        <v>8725600.3900000006</v>
      </c>
      <c r="Y962" s="581">
        <v>3068424.92</v>
      </c>
      <c r="Z962" s="333">
        <v>-50479524.509999998</v>
      </c>
      <c r="AE962" s="582"/>
      <c r="AF962"/>
      <c r="AG962"/>
    </row>
    <row r="963" spans="19:33">
      <c r="S963" s="107" t="s">
        <v>384</v>
      </c>
      <c r="T963" s="107">
        <v>20710011</v>
      </c>
      <c r="U963" s="579" t="s">
        <v>5941</v>
      </c>
      <c r="V963" s="580">
        <v>-8849234.7599999998</v>
      </c>
      <c r="W963" s="580">
        <v>0</v>
      </c>
      <c r="X963" s="580">
        <v>57432075.799999997</v>
      </c>
      <c r="Y963" s="581">
        <v>57104447.700000003</v>
      </c>
      <c r="Z963" s="333">
        <v>-8521606.6600000001</v>
      </c>
      <c r="AE963" s="582"/>
      <c r="AF963"/>
      <c r="AG963"/>
    </row>
    <row r="964" spans="19:33">
      <c r="S964" s="107" t="s">
        <v>384</v>
      </c>
      <c r="T964" s="107">
        <v>20710013</v>
      </c>
      <c r="U964" s="579" t="s">
        <v>5942</v>
      </c>
      <c r="V964" s="580">
        <v>2358044.7599999998</v>
      </c>
      <c r="W964" s="580">
        <v>0</v>
      </c>
      <c r="X964" s="580">
        <v>1238084.8</v>
      </c>
      <c r="Y964" s="581">
        <v>2411164.9</v>
      </c>
      <c r="Z964" s="333">
        <v>1184964.6599999999</v>
      </c>
      <c r="AE964" s="582"/>
      <c r="AF964"/>
      <c r="AG964"/>
    </row>
    <row r="965" spans="19:33">
      <c r="S965" s="107" t="s">
        <v>384</v>
      </c>
      <c r="T965" s="107">
        <v>20710015</v>
      </c>
      <c r="U965" s="579" t="s">
        <v>5943</v>
      </c>
      <c r="V965" s="580">
        <v>13298862</v>
      </c>
      <c r="W965" s="580">
        <v>0</v>
      </c>
      <c r="X965" s="580">
        <v>58336400.439999998</v>
      </c>
      <c r="Y965" s="581">
        <v>50087718.420000002</v>
      </c>
      <c r="Z965" s="333">
        <v>21547544.02</v>
      </c>
      <c r="AE965" s="582"/>
      <c r="AF965"/>
      <c r="AG965"/>
    </row>
    <row r="966" spans="19:33">
      <c r="S966" s="107" t="s">
        <v>384</v>
      </c>
      <c r="T966" s="107">
        <v>20710016</v>
      </c>
      <c r="U966" s="579" t="s">
        <v>5944</v>
      </c>
      <c r="V966" s="580">
        <v>-600</v>
      </c>
      <c r="W966" s="580">
        <v>0</v>
      </c>
      <c r="X966" s="580">
        <v>0</v>
      </c>
      <c r="Y966" s="581">
        <v>0</v>
      </c>
      <c r="Z966" s="333">
        <v>-600</v>
      </c>
      <c r="AE966" s="582"/>
      <c r="AF966"/>
      <c r="AG966"/>
    </row>
    <row r="967" spans="19:33">
      <c r="S967" s="107" t="s">
        <v>384</v>
      </c>
      <c r="T967" s="107">
        <v>20710019</v>
      </c>
      <c r="U967" s="579" t="s">
        <v>5945</v>
      </c>
      <c r="V967" s="580">
        <v>79000</v>
      </c>
      <c r="W967" s="580">
        <v>0</v>
      </c>
      <c r="X967" s="580">
        <v>109774747.11</v>
      </c>
      <c r="Y967" s="581">
        <v>121271582.11</v>
      </c>
      <c r="Z967" s="333">
        <v>-11417835</v>
      </c>
      <c r="AE967" s="582"/>
      <c r="AF967"/>
      <c r="AG967"/>
    </row>
    <row r="968" spans="19:33">
      <c r="S968" s="107" t="s">
        <v>384</v>
      </c>
      <c r="T968" s="107">
        <v>20710022</v>
      </c>
      <c r="U968" s="579" t="s">
        <v>5946</v>
      </c>
      <c r="V968" s="580">
        <v>624500</v>
      </c>
      <c r="W968" s="580">
        <v>0</v>
      </c>
      <c r="X968" s="580">
        <v>14890800</v>
      </c>
      <c r="Y968" s="581">
        <v>15515300</v>
      </c>
      <c r="Z968" s="333">
        <v>0</v>
      </c>
      <c r="AE968" s="582"/>
      <c r="AF968"/>
      <c r="AG968"/>
    </row>
    <row r="969" spans="19:33">
      <c r="S969" s="107" t="s">
        <v>384</v>
      </c>
      <c r="T969" s="107">
        <v>20710101</v>
      </c>
      <c r="U969" s="579" t="s">
        <v>119</v>
      </c>
      <c r="V969" s="580">
        <v>-1285494500.98</v>
      </c>
      <c r="W969" s="580">
        <v>0</v>
      </c>
      <c r="X969" s="580">
        <v>113766622.26000001</v>
      </c>
      <c r="Y969" s="581">
        <v>119411144.56</v>
      </c>
      <c r="Z969" s="333">
        <v>-1291139023.28</v>
      </c>
      <c r="AE969" s="582"/>
      <c r="AF969"/>
      <c r="AG969"/>
    </row>
    <row r="970" spans="19:33">
      <c r="S970" s="107"/>
      <c r="T970" s="107"/>
      <c r="U970" s="583" t="s">
        <v>5931</v>
      </c>
      <c r="V970" s="581">
        <f>SUM(V953:V969)</f>
        <v>-1369244413.8700001</v>
      </c>
      <c r="W970" s="581"/>
      <c r="X970" s="581"/>
      <c r="Y970" s="581"/>
      <c r="Z970" s="581">
        <f>SUM(Z953:Z969)</f>
        <v>-1363426658.1099999</v>
      </c>
      <c r="AE970" s="582"/>
      <c r="AF970"/>
      <c r="AG970"/>
    </row>
    <row r="971" spans="19:33">
      <c r="S971" s="107"/>
      <c r="T971" s="107"/>
      <c r="U971" s="583" t="s">
        <v>5947</v>
      </c>
      <c r="V971" s="581">
        <f>+U949</f>
        <v>-1369244413.8699989</v>
      </c>
      <c r="W971" s="581"/>
      <c r="X971" s="581"/>
      <c r="Y971" s="581"/>
      <c r="Z971" s="333">
        <f>AG949</f>
        <v>-1363426656.589999</v>
      </c>
      <c r="AE971" s="582"/>
      <c r="AF971"/>
      <c r="AG971"/>
    </row>
    <row r="972" spans="19:33">
      <c r="S972" s="107"/>
      <c r="T972" s="107"/>
      <c r="U972" s="584" t="s">
        <v>477</v>
      </c>
      <c r="V972" s="585">
        <f>+V970-V971</f>
        <v>0</v>
      </c>
      <c r="W972" s="585"/>
      <c r="X972" s="585"/>
      <c r="Y972" s="585"/>
      <c r="Z972" s="585">
        <f>+Z970-Z971</f>
        <v>-1.5200009346008301</v>
      </c>
      <c r="AE972" s="582"/>
      <c r="AF972"/>
      <c r="AG972"/>
    </row>
    <row r="973" spans="19:33">
      <c r="AE973" s="582"/>
      <c r="AG973"/>
    </row>
    <row r="974" spans="19:33">
      <c r="AE974" s="582"/>
      <c r="AG974"/>
    </row>
    <row r="975" spans="19:33">
      <c r="AE975" s="582"/>
      <c r="AG975"/>
    </row>
    <row r="976" spans="19:33">
      <c r="AE976" s="582"/>
      <c r="AG976"/>
    </row>
    <row r="977" spans="31:33">
      <c r="AE977" s="582"/>
      <c r="AG977"/>
    </row>
    <row r="978" spans="31:33">
      <c r="AE978" s="582"/>
      <c r="AG978"/>
    </row>
    <row r="979" spans="31:33">
      <c r="AG979"/>
    </row>
    <row r="980" spans="31:33">
      <c r="AG980"/>
    </row>
    <row r="981" spans="31:33">
      <c r="AG981"/>
    </row>
    <row r="982" spans="31:33">
      <c r="AG982"/>
    </row>
    <row r="983" spans="31:33">
      <c r="AG983"/>
    </row>
    <row r="984" spans="31:33">
      <c r="AG984"/>
    </row>
    <row r="985" spans="31:33">
      <c r="AG985"/>
    </row>
    <row r="986" spans="31:33">
      <c r="AG986"/>
    </row>
    <row r="987" spans="31:33">
      <c r="AG987"/>
    </row>
    <row r="988" spans="31:33">
      <c r="AG988"/>
    </row>
    <row r="989" spans="31:33">
      <c r="AG989"/>
    </row>
    <row r="990" spans="31:33">
      <c r="AG990"/>
    </row>
    <row r="991" spans="31:33">
      <c r="AG991"/>
    </row>
    <row r="992" spans="31:33">
      <c r="AG992"/>
    </row>
    <row r="993" spans="33:33">
      <c r="AG993"/>
    </row>
    <row r="994" spans="33:33">
      <c r="AG994"/>
    </row>
    <row r="995" spans="33:33">
      <c r="AG995"/>
    </row>
    <row r="996" spans="33:33">
      <c r="AG996"/>
    </row>
    <row r="997" spans="33:33">
      <c r="AG997"/>
    </row>
    <row r="998" spans="33:33">
      <c r="AG998"/>
    </row>
    <row r="999" spans="33:33">
      <c r="AG999"/>
    </row>
    <row r="1000" spans="33:33">
      <c r="AG1000"/>
    </row>
    <row r="1001" spans="33:33">
      <c r="AG1001"/>
    </row>
    <row r="1002" spans="33:33">
      <c r="AG1002"/>
    </row>
    <row r="1003" spans="33:33">
      <c r="AG1003"/>
    </row>
    <row r="1004" spans="33:33">
      <c r="AG1004"/>
    </row>
    <row r="1005" spans="33:33">
      <c r="AG1005"/>
    </row>
    <row r="1006" spans="33:33">
      <c r="AG1006"/>
    </row>
    <row r="1007" spans="33:33">
      <c r="AG1007"/>
    </row>
    <row r="1008" spans="33:33">
      <c r="AG1008"/>
    </row>
    <row r="1009" spans="33:33">
      <c r="AG1009"/>
    </row>
    <row r="1010" spans="33:33">
      <c r="AG1010"/>
    </row>
    <row r="1011" spans="33:33">
      <c r="AG1011"/>
    </row>
    <row r="1012" spans="33:33">
      <c r="AG1012"/>
    </row>
    <row r="1013" spans="33:33">
      <c r="AG1013"/>
    </row>
    <row r="1014" spans="33:33">
      <c r="AG1014"/>
    </row>
    <row r="1015" spans="33:33">
      <c r="AG1015"/>
    </row>
    <row r="1016" spans="33:33">
      <c r="AG1016"/>
    </row>
    <row r="1017" spans="33:33">
      <c r="AG1017"/>
    </row>
    <row r="1018" spans="33:33">
      <c r="AG1018"/>
    </row>
    <row r="1019" spans="33:33">
      <c r="AG1019"/>
    </row>
    <row r="1020" spans="33:33">
      <c r="AG1020"/>
    </row>
    <row r="1021" spans="33:33">
      <c r="AG1021"/>
    </row>
    <row r="1022" spans="33:33">
      <c r="AG1022"/>
    </row>
    <row r="1023" spans="33:33">
      <c r="AG1023"/>
    </row>
    <row r="1024" spans="33:33">
      <c r="AG1024"/>
    </row>
    <row r="1025" spans="33:33">
      <c r="AG1025"/>
    </row>
    <row r="1026" spans="33:33">
      <c r="AG1026"/>
    </row>
    <row r="1027" spans="33:33">
      <c r="AG1027"/>
    </row>
    <row r="1028" spans="33:33">
      <c r="AG1028"/>
    </row>
    <row r="1029" spans="33:33">
      <c r="AG1029"/>
    </row>
    <row r="1030" spans="33:33">
      <c r="AG1030"/>
    </row>
    <row r="1031" spans="33:33">
      <c r="AG1031"/>
    </row>
    <row r="1032" spans="33:33">
      <c r="AG1032"/>
    </row>
    <row r="1033" spans="33:33">
      <c r="AG1033"/>
    </row>
    <row r="1034" spans="33:33">
      <c r="AG1034"/>
    </row>
    <row r="1035" spans="33:33">
      <c r="AG1035"/>
    </row>
    <row r="1036" spans="33:33">
      <c r="AG1036"/>
    </row>
    <row r="1037" spans="33:33">
      <c r="AG1037"/>
    </row>
    <row r="1038" spans="33:33">
      <c r="AG1038"/>
    </row>
    <row r="1039" spans="33:33">
      <c r="AG1039"/>
    </row>
    <row r="1040" spans="33:33">
      <c r="AG1040"/>
    </row>
    <row r="1041" spans="33:33">
      <c r="AG1041"/>
    </row>
    <row r="1042" spans="33:33">
      <c r="AG1042"/>
    </row>
    <row r="1043" spans="33:33">
      <c r="AG1043"/>
    </row>
    <row r="1044" spans="33:33">
      <c r="AG1044"/>
    </row>
    <row r="1045" spans="33:33">
      <c r="AG1045"/>
    </row>
    <row r="1046" spans="33:33">
      <c r="AG1046"/>
    </row>
    <row r="1047" spans="33:33">
      <c r="AG1047"/>
    </row>
    <row r="1048" spans="33:33">
      <c r="AG1048"/>
    </row>
    <row r="1049" spans="33:33">
      <c r="AG1049"/>
    </row>
    <row r="1050" spans="33:33">
      <c r="AG1050"/>
    </row>
    <row r="1051" spans="33:33">
      <c r="AG1051"/>
    </row>
    <row r="1052" spans="33:33">
      <c r="AG1052"/>
    </row>
    <row r="1053" spans="33:33">
      <c r="AG1053"/>
    </row>
    <row r="1054" spans="33:33">
      <c r="AG1054"/>
    </row>
    <row r="1055" spans="33:33">
      <c r="AG1055"/>
    </row>
    <row r="1056" spans="33:33">
      <c r="AG1056"/>
    </row>
    <row r="1057" spans="33:33">
      <c r="AG1057"/>
    </row>
    <row r="1058" spans="33:33">
      <c r="AG1058"/>
    </row>
    <row r="1059" spans="33:33">
      <c r="AG1059"/>
    </row>
    <row r="1060" spans="33:33">
      <c r="AG1060"/>
    </row>
    <row r="1061" spans="33:33">
      <c r="AG1061"/>
    </row>
    <row r="1062" spans="33:33">
      <c r="AG1062"/>
    </row>
    <row r="1063" spans="33:33">
      <c r="AG1063"/>
    </row>
    <row r="1064" spans="33:33">
      <c r="AG1064"/>
    </row>
    <row r="1065" spans="33:33">
      <c r="AG1065"/>
    </row>
    <row r="1066" spans="33:33">
      <c r="AG1066"/>
    </row>
    <row r="1067" spans="33:33">
      <c r="AG1067"/>
    </row>
    <row r="1068" spans="33:33">
      <c r="AG1068"/>
    </row>
    <row r="1069" spans="33:33">
      <c r="AG1069"/>
    </row>
    <row r="1070" spans="33:33">
      <c r="AG1070"/>
    </row>
    <row r="1071" spans="33:33">
      <c r="AG1071"/>
    </row>
    <row r="1072" spans="33:33">
      <c r="AG1072"/>
    </row>
    <row r="1073" spans="33:33">
      <c r="AG1073"/>
    </row>
    <row r="1074" spans="33:33">
      <c r="AG1074"/>
    </row>
    <row r="1075" spans="33:33">
      <c r="AG1075"/>
    </row>
    <row r="1076" spans="33:33">
      <c r="AG1076"/>
    </row>
    <row r="1077" spans="33:33">
      <c r="AG1077"/>
    </row>
    <row r="1078" spans="33:33">
      <c r="AG1078"/>
    </row>
    <row r="1079" spans="33:33">
      <c r="AG1079"/>
    </row>
    <row r="1080" spans="33:33">
      <c r="AG1080"/>
    </row>
    <row r="1081" spans="33:33">
      <c r="AG1081"/>
    </row>
    <row r="1082" spans="33:33">
      <c r="AG1082"/>
    </row>
    <row r="1083" spans="33:33">
      <c r="AG1083"/>
    </row>
    <row r="1084" spans="33:33">
      <c r="AG1084"/>
    </row>
    <row r="1085" spans="33:33">
      <c r="AG1085"/>
    </row>
    <row r="1086" spans="33:33">
      <c r="AG1086"/>
    </row>
    <row r="1087" spans="33:33">
      <c r="AG1087"/>
    </row>
    <row r="1088" spans="33:33">
      <c r="AG1088"/>
    </row>
    <row r="1089" spans="33:33">
      <c r="AG1089"/>
    </row>
    <row r="1090" spans="33:33">
      <c r="AG1090"/>
    </row>
    <row r="1091" spans="33:33">
      <c r="AG1091"/>
    </row>
    <row r="1092" spans="33:33">
      <c r="AG1092"/>
    </row>
    <row r="1093" spans="33:33">
      <c r="AG1093"/>
    </row>
    <row r="1094" spans="33:33">
      <c r="AG1094"/>
    </row>
    <row r="1095" spans="33:33">
      <c r="AG1095"/>
    </row>
    <row r="1096" spans="33:33">
      <c r="AG1096"/>
    </row>
    <row r="1097" spans="33:33">
      <c r="AG1097"/>
    </row>
    <row r="1098" spans="33:33">
      <c r="AG1098"/>
    </row>
    <row r="1099" spans="33:33">
      <c r="AG1099"/>
    </row>
    <row r="1100" spans="33:33">
      <c r="AG1100"/>
    </row>
    <row r="1101" spans="33:33">
      <c r="AG1101"/>
    </row>
    <row r="1102" spans="33:33">
      <c r="AG1102"/>
    </row>
    <row r="1103" spans="33:33">
      <c r="AG1103"/>
    </row>
    <row r="1104" spans="33:33">
      <c r="AG1104"/>
    </row>
    <row r="1105" spans="33:33">
      <c r="AG1105"/>
    </row>
    <row r="1106" spans="33:33">
      <c r="AG1106"/>
    </row>
    <row r="1107" spans="33:33">
      <c r="AG1107"/>
    </row>
    <row r="1108" spans="33:33">
      <c r="AG1108"/>
    </row>
    <row r="1109" spans="33:33">
      <c r="AG1109"/>
    </row>
    <row r="1110" spans="33:33">
      <c r="AG1110"/>
    </row>
    <row r="1111" spans="33:33">
      <c r="AG1111"/>
    </row>
    <row r="1112" spans="33:33">
      <c r="AG1112"/>
    </row>
    <row r="1113" spans="33:33">
      <c r="AG1113"/>
    </row>
    <row r="1114" spans="33:33">
      <c r="AG1114"/>
    </row>
    <row r="1115" spans="33:33">
      <c r="AG1115"/>
    </row>
    <row r="1116" spans="33:33">
      <c r="AG1116"/>
    </row>
    <row r="1117" spans="33:33">
      <c r="AG1117"/>
    </row>
    <row r="1118" spans="33:33">
      <c r="AG1118"/>
    </row>
    <row r="1119" spans="33:33">
      <c r="AG1119"/>
    </row>
    <row r="1120" spans="33:33">
      <c r="AG1120"/>
    </row>
    <row r="1121" spans="33:33">
      <c r="AG1121"/>
    </row>
    <row r="1122" spans="33:33">
      <c r="AG1122"/>
    </row>
    <row r="1123" spans="33:33">
      <c r="AG1123"/>
    </row>
    <row r="1124" spans="33:33">
      <c r="AG1124"/>
    </row>
    <row r="1125" spans="33:33">
      <c r="AG1125"/>
    </row>
    <row r="1126" spans="33:33">
      <c r="AG1126"/>
    </row>
    <row r="1127" spans="33:33">
      <c r="AG1127"/>
    </row>
    <row r="1128" spans="33:33">
      <c r="AG1128"/>
    </row>
    <row r="1129" spans="33:33">
      <c r="AG1129"/>
    </row>
    <row r="1130" spans="33:33">
      <c r="AG1130"/>
    </row>
    <row r="1131" spans="33:33">
      <c r="AG1131"/>
    </row>
    <row r="1132" spans="33:33">
      <c r="AG1132"/>
    </row>
    <row r="1133" spans="33:33">
      <c r="AG1133"/>
    </row>
    <row r="1134" spans="33:33">
      <c r="AG1134"/>
    </row>
    <row r="1135" spans="33:33">
      <c r="AG1135"/>
    </row>
    <row r="1136" spans="33:33">
      <c r="AG1136"/>
    </row>
    <row r="1137" spans="33:33">
      <c r="AG1137"/>
    </row>
    <row r="1138" spans="33:33">
      <c r="AG1138"/>
    </row>
  </sheetData>
  <conditionalFormatting sqref="C4:C1048576">
    <cfRule type="duplicateValues" dxfId="26" priority="1"/>
  </conditionalFormatting>
  <conditionalFormatting sqref="L1:L1048576">
    <cfRule type="duplicateValues" dxfId="25" priority="4"/>
  </conditionalFormatting>
  <conditionalFormatting sqref="L869:L948">
    <cfRule type="duplicateValues" dxfId="24" priority="5"/>
    <cfRule type="duplicateValues" dxfId="23" priority="6"/>
    <cfRule type="duplicateValues" dxfId="22" priority="7"/>
    <cfRule type="duplicateValues" dxfId="21" priority="8"/>
    <cfRule type="duplicateValues" dxfId="20" priority="9"/>
  </conditionalFormatting>
  <conditionalFormatting sqref="M3">
    <cfRule type="duplicateValues" dxfId="19" priority="2"/>
  </conditionalFormatting>
  <conditionalFormatting sqref="M4:M1048576">
    <cfRule type="duplicateValues" dxfId="18" priority="3"/>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22"/>
  <sheetViews>
    <sheetView showGridLines="0" workbookViewId="0">
      <selection activeCell="F24" sqref="F24"/>
    </sheetView>
  </sheetViews>
  <sheetFormatPr defaultRowHeight="15"/>
  <cols>
    <col min="2" max="2" width="14.42578125" bestFit="1" customWidth="1"/>
    <col min="3" max="3" width="13.42578125" bestFit="1" customWidth="1"/>
    <col min="4" max="4" width="9.5703125" bestFit="1" customWidth="1"/>
    <col min="5" max="5" width="46.7109375" bestFit="1" customWidth="1"/>
    <col min="6" max="6" width="20.28515625" bestFit="1" customWidth="1"/>
    <col min="7" max="7" width="28.7109375" bestFit="1" customWidth="1"/>
    <col min="8" max="8" width="27.42578125" bestFit="1" customWidth="1"/>
    <col min="9" max="9" width="20.28515625" bestFit="1" customWidth="1"/>
  </cols>
  <sheetData>
    <row r="2" spans="2:9">
      <c r="B2" t="s">
        <v>318</v>
      </c>
      <c r="C2" t="s">
        <v>319</v>
      </c>
      <c r="D2" t="s">
        <v>429</v>
      </c>
      <c r="E2" t="s">
        <v>320</v>
      </c>
      <c r="F2" t="s">
        <v>321</v>
      </c>
      <c r="G2" t="s">
        <v>322</v>
      </c>
      <c r="H2" t="s">
        <v>323</v>
      </c>
      <c r="I2" t="s">
        <v>324</v>
      </c>
    </row>
    <row r="3" spans="2:9">
      <c r="B3" t="s">
        <v>384</v>
      </c>
      <c r="C3" s="373">
        <v>10500001</v>
      </c>
      <c r="D3" t="s">
        <v>438</v>
      </c>
      <c r="E3" t="s">
        <v>99</v>
      </c>
      <c r="F3">
        <v>835132253.33000004</v>
      </c>
      <c r="G3">
        <v>82317594.280000001</v>
      </c>
      <c r="H3">
        <v>53683312.899999999</v>
      </c>
      <c r="I3" s="375">
        <v>863766534.71000004</v>
      </c>
    </row>
    <row r="4" spans="2:9">
      <c r="B4" t="s">
        <v>384</v>
      </c>
      <c r="C4" s="373">
        <v>10500002</v>
      </c>
      <c r="D4" t="s">
        <v>438</v>
      </c>
      <c r="E4" t="s">
        <v>100</v>
      </c>
      <c r="F4">
        <v>45177026.520000003</v>
      </c>
      <c r="G4">
        <v>3583960.76</v>
      </c>
      <c r="H4">
        <v>1842689.61</v>
      </c>
      <c r="I4" s="375">
        <v>46918297.670000002</v>
      </c>
    </row>
    <row r="5" spans="2:9">
      <c r="B5" t="s">
        <v>384</v>
      </c>
      <c r="C5" s="373">
        <v>10500003</v>
      </c>
      <c r="D5" t="s">
        <v>438</v>
      </c>
      <c r="E5" t="s">
        <v>101</v>
      </c>
      <c r="F5">
        <v>-22777476</v>
      </c>
      <c r="G5">
        <v>22831301</v>
      </c>
      <c r="H5">
        <v>24576201</v>
      </c>
      <c r="I5" s="375">
        <v>-24522376</v>
      </c>
    </row>
    <row r="6" spans="2:9">
      <c r="B6" t="s">
        <v>384</v>
      </c>
      <c r="C6" s="373">
        <v>10500009</v>
      </c>
      <c r="D6" t="s">
        <v>438</v>
      </c>
      <c r="E6" t="s">
        <v>103</v>
      </c>
      <c r="F6">
        <v>261151400.69999999</v>
      </c>
      <c r="G6">
        <v>240500368.86000001</v>
      </c>
      <c r="H6">
        <v>330888724.76999998</v>
      </c>
      <c r="I6" s="375">
        <v>170763044.78999999</v>
      </c>
    </row>
    <row r="7" spans="2:9">
      <c r="B7" t="s">
        <v>384</v>
      </c>
      <c r="C7" s="373">
        <v>10500100</v>
      </c>
      <c r="D7" t="s">
        <v>438</v>
      </c>
      <c r="E7" t="s">
        <v>427</v>
      </c>
      <c r="F7">
        <v>0</v>
      </c>
      <c r="G7">
        <v>2319592.64</v>
      </c>
      <c r="H7">
        <v>2319592.64</v>
      </c>
      <c r="I7" s="375">
        <v>0</v>
      </c>
    </row>
    <row r="8" spans="2:9">
      <c r="B8" t="s">
        <v>384</v>
      </c>
      <c r="C8" s="373">
        <v>20710001</v>
      </c>
      <c r="D8" t="s">
        <v>473</v>
      </c>
      <c r="E8" t="s">
        <v>105</v>
      </c>
      <c r="F8">
        <v>-1149942404.79</v>
      </c>
      <c r="G8">
        <v>118840963.64</v>
      </c>
      <c r="H8">
        <v>48909538.689999998</v>
      </c>
      <c r="I8" s="375">
        <v>-1080010979.8399999</v>
      </c>
    </row>
    <row r="9" spans="2:9">
      <c r="B9" t="s">
        <v>384</v>
      </c>
      <c r="C9" s="373">
        <v>20710003</v>
      </c>
      <c r="D9" t="s">
        <v>473</v>
      </c>
      <c r="E9" t="s">
        <v>106</v>
      </c>
      <c r="F9">
        <v>-56136699.979999997</v>
      </c>
      <c r="G9">
        <v>8725600.3900000006</v>
      </c>
      <c r="H9">
        <v>3068424.92</v>
      </c>
      <c r="I9" s="375">
        <v>-50479524.509999998</v>
      </c>
    </row>
    <row r="10" spans="2:9">
      <c r="B10" t="s">
        <v>384</v>
      </c>
      <c r="C10" s="373">
        <v>20710011</v>
      </c>
      <c r="D10" t="s">
        <v>473</v>
      </c>
      <c r="E10" t="s">
        <v>107</v>
      </c>
      <c r="F10">
        <v>-8849234.7599999998</v>
      </c>
      <c r="G10">
        <v>57432075.799999997</v>
      </c>
      <c r="H10">
        <v>57104447.700000003</v>
      </c>
      <c r="I10" s="375">
        <v>-8521606.6600000001</v>
      </c>
    </row>
    <row r="11" spans="2:9">
      <c r="B11" t="s">
        <v>384</v>
      </c>
      <c r="C11" s="373">
        <v>20710013</v>
      </c>
      <c r="D11" t="s">
        <v>473</v>
      </c>
      <c r="E11" t="s">
        <v>109</v>
      </c>
      <c r="F11">
        <v>2358044.7599999998</v>
      </c>
      <c r="G11">
        <v>1238084.8</v>
      </c>
      <c r="H11">
        <v>2411164.9</v>
      </c>
      <c r="I11" s="375">
        <v>1184964.6599999999</v>
      </c>
    </row>
    <row r="12" spans="2:9">
      <c r="B12" t="s">
        <v>384</v>
      </c>
      <c r="C12" s="373">
        <v>20710015</v>
      </c>
      <c r="D12" t="s">
        <v>473</v>
      </c>
      <c r="E12" t="s">
        <v>111</v>
      </c>
      <c r="F12">
        <v>13298862</v>
      </c>
      <c r="G12">
        <v>58336400.439999998</v>
      </c>
      <c r="H12">
        <v>50087718.420000002</v>
      </c>
      <c r="I12" s="375">
        <v>21547544.02</v>
      </c>
    </row>
    <row r="13" spans="2:9">
      <c r="B13" t="s">
        <v>384</v>
      </c>
      <c r="C13" s="373">
        <v>20710016</v>
      </c>
      <c r="D13" t="s">
        <v>473</v>
      </c>
      <c r="E13" t="s">
        <v>113</v>
      </c>
      <c r="F13">
        <v>-600</v>
      </c>
      <c r="G13">
        <v>0</v>
      </c>
      <c r="H13">
        <v>0</v>
      </c>
      <c r="I13" s="375">
        <v>-600</v>
      </c>
    </row>
    <row r="14" spans="2:9">
      <c r="B14" t="s">
        <v>384</v>
      </c>
      <c r="C14" s="373">
        <v>20710019</v>
      </c>
      <c r="D14" t="s">
        <v>473</v>
      </c>
      <c r="E14" t="s">
        <v>115</v>
      </c>
      <c r="F14">
        <v>79000</v>
      </c>
      <c r="G14">
        <v>109774747.11</v>
      </c>
      <c r="H14">
        <v>121271582.11</v>
      </c>
      <c r="I14" s="375">
        <v>-11417835</v>
      </c>
    </row>
    <row r="15" spans="2:9">
      <c r="B15" t="s">
        <v>384</v>
      </c>
      <c r="C15" s="373">
        <v>20710022</v>
      </c>
      <c r="D15" t="s">
        <v>473</v>
      </c>
      <c r="E15" t="s">
        <v>372</v>
      </c>
      <c r="F15">
        <v>624500</v>
      </c>
      <c r="G15">
        <v>14890800</v>
      </c>
      <c r="H15">
        <v>15515300</v>
      </c>
      <c r="I15" s="375">
        <v>0</v>
      </c>
    </row>
    <row r="16" spans="2:9">
      <c r="B16" t="s">
        <v>384</v>
      </c>
      <c r="C16" s="373">
        <v>20710101</v>
      </c>
      <c r="D16" t="s">
        <v>473</v>
      </c>
      <c r="E16" t="s">
        <v>119</v>
      </c>
      <c r="F16">
        <v>-1285494500.98</v>
      </c>
      <c r="G16">
        <v>113766622.26000001</v>
      </c>
      <c r="H16">
        <v>119411144.56</v>
      </c>
      <c r="I16" s="375">
        <v>-1291139023.28</v>
      </c>
    </row>
    <row r="17" spans="2:9">
      <c r="F17" s="374">
        <f>SUM(F3:F16)</f>
        <v>-1365379829.2</v>
      </c>
      <c r="I17" s="376">
        <f>SUM(I3:I16)</f>
        <v>-1361911559.4399998</v>
      </c>
    </row>
    <row r="18" spans="2:9">
      <c r="B18" t="s">
        <v>384</v>
      </c>
      <c r="C18" s="373">
        <v>20490001</v>
      </c>
      <c r="D18" t="s">
        <v>473</v>
      </c>
      <c r="E18" t="s">
        <v>104</v>
      </c>
      <c r="F18">
        <v>-3862156.67</v>
      </c>
      <c r="G18">
        <v>12417809.939999999</v>
      </c>
      <c r="H18">
        <v>10070751.939999999</v>
      </c>
      <c r="I18" s="375">
        <v>-1515098.67</v>
      </c>
    </row>
    <row r="19" spans="2:9">
      <c r="F19">
        <f>F17+F18</f>
        <v>-1369241985.8700001</v>
      </c>
    </row>
    <row r="21" spans="2:9">
      <c r="F21">
        <v>1369241985.8699987</v>
      </c>
    </row>
    <row r="22" spans="2:9">
      <c r="F22">
        <f>F19+F21</f>
        <v>0</v>
      </c>
    </row>
  </sheetData>
  <customSheetViews>
    <customSheetView guid="{B8A679C5-B961-4392-BACF-6DDFA7297AAE}" topLeftCell="B3">
      <selection activeCell="F8" sqref="A8:XFD9"/>
      <pageMargins left="0.7" right="0.7" top="0.75" bottom="0.75" header="0.3" footer="0.3"/>
      <pageSetup paperSize="9" orientation="portrait" verticalDpi="0" r:id="rId1"/>
    </customSheetView>
    <customSheetView guid="{DEA14913-9729-4C6C-B479-A92A59FB4580}" topLeftCell="B3">
      <selection activeCell="F8" sqref="A8:XFD9"/>
      <pageMargins left="0.7" right="0.7" top="0.75" bottom="0.75" header="0.3" footer="0.3"/>
      <pageSetup paperSize="9" orientation="portrait" verticalDpi="0" r:id="rId2"/>
    </customSheetView>
    <customSheetView guid="{8C4DF1F4-EAB1-489E-8362-1E2D3E732D13}" topLeftCell="B3">
      <selection activeCell="F8" sqref="A8:XFD9"/>
      <pageMargins left="0.7" right="0.7" top="0.75" bottom="0.75" header="0.3" footer="0.3"/>
      <pageSetup paperSize="9" orientation="portrait" verticalDpi="0" r:id="rId3"/>
    </customSheetView>
  </customSheetViews>
  <pageMargins left="0.7" right="0.7" top="0.75" bottom="0.75" header="0.3" footer="0.3"/>
  <pageSetup paperSize="9" orientation="portrait" verticalDpi="0"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2:H10"/>
  <sheetViews>
    <sheetView showGridLines="0" zoomScale="70" zoomScaleNormal="70" workbookViewId="0">
      <selection activeCell="H13" sqref="H13"/>
    </sheetView>
  </sheetViews>
  <sheetFormatPr defaultColWidth="8.7109375" defaultRowHeight="15"/>
  <cols>
    <col min="1" max="1" width="12.5703125" style="308" bestFit="1" customWidth="1"/>
    <col min="2" max="2" width="26" style="308" bestFit="1" customWidth="1"/>
    <col min="3" max="3" width="8.7109375" style="308"/>
    <col min="4" max="5" width="16.28515625" style="308" bestFit="1" customWidth="1"/>
    <col min="6" max="6" width="71.7109375" style="308" customWidth="1"/>
    <col min="7" max="7" width="16.28515625" style="308" bestFit="1" customWidth="1"/>
    <col min="8" max="8" width="14.28515625" style="308" bestFit="1" customWidth="1"/>
    <col min="9" max="16384" width="8.7109375" style="308"/>
  </cols>
  <sheetData>
    <row r="2" spans="1:8">
      <c r="B2" s="307" t="s">
        <v>475</v>
      </c>
      <c r="C2" s="307"/>
      <c r="D2" s="307" t="s">
        <v>476</v>
      </c>
      <c r="E2" s="307" t="s">
        <v>477</v>
      </c>
      <c r="F2" s="307" t="s">
        <v>480</v>
      </c>
      <c r="H2" s="307" t="s">
        <v>479</v>
      </c>
    </row>
    <row r="3" spans="1:8">
      <c r="B3" s="307"/>
      <c r="C3" s="307"/>
      <c r="D3" s="307"/>
      <c r="E3" s="307"/>
      <c r="F3" s="307"/>
    </row>
    <row r="4" spans="1:8" ht="90">
      <c r="A4" s="311" t="s">
        <v>432</v>
      </c>
      <c r="B4" s="308" t="s">
        <v>433</v>
      </c>
      <c r="F4" s="309" t="s">
        <v>482</v>
      </c>
      <c r="G4" s="309" t="s">
        <v>478</v>
      </c>
    </row>
    <row r="5" spans="1:8">
      <c r="A5" s="308" t="s">
        <v>438</v>
      </c>
      <c r="B5" s="308">
        <v>3204503393.0399995</v>
      </c>
      <c r="D5" s="310">
        <f>BS!F32</f>
        <v>2997638531.1890135</v>
      </c>
      <c r="E5" s="310">
        <f>B5-D5</f>
        <v>206864861.850986</v>
      </c>
      <c r="F5" s="308">
        <f>Notes!D53+Notes!D55</f>
        <v>366638161.79000002</v>
      </c>
      <c r="G5" s="310">
        <f>'Dep &amp; DTA DTL'!C35</f>
        <v>1909.5925101593728</v>
      </c>
      <c r="H5" s="308">
        <f>SUM(E5:G5)</f>
        <v>573504933.23349607</v>
      </c>
    </row>
    <row r="6" spans="1:8">
      <c r="A6" s="308" t="s">
        <v>431</v>
      </c>
      <c r="B6" s="308">
        <v>284731339.14999998</v>
      </c>
      <c r="D6" s="310">
        <f>SUM(PL!G15:G21)+PL!G37</f>
        <v>245848049.920986</v>
      </c>
      <c r="E6" s="310">
        <f>B6-D6</f>
        <v>38883289.229013979</v>
      </c>
      <c r="G6" s="310">
        <f>-'Dep &amp; DTA DTL'!C35</f>
        <v>-1909.5925101593728</v>
      </c>
      <c r="H6" s="308">
        <f>SUM(E6:G6)</f>
        <v>38881379.636503823</v>
      </c>
    </row>
    <row r="7" spans="1:8">
      <c r="A7" s="308" t="s">
        <v>430</v>
      </c>
      <c r="B7" s="308">
        <v>-3265123.5599999996</v>
      </c>
      <c r="D7" s="310">
        <f>PL!G12</f>
        <v>366171653.56</v>
      </c>
      <c r="E7" s="310">
        <f>B7+D7</f>
        <v>362906530</v>
      </c>
      <c r="H7" s="308">
        <f>SUM(E7:G7)</f>
        <v>362906530</v>
      </c>
    </row>
    <row r="8" spans="1:8">
      <c r="A8" s="308" t="s">
        <v>473</v>
      </c>
      <c r="B8" s="308">
        <v>-3485969608.6300001</v>
      </c>
      <c r="D8" s="310">
        <f>D5-PL!G47</f>
        <v>2877314927.5499992</v>
      </c>
      <c r="E8" s="310">
        <f>B8+D8</f>
        <v>-608654681.08000088</v>
      </c>
      <c r="F8" s="308">
        <f>-Notes!D53-Notes!D55</f>
        <v>-366638161.79000002</v>
      </c>
      <c r="H8" s="308">
        <f>SUM(E8:G8)</f>
        <v>-975292842.87000084</v>
      </c>
    </row>
    <row r="9" spans="1:8">
      <c r="A9" s="308" t="s">
        <v>474</v>
      </c>
      <c r="B9" s="308">
        <v>0</v>
      </c>
    </row>
    <row r="10" spans="1:8">
      <c r="A10" s="308" t="s">
        <v>96</v>
      </c>
      <c r="B10" s="308">
        <v>0</v>
      </c>
    </row>
  </sheetData>
  <customSheetViews>
    <customSheetView guid="{B8A679C5-B961-4392-BACF-6DDFA7297AAE}" scale="70" showGridLines="0">
      <selection activeCell="F16" sqref="F16"/>
      <pageMargins left="0.7" right="0.7" top="0.75" bottom="0.75" header="0.3" footer="0.3"/>
    </customSheetView>
    <customSheetView guid="{DEA14913-9729-4C6C-B479-A92A59FB4580}" scale="70" showGridLines="0">
      <selection activeCell="B5" sqref="B5"/>
      <pageMargins left="0.7" right="0.7" top="0.75" bottom="0.75" header="0.3" footer="0.3"/>
    </customSheetView>
    <customSheetView guid="{8C4DF1F4-EAB1-489E-8362-1E2D3E732D13}" scale="70" showGridLines="0">
      <selection activeCell="F16" sqref="F16"/>
      <pageMargins left="0.7" right="0.7" top="0.75" bottom="0.75" header="0.3" footer="0.3"/>
    </customSheetView>
  </customSheetView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9" tint="0.39997558519241921"/>
  </sheetPr>
  <dimension ref="A4:S213"/>
  <sheetViews>
    <sheetView showGridLines="0" topLeftCell="G4" zoomScale="70" zoomScaleNormal="70" workbookViewId="0">
      <selection activeCell="S12" sqref="S12"/>
    </sheetView>
  </sheetViews>
  <sheetFormatPr defaultRowHeight="15"/>
  <cols>
    <col min="1" max="1" width="15.7109375" customWidth="1"/>
    <col min="2" max="2" width="13.28515625" bestFit="1" customWidth="1"/>
    <col min="3" max="3" width="40.28515625" bestFit="1" customWidth="1"/>
    <col min="4" max="4" width="4.5703125" bestFit="1" customWidth="1"/>
    <col min="5" max="5" width="5" bestFit="1" customWidth="1"/>
    <col min="6" max="6" width="19" style="285" bestFit="1" customWidth="1"/>
    <col min="7" max="7" width="20.7109375" style="285" bestFit="1" customWidth="1"/>
    <col min="8" max="8" width="26.42578125" style="285" bestFit="1" customWidth="1"/>
    <col min="9" max="9" width="25.28515625" style="285" bestFit="1" customWidth="1"/>
    <col min="10" max="10" width="18.7109375" style="285" bestFit="1" customWidth="1"/>
    <col min="12" max="12" width="46.42578125" bestFit="1" customWidth="1"/>
    <col min="15" max="15" width="19.5703125" bestFit="1" customWidth="1"/>
    <col min="16" max="16" width="16.5703125" customWidth="1"/>
    <col min="18" max="18" width="20" bestFit="1" customWidth="1"/>
    <col min="19" max="19" width="15.28515625" bestFit="1" customWidth="1"/>
  </cols>
  <sheetData>
    <row r="4" spans="1:19">
      <c r="A4" s="288" t="s">
        <v>457</v>
      </c>
      <c r="B4" s="289"/>
      <c r="C4" s="289"/>
      <c r="D4" s="289"/>
      <c r="E4" s="289"/>
      <c r="F4" s="317">
        <f t="shared" ref="F4:I4" si="0">+SUBTOTAL(9,F6:F207)</f>
        <v>-1317654339.99</v>
      </c>
      <c r="G4" s="317">
        <f t="shared" si="0"/>
        <v>0</v>
      </c>
      <c r="H4" s="317">
        <f t="shared" si="0"/>
        <v>801612691.46999991</v>
      </c>
      <c r="I4" s="317">
        <f t="shared" si="0"/>
        <v>227118235.25</v>
      </c>
      <c r="J4" s="317">
        <f>+SUBTOTAL(9,J6:J207)</f>
        <v>-743159883.76999998</v>
      </c>
      <c r="K4" s="290"/>
      <c r="L4" s="289" t="s">
        <v>458</v>
      </c>
      <c r="O4" s="275"/>
    </row>
    <row r="5" spans="1:19" ht="30">
      <c r="A5" s="291" t="s">
        <v>459</v>
      </c>
      <c r="B5" s="291" t="s">
        <v>460</v>
      </c>
      <c r="C5" s="291" t="s">
        <v>320</v>
      </c>
      <c r="D5" s="291" t="s">
        <v>461</v>
      </c>
      <c r="E5" s="291" t="s">
        <v>462</v>
      </c>
      <c r="F5" s="318" t="s">
        <v>321</v>
      </c>
      <c r="G5" s="318" t="s">
        <v>463</v>
      </c>
      <c r="H5" s="318" t="s">
        <v>322</v>
      </c>
      <c r="I5" s="318" t="s">
        <v>323</v>
      </c>
      <c r="J5" s="318" t="s">
        <v>324</v>
      </c>
      <c r="K5" s="292"/>
      <c r="L5" s="291" t="s">
        <v>464</v>
      </c>
      <c r="O5" s="275" t="s">
        <v>1557</v>
      </c>
      <c r="P5" t="s">
        <v>1558</v>
      </c>
      <c r="R5" s="275" t="s">
        <v>5961</v>
      </c>
      <c r="S5" t="s">
        <v>5962</v>
      </c>
    </row>
    <row r="6" spans="1:19" hidden="1">
      <c r="A6" s="294">
        <v>1900</v>
      </c>
      <c r="B6" s="294">
        <v>10000070</v>
      </c>
      <c r="C6" s="293" t="s">
        <v>325</v>
      </c>
      <c r="D6" s="293" t="s">
        <v>465</v>
      </c>
      <c r="E6" s="293" t="s">
        <v>12</v>
      </c>
      <c r="F6" s="323">
        <v>54811</v>
      </c>
      <c r="G6" s="323">
        <v>0</v>
      </c>
      <c r="H6" s="323">
        <v>0</v>
      </c>
      <c r="I6" s="323">
        <v>0</v>
      </c>
      <c r="J6" s="323">
        <v>54811</v>
      </c>
      <c r="K6" s="292"/>
      <c r="L6" s="324">
        <f>IFERROR(VLOOKUP(C6,'TB_31.03.2026 (Links)'!$D:$H,5,0)-J6,"Error")</f>
        <v>0</v>
      </c>
      <c r="O6">
        <v>54811</v>
      </c>
      <c r="P6">
        <f>+J6-O6</f>
        <v>0</v>
      </c>
      <c r="R6">
        <f>VLOOKUP(B6,[2]Sheet1!$B:$J,9,0)</f>
        <v>54811</v>
      </c>
      <c r="S6">
        <f>J6-R6</f>
        <v>0</v>
      </c>
    </row>
    <row r="7" spans="1:19" hidden="1">
      <c r="A7" s="294">
        <v>1900</v>
      </c>
      <c r="B7" s="294">
        <v>10001070</v>
      </c>
      <c r="C7" s="293" t="s">
        <v>326</v>
      </c>
      <c r="D7" s="293" t="s">
        <v>465</v>
      </c>
      <c r="E7" s="293" t="s">
        <v>12</v>
      </c>
      <c r="F7" s="323">
        <v>-22469.87</v>
      </c>
      <c r="G7" s="323">
        <v>0</v>
      </c>
      <c r="H7" s="323">
        <v>0</v>
      </c>
      <c r="I7" s="323">
        <v>14576.15</v>
      </c>
      <c r="J7" s="323">
        <v>-37046.019999999997</v>
      </c>
      <c r="L7" s="324">
        <f>IFERROR(VLOOKUP(C7,'TB_31.03.2026 (Links)'!$D:$H,5,0)-J7,"Error")</f>
        <v>0</v>
      </c>
      <c r="O7">
        <v>-37046.019999999997</v>
      </c>
      <c r="P7">
        <f t="shared" ref="P7:P70" si="1">+J7-O7</f>
        <v>0</v>
      </c>
      <c r="R7">
        <f>VLOOKUP(B7,[2]Sheet1!$B:$J,9,0)</f>
        <v>-37046.019999999997</v>
      </c>
      <c r="S7">
        <f t="shared" ref="S7:S70" si="2">J7-R7</f>
        <v>0</v>
      </c>
    </row>
    <row r="8" spans="1:19" hidden="1">
      <c r="A8" s="294">
        <v>1900</v>
      </c>
      <c r="B8" s="294">
        <v>10320101</v>
      </c>
      <c r="C8" s="293" t="s">
        <v>327</v>
      </c>
      <c r="D8" s="293" t="s">
        <v>465</v>
      </c>
      <c r="E8" s="293" t="s">
        <v>12</v>
      </c>
      <c r="F8" s="323">
        <v>1000000</v>
      </c>
      <c r="G8" s="323">
        <v>0</v>
      </c>
      <c r="H8" s="323">
        <v>200403478.87</v>
      </c>
      <c r="I8" s="323">
        <v>166403478.87</v>
      </c>
      <c r="J8" s="323">
        <v>35000000</v>
      </c>
      <c r="L8" s="324">
        <f>IFERROR(VLOOKUP(C8,'TB_31.03.2026 (Links)'!$D:$H,5,0)-J8,"Error")</f>
        <v>0</v>
      </c>
      <c r="O8">
        <v>35000000</v>
      </c>
      <c r="P8">
        <f t="shared" si="1"/>
        <v>0</v>
      </c>
      <c r="R8">
        <f>VLOOKUP(B8,[2]Sheet1!$B:$J,9,0)</f>
        <v>35000000</v>
      </c>
      <c r="S8">
        <f t="shared" si="2"/>
        <v>0</v>
      </c>
    </row>
    <row r="9" spans="1:19" hidden="1">
      <c r="A9" s="294">
        <v>1900</v>
      </c>
      <c r="B9" s="294">
        <v>10320102</v>
      </c>
      <c r="C9" s="293" t="s">
        <v>428</v>
      </c>
      <c r="D9" s="293" t="s">
        <v>465</v>
      </c>
      <c r="E9" s="293" t="s">
        <v>12</v>
      </c>
      <c r="F9" s="323">
        <v>0</v>
      </c>
      <c r="G9" s="323">
        <v>0</v>
      </c>
      <c r="H9" s="323">
        <v>166227835.63999999</v>
      </c>
      <c r="I9" s="323">
        <v>166227835.63999999</v>
      </c>
      <c r="J9" s="323">
        <v>0</v>
      </c>
      <c r="L9" s="324">
        <f>IFERROR(VLOOKUP(C9,'TB_31.03.2026 (Links)'!$D:$H,5,0)-J9,"Error")</f>
        <v>0</v>
      </c>
      <c r="O9">
        <v>0</v>
      </c>
      <c r="P9">
        <f t="shared" si="1"/>
        <v>0</v>
      </c>
      <c r="R9">
        <f>VLOOKUP(B9,[2]Sheet1!$B:$J,9,0)</f>
        <v>0</v>
      </c>
      <c r="S9">
        <f t="shared" si="2"/>
        <v>0</v>
      </c>
    </row>
    <row r="10" spans="1:19" hidden="1">
      <c r="A10" s="294">
        <v>1900</v>
      </c>
      <c r="B10" s="294">
        <v>10400101</v>
      </c>
      <c r="C10" s="293" t="s">
        <v>328</v>
      </c>
      <c r="D10" s="293" t="s">
        <v>465</v>
      </c>
      <c r="E10" s="293" t="s">
        <v>12</v>
      </c>
      <c r="F10" s="325">
        <v>2812765648.8299999</v>
      </c>
      <c r="G10" s="323">
        <v>0</v>
      </c>
      <c r="H10" s="323">
        <v>0</v>
      </c>
      <c r="I10" s="323">
        <v>0</v>
      </c>
      <c r="J10" s="325">
        <v>2812765648.8299999</v>
      </c>
      <c r="L10" s="324">
        <f>IFERROR(VLOOKUP(C10,'TB_31.03.2026 (Links)'!$D:$H,5,0)-J10,"Error")</f>
        <v>0</v>
      </c>
      <c r="O10">
        <v>2812765648.8299999</v>
      </c>
      <c r="P10">
        <f t="shared" si="1"/>
        <v>0</v>
      </c>
      <c r="R10">
        <f>VLOOKUP(B10,[2]Sheet1!$B:$J,9,0)</f>
        <v>2812765648.8299999</v>
      </c>
      <c r="S10">
        <f t="shared" si="2"/>
        <v>0</v>
      </c>
    </row>
    <row r="11" spans="1:19">
      <c r="A11" s="294">
        <v>1900</v>
      </c>
      <c r="B11" s="294">
        <v>10500001</v>
      </c>
      <c r="C11" s="293" t="s">
        <v>99</v>
      </c>
      <c r="D11" s="293" t="s">
        <v>465</v>
      </c>
      <c r="E11" s="293" t="s">
        <v>12</v>
      </c>
      <c r="F11" s="323">
        <v>835132253.33000004</v>
      </c>
      <c r="G11" s="323">
        <v>0</v>
      </c>
      <c r="H11" s="323">
        <v>82317594.280000001</v>
      </c>
      <c r="I11" s="323">
        <v>53683312.899999999</v>
      </c>
      <c r="J11" s="323">
        <v>863766534.71000004</v>
      </c>
      <c r="L11" s="324">
        <f>IFERROR(VLOOKUP(C11,'TB_31.03.2026 (Links)'!$D:$H,5,0)-J11,"Error")</f>
        <v>0</v>
      </c>
      <c r="O11">
        <v>863766534.71000004</v>
      </c>
      <c r="P11">
        <f t="shared" si="1"/>
        <v>0</v>
      </c>
      <c r="R11">
        <f>VLOOKUP(B11,[2]Sheet1!$B:$J,9,0)</f>
        <v>859863876.71000004</v>
      </c>
      <c r="S11">
        <f>J11-R11</f>
        <v>3902658</v>
      </c>
    </row>
    <row r="12" spans="1:19">
      <c r="A12" s="294">
        <v>1900</v>
      </c>
      <c r="B12" s="294">
        <v>10500002</v>
      </c>
      <c r="C12" s="293" t="s">
        <v>100</v>
      </c>
      <c r="D12" s="293" t="s">
        <v>465</v>
      </c>
      <c r="E12" s="293" t="s">
        <v>12</v>
      </c>
      <c r="F12" s="323">
        <v>45177026.520000003</v>
      </c>
      <c r="G12" s="323">
        <v>0</v>
      </c>
      <c r="H12" s="323">
        <v>3583960.76</v>
      </c>
      <c r="I12" s="323">
        <v>1842689.61</v>
      </c>
      <c r="J12" s="323">
        <v>46918297.670000002</v>
      </c>
      <c r="L12" s="324">
        <f>IFERROR(VLOOKUP(C12,'TB_31.03.2026 (Links)'!$D:$H,5,0)-J12,"Error")</f>
        <v>0</v>
      </c>
      <c r="O12">
        <v>46918297.670000002</v>
      </c>
      <c r="P12">
        <f t="shared" si="1"/>
        <v>0</v>
      </c>
      <c r="R12">
        <f>VLOOKUP(B12,[2]Sheet1!$B:$J,9,0)</f>
        <v>46723164.770000003</v>
      </c>
      <c r="S12">
        <f t="shared" si="2"/>
        <v>195132.89999999851</v>
      </c>
    </row>
    <row r="13" spans="1:19" hidden="1">
      <c r="A13" s="294">
        <v>1900</v>
      </c>
      <c r="B13" s="294">
        <v>10500003</v>
      </c>
      <c r="C13" s="293" t="s">
        <v>101</v>
      </c>
      <c r="D13" s="293" t="s">
        <v>465</v>
      </c>
      <c r="E13" s="293" t="s">
        <v>12</v>
      </c>
      <c r="F13" s="323">
        <v>-22777476</v>
      </c>
      <c r="G13" s="323">
        <v>0</v>
      </c>
      <c r="H13" s="323">
        <v>22831301</v>
      </c>
      <c r="I13" s="323">
        <v>24576201</v>
      </c>
      <c r="J13" s="323">
        <v>-24522376</v>
      </c>
      <c r="L13" s="324">
        <f>IFERROR(VLOOKUP(C13,'TB_31.03.2026 (Links)'!$D:$H,5,0)-J13,"Error")</f>
        <v>0</v>
      </c>
      <c r="O13">
        <v>-24522376</v>
      </c>
      <c r="P13">
        <f t="shared" si="1"/>
        <v>0</v>
      </c>
      <c r="R13">
        <f>VLOOKUP(B13,[2]Sheet1!$B:$J,9,0)</f>
        <v>-24522376</v>
      </c>
      <c r="S13">
        <f t="shared" si="2"/>
        <v>0</v>
      </c>
    </row>
    <row r="14" spans="1:19" hidden="1">
      <c r="A14" s="294">
        <v>1900</v>
      </c>
      <c r="B14" s="294">
        <v>10500009</v>
      </c>
      <c r="C14" s="293" t="s">
        <v>103</v>
      </c>
      <c r="D14" s="293" t="s">
        <v>465</v>
      </c>
      <c r="E14" s="293" t="s">
        <v>12</v>
      </c>
      <c r="F14" s="323">
        <v>261151400.69999999</v>
      </c>
      <c r="G14" s="323">
        <v>0</v>
      </c>
      <c r="H14" s="323">
        <v>240500368.86000001</v>
      </c>
      <c r="I14" s="323">
        <v>330888724.76999998</v>
      </c>
      <c r="J14" s="323">
        <v>170763044.78999999</v>
      </c>
      <c r="L14" s="324">
        <f>IFERROR(VLOOKUP(C14,'TB_31.03.2026 (Links)'!$D:$H,5,0)-J14,"Error")</f>
        <v>0</v>
      </c>
      <c r="O14">
        <v>170763044.78999999</v>
      </c>
      <c r="P14">
        <f t="shared" si="1"/>
        <v>0</v>
      </c>
      <c r="R14">
        <f>VLOOKUP(B14,[2]Sheet1!$B:$J,9,0)</f>
        <v>170763044.78999999</v>
      </c>
      <c r="S14">
        <f t="shared" si="2"/>
        <v>0</v>
      </c>
    </row>
    <row r="15" spans="1:19" hidden="1">
      <c r="A15" s="294">
        <v>1900</v>
      </c>
      <c r="B15" s="294">
        <v>10500100</v>
      </c>
      <c r="C15" s="293" t="s">
        <v>427</v>
      </c>
      <c r="D15" s="293" t="s">
        <v>465</v>
      </c>
      <c r="E15" s="293" t="s">
        <v>12</v>
      </c>
      <c r="F15" s="323">
        <v>0</v>
      </c>
      <c r="G15" s="323">
        <v>0</v>
      </c>
      <c r="H15" s="323">
        <v>2319592.64</v>
      </c>
      <c r="I15" s="323">
        <v>2319592.64</v>
      </c>
      <c r="J15" s="323">
        <v>0</v>
      </c>
      <c r="L15" s="324">
        <f>IFERROR(VLOOKUP(C15,'TB_31.03.2026 (Links)'!$D:$H,5,0)-J15,"Error")</f>
        <v>0</v>
      </c>
      <c r="O15">
        <v>0</v>
      </c>
      <c r="P15">
        <f t="shared" si="1"/>
        <v>0</v>
      </c>
      <c r="R15">
        <f>VLOOKUP(B15,[2]Sheet1!$B:$J,9,0)</f>
        <v>0</v>
      </c>
      <c r="S15">
        <f t="shared" si="2"/>
        <v>0</v>
      </c>
    </row>
    <row r="16" spans="1:19" hidden="1">
      <c r="A16" s="294">
        <v>1900</v>
      </c>
      <c r="B16" s="294">
        <v>10900002</v>
      </c>
      <c r="C16" s="293" t="s">
        <v>191</v>
      </c>
      <c r="D16" s="293" t="s">
        <v>465</v>
      </c>
      <c r="E16" s="293" t="s">
        <v>12</v>
      </c>
      <c r="F16" s="323">
        <v>29382876.859999999</v>
      </c>
      <c r="G16" s="323">
        <v>0</v>
      </c>
      <c r="H16" s="323">
        <v>5080952.8600000003</v>
      </c>
      <c r="I16" s="323">
        <v>171474.45</v>
      </c>
      <c r="J16" s="323">
        <v>34292355.270000003</v>
      </c>
      <c r="L16" s="324">
        <f>IFERROR(VLOOKUP(C16,'TB_31.03.2026 (Links)'!$D:$H,5,0)-J16,"Error")</f>
        <v>0</v>
      </c>
      <c r="O16">
        <v>34292355.270000003</v>
      </c>
      <c r="P16">
        <f t="shared" si="1"/>
        <v>0</v>
      </c>
      <c r="R16">
        <f>VLOOKUP(B16,[2]Sheet1!$B:$J,9,0)</f>
        <v>34292355.270000003</v>
      </c>
      <c r="S16">
        <f t="shared" si="2"/>
        <v>0</v>
      </c>
    </row>
    <row r="17" spans="1:19" hidden="1">
      <c r="A17" s="294">
        <v>1900</v>
      </c>
      <c r="B17" s="294">
        <v>10900102</v>
      </c>
      <c r="C17" s="293" t="s">
        <v>439</v>
      </c>
      <c r="D17" s="293" t="s">
        <v>465</v>
      </c>
      <c r="E17" s="293" t="s">
        <v>12</v>
      </c>
      <c r="F17" s="323">
        <v>0</v>
      </c>
      <c r="G17" s="323">
        <v>0</v>
      </c>
      <c r="H17" s="323">
        <v>87116.7</v>
      </c>
      <c r="I17" s="323">
        <v>87116.7</v>
      </c>
      <c r="J17" s="323">
        <v>0</v>
      </c>
      <c r="L17" s="324">
        <f>IFERROR(VLOOKUP(C17,'TB_31.03.2026 (Links)'!$D:$H,5,0)-J17,"Error")</f>
        <v>0</v>
      </c>
      <c r="O17">
        <v>0</v>
      </c>
      <c r="P17">
        <f t="shared" si="1"/>
        <v>0</v>
      </c>
      <c r="R17">
        <f>VLOOKUP(B17,[2]Sheet1!$B:$J,9,0)</f>
        <v>0</v>
      </c>
      <c r="S17">
        <f t="shared" si="2"/>
        <v>0</v>
      </c>
    </row>
    <row r="18" spans="1:19" hidden="1">
      <c r="A18" s="294">
        <v>1900</v>
      </c>
      <c r="B18" s="294">
        <v>10910101</v>
      </c>
      <c r="C18" s="293" t="s">
        <v>329</v>
      </c>
      <c r="D18" s="293" t="s">
        <v>465</v>
      </c>
      <c r="E18" s="293" t="s">
        <v>12</v>
      </c>
      <c r="F18" s="323">
        <v>6220</v>
      </c>
      <c r="G18" s="323">
        <v>0</v>
      </c>
      <c r="H18" s="323">
        <v>286789.98</v>
      </c>
      <c r="I18" s="323">
        <v>0</v>
      </c>
      <c r="J18" s="323">
        <v>293009.98</v>
      </c>
      <c r="L18" s="324">
        <f>IFERROR(VLOOKUP(C18,'TB_31.03.2026 (Links)'!$D:$H,5,0)-J18,"Error")</f>
        <v>0</v>
      </c>
      <c r="O18">
        <v>293009.98</v>
      </c>
      <c r="P18">
        <f t="shared" si="1"/>
        <v>0</v>
      </c>
      <c r="R18">
        <f>VLOOKUP(B18,[2]Sheet1!$B:$J,9,0)</f>
        <v>293009.98</v>
      </c>
      <c r="S18">
        <f t="shared" si="2"/>
        <v>0</v>
      </c>
    </row>
    <row r="19" spans="1:19" hidden="1">
      <c r="A19" s="294">
        <v>1900</v>
      </c>
      <c r="B19" s="294">
        <v>10930002</v>
      </c>
      <c r="C19" s="293" t="s">
        <v>330</v>
      </c>
      <c r="D19" s="293" t="s">
        <v>465</v>
      </c>
      <c r="E19" s="293" t="s">
        <v>12</v>
      </c>
      <c r="F19" s="323">
        <v>41467</v>
      </c>
      <c r="G19" s="323">
        <v>0</v>
      </c>
      <c r="H19" s="323">
        <v>1008248</v>
      </c>
      <c r="I19" s="323">
        <v>851633</v>
      </c>
      <c r="J19" s="323">
        <v>198082</v>
      </c>
      <c r="L19" s="324">
        <f>IFERROR(VLOOKUP(C19,'TB_31.03.2026 (Links)'!$D:$H,5,0)-J19,"Error")</f>
        <v>0</v>
      </c>
      <c r="O19">
        <v>198082</v>
      </c>
      <c r="P19">
        <f t="shared" si="1"/>
        <v>0</v>
      </c>
      <c r="R19">
        <f>VLOOKUP(B19,[2]Sheet1!$B:$J,9,0)</f>
        <v>198082</v>
      </c>
      <c r="S19">
        <f t="shared" si="2"/>
        <v>0</v>
      </c>
    </row>
    <row r="20" spans="1:19" hidden="1">
      <c r="A20" s="294">
        <v>1900</v>
      </c>
      <c r="B20" s="294">
        <v>10940001</v>
      </c>
      <c r="C20" s="293" t="s">
        <v>331</v>
      </c>
      <c r="D20" s="293" t="s">
        <v>465</v>
      </c>
      <c r="E20" s="293" t="s">
        <v>12</v>
      </c>
      <c r="F20" s="323">
        <v>8605</v>
      </c>
      <c r="G20" s="323">
        <v>0</v>
      </c>
      <c r="H20" s="323">
        <v>0</v>
      </c>
      <c r="I20" s="323">
        <v>500</v>
      </c>
      <c r="J20" s="323">
        <v>8105</v>
      </c>
      <c r="L20" s="324">
        <f>IFERROR(VLOOKUP(C20,'TB_31.03.2026 (Links)'!$D:$H,5,0)-J20,"Error")</f>
        <v>0</v>
      </c>
      <c r="O20">
        <v>8105</v>
      </c>
      <c r="P20">
        <f t="shared" si="1"/>
        <v>0</v>
      </c>
      <c r="R20">
        <f>VLOOKUP(B20,[2]Sheet1!$B:$J,9,0)</f>
        <v>8105</v>
      </c>
      <c r="S20">
        <f t="shared" si="2"/>
        <v>0</v>
      </c>
    </row>
    <row r="21" spans="1:19" hidden="1">
      <c r="A21" s="294">
        <v>1900</v>
      </c>
      <c r="B21" s="294">
        <v>10951220</v>
      </c>
      <c r="C21" s="293" t="s">
        <v>155</v>
      </c>
      <c r="D21" s="293" t="s">
        <v>465</v>
      </c>
      <c r="E21" s="293" t="s">
        <v>12</v>
      </c>
      <c r="F21" s="323">
        <v>10000</v>
      </c>
      <c r="G21" s="323">
        <v>0</v>
      </c>
      <c r="H21" s="323">
        <v>51819394.219999999</v>
      </c>
      <c r="I21" s="323">
        <v>51829394.229999997</v>
      </c>
      <c r="J21" s="323">
        <v>-0.01</v>
      </c>
      <c r="L21" s="324">
        <f>IFERROR(VLOOKUP(C21,'TB_31.03.2026 (Links)'!$D:$H,5,0)-J21,"Error")</f>
        <v>0</v>
      </c>
      <c r="O21">
        <v>-0.01</v>
      </c>
      <c r="P21">
        <f t="shared" si="1"/>
        <v>0</v>
      </c>
      <c r="R21">
        <f>VLOOKUP(B21,[2]Sheet1!$B:$J,9,0)</f>
        <v>-0.01</v>
      </c>
      <c r="S21">
        <f t="shared" si="2"/>
        <v>0</v>
      </c>
    </row>
    <row r="22" spans="1:19" hidden="1">
      <c r="A22" s="294">
        <v>1900</v>
      </c>
      <c r="B22" s="294">
        <v>10951221</v>
      </c>
      <c r="C22" s="293" t="s">
        <v>156</v>
      </c>
      <c r="D22" s="293" t="s">
        <v>465</v>
      </c>
      <c r="E22" s="293" t="s">
        <v>12</v>
      </c>
      <c r="F22" s="323">
        <v>0</v>
      </c>
      <c r="G22" s="323">
        <v>0</v>
      </c>
      <c r="H22" s="323">
        <v>59674301.770000003</v>
      </c>
      <c r="I22" s="323">
        <v>59674301.770000003</v>
      </c>
      <c r="J22" s="323">
        <v>0</v>
      </c>
      <c r="L22" s="324">
        <f>IFERROR(VLOOKUP(C22,'TB_31.03.2026 (Links)'!$D:$H,5,0)-J22,"Error")</f>
        <v>0</v>
      </c>
      <c r="O22">
        <v>0</v>
      </c>
      <c r="P22">
        <f t="shared" si="1"/>
        <v>0</v>
      </c>
      <c r="R22">
        <f>VLOOKUP(B22,[2]Sheet1!$B:$J,9,0)</f>
        <v>0</v>
      </c>
      <c r="S22">
        <f t="shared" si="2"/>
        <v>0</v>
      </c>
    </row>
    <row r="23" spans="1:19" hidden="1">
      <c r="A23" s="294">
        <v>1900</v>
      </c>
      <c r="B23" s="294">
        <v>10951222</v>
      </c>
      <c r="C23" s="293" t="s">
        <v>332</v>
      </c>
      <c r="D23" s="293" t="s">
        <v>465</v>
      </c>
      <c r="E23" s="293" t="s">
        <v>12</v>
      </c>
      <c r="F23" s="323">
        <v>0</v>
      </c>
      <c r="G23" s="323">
        <v>0</v>
      </c>
      <c r="H23" s="323">
        <v>50299508.850000001</v>
      </c>
      <c r="I23" s="323">
        <v>50299508.850000001</v>
      </c>
      <c r="J23" s="323">
        <v>0</v>
      </c>
      <c r="L23" s="324">
        <f>IFERROR(VLOOKUP(C23,'TB_31.03.2026 (Links)'!$D:$H,5,0)-J23,"Error")</f>
        <v>0</v>
      </c>
      <c r="O23">
        <v>0</v>
      </c>
      <c r="P23">
        <f t="shared" si="1"/>
        <v>0</v>
      </c>
      <c r="R23">
        <f>VLOOKUP(B23,[2]Sheet1!$B:$J,9,0)</f>
        <v>0</v>
      </c>
      <c r="S23">
        <f t="shared" si="2"/>
        <v>0</v>
      </c>
    </row>
    <row r="24" spans="1:19" hidden="1">
      <c r="A24" s="294">
        <v>1900</v>
      </c>
      <c r="B24" s="294">
        <v>10951230</v>
      </c>
      <c r="C24" s="293" t="s">
        <v>157</v>
      </c>
      <c r="D24" s="293" t="s">
        <v>465</v>
      </c>
      <c r="E24" s="293" t="s">
        <v>12</v>
      </c>
      <c r="F24" s="323">
        <v>1017434.18</v>
      </c>
      <c r="G24" s="323">
        <v>0</v>
      </c>
      <c r="H24" s="323">
        <v>39480082.25</v>
      </c>
      <c r="I24" s="323">
        <v>40497516.43</v>
      </c>
      <c r="J24" s="323">
        <v>0</v>
      </c>
      <c r="L24" s="324">
        <f>IFERROR(VLOOKUP(C24,'TB_31.03.2026 (Links)'!$D:$H,5,0)-J24,"Error")</f>
        <v>0</v>
      </c>
      <c r="O24">
        <v>0</v>
      </c>
      <c r="P24">
        <f t="shared" si="1"/>
        <v>0</v>
      </c>
      <c r="R24">
        <f>VLOOKUP(B24,[2]Sheet1!$B:$J,9,0)</f>
        <v>0</v>
      </c>
      <c r="S24">
        <f t="shared" si="2"/>
        <v>0</v>
      </c>
    </row>
    <row r="25" spans="1:19" hidden="1">
      <c r="A25" s="294">
        <v>1900</v>
      </c>
      <c r="B25" s="294">
        <v>10951231</v>
      </c>
      <c r="C25" s="293" t="s">
        <v>333</v>
      </c>
      <c r="D25" s="293" t="s">
        <v>465</v>
      </c>
      <c r="E25" s="293" t="s">
        <v>12</v>
      </c>
      <c r="F25" s="323">
        <v>0</v>
      </c>
      <c r="G25" s="323">
        <v>0</v>
      </c>
      <c r="H25" s="323">
        <v>34862416.950000003</v>
      </c>
      <c r="I25" s="323">
        <v>34862416.950000003</v>
      </c>
      <c r="J25" s="323">
        <v>0</v>
      </c>
      <c r="L25" s="324">
        <f>IFERROR(VLOOKUP(C25,'TB_31.03.2026 (Links)'!$D:$H,5,0)-J25,"Error")</f>
        <v>0</v>
      </c>
      <c r="O25">
        <v>0</v>
      </c>
      <c r="P25">
        <f t="shared" si="1"/>
        <v>0</v>
      </c>
      <c r="R25">
        <f>VLOOKUP(B25,[2]Sheet1!$B:$J,9,0)</f>
        <v>0</v>
      </c>
      <c r="S25">
        <f t="shared" si="2"/>
        <v>0</v>
      </c>
    </row>
    <row r="26" spans="1:19" hidden="1">
      <c r="A26" s="294">
        <v>1900</v>
      </c>
      <c r="B26" s="294">
        <v>10951232</v>
      </c>
      <c r="C26" s="293" t="s">
        <v>334</v>
      </c>
      <c r="D26" s="293" t="s">
        <v>465</v>
      </c>
      <c r="E26" s="293" t="s">
        <v>12</v>
      </c>
      <c r="F26" s="323">
        <v>0</v>
      </c>
      <c r="G26" s="323">
        <v>0</v>
      </c>
      <c r="H26" s="323">
        <v>46540188.689999998</v>
      </c>
      <c r="I26" s="323">
        <v>46540188.689999998</v>
      </c>
      <c r="J26" s="323">
        <v>0</v>
      </c>
      <c r="L26" s="324">
        <f>IFERROR(VLOOKUP(C26,'TB_31.03.2026 (Links)'!$D:$H,5,0)-J26,"Error")</f>
        <v>0</v>
      </c>
      <c r="O26">
        <v>0</v>
      </c>
      <c r="P26">
        <f t="shared" si="1"/>
        <v>0</v>
      </c>
      <c r="R26">
        <f>VLOOKUP(B26,[2]Sheet1!$B:$J,9,0)</f>
        <v>0</v>
      </c>
      <c r="S26">
        <f t="shared" si="2"/>
        <v>0</v>
      </c>
    </row>
    <row r="27" spans="1:19" hidden="1">
      <c r="A27" s="294">
        <v>1900</v>
      </c>
      <c r="B27" s="294">
        <v>10951240</v>
      </c>
      <c r="C27" s="293" t="s">
        <v>158</v>
      </c>
      <c r="D27" s="293" t="s">
        <v>465</v>
      </c>
      <c r="E27" s="293" t="s">
        <v>12</v>
      </c>
      <c r="F27" s="323">
        <v>6119366.8700000001</v>
      </c>
      <c r="G27" s="323">
        <v>0</v>
      </c>
      <c r="H27" s="323">
        <v>964310892.16999996</v>
      </c>
      <c r="I27" s="323">
        <v>968860820.99000001</v>
      </c>
      <c r="J27" s="323">
        <v>1569438.05</v>
      </c>
      <c r="L27" s="324">
        <f>IFERROR(VLOOKUP(C27,'TB_31.03.2026 (Links)'!$D:$H,5,0)-J27,"Error")</f>
        <v>0</v>
      </c>
      <c r="O27">
        <v>1569438.05</v>
      </c>
      <c r="P27">
        <f t="shared" si="1"/>
        <v>0</v>
      </c>
      <c r="R27">
        <f>VLOOKUP(B27,[2]Sheet1!$B:$J,9,0)</f>
        <v>1569438.05</v>
      </c>
      <c r="S27">
        <f t="shared" si="2"/>
        <v>0</v>
      </c>
    </row>
    <row r="28" spans="1:19" hidden="1">
      <c r="A28" s="294">
        <v>1900</v>
      </c>
      <c r="B28" s="294">
        <v>10951241</v>
      </c>
      <c r="C28" s="293" t="s">
        <v>335</v>
      </c>
      <c r="D28" s="293" t="s">
        <v>465</v>
      </c>
      <c r="E28" s="293" t="s">
        <v>12</v>
      </c>
      <c r="F28" s="323">
        <v>0</v>
      </c>
      <c r="G28" s="323">
        <v>0</v>
      </c>
      <c r="H28" s="323">
        <v>1164853824.5699999</v>
      </c>
      <c r="I28" s="323">
        <v>1163059303.5699999</v>
      </c>
      <c r="J28" s="323">
        <v>1794521</v>
      </c>
      <c r="L28" s="324">
        <f>IFERROR(VLOOKUP(C28,'TB_31.03.2026 (Links)'!$D:$H,5,0)-J28,"Error")</f>
        <v>0</v>
      </c>
      <c r="O28">
        <v>1794521</v>
      </c>
      <c r="P28">
        <f t="shared" si="1"/>
        <v>0</v>
      </c>
      <c r="R28">
        <f>VLOOKUP(B28,[2]Sheet1!$B:$J,9,0)</f>
        <v>1794521</v>
      </c>
      <c r="S28">
        <f t="shared" si="2"/>
        <v>0</v>
      </c>
    </row>
    <row r="29" spans="1:19" hidden="1">
      <c r="A29" s="294">
        <v>1900</v>
      </c>
      <c r="B29" s="294">
        <v>10951242</v>
      </c>
      <c r="C29" s="293" t="s">
        <v>160</v>
      </c>
      <c r="D29" s="293" t="s">
        <v>465</v>
      </c>
      <c r="E29" s="293" t="s">
        <v>12</v>
      </c>
      <c r="F29" s="323">
        <v>-5789326.8099999996</v>
      </c>
      <c r="G29" s="323">
        <v>0</v>
      </c>
      <c r="H29" s="323">
        <v>1220422290.24</v>
      </c>
      <c r="I29" s="323">
        <v>1214738684.4300001</v>
      </c>
      <c r="J29" s="323">
        <v>-105721</v>
      </c>
      <c r="L29" s="324">
        <f>IFERROR(VLOOKUP(C29,'TB_31.03.2026 (Links)'!$D:$H,5,0)-J29,"Error")</f>
        <v>0</v>
      </c>
      <c r="O29">
        <v>-105721</v>
      </c>
      <c r="P29">
        <f t="shared" si="1"/>
        <v>0</v>
      </c>
      <c r="R29">
        <f>VLOOKUP(B29,[2]Sheet1!$B:$J,9,0)</f>
        <v>-105721</v>
      </c>
      <c r="S29">
        <f t="shared" si="2"/>
        <v>0</v>
      </c>
    </row>
    <row r="30" spans="1:19" hidden="1">
      <c r="A30" s="294">
        <v>1900</v>
      </c>
      <c r="B30" s="294">
        <v>10951250</v>
      </c>
      <c r="C30" s="293" t="s">
        <v>161</v>
      </c>
      <c r="D30" s="293" t="s">
        <v>465</v>
      </c>
      <c r="E30" s="293" t="s">
        <v>12</v>
      </c>
      <c r="F30" s="323">
        <v>614400</v>
      </c>
      <c r="G30" s="323">
        <v>0</v>
      </c>
      <c r="H30" s="323">
        <v>21508837.98</v>
      </c>
      <c r="I30" s="323">
        <v>22048852.760000002</v>
      </c>
      <c r="J30" s="323">
        <v>74385.22</v>
      </c>
      <c r="L30" s="324">
        <f>IFERROR(VLOOKUP(C30,'TB_31.03.2026 (Links)'!$D:$H,5,0)-J30,"Error")</f>
        <v>0</v>
      </c>
      <c r="O30">
        <v>74385.22</v>
      </c>
      <c r="P30">
        <f t="shared" si="1"/>
        <v>0</v>
      </c>
      <c r="R30">
        <f>VLOOKUP(B30,[2]Sheet1!$B:$J,9,0)</f>
        <v>74385.22</v>
      </c>
      <c r="S30">
        <f t="shared" si="2"/>
        <v>0</v>
      </c>
    </row>
    <row r="31" spans="1:19" hidden="1">
      <c r="A31" s="294">
        <v>1900</v>
      </c>
      <c r="B31" s="294">
        <v>10951251</v>
      </c>
      <c r="C31" s="293" t="s">
        <v>162</v>
      </c>
      <c r="D31" s="293" t="s">
        <v>465</v>
      </c>
      <c r="E31" s="293" t="s">
        <v>12</v>
      </c>
      <c r="F31" s="323">
        <v>0</v>
      </c>
      <c r="G31" s="323">
        <v>0</v>
      </c>
      <c r="H31" s="323">
        <v>27981803</v>
      </c>
      <c r="I31" s="323">
        <v>27981803</v>
      </c>
      <c r="J31" s="323">
        <v>0</v>
      </c>
      <c r="L31" s="324">
        <f>IFERROR(VLOOKUP(C31,'TB_31.03.2026 (Links)'!$D:$H,5,0)-J31,"Error")</f>
        <v>0</v>
      </c>
      <c r="O31">
        <v>0</v>
      </c>
      <c r="P31">
        <f t="shared" si="1"/>
        <v>0</v>
      </c>
      <c r="R31">
        <f>VLOOKUP(B31,[2]Sheet1!$B:$J,9,0)</f>
        <v>0</v>
      </c>
      <c r="S31">
        <f t="shared" si="2"/>
        <v>0</v>
      </c>
    </row>
    <row r="32" spans="1:19" hidden="1">
      <c r="A32" s="294">
        <v>1900</v>
      </c>
      <c r="B32" s="294">
        <v>10951252</v>
      </c>
      <c r="C32" s="293" t="s">
        <v>336</v>
      </c>
      <c r="D32" s="293" t="s">
        <v>465</v>
      </c>
      <c r="E32" s="293" t="s">
        <v>12</v>
      </c>
      <c r="F32" s="323">
        <v>0</v>
      </c>
      <c r="G32" s="323">
        <v>0</v>
      </c>
      <c r="H32" s="323">
        <v>22238988.739999998</v>
      </c>
      <c r="I32" s="323">
        <v>22238988.739999998</v>
      </c>
      <c r="J32" s="323">
        <v>0</v>
      </c>
      <c r="L32" s="324">
        <f>IFERROR(VLOOKUP(C32,'TB_31.03.2026 (Links)'!$D:$H,5,0)-J32,"Error")</f>
        <v>0</v>
      </c>
      <c r="O32">
        <v>0</v>
      </c>
      <c r="P32">
        <f t="shared" si="1"/>
        <v>0</v>
      </c>
      <c r="R32">
        <f>VLOOKUP(B32,[2]Sheet1!$B:$J,9,0)</f>
        <v>0</v>
      </c>
      <c r="S32">
        <f t="shared" si="2"/>
        <v>0</v>
      </c>
    </row>
    <row r="33" spans="1:19" hidden="1">
      <c r="A33" s="294">
        <v>1900</v>
      </c>
      <c r="B33" s="294">
        <v>10951260</v>
      </c>
      <c r="C33" s="293" t="s">
        <v>164</v>
      </c>
      <c r="D33" s="293" t="s">
        <v>465</v>
      </c>
      <c r="E33" s="293" t="s">
        <v>12</v>
      </c>
      <c r="F33" s="323">
        <v>19702.66</v>
      </c>
      <c r="G33" s="323">
        <v>0</v>
      </c>
      <c r="H33" s="323">
        <v>5297.58</v>
      </c>
      <c r="I33" s="323">
        <v>1.47</v>
      </c>
      <c r="J33" s="323">
        <v>24998.77</v>
      </c>
      <c r="L33" s="324">
        <f>IFERROR(VLOOKUP(C33,'TB_31.03.2026 (Links)'!$D:$H,5,0)-J33,"Error")</f>
        <v>0</v>
      </c>
      <c r="O33">
        <v>24998.77</v>
      </c>
      <c r="P33">
        <f t="shared" si="1"/>
        <v>0</v>
      </c>
      <c r="R33">
        <f>VLOOKUP(B33,[2]Sheet1!$B:$J,9,0)</f>
        <v>24998.77</v>
      </c>
      <c r="S33">
        <f t="shared" si="2"/>
        <v>0</v>
      </c>
    </row>
    <row r="34" spans="1:19" hidden="1">
      <c r="A34" s="294">
        <v>1900</v>
      </c>
      <c r="B34" s="294">
        <v>10951261</v>
      </c>
      <c r="C34" s="293" t="s">
        <v>426</v>
      </c>
      <c r="D34" s="293" t="s">
        <v>465</v>
      </c>
      <c r="E34" s="293" t="s">
        <v>12</v>
      </c>
      <c r="F34" s="323">
        <v>0</v>
      </c>
      <c r="G34" s="323">
        <v>0</v>
      </c>
      <c r="H34" s="323">
        <v>5297</v>
      </c>
      <c r="I34" s="323">
        <v>5297</v>
      </c>
      <c r="J34" s="323">
        <v>0</v>
      </c>
      <c r="L34" s="324">
        <f>IFERROR(VLOOKUP(C34,'TB_31.03.2026 (Links)'!$D:$H,5,0)-J34,"Error")</f>
        <v>0</v>
      </c>
      <c r="O34">
        <v>0</v>
      </c>
      <c r="P34">
        <f t="shared" si="1"/>
        <v>0</v>
      </c>
      <c r="R34">
        <f>VLOOKUP(B34,[2]Sheet1!$B:$J,9,0)</f>
        <v>0</v>
      </c>
      <c r="S34">
        <f t="shared" si="2"/>
        <v>0</v>
      </c>
    </row>
    <row r="35" spans="1:19" hidden="1">
      <c r="A35" s="294">
        <v>1900</v>
      </c>
      <c r="B35" s="294">
        <v>10951262</v>
      </c>
      <c r="C35" s="293" t="s">
        <v>442</v>
      </c>
      <c r="D35" s="293" t="s">
        <v>465</v>
      </c>
      <c r="E35" s="293" t="s">
        <v>12</v>
      </c>
      <c r="F35" s="323">
        <v>0</v>
      </c>
      <c r="G35" s="323">
        <v>0</v>
      </c>
      <c r="H35" s="323">
        <v>1.47</v>
      </c>
      <c r="I35" s="323">
        <v>1.47</v>
      </c>
      <c r="J35" s="323">
        <v>0</v>
      </c>
      <c r="L35" s="324">
        <f>IFERROR(VLOOKUP(C35,'TB_31.03.2026 (Links)'!$D:$H,5,0)-J35,"Error")</f>
        <v>0</v>
      </c>
      <c r="O35">
        <v>0</v>
      </c>
      <c r="P35">
        <f t="shared" si="1"/>
        <v>0</v>
      </c>
      <c r="R35">
        <f>VLOOKUP(B35,[2]Sheet1!$B:$J,9,0)</f>
        <v>0</v>
      </c>
      <c r="S35">
        <f t="shared" si="2"/>
        <v>0</v>
      </c>
    </row>
    <row r="36" spans="1:19" hidden="1">
      <c r="A36" s="294">
        <v>1900</v>
      </c>
      <c r="B36" s="294">
        <v>10952210</v>
      </c>
      <c r="C36" s="293" t="s">
        <v>466</v>
      </c>
      <c r="D36" s="293" t="s">
        <v>465</v>
      </c>
      <c r="E36" s="293" t="s">
        <v>12</v>
      </c>
      <c r="F36" s="323">
        <v>0</v>
      </c>
      <c r="G36" s="323">
        <v>0</v>
      </c>
      <c r="H36" s="323">
        <v>1476565765.3</v>
      </c>
      <c r="I36" s="323">
        <v>1504528114.5799999</v>
      </c>
      <c r="J36" s="323">
        <v>-27962349.280000001</v>
      </c>
      <c r="L36" s="324">
        <f>IFERROR(VLOOKUP(C36,'TB_31.03.2026 (Links)'!$D:$H,5,0)-J36,"Error")</f>
        <v>0</v>
      </c>
      <c r="O36">
        <v>-27962349.280000001</v>
      </c>
      <c r="P36">
        <f t="shared" si="1"/>
        <v>0</v>
      </c>
      <c r="R36">
        <f>VLOOKUP(B36,[2]Sheet1!$B:$J,9,0)</f>
        <v>-27962349.280000001</v>
      </c>
      <c r="S36">
        <f t="shared" si="2"/>
        <v>0</v>
      </c>
    </row>
    <row r="37" spans="1:19" hidden="1">
      <c r="A37" s="294">
        <v>1900</v>
      </c>
      <c r="B37" s="294">
        <v>10952211</v>
      </c>
      <c r="C37" s="293" t="s">
        <v>467</v>
      </c>
      <c r="D37" s="293" t="s">
        <v>465</v>
      </c>
      <c r="E37" s="293" t="s">
        <v>12</v>
      </c>
      <c r="F37" s="323">
        <v>0</v>
      </c>
      <c r="G37" s="323">
        <v>0</v>
      </c>
      <c r="H37" s="323">
        <v>1510047710.46</v>
      </c>
      <c r="I37" s="323">
        <v>1510047710.46</v>
      </c>
      <c r="J37" s="323">
        <v>0</v>
      </c>
      <c r="L37" s="324">
        <f>IFERROR(VLOOKUP(C37,'TB_31.03.2026 (Links)'!$D:$H,5,0)-J37,"Error")</f>
        <v>0</v>
      </c>
      <c r="O37">
        <v>0</v>
      </c>
      <c r="P37">
        <f t="shared" si="1"/>
        <v>0</v>
      </c>
      <c r="R37">
        <f>VLOOKUP(B37,[2]Sheet1!$B:$J,9,0)</f>
        <v>0</v>
      </c>
      <c r="S37">
        <f t="shared" si="2"/>
        <v>0</v>
      </c>
    </row>
    <row r="38" spans="1:19" hidden="1">
      <c r="A38" s="294">
        <v>1900</v>
      </c>
      <c r="B38" s="294">
        <v>10952212</v>
      </c>
      <c r="C38" s="293" t="s">
        <v>468</v>
      </c>
      <c r="D38" s="293" t="s">
        <v>465</v>
      </c>
      <c r="E38" s="293" t="s">
        <v>12</v>
      </c>
      <c r="F38" s="323">
        <v>0</v>
      </c>
      <c r="G38" s="323">
        <v>0</v>
      </c>
      <c r="H38" s="323">
        <v>1887464345.4200001</v>
      </c>
      <c r="I38" s="323">
        <v>1887464345.4200001</v>
      </c>
      <c r="J38" s="323">
        <v>0</v>
      </c>
      <c r="L38" s="324">
        <f>IFERROR(VLOOKUP(C38,'TB_31.03.2026 (Links)'!$D:$H,5,0)-J38,"Error")</f>
        <v>0</v>
      </c>
      <c r="O38">
        <v>0</v>
      </c>
      <c r="P38">
        <f t="shared" si="1"/>
        <v>0</v>
      </c>
      <c r="R38">
        <f>VLOOKUP(B38,[2]Sheet1!$B:$J,9,0)</f>
        <v>0</v>
      </c>
      <c r="S38">
        <f t="shared" si="2"/>
        <v>0</v>
      </c>
    </row>
    <row r="39" spans="1:19" hidden="1">
      <c r="A39" s="294">
        <v>1900</v>
      </c>
      <c r="B39" s="294">
        <v>10952660</v>
      </c>
      <c r="C39" s="293" t="s">
        <v>166</v>
      </c>
      <c r="D39" s="293" t="s">
        <v>465</v>
      </c>
      <c r="E39" s="293" t="s">
        <v>12</v>
      </c>
      <c r="F39" s="323">
        <v>25000</v>
      </c>
      <c r="G39" s="323">
        <v>0</v>
      </c>
      <c r="H39" s="323">
        <v>0</v>
      </c>
      <c r="I39" s="323">
        <v>25000</v>
      </c>
      <c r="J39" s="323">
        <v>0</v>
      </c>
      <c r="L39" s="324">
        <f>IFERROR(VLOOKUP(C39,'TB_31.03.2026 (Links)'!$D:$H,5,0)-J39,"Error")</f>
        <v>0</v>
      </c>
      <c r="O39">
        <v>0</v>
      </c>
      <c r="P39">
        <f t="shared" si="1"/>
        <v>0</v>
      </c>
      <c r="R39">
        <f>VLOOKUP(B39,[2]Sheet1!$B:$J,9,0)</f>
        <v>0</v>
      </c>
      <c r="S39">
        <f t="shared" si="2"/>
        <v>0</v>
      </c>
    </row>
    <row r="40" spans="1:19" hidden="1">
      <c r="A40" s="294">
        <v>1900</v>
      </c>
      <c r="B40" s="294">
        <v>10952662</v>
      </c>
      <c r="C40" s="293" t="s">
        <v>443</v>
      </c>
      <c r="D40" s="293" t="s">
        <v>465</v>
      </c>
      <c r="E40" s="293" t="s">
        <v>12</v>
      </c>
      <c r="F40" s="323">
        <v>0</v>
      </c>
      <c r="G40" s="323">
        <v>0</v>
      </c>
      <c r="H40" s="323">
        <v>25000</v>
      </c>
      <c r="I40" s="323">
        <v>25000</v>
      </c>
      <c r="J40" s="323">
        <v>0</v>
      </c>
      <c r="L40" s="324">
        <f>IFERROR(VLOOKUP(C40,'TB_31.03.2026 (Links)'!$D:$H,5,0)-J40,"Error")</f>
        <v>0</v>
      </c>
      <c r="O40">
        <v>0</v>
      </c>
      <c r="P40">
        <f t="shared" si="1"/>
        <v>0</v>
      </c>
      <c r="R40">
        <f>VLOOKUP(B40,[2]Sheet1!$B:$J,9,0)</f>
        <v>0</v>
      </c>
      <c r="S40">
        <f t="shared" si="2"/>
        <v>0</v>
      </c>
    </row>
    <row r="41" spans="1:19" hidden="1">
      <c r="A41" s="294">
        <v>1900</v>
      </c>
      <c r="B41" s="294">
        <v>10952670</v>
      </c>
      <c r="C41" s="293" t="s">
        <v>337</v>
      </c>
      <c r="D41" s="293" t="s">
        <v>465</v>
      </c>
      <c r="E41" s="293" t="s">
        <v>12</v>
      </c>
      <c r="F41" s="323">
        <v>25000</v>
      </c>
      <c r="G41" s="323">
        <v>0</v>
      </c>
      <c r="H41" s="323">
        <v>1500</v>
      </c>
      <c r="I41" s="323">
        <v>26500</v>
      </c>
      <c r="J41" s="323">
        <v>0</v>
      </c>
      <c r="L41" s="324">
        <f>IFERROR(VLOOKUP(C41,'TB_31.03.2026 (Links)'!$D:$H,5,0)-J41,"Error")</f>
        <v>0</v>
      </c>
      <c r="O41">
        <v>0</v>
      </c>
      <c r="P41">
        <f t="shared" si="1"/>
        <v>0</v>
      </c>
      <c r="R41">
        <f>VLOOKUP(B41,[2]Sheet1!$B:$J,9,0)</f>
        <v>0</v>
      </c>
      <c r="S41">
        <f t="shared" si="2"/>
        <v>0</v>
      </c>
    </row>
    <row r="42" spans="1:19" hidden="1">
      <c r="A42" s="294">
        <v>1900</v>
      </c>
      <c r="B42" s="294">
        <v>10952671</v>
      </c>
      <c r="C42" s="293" t="s">
        <v>444</v>
      </c>
      <c r="D42" s="293" t="s">
        <v>465</v>
      </c>
      <c r="E42" s="293" t="s">
        <v>12</v>
      </c>
      <c r="F42" s="323">
        <v>0</v>
      </c>
      <c r="G42" s="323">
        <v>0</v>
      </c>
      <c r="H42" s="323">
        <v>1500</v>
      </c>
      <c r="I42" s="323">
        <v>1500</v>
      </c>
      <c r="J42" s="323">
        <v>0</v>
      </c>
      <c r="L42" s="324">
        <f>IFERROR(VLOOKUP(C42,'TB_31.03.2026 (Links)'!$D:$H,5,0)-J42,"Error")</f>
        <v>0</v>
      </c>
      <c r="O42">
        <v>0</v>
      </c>
      <c r="P42">
        <f t="shared" si="1"/>
        <v>0</v>
      </c>
      <c r="R42">
        <f>VLOOKUP(B42,[2]Sheet1!$B:$J,9,0)</f>
        <v>0</v>
      </c>
      <c r="S42">
        <f t="shared" si="2"/>
        <v>0</v>
      </c>
    </row>
    <row r="43" spans="1:19" hidden="1">
      <c r="A43" s="294">
        <v>1900</v>
      </c>
      <c r="B43" s="294">
        <v>10952672</v>
      </c>
      <c r="C43" s="293" t="s">
        <v>445</v>
      </c>
      <c r="D43" s="293" t="s">
        <v>465</v>
      </c>
      <c r="E43" s="293" t="s">
        <v>12</v>
      </c>
      <c r="F43" s="323">
        <v>0</v>
      </c>
      <c r="G43" s="323">
        <v>0</v>
      </c>
      <c r="H43" s="323">
        <v>26761</v>
      </c>
      <c r="I43" s="323">
        <v>26761</v>
      </c>
      <c r="J43" s="323">
        <v>0</v>
      </c>
      <c r="L43" s="324">
        <f>IFERROR(VLOOKUP(C43,'TB_31.03.2026 (Links)'!$D:$H,5,0)-J43,"Error")</f>
        <v>0</v>
      </c>
      <c r="O43">
        <v>0</v>
      </c>
      <c r="P43">
        <f t="shared" si="1"/>
        <v>0</v>
      </c>
      <c r="R43">
        <f>VLOOKUP(B43,[2]Sheet1!$B:$J,9,0)</f>
        <v>0</v>
      </c>
      <c r="S43">
        <f t="shared" si="2"/>
        <v>0</v>
      </c>
    </row>
    <row r="44" spans="1:19" hidden="1">
      <c r="A44" s="294">
        <v>1900</v>
      </c>
      <c r="B44" s="294">
        <v>10952680</v>
      </c>
      <c r="C44" s="293" t="s">
        <v>167</v>
      </c>
      <c r="D44" s="293" t="s">
        <v>465</v>
      </c>
      <c r="E44" s="293" t="s">
        <v>12</v>
      </c>
      <c r="F44" s="323">
        <v>25000</v>
      </c>
      <c r="G44" s="323">
        <v>0</v>
      </c>
      <c r="H44" s="323">
        <v>2090</v>
      </c>
      <c r="I44" s="323">
        <v>27090</v>
      </c>
      <c r="J44" s="323">
        <f>F44+H44-I44</f>
        <v>0</v>
      </c>
      <c r="L44" s="324">
        <f>IFERROR(VLOOKUP(C44,'TB_31.03.2026 (Links)'!$D:$H,5,0)-J44,"Error")</f>
        <v>0</v>
      </c>
      <c r="O44">
        <v>0</v>
      </c>
      <c r="P44">
        <f t="shared" si="1"/>
        <v>0</v>
      </c>
      <c r="R44">
        <f>VLOOKUP(B44,[2]Sheet1!$B:$J,9,0)</f>
        <v>0</v>
      </c>
      <c r="S44">
        <f t="shared" si="2"/>
        <v>0</v>
      </c>
    </row>
    <row r="45" spans="1:19" hidden="1">
      <c r="A45" s="294">
        <v>1900</v>
      </c>
      <c r="B45" s="294">
        <v>10952681</v>
      </c>
      <c r="C45" s="293" t="s">
        <v>446</v>
      </c>
      <c r="D45" s="293" t="s">
        <v>465</v>
      </c>
      <c r="E45" s="293" t="s">
        <v>12</v>
      </c>
      <c r="F45" s="323">
        <v>0</v>
      </c>
      <c r="G45" s="323">
        <v>0</v>
      </c>
      <c r="H45" s="323">
        <v>1000</v>
      </c>
      <c r="I45" s="323">
        <v>1000</v>
      </c>
      <c r="J45" s="323">
        <v>0</v>
      </c>
      <c r="L45" s="324">
        <f>IFERROR(VLOOKUP(C45,'TB_31.03.2026 (Links)'!$D:$H,5,0)-J45,"Error")</f>
        <v>0</v>
      </c>
      <c r="O45">
        <v>0</v>
      </c>
      <c r="P45">
        <f t="shared" si="1"/>
        <v>0</v>
      </c>
      <c r="R45">
        <f>VLOOKUP(B45,[2]Sheet1!$B:$J,9,0)</f>
        <v>0</v>
      </c>
      <c r="S45">
        <f t="shared" si="2"/>
        <v>0</v>
      </c>
    </row>
    <row r="46" spans="1:19" hidden="1">
      <c r="A46" s="294">
        <v>1900</v>
      </c>
      <c r="B46" s="294">
        <v>10952682</v>
      </c>
      <c r="C46" s="293" t="s">
        <v>447</v>
      </c>
      <c r="D46" s="293" t="s">
        <v>465</v>
      </c>
      <c r="E46" s="293" t="s">
        <v>12</v>
      </c>
      <c r="F46" s="323">
        <v>0</v>
      </c>
      <c r="G46" s="323">
        <v>0</v>
      </c>
      <c r="H46" s="323">
        <v>27351</v>
      </c>
      <c r="I46" s="323">
        <v>27351</v>
      </c>
      <c r="J46" s="323">
        <v>0</v>
      </c>
      <c r="L46" s="324">
        <f>IFERROR(VLOOKUP(C46,'TB_31.03.2026 (Links)'!$D:$H,5,0)-J46,"Error")</f>
        <v>0</v>
      </c>
      <c r="O46">
        <v>0</v>
      </c>
      <c r="P46">
        <f t="shared" si="1"/>
        <v>0</v>
      </c>
      <c r="R46">
        <f>VLOOKUP(B46,[2]Sheet1!$B:$J,9,0)</f>
        <v>0</v>
      </c>
      <c r="S46">
        <f t="shared" si="2"/>
        <v>0</v>
      </c>
    </row>
    <row r="47" spans="1:19" hidden="1">
      <c r="A47" s="294">
        <v>1900</v>
      </c>
      <c r="B47" s="294">
        <v>10952740</v>
      </c>
      <c r="C47" s="293" t="s">
        <v>425</v>
      </c>
      <c r="D47" s="293" t="s">
        <v>465</v>
      </c>
      <c r="E47" s="293" t="s">
        <v>12</v>
      </c>
      <c r="F47" s="323">
        <v>0</v>
      </c>
      <c r="G47" s="323">
        <v>0</v>
      </c>
      <c r="H47" s="323">
        <v>8713418.8000000007</v>
      </c>
      <c r="I47" s="323">
        <v>8713418.8000000007</v>
      </c>
      <c r="J47" s="323">
        <v>0</v>
      </c>
      <c r="L47" s="324">
        <f>IFERROR(VLOOKUP(C47,'TB_31.03.2026 (Links)'!$D:$H,5,0)-J47,"Error")</f>
        <v>0</v>
      </c>
      <c r="O47">
        <v>0</v>
      </c>
      <c r="P47">
        <f t="shared" si="1"/>
        <v>0</v>
      </c>
      <c r="R47">
        <f>VLOOKUP(B47,[2]Sheet1!$B:$J,9,0)</f>
        <v>0</v>
      </c>
      <c r="S47">
        <f t="shared" si="2"/>
        <v>0</v>
      </c>
    </row>
    <row r="48" spans="1:19" hidden="1">
      <c r="A48" s="294">
        <v>1900</v>
      </c>
      <c r="B48" s="294">
        <v>10952741</v>
      </c>
      <c r="C48" s="293" t="s">
        <v>424</v>
      </c>
      <c r="D48" s="293" t="s">
        <v>465</v>
      </c>
      <c r="E48" s="293" t="s">
        <v>12</v>
      </c>
      <c r="F48" s="323">
        <v>0</v>
      </c>
      <c r="G48" s="323">
        <v>0</v>
      </c>
      <c r="H48" s="323">
        <v>12912312.699999999</v>
      </c>
      <c r="I48" s="323">
        <v>12912312.699999999</v>
      </c>
      <c r="J48" s="323">
        <v>0</v>
      </c>
      <c r="L48" s="324">
        <f>IFERROR(VLOOKUP(C48,'TB_31.03.2026 (Links)'!$D:$H,5,0)-J48,"Error")</f>
        <v>0</v>
      </c>
      <c r="O48">
        <v>0</v>
      </c>
      <c r="P48">
        <f t="shared" si="1"/>
        <v>0</v>
      </c>
      <c r="R48">
        <f>VLOOKUP(B48,[2]Sheet1!$B:$J,9,0)</f>
        <v>0</v>
      </c>
      <c r="S48">
        <f t="shared" si="2"/>
        <v>0</v>
      </c>
    </row>
    <row r="49" spans="1:19" hidden="1">
      <c r="A49" s="294">
        <v>1900</v>
      </c>
      <c r="B49" s="294">
        <v>10952742</v>
      </c>
      <c r="C49" s="293" t="s">
        <v>423</v>
      </c>
      <c r="D49" s="293" t="s">
        <v>465</v>
      </c>
      <c r="E49" s="293" t="s">
        <v>12</v>
      </c>
      <c r="F49" s="323">
        <v>0</v>
      </c>
      <c r="G49" s="323">
        <v>0</v>
      </c>
      <c r="H49" s="323">
        <v>4514534.9000000004</v>
      </c>
      <c r="I49" s="323">
        <v>4514534.9000000004</v>
      </c>
      <c r="J49" s="323">
        <v>0</v>
      </c>
      <c r="L49" s="324">
        <f>IFERROR(VLOOKUP(C49,'TB_31.03.2026 (Links)'!$D:$H,5,0)-J49,"Error")</f>
        <v>0</v>
      </c>
      <c r="O49">
        <v>0</v>
      </c>
      <c r="P49">
        <f t="shared" si="1"/>
        <v>0</v>
      </c>
      <c r="R49">
        <f>VLOOKUP(B49,[2]Sheet1!$B:$J,9,0)</f>
        <v>0</v>
      </c>
      <c r="S49">
        <f t="shared" si="2"/>
        <v>0</v>
      </c>
    </row>
    <row r="50" spans="1:19" hidden="1">
      <c r="A50" s="294">
        <v>1900</v>
      </c>
      <c r="B50" s="294">
        <v>10952750</v>
      </c>
      <c r="C50" s="293" t="s">
        <v>422</v>
      </c>
      <c r="D50" s="293" t="s">
        <v>465</v>
      </c>
      <c r="E50" s="293" t="s">
        <v>12</v>
      </c>
      <c r="F50" s="323">
        <v>0</v>
      </c>
      <c r="G50" s="323">
        <v>0</v>
      </c>
      <c r="H50" s="323">
        <v>1354362.03</v>
      </c>
      <c r="I50" s="323">
        <v>1354361.97</v>
      </c>
      <c r="J50" s="323">
        <v>0.06</v>
      </c>
      <c r="L50" s="324">
        <f>IFERROR(VLOOKUP(C50,'TB_31.03.2026 (Links)'!$D:$H,5,0)-J50,"Error")</f>
        <v>0</v>
      </c>
      <c r="O50">
        <v>0.06</v>
      </c>
      <c r="P50">
        <f t="shared" si="1"/>
        <v>0</v>
      </c>
      <c r="R50">
        <f>VLOOKUP(B50,[2]Sheet1!$B:$J,9,0)</f>
        <v>0.06</v>
      </c>
      <c r="S50">
        <f t="shared" si="2"/>
        <v>0</v>
      </c>
    </row>
    <row r="51" spans="1:19" hidden="1">
      <c r="A51" s="294">
        <v>1900</v>
      </c>
      <c r="B51" s="294">
        <v>10952751</v>
      </c>
      <c r="C51" s="293" t="s">
        <v>421</v>
      </c>
      <c r="D51" s="293" t="s">
        <v>465</v>
      </c>
      <c r="E51" s="293" t="s">
        <v>12</v>
      </c>
      <c r="F51" s="323">
        <v>0</v>
      </c>
      <c r="G51" s="323">
        <v>0</v>
      </c>
      <c r="H51" s="323">
        <v>1354361.97</v>
      </c>
      <c r="I51" s="323">
        <v>1354361.97</v>
      </c>
      <c r="J51" s="323">
        <v>0</v>
      </c>
      <c r="L51" s="324">
        <f>IFERROR(VLOOKUP(C51,'TB_31.03.2026 (Links)'!$D:$H,5,0)-J51,"Error")</f>
        <v>0</v>
      </c>
      <c r="O51">
        <v>0</v>
      </c>
      <c r="P51">
        <f t="shared" si="1"/>
        <v>0</v>
      </c>
      <c r="R51">
        <f>VLOOKUP(B51,[2]Sheet1!$B:$J,9,0)</f>
        <v>0</v>
      </c>
      <c r="S51">
        <f t="shared" si="2"/>
        <v>0</v>
      </c>
    </row>
    <row r="52" spans="1:19" hidden="1">
      <c r="A52" s="294">
        <v>1900</v>
      </c>
      <c r="B52" s="294">
        <v>10952752</v>
      </c>
      <c r="C52" s="293" t="s">
        <v>420</v>
      </c>
      <c r="D52" s="293" t="s">
        <v>465</v>
      </c>
      <c r="E52" s="293" t="s">
        <v>12</v>
      </c>
      <c r="F52" s="323">
        <v>0</v>
      </c>
      <c r="G52" s="323">
        <v>0</v>
      </c>
      <c r="H52" s="323">
        <v>1354362.03</v>
      </c>
      <c r="I52" s="323">
        <v>1354362.03</v>
      </c>
      <c r="J52" s="323">
        <v>0</v>
      </c>
      <c r="L52" s="324">
        <f>IFERROR(VLOOKUP(C52,'TB_31.03.2026 (Links)'!$D:$H,5,0)-J52,"Error")</f>
        <v>0</v>
      </c>
      <c r="O52">
        <v>0</v>
      </c>
      <c r="P52">
        <f t="shared" si="1"/>
        <v>0</v>
      </c>
      <c r="R52">
        <f>VLOOKUP(B52,[2]Sheet1!$B:$J,9,0)</f>
        <v>0</v>
      </c>
      <c r="S52">
        <f t="shared" si="2"/>
        <v>0</v>
      </c>
    </row>
    <row r="53" spans="1:19" hidden="1">
      <c r="A53" s="294">
        <v>1900</v>
      </c>
      <c r="B53" s="294">
        <v>10952760</v>
      </c>
      <c r="C53" s="293" t="s">
        <v>419</v>
      </c>
      <c r="D53" s="293" t="s">
        <v>465</v>
      </c>
      <c r="E53" s="293" t="s">
        <v>12</v>
      </c>
      <c r="F53" s="323">
        <v>0</v>
      </c>
      <c r="G53" s="323">
        <v>0</v>
      </c>
      <c r="H53" s="323">
        <v>3160163.93</v>
      </c>
      <c r="I53" s="323">
        <v>0</v>
      </c>
      <c r="J53" s="323">
        <v>3160163.93</v>
      </c>
      <c r="L53" s="324">
        <f>IFERROR(VLOOKUP(C53,'TB_31.03.2026 (Links)'!$D:$H,5,0)-J53,"Error")</f>
        <v>0</v>
      </c>
      <c r="O53">
        <v>3160163.93</v>
      </c>
      <c r="P53">
        <f t="shared" si="1"/>
        <v>0</v>
      </c>
      <c r="R53">
        <f>VLOOKUP(B53,[2]Sheet1!$B:$J,9,0)</f>
        <v>3160163.93</v>
      </c>
      <c r="S53">
        <f t="shared" si="2"/>
        <v>0</v>
      </c>
    </row>
    <row r="54" spans="1:19" hidden="1">
      <c r="A54" s="294">
        <v>1900</v>
      </c>
      <c r="B54" s="294">
        <v>10952761</v>
      </c>
      <c r="C54" s="293" t="s">
        <v>418</v>
      </c>
      <c r="D54" s="293" t="s">
        <v>465</v>
      </c>
      <c r="E54" s="293" t="s">
        <v>12</v>
      </c>
      <c r="F54" s="323">
        <v>0</v>
      </c>
      <c r="G54" s="323">
        <v>0</v>
      </c>
      <c r="H54" s="323">
        <v>3160170.93</v>
      </c>
      <c r="I54" s="323">
        <v>3160170.93</v>
      </c>
      <c r="J54" s="323">
        <v>0</v>
      </c>
      <c r="L54" s="324">
        <f>IFERROR(VLOOKUP(C54,'TB_31.03.2026 (Links)'!$D:$H,5,0)-J54,"Error")</f>
        <v>0</v>
      </c>
      <c r="O54">
        <v>0</v>
      </c>
      <c r="P54">
        <f t="shared" si="1"/>
        <v>0</v>
      </c>
      <c r="R54">
        <f>VLOOKUP(B54,[2]Sheet1!$B:$J,9,0)</f>
        <v>0</v>
      </c>
      <c r="S54">
        <f t="shared" si="2"/>
        <v>0</v>
      </c>
    </row>
    <row r="55" spans="1:19" hidden="1">
      <c r="A55" s="294">
        <v>1900</v>
      </c>
      <c r="B55" s="294">
        <v>11110003</v>
      </c>
      <c r="C55" s="293" t="s">
        <v>338</v>
      </c>
      <c r="D55" s="293" t="s">
        <v>465</v>
      </c>
      <c r="E55" s="293" t="s">
        <v>12</v>
      </c>
      <c r="F55" s="323">
        <v>55980</v>
      </c>
      <c r="G55" s="323">
        <v>0</v>
      </c>
      <c r="H55" s="323">
        <v>2901127.06</v>
      </c>
      <c r="I55" s="323">
        <v>619060.85</v>
      </c>
      <c r="J55" s="323">
        <v>2338046.21</v>
      </c>
      <c r="L55" s="324">
        <f>IFERROR(VLOOKUP(C55,'TB_31.03.2026 (Links)'!$D:$H,5,0)-J55,"Error")</f>
        <v>0</v>
      </c>
      <c r="O55">
        <v>2338046.21</v>
      </c>
      <c r="P55">
        <f t="shared" si="1"/>
        <v>0</v>
      </c>
      <c r="R55">
        <f>VLOOKUP(B55,[2]Sheet1!$B:$J,9,0)</f>
        <v>2338046.21</v>
      </c>
      <c r="S55">
        <f t="shared" si="2"/>
        <v>0</v>
      </c>
    </row>
    <row r="56" spans="1:19" hidden="1">
      <c r="A56" s="294">
        <v>1900</v>
      </c>
      <c r="B56" s="294">
        <v>11130003</v>
      </c>
      <c r="C56" s="293" t="s">
        <v>339</v>
      </c>
      <c r="D56" s="293" t="s">
        <v>465</v>
      </c>
      <c r="E56" s="293" t="s">
        <v>12</v>
      </c>
      <c r="F56" s="323">
        <v>0</v>
      </c>
      <c r="G56" s="323">
        <v>0</v>
      </c>
      <c r="H56" s="323">
        <v>43.32</v>
      </c>
      <c r="I56" s="323">
        <v>43.32</v>
      </c>
      <c r="J56" s="323">
        <v>0</v>
      </c>
      <c r="L56" s="324">
        <f>IFERROR(VLOOKUP(C56,'TB_31.03.2026 (Links)'!$D:$H,5,0)-J56,"Error")</f>
        <v>0</v>
      </c>
      <c r="O56">
        <v>0</v>
      </c>
      <c r="P56">
        <f t="shared" si="1"/>
        <v>0</v>
      </c>
      <c r="R56">
        <f>VLOOKUP(B56,[2]Sheet1!$B:$J,9,0)</f>
        <v>0</v>
      </c>
      <c r="S56">
        <f t="shared" si="2"/>
        <v>0</v>
      </c>
    </row>
    <row r="57" spans="1:19" hidden="1">
      <c r="A57" s="294">
        <v>1900</v>
      </c>
      <c r="B57" s="294">
        <v>11130004</v>
      </c>
      <c r="C57" s="293" t="s">
        <v>340</v>
      </c>
      <c r="D57" s="293" t="s">
        <v>465</v>
      </c>
      <c r="E57" s="293" t="s">
        <v>12</v>
      </c>
      <c r="F57" s="323">
        <v>0</v>
      </c>
      <c r="G57" s="323">
        <v>0</v>
      </c>
      <c r="H57" s="323">
        <v>43.32</v>
      </c>
      <c r="I57" s="323">
        <v>43.32</v>
      </c>
      <c r="J57" s="323">
        <v>0</v>
      </c>
      <c r="L57" s="324">
        <f>IFERROR(VLOOKUP(C57,'TB_31.03.2026 (Links)'!$D:$H,5,0)-J57,"Error")</f>
        <v>0</v>
      </c>
      <c r="O57">
        <v>0</v>
      </c>
      <c r="P57">
        <f t="shared" si="1"/>
        <v>0</v>
      </c>
      <c r="R57">
        <f>VLOOKUP(B57,[2]Sheet1!$B:$J,9,0)</f>
        <v>0</v>
      </c>
      <c r="S57">
        <f t="shared" si="2"/>
        <v>0</v>
      </c>
    </row>
    <row r="58" spans="1:19" hidden="1">
      <c r="A58" s="294">
        <v>1900</v>
      </c>
      <c r="B58" s="294">
        <v>11130005</v>
      </c>
      <c r="C58" s="293" t="s">
        <v>341</v>
      </c>
      <c r="D58" s="293" t="s">
        <v>465</v>
      </c>
      <c r="E58" s="293" t="s">
        <v>12</v>
      </c>
      <c r="F58" s="323">
        <v>0</v>
      </c>
      <c r="G58" s="323">
        <v>0</v>
      </c>
      <c r="H58" s="323">
        <v>132</v>
      </c>
      <c r="I58" s="323">
        <v>132</v>
      </c>
      <c r="J58" s="323">
        <v>0</v>
      </c>
      <c r="L58" s="324">
        <f>IFERROR(VLOOKUP(C58,'TB_31.03.2026 (Links)'!$D:$H,5,0)-J58,"Error")</f>
        <v>0</v>
      </c>
      <c r="O58">
        <v>0</v>
      </c>
      <c r="P58">
        <f t="shared" si="1"/>
        <v>0</v>
      </c>
      <c r="R58">
        <f>VLOOKUP(B58,[2]Sheet1!$B:$J,9,0)</f>
        <v>0</v>
      </c>
      <c r="S58">
        <f t="shared" si="2"/>
        <v>0</v>
      </c>
    </row>
    <row r="59" spans="1:19" hidden="1">
      <c r="A59" s="294">
        <v>1900</v>
      </c>
      <c r="B59" s="294">
        <v>11130006</v>
      </c>
      <c r="C59" s="293" t="s">
        <v>342</v>
      </c>
      <c r="D59" s="293" t="s">
        <v>465</v>
      </c>
      <c r="E59" s="293" t="s">
        <v>12</v>
      </c>
      <c r="F59" s="323">
        <v>0</v>
      </c>
      <c r="G59" s="323">
        <v>0</v>
      </c>
      <c r="H59" s="323">
        <v>132</v>
      </c>
      <c r="I59" s="323">
        <v>132</v>
      </c>
      <c r="J59" s="323">
        <v>0</v>
      </c>
      <c r="L59" s="324">
        <f>IFERROR(VLOOKUP(C59,'TB_31.03.2026 (Links)'!$D:$H,5,0)-J59,"Error")</f>
        <v>0</v>
      </c>
      <c r="O59">
        <v>0</v>
      </c>
      <c r="P59">
        <f t="shared" si="1"/>
        <v>0</v>
      </c>
      <c r="R59">
        <f>VLOOKUP(B59,[2]Sheet1!$B:$J,9,0)</f>
        <v>0</v>
      </c>
      <c r="S59">
        <f t="shared" si="2"/>
        <v>0</v>
      </c>
    </row>
    <row r="60" spans="1:19" hidden="1">
      <c r="A60" s="294">
        <v>1900</v>
      </c>
      <c r="B60" s="294">
        <v>11130007</v>
      </c>
      <c r="C60" s="293" t="s">
        <v>343</v>
      </c>
      <c r="D60" s="293" t="s">
        <v>465</v>
      </c>
      <c r="E60" s="293" t="s">
        <v>12</v>
      </c>
      <c r="F60" s="323">
        <v>0</v>
      </c>
      <c r="G60" s="323">
        <v>0</v>
      </c>
      <c r="H60" s="323">
        <v>16219898.779999999</v>
      </c>
      <c r="I60" s="323">
        <v>16219898.779999999</v>
      </c>
      <c r="J60" s="323">
        <v>0</v>
      </c>
      <c r="L60" s="324">
        <f>IFERROR(VLOOKUP(C60,'TB_31.03.2026 (Links)'!$D:$H,5,0)-J60,"Error")</f>
        <v>0</v>
      </c>
      <c r="O60">
        <v>0</v>
      </c>
      <c r="P60">
        <f t="shared" si="1"/>
        <v>0</v>
      </c>
      <c r="R60">
        <f>VLOOKUP(B60,[2]Sheet1!$B:$J,9,0)</f>
        <v>0</v>
      </c>
      <c r="S60">
        <f t="shared" si="2"/>
        <v>0</v>
      </c>
    </row>
    <row r="61" spans="1:19" hidden="1">
      <c r="A61" s="294">
        <v>1900</v>
      </c>
      <c r="B61" s="294">
        <v>11130008</v>
      </c>
      <c r="C61" s="293" t="s">
        <v>344</v>
      </c>
      <c r="D61" s="293" t="s">
        <v>465</v>
      </c>
      <c r="E61" s="293" t="s">
        <v>12</v>
      </c>
      <c r="F61" s="323">
        <v>0</v>
      </c>
      <c r="G61" s="323">
        <v>0</v>
      </c>
      <c r="H61" s="323">
        <v>16219898.779999999</v>
      </c>
      <c r="I61" s="323">
        <v>16219898.779999999</v>
      </c>
      <c r="J61" s="323">
        <v>0</v>
      </c>
      <c r="L61" s="324">
        <f>IFERROR(VLOOKUP(C61,'TB_31.03.2026 (Links)'!$D:$H,5,0)-J61,"Error")</f>
        <v>0</v>
      </c>
      <c r="O61">
        <v>0</v>
      </c>
      <c r="P61">
        <f t="shared" si="1"/>
        <v>0</v>
      </c>
      <c r="R61">
        <f>VLOOKUP(B61,[2]Sheet1!$B:$J,9,0)</f>
        <v>0</v>
      </c>
      <c r="S61">
        <f t="shared" si="2"/>
        <v>0</v>
      </c>
    </row>
    <row r="62" spans="1:19" hidden="1">
      <c r="A62" s="294">
        <v>1900</v>
      </c>
      <c r="B62" s="294">
        <v>11130009</v>
      </c>
      <c r="C62" s="293" t="s">
        <v>345</v>
      </c>
      <c r="D62" s="293" t="s">
        <v>465</v>
      </c>
      <c r="E62" s="293" t="s">
        <v>12</v>
      </c>
      <c r="F62" s="323">
        <v>0</v>
      </c>
      <c r="G62" s="323">
        <v>0</v>
      </c>
      <c r="H62" s="323">
        <v>75.09</v>
      </c>
      <c r="I62" s="323">
        <v>75.09</v>
      </c>
      <c r="J62" s="323">
        <v>0</v>
      </c>
      <c r="L62" s="324">
        <f>IFERROR(VLOOKUP(C62,'TB_31.03.2026 (Links)'!$D:$H,5,0)-J62,"Error")</f>
        <v>0</v>
      </c>
      <c r="O62">
        <v>0</v>
      </c>
      <c r="P62">
        <f t="shared" si="1"/>
        <v>0</v>
      </c>
      <c r="R62">
        <f>VLOOKUP(B62,[2]Sheet1!$B:$J,9,0)</f>
        <v>0</v>
      </c>
      <c r="S62">
        <f t="shared" si="2"/>
        <v>0</v>
      </c>
    </row>
    <row r="63" spans="1:19" hidden="1">
      <c r="A63" s="294">
        <v>1900</v>
      </c>
      <c r="B63" s="294">
        <v>11130010</v>
      </c>
      <c r="C63" s="293" t="s">
        <v>346</v>
      </c>
      <c r="D63" s="293" t="s">
        <v>465</v>
      </c>
      <c r="E63" s="293" t="s">
        <v>12</v>
      </c>
      <c r="F63" s="323">
        <v>0</v>
      </c>
      <c r="G63" s="323">
        <v>0</v>
      </c>
      <c r="H63" s="323">
        <v>75.09</v>
      </c>
      <c r="I63" s="323">
        <v>75.09</v>
      </c>
      <c r="J63" s="323">
        <v>0</v>
      </c>
      <c r="L63" s="324">
        <f>IFERROR(VLOOKUP(C63,'TB_31.03.2026 (Links)'!$D:$H,5,0)-J63,"Error")</f>
        <v>0</v>
      </c>
      <c r="O63">
        <v>0</v>
      </c>
      <c r="P63">
        <f t="shared" si="1"/>
        <v>0</v>
      </c>
      <c r="R63">
        <f>VLOOKUP(B63,[2]Sheet1!$B:$J,9,0)</f>
        <v>0</v>
      </c>
      <c r="S63">
        <f t="shared" si="2"/>
        <v>0</v>
      </c>
    </row>
    <row r="64" spans="1:19" hidden="1">
      <c r="A64" s="294">
        <v>1900</v>
      </c>
      <c r="B64" s="294">
        <v>11130014</v>
      </c>
      <c r="C64" s="293" t="s">
        <v>347</v>
      </c>
      <c r="D64" s="293" t="s">
        <v>465</v>
      </c>
      <c r="E64" s="293" t="s">
        <v>12</v>
      </c>
      <c r="F64" s="323">
        <v>0</v>
      </c>
      <c r="G64" s="323">
        <v>0</v>
      </c>
      <c r="H64" s="323">
        <v>64028.52</v>
      </c>
      <c r="I64" s="323">
        <v>64028.52</v>
      </c>
      <c r="J64" s="323">
        <v>0</v>
      </c>
      <c r="L64" s="324">
        <f>IFERROR(VLOOKUP(C64,'TB_31.03.2026 (Links)'!$D:$H,5,0)-J64,"Error")</f>
        <v>0</v>
      </c>
      <c r="O64">
        <v>0</v>
      </c>
      <c r="P64">
        <f t="shared" si="1"/>
        <v>0</v>
      </c>
      <c r="R64">
        <f>VLOOKUP(B64,[2]Sheet1!$B:$J,9,0)</f>
        <v>0</v>
      </c>
      <c r="S64">
        <f t="shared" si="2"/>
        <v>0</v>
      </c>
    </row>
    <row r="65" spans="1:19" hidden="1">
      <c r="A65" s="294">
        <v>1900</v>
      </c>
      <c r="B65" s="294">
        <v>11130201</v>
      </c>
      <c r="C65" s="293" t="s">
        <v>348</v>
      </c>
      <c r="D65" s="293" t="s">
        <v>465</v>
      </c>
      <c r="E65" s="293" t="s">
        <v>12</v>
      </c>
      <c r="F65" s="323">
        <v>0</v>
      </c>
      <c r="G65" s="323">
        <v>0</v>
      </c>
      <c r="H65" s="323">
        <v>78308.460000000006</v>
      </c>
      <c r="I65" s="323">
        <v>78308.460000000006</v>
      </c>
      <c r="J65" s="323">
        <v>0</v>
      </c>
      <c r="L65" s="324">
        <f>IFERROR(VLOOKUP(C65,'TB_31.03.2026 (Links)'!$D:$H,5,0)-J65,"Error")</f>
        <v>0</v>
      </c>
      <c r="O65">
        <v>0</v>
      </c>
      <c r="P65">
        <f t="shared" si="1"/>
        <v>0</v>
      </c>
      <c r="R65">
        <f>VLOOKUP(B65,[2]Sheet1!$B:$J,9,0)</f>
        <v>0</v>
      </c>
      <c r="S65">
        <f t="shared" si="2"/>
        <v>0</v>
      </c>
    </row>
    <row r="66" spans="1:19" hidden="1">
      <c r="A66" s="294">
        <v>1900</v>
      </c>
      <c r="B66" s="294">
        <v>11130202</v>
      </c>
      <c r="C66" s="293" t="s">
        <v>349</v>
      </c>
      <c r="D66" s="293" t="s">
        <v>465</v>
      </c>
      <c r="E66" s="293" t="s">
        <v>12</v>
      </c>
      <c r="F66" s="323">
        <v>0</v>
      </c>
      <c r="G66" s="323">
        <v>0</v>
      </c>
      <c r="H66" s="323">
        <v>78308.460000000006</v>
      </c>
      <c r="I66" s="323">
        <v>78308.460000000006</v>
      </c>
      <c r="J66" s="323">
        <v>0</v>
      </c>
      <c r="L66" s="324">
        <f>IFERROR(VLOOKUP(C66,'TB_31.03.2026 (Links)'!$D:$H,5,0)-J66,"Error")</f>
        <v>0</v>
      </c>
      <c r="O66">
        <v>0</v>
      </c>
      <c r="P66">
        <f t="shared" si="1"/>
        <v>0</v>
      </c>
      <c r="R66">
        <f>VLOOKUP(B66,[2]Sheet1!$B:$J,9,0)</f>
        <v>0</v>
      </c>
      <c r="S66">
        <f t="shared" si="2"/>
        <v>0</v>
      </c>
    </row>
    <row r="67" spans="1:19" hidden="1">
      <c r="A67" s="294">
        <v>1900</v>
      </c>
      <c r="B67" s="294">
        <v>11140001</v>
      </c>
      <c r="C67" s="293" t="s">
        <v>448</v>
      </c>
      <c r="D67" s="293" t="s">
        <v>465</v>
      </c>
      <c r="E67" s="293" t="s">
        <v>12</v>
      </c>
      <c r="F67" s="323">
        <v>0</v>
      </c>
      <c r="G67" s="323">
        <v>0</v>
      </c>
      <c r="H67" s="323">
        <v>391553</v>
      </c>
      <c r="I67" s="323">
        <v>0</v>
      </c>
      <c r="J67" s="323">
        <v>391553</v>
      </c>
      <c r="L67" s="324">
        <f>IFERROR(VLOOKUP(C67,'TB_31.03.2026 (Links)'!$D:$H,5,0)-J67,"Error")</f>
        <v>0</v>
      </c>
      <c r="O67">
        <v>391553</v>
      </c>
      <c r="P67">
        <f t="shared" si="1"/>
        <v>0</v>
      </c>
      <c r="R67">
        <f>VLOOKUP(B67,[2]Sheet1!$B:$J,9,0)</f>
        <v>391553</v>
      </c>
      <c r="S67">
        <f t="shared" si="2"/>
        <v>0</v>
      </c>
    </row>
    <row r="68" spans="1:19">
      <c r="A68" s="294">
        <v>1900</v>
      </c>
      <c r="B68" s="294">
        <v>11140150</v>
      </c>
      <c r="C68" s="293" t="s">
        <v>350</v>
      </c>
      <c r="D68" s="293" t="s">
        <v>465</v>
      </c>
      <c r="E68" s="293" t="s">
        <v>12</v>
      </c>
      <c r="F68" s="323">
        <v>-911972112.13</v>
      </c>
      <c r="G68" s="323">
        <v>0</v>
      </c>
      <c r="H68" s="323">
        <f>562956890+6566277</f>
        <v>569523167</v>
      </c>
      <c r="I68" s="323">
        <f>24172096.66+2000+15120</f>
        <v>24189216.66</v>
      </c>
      <c r="J68" s="323">
        <f>+F68+H68-I68</f>
        <v>-366638161.79000002</v>
      </c>
      <c r="L68" s="324">
        <f>IFERROR(VLOOKUP(C68,'TB_31.03.2026 (Links)'!$D:$H,5,0)-J68,"Error")</f>
        <v>0</v>
      </c>
      <c r="O68">
        <v>-373187318.79000002</v>
      </c>
      <c r="P68">
        <f t="shared" si="1"/>
        <v>6549157</v>
      </c>
      <c r="R68" s="647">
        <f>VLOOKUP(B68,[2]Sheet1!$B:$J,9,0)</f>
        <v>-373187318.79000002</v>
      </c>
      <c r="S68">
        <f t="shared" si="2"/>
        <v>6549157</v>
      </c>
    </row>
    <row r="69" spans="1:19" hidden="1">
      <c r="A69" s="294">
        <v>1900</v>
      </c>
      <c r="B69" s="294">
        <v>11140151</v>
      </c>
      <c r="C69" s="293" t="s">
        <v>417</v>
      </c>
      <c r="D69" s="293" t="s">
        <v>465</v>
      </c>
      <c r="E69" s="293" t="s">
        <v>12</v>
      </c>
      <c r="F69" s="323">
        <v>7256064</v>
      </c>
      <c r="G69" s="323">
        <v>0</v>
      </c>
      <c r="H69" s="323">
        <v>0</v>
      </c>
      <c r="I69" s="323">
        <v>0</v>
      </c>
      <c r="J69" s="323">
        <v>7256064</v>
      </c>
      <c r="L69" s="324">
        <f>IFERROR(VLOOKUP(C69,'TB_31.03.2026 (Links)'!$D:$H,5,0)-J69,"Error")</f>
        <v>0</v>
      </c>
      <c r="O69">
        <v>7256064</v>
      </c>
      <c r="P69">
        <f t="shared" si="1"/>
        <v>0</v>
      </c>
      <c r="R69">
        <f>VLOOKUP(B69,[2]Sheet1!$B:$J,9,0)</f>
        <v>7256064</v>
      </c>
      <c r="S69">
        <f t="shared" si="2"/>
        <v>0</v>
      </c>
    </row>
    <row r="70" spans="1:19" hidden="1">
      <c r="A70" s="294">
        <v>1900</v>
      </c>
      <c r="B70" s="294">
        <v>11140201</v>
      </c>
      <c r="C70" s="293" t="s">
        <v>351</v>
      </c>
      <c r="D70" s="293" t="s">
        <v>465</v>
      </c>
      <c r="E70" s="293" t="s">
        <v>12</v>
      </c>
      <c r="F70" s="323">
        <v>0</v>
      </c>
      <c r="G70" s="323">
        <v>0</v>
      </c>
      <c r="H70" s="323">
        <v>1178428.8</v>
      </c>
      <c r="I70" s="323">
        <v>1178428.52</v>
      </c>
      <c r="J70" s="323">
        <v>0.28000000000000003</v>
      </c>
      <c r="L70" s="324">
        <f>IFERROR(VLOOKUP(C70,'TB_31.03.2026 (Links)'!$D:$H,5,0)-J70,"Error")</f>
        <v>0</v>
      </c>
      <c r="O70">
        <v>0.28000000000000003</v>
      </c>
      <c r="P70">
        <f t="shared" si="1"/>
        <v>0</v>
      </c>
      <c r="R70">
        <f>VLOOKUP(B70,[2]Sheet1!$B:$J,9,0)</f>
        <v>0.28000000000000003</v>
      </c>
      <c r="S70">
        <f t="shared" si="2"/>
        <v>0</v>
      </c>
    </row>
    <row r="71" spans="1:19" hidden="1">
      <c r="A71" s="294">
        <v>1900</v>
      </c>
      <c r="B71" s="294">
        <v>11150011</v>
      </c>
      <c r="C71" s="293" t="s">
        <v>352</v>
      </c>
      <c r="D71" s="293" t="s">
        <v>465</v>
      </c>
      <c r="E71" s="293" t="s">
        <v>12</v>
      </c>
      <c r="F71" s="323">
        <v>3585.99</v>
      </c>
      <c r="G71" s="323">
        <v>0</v>
      </c>
      <c r="H71" s="323">
        <v>1910</v>
      </c>
      <c r="I71" s="323">
        <v>0</v>
      </c>
      <c r="J71" s="323">
        <v>5495.99</v>
      </c>
      <c r="L71" s="324">
        <f>IFERROR(VLOOKUP(C71,'TB_31.03.2026 (Links)'!$D:$H,5,0)-J71,"Error")</f>
        <v>0</v>
      </c>
      <c r="O71">
        <v>5495.99</v>
      </c>
      <c r="P71">
        <f t="shared" ref="P71:P134" si="3">+J71-O71</f>
        <v>0</v>
      </c>
      <c r="R71">
        <f>VLOOKUP(B71,[2]Sheet1!$B:$J,9,0)</f>
        <v>5495.99</v>
      </c>
      <c r="S71">
        <f t="shared" ref="S71:S134" si="4">J71-R71</f>
        <v>0</v>
      </c>
    </row>
    <row r="72" spans="1:19" hidden="1">
      <c r="A72" s="294">
        <v>1900</v>
      </c>
      <c r="B72" s="294">
        <v>20000202</v>
      </c>
      <c r="C72" s="293" t="s">
        <v>416</v>
      </c>
      <c r="D72" s="293" t="s">
        <v>465</v>
      </c>
      <c r="E72" s="293" t="s">
        <v>12</v>
      </c>
      <c r="F72" s="323">
        <v>0</v>
      </c>
      <c r="G72" s="323">
        <v>0</v>
      </c>
      <c r="H72" s="323">
        <v>30000000</v>
      </c>
      <c r="I72" s="323">
        <v>30000000</v>
      </c>
      <c r="J72" s="323">
        <v>0</v>
      </c>
      <c r="L72" s="324">
        <f>IFERROR(VLOOKUP(C72,'TB_31.03.2026 (Links)'!$D:$H,5,0)-J72,"Error")</f>
        <v>0</v>
      </c>
      <c r="O72">
        <v>0</v>
      </c>
      <c r="P72">
        <f t="shared" si="3"/>
        <v>0</v>
      </c>
      <c r="R72">
        <f>VLOOKUP(B72,[2]Sheet1!$B:$J,9,0)</f>
        <v>0</v>
      </c>
      <c r="S72">
        <f t="shared" si="4"/>
        <v>0</v>
      </c>
    </row>
    <row r="73" spans="1:19" hidden="1">
      <c r="A73" s="294">
        <v>1900</v>
      </c>
      <c r="B73" s="294">
        <v>20000203</v>
      </c>
      <c r="C73" s="293" t="s">
        <v>450</v>
      </c>
      <c r="D73" s="293" t="s">
        <v>465</v>
      </c>
      <c r="E73" s="293" t="s">
        <v>12</v>
      </c>
      <c r="F73" s="323">
        <v>0</v>
      </c>
      <c r="G73" s="323">
        <v>0</v>
      </c>
      <c r="H73" s="323">
        <v>8000000</v>
      </c>
      <c r="I73" s="323">
        <v>8000000</v>
      </c>
      <c r="J73" s="323">
        <v>0</v>
      </c>
      <c r="L73" s="324">
        <f>IFERROR(VLOOKUP(C73,'TB_31.03.2026 (Links)'!$D:$H,5,0)-J73,"Error")</f>
        <v>0</v>
      </c>
      <c r="O73">
        <v>0</v>
      </c>
      <c r="P73">
        <f t="shared" si="3"/>
        <v>0</v>
      </c>
      <c r="R73">
        <f>VLOOKUP(B73,[2]Sheet1!$B:$J,9,0)</f>
        <v>0</v>
      </c>
      <c r="S73">
        <f t="shared" si="4"/>
        <v>0</v>
      </c>
    </row>
    <row r="74" spans="1:19" hidden="1">
      <c r="A74" s="294">
        <v>1900</v>
      </c>
      <c r="B74" s="294">
        <v>20000308</v>
      </c>
      <c r="C74" s="293" t="s">
        <v>415</v>
      </c>
      <c r="D74" s="293" t="s">
        <v>465</v>
      </c>
      <c r="E74" s="293" t="s">
        <v>12</v>
      </c>
      <c r="F74" s="323">
        <v>-13852958</v>
      </c>
      <c r="G74" s="323">
        <v>0</v>
      </c>
      <c r="H74" s="323">
        <v>0</v>
      </c>
      <c r="I74" s="323">
        <v>0</v>
      </c>
      <c r="J74" s="323">
        <v>-13852958</v>
      </c>
      <c r="L74" s="324">
        <f>IFERROR(VLOOKUP(C74,'TB_31.03.2026 (Links)'!$D:$H,5,0)-J74,"Error")</f>
        <v>0</v>
      </c>
      <c r="O74">
        <v>-13852958</v>
      </c>
      <c r="P74">
        <f t="shared" si="3"/>
        <v>0</v>
      </c>
      <c r="R74">
        <f>VLOOKUP(B74,[2]Sheet1!$B:$J,9,0)</f>
        <v>-13852958</v>
      </c>
      <c r="S74">
        <f t="shared" si="4"/>
        <v>0</v>
      </c>
    </row>
    <row r="75" spans="1:19" hidden="1">
      <c r="A75" s="294">
        <v>1900</v>
      </c>
      <c r="B75" s="294">
        <v>20000350</v>
      </c>
      <c r="C75" s="293" t="s">
        <v>284</v>
      </c>
      <c r="D75" s="293" t="s">
        <v>465</v>
      </c>
      <c r="E75" s="293" t="s">
        <v>12</v>
      </c>
      <c r="F75" s="323">
        <v>-100000</v>
      </c>
      <c r="G75" s="323">
        <v>0</v>
      </c>
      <c r="H75" s="323">
        <v>0</v>
      </c>
      <c r="I75" s="323">
        <v>0</v>
      </c>
      <c r="J75" s="323">
        <v>-100000</v>
      </c>
      <c r="L75" s="324">
        <f>IFERROR(VLOOKUP(C75,'TB_31.03.2026 (Links)'!$D:$H,5,0)-J75,"Error")</f>
        <v>0</v>
      </c>
      <c r="O75">
        <v>-100000</v>
      </c>
      <c r="P75">
        <f t="shared" si="3"/>
        <v>0</v>
      </c>
      <c r="R75">
        <f>VLOOKUP(B75,[2]Sheet1!$B:$J,9,0)</f>
        <v>-100000</v>
      </c>
      <c r="S75">
        <f t="shared" si="4"/>
        <v>0</v>
      </c>
    </row>
    <row r="76" spans="1:19" hidden="1">
      <c r="A76" s="294">
        <v>1900</v>
      </c>
      <c r="B76" s="294">
        <v>20100001</v>
      </c>
      <c r="C76" s="293" t="s">
        <v>414</v>
      </c>
      <c r="D76" s="293" t="s">
        <v>465</v>
      </c>
      <c r="E76" s="293" t="s">
        <v>12</v>
      </c>
      <c r="F76" s="323">
        <v>111152.72</v>
      </c>
      <c r="G76" s="323">
        <v>0</v>
      </c>
      <c r="H76" s="323">
        <v>0</v>
      </c>
      <c r="I76" s="323">
        <v>0</v>
      </c>
      <c r="J76" s="323">
        <v>111152.72</v>
      </c>
      <c r="L76" s="324">
        <f>IFERROR(VLOOKUP(C76,'TB_31.03.2026 (Links)'!$D:$H,5,0)-J76,"Error")</f>
        <v>0</v>
      </c>
      <c r="O76">
        <v>111152.72</v>
      </c>
      <c r="P76">
        <f t="shared" si="3"/>
        <v>0</v>
      </c>
      <c r="R76">
        <f>VLOOKUP(B76,[2]Sheet1!$B:$J,9,0)</f>
        <v>111152.72</v>
      </c>
      <c r="S76">
        <f t="shared" si="4"/>
        <v>0</v>
      </c>
    </row>
    <row r="77" spans="1:19" hidden="1">
      <c r="A77" s="294">
        <v>1900</v>
      </c>
      <c r="B77" s="294">
        <v>20100003</v>
      </c>
      <c r="C77" s="293" t="s">
        <v>353</v>
      </c>
      <c r="D77" s="293" t="s">
        <v>465</v>
      </c>
      <c r="E77" s="293" t="s">
        <v>12</v>
      </c>
      <c r="F77" s="323">
        <v>2890.55</v>
      </c>
      <c r="G77" s="323">
        <v>0</v>
      </c>
      <c r="H77" s="323">
        <v>0</v>
      </c>
      <c r="I77" s="323">
        <v>0</v>
      </c>
      <c r="J77" s="323">
        <v>2890.55</v>
      </c>
      <c r="L77" s="324">
        <f>IFERROR(VLOOKUP(C77,'TB_31.03.2026 (Links)'!$D:$H,5,0)-J77,"Error")</f>
        <v>0</v>
      </c>
      <c r="O77">
        <v>2890.55</v>
      </c>
      <c r="P77">
        <f t="shared" si="3"/>
        <v>0</v>
      </c>
      <c r="R77">
        <f>VLOOKUP(B77,[2]Sheet1!$B:$J,9,0)</f>
        <v>2890.55</v>
      </c>
      <c r="S77">
        <f t="shared" si="4"/>
        <v>0</v>
      </c>
    </row>
    <row r="78" spans="1:19" hidden="1">
      <c r="A78" s="294">
        <v>1900</v>
      </c>
      <c r="B78" s="294">
        <v>20100101</v>
      </c>
      <c r="C78" s="293" t="s">
        <v>354</v>
      </c>
      <c r="D78" s="293" t="s">
        <v>465</v>
      </c>
      <c r="E78" s="293" t="s">
        <v>12</v>
      </c>
      <c r="F78" s="323">
        <v>0</v>
      </c>
      <c r="G78" s="323">
        <v>0</v>
      </c>
      <c r="H78" s="323">
        <v>1198477335.76</v>
      </c>
      <c r="I78" s="323">
        <v>1198477335.76</v>
      </c>
      <c r="J78" s="323">
        <v>0</v>
      </c>
      <c r="L78" s="324">
        <f>IFERROR(VLOOKUP(C78,'TB_31.03.2026 (Links)'!$D:$H,5,0)-J78,"Error")</f>
        <v>0</v>
      </c>
      <c r="O78">
        <v>0</v>
      </c>
      <c r="P78">
        <f t="shared" si="3"/>
        <v>0</v>
      </c>
      <c r="R78">
        <f>VLOOKUP(B78,[2]Sheet1!$B:$J,9,0)</f>
        <v>0</v>
      </c>
      <c r="S78">
        <f t="shared" si="4"/>
        <v>0</v>
      </c>
    </row>
    <row r="79" spans="1:19" hidden="1">
      <c r="A79" s="294">
        <v>1900</v>
      </c>
      <c r="B79" s="294">
        <v>20200001</v>
      </c>
      <c r="C79" s="293" t="s">
        <v>355</v>
      </c>
      <c r="D79" s="293" t="s">
        <v>465</v>
      </c>
      <c r="E79" s="293" t="s">
        <v>12</v>
      </c>
      <c r="F79" s="323">
        <v>-29758000</v>
      </c>
      <c r="G79" s="323">
        <v>0</v>
      </c>
      <c r="H79" s="323">
        <v>40000000</v>
      </c>
      <c r="I79" s="323">
        <v>131600000</v>
      </c>
      <c r="J79" s="323">
        <v>-121358000</v>
      </c>
      <c r="L79" s="324">
        <f>IFERROR(VLOOKUP(C79,'TB_31.03.2026 (Links)'!$D:$H,5,0)-J79,"Error")</f>
        <v>0</v>
      </c>
      <c r="O79">
        <v>-121358000</v>
      </c>
      <c r="P79">
        <f t="shared" si="3"/>
        <v>0</v>
      </c>
      <c r="R79">
        <f>VLOOKUP(B79,[2]Sheet1!$B:$J,9,0)</f>
        <v>-121358000</v>
      </c>
      <c r="S79">
        <f t="shared" si="4"/>
        <v>0</v>
      </c>
    </row>
    <row r="80" spans="1:19" hidden="1">
      <c r="A80" s="294">
        <v>1900</v>
      </c>
      <c r="B80" s="294">
        <v>20200002</v>
      </c>
      <c r="C80" s="293" t="s">
        <v>356</v>
      </c>
      <c r="D80" s="293" t="s">
        <v>465</v>
      </c>
      <c r="E80" s="293" t="s">
        <v>12</v>
      </c>
      <c r="F80" s="323">
        <v>-172634520</v>
      </c>
      <c r="G80" s="323">
        <v>0</v>
      </c>
      <c r="H80" s="323">
        <v>307500000</v>
      </c>
      <c r="I80" s="323">
        <v>340500000</v>
      </c>
      <c r="J80" s="323">
        <v>-205634520</v>
      </c>
      <c r="L80" s="324">
        <f>IFERROR(VLOOKUP(C80,'TB_31.03.2026 (Links)'!$D:$H,5,0)-J80,"Error")</f>
        <v>0</v>
      </c>
      <c r="O80">
        <v>-205634520</v>
      </c>
      <c r="P80">
        <f t="shared" si="3"/>
        <v>0</v>
      </c>
      <c r="R80">
        <f>VLOOKUP(B80,[2]Sheet1!$B:$J,9,0)</f>
        <v>-205634520</v>
      </c>
      <c r="S80">
        <f t="shared" si="4"/>
        <v>0</v>
      </c>
    </row>
    <row r="81" spans="1:19" hidden="1">
      <c r="A81" s="294">
        <v>1900</v>
      </c>
      <c r="B81" s="294">
        <v>20200003</v>
      </c>
      <c r="C81" s="293" t="s">
        <v>357</v>
      </c>
      <c r="D81" s="293" t="s">
        <v>465</v>
      </c>
      <c r="E81" s="293" t="s">
        <v>12</v>
      </c>
      <c r="F81" s="323">
        <v>218300000</v>
      </c>
      <c r="G81" s="323">
        <v>0</v>
      </c>
      <c r="H81" s="323">
        <v>126600000</v>
      </c>
      <c r="I81" s="323">
        <v>394281956</v>
      </c>
      <c r="J81" s="323">
        <v>-49381956</v>
      </c>
      <c r="L81" s="324">
        <f>IFERROR(VLOOKUP(C81,'TB_31.03.2026 (Links)'!$D:$H,5,0)-J81,"Error")</f>
        <v>0</v>
      </c>
      <c r="O81">
        <v>-49381956</v>
      </c>
      <c r="P81">
        <f t="shared" si="3"/>
        <v>0</v>
      </c>
      <c r="R81">
        <f>VLOOKUP(B81,[2]Sheet1!$B:$J,9,0)</f>
        <v>-49381956</v>
      </c>
      <c r="S81">
        <f t="shared" si="4"/>
        <v>0</v>
      </c>
    </row>
    <row r="82" spans="1:19" hidden="1">
      <c r="A82" s="294">
        <v>1900</v>
      </c>
      <c r="B82" s="294">
        <v>20201009</v>
      </c>
      <c r="C82" s="293" t="s">
        <v>413</v>
      </c>
      <c r="D82" s="293" t="s">
        <v>465</v>
      </c>
      <c r="E82" s="293" t="s">
        <v>12</v>
      </c>
      <c r="F82" s="323">
        <v>0</v>
      </c>
      <c r="G82" s="323">
        <v>0</v>
      </c>
      <c r="H82" s="323">
        <v>410148174.37</v>
      </c>
      <c r="I82" s="323">
        <v>797031674.89999998</v>
      </c>
      <c r="J82" s="323">
        <v>-386883500.52999997</v>
      </c>
      <c r="L82" s="324">
        <f>IFERROR(VLOOKUP(C82,'TB_31.03.2026 (Links)'!$D:$H,5,0)-J82,"Error")</f>
        <v>0</v>
      </c>
      <c r="O82">
        <v>-386883500.52999997</v>
      </c>
      <c r="P82">
        <f t="shared" si="3"/>
        <v>0</v>
      </c>
      <c r="R82">
        <f>VLOOKUP(B82,[2]Sheet1!$B:$J,9,0)</f>
        <v>-386883500.52999997</v>
      </c>
      <c r="S82">
        <f t="shared" si="4"/>
        <v>0</v>
      </c>
    </row>
    <row r="83" spans="1:19" hidden="1">
      <c r="A83" s="294">
        <v>1900</v>
      </c>
      <c r="B83" s="294">
        <v>20201010</v>
      </c>
      <c r="C83" s="293" t="s">
        <v>412</v>
      </c>
      <c r="D83" s="293" t="s">
        <v>465</v>
      </c>
      <c r="E83" s="293" t="s">
        <v>12</v>
      </c>
      <c r="F83" s="323">
        <v>0</v>
      </c>
      <c r="G83" s="323">
        <v>0</v>
      </c>
      <c r="H83" s="323">
        <v>2511131</v>
      </c>
      <c r="I83" s="323">
        <v>2511131</v>
      </c>
      <c r="J83" s="323">
        <v>0</v>
      </c>
      <c r="L83" s="324">
        <f>IFERROR(VLOOKUP(C83,'TB_31.03.2026 (Links)'!$D:$H,5,0)-J83,"Error")</f>
        <v>0</v>
      </c>
      <c r="O83">
        <v>0</v>
      </c>
      <c r="P83">
        <f t="shared" si="3"/>
        <v>0</v>
      </c>
      <c r="R83">
        <f>VLOOKUP(B83,[2]Sheet1!$B:$J,9,0)</f>
        <v>0</v>
      </c>
      <c r="S83">
        <f t="shared" si="4"/>
        <v>0</v>
      </c>
    </row>
    <row r="84" spans="1:19" hidden="1">
      <c r="A84" s="294">
        <v>1900</v>
      </c>
      <c r="B84" s="294">
        <v>20411001</v>
      </c>
      <c r="C84" s="293" t="s">
        <v>136</v>
      </c>
      <c r="D84" s="293" t="s">
        <v>465</v>
      </c>
      <c r="E84" s="293" t="s">
        <v>12</v>
      </c>
      <c r="F84" s="323">
        <v>-1214</v>
      </c>
      <c r="G84" s="323">
        <v>0</v>
      </c>
      <c r="H84" s="323">
        <v>1214</v>
      </c>
      <c r="I84" s="323">
        <v>0</v>
      </c>
      <c r="J84" s="323">
        <v>0</v>
      </c>
      <c r="L84" s="324">
        <f>IFERROR(VLOOKUP(C84,'TB_31.03.2026 (Links)'!$D:$H,5,0)-J84,"Error")</f>
        <v>0</v>
      </c>
      <c r="O84">
        <v>0</v>
      </c>
      <c r="P84">
        <f t="shared" si="3"/>
        <v>0</v>
      </c>
      <c r="R84">
        <f>VLOOKUP(B84,[2]Sheet1!$B:$J,9,0)</f>
        <v>0</v>
      </c>
      <c r="S84">
        <f t="shared" si="4"/>
        <v>0</v>
      </c>
    </row>
    <row r="85" spans="1:19" hidden="1">
      <c r="A85" s="294">
        <v>1900</v>
      </c>
      <c r="B85" s="294">
        <v>20411002</v>
      </c>
      <c r="C85" s="293" t="s">
        <v>137</v>
      </c>
      <c r="D85" s="293" t="s">
        <v>465</v>
      </c>
      <c r="E85" s="293" t="s">
        <v>12</v>
      </c>
      <c r="F85" s="323">
        <v>-1214</v>
      </c>
      <c r="G85" s="323">
        <v>0</v>
      </c>
      <c r="H85" s="323">
        <v>1214</v>
      </c>
      <c r="I85" s="323">
        <v>0</v>
      </c>
      <c r="J85" s="323">
        <v>0</v>
      </c>
      <c r="L85" s="324">
        <f>IFERROR(VLOOKUP(C85,'TB_31.03.2026 (Links)'!$D:$H,5,0)-J85,"Error")</f>
        <v>0</v>
      </c>
      <c r="O85">
        <v>0</v>
      </c>
      <c r="P85">
        <f t="shared" si="3"/>
        <v>0</v>
      </c>
      <c r="R85">
        <f>VLOOKUP(B85,[2]Sheet1!$B:$J,9,0)</f>
        <v>0</v>
      </c>
      <c r="S85">
        <f t="shared" si="4"/>
        <v>0</v>
      </c>
    </row>
    <row r="86" spans="1:19" hidden="1">
      <c r="A86" s="294">
        <v>1900</v>
      </c>
      <c r="B86" s="294">
        <v>20412001</v>
      </c>
      <c r="C86" s="293" t="s">
        <v>411</v>
      </c>
      <c r="D86" s="293" t="s">
        <v>465</v>
      </c>
      <c r="E86" s="293" t="s">
        <v>12</v>
      </c>
      <c r="F86" s="323">
        <v>0</v>
      </c>
      <c r="G86" s="323">
        <v>0</v>
      </c>
      <c r="H86" s="323">
        <v>266647</v>
      </c>
      <c r="I86" s="323">
        <v>266647</v>
      </c>
      <c r="J86" s="323">
        <v>0</v>
      </c>
      <c r="L86" s="324">
        <f>IFERROR(VLOOKUP(C86,'TB_31.03.2026 (Links)'!$D:$H,5,0)-J86,"Error")</f>
        <v>0</v>
      </c>
      <c r="O86">
        <v>0</v>
      </c>
      <c r="P86">
        <f t="shared" si="3"/>
        <v>0</v>
      </c>
      <c r="R86">
        <f>VLOOKUP(B86,[2]Sheet1!$B:$J,9,0)</f>
        <v>0</v>
      </c>
      <c r="S86">
        <f t="shared" si="4"/>
        <v>0</v>
      </c>
    </row>
    <row r="87" spans="1:19" hidden="1">
      <c r="A87" s="294">
        <v>1900</v>
      </c>
      <c r="B87" s="294">
        <v>20412002</v>
      </c>
      <c r="C87" s="293" t="s">
        <v>451</v>
      </c>
      <c r="D87" s="293" t="s">
        <v>465</v>
      </c>
      <c r="E87" s="293" t="s">
        <v>12</v>
      </c>
      <c r="F87" s="323">
        <v>0</v>
      </c>
      <c r="G87" s="323">
        <v>0</v>
      </c>
      <c r="H87" s="323">
        <v>180481</v>
      </c>
      <c r="I87" s="323">
        <v>180481</v>
      </c>
      <c r="J87" s="323">
        <v>0</v>
      </c>
      <c r="L87" s="324">
        <f>IFERROR(VLOOKUP(C87,'TB_31.03.2026 (Links)'!$D:$H,5,0)-J87,"Error")</f>
        <v>0</v>
      </c>
      <c r="O87">
        <v>0</v>
      </c>
      <c r="P87">
        <f t="shared" si="3"/>
        <v>0</v>
      </c>
      <c r="R87">
        <f>VLOOKUP(B87,[2]Sheet1!$B:$J,9,0)</f>
        <v>0</v>
      </c>
      <c r="S87">
        <f t="shared" si="4"/>
        <v>0</v>
      </c>
    </row>
    <row r="88" spans="1:19">
      <c r="A88" s="294">
        <v>1900</v>
      </c>
      <c r="B88" s="294">
        <v>20412003</v>
      </c>
      <c r="C88" s="293" t="s">
        <v>138</v>
      </c>
      <c r="D88" s="293" t="s">
        <v>465</v>
      </c>
      <c r="E88" s="293" t="s">
        <v>12</v>
      </c>
      <c r="F88" s="323">
        <v>-262826.34999999998</v>
      </c>
      <c r="G88" s="323">
        <v>0</v>
      </c>
      <c r="H88" s="323">
        <v>10710486.539999999</v>
      </c>
      <c r="I88" s="323">
        <v>10447660.189999999</v>
      </c>
      <c r="J88" s="323">
        <v>0</v>
      </c>
      <c r="L88" s="324">
        <f>IFERROR(VLOOKUP(C88,'TB_31.03.2026 (Links)'!$D:$H,5,0)-J88,"Error")</f>
        <v>0</v>
      </c>
      <c r="O88">
        <v>0</v>
      </c>
      <c r="P88">
        <f t="shared" si="3"/>
        <v>0</v>
      </c>
      <c r="R88">
        <f>VLOOKUP(B88,[2]Sheet1!$B:$J,9,0)</f>
        <v>97566.45</v>
      </c>
      <c r="S88">
        <f t="shared" si="4"/>
        <v>-97566.45</v>
      </c>
    </row>
    <row r="89" spans="1:19">
      <c r="A89" s="294">
        <v>1900</v>
      </c>
      <c r="B89" s="294">
        <v>20412004</v>
      </c>
      <c r="C89" s="293" t="s">
        <v>139</v>
      </c>
      <c r="D89" s="293" t="s">
        <v>465</v>
      </c>
      <c r="E89" s="293" t="s">
        <v>12</v>
      </c>
      <c r="F89" s="323">
        <v>-234180.38</v>
      </c>
      <c r="G89" s="323">
        <v>0</v>
      </c>
      <c r="H89" s="323">
        <v>10681840.57</v>
      </c>
      <c r="I89" s="323">
        <v>10447660.189999999</v>
      </c>
      <c r="J89" s="323">
        <v>0</v>
      </c>
      <c r="L89" s="324">
        <f>IFERROR(VLOOKUP(C89,'TB_31.03.2026 (Links)'!$D:$H,5,0)-J89,"Error")</f>
        <v>0</v>
      </c>
      <c r="O89">
        <v>0</v>
      </c>
      <c r="P89">
        <f t="shared" si="3"/>
        <v>0</v>
      </c>
      <c r="R89">
        <f>VLOOKUP(B89,[2]Sheet1!$B:$J,9,0)</f>
        <v>97566.45</v>
      </c>
      <c r="S89">
        <f t="shared" si="4"/>
        <v>-97566.45</v>
      </c>
    </row>
    <row r="90" spans="1:19" hidden="1">
      <c r="A90" s="294">
        <v>1900</v>
      </c>
      <c r="B90" s="294">
        <v>20412007</v>
      </c>
      <c r="C90" s="293" t="s">
        <v>140</v>
      </c>
      <c r="D90" s="293" t="s">
        <v>465</v>
      </c>
      <c r="E90" s="293" t="s">
        <v>12</v>
      </c>
      <c r="F90" s="323">
        <v>-48112.32</v>
      </c>
      <c r="G90" s="323">
        <v>0</v>
      </c>
      <c r="H90" s="323">
        <v>93653.41</v>
      </c>
      <c r="I90" s="323">
        <v>45541.55</v>
      </c>
      <c r="J90" s="323">
        <v>-0.46</v>
      </c>
      <c r="L90" s="324">
        <f>IFERROR(VLOOKUP(C90,'TB_31.03.2026 (Links)'!$D:$H,5,0)-J90,"Error")</f>
        <v>0</v>
      </c>
      <c r="O90">
        <v>-0.46</v>
      </c>
      <c r="P90">
        <f t="shared" si="3"/>
        <v>0</v>
      </c>
      <c r="R90">
        <f>VLOOKUP(B90,[2]Sheet1!$B:$J,9,0)</f>
        <v>-0.46</v>
      </c>
      <c r="S90">
        <f t="shared" si="4"/>
        <v>0</v>
      </c>
    </row>
    <row r="91" spans="1:19" hidden="1">
      <c r="A91" s="294">
        <v>1900</v>
      </c>
      <c r="B91" s="294">
        <v>20412008</v>
      </c>
      <c r="C91" s="293" t="s">
        <v>141</v>
      </c>
      <c r="D91" s="293" t="s">
        <v>465</v>
      </c>
      <c r="E91" s="293" t="s">
        <v>12</v>
      </c>
      <c r="F91" s="323">
        <v>-48112.32</v>
      </c>
      <c r="G91" s="323">
        <v>0</v>
      </c>
      <c r="H91" s="323">
        <v>93653.41</v>
      </c>
      <c r="I91" s="323">
        <v>45541.55</v>
      </c>
      <c r="J91" s="323">
        <v>-0.46</v>
      </c>
      <c r="L91" s="324">
        <f>IFERROR(VLOOKUP(C91,'TB_31.03.2026 (Links)'!$D:$H,5,0)-J91,"Error")</f>
        <v>0</v>
      </c>
      <c r="O91">
        <v>-0.46</v>
      </c>
      <c r="P91">
        <f t="shared" si="3"/>
        <v>0</v>
      </c>
      <c r="R91">
        <f>VLOOKUP(B91,[2]Sheet1!$B:$J,9,0)</f>
        <v>-0.46</v>
      </c>
      <c r="S91">
        <f t="shared" si="4"/>
        <v>0</v>
      </c>
    </row>
    <row r="92" spans="1:19" hidden="1">
      <c r="A92" s="294">
        <v>1900</v>
      </c>
      <c r="B92" s="294">
        <v>20412101</v>
      </c>
      <c r="C92" s="293" t="s">
        <v>142</v>
      </c>
      <c r="D92" s="293" t="s">
        <v>465</v>
      </c>
      <c r="E92" s="293" t="s">
        <v>12</v>
      </c>
      <c r="F92" s="323">
        <v>-43663.32</v>
      </c>
      <c r="G92" s="323">
        <v>0</v>
      </c>
      <c r="H92" s="323">
        <v>147837</v>
      </c>
      <c r="I92" s="323">
        <v>113166.46</v>
      </c>
      <c r="J92" s="323">
        <v>-8992.7800000000007</v>
      </c>
      <c r="L92" s="324">
        <f>IFERROR(VLOOKUP(C92,'TB_31.03.2026 (Links)'!$D:$H,5,0)-J92,"Error")</f>
        <v>0</v>
      </c>
      <c r="O92">
        <v>-8992.7800000000007</v>
      </c>
      <c r="P92">
        <f t="shared" si="3"/>
        <v>0</v>
      </c>
      <c r="R92">
        <f>VLOOKUP(B92,[2]Sheet1!$B:$J,9,0)</f>
        <v>-8992.7800000000007</v>
      </c>
      <c r="S92">
        <f t="shared" si="4"/>
        <v>0</v>
      </c>
    </row>
    <row r="93" spans="1:19" hidden="1">
      <c r="A93" s="294">
        <v>1900</v>
      </c>
      <c r="B93" s="294">
        <v>20412102</v>
      </c>
      <c r="C93" s="293" t="s">
        <v>143</v>
      </c>
      <c r="D93" s="293" t="s">
        <v>465</v>
      </c>
      <c r="E93" s="293" t="s">
        <v>12</v>
      </c>
      <c r="F93" s="323">
        <v>-43663.32</v>
      </c>
      <c r="G93" s="323">
        <v>0</v>
      </c>
      <c r="H93" s="323">
        <v>147837</v>
      </c>
      <c r="I93" s="323">
        <v>113166.46</v>
      </c>
      <c r="J93" s="323">
        <v>-8992.7800000000007</v>
      </c>
      <c r="L93" s="324">
        <f>IFERROR(VLOOKUP(C93,'TB_31.03.2026 (Links)'!$D:$H,5,0)-J93,"Error")</f>
        <v>0</v>
      </c>
      <c r="O93">
        <v>-8992.7800000000007</v>
      </c>
      <c r="P93">
        <f t="shared" si="3"/>
        <v>0</v>
      </c>
      <c r="R93">
        <f>VLOOKUP(B93,[2]Sheet1!$B:$J,9,0)</f>
        <v>-8992.7800000000007</v>
      </c>
      <c r="S93">
        <f t="shared" si="4"/>
        <v>0</v>
      </c>
    </row>
    <row r="94" spans="1:19" hidden="1">
      <c r="A94" s="294">
        <v>1900</v>
      </c>
      <c r="B94" s="294">
        <v>20415001</v>
      </c>
      <c r="C94" s="293" t="s">
        <v>145</v>
      </c>
      <c r="D94" s="293" t="s">
        <v>465</v>
      </c>
      <c r="E94" s="293" t="s">
        <v>12</v>
      </c>
      <c r="F94" s="323">
        <v>-60276.89</v>
      </c>
      <c r="G94" s="323">
        <v>0</v>
      </c>
      <c r="H94" s="323">
        <v>60278</v>
      </c>
      <c r="I94" s="323">
        <v>1.1100000000000001</v>
      </c>
      <c r="J94" s="323">
        <f>+F94+H94-I94</f>
        <v>5.8197890950850706E-13</v>
      </c>
      <c r="L94" s="324">
        <f>IFERROR(VLOOKUP(C94,'TB_31.03.2026 (Links)'!$D:$H,5,0)-J94,"Error")</f>
        <v>0</v>
      </c>
      <c r="O94">
        <v>0</v>
      </c>
      <c r="P94">
        <f t="shared" si="3"/>
        <v>5.8197890950850706E-13</v>
      </c>
      <c r="R94">
        <f>VLOOKUP(B94,[2]Sheet1!$B:$J,9,0)</f>
        <v>0</v>
      </c>
      <c r="S94">
        <f t="shared" si="4"/>
        <v>5.8197890950850706E-13</v>
      </c>
    </row>
    <row r="95" spans="1:19" hidden="1">
      <c r="A95" s="294">
        <v>1900</v>
      </c>
      <c r="B95" s="294">
        <v>20415002</v>
      </c>
      <c r="C95" s="293" t="s">
        <v>146</v>
      </c>
      <c r="D95" s="293" t="s">
        <v>465</v>
      </c>
      <c r="E95" s="293" t="s">
        <v>12</v>
      </c>
      <c r="F95" s="323">
        <v>20886</v>
      </c>
      <c r="G95" s="323">
        <v>0</v>
      </c>
      <c r="H95" s="323">
        <v>303038</v>
      </c>
      <c r="I95" s="323">
        <v>349171</v>
      </c>
      <c r="J95" s="323">
        <v>-25247</v>
      </c>
      <c r="L95" s="324">
        <f>IFERROR(VLOOKUP(C95,'TB_31.03.2026 (Links)'!$D:$H,5,0)-J95,"Error")</f>
        <v>0</v>
      </c>
      <c r="O95">
        <v>-25247</v>
      </c>
      <c r="P95">
        <f t="shared" si="3"/>
        <v>0</v>
      </c>
      <c r="R95">
        <f>VLOOKUP(B95,[2]Sheet1!$B:$J,9,0)</f>
        <v>-25247</v>
      </c>
      <c r="S95">
        <f t="shared" si="4"/>
        <v>0</v>
      </c>
    </row>
    <row r="96" spans="1:19" hidden="1">
      <c r="A96" s="294">
        <v>1900</v>
      </c>
      <c r="B96" s="294">
        <v>20415003</v>
      </c>
      <c r="C96" s="293" t="s">
        <v>147</v>
      </c>
      <c r="D96" s="293" t="s">
        <v>465</v>
      </c>
      <c r="E96" s="293" t="s">
        <v>12</v>
      </c>
      <c r="F96" s="323">
        <v>0</v>
      </c>
      <c r="G96" s="323">
        <v>0</v>
      </c>
      <c r="H96" s="323">
        <v>1616152.01</v>
      </c>
      <c r="I96" s="323">
        <v>6024009.9000000004</v>
      </c>
      <c r="J96" s="323">
        <v>-4407857.8899999997</v>
      </c>
      <c r="L96" s="324">
        <f>IFERROR(VLOOKUP(C96,'TB_31.03.2026 (Links)'!$D:$H,5,0)-J96,"Error")</f>
        <v>0</v>
      </c>
      <c r="O96">
        <v>-4407857.8899999997</v>
      </c>
      <c r="P96">
        <f t="shared" si="3"/>
        <v>0</v>
      </c>
      <c r="R96">
        <f>VLOOKUP(B96,[2]Sheet1!$B:$J,9,0)</f>
        <v>-4407857.8899999997</v>
      </c>
      <c r="S96">
        <f t="shared" si="4"/>
        <v>0</v>
      </c>
    </row>
    <row r="97" spans="1:19" hidden="1">
      <c r="A97" s="294">
        <v>1900</v>
      </c>
      <c r="B97" s="294">
        <v>20415004</v>
      </c>
      <c r="C97" s="293" t="s">
        <v>358</v>
      </c>
      <c r="D97" s="293" t="s">
        <v>465</v>
      </c>
      <c r="E97" s="293" t="s">
        <v>12</v>
      </c>
      <c r="F97" s="323">
        <v>0</v>
      </c>
      <c r="G97" s="323">
        <v>0</v>
      </c>
      <c r="H97" s="323">
        <v>3975</v>
      </c>
      <c r="I97" s="323">
        <v>3975</v>
      </c>
      <c r="J97" s="323">
        <v>0</v>
      </c>
      <c r="L97" s="324">
        <f>IFERROR(VLOOKUP(C97,'TB_31.03.2026 (Links)'!$D:$H,5,0)-J97,"Error")</f>
        <v>0</v>
      </c>
      <c r="O97">
        <v>0</v>
      </c>
      <c r="P97">
        <f t="shared" si="3"/>
        <v>0</v>
      </c>
      <c r="R97">
        <f>VLOOKUP(B97,[2]Sheet1!$B:$J,9,0)</f>
        <v>0</v>
      </c>
      <c r="S97">
        <f t="shared" si="4"/>
        <v>0</v>
      </c>
    </row>
    <row r="98" spans="1:19" hidden="1">
      <c r="A98" s="294">
        <v>1900</v>
      </c>
      <c r="B98" s="294">
        <v>20415006</v>
      </c>
      <c r="C98" s="293" t="s">
        <v>148</v>
      </c>
      <c r="D98" s="293" t="s">
        <v>465</v>
      </c>
      <c r="E98" s="293" t="s">
        <v>12</v>
      </c>
      <c r="F98" s="323">
        <v>-106899</v>
      </c>
      <c r="G98" s="323">
        <v>0</v>
      </c>
      <c r="H98" s="323">
        <v>1263022</v>
      </c>
      <c r="I98" s="323">
        <v>1212300</v>
      </c>
      <c r="J98" s="323">
        <v>-56177</v>
      </c>
      <c r="L98" s="324">
        <f>IFERROR(VLOOKUP(C98,'TB_31.03.2026 (Links)'!$D:$H,5,0)-J98,"Error")</f>
        <v>0</v>
      </c>
      <c r="O98">
        <v>-56177</v>
      </c>
      <c r="P98">
        <f t="shared" si="3"/>
        <v>0</v>
      </c>
      <c r="R98">
        <f>VLOOKUP(B98,[2]Sheet1!$B:$J,9,0)</f>
        <v>-56177</v>
      </c>
      <c r="S98">
        <f t="shared" si="4"/>
        <v>0</v>
      </c>
    </row>
    <row r="99" spans="1:19" hidden="1">
      <c r="A99" s="294">
        <v>1900</v>
      </c>
      <c r="B99" s="294">
        <v>20415007</v>
      </c>
      <c r="C99" s="293" t="s">
        <v>149</v>
      </c>
      <c r="D99" s="293" t="s">
        <v>465</v>
      </c>
      <c r="E99" s="293" t="s">
        <v>12</v>
      </c>
      <c r="F99" s="323">
        <v>-844881</v>
      </c>
      <c r="G99" s="323">
        <v>0</v>
      </c>
      <c r="H99" s="323">
        <v>3404785</v>
      </c>
      <c r="I99" s="323">
        <v>2569384</v>
      </c>
      <c r="J99" s="323">
        <v>-9480</v>
      </c>
      <c r="L99" s="324">
        <f>IFERROR(VLOOKUP(C99,'TB_31.03.2026 (Links)'!$D:$H,5,0)-J99,"Error")</f>
        <v>0</v>
      </c>
      <c r="O99">
        <v>-9480</v>
      </c>
      <c r="P99">
        <f t="shared" si="3"/>
        <v>0</v>
      </c>
      <c r="R99">
        <f>VLOOKUP(B99,[2]Sheet1!$B:$J,9,0)</f>
        <v>-9480</v>
      </c>
      <c r="S99">
        <f t="shared" si="4"/>
        <v>0</v>
      </c>
    </row>
    <row r="100" spans="1:19" hidden="1">
      <c r="A100" s="294">
        <v>1900</v>
      </c>
      <c r="B100" s="294">
        <v>20415021</v>
      </c>
      <c r="C100" s="293" t="s">
        <v>359</v>
      </c>
      <c r="D100" s="293" t="s">
        <v>465</v>
      </c>
      <c r="E100" s="293" t="s">
        <v>12</v>
      </c>
      <c r="F100" s="323">
        <v>0</v>
      </c>
      <c r="G100" s="323">
        <v>0</v>
      </c>
      <c r="H100" s="323">
        <v>3133723</v>
      </c>
      <c r="I100" s="323">
        <v>3486647</v>
      </c>
      <c r="J100" s="323">
        <v>-352924</v>
      </c>
      <c r="L100" s="324">
        <f>IFERROR(VLOOKUP(C100,'TB_31.03.2026 (Links)'!$D:$H,5,0)-J100,"Error")</f>
        <v>0</v>
      </c>
      <c r="O100">
        <v>-352924</v>
      </c>
      <c r="P100">
        <f t="shared" si="3"/>
        <v>0</v>
      </c>
      <c r="R100">
        <f>VLOOKUP(B100,[2]Sheet1!$B:$J,9,0)</f>
        <v>-352924</v>
      </c>
      <c r="S100">
        <f t="shared" si="4"/>
        <v>0</v>
      </c>
    </row>
    <row r="101" spans="1:19" hidden="1">
      <c r="A101" s="294">
        <v>1900</v>
      </c>
      <c r="B101" s="294">
        <v>20416001</v>
      </c>
      <c r="C101" s="293" t="s">
        <v>410</v>
      </c>
      <c r="D101" s="293" t="s">
        <v>465</v>
      </c>
      <c r="E101" s="293" t="s">
        <v>12</v>
      </c>
      <c r="F101" s="323">
        <v>0</v>
      </c>
      <c r="G101" s="323">
        <v>0</v>
      </c>
      <c r="H101" s="323">
        <v>54109</v>
      </c>
      <c r="I101" s="323">
        <v>60446</v>
      </c>
      <c r="J101" s="323">
        <v>-6337</v>
      </c>
      <c r="L101" s="324">
        <f>IFERROR(VLOOKUP(C101,'TB_31.03.2026 (Links)'!$D:$H,5,0)-J101,"Error")</f>
        <v>0</v>
      </c>
      <c r="O101">
        <v>-6337</v>
      </c>
      <c r="P101">
        <f t="shared" si="3"/>
        <v>0</v>
      </c>
      <c r="R101">
        <f>VLOOKUP(B101,[2]Sheet1!$B:$J,9,0)</f>
        <v>-6337</v>
      </c>
      <c r="S101">
        <f t="shared" si="4"/>
        <v>0</v>
      </c>
    </row>
    <row r="102" spans="1:19" hidden="1">
      <c r="A102" s="294">
        <v>1900</v>
      </c>
      <c r="B102" s="294">
        <v>20416002</v>
      </c>
      <c r="C102" s="293" t="s">
        <v>409</v>
      </c>
      <c r="D102" s="293" t="s">
        <v>465</v>
      </c>
      <c r="E102" s="293" t="s">
        <v>12</v>
      </c>
      <c r="F102" s="323">
        <v>0</v>
      </c>
      <c r="G102" s="323">
        <v>0</v>
      </c>
      <c r="H102" s="323">
        <v>13502</v>
      </c>
      <c r="I102" s="323">
        <v>13502</v>
      </c>
      <c r="J102" s="323">
        <v>0</v>
      </c>
      <c r="L102" s="324">
        <f>IFERROR(VLOOKUP(C102,'TB_31.03.2026 (Links)'!$D:$H,5,0)-J102,"Error")</f>
        <v>0</v>
      </c>
      <c r="O102">
        <v>0</v>
      </c>
      <c r="P102">
        <f t="shared" si="3"/>
        <v>0</v>
      </c>
      <c r="R102">
        <f>VLOOKUP(B102,[2]Sheet1!$B:$J,9,0)</f>
        <v>0</v>
      </c>
      <c r="S102">
        <f t="shared" si="4"/>
        <v>0</v>
      </c>
    </row>
    <row r="103" spans="1:19" hidden="1">
      <c r="A103" s="294">
        <v>1900</v>
      </c>
      <c r="B103" s="294">
        <v>20416003</v>
      </c>
      <c r="C103" s="293" t="s">
        <v>408</v>
      </c>
      <c r="D103" s="293" t="s">
        <v>465</v>
      </c>
      <c r="E103" s="293" t="s">
        <v>12</v>
      </c>
      <c r="F103" s="323">
        <v>0</v>
      </c>
      <c r="G103" s="323">
        <v>0</v>
      </c>
      <c r="H103" s="323">
        <v>54103</v>
      </c>
      <c r="I103" s="323">
        <v>60440</v>
      </c>
      <c r="J103" s="323">
        <v>-6337</v>
      </c>
      <c r="L103" s="324">
        <f>IFERROR(VLOOKUP(C103,'TB_31.03.2026 (Links)'!$D:$H,5,0)-J103,"Error")</f>
        <v>0</v>
      </c>
      <c r="O103">
        <v>-6337</v>
      </c>
      <c r="P103">
        <f t="shared" si="3"/>
        <v>0</v>
      </c>
      <c r="R103">
        <f>VLOOKUP(B103,[2]Sheet1!$B:$J,9,0)</f>
        <v>-6337</v>
      </c>
      <c r="S103">
        <f t="shared" si="4"/>
        <v>0</v>
      </c>
    </row>
    <row r="104" spans="1:19" hidden="1">
      <c r="A104" s="294">
        <v>1900</v>
      </c>
      <c r="B104" s="294">
        <v>20416004</v>
      </c>
      <c r="C104" s="293" t="s">
        <v>407</v>
      </c>
      <c r="D104" s="293" t="s">
        <v>465</v>
      </c>
      <c r="E104" s="293" t="s">
        <v>12</v>
      </c>
      <c r="F104" s="323">
        <v>0</v>
      </c>
      <c r="G104" s="323">
        <v>0</v>
      </c>
      <c r="H104" s="323">
        <v>1298488</v>
      </c>
      <c r="I104" s="323">
        <v>1450574</v>
      </c>
      <c r="J104" s="323">
        <v>-152086</v>
      </c>
      <c r="L104" s="324">
        <f>IFERROR(VLOOKUP(C104,'TB_31.03.2026 (Links)'!$D:$H,5,0)-J104,"Error")</f>
        <v>0</v>
      </c>
      <c r="O104">
        <v>-152086</v>
      </c>
      <c r="P104">
        <f t="shared" si="3"/>
        <v>0</v>
      </c>
      <c r="R104">
        <f>VLOOKUP(B104,[2]Sheet1!$B:$J,9,0)</f>
        <v>-152086</v>
      </c>
      <c r="S104">
        <f t="shared" si="4"/>
        <v>0</v>
      </c>
    </row>
    <row r="105" spans="1:19" hidden="1">
      <c r="A105" s="294">
        <v>1900</v>
      </c>
      <c r="B105" s="294">
        <v>20420001</v>
      </c>
      <c r="C105" s="293" t="s">
        <v>406</v>
      </c>
      <c r="D105" s="293" t="s">
        <v>465</v>
      </c>
      <c r="E105" s="293" t="s">
        <v>12</v>
      </c>
      <c r="F105" s="323">
        <v>0</v>
      </c>
      <c r="G105" s="323">
        <v>0</v>
      </c>
      <c r="H105" s="323">
        <v>98361817</v>
      </c>
      <c r="I105" s="323">
        <v>104036790</v>
      </c>
      <c r="J105" s="323">
        <v>-5674973</v>
      </c>
      <c r="L105" s="324">
        <f>IFERROR(VLOOKUP(C105,'TB_31.03.2026 (Links)'!$D:$H,5,0)-J105,"Error")</f>
        <v>0</v>
      </c>
      <c r="O105">
        <v>-5674973</v>
      </c>
      <c r="P105">
        <f t="shared" si="3"/>
        <v>0</v>
      </c>
      <c r="R105">
        <f>VLOOKUP(B105,[2]Sheet1!$B:$J,9,0)</f>
        <v>-5674973</v>
      </c>
      <c r="S105">
        <f t="shared" si="4"/>
        <v>0</v>
      </c>
    </row>
    <row r="106" spans="1:19" hidden="1">
      <c r="A106" s="294">
        <v>1900</v>
      </c>
      <c r="B106" s="294">
        <v>20420003</v>
      </c>
      <c r="C106" s="293" t="s">
        <v>405</v>
      </c>
      <c r="D106" s="293" t="s">
        <v>465</v>
      </c>
      <c r="E106" s="293" t="s">
        <v>12</v>
      </c>
      <c r="F106" s="323">
        <v>0</v>
      </c>
      <c r="G106" s="323">
        <v>0</v>
      </c>
      <c r="H106" s="323">
        <v>1298488</v>
      </c>
      <c r="I106" s="323">
        <v>1450574</v>
      </c>
      <c r="J106" s="323">
        <v>-152086</v>
      </c>
      <c r="L106" s="324">
        <f>IFERROR(VLOOKUP(C106,'TB_31.03.2026 (Links)'!$D:$H,5,0)-J106,"Error")</f>
        <v>0</v>
      </c>
      <c r="O106">
        <v>-152086</v>
      </c>
      <c r="P106">
        <f t="shared" si="3"/>
        <v>0</v>
      </c>
      <c r="R106">
        <f>VLOOKUP(B106,[2]Sheet1!$B:$J,9,0)</f>
        <v>-152086</v>
      </c>
      <c r="S106">
        <f t="shared" si="4"/>
        <v>0</v>
      </c>
    </row>
    <row r="107" spans="1:19" hidden="1">
      <c r="A107" s="294">
        <v>1900</v>
      </c>
      <c r="B107" s="294">
        <v>20420004</v>
      </c>
      <c r="C107" s="293" t="s">
        <v>404</v>
      </c>
      <c r="D107" s="293" t="s">
        <v>465</v>
      </c>
      <c r="E107" s="293" t="s">
        <v>12</v>
      </c>
      <c r="F107" s="323">
        <v>0</v>
      </c>
      <c r="G107" s="323">
        <v>0</v>
      </c>
      <c r="H107" s="323">
        <v>171925</v>
      </c>
      <c r="I107" s="323">
        <v>176175</v>
      </c>
      <c r="J107" s="323">
        <v>-4250</v>
      </c>
      <c r="L107" s="324">
        <f>IFERROR(VLOOKUP(C107,'TB_31.03.2026 (Links)'!$D:$H,5,0)-J107,"Error")</f>
        <v>0</v>
      </c>
      <c r="O107">
        <v>-4250</v>
      </c>
      <c r="P107">
        <f t="shared" si="3"/>
        <v>0</v>
      </c>
      <c r="R107">
        <f>VLOOKUP(B107,[2]Sheet1!$B:$J,9,0)</f>
        <v>-4250</v>
      </c>
      <c r="S107">
        <f t="shared" si="4"/>
        <v>0</v>
      </c>
    </row>
    <row r="108" spans="1:19" hidden="1">
      <c r="A108" s="294">
        <v>1900</v>
      </c>
      <c r="B108" s="294">
        <v>20420005</v>
      </c>
      <c r="C108" s="293" t="s">
        <v>403</v>
      </c>
      <c r="D108" s="293" t="s">
        <v>465</v>
      </c>
      <c r="E108" s="293" t="s">
        <v>12</v>
      </c>
      <c r="F108" s="323">
        <v>0</v>
      </c>
      <c r="G108" s="323">
        <v>0</v>
      </c>
      <c r="H108" s="323">
        <v>808654</v>
      </c>
      <c r="I108" s="323">
        <v>808654</v>
      </c>
      <c r="J108" s="323">
        <v>0</v>
      </c>
      <c r="L108" s="324">
        <f>IFERROR(VLOOKUP(C108,'TB_31.03.2026 (Links)'!$D:$H,5,0)-J108,"Error")</f>
        <v>0</v>
      </c>
      <c r="O108">
        <v>0</v>
      </c>
      <c r="P108">
        <f t="shared" si="3"/>
        <v>0</v>
      </c>
      <c r="R108">
        <f>VLOOKUP(B108,[2]Sheet1!$B:$J,9,0)</f>
        <v>0</v>
      </c>
      <c r="S108">
        <f t="shared" si="4"/>
        <v>0</v>
      </c>
    </row>
    <row r="109" spans="1:19" hidden="1">
      <c r="A109" s="294">
        <v>1900</v>
      </c>
      <c r="B109" s="294">
        <v>20420006</v>
      </c>
      <c r="C109" s="293" t="s">
        <v>402</v>
      </c>
      <c r="D109" s="293" t="s">
        <v>465</v>
      </c>
      <c r="E109" s="293" t="s">
        <v>12</v>
      </c>
      <c r="F109" s="323">
        <v>0</v>
      </c>
      <c r="G109" s="323">
        <v>0</v>
      </c>
      <c r="H109" s="323">
        <v>26300</v>
      </c>
      <c r="I109" s="323">
        <v>26300</v>
      </c>
      <c r="J109" s="323">
        <v>0</v>
      </c>
      <c r="L109" s="324">
        <f>IFERROR(VLOOKUP(C109,'TB_31.03.2026 (Links)'!$D:$H,5,0)-J109,"Error")</f>
        <v>0</v>
      </c>
      <c r="O109">
        <v>0</v>
      </c>
      <c r="P109">
        <f t="shared" si="3"/>
        <v>0</v>
      </c>
      <c r="R109">
        <f>VLOOKUP(B109,[2]Sheet1!$B:$J,9,0)</f>
        <v>0</v>
      </c>
      <c r="S109">
        <f t="shared" si="4"/>
        <v>0</v>
      </c>
    </row>
    <row r="110" spans="1:19" hidden="1">
      <c r="A110" s="294">
        <v>1900</v>
      </c>
      <c r="B110" s="294">
        <v>20420009</v>
      </c>
      <c r="C110" s="293" t="s">
        <v>452</v>
      </c>
      <c r="D110" s="293" t="s">
        <v>465</v>
      </c>
      <c r="E110" s="293" t="s">
        <v>12</v>
      </c>
      <c r="F110" s="323">
        <v>0</v>
      </c>
      <c r="G110" s="323">
        <v>0</v>
      </c>
      <c r="H110" s="323">
        <v>2500</v>
      </c>
      <c r="I110" s="323">
        <v>5000</v>
      </c>
      <c r="J110" s="323">
        <v>-2500</v>
      </c>
      <c r="L110" s="324">
        <f>IFERROR(VLOOKUP(C110,'TB_31.03.2026 (Links)'!$D:$H,5,0)-J110,"Error")</f>
        <v>0</v>
      </c>
      <c r="O110">
        <v>-2500</v>
      </c>
      <c r="P110">
        <f t="shared" si="3"/>
        <v>0</v>
      </c>
      <c r="R110">
        <f>VLOOKUP(B110,[2]Sheet1!$B:$J,9,0)</f>
        <v>-2500</v>
      </c>
      <c r="S110">
        <f t="shared" si="4"/>
        <v>0</v>
      </c>
    </row>
    <row r="111" spans="1:19" hidden="1">
      <c r="A111" s="294">
        <v>1900</v>
      </c>
      <c r="B111" s="294">
        <v>20420032</v>
      </c>
      <c r="C111" s="293" t="s">
        <v>132</v>
      </c>
      <c r="D111" s="293" t="s">
        <v>465</v>
      </c>
      <c r="E111" s="293" t="s">
        <v>12</v>
      </c>
      <c r="F111" s="323">
        <v>-180000</v>
      </c>
      <c r="G111" s="323">
        <v>0</v>
      </c>
      <c r="H111" s="323">
        <v>400000</v>
      </c>
      <c r="I111" s="323">
        <v>400000</v>
      </c>
      <c r="J111" s="323">
        <v>-180000</v>
      </c>
      <c r="L111" s="324">
        <f>IFERROR(VLOOKUP(C111,'TB_31.03.2026 (Links)'!$D:$H,5,0)-J111,"Error")</f>
        <v>0</v>
      </c>
      <c r="O111">
        <v>-180000</v>
      </c>
      <c r="P111">
        <f t="shared" si="3"/>
        <v>0</v>
      </c>
      <c r="R111">
        <f>VLOOKUP(B111,[2]Sheet1!$B:$J,9,0)</f>
        <v>-180000</v>
      </c>
      <c r="S111">
        <f t="shared" si="4"/>
        <v>0</v>
      </c>
    </row>
    <row r="112" spans="1:19" hidden="1">
      <c r="A112" s="294">
        <v>1900</v>
      </c>
      <c r="B112" s="294">
        <v>20420202</v>
      </c>
      <c r="C112" s="293" t="s">
        <v>360</v>
      </c>
      <c r="D112" s="293" t="s">
        <v>465</v>
      </c>
      <c r="E112" s="293" t="s">
        <v>12</v>
      </c>
      <c r="F112" s="323">
        <v>0</v>
      </c>
      <c r="G112" s="323">
        <v>0</v>
      </c>
      <c r="H112" s="323">
        <v>15476.04</v>
      </c>
      <c r="I112" s="323">
        <v>15476.04</v>
      </c>
      <c r="J112" s="323">
        <v>0</v>
      </c>
      <c r="L112" s="324">
        <f>IFERROR(VLOOKUP(C112,'TB_31.03.2026 (Links)'!$D:$H,5,0)-J112,"Error")</f>
        <v>0</v>
      </c>
      <c r="O112">
        <v>0</v>
      </c>
      <c r="P112">
        <f t="shared" si="3"/>
        <v>0</v>
      </c>
      <c r="R112">
        <f>VLOOKUP(B112,[2]Sheet1!$B:$J,9,0)</f>
        <v>0</v>
      </c>
      <c r="S112">
        <f t="shared" si="4"/>
        <v>0</v>
      </c>
    </row>
    <row r="113" spans="1:19" hidden="1">
      <c r="A113" s="294">
        <v>1900</v>
      </c>
      <c r="B113" s="294">
        <v>20420203</v>
      </c>
      <c r="C113" s="293" t="s">
        <v>361</v>
      </c>
      <c r="D113" s="293" t="s">
        <v>465</v>
      </c>
      <c r="E113" s="293" t="s">
        <v>12</v>
      </c>
      <c r="F113" s="323">
        <v>0</v>
      </c>
      <c r="G113" s="323">
        <v>0</v>
      </c>
      <c r="H113" s="323">
        <v>40443.879999999997</v>
      </c>
      <c r="I113" s="323">
        <v>40443.879999999997</v>
      </c>
      <c r="J113" s="323">
        <v>0</v>
      </c>
      <c r="L113" s="324">
        <f>IFERROR(VLOOKUP(C113,'TB_31.03.2026 (Links)'!$D:$H,5,0)-J113,"Error")</f>
        <v>0</v>
      </c>
      <c r="O113">
        <v>0</v>
      </c>
      <c r="P113">
        <f t="shared" si="3"/>
        <v>0</v>
      </c>
      <c r="R113">
        <f>VLOOKUP(B113,[2]Sheet1!$B:$J,9,0)</f>
        <v>0</v>
      </c>
      <c r="S113">
        <f t="shared" si="4"/>
        <v>0</v>
      </c>
    </row>
    <row r="114" spans="1:19" hidden="1">
      <c r="A114" s="294">
        <v>1900</v>
      </c>
      <c r="B114" s="294">
        <v>20440001</v>
      </c>
      <c r="C114" s="293" t="s">
        <v>362</v>
      </c>
      <c r="D114" s="293" t="s">
        <v>465</v>
      </c>
      <c r="E114" s="293" t="s">
        <v>12</v>
      </c>
      <c r="F114" s="323">
        <v>-868866.94</v>
      </c>
      <c r="G114" s="323">
        <v>0</v>
      </c>
      <c r="H114" s="323">
        <v>21495491.23</v>
      </c>
      <c r="I114" s="323">
        <v>22888533.629999999</v>
      </c>
      <c r="J114" s="323">
        <v>-2261909.34</v>
      </c>
      <c r="L114" s="324">
        <f>IFERROR(VLOOKUP(C114,'TB_31.03.2026 (Links)'!$D:$H,5,0)-J114,"Error")</f>
        <v>0</v>
      </c>
      <c r="O114">
        <v>-2261909.34</v>
      </c>
      <c r="P114">
        <f t="shared" si="3"/>
        <v>0</v>
      </c>
      <c r="R114">
        <f>VLOOKUP(B114,[2]Sheet1!$B:$J,9,0)</f>
        <v>-2261909.34</v>
      </c>
      <c r="S114">
        <f t="shared" si="4"/>
        <v>0</v>
      </c>
    </row>
    <row r="115" spans="1:19" hidden="1">
      <c r="A115" s="294">
        <v>1900</v>
      </c>
      <c r="B115" s="294">
        <v>20440002</v>
      </c>
      <c r="C115" s="293" t="s">
        <v>363</v>
      </c>
      <c r="D115" s="293" t="s">
        <v>465</v>
      </c>
      <c r="E115" s="293" t="s">
        <v>12</v>
      </c>
      <c r="F115" s="323">
        <v>-569244334.20000005</v>
      </c>
      <c r="G115" s="323">
        <v>0</v>
      </c>
      <c r="H115" s="323">
        <v>935630945.76999998</v>
      </c>
      <c r="I115" s="323">
        <v>701261335.45000005</v>
      </c>
      <c r="J115" s="323">
        <v>-334874723.88</v>
      </c>
      <c r="L115" s="324">
        <f>IFERROR(VLOOKUP(C115,'TB_31.03.2026 (Links)'!$D:$H,5,0)-J115,"Error")</f>
        <v>0</v>
      </c>
      <c r="O115">
        <v>-334874723.88</v>
      </c>
      <c r="P115">
        <f t="shared" si="3"/>
        <v>0</v>
      </c>
      <c r="R115">
        <f>VLOOKUP(B115,[2]Sheet1!$B:$J,9,0)</f>
        <v>-334874723.88</v>
      </c>
      <c r="S115">
        <f t="shared" si="4"/>
        <v>0</v>
      </c>
    </row>
    <row r="116" spans="1:19" hidden="1">
      <c r="A116" s="294">
        <v>1900</v>
      </c>
      <c r="B116" s="294">
        <v>20440003</v>
      </c>
      <c r="C116" s="293" t="s">
        <v>364</v>
      </c>
      <c r="D116" s="293" t="s">
        <v>465</v>
      </c>
      <c r="E116" s="293" t="s">
        <v>12</v>
      </c>
      <c r="F116" s="323">
        <v>0</v>
      </c>
      <c r="G116" s="323">
        <v>0</v>
      </c>
      <c r="H116" s="323">
        <v>151562</v>
      </c>
      <c r="I116" s="323">
        <v>151562</v>
      </c>
      <c r="J116" s="323">
        <v>0</v>
      </c>
      <c r="L116" s="324">
        <f>IFERROR(VLOOKUP(C116,'TB_31.03.2026 (Links)'!$D:$H,5,0)-J116,"Error")</f>
        <v>0</v>
      </c>
      <c r="O116">
        <v>0</v>
      </c>
      <c r="P116">
        <f t="shared" si="3"/>
        <v>0</v>
      </c>
      <c r="R116">
        <f>VLOOKUP(B116,[2]Sheet1!$B:$J,9,0)</f>
        <v>0</v>
      </c>
      <c r="S116">
        <f t="shared" si="4"/>
        <v>0</v>
      </c>
    </row>
    <row r="117" spans="1:19" hidden="1">
      <c r="A117" s="294">
        <v>1900</v>
      </c>
      <c r="B117" s="294">
        <v>20440004</v>
      </c>
      <c r="C117" s="293" t="s">
        <v>365</v>
      </c>
      <c r="D117" s="293" t="s">
        <v>465</v>
      </c>
      <c r="E117" s="293" t="s">
        <v>12</v>
      </c>
      <c r="F117" s="323">
        <v>-1424305.94</v>
      </c>
      <c r="G117" s="323">
        <v>0</v>
      </c>
      <c r="H117" s="323">
        <v>28318181.25</v>
      </c>
      <c r="I117" s="323">
        <v>28390384.59</v>
      </c>
      <c r="J117" s="323">
        <v>-1496509.28</v>
      </c>
      <c r="L117" s="324">
        <f>IFERROR(VLOOKUP(C117,'TB_31.03.2026 (Links)'!$D:$H,5,0)-J117,"Error")</f>
        <v>0</v>
      </c>
      <c r="O117">
        <v>-1496509.28</v>
      </c>
      <c r="P117">
        <f t="shared" si="3"/>
        <v>0</v>
      </c>
      <c r="R117">
        <f>VLOOKUP(B117,[2]Sheet1!$B:$J,9,0)</f>
        <v>-1496509.28</v>
      </c>
      <c r="S117">
        <f t="shared" si="4"/>
        <v>0</v>
      </c>
    </row>
    <row r="118" spans="1:19" hidden="1">
      <c r="A118" s="294">
        <v>1900</v>
      </c>
      <c r="B118" s="294">
        <v>20440007</v>
      </c>
      <c r="C118" s="293" t="s">
        <v>366</v>
      </c>
      <c r="D118" s="293" t="s">
        <v>465</v>
      </c>
      <c r="E118" s="293" t="s">
        <v>12</v>
      </c>
      <c r="F118" s="323">
        <v>-82169</v>
      </c>
      <c r="G118" s="323">
        <v>0</v>
      </c>
      <c r="H118" s="323">
        <v>829402</v>
      </c>
      <c r="I118" s="323">
        <v>798291</v>
      </c>
      <c r="J118" s="323">
        <v>-51058</v>
      </c>
      <c r="L118" s="324">
        <f>IFERROR(VLOOKUP(C118,'TB_31.03.2026 (Links)'!$D:$H,5,0)-J118,"Error")</f>
        <v>0</v>
      </c>
      <c r="O118">
        <v>-27828</v>
      </c>
      <c r="P118">
        <f t="shared" si="3"/>
        <v>-23230</v>
      </c>
      <c r="R118">
        <f>VLOOKUP(B118,[2]Sheet1!$B:$J,9,0)</f>
        <v>-51058</v>
      </c>
      <c r="S118">
        <f t="shared" si="4"/>
        <v>0</v>
      </c>
    </row>
    <row r="119" spans="1:19" hidden="1">
      <c r="A119" s="294">
        <v>1900</v>
      </c>
      <c r="B119" s="294">
        <v>20440051</v>
      </c>
      <c r="C119" s="293" t="s">
        <v>367</v>
      </c>
      <c r="D119" s="293" t="s">
        <v>465</v>
      </c>
      <c r="E119" s="293" t="s">
        <v>12</v>
      </c>
      <c r="F119" s="323">
        <v>0</v>
      </c>
      <c r="G119" s="323">
        <v>0</v>
      </c>
      <c r="H119" s="323">
        <v>300000000</v>
      </c>
      <c r="I119" s="323">
        <v>300000000</v>
      </c>
      <c r="J119" s="323">
        <v>0</v>
      </c>
      <c r="L119" s="324">
        <f>IFERROR(VLOOKUP(C119,'TB_31.03.2026 (Links)'!$D:$H,5,0)-J119,"Error")</f>
        <v>0</v>
      </c>
      <c r="O119">
        <v>0</v>
      </c>
      <c r="P119">
        <f t="shared" si="3"/>
        <v>0</v>
      </c>
      <c r="R119">
        <f>VLOOKUP(B119,[2]Sheet1!$B:$J,9,0)</f>
        <v>0</v>
      </c>
      <c r="S119">
        <f t="shared" si="4"/>
        <v>0</v>
      </c>
    </row>
    <row r="120" spans="1:19" hidden="1">
      <c r="A120" s="294">
        <v>1900</v>
      </c>
      <c r="B120" s="294">
        <v>20450001</v>
      </c>
      <c r="C120" s="293" t="s">
        <v>368</v>
      </c>
      <c r="D120" s="293" t="s">
        <v>465</v>
      </c>
      <c r="E120" s="293" t="s">
        <v>12</v>
      </c>
      <c r="F120" s="323">
        <v>0</v>
      </c>
      <c r="G120" s="323">
        <v>0</v>
      </c>
      <c r="H120" s="323">
        <v>4379503.2699999996</v>
      </c>
      <c r="I120" s="323">
        <v>4379503.2699999996</v>
      </c>
      <c r="J120" s="323">
        <v>0</v>
      </c>
      <c r="L120" s="324">
        <f>IFERROR(VLOOKUP(C120,'TB_31.03.2026 (Links)'!$D:$H,5,0)-J120,"Error")</f>
        <v>0</v>
      </c>
      <c r="O120">
        <v>0</v>
      </c>
      <c r="P120">
        <f t="shared" si="3"/>
        <v>0</v>
      </c>
      <c r="R120">
        <f>VLOOKUP(B120,[2]Sheet1!$B:$J,9,0)</f>
        <v>0</v>
      </c>
      <c r="S120">
        <f t="shared" si="4"/>
        <v>0</v>
      </c>
    </row>
    <row r="121" spans="1:19" hidden="1">
      <c r="A121" s="294">
        <v>1900</v>
      </c>
      <c r="B121" s="294">
        <v>20450002</v>
      </c>
      <c r="C121" s="293" t="s">
        <v>369</v>
      </c>
      <c r="D121" s="293" t="s">
        <v>465</v>
      </c>
      <c r="E121" s="293" t="s">
        <v>12</v>
      </c>
      <c r="F121" s="323">
        <v>0</v>
      </c>
      <c r="G121" s="323">
        <v>0</v>
      </c>
      <c r="H121" s="323">
        <v>590542550.89999998</v>
      </c>
      <c r="I121" s="323">
        <v>590542550.89999998</v>
      </c>
      <c r="J121" s="323">
        <v>0</v>
      </c>
      <c r="L121" s="324">
        <f>IFERROR(VLOOKUP(C121,'TB_31.03.2026 (Links)'!$D:$H,5,0)-J121,"Error")</f>
        <v>0</v>
      </c>
      <c r="O121">
        <v>0</v>
      </c>
      <c r="P121">
        <f t="shared" si="3"/>
        <v>0</v>
      </c>
      <c r="R121">
        <f>VLOOKUP(B121,[2]Sheet1!$B:$J,9,0)</f>
        <v>0</v>
      </c>
      <c r="S121">
        <f t="shared" si="4"/>
        <v>0</v>
      </c>
    </row>
    <row r="122" spans="1:19" hidden="1">
      <c r="A122" s="294">
        <v>1900</v>
      </c>
      <c r="B122" s="294">
        <v>20450005</v>
      </c>
      <c r="C122" s="293" t="s">
        <v>370</v>
      </c>
      <c r="D122" s="293" t="s">
        <v>465</v>
      </c>
      <c r="E122" s="293" t="s">
        <v>12</v>
      </c>
      <c r="F122" s="323">
        <v>0</v>
      </c>
      <c r="G122" s="323">
        <v>0</v>
      </c>
      <c r="H122" s="323">
        <v>6210436.6299999999</v>
      </c>
      <c r="I122" s="323">
        <v>6210436.6299999999</v>
      </c>
      <c r="J122" s="323">
        <v>0</v>
      </c>
      <c r="L122" s="324">
        <f>IFERROR(VLOOKUP(C122,'TB_31.03.2026 (Links)'!$D:$H,5,0)-J122,"Error")</f>
        <v>0</v>
      </c>
      <c r="O122">
        <v>0</v>
      </c>
      <c r="P122">
        <f t="shared" si="3"/>
        <v>0</v>
      </c>
      <c r="R122">
        <f>VLOOKUP(B122,[2]Sheet1!$B:$J,9,0)</f>
        <v>0</v>
      </c>
      <c r="S122">
        <f t="shared" si="4"/>
        <v>0</v>
      </c>
    </row>
    <row r="123" spans="1:19" hidden="1">
      <c r="A123" s="294">
        <v>1900</v>
      </c>
      <c r="B123" s="294">
        <v>20490001</v>
      </c>
      <c r="C123" s="293" t="s">
        <v>104</v>
      </c>
      <c r="D123" s="293" t="s">
        <v>465</v>
      </c>
      <c r="E123" s="293" t="s">
        <v>12</v>
      </c>
      <c r="F123" s="323">
        <v>-3862156.67</v>
      </c>
      <c r="G123" s="323">
        <v>0</v>
      </c>
      <c r="H123" s="323">
        <v>12417809.939999999</v>
      </c>
      <c r="I123" s="323">
        <v>10070751.939999999</v>
      </c>
      <c r="J123" s="323">
        <v>-1515098.67</v>
      </c>
      <c r="L123" s="324">
        <f>IFERROR(VLOOKUP(C123,'TB_31.03.2026 (Links)'!$D:$H,5,0)-J123,"Error")</f>
        <v>0</v>
      </c>
      <c r="O123">
        <v>-1515098.67</v>
      </c>
      <c r="P123">
        <f t="shared" si="3"/>
        <v>0</v>
      </c>
      <c r="R123">
        <f>VLOOKUP(B123,[2]Sheet1!$B:$J,9,0)</f>
        <v>-1515098.67</v>
      </c>
      <c r="S123">
        <f t="shared" si="4"/>
        <v>0</v>
      </c>
    </row>
    <row r="124" spans="1:19" hidden="1">
      <c r="A124" s="294">
        <v>1900</v>
      </c>
      <c r="B124" s="294">
        <v>20610011</v>
      </c>
      <c r="C124" s="293" t="s">
        <v>371</v>
      </c>
      <c r="D124" s="293" t="s">
        <v>465</v>
      </c>
      <c r="E124" s="293" t="s">
        <v>12</v>
      </c>
      <c r="F124" s="323">
        <v>0</v>
      </c>
      <c r="G124" s="323">
        <v>0</v>
      </c>
      <c r="H124" s="323">
        <v>762526876.20000005</v>
      </c>
      <c r="I124" s="323">
        <v>762526876.20000005</v>
      </c>
      <c r="J124" s="323">
        <v>0</v>
      </c>
      <c r="L124" s="324">
        <f>IFERROR(VLOOKUP(C124,'TB_31.03.2026 (Links)'!$D:$H,5,0)-J124,"Error")</f>
        <v>0</v>
      </c>
      <c r="O124">
        <v>0</v>
      </c>
      <c r="P124">
        <f t="shared" si="3"/>
        <v>0</v>
      </c>
      <c r="R124">
        <f>VLOOKUP(B124,[2]Sheet1!$B:$J,9,0)</f>
        <v>0</v>
      </c>
      <c r="S124">
        <f t="shared" si="4"/>
        <v>0</v>
      </c>
    </row>
    <row r="125" spans="1:19" hidden="1">
      <c r="A125" s="294">
        <v>1900</v>
      </c>
      <c r="B125" s="294">
        <v>20610050</v>
      </c>
      <c r="C125" s="293" t="s">
        <v>401</v>
      </c>
      <c r="D125" s="293" t="s">
        <v>465</v>
      </c>
      <c r="E125" s="293" t="s">
        <v>12</v>
      </c>
      <c r="F125" s="323">
        <v>0</v>
      </c>
      <c r="G125" s="323">
        <v>0</v>
      </c>
      <c r="H125" s="323">
        <v>2549638</v>
      </c>
      <c r="I125" s="323">
        <v>2549638</v>
      </c>
      <c r="J125" s="323">
        <v>0</v>
      </c>
      <c r="L125" s="324">
        <f>IFERROR(VLOOKUP(C125,'TB_31.03.2026 (Links)'!$D:$H,5,0)-J125,"Error")</f>
        <v>0</v>
      </c>
      <c r="O125">
        <v>0</v>
      </c>
      <c r="P125">
        <f t="shared" si="3"/>
        <v>0</v>
      </c>
      <c r="R125">
        <f>VLOOKUP(B125,[2]Sheet1!$B:$J,9,0)</f>
        <v>0</v>
      </c>
      <c r="S125">
        <f t="shared" si="4"/>
        <v>0</v>
      </c>
    </row>
    <row r="126" spans="1:19" hidden="1">
      <c r="A126" s="294">
        <v>1900</v>
      </c>
      <c r="B126" s="294">
        <v>20710001</v>
      </c>
      <c r="C126" s="293" t="s">
        <v>105</v>
      </c>
      <c r="D126" s="293" t="s">
        <v>465</v>
      </c>
      <c r="E126" s="293" t="s">
        <v>12</v>
      </c>
      <c r="F126" s="323">
        <v>-1149942404.79</v>
      </c>
      <c r="G126" s="323">
        <v>0</v>
      </c>
      <c r="H126" s="323">
        <v>118840963.64</v>
      </c>
      <c r="I126" s="323">
        <v>48909538.689999998</v>
      </c>
      <c r="J126" s="323">
        <v>-1080010979.8399999</v>
      </c>
      <c r="L126" s="324">
        <f>IFERROR(VLOOKUP(C126,'TB_31.03.2026 (Links)'!$D:$H,5,0)-J126,"Error")</f>
        <v>0</v>
      </c>
      <c r="O126">
        <v>-1080010979.8399999</v>
      </c>
      <c r="P126">
        <f t="shared" si="3"/>
        <v>0</v>
      </c>
      <c r="R126">
        <f>VLOOKUP(B126,[2]Sheet1!$B:$J,9,0)</f>
        <v>-1080010979.8399999</v>
      </c>
      <c r="S126">
        <f t="shared" si="4"/>
        <v>0</v>
      </c>
    </row>
    <row r="127" spans="1:19" hidden="1">
      <c r="A127" s="294">
        <v>1900</v>
      </c>
      <c r="B127" s="294">
        <v>20710003</v>
      </c>
      <c r="C127" s="293" t="s">
        <v>106</v>
      </c>
      <c r="D127" s="293" t="s">
        <v>465</v>
      </c>
      <c r="E127" s="293" t="s">
        <v>12</v>
      </c>
      <c r="F127" s="323">
        <v>-56136699.979999997</v>
      </c>
      <c r="G127" s="323">
        <v>0</v>
      </c>
      <c r="H127" s="323">
        <v>8725600.3900000006</v>
      </c>
      <c r="I127" s="323">
        <v>3068424.92</v>
      </c>
      <c r="J127" s="323">
        <v>-50479524.509999998</v>
      </c>
      <c r="L127" s="324">
        <f>IFERROR(VLOOKUP(C127,'TB_31.03.2026 (Links)'!$D:$H,5,0)-J127,"Error")</f>
        <v>0</v>
      </c>
      <c r="O127">
        <v>-50479524.509999998</v>
      </c>
      <c r="P127">
        <f t="shared" si="3"/>
        <v>0</v>
      </c>
      <c r="R127">
        <f>VLOOKUP(B127,[2]Sheet1!$B:$J,9,0)</f>
        <v>-50479524.509999998</v>
      </c>
      <c r="S127">
        <f t="shared" si="4"/>
        <v>0</v>
      </c>
    </row>
    <row r="128" spans="1:19" hidden="1">
      <c r="A128" s="294">
        <v>1900</v>
      </c>
      <c r="B128" s="294">
        <v>20710011</v>
      </c>
      <c r="C128" s="293" t="s">
        <v>107</v>
      </c>
      <c r="D128" s="293" t="s">
        <v>465</v>
      </c>
      <c r="E128" s="293" t="s">
        <v>12</v>
      </c>
      <c r="F128" s="323">
        <v>-8849234.7599999998</v>
      </c>
      <c r="G128" s="323">
        <v>0</v>
      </c>
      <c r="H128" s="323">
        <v>57432075.799999997</v>
      </c>
      <c r="I128" s="323">
        <v>57104447.700000003</v>
      </c>
      <c r="J128" s="323">
        <v>-8521606.6600000001</v>
      </c>
      <c r="L128" s="324">
        <f>IFERROR(VLOOKUP(C128,'TB_31.03.2026 (Links)'!$D:$H,5,0)-J128,"Error")</f>
        <v>0</v>
      </c>
      <c r="O128">
        <v>-8521606.6600000001</v>
      </c>
      <c r="P128">
        <f t="shared" si="3"/>
        <v>0</v>
      </c>
      <c r="R128">
        <f>VLOOKUP(B128,[2]Sheet1!$B:$J,9,0)</f>
        <v>-8521606.6600000001</v>
      </c>
      <c r="S128">
        <f t="shared" si="4"/>
        <v>0</v>
      </c>
    </row>
    <row r="129" spans="1:19" hidden="1">
      <c r="A129" s="294">
        <v>1900</v>
      </c>
      <c r="B129" s="294">
        <v>20710013</v>
      </c>
      <c r="C129" s="293" t="s">
        <v>109</v>
      </c>
      <c r="D129" s="293" t="s">
        <v>465</v>
      </c>
      <c r="E129" s="293" t="s">
        <v>12</v>
      </c>
      <c r="F129" s="323">
        <v>2358044.7599999998</v>
      </c>
      <c r="G129" s="323">
        <v>0</v>
      </c>
      <c r="H129" s="323">
        <v>1238084.8</v>
      </c>
      <c r="I129" s="323">
        <v>2411164.9</v>
      </c>
      <c r="J129" s="323">
        <v>1184964.6599999999</v>
      </c>
      <c r="L129" s="324">
        <f>IFERROR(VLOOKUP(C129,'TB_31.03.2026 (Links)'!$D:$H,5,0)-J129,"Error")</f>
        <v>0</v>
      </c>
      <c r="O129">
        <v>1184964.6599999999</v>
      </c>
      <c r="P129">
        <f t="shared" si="3"/>
        <v>0</v>
      </c>
      <c r="R129">
        <f>VLOOKUP(B129,[2]Sheet1!$B:$J,9,0)</f>
        <v>1184964.6599999999</v>
      </c>
      <c r="S129">
        <f t="shared" si="4"/>
        <v>0</v>
      </c>
    </row>
    <row r="130" spans="1:19" hidden="1">
      <c r="A130" s="294">
        <v>1900</v>
      </c>
      <c r="B130" s="294">
        <v>20710015</v>
      </c>
      <c r="C130" s="293" t="s">
        <v>111</v>
      </c>
      <c r="D130" s="293" t="s">
        <v>465</v>
      </c>
      <c r="E130" s="293" t="s">
        <v>12</v>
      </c>
      <c r="F130" s="323">
        <v>13298862</v>
      </c>
      <c r="G130" s="323">
        <v>0</v>
      </c>
      <c r="H130" s="323">
        <v>58336400.439999998</v>
      </c>
      <c r="I130" s="323">
        <v>50087718.420000002</v>
      </c>
      <c r="J130" s="323">
        <v>21547544.02</v>
      </c>
      <c r="L130" s="324">
        <f>IFERROR(VLOOKUP(C130,'TB_31.03.2026 (Links)'!$D:$H,5,0)-J130,"Error")</f>
        <v>0</v>
      </c>
      <c r="O130">
        <v>21547544.02</v>
      </c>
      <c r="P130">
        <f t="shared" si="3"/>
        <v>0</v>
      </c>
      <c r="R130">
        <f>VLOOKUP(B130,[2]Sheet1!$B:$J,9,0)</f>
        <v>21547544.02</v>
      </c>
      <c r="S130">
        <f t="shared" si="4"/>
        <v>0</v>
      </c>
    </row>
    <row r="131" spans="1:19" hidden="1">
      <c r="A131" s="294">
        <v>1900</v>
      </c>
      <c r="B131" s="294">
        <v>20710016</v>
      </c>
      <c r="C131" s="293" t="s">
        <v>113</v>
      </c>
      <c r="D131" s="293" t="s">
        <v>465</v>
      </c>
      <c r="E131" s="293" t="s">
        <v>12</v>
      </c>
      <c r="F131" s="323">
        <v>-600</v>
      </c>
      <c r="G131" s="323">
        <v>0</v>
      </c>
      <c r="H131" s="323">
        <v>0</v>
      </c>
      <c r="I131" s="323">
        <v>0</v>
      </c>
      <c r="J131" s="323">
        <v>-600</v>
      </c>
      <c r="L131" s="324">
        <f>IFERROR(VLOOKUP(C131,'TB_31.03.2026 (Links)'!$D:$H,5,0)-J131,"Error")</f>
        <v>0</v>
      </c>
      <c r="O131">
        <v>-600</v>
      </c>
      <c r="P131">
        <f t="shared" si="3"/>
        <v>0</v>
      </c>
      <c r="R131">
        <f>VLOOKUP(B131,[2]Sheet1!$B:$J,9,0)</f>
        <v>-600</v>
      </c>
      <c r="S131">
        <f t="shared" si="4"/>
        <v>0</v>
      </c>
    </row>
    <row r="132" spans="1:19" hidden="1">
      <c r="A132" s="294">
        <v>1900</v>
      </c>
      <c r="B132" s="294">
        <v>20710019</v>
      </c>
      <c r="C132" s="293" t="s">
        <v>115</v>
      </c>
      <c r="D132" s="293" t="s">
        <v>465</v>
      </c>
      <c r="E132" s="293" t="s">
        <v>12</v>
      </c>
      <c r="F132" s="323">
        <v>79000</v>
      </c>
      <c r="G132" s="323">
        <v>0</v>
      </c>
      <c r="H132" s="323">
        <v>109774747.11</v>
      </c>
      <c r="I132" s="323">
        <v>121271582.11</v>
      </c>
      <c r="J132" s="323">
        <v>-11417835</v>
      </c>
      <c r="L132" s="324">
        <f>IFERROR(VLOOKUP(C132,'TB_31.03.2026 (Links)'!$D:$H,5,0)-J132,"Error")</f>
        <v>0</v>
      </c>
      <c r="O132">
        <v>-11417835</v>
      </c>
      <c r="P132">
        <f t="shared" si="3"/>
        <v>0</v>
      </c>
      <c r="R132">
        <f>VLOOKUP(B132,[2]Sheet1!$B:$J,9,0)</f>
        <v>-11417835</v>
      </c>
      <c r="S132">
        <f t="shared" si="4"/>
        <v>0</v>
      </c>
    </row>
    <row r="133" spans="1:19" hidden="1">
      <c r="A133" s="294">
        <v>1900</v>
      </c>
      <c r="B133" s="294">
        <v>20710022</v>
      </c>
      <c r="C133" s="293" t="s">
        <v>372</v>
      </c>
      <c r="D133" s="293" t="s">
        <v>465</v>
      </c>
      <c r="E133" s="293" t="s">
        <v>12</v>
      </c>
      <c r="F133" s="323">
        <v>624500</v>
      </c>
      <c r="G133" s="323">
        <v>0</v>
      </c>
      <c r="H133" s="323">
        <v>14890800</v>
      </c>
      <c r="I133" s="323">
        <v>15515300</v>
      </c>
      <c r="J133" s="323">
        <v>0</v>
      </c>
      <c r="L133" s="324">
        <f>IFERROR(VLOOKUP(C133,'TB_31.03.2026 (Links)'!$D:$H,5,0)-J133,"Error")</f>
        <v>0</v>
      </c>
      <c r="O133">
        <v>0</v>
      </c>
      <c r="P133">
        <f t="shared" si="3"/>
        <v>0</v>
      </c>
      <c r="R133">
        <f>VLOOKUP(B133,[2]Sheet1!$B:$J,9,0)</f>
        <v>0</v>
      </c>
      <c r="S133">
        <f t="shared" si="4"/>
        <v>0</v>
      </c>
    </row>
    <row r="134" spans="1:19">
      <c r="A134" s="294">
        <v>1900</v>
      </c>
      <c r="B134" s="294">
        <v>20710101</v>
      </c>
      <c r="C134" s="293" t="s">
        <v>119</v>
      </c>
      <c r="D134" s="293" t="s">
        <v>465</v>
      </c>
      <c r="E134" s="293" t="s">
        <v>12</v>
      </c>
      <c r="F134" s="323">
        <v>-1285494500.98</v>
      </c>
      <c r="G134" s="323">
        <v>0</v>
      </c>
      <c r="H134" s="323">
        <v>113766622.26000001</v>
      </c>
      <c r="I134" s="323">
        <v>119411144.56</v>
      </c>
      <c r="J134" s="323">
        <v>-1291139023.28</v>
      </c>
      <c r="L134" s="324">
        <f>IFERROR(VLOOKUP(C134,'TB_31.03.2026 (Links)'!$D:$H,5,0)-J134,"Error")</f>
        <v>0</v>
      </c>
      <c r="O134">
        <v>-1291139023.28</v>
      </c>
      <c r="P134">
        <f t="shared" si="3"/>
        <v>0</v>
      </c>
      <c r="R134">
        <f>VLOOKUP(B134,[2]Sheet1!$B:$J,9,0)</f>
        <v>-1287236365.28</v>
      </c>
      <c r="S134">
        <f t="shared" si="4"/>
        <v>-3902658</v>
      </c>
    </row>
    <row r="135" spans="1:19" hidden="1">
      <c r="A135" s="294">
        <v>1900</v>
      </c>
      <c r="B135" s="294">
        <v>30100003</v>
      </c>
      <c r="C135" s="293" t="s">
        <v>196</v>
      </c>
      <c r="D135" s="293" t="s">
        <v>465</v>
      </c>
      <c r="E135" s="293" t="s">
        <v>12</v>
      </c>
      <c r="F135" s="323">
        <v>0</v>
      </c>
      <c r="G135" s="323">
        <v>0</v>
      </c>
      <c r="H135" s="323">
        <v>35593.18</v>
      </c>
      <c r="I135" s="323">
        <v>432816.92</v>
      </c>
      <c r="J135" s="323">
        <v>-397223.74</v>
      </c>
      <c r="L135" s="324">
        <f>IFERROR(VLOOKUP(C135,'TB_31.03.2026 (Links)'!$D:$H,5,0)-J135,"Error")</f>
        <v>0</v>
      </c>
      <c r="O135">
        <v>-397223.74</v>
      </c>
      <c r="P135">
        <f t="shared" ref="P135:P198" si="5">+J135-O135</f>
        <v>0</v>
      </c>
      <c r="R135">
        <f>VLOOKUP(B135,[2]Sheet1!$B:$J,9,0)</f>
        <v>-397223.74</v>
      </c>
      <c r="S135">
        <f t="shared" ref="S135:S198" si="6">J135-R135</f>
        <v>0</v>
      </c>
    </row>
    <row r="136" spans="1:19" hidden="1">
      <c r="A136" s="294">
        <v>1900</v>
      </c>
      <c r="B136" s="294">
        <v>30100201</v>
      </c>
      <c r="C136" s="293" t="s">
        <v>400</v>
      </c>
      <c r="D136" s="293" t="s">
        <v>465</v>
      </c>
      <c r="E136" s="293" t="s">
        <v>12</v>
      </c>
      <c r="F136" s="323">
        <v>0</v>
      </c>
      <c r="G136" s="323">
        <v>0</v>
      </c>
      <c r="H136" s="323">
        <v>21120</v>
      </c>
      <c r="I136" s="323">
        <v>21120</v>
      </c>
      <c r="J136" s="323">
        <v>0</v>
      </c>
      <c r="L136" s="324">
        <f>IFERROR(VLOOKUP(C136,'TB_31.03.2026 (Links)'!$D:$H,5,0)-J136,"Error")</f>
        <v>0</v>
      </c>
      <c r="O136">
        <v>0</v>
      </c>
      <c r="P136">
        <f t="shared" si="5"/>
        <v>0</v>
      </c>
      <c r="R136">
        <f>VLOOKUP(B136,[2]Sheet1!$B:$J,9,0)</f>
        <v>0</v>
      </c>
      <c r="S136">
        <f t="shared" si="6"/>
        <v>0</v>
      </c>
    </row>
    <row r="137" spans="1:19" hidden="1">
      <c r="A137" s="294">
        <v>1900</v>
      </c>
      <c r="B137" s="294">
        <v>30101002</v>
      </c>
      <c r="C137" s="293" t="s">
        <v>373</v>
      </c>
      <c r="D137" s="293" t="s">
        <v>465</v>
      </c>
      <c r="E137" s="293" t="s">
        <v>12</v>
      </c>
      <c r="F137" s="323">
        <v>0</v>
      </c>
      <c r="G137" s="323">
        <v>0</v>
      </c>
      <c r="H137" s="323">
        <v>0</v>
      </c>
      <c r="I137" s="323">
        <v>2867899.82</v>
      </c>
      <c r="J137" s="323">
        <v>-2867899.82</v>
      </c>
      <c r="L137" s="324">
        <f>IFERROR(VLOOKUP(C137,'TB_31.03.2026 (Links)'!$D:$H,5,0)-J137,"Error")</f>
        <v>0</v>
      </c>
      <c r="O137">
        <v>-2867899.82</v>
      </c>
      <c r="P137">
        <f t="shared" si="5"/>
        <v>0</v>
      </c>
      <c r="R137">
        <f>VLOOKUP(B137,[2]Sheet1!$B:$J,9,0)</f>
        <v>-2867899.82</v>
      </c>
      <c r="S137">
        <f t="shared" si="6"/>
        <v>0</v>
      </c>
    </row>
    <row r="138" spans="1:19" hidden="1">
      <c r="A138" s="294">
        <v>1900</v>
      </c>
      <c r="B138" s="294">
        <v>40100003</v>
      </c>
      <c r="C138" s="293" t="s">
        <v>209</v>
      </c>
      <c r="D138" s="293" t="s">
        <v>465</v>
      </c>
      <c r="E138" s="293" t="s">
        <v>12</v>
      </c>
      <c r="F138" s="323">
        <v>0</v>
      </c>
      <c r="G138" s="323">
        <v>0</v>
      </c>
      <c r="H138" s="323">
        <v>134580</v>
      </c>
      <c r="I138" s="323">
        <v>0</v>
      </c>
      <c r="J138" s="323">
        <v>134580</v>
      </c>
      <c r="L138" s="324">
        <f>IFERROR(VLOOKUP(C138,'TB_31.03.2026 (Links)'!$D:$H,5,0)-J138,"Error")</f>
        <v>0</v>
      </c>
      <c r="O138">
        <v>134580</v>
      </c>
      <c r="P138">
        <f t="shared" si="5"/>
        <v>0</v>
      </c>
      <c r="R138">
        <f>VLOOKUP(B138,[2]Sheet1!$B:$J,9,0)</f>
        <v>134580</v>
      </c>
      <c r="S138">
        <f t="shared" si="6"/>
        <v>0</v>
      </c>
    </row>
    <row r="139" spans="1:19" hidden="1">
      <c r="A139" s="294">
        <v>1900</v>
      </c>
      <c r="B139" s="294">
        <v>40100004</v>
      </c>
      <c r="C139" s="293" t="s">
        <v>210</v>
      </c>
      <c r="D139" s="293" t="s">
        <v>465</v>
      </c>
      <c r="E139" s="293" t="s">
        <v>12</v>
      </c>
      <c r="F139" s="323">
        <v>0</v>
      </c>
      <c r="G139" s="323">
        <v>0</v>
      </c>
      <c r="H139" s="323">
        <v>1530094</v>
      </c>
      <c r="I139" s="323">
        <v>0</v>
      </c>
      <c r="J139" s="323">
        <v>1530094</v>
      </c>
      <c r="L139" s="324">
        <f>IFERROR(VLOOKUP(C139,'TB_31.03.2026 (Links)'!$D:$H,5,0)-J139,"Error")</f>
        <v>0</v>
      </c>
      <c r="O139">
        <v>1530094</v>
      </c>
      <c r="P139">
        <f t="shared" si="5"/>
        <v>0</v>
      </c>
      <c r="R139">
        <f>VLOOKUP(B139,[2]Sheet1!$B:$J,9,0)</f>
        <v>1530094</v>
      </c>
      <c r="S139">
        <f t="shared" si="6"/>
        <v>0</v>
      </c>
    </row>
    <row r="140" spans="1:19" hidden="1">
      <c r="A140" s="294">
        <v>1900</v>
      </c>
      <c r="B140" s="294">
        <v>40100005</v>
      </c>
      <c r="C140" s="293" t="s">
        <v>211</v>
      </c>
      <c r="D140" s="293" t="s">
        <v>465</v>
      </c>
      <c r="E140" s="293" t="s">
        <v>12</v>
      </c>
      <c r="F140" s="323">
        <v>0</v>
      </c>
      <c r="G140" s="323">
        <v>0</v>
      </c>
      <c r="H140" s="323">
        <v>147188</v>
      </c>
      <c r="I140" s="323">
        <v>0</v>
      </c>
      <c r="J140" s="323">
        <v>147188</v>
      </c>
      <c r="L140" s="324">
        <f>IFERROR(VLOOKUP(C140,'TB_31.03.2026 (Links)'!$D:$H,5,0)-J140,"Error")</f>
        <v>0</v>
      </c>
      <c r="O140">
        <v>147188</v>
      </c>
      <c r="P140">
        <f t="shared" si="5"/>
        <v>0</v>
      </c>
      <c r="R140">
        <f>VLOOKUP(B140,[2]Sheet1!$B:$J,9,0)</f>
        <v>147188</v>
      </c>
      <c r="S140">
        <f t="shared" si="6"/>
        <v>0</v>
      </c>
    </row>
    <row r="141" spans="1:19" hidden="1">
      <c r="A141" s="294">
        <v>1900</v>
      </c>
      <c r="B141" s="294">
        <v>40100007</v>
      </c>
      <c r="C141" s="293" t="s">
        <v>212</v>
      </c>
      <c r="D141" s="293" t="s">
        <v>465</v>
      </c>
      <c r="E141" s="293" t="s">
        <v>12</v>
      </c>
      <c r="F141" s="323">
        <v>0</v>
      </c>
      <c r="G141" s="323">
        <v>0</v>
      </c>
      <c r="H141" s="323">
        <v>1599995.4</v>
      </c>
      <c r="I141" s="323">
        <v>200000</v>
      </c>
      <c r="J141" s="323">
        <v>1399995.4</v>
      </c>
      <c r="L141" s="324">
        <f>IFERROR(VLOOKUP(C141,'TB_31.03.2026 (Links)'!$D:$H,5,0)-J141,"Error")</f>
        <v>0</v>
      </c>
      <c r="O141">
        <v>1399995.4</v>
      </c>
      <c r="P141">
        <f t="shared" si="5"/>
        <v>0</v>
      </c>
      <c r="R141">
        <f>VLOOKUP(B141,[2]Sheet1!$B:$J,9,0)</f>
        <v>1399995.4</v>
      </c>
      <c r="S141">
        <f t="shared" si="6"/>
        <v>0</v>
      </c>
    </row>
    <row r="142" spans="1:19" hidden="1">
      <c r="A142" s="294">
        <v>1900</v>
      </c>
      <c r="B142" s="294">
        <v>40100008</v>
      </c>
      <c r="C142" s="293" t="s">
        <v>213</v>
      </c>
      <c r="D142" s="293" t="s">
        <v>465</v>
      </c>
      <c r="E142" s="293" t="s">
        <v>12</v>
      </c>
      <c r="F142" s="323">
        <v>0</v>
      </c>
      <c r="G142" s="323">
        <v>0</v>
      </c>
      <c r="H142" s="323">
        <v>1196639</v>
      </c>
      <c r="I142" s="323">
        <v>3000</v>
      </c>
      <c r="J142" s="323">
        <v>1193639</v>
      </c>
      <c r="L142" s="324">
        <f>IFERROR(VLOOKUP(C142,'TB_31.03.2026 (Links)'!$D:$H,5,0)-J142,"Error")</f>
        <v>0</v>
      </c>
      <c r="O142">
        <v>1193639</v>
      </c>
      <c r="P142">
        <f t="shared" si="5"/>
        <v>0</v>
      </c>
      <c r="R142">
        <f>VLOOKUP(B142,[2]Sheet1!$B:$J,9,0)</f>
        <v>1193639</v>
      </c>
      <c r="S142">
        <f t="shared" si="6"/>
        <v>0</v>
      </c>
    </row>
    <row r="143" spans="1:19">
      <c r="A143" s="294">
        <v>1900</v>
      </c>
      <c r="B143" s="294">
        <v>40200002</v>
      </c>
      <c r="C143" s="293" t="s">
        <v>217</v>
      </c>
      <c r="D143" s="293" t="s">
        <v>465</v>
      </c>
      <c r="E143" s="293" t="s">
        <v>12</v>
      </c>
      <c r="F143" s="323">
        <v>0</v>
      </c>
      <c r="G143" s="323">
        <v>0</v>
      </c>
      <c r="H143" s="323">
        <v>6640637</v>
      </c>
      <c r="I143" s="323">
        <f>50360+6566277</f>
        <v>6616637</v>
      </c>
      <c r="J143" s="323">
        <f>+H143-I143</f>
        <v>24000</v>
      </c>
      <c r="L143" s="324">
        <f>IFERROR(VLOOKUP(C143,'TB_31.03.2026 (Links)'!$D:$H,5,0)-J143,"Error")</f>
        <v>0</v>
      </c>
      <c r="O143">
        <v>6590277</v>
      </c>
      <c r="P143">
        <f t="shared" si="5"/>
        <v>-6566277</v>
      </c>
      <c r="R143" s="647">
        <f>VLOOKUP(B143,[2]Sheet1!$B:$J,9,0)</f>
        <v>6590277</v>
      </c>
      <c r="S143">
        <f t="shared" si="6"/>
        <v>-6566277</v>
      </c>
    </row>
    <row r="144" spans="1:19" hidden="1">
      <c r="A144" s="294">
        <v>1900</v>
      </c>
      <c r="B144" s="294">
        <v>40200004</v>
      </c>
      <c r="C144" s="293" t="s">
        <v>399</v>
      </c>
      <c r="D144" s="293" t="s">
        <v>465</v>
      </c>
      <c r="E144" s="293" t="s">
        <v>12</v>
      </c>
      <c r="F144" s="323">
        <v>0</v>
      </c>
      <c r="G144" s="323">
        <v>0</v>
      </c>
      <c r="H144" s="323">
        <v>671500</v>
      </c>
      <c r="I144" s="323">
        <v>0</v>
      </c>
      <c r="J144" s="323">
        <v>671500</v>
      </c>
      <c r="L144" s="324">
        <f>IFERROR(VLOOKUP(C144,'TB_31.03.2026 (Links)'!$D:$H,5,0)-J144,"Error")</f>
        <v>0</v>
      </c>
      <c r="O144">
        <v>671500</v>
      </c>
      <c r="P144">
        <f t="shared" si="5"/>
        <v>0</v>
      </c>
      <c r="R144">
        <f>VLOOKUP(B144,[2]Sheet1!$B:$J,9,0)</f>
        <v>671500</v>
      </c>
      <c r="S144">
        <f t="shared" si="6"/>
        <v>0</v>
      </c>
    </row>
    <row r="145" spans="1:19" hidden="1">
      <c r="A145" s="294">
        <v>1900</v>
      </c>
      <c r="B145" s="294">
        <v>40200005</v>
      </c>
      <c r="C145" s="293" t="s">
        <v>218</v>
      </c>
      <c r="D145" s="293" t="s">
        <v>465</v>
      </c>
      <c r="E145" s="293" t="s">
        <v>12</v>
      </c>
      <c r="F145" s="323">
        <v>0</v>
      </c>
      <c r="G145" s="323">
        <v>0</v>
      </c>
      <c r="H145" s="323">
        <v>764422</v>
      </c>
      <c r="I145" s="323">
        <v>0</v>
      </c>
      <c r="J145" s="323">
        <v>764422</v>
      </c>
      <c r="L145" s="324">
        <f>IFERROR(VLOOKUP(C145,'TB_31.03.2026 (Links)'!$D:$H,5,0)-J145,"Error")</f>
        <v>0</v>
      </c>
      <c r="O145">
        <v>764422</v>
      </c>
      <c r="P145">
        <f t="shared" si="5"/>
        <v>0</v>
      </c>
      <c r="R145">
        <f>VLOOKUP(B145,[2]Sheet1!$B:$J,9,0)</f>
        <v>764422</v>
      </c>
      <c r="S145">
        <f t="shared" si="6"/>
        <v>0</v>
      </c>
    </row>
    <row r="146" spans="1:19" hidden="1">
      <c r="A146" s="294">
        <v>1900</v>
      </c>
      <c r="B146" s="294">
        <v>40200032</v>
      </c>
      <c r="C146" s="293" t="s">
        <v>374</v>
      </c>
      <c r="D146" s="293" t="s">
        <v>465</v>
      </c>
      <c r="E146" s="293" t="s">
        <v>12</v>
      </c>
      <c r="F146" s="323">
        <v>0</v>
      </c>
      <c r="G146" s="323">
        <v>0</v>
      </c>
      <c r="H146" s="323">
        <v>20106.04</v>
      </c>
      <c r="I146" s="323">
        <v>0</v>
      </c>
      <c r="J146" s="323">
        <v>20106.04</v>
      </c>
      <c r="L146" s="324">
        <f>IFERROR(VLOOKUP(C146,'TB_31.03.2026 (Links)'!$D:$H,5,0)-J146,"Error")</f>
        <v>0</v>
      </c>
      <c r="O146">
        <v>20106.04</v>
      </c>
      <c r="P146">
        <f t="shared" si="5"/>
        <v>0</v>
      </c>
      <c r="R146">
        <f>VLOOKUP(B146,[2]Sheet1!$B:$J,9,0)</f>
        <v>20106.04</v>
      </c>
      <c r="S146">
        <f t="shared" si="6"/>
        <v>0</v>
      </c>
    </row>
    <row r="147" spans="1:19" hidden="1">
      <c r="A147" s="294">
        <v>1900</v>
      </c>
      <c r="B147" s="294">
        <v>40300003</v>
      </c>
      <c r="C147" s="293" t="s">
        <v>205</v>
      </c>
      <c r="D147" s="293" t="s">
        <v>465</v>
      </c>
      <c r="E147" s="293" t="s">
        <v>12</v>
      </c>
      <c r="F147" s="323">
        <v>0</v>
      </c>
      <c r="G147" s="323">
        <v>0</v>
      </c>
      <c r="H147" s="323">
        <v>3267147.7</v>
      </c>
      <c r="I147" s="323">
        <v>164262.75</v>
      </c>
      <c r="J147" s="323">
        <v>3102884.95</v>
      </c>
      <c r="L147" s="324">
        <f>IFERROR(VLOOKUP(C147,'TB_31.03.2026 (Links)'!$D:$H,5,0)-J147,"Error")</f>
        <v>0</v>
      </c>
      <c r="O147">
        <v>3102884.95</v>
      </c>
      <c r="P147">
        <f t="shared" si="5"/>
        <v>0</v>
      </c>
      <c r="R147">
        <f>VLOOKUP(B147,[2]Sheet1!$B:$J,9,0)</f>
        <v>3102884.95</v>
      </c>
      <c r="S147">
        <f t="shared" si="6"/>
        <v>0</v>
      </c>
    </row>
    <row r="148" spans="1:19" hidden="1">
      <c r="A148" s="294">
        <v>1900</v>
      </c>
      <c r="B148" s="294">
        <v>40300006</v>
      </c>
      <c r="C148" s="293" t="s">
        <v>375</v>
      </c>
      <c r="D148" s="293" t="s">
        <v>465</v>
      </c>
      <c r="E148" s="293" t="s">
        <v>12</v>
      </c>
      <c r="F148" s="323">
        <v>0</v>
      </c>
      <c r="G148" s="323">
        <v>0</v>
      </c>
      <c r="H148" s="323">
        <v>29135</v>
      </c>
      <c r="I148" s="323">
        <v>29135</v>
      </c>
      <c r="J148" s="323">
        <v>0</v>
      </c>
      <c r="L148" s="324">
        <f>IFERROR(VLOOKUP(C148,'TB_31.03.2026 (Links)'!$D:$H,5,0)-J148,"Error")</f>
        <v>0</v>
      </c>
      <c r="O148">
        <v>0</v>
      </c>
      <c r="P148">
        <f t="shared" si="5"/>
        <v>0</v>
      </c>
      <c r="R148">
        <f>VLOOKUP(B148,[2]Sheet1!$B:$J,9,0)</f>
        <v>0</v>
      </c>
      <c r="S148">
        <f t="shared" si="6"/>
        <v>0</v>
      </c>
    </row>
    <row r="149" spans="1:19" hidden="1">
      <c r="A149" s="294">
        <v>1900</v>
      </c>
      <c r="B149" s="294">
        <v>40300008</v>
      </c>
      <c r="C149" s="293" t="s">
        <v>454</v>
      </c>
      <c r="D149" s="293" t="s">
        <v>465</v>
      </c>
      <c r="E149" s="293" t="s">
        <v>12</v>
      </c>
      <c r="F149" s="323">
        <v>0</v>
      </c>
      <c r="G149" s="323">
        <v>0</v>
      </c>
      <c r="H149" s="323">
        <v>801105.77</v>
      </c>
      <c r="I149" s="323">
        <v>0</v>
      </c>
      <c r="J149" s="323">
        <v>801105.77</v>
      </c>
      <c r="L149" s="324">
        <f>IFERROR(VLOOKUP(C149,'TB_31.03.2026 (Links)'!$D:$H,5,0)-J149,"Error")</f>
        <v>0</v>
      </c>
      <c r="O149">
        <v>801105.77</v>
      </c>
      <c r="P149">
        <f t="shared" si="5"/>
        <v>0</v>
      </c>
      <c r="R149">
        <f>VLOOKUP(B149,[2]Sheet1!$B:$J,9,0)</f>
        <v>801105.77</v>
      </c>
      <c r="S149">
        <f t="shared" si="6"/>
        <v>0</v>
      </c>
    </row>
    <row r="150" spans="1:19" hidden="1">
      <c r="A150" s="294">
        <v>1900</v>
      </c>
      <c r="B150" s="294">
        <v>40300009</v>
      </c>
      <c r="C150" s="293" t="s">
        <v>455</v>
      </c>
      <c r="D150" s="293" t="s">
        <v>465</v>
      </c>
      <c r="E150" s="293" t="s">
        <v>12</v>
      </c>
      <c r="F150" s="323">
        <v>0</v>
      </c>
      <c r="G150" s="323">
        <v>0</v>
      </c>
      <c r="H150" s="323">
        <v>1809</v>
      </c>
      <c r="I150" s="323">
        <v>1809</v>
      </c>
      <c r="J150" s="323">
        <v>0</v>
      </c>
      <c r="L150" s="324">
        <f>IFERROR(VLOOKUP(C150,'TB_31.03.2026 (Links)'!$D:$H,5,0)-J150,"Error")</f>
        <v>0</v>
      </c>
      <c r="O150">
        <v>0</v>
      </c>
      <c r="P150">
        <f t="shared" si="5"/>
        <v>0</v>
      </c>
      <c r="R150">
        <f>VLOOKUP(B150,[2]Sheet1!$B:$J,9,0)</f>
        <v>0</v>
      </c>
      <c r="S150">
        <f t="shared" si="6"/>
        <v>0</v>
      </c>
    </row>
    <row r="151" spans="1:19" hidden="1">
      <c r="A151" s="294">
        <v>1900</v>
      </c>
      <c r="B151" s="294">
        <v>40300010</v>
      </c>
      <c r="C151" s="293" t="s">
        <v>376</v>
      </c>
      <c r="D151" s="293" t="s">
        <v>465</v>
      </c>
      <c r="E151" s="293" t="s">
        <v>12</v>
      </c>
      <c r="F151" s="323">
        <v>0</v>
      </c>
      <c r="G151" s="323">
        <v>0</v>
      </c>
      <c r="H151" s="323">
        <v>270626.59000000003</v>
      </c>
      <c r="I151" s="323">
        <v>270626.59000000003</v>
      </c>
      <c r="J151" s="323">
        <v>0</v>
      </c>
      <c r="L151" s="324">
        <f>IFERROR(VLOOKUP(C151,'TB_31.03.2026 (Links)'!$D:$H,5,0)-J151,"Error")</f>
        <v>0</v>
      </c>
      <c r="O151">
        <v>0</v>
      </c>
      <c r="P151">
        <f t="shared" si="5"/>
        <v>0</v>
      </c>
      <c r="R151">
        <f>VLOOKUP(B151,[2]Sheet1!$B:$J,9,0)</f>
        <v>0</v>
      </c>
      <c r="S151">
        <f t="shared" si="6"/>
        <v>0</v>
      </c>
    </row>
    <row r="152" spans="1:19" hidden="1">
      <c r="A152" s="294">
        <v>1900</v>
      </c>
      <c r="B152" s="294">
        <v>40400002</v>
      </c>
      <c r="C152" s="293" t="s">
        <v>206</v>
      </c>
      <c r="D152" s="293" t="s">
        <v>465</v>
      </c>
      <c r="E152" s="293" t="s">
        <v>12</v>
      </c>
      <c r="F152" s="323">
        <v>0</v>
      </c>
      <c r="G152" s="323">
        <v>0</v>
      </c>
      <c r="H152" s="323">
        <v>331055703.76999998</v>
      </c>
      <c r="I152" s="323">
        <v>189899193.96000001</v>
      </c>
      <c r="J152" s="323">
        <v>141156509.81</v>
      </c>
      <c r="L152" s="324">
        <f>IFERROR(VLOOKUP(C152,'TB_31.03.2026 (Links)'!$D:$H,5,0)-J152,"Error")</f>
        <v>0</v>
      </c>
      <c r="O152">
        <v>141156509.81</v>
      </c>
      <c r="P152">
        <f t="shared" si="5"/>
        <v>0</v>
      </c>
      <c r="R152">
        <f>VLOOKUP(B152,[2]Sheet1!$B:$J,9,0)</f>
        <v>141156509.81</v>
      </c>
      <c r="S152">
        <f t="shared" si="6"/>
        <v>0</v>
      </c>
    </row>
    <row r="153" spans="1:19" hidden="1">
      <c r="A153" s="294">
        <v>1900</v>
      </c>
      <c r="B153" s="294">
        <v>40400003</v>
      </c>
      <c r="C153" s="293" t="s">
        <v>207</v>
      </c>
      <c r="D153" s="293" t="s">
        <v>465</v>
      </c>
      <c r="E153" s="293" t="s">
        <v>12</v>
      </c>
      <c r="F153" s="323">
        <v>0</v>
      </c>
      <c r="G153" s="323">
        <v>0</v>
      </c>
      <c r="H153" s="323">
        <v>781859</v>
      </c>
      <c r="I153" s="323">
        <v>0</v>
      </c>
      <c r="J153" s="323">
        <v>781859</v>
      </c>
      <c r="L153" s="324">
        <f>IFERROR(VLOOKUP(C153,'TB_31.03.2026 (Links)'!$D:$H,5,0)-J153,"Error")</f>
        <v>0</v>
      </c>
      <c r="O153">
        <v>781859</v>
      </c>
      <c r="P153">
        <f t="shared" si="5"/>
        <v>0</v>
      </c>
      <c r="R153">
        <f>VLOOKUP(B153,[2]Sheet1!$B:$J,9,0)</f>
        <v>781859</v>
      </c>
      <c r="S153">
        <f t="shared" si="6"/>
        <v>0</v>
      </c>
    </row>
    <row r="154" spans="1:19" hidden="1">
      <c r="A154" s="294">
        <v>1900</v>
      </c>
      <c r="B154" s="294">
        <v>40400004</v>
      </c>
      <c r="C154" s="293" t="s">
        <v>208</v>
      </c>
      <c r="D154" s="293" t="s">
        <v>465</v>
      </c>
      <c r="E154" s="293" t="s">
        <v>12</v>
      </c>
      <c r="F154" s="323">
        <v>0</v>
      </c>
      <c r="G154" s="323">
        <v>0</v>
      </c>
      <c r="H154" s="323">
        <v>4261.12</v>
      </c>
      <c r="I154" s="323">
        <v>0</v>
      </c>
      <c r="J154" s="323">
        <v>4261.12</v>
      </c>
      <c r="L154" s="324">
        <f>IFERROR(VLOOKUP(C154,'TB_31.03.2026 (Links)'!$D:$H,5,0)-J154,"Error")</f>
        <v>0</v>
      </c>
      <c r="O154">
        <v>4261.12</v>
      </c>
      <c r="P154">
        <f t="shared" si="5"/>
        <v>0</v>
      </c>
      <c r="R154">
        <f>VLOOKUP(B154,[2]Sheet1!$B:$J,9,0)</f>
        <v>4261.12</v>
      </c>
      <c r="S154">
        <f t="shared" si="6"/>
        <v>0</v>
      </c>
    </row>
    <row r="155" spans="1:19" hidden="1">
      <c r="A155" s="294">
        <v>1900</v>
      </c>
      <c r="B155" s="294">
        <v>40500001</v>
      </c>
      <c r="C155" s="293" t="s">
        <v>216</v>
      </c>
      <c r="D155" s="293" t="s">
        <v>465</v>
      </c>
      <c r="E155" s="293" t="s">
        <v>12</v>
      </c>
      <c r="F155" s="323">
        <v>0</v>
      </c>
      <c r="G155" s="323">
        <v>0</v>
      </c>
      <c r="H155" s="323">
        <v>11628000</v>
      </c>
      <c r="I155" s="323">
        <v>0</v>
      </c>
      <c r="J155" s="323">
        <v>11628000</v>
      </c>
      <c r="L155" s="324">
        <f>IFERROR(VLOOKUP(C155,'TB_31.03.2026 (Links)'!$D:$H,5,0)-J155,"Error")</f>
        <v>0</v>
      </c>
      <c r="O155">
        <v>11628000</v>
      </c>
      <c r="P155">
        <f t="shared" si="5"/>
        <v>0</v>
      </c>
      <c r="R155">
        <f>VLOOKUP(B155,[2]Sheet1!$B:$J,9,0)</f>
        <v>11628000</v>
      </c>
      <c r="S155">
        <f t="shared" si="6"/>
        <v>0</v>
      </c>
    </row>
    <row r="156" spans="1:19" hidden="1">
      <c r="A156" s="294">
        <v>1900</v>
      </c>
      <c r="B156" s="294">
        <v>40700001</v>
      </c>
      <c r="C156" s="293" t="s">
        <v>219</v>
      </c>
      <c r="D156" s="293" t="s">
        <v>465</v>
      </c>
      <c r="E156" s="293" t="s">
        <v>12</v>
      </c>
      <c r="F156" s="323">
        <v>0</v>
      </c>
      <c r="G156" s="323">
        <v>0</v>
      </c>
      <c r="H156" s="323">
        <v>14214357.970000001</v>
      </c>
      <c r="I156" s="323">
        <v>0</v>
      </c>
      <c r="J156" s="323">
        <v>14214357.970000001</v>
      </c>
      <c r="L156" s="324">
        <f>IFERROR(VLOOKUP(C156,'TB_31.03.2026 (Links)'!$D:$H,5,0)-J156,"Error")</f>
        <v>0</v>
      </c>
      <c r="O156">
        <v>14214357.970000001</v>
      </c>
      <c r="P156">
        <f t="shared" si="5"/>
        <v>0</v>
      </c>
      <c r="R156">
        <f>VLOOKUP(B156,[2]Sheet1!$B:$J,9,0)</f>
        <v>14214357.970000001</v>
      </c>
      <c r="S156">
        <f t="shared" si="6"/>
        <v>0</v>
      </c>
    </row>
    <row r="157" spans="1:19" hidden="1">
      <c r="A157" s="294">
        <v>1900</v>
      </c>
      <c r="B157" s="294">
        <v>40700002</v>
      </c>
      <c r="C157" s="293" t="s">
        <v>220</v>
      </c>
      <c r="D157" s="293" t="s">
        <v>465</v>
      </c>
      <c r="E157" s="293" t="s">
        <v>12</v>
      </c>
      <c r="F157" s="323">
        <v>0</v>
      </c>
      <c r="G157" s="323">
        <v>0</v>
      </c>
      <c r="H157" s="323">
        <v>14214357.970000001</v>
      </c>
      <c r="I157" s="323">
        <v>0</v>
      </c>
      <c r="J157" s="323">
        <v>14214357.970000001</v>
      </c>
      <c r="L157" s="324">
        <f>IFERROR(VLOOKUP(C157,'TB_31.03.2026 (Links)'!$D:$H,5,0)-J157,"Error")</f>
        <v>0</v>
      </c>
      <c r="O157">
        <v>14214357.970000001</v>
      </c>
      <c r="P157">
        <f t="shared" si="5"/>
        <v>0</v>
      </c>
      <c r="R157">
        <f>VLOOKUP(B157,[2]Sheet1!$B:$J,9,0)</f>
        <v>14214357.970000001</v>
      </c>
      <c r="S157">
        <f t="shared" si="6"/>
        <v>0</v>
      </c>
    </row>
    <row r="158" spans="1:19" hidden="1">
      <c r="A158" s="294">
        <v>1900</v>
      </c>
      <c r="B158" s="294">
        <v>40800052</v>
      </c>
      <c r="C158" s="293" t="s">
        <v>215</v>
      </c>
      <c r="D158" s="293" t="s">
        <v>465</v>
      </c>
      <c r="E158" s="293" t="s">
        <v>12</v>
      </c>
      <c r="F158" s="323">
        <v>0</v>
      </c>
      <c r="G158" s="323">
        <v>0</v>
      </c>
      <c r="H158" s="323">
        <v>904090.32</v>
      </c>
      <c r="I158" s="323">
        <v>156780</v>
      </c>
      <c r="J158" s="323">
        <v>747310.32</v>
      </c>
      <c r="L158" s="324">
        <f>IFERROR(VLOOKUP(C158,'TB_31.03.2026 (Links)'!$D:$H,5,0)-J158,"Error")</f>
        <v>0</v>
      </c>
      <c r="O158">
        <v>747310.32</v>
      </c>
      <c r="P158">
        <f t="shared" si="5"/>
        <v>0</v>
      </c>
      <c r="R158">
        <f>VLOOKUP(B158,[2]Sheet1!$B:$J,9,0)</f>
        <v>747310.32</v>
      </c>
      <c r="S158">
        <f t="shared" si="6"/>
        <v>0</v>
      </c>
    </row>
    <row r="159" spans="1:19" hidden="1">
      <c r="A159" s="294">
        <v>1900</v>
      </c>
      <c r="B159" s="294">
        <v>45100001</v>
      </c>
      <c r="C159" s="293" t="s">
        <v>398</v>
      </c>
      <c r="D159" s="293" t="s">
        <v>465</v>
      </c>
      <c r="E159" s="293" t="s">
        <v>12</v>
      </c>
      <c r="F159" s="323">
        <v>0</v>
      </c>
      <c r="G159" s="323">
        <v>0</v>
      </c>
      <c r="H159" s="323">
        <v>58040948</v>
      </c>
      <c r="I159" s="323">
        <v>34210</v>
      </c>
      <c r="J159" s="323">
        <v>58006738</v>
      </c>
      <c r="L159" s="324">
        <f>IFERROR(VLOOKUP(C159,'TB_31.03.2026 (Links)'!$D:$H,5,0)-J159,"Error")</f>
        <v>0</v>
      </c>
      <c r="O159">
        <v>58006738</v>
      </c>
      <c r="P159">
        <f t="shared" si="5"/>
        <v>0</v>
      </c>
      <c r="R159">
        <f>VLOOKUP(B159,[2]Sheet1!$B:$J,9,0)</f>
        <v>58006738</v>
      </c>
      <c r="S159">
        <f t="shared" si="6"/>
        <v>0</v>
      </c>
    </row>
    <row r="160" spans="1:19" hidden="1">
      <c r="A160" s="294">
        <v>1900</v>
      </c>
      <c r="B160" s="294">
        <v>45100005</v>
      </c>
      <c r="C160" s="293" t="s">
        <v>397</v>
      </c>
      <c r="D160" s="293" t="s">
        <v>465</v>
      </c>
      <c r="E160" s="293" t="s">
        <v>12</v>
      </c>
      <c r="F160" s="323">
        <v>0</v>
      </c>
      <c r="G160" s="323">
        <v>0</v>
      </c>
      <c r="H160" s="323">
        <v>402674</v>
      </c>
      <c r="I160" s="323">
        <v>19836</v>
      </c>
      <c r="J160" s="323">
        <v>382838</v>
      </c>
      <c r="L160" s="324">
        <f>IFERROR(VLOOKUP(C160,'TB_31.03.2026 (Links)'!$D:$H,5,0)-J160,"Error")</f>
        <v>0</v>
      </c>
      <c r="O160">
        <v>382838</v>
      </c>
      <c r="P160">
        <f t="shared" si="5"/>
        <v>0</v>
      </c>
      <c r="R160">
        <f>VLOOKUP(B160,[2]Sheet1!$B:$J,9,0)</f>
        <v>382838</v>
      </c>
      <c r="S160">
        <f t="shared" si="6"/>
        <v>0</v>
      </c>
    </row>
    <row r="161" spans="1:19" hidden="1">
      <c r="A161" s="294">
        <v>1900</v>
      </c>
      <c r="B161" s="294">
        <v>45100021</v>
      </c>
      <c r="C161" s="293" t="s">
        <v>396</v>
      </c>
      <c r="D161" s="293" t="s">
        <v>465</v>
      </c>
      <c r="E161" s="293" t="s">
        <v>12</v>
      </c>
      <c r="F161" s="323">
        <v>0</v>
      </c>
      <c r="G161" s="323">
        <v>0</v>
      </c>
      <c r="H161" s="323">
        <v>1510470</v>
      </c>
      <c r="I161" s="323">
        <v>0</v>
      </c>
      <c r="J161" s="323">
        <v>1510470</v>
      </c>
      <c r="L161" s="324">
        <f>IFERROR(VLOOKUP(C161,'TB_31.03.2026 (Links)'!$D:$H,5,0)-J161,"Error")</f>
        <v>0</v>
      </c>
      <c r="O161">
        <v>1510470</v>
      </c>
      <c r="P161">
        <f t="shared" si="5"/>
        <v>0</v>
      </c>
      <c r="R161">
        <f>VLOOKUP(B161,[2]Sheet1!$B:$J,9,0)</f>
        <v>1510470</v>
      </c>
      <c r="S161">
        <f t="shared" si="6"/>
        <v>0</v>
      </c>
    </row>
    <row r="162" spans="1:19" hidden="1">
      <c r="A162" s="294">
        <v>1900</v>
      </c>
      <c r="B162" s="294">
        <v>45100052</v>
      </c>
      <c r="C162" s="293" t="s">
        <v>395</v>
      </c>
      <c r="D162" s="293" t="s">
        <v>465</v>
      </c>
      <c r="E162" s="293" t="s">
        <v>12</v>
      </c>
      <c r="F162" s="323">
        <v>0</v>
      </c>
      <c r="G162" s="323">
        <v>0</v>
      </c>
      <c r="H162" s="323">
        <v>1450574</v>
      </c>
      <c r="I162" s="323">
        <v>0</v>
      </c>
      <c r="J162" s="323">
        <v>1450574</v>
      </c>
      <c r="L162" s="324">
        <f>IFERROR(VLOOKUP(C162,'TB_31.03.2026 (Links)'!$D:$H,5,0)-J162,"Error")</f>
        <v>0</v>
      </c>
      <c r="O162">
        <v>1450574</v>
      </c>
      <c r="P162">
        <f t="shared" si="5"/>
        <v>0</v>
      </c>
      <c r="R162">
        <f>VLOOKUP(B162,[2]Sheet1!$B:$J,9,0)</f>
        <v>1450574</v>
      </c>
      <c r="S162">
        <f t="shared" si="6"/>
        <v>0</v>
      </c>
    </row>
    <row r="163" spans="1:19" hidden="1">
      <c r="A163" s="294">
        <v>1900</v>
      </c>
      <c r="B163" s="294">
        <v>45100053</v>
      </c>
      <c r="C163" s="293" t="s">
        <v>394</v>
      </c>
      <c r="D163" s="293" t="s">
        <v>465</v>
      </c>
      <c r="E163" s="293" t="s">
        <v>12</v>
      </c>
      <c r="F163" s="323">
        <v>0</v>
      </c>
      <c r="G163" s="323">
        <v>0</v>
      </c>
      <c r="H163" s="323">
        <v>60446</v>
      </c>
      <c r="I163" s="323">
        <v>0</v>
      </c>
      <c r="J163" s="323">
        <v>60446</v>
      </c>
      <c r="L163" s="324">
        <f>IFERROR(VLOOKUP(C163,'TB_31.03.2026 (Links)'!$D:$H,5,0)-J163,"Error")</f>
        <v>0</v>
      </c>
      <c r="O163">
        <v>60446</v>
      </c>
      <c r="P163">
        <f t="shared" si="5"/>
        <v>0</v>
      </c>
      <c r="R163">
        <f>VLOOKUP(B163,[2]Sheet1!$B:$J,9,0)</f>
        <v>60446</v>
      </c>
      <c r="S163">
        <f t="shared" si="6"/>
        <v>0</v>
      </c>
    </row>
    <row r="164" spans="1:19" hidden="1">
      <c r="A164" s="294">
        <v>1900</v>
      </c>
      <c r="B164" s="294">
        <v>45100054</v>
      </c>
      <c r="C164" s="293" t="s">
        <v>393</v>
      </c>
      <c r="D164" s="293" t="s">
        <v>465</v>
      </c>
      <c r="E164" s="293" t="s">
        <v>12</v>
      </c>
      <c r="F164" s="323">
        <v>0</v>
      </c>
      <c r="G164" s="323">
        <v>0</v>
      </c>
      <c r="H164" s="323">
        <v>60440</v>
      </c>
      <c r="I164" s="323">
        <v>0</v>
      </c>
      <c r="J164" s="323">
        <v>60440</v>
      </c>
      <c r="L164" s="324">
        <f>IFERROR(VLOOKUP(C164,'TB_31.03.2026 (Links)'!$D:$H,5,0)-J164,"Error")</f>
        <v>0</v>
      </c>
      <c r="O164">
        <v>60440</v>
      </c>
      <c r="P164">
        <f t="shared" si="5"/>
        <v>0</v>
      </c>
      <c r="R164">
        <f>VLOOKUP(B164,[2]Sheet1!$B:$J,9,0)</f>
        <v>60440</v>
      </c>
      <c r="S164">
        <f t="shared" si="6"/>
        <v>0</v>
      </c>
    </row>
    <row r="165" spans="1:19" hidden="1">
      <c r="A165" s="294">
        <v>1900</v>
      </c>
      <c r="B165" s="294">
        <v>45100055</v>
      </c>
      <c r="C165" s="293" t="s">
        <v>392</v>
      </c>
      <c r="D165" s="293" t="s">
        <v>465</v>
      </c>
      <c r="E165" s="293" t="s">
        <v>12</v>
      </c>
      <c r="F165" s="323">
        <v>0</v>
      </c>
      <c r="G165" s="323">
        <v>0</v>
      </c>
      <c r="H165" s="323">
        <v>23678</v>
      </c>
      <c r="I165" s="323">
        <v>23678</v>
      </c>
      <c r="J165" s="323">
        <v>0</v>
      </c>
      <c r="L165" s="324">
        <f>IFERROR(VLOOKUP(C165,'TB_31.03.2026 (Links)'!$D:$H,5,0)-J165,"Error")</f>
        <v>0</v>
      </c>
      <c r="O165">
        <v>0</v>
      </c>
      <c r="P165">
        <f t="shared" si="5"/>
        <v>0</v>
      </c>
      <c r="R165">
        <f>VLOOKUP(B165,[2]Sheet1!$B:$J,9,0)</f>
        <v>0</v>
      </c>
      <c r="S165">
        <f t="shared" si="6"/>
        <v>0</v>
      </c>
    </row>
    <row r="166" spans="1:19" hidden="1">
      <c r="A166" s="294">
        <v>1900</v>
      </c>
      <c r="B166" s="294">
        <v>45100056</v>
      </c>
      <c r="C166" s="293" t="s">
        <v>391</v>
      </c>
      <c r="D166" s="293" t="s">
        <v>465</v>
      </c>
      <c r="E166" s="293" t="s">
        <v>12</v>
      </c>
      <c r="F166" s="323">
        <v>0</v>
      </c>
      <c r="G166" s="323">
        <v>0</v>
      </c>
      <c r="H166" s="323">
        <v>13502</v>
      </c>
      <c r="I166" s="323">
        <v>13502</v>
      </c>
      <c r="J166" s="323">
        <v>0</v>
      </c>
      <c r="L166" s="324">
        <f>IFERROR(VLOOKUP(C166,'TB_31.03.2026 (Links)'!$D:$H,5,0)-J166,"Error")</f>
        <v>0</v>
      </c>
      <c r="O166">
        <v>0</v>
      </c>
      <c r="P166">
        <f t="shared" si="5"/>
        <v>0</v>
      </c>
      <c r="R166">
        <f>VLOOKUP(B166,[2]Sheet1!$B:$J,9,0)</f>
        <v>0</v>
      </c>
      <c r="S166">
        <f t="shared" si="6"/>
        <v>0</v>
      </c>
    </row>
    <row r="167" spans="1:19" hidden="1">
      <c r="A167" s="294">
        <v>1900</v>
      </c>
      <c r="B167" s="294">
        <v>45100057</v>
      </c>
      <c r="C167" s="293" t="s">
        <v>239</v>
      </c>
      <c r="D167" s="293" t="s">
        <v>465</v>
      </c>
      <c r="E167" s="293" t="s">
        <v>12</v>
      </c>
      <c r="F167" s="323">
        <v>0</v>
      </c>
      <c r="G167" s="323">
        <v>0</v>
      </c>
      <c r="H167" s="323">
        <v>5000</v>
      </c>
      <c r="I167" s="323">
        <v>2500</v>
      </c>
      <c r="J167" s="323">
        <v>2500</v>
      </c>
      <c r="L167" s="324">
        <f>IFERROR(VLOOKUP(C167,'TB_31.03.2026 (Links)'!$D:$H,5,0)-J167,"Error")</f>
        <v>0</v>
      </c>
      <c r="O167">
        <v>2500</v>
      </c>
      <c r="P167">
        <f t="shared" si="5"/>
        <v>0</v>
      </c>
      <c r="R167">
        <f>VLOOKUP(B167,[2]Sheet1!$B:$J,9,0)</f>
        <v>2500</v>
      </c>
      <c r="S167">
        <f t="shared" si="6"/>
        <v>0</v>
      </c>
    </row>
    <row r="168" spans="1:19" hidden="1">
      <c r="A168" s="294">
        <v>1900</v>
      </c>
      <c r="B168" s="294">
        <v>45100059</v>
      </c>
      <c r="C168" s="293" t="s">
        <v>390</v>
      </c>
      <c r="D168" s="293" t="s">
        <v>465</v>
      </c>
      <c r="E168" s="293" t="s">
        <v>12</v>
      </c>
      <c r="F168" s="323">
        <v>0</v>
      </c>
      <c r="G168" s="323">
        <v>0</v>
      </c>
      <c r="H168" s="323">
        <v>12525</v>
      </c>
      <c r="I168" s="323">
        <v>0</v>
      </c>
      <c r="J168" s="323">
        <v>12525</v>
      </c>
      <c r="L168" s="324">
        <f>IFERROR(VLOOKUP(C168,'TB_31.03.2026 (Links)'!$D:$H,5,0)-J168,"Error")</f>
        <v>0</v>
      </c>
      <c r="O168">
        <v>12525</v>
      </c>
      <c r="P168">
        <f t="shared" si="5"/>
        <v>0</v>
      </c>
      <c r="R168">
        <f>VLOOKUP(B168,[2]Sheet1!$B:$J,9,0)</f>
        <v>12525</v>
      </c>
      <c r="S168">
        <f t="shared" si="6"/>
        <v>0</v>
      </c>
    </row>
    <row r="169" spans="1:19" hidden="1">
      <c r="A169" s="294">
        <v>1900</v>
      </c>
      <c r="B169" s="294">
        <v>45200001</v>
      </c>
      <c r="C169" s="293" t="s">
        <v>456</v>
      </c>
      <c r="D169" s="293" t="s">
        <v>465</v>
      </c>
      <c r="E169" s="293" t="s">
        <v>12</v>
      </c>
      <c r="F169" s="323">
        <v>0</v>
      </c>
      <c r="G169" s="323">
        <v>0</v>
      </c>
      <c r="H169" s="323">
        <v>816666.94</v>
      </c>
      <c r="I169" s="323">
        <v>391553</v>
      </c>
      <c r="J169" s="323">
        <v>425113.94</v>
      </c>
      <c r="L169" s="324">
        <f>IFERROR(VLOOKUP(C169,'TB_31.03.2026 (Links)'!$D:$H,5,0)-J169,"Error")</f>
        <v>0</v>
      </c>
      <c r="O169">
        <v>425113.94</v>
      </c>
      <c r="P169">
        <f t="shared" si="5"/>
        <v>0</v>
      </c>
      <c r="R169">
        <f>VLOOKUP(B169,[2]Sheet1!$B:$J,9,0)</f>
        <v>425113.94</v>
      </c>
      <c r="S169">
        <f t="shared" si="6"/>
        <v>0</v>
      </c>
    </row>
    <row r="170" spans="1:19" hidden="1">
      <c r="A170" s="294">
        <v>1900</v>
      </c>
      <c r="B170" s="294">
        <v>45200003</v>
      </c>
      <c r="C170" s="293" t="s">
        <v>377</v>
      </c>
      <c r="D170" s="293" t="s">
        <v>465</v>
      </c>
      <c r="E170" s="293" t="s">
        <v>12</v>
      </c>
      <c r="F170" s="323">
        <v>0</v>
      </c>
      <c r="G170" s="323">
        <v>0</v>
      </c>
      <c r="H170" s="323">
        <v>64593.2</v>
      </c>
      <c r="I170" s="323">
        <v>14451</v>
      </c>
      <c r="J170" s="323">
        <v>50142.2</v>
      </c>
      <c r="L170" s="324">
        <f>IFERROR(VLOOKUP(C170,'TB_31.03.2026 (Links)'!$D:$H,5,0)-J170,"Error")</f>
        <v>0</v>
      </c>
      <c r="O170">
        <v>50142.2</v>
      </c>
      <c r="P170">
        <f t="shared" si="5"/>
        <v>0</v>
      </c>
      <c r="R170">
        <f>VLOOKUP(B170,[2]Sheet1!$B:$J,9,0)</f>
        <v>50142.2</v>
      </c>
      <c r="S170">
        <f t="shared" si="6"/>
        <v>0</v>
      </c>
    </row>
    <row r="171" spans="1:19" hidden="1">
      <c r="A171" s="294">
        <v>1900</v>
      </c>
      <c r="B171" s="294">
        <v>45200004</v>
      </c>
      <c r="C171" s="293" t="s">
        <v>235</v>
      </c>
      <c r="D171" s="293" t="s">
        <v>465</v>
      </c>
      <c r="E171" s="293" t="s">
        <v>12</v>
      </c>
      <c r="F171" s="323">
        <v>0</v>
      </c>
      <c r="G171" s="323">
        <v>0</v>
      </c>
      <c r="H171" s="323">
        <v>765000</v>
      </c>
      <c r="I171" s="323">
        <v>380000</v>
      </c>
      <c r="J171" s="323">
        <v>385000</v>
      </c>
      <c r="L171" s="324">
        <f>IFERROR(VLOOKUP(C171,'TB_31.03.2026 (Links)'!$D:$H,5,0)-J171,"Error")</f>
        <v>0</v>
      </c>
      <c r="O171">
        <v>385000</v>
      </c>
      <c r="P171">
        <f t="shared" si="5"/>
        <v>0</v>
      </c>
      <c r="R171">
        <f>VLOOKUP(B171,[2]Sheet1!$B:$J,9,0)</f>
        <v>385000</v>
      </c>
      <c r="S171">
        <f t="shared" si="6"/>
        <v>0</v>
      </c>
    </row>
    <row r="172" spans="1:19" hidden="1">
      <c r="A172" s="294">
        <v>1900</v>
      </c>
      <c r="B172" s="294">
        <v>45200005</v>
      </c>
      <c r="C172" s="293" t="s">
        <v>233</v>
      </c>
      <c r="D172" s="293" t="s">
        <v>465</v>
      </c>
      <c r="E172" s="293" t="s">
        <v>12</v>
      </c>
      <c r="F172" s="323">
        <v>0</v>
      </c>
      <c r="G172" s="323">
        <v>0</v>
      </c>
      <c r="H172" s="323">
        <v>451548.28</v>
      </c>
      <c r="I172" s="323">
        <v>50974.99</v>
      </c>
      <c r="J172" s="323">
        <v>400573.29</v>
      </c>
      <c r="L172" s="324">
        <f>IFERROR(VLOOKUP(C172,'TB_31.03.2026 (Links)'!$D:$H,5,0)-J172,"Error")</f>
        <v>0</v>
      </c>
      <c r="O172">
        <v>400573.29</v>
      </c>
      <c r="P172">
        <f t="shared" si="5"/>
        <v>0</v>
      </c>
      <c r="R172">
        <f>VLOOKUP(B172,[2]Sheet1!$B:$J,9,0)</f>
        <v>400573.29</v>
      </c>
      <c r="S172">
        <f t="shared" si="6"/>
        <v>0</v>
      </c>
    </row>
    <row r="173" spans="1:19" hidden="1">
      <c r="A173" s="294">
        <v>1900</v>
      </c>
      <c r="B173" s="294">
        <v>45200006</v>
      </c>
      <c r="C173" s="293" t="s">
        <v>231</v>
      </c>
      <c r="D173" s="293" t="s">
        <v>465</v>
      </c>
      <c r="E173" s="293" t="s">
        <v>12</v>
      </c>
      <c r="F173" s="323">
        <v>0</v>
      </c>
      <c r="G173" s="323">
        <v>0</v>
      </c>
      <c r="H173" s="323">
        <v>34.36</v>
      </c>
      <c r="I173" s="323">
        <v>13.04</v>
      </c>
      <c r="J173" s="323">
        <v>21.32</v>
      </c>
      <c r="L173" s="324">
        <f>IFERROR(VLOOKUP(C173,'TB_31.03.2026 (Links)'!$D:$H,5,0)-J173,"Error")</f>
        <v>0</v>
      </c>
      <c r="O173">
        <v>21.32</v>
      </c>
      <c r="P173">
        <f t="shared" si="5"/>
        <v>0</v>
      </c>
      <c r="R173">
        <f>VLOOKUP(B173,[2]Sheet1!$B:$J,9,0)</f>
        <v>21.32</v>
      </c>
      <c r="S173">
        <f t="shared" si="6"/>
        <v>0</v>
      </c>
    </row>
    <row r="174" spans="1:19" hidden="1">
      <c r="A174" s="294">
        <v>1900</v>
      </c>
      <c r="B174" s="294">
        <v>45200007</v>
      </c>
      <c r="C174" s="293" t="s">
        <v>214</v>
      </c>
      <c r="D174" s="293" t="s">
        <v>465</v>
      </c>
      <c r="E174" s="293" t="s">
        <v>12</v>
      </c>
      <c r="F174" s="323">
        <v>0</v>
      </c>
      <c r="G174" s="323">
        <v>0</v>
      </c>
      <c r="H174" s="323">
        <v>372851.06</v>
      </c>
      <c r="I174" s="323">
        <v>16271.18</v>
      </c>
      <c r="J174" s="323">
        <v>356579.88</v>
      </c>
      <c r="L174" s="324">
        <f>IFERROR(VLOOKUP(C174,'TB_31.03.2026 (Links)'!$D:$H,5,0)-J174,"Error")</f>
        <v>0</v>
      </c>
      <c r="O174">
        <v>356579.88</v>
      </c>
      <c r="P174">
        <f t="shared" si="5"/>
        <v>0</v>
      </c>
      <c r="R174">
        <f>VLOOKUP(B174,[2]Sheet1!$B:$J,9,0)</f>
        <v>356579.88</v>
      </c>
      <c r="S174">
        <f t="shared" si="6"/>
        <v>0</v>
      </c>
    </row>
    <row r="175" spans="1:19" hidden="1">
      <c r="A175" s="294">
        <v>1900</v>
      </c>
      <c r="B175" s="294">
        <v>45200023</v>
      </c>
      <c r="C175" s="293" t="s">
        <v>389</v>
      </c>
      <c r="D175" s="293" t="s">
        <v>465</v>
      </c>
      <c r="E175" s="293" t="s">
        <v>12</v>
      </c>
      <c r="F175" s="323">
        <v>0</v>
      </c>
      <c r="G175" s="323">
        <v>0</v>
      </c>
      <c r="H175" s="323">
        <v>6562</v>
      </c>
      <c r="I175" s="323">
        <v>0</v>
      </c>
      <c r="J175" s="323">
        <v>6562</v>
      </c>
      <c r="L175" s="324">
        <f>IFERROR(VLOOKUP(C175,'TB_31.03.2026 (Links)'!$D:$H,5,0)-J175,"Error")</f>
        <v>0</v>
      </c>
      <c r="O175">
        <v>6562</v>
      </c>
      <c r="P175">
        <f t="shared" si="5"/>
        <v>0</v>
      </c>
      <c r="R175">
        <f>VLOOKUP(B175,[2]Sheet1!$B:$J,9,0)</f>
        <v>6562</v>
      </c>
      <c r="S175">
        <f t="shared" si="6"/>
        <v>0</v>
      </c>
    </row>
    <row r="176" spans="1:19" hidden="1">
      <c r="A176" s="294">
        <v>1900</v>
      </c>
      <c r="B176" s="294">
        <v>45200029</v>
      </c>
      <c r="C176" s="293" t="s">
        <v>236</v>
      </c>
      <c r="D176" s="293" t="s">
        <v>465</v>
      </c>
      <c r="E176" s="293" t="s">
        <v>12</v>
      </c>
      <c r="F176" s="323">
        <v>0</v>
      </c>
      <c r="G176" s="323">
        <v>0</v>
      </c>
      <c r="H176" s="323">
        <v>580000</v>
      </c>
      <c r="I176" s="323">
        <v>380000</v>
      </c>
      <c r="J176" s="323">
        <v>200000</v>
      </c>
      <c r="L176" s="324">
        <f>IFERROR(VLOOKUP(C176,'TB_31.03.2026 (Links)'!$D:$H,5,0)-J176,"Error")</f>
        <v>0</v>
      </c>
      <c r="O176">
        <v>200000</v>
      </c>
      <c r="P176">
        <f t="shared" si="5"/>
        <v>0</v>
      </c>
      <c r="R176">
        <f>VLOOKUP(B176,[2]Sheet1!$B:$J,9,0)</f>
        <v>200000</v>
      </c>
      <c r="S176">
        <f t="shared" si="6"/>
        <v>0</v>
      </c>
    </row>
    <row r="177" spans="1:19">
      <c r="A177" s="294">
        <v>1900</v>
      </c>
      <c r="B177" s="294">
        <v>45300001</v>
      </c>
      <c r="C177" s="293" t="s">
        <v>243</v>
      </c>
      <c r="D177" s="293" t="s">
        <v>465</v>
      </c>
      <c r="E177" s="293" t="s">
        <v>12</v>
      </c>
      <c r="F177" s="323">
        <v>0</v>
      </c>
      <c r="G177" s="323">
        <v>0</v>
      </c>
      <c r="H177" s="323">
        <f>2134629.03+360</f>
        <v>2134989.0299999998</v>
      </c>
      <c r="I177" s="323">
        <v>239957.07</v>
      </c>
      <c r="J177" s="323">
        <f>+F177+H177-I177</f>
        <v>1895031.9599999997</v>
      </c>
      <c r="L177" s="324">
        <f>IFERROR(VLOOKUP(C177,'TB_31.03.2026 (Links)'!$D:$H,5,0)-J177,"Error")</f>
        <v>0</v>
      </c>
      <c r="O177">
        <v>1894671.96</v>
      </c>
      <c r="P177">
        <f t="shared" si="5"/>
        <v>359.99999999976717</v>
      </c>
      <c r="R177" s="647">
        <f>VLOOKUP(B177,[2]Sheet1!$B:$J,9,0)</f>
        <v>1894671.96</v>
      </c>
      <c r="S177">
        <f t="shared" si="6"/>
        <v>359.99999999976717</v>
      </c>
    </row>
    <row r="178" spans="1:19">
      <c r="A178" s="294">
        <v>1900</v>
      </c>
      <c r="B178" s="294">
        <v>45300002</v>
      </c>
      <c r="C178" s="293" t="s">
        <v>244</v>
      </c>
      <c r="D178" s="293" t="s">
        <v>465</v>
      </c>
      <c r="E178" s="293" t="s">
        <v>12</v>
      </c>
      <c r="F178" s="323">
        <v>0</v>
      </c>
      <c r="G178" s="323">
        <v>0</v>
      </c>
      <c r="H178" s="323">
        <f>2134629.03+360</f>
        <v>2134989.0299999998</v>
      </c>
      <c r="I178" s="323">
        <v>239957.07</v>
      </c>
      <c r="J178" s="323">
        <f>+F178+H178-I178</f>
        <v>1895031.9599999997</v>
      </c>
      <c r="L178" s="324">
        <f>IFERROR(VLOOKUP(C178,'TB_31.03.2026 (Links)'!$D:$H,5,0)-J178,"Error")</f>
        <v>0</v>
      </c>
      <c r="O178">
        <v>1894671.96</v>
      </c>
      <c r="P178">
        <f t="shared" si="5"/>
        <v>359.99999999976717</v>
      </c>
      <c r="R178" s="647">
        <f>VLOOKUP(B178,[2]Sheet1!$B:$J,9,0)</f>
        <v>1894671.96</v>
      </c>
      <c r="S178">
        <f t="shared" si="6"/>
        <v>359.99999999976717</v>
      </c>
    </row>
    <row r="179" spans="1:19" hidden="1">
      <c r="A179" s="294">
        <v>1900</v>
      </c>
      <c r="B179" s="294">
        <v>45300003</v>
      </c>
      <c r="C179" s="293" t="s">
        <v>245</v>
      </c>
      <c r="D179" s="293" t="s">
        <v>465</v>
      </c>
      <c r="E179" s="293" t="s">
        <v>12</v>
      </c>
      <c r="F179" s="323">
        <v>0</v>
      </c>
      <c r="G179" s="323">
        <v>0</v>
      </c>
      <c r="H179" s="323">
        <v>64028.52</v>
      </c>
      <c r="I179" s="323">
        <v>64028.52</v>
      </c>
      <c r="J179" s="323">
        <v>0</v>
      </c>
      <c r="L179" s="324">
        <f>IFERROR(VLOOKUP(C179,'TB_31.03.2026 (Links)'!$D:$H,5,0)-J179,"Error")</f>
        <v>0</v>
      </c>
      <c r="O179">
        <v>0</v>
      </c>
      <c r="P179">
        <f t="shared" si="5"/>
        <v>0</v>
      </c>
      <c r="R179">
        <f>VLOOKUP(B179,[2]Sheet1!$B:$J,9,0)</f>
        <v>0</v>
      </c>
      <c r="S179">
        <f t="shared" si="6"/>
        <v>0</v>
      </c>
    </row>
    <row r="180" spans="1:19" hidden="1">
      <c r="A180" s="294">
        <v>1900</v>
      </c>
      <c r="B180" s="294">
        <v>45300021</v>
      </c>
      <c r="C180" s="293" t="s">
        <v>388</v>
      </c>
      <c r="D180" s="293" t="s">
        <v>465</v>
      </c>
      <c r="E180" s="293" t="s">
        <v>12</v>
      </c>
      <c r="F180" s="323">
        <v>0</v>
      </c>
      <c r="G180" s="323">
        <v>0</v>
      </c>
      <c r="H180" s="323">
        <v>305998</v>
      </c>
      <c r="I180" s="323">
        <v>0</v>
      </c>
      <c r="J180" s="323">
        <v>305998</v>
      </c>
      <c r="L180" s="324">
        <f>IFERROR(VLOOKUP(C180,'TB_31.03.2026 (Links)'!$D:$H,5,0)-J180,"Error")</f>
        <v>0</v>
      </c>
      <c r="O180">
        <v>305998</v>
      </c>
      <c r="P180">
        <f t="shared" si="5"/>
        <v>0</v>
      </c>
      <c r="R180">
        <f>VLOOKUP(B180,[2]Sheet1!$B:$J,9,0)</f>
        <v>305998</v>
      </c>
      <c r="S180">
        <f t="shared" si="6"/>
        <v>0</v>
      </c>
    </row>
    <row r="181" spans="1:19" hidden="1">
      <c r="A181" s="294">
        <v>1900</v>
      </c>
      <c r="B181" s="294">
        <v>45400001</v>
      </c>
      <c r="C181" s="293" t="s">
        <v>248</v>
      </c>
      <c r="D181" s="293" t="s">
        <v>465</v>
      </c>
      <c r="E181" s="293" t="s">
        <v>12</v>
      </c>
      <c r="F181" s="323">
        <v>0</v>
      </c>
      <c r="G181" s="323">
        <v>0</v>
      </c>
      <c r="H181" s="323">
        <v>16427281.98</v>
      </c>
      <c r="I181" s="323">
        <v>721799</v>
      </c>
      <c r="J181" s="323">
        <v>15705482.98</v>
      </c>
      <c r="L181" s="324">
        <f>IFERROR(VLOOKUP(C181,'TB_31.03.2026 (Links)'!$D:$H,5,0)-J181,"Error")</f>
        <v>0</v>
      </c>
      <c r="O181">
        <v>15705482.98</v>
      </c>
      <c r="P181">
        <f t="shared" si="5"/>
        <v>0</v>
      </c>
      <c r="R181">
        <f>VLOOKUP(B181,[2]Sheet1!$B:$J,9,0)</f>
        <v>15705482.98</v>
      </c>
      <c r="S181">
        <f t="shared" si="6"/>
        <v>0</v>
      </c>
    </row>
    <row r="182" spans="1:19" hidden="1">
      <c r="A182" s="294">
        <v>1900</v>
      </c>
      <c r="B182" s="294">
        <v>45400002</v>
      </c>
      <c r="C182" s="293" t="s">
        <v>387</v>
      </c>
      <c r="D182" s="293" t="s">
        <v>465</v>
      </c>
      <c r="E182" s="293" t="s">
        <v>12</v>
      </c>
      <c r="F182" s="323">
        <v>0</v>
      </c>
      <c r="G182" s="323">
        <v>0</v>
      </c>
      <c r="H182" s="323">
        <v>1344000</v>
      </c>
      <c r="I182" s="323">
        <v>0</v>
      </c>
      <c r="J182" s="323">
        <v>1344000</v>
      </c>
      <c r="L182" s="324">
        <f>IFERROR(VLOOKUP(C182,'TB_31.03.2026 (Links)'!$D:$H,5,0)-J182,"Error")</f>
        <v>0</v>
      </c>
      <c r="O182">
        <v>1344000</v>
      </c>
      <c r="P182">
        <f t="shared" si="5"/>
        <v>0</v>
      </c>
      <c r="R182">
        <f>VLOOKUP(B182,[2]Sheet1!$B:$J,9,0)</f>
        <v>1344000</v>
      </c>
      <c r="S182">
        <f t="shared" si="6"/>
        <v>0</v>
      </c>
    </row>
    <row r="183" spans="1:19" hidden="1">
      <c r="A183" s="294">
        <v>1900</v>
      </c>
      <c r="B183" s="294">
        <v>45400011</v>
      </c>
      <c r="C183" s="293" t="s">
        <v>250</v>
      </c>
      <c r="D183" s="293" t="s">
        <v>465</v>
      </c>
      <c r="E183" s="293" t="s">
        <v>12</v>
      </c>
      <c r="F183" s="323">
        <v>0</v>
      </c>
      <c r="G183" s="323">
        <v>0</v>
      </c>
      <c r="H183" s="323">
        <v>1886929.64</v>
      </c>
      <c r="I183" s="323">
        <v>0</v>
      </c>
      <c r="J183" s="323">
        <v>1886929.64</v>
      </c>
      <c r="L183" s="324">
        <f>IFERROR(VLOOKUP(C183,'TB_31.03.2026 (Links)'!$D:$H,5,0)-J183,"Error")</f>
        <v>0</v>
      </c>
      <c r="O183">
        <v>1886929.64</v>
      </c>
      <c r="P183">
        <f t="shared" si="5"/>
        <v>0</v>
      </c>
      <c r="R183">
        <f>VLOOKUP(B183,[2]Sheet1!$B:$J,9,0)</f>
        <v>1886929.64</v>
      </c>
      <c r="S183">
        <f t="shared" si="6"/>
        <v>0</v>
      </c>
    </row>
    <row r="184" spans="1:19" hidden="1">
      <c r="A184" s="294">
        <v>1900</v>
      </c>
      <c r="B184" s="294">
        <v>45400014</v>
      </c>
      <c r="C184" s="293" t="s">
        <v>252</v>
      </c>
      <c r="D184" s="293" t="s">
        <v>465</v>
      </c>
      <c r="E184" s="293" t="s">
        <v>12</v>
      </c>
      <c r="F184" s="323">
        <v>0</v>
      </c>
      <c r="G184" s="323">
        <v>0</v>
      </c>
      <c r="H184" s="323">
        <v>2490972.88</v>
      </c>
      <c r="I184" s="323">
        <v>0</v>
      </c>
      <c r="J184" s="323">
        <v>2490972.88</v>
      </c>
      <c r="L184" s="324">
        <f>IFERROR(VLOOKUP(C184,'TB_31.03.2026 (Links)'!$D:$H,5,0)-J184,"Error")</f>
        <v>0</v>
      </c>
      <c r="O184">
        <v>2490972.88</v>
      </c>
      <c r="P184">
        <f t="shared" si="5"/>
        <v>0</v>
      </c>
      <c r="R184">
        <f>VLOOKUP(B184,[2]Sheet1!$B:$J,9,0)</f>
        <v>2490972.88</v>
      </c>
      <c r="S184">
        <f t="shared" si="6"/>
        <v>0</v>
      </c>
    </row>
    <row r="185" spans="1:19" hidden="1">
      <c r="A185" s="294">
        <v>1900</v>
      </c>
      <c r="B185" s="294">
        <v>45400016</v>
      </c>
      <c r="C185" s="293" t="s">
        <v>253</v>
      </c>
      <c r="D185" s="293" t="s">
        <v>465</v>
      </c>
      <c r="E185" s="293" t="s">
        <v>12</v>
      </c>
      <c r="F185" s="323">
        <v>0</v>
      </c>
      <c r="G185" s="323">
        <v>0</v>
      </c>
      <c r="H185" s="323">
        <v>1080115.26</v>
      </c>
      <c r="I185" s="323">
        <v>0</v>
      </c>
      <c r="J185" s="323">
        <v>1080115.26</v>
      </c>
      <c r="L185" s="324">
        <f>IFERROR(VLOOKUP(C185,'TB_31.03.2026 (Links)'!$D:$H,5,0)-J185,"Error")</f>
        <v>0</v>
      </c>
      <c r="O185">
        <v>1080115.26</v>
      </c>
      <c r="P185">
        <f t="shared" si="5"/>
        <v>0</v>
      </c>
      <c r="R185">
        <f>VLOOKUP(B185,[2]Sheet1!$B:$J,9,0)</f>
        <v>1080115.26</v>
      </c>
      <c r="S185">
        <f t="shared" si="6"/>
        <v>0</v>
      </c>
    </row>
    <row r="186" spans="1:19" hidden="1">
      <c r="A186" s="294">
        <v>1900</v>
      </c>
      <c r="B186" s="294">
        <v>45400020</v>
      </c>
      <c r="C186" s="293" t="s">
        <v>254</v>
      </c>
      <c r="D186" s="293" t="s">
        <v>465</v>
      </c>
      <c r="E186" s="293" t="s">
        <v>12</v>
      </c>
      <c r="F186" s="323">
        <v>0</v>
      </c>
      <c r="G186" s="323">
        <v>0</v>
      </c>
      <c r="H186" s="323">
        <v>300000</v>
      </c>
      <c r="I186" s="323">
        <v>50000</v>
      </c>
      <c r="J186" s="323">
        <v>250000</v>
      </c>
      <c r="L186" s="324">
        <f>IFERROR(VLOOKUP(C186,'TB_31.03.2026 (Links)'!$D:$H,5,0)-J186,"Error")</f>
        <v>0</v>
      </c>
      <c r="O186">
        <v>250000</v>
      </c>
      <c r="P186">
        <f t="shared" si="5"/>
        <v>0</v>
      </c>
      <c r="R186">
        <f>VLOOKUP(B186,[2]Sheet1!$B:$J,9,0)</f>
        <v>250000</v>
      </c>
      <c r="S186">
        <f t="shared" si="6"/>
        <v>0</v>
      </c>
    </row>
    <row r="187" spans="1:19" hidden="1">
      <c r="A187" s="294">
        <v>1900</v>
      </c>
      <c r="B187" s="294">
        <v>45510008</v>
      </c>
      <c r="C187" s="293" t="s">
        <v>386</v>
      </c>
      <c r="D187" s="293" t="s">
        <v>465</v>
      </c>
      <c r="E187" s="293" t="s">
        <v>12</v>
      </c>
      <c r="F187" s="323">
        <v>0</v>
      </c>
      <c r="G187" s="323">
        <v>0</v>
      </c>
      <c r="H187" s="323">
        <v>1993971</v>
      </c>
      <c r="I187" s="323">
        <v>0</v>
      </c>
      <c r="J187" s="323">
        <v>1993971</v>
      </c>
      <c r="L187" s="324">
        <f>IFERROR(VLOOKUP(C187,'TB_31.03.2026 (Links)'!$D:$H,5,0)-J187,"Error")</f>
        <v>0</v>
      </c>
      <c r="O187">
        <v>1993971</v>
      </c>
      <c r="P187">
        <f t="shared" si="5"/>
        <v>0</v>
      </c>
      <c r="R187">
        <f>VLOOKUP(B187,[2]Sheet1!$B:$J,9,0)</f>
        <v>1993971</v>
      </c>
      <c r="S187">
        <f t="shared" si="6"/>
        <v>0</v>
      </c>
    </row>
    <row r="188" spans="1:19" hidden="1">
      <c r="A188" s="294">
        <v>1900</v>
      </c>
      <c r="B188" s="294">
        <v>45510051</v>
      </c>
      <c r="C188" s="293" t="s">
        <v>230</v>
      </c>
      <c r="D188" s="293" t="s">
        <v>465</v>
      </c>
      <c r="E188" s="293" t="s">
        <v>12</v>
      </c>
      <c r="F188" s="323">
        <v>0</v>
      </c>
      <c r="G188" s="323">
        <v>0</v>
      </c>
      <c r="H188" s="323">
        <v>1040410.66</v>
      </c>
      <c r="I188" s="323">
        <v>1005926.56</v>
      </c>
      <c r="J188" s="323">
        <v>34484.1</v>
      </c>
      <c r="L188" s="324">
        <f>IFERROR(VLOOKUP(C188,'TB_31.03.2026 (Links)'!$D:$H,5,0)-J188,"Error")</f>
        <v>0</v>
      </c>
      <c r="O188">
        <v>34484.1</v>
      </c>
      <c r="P188">
        <f t="shared" si="5"/>
        <v>0</v>
      </c>
      <c r="R188">
        <f>VLOOKUP(B188,[2]Sheet1!$B:$J,9,0)</f>
        <v>34484.1</v>
      </c>
      <c r="S188">
        <f t="shared" si="6"/>
        <v>0</v>
      </c>
    </row>
    <row r="189" spans="1:19" hidden="1">
      <c r="A189" s="294">
        <v>1900</v>
      </c>
      <c r="B189" s="294">
        <v>45520023</v>
      </c>
      <c r="C189" s="293" t="s">
        <v>385</v>
      </c>
      <c r="D189" s="293" t="s">
        <v>465</v>
      </c>
      <c r="E189" s="293" t="s">
        <v>12</v>
      </c>
      <c r="F189" s="323">
        <v>0</v>
      </c>
      <c r="G189" s="323">
        <v>0</v>
      </c>
      <c r="H189" s="323">
        <v>17875</v>
      </c>
      <c r="I189" s="323">
        <v>0</v>
      </c>
      <c r="J189" s="323">
        <v>17875</v>
      </c>
      <c r="L189" s="324">
        <f>IFERROR(VLOOKUP(C189,'TB_31.03.2026 (Links)'!$D:$H,5,0)-J189,"Error")</f>
        <v>0</v>
      </c>
      <c r="O189">
        <v>17875</v>
      </c>
      <c r="P189">
        <f t="shared" si="5"/>
        <v>0</v>
      </c>
      <c r="R189">
        <f>VLOOKUP(B189,[2]Sheet1!$B:$J,9,0)</f>
        <v>17875</v>
      </c>
      <c r="S189">
        <f t="shared" si="6"/>
        <v>0</v>
      </c>
    </row>
    <row r="190" spans="1:19" hidden="1">
      <c r="A190" s="294">
        <v>1900</v>
      </c>
      <c r="B190" s="294">
        <v>45600006</v>
      </c>
      <c r="C190" s="293" t="s">
        <v>469</v>
      </c>
      <c r="D190" s="293" t="s">
        <v>465</v>
      </c>
      <c r="E190" s="293" t="s">
        <v>12</v>
      </c>
      <c r="F190" s="323">
        <v>0</v>
      </c>
      <c r="G190" s="323">
        <v>0</v>
      </c>
      <c r="H190" s="323">
        <v>14576.15</v>
      </c>
      <c r="I190" s="323">
        <v>0</v>
      </c>
      <c r="J190" s="323">
        <v>14576.15</v>
      </c>
      <c r="L190" s="324">
        <f>IFERROR(VLOOKUP(C190,'TB_31.03.2026 (Links)'!$D:$H,5,0)-J190,"Error")</f>
        <v>0</v>
      </c>
      <c r="O190">
        <v>14576.15</v>
      </c>
      <c r="P190">
        <f t="shared" si="5"/>
        <v>0</v>
      </c>
      <c r="R190">
        <f>VLOOKUP(B190,[2]Sheet1!$B:$J,9,0)</f>
        <v>14576.15</v>
      </c>
      <c r="S190">
        <f t="shared" si="6"/>
        <v>0</v>
      </c>
    </row>
    <row r="191" spans="1:19" hidden="1">
      <c r="A191" s="294">
        <v>1900</v>
      </c>
      <c r="B191" s="294">
        <v>90000001</v>
      </c>
      <c r="C191" s="293" t="s">
        <v>378</v>
      </c>
      <c r="D191" s="293" t="s">
        <v>465</v>
      </c>
      <c r="E191" s="293" t="s">
        <v>12</v>
      </c>
      <c r="F191" s="323">
        <v>-8605</v>
      </c>
      <c r="G191" s="323">
        <v>0</v>
      </c>
      <c r="H191" s="323">
        <v>0</v>
      </c>
      <c r="I191" s="323">
        <v>0</v>
      </c>
      <c r="J191" s="323">
        <v>-8605</v>
      </c>
      <c r="L191" s="324">
        <f>IFERROR(VLOOKUP(C191,'TB_31.03.2026 (Links)'!$D:$H,5,0)-J191,"Error")</f>
        <v>0</v>
      </c>
      <c r="O191">
        <v>-8605</v>
      </c>
      <c r="P191">
        <f t="shared" si="5"/>
        <v>0</v>
      </c>
      <c r="R191">
        <f>VLOOKUP(B191,[2]Sheet1!$B:$J,9,0)</f>
        <v>-8605</v>
      </c>
      <c r="S191">
        <f t="shared" si="6"/>
        <v>0</v>
      </c>
    </row>
    <row r="192" spans="1:19" hidden="1">
      <c r="A192" s="294">
        <v>1900</v>
      </c>
      <c r="B192" s="294">
        <v>90000002</v>
      </c>
      <c r="C192" s="293" t="s">
        <v>379</v>
      </c>
      <c r="D192" s="293" t="s">
        <v>465</v>
      </c>
      <c r="E192" s="293" t="s">
        <v>12</v>
      </c>
      <c r="F192" s="323">
        <v>-1888422011.98</v>
      </c>
      <c r="G192" s="323">
        <v>0</v>
      </c>
      <c r="H192" s="323">
        <v>0</v>
      </c>
      <c r="I192" s="323">
        <v>0</v>
      </c>
      <c r="J192" s="323">
        <v>-1888422011.98</v>
      </c>
      <c r="L192" s="324">
        <f>IFERROR(VLOOKUP(C192,'TB_31.03.2026 (Links)'!$D:$H,5,0)-J192,"Error")</f>
        <v>0</v>
      </c>
      <c r="O192">
        <v>-1888422011.98</v>
      </c>
      <c r="P192">
        <f t="shared" si="5"/>
        <v>0</v>
      </c>
      <c r="R192">
        <f>VLOOKUP(B192,[2]Sheet1!$B:$J,9,0)</f>
        <v>-1888422011.98</v>
      </c>
      <c r="S192">
        <f t="shared" si="6"/>
        <v>0</v>
      </c>
    </row>
    <row r="193" spans="1:19" hidden="1">
      <c r="A193" s="294">
        <v>1900</v>
      </c>
      <c r="B193" s="294">
        <v>90000003</v>
      </c>
      <c r="C193" s="293" t="s">
        <v>380</v>
      </c>
      <c r="D193" s="293" t="s">
        <v>465</v>
      </c>
      <c r="E193" s="293" t="s">
        <v>12</v>
      </c>
      <c r="F193" s="323">
        <v>132954844.3</v>
      </c>
      <c r="G193" s="323">
        <v>0</v>
      </c>
      <c r="H193" s="323">
        <v>21662823.300000001</v>
      </c>
      <c r="I193" s="323">
        <v>21662823.300000001</v>
      </c>
      <c r="J193" s="323">
        <v>132954844.3</v>
      </c>
      <c r="L193" s="324">
        <f>IFERROR(VLOOKUP(C193,'TB_31.03.2026 (Links)'!$D:$H,5,0)-J193,"Error")</f>
        <v>0</v>
      </c>
      <c r="O193">
        <v>132954844.3</v>
      </c>
      <c r="P193">
        <f t="shared" si="5"/>
        <v>0</v>
      </c>
      <c r="R193">
        <f>VLOOKUP(B193,[2]Sheet1!$B:$J,9,0)</f>
        <v>132954844.3</v>
      </c>
      <c r="S193">
        <f t="shared" si="6"/>
        <v>0</v>
      </c>
    </row>
    <row r="194" spans="1:19" hidden="1">
      <c r="A194" s="294">
        <v>1900</v>
      </c>
      <c r="B194" s="294">
        <v>90000004</v>
      </c>
      <c r="C194" s="293" t="s">
        <v>381</v>
      </c>
      <c r="D194" s="293" t="s">
        <v>465</v>
      </c>
      <c r="E194" s="293" t="s">
        <v>12</v>
      </c>
      <c r="F194" s="323">
        <v>538919625</v>
      </c>
      <c r="G194" s="323">
        <v>0</v>
      </c>
      <c r="H194" s="323">
        <v>0</v>
      </c>
      <c r="I194" s="323">
        <v>0</v>
      </c>
      <c r="J194" s="323">
        <v>538919625</v>
      </c>
      <c r="L194" s="324">
        <f>IFERROR(VLOOKUP(C194,'TB_31.03.2026 (Links)'!$D:$H,5,0)-J194,"Error")</f>
        <v>0</v>
      </c>
      <c r="O194">
        <v>538919625</v>
      </c>
      <c r="P194">
        <f t="shared" si="5"/>
        <v>0</v>
      </c>
      <c r="R194">
        <f>VLOOKUP(B194,[2]Sheet1!$B:$J,9,0)</f>
        <v>538919625</v>
      </c>
      <c r="S194">
        <f t="shared" si="6"/>
        <v>0</v>
      </c>
    </row>
    <row r="195" spans="1:19" hidden="1">
      <c r="A195" s="294">
        <v>1900</v>
      </c>
      <c r="B195" s="294">
        <v>90000005</v>
      </c>
      <c r="C195" s="293" t="s">
        <v>382</v>
      </c>
      <c r="D195" s="293" t="s">
        <v>465</v>
      </c>
      <c r="E195" s="293" t="s">
        <v>12</v>
      </c>
      <c r="F195" s="323">
        <v>1216556147.6800001</v>
      </c>
      <c r="G195" s="323">
        <v>0</v>
      </c>
      <c r="H195" s="323">
        <v>0</v>
      </c>
      <c r="I195" s="323">
        <v>0</v>
      </c>
      <c r="J195" s="323">
        <v>1216556147.6800001</v>
      </c>
      <c r="L195" s="324">
        <f>IFERROR(VLOOKUP(C195,'TB_31.03.2026 (Links)'!$D:$H,5,0)-J195,"Error")</f>
        <v>0</v>
      </c>
      <c r="O195">
        <v>1216556147.6800001</v>
      </c>
      <c r="P195">
        <f t="shared" si="5"/>
        <v>0</v>
      </c>
      <c r="R195">
        <f>VLOOKUP(B195,[2]Sheet1!$B:$J,9,0)</f>
        <v>1216556147.6800001</v>
      </c>
      <c r="S195">
        <f t="shared" si="6"/>
        <v>0</v>
      </c>
    </row>
    <row r="196" spans="1:19" hidden="1">
      <c r="A196" s="294">
        <v>1900</v>
      </c>
      <c r="B196" s="294">
        <v>10910011</v>
      </c>
      <c r="C196" t="s">
        <v>440</v>
      </c>
      <c r="D196" s="293" t="s">
        <v>465</v>
      </c>
      <c r="F196" s="326"/>
      <c r="G196" s="323">
        <v>0</v>
      </c>
      <c r="H196" s="326">
        <v>5563060.9000000004</v>
      </c>
      <c r="I196" s="326">
        <v>713183.9</v>
      </c>
      <c r="J196" s="326">
        <v>4849877</v>
      </c>
      <c r="L196" s="324">
        <f>IFERROR(VLOOKUP(C196,'TB_31.03.2026 (Links)'!$D:$H,5,0)-J196,"Error")</f>
        <v>0</v>
      </c>
      <c r="O196">
        <v>4849877</v>
      </c>
      <c r="P196">
        <f t="shared" si="5"/>
        <v>0</v>
      </c>
      <c r="R196">
        <f>VLOOKUP(B196,[2]Sheet1!$B:$J,9,0)</f>
        <v>4849877</v>
      </c>
      <c r="S196">
        <f t="shared" si="6"/>
        <v>0</v>
      </c>
    </row>
    <row r="197" spans="1:19" hidden="1">
      <c r="A197" s="294">
        <v>1900</v>
      </c>
      <c r="B197" s="294">
        <v>10930001</v>
      </c>
      <c r="C197" t="s">
        <v>441</v>
      </c>
      <c r="D197" s="293" t="s">
        <v>465</v>
      </c>
      <c r="F197" s="326"/>
      <c r="G197" s="323">
        <v>0</v>
      </c>
      <c r="H197" s="326">
        <v>120000</v>
      </c>
      <c r="I197" s="326">
        <v>100000</v>
      </c>
      <c r="J197" s="326">
        <v>20000</v>
      </c>
      <c r="L197" s="324">
        <f>IFERROR(VLOOKUP(C197,'TB_31.03.2026 (Links)'!$D:$H,5,0)-J197,"Error")</f>
        <v>0</v>
      </c>
      <c r="O197">
        <v>20000</v>
      </c>
      <c r="P197">
        <f t="shared" si="5"/>
        <v>0</v>
      </c>
      <c r="R197">
        <f>VLOOKUP(B197,[2]Sheet1!$B:$J,9,0)</f>
        <v>20000</v>
      </c>
      <c r="S197">
        <f t="shared" si="6"/>
        <v>0</v>
      </c>
    </row>
    <row r="198" spans="1:19" hidden="1">
      <c r="A198" s="294">
        <v>1900</v>
      </c>
      <c r="B198" s="294">
        <v>11110011</v>
      </c>
      <c r="C198" t="s">
        <v>483</v>
      </c>
      <c r="D198" s="293" t="s">
        <v>465</v>
      </c>
      <c r="F198" s="327"/>
      <c r="G198" s="328">
        <v>0</v>
      </c>
      <c r="H198" s="327">
        <v>147</v>
      </c>
      <c r="I198" s="327">
        <v>0</v>
      </c>
      <c r="J198" s="327">
        <v>147</v>
      </c>
      <c r="L198" s="329">
        <f>IFERROR(VLOOKUP(C198,'TB_31.03.2026 (Links)'!$D:$H,5,0)-J198,"Error")</f>
        <v>0</v>
      </c>
      <c r="O198">
        <v>147</v>
      </c>
      <c r="P198">
        <f t="shared" si="5"/>
        <v>0</v>
      </c>
      <c r="R198">
        <f>VLOOKUP(B198,[2]Sheet1!$B:$J,9,0)</f>
        <v>147</v>
      </c>
      <c r="S198">
        <f t="shared" si="6"/>
        <v>0</v>
      </c>
    </row>
    <row r="199" spans="1:19" hidden="1">
      <c r="A199" s="294">
        <v>1900</v>
      </c>
      <c r="B199" s="294">
        <v>20420033</v>
      </c>
      <c r="C199" t="s">
        <v>131</v>
      </c>
      <c r="D199" s="293" t="s">
        <v>465</v>
      </c>
      <c r="F199" s="326"/>
      <c r="G199" s="323">
        <v>0</v>
      </c>
      <c r="H199" s="326">
        <v>0</v>
      </c>
      <c r="I199" s="326">
        <v>7500</v>
      </c>
      <c r="J199" s="326">
        <v>-7500</v>
      </c>
      <c r="L199" s="324">
        <f>IFERROR(VLOOKUP(C199,'TB_31.03.2026 (Links)'!$D:$H,5,0)-J199,"Error")</f>
        <v>0</v>
      </c>
      <c r="O199">
        <v>-7500</v>
      </c>
      <c r="P199">
        <f t="shared" ref="P199:P207" si="7">+J199-O199</f>
        <v>0</v>
      </c>
      <c r="R199">
        <f>VLOOKUP(B199,[2]Sheet1!$B:$J,9,0)</f>
        <v>-7500</v>
      </c>
      <c r="S199">
        <f t="shared" ref="S199:S207" si="8">J199-R199</f>
        <v>0</v>
      </c>
    </row>
    <row r="200" spans="1:19">
      <c r="A200" s="294">
        <v>1900</v>
      </c>
      <c r="B200" s="294">
        <v>45400018</v>
      </c>
      <c r="C200" t="s">
        <v>484</v>
      </c>
      <c r="D200" s="293" t="s">
        <v>465</v>
      </c>
      <c r="F200" s="326"/>
      <c r="G200" s="323">
        <v>0</v>
      </c>
      <c r="H200" s="326">
        <f>15360+14400</f>
        <v>29760</v>
      </c>
      <c r="I200" s="326">
        <v>0</v>
      </c>
      <c r="J200" s="326">
        <f>+H200-I200</f>
        <v>29760</v>
      </c>
      <c r="L200" s="324">
        <f>IFERROR(VLOOKUP(C200,'TB_31.03.2026 (Links)'!$D:$H,5,0)-J200,"Error")</f>
        <v>0</v>
      </c>
      <c r="O200">
        <v>15360</v>
      </c>
      <c r="P200">
        <f t="shared" si="7"/>
        <v>14400</v>
      </c>
      <c r="R200" s="647">
        <f>VLOOKUP(B200,[2]Sheet1!$B:$J,9,0)</f>
        <v>15360</v>
      </c>
      <c r="S200">
        <f t="shared" si="8"/>
        <v>14400</v>
      </c>
    </row>
    <row r="201" spans="1:19" hidden="1">
      <c r="A201" s="294">
        <v>1900</v>
      </c>
      <c r="B201" s="294">
        <v>45510053</v>
      </c>
      <c r="C201" t="s">
        <v>485</v>
      </c>
      <c r="D201" s="293" t="s">
        <v>465</v>
      </c>
      <c r="F201" s="326"/>
      <c r="G201" s="323">
        <v>0</v>
      </c>
      <c r="H201" s="326">
        <v>1000000</v>
      </c>
      <c r="I201" s="326">
        <v>0</v>
      </c>
      <c r="J201" s="326">
        <v>1000000</v>
      </c>
      <c r="L201" s="324">
        <f>IFERROR(VLOOKUP(C201,'TB_31.03.2026 (Links)'!$D:$H,5,0)-J201,"Error")</f>
        <v>0</v>
      </c>
      <c r="O201">
        <v>1000000</v>
      </c>
      <c r="P201">
        <f t="shared" si="7"/>
        <v>0</v>
      </c>
      <c r="R201">
        <f>VLOOKUP(B201,[2]Sheet1!$B:$J,9,0)</f>
        <v>1000000</v>
      </c>
      <c r="S201">
        <f t="shared" si="8"/>
        <v>0</v>
      </c>
    </row>
    <row r="202" spans="1:19" hidden="1">
      <c r="A202" s="294">
        <v>1900</v>
      </c>
      <c r="B202" s="294">
        <v>45520001</v>
      </c>
      <c r="C202" t="s">
        <v>226</v>
      </c>
      <c r="D202" s="293" t="s">
        <v>465</v>
      </c>
      <c r="F202" s="326"/>
      <c r="G202" s="323">
        <v>0</v>
      </c>
      <c r="H202" s="326">
        <v>67296060.400000006</v>
      </c>
      <c r="I202" s="326">
        <v>6415229</v>
      </c>
      <c r="J202" s="326">
        <v>60880831.399999999</v>
      </c>
      <c r="L202" s="324">
        <f>IFERROR(VLOOKUP(C202,'TB_31.03.2026 (Links)'!$D:$H,5,0)-J202,"Error")</f>
        <v>0</v>
      </c>
      <c r="O202">
        <v>60880831.399999999</v>
      </c>
      <c r="P202">
        <f t="shared" si="7"/>
        <v>0</v>
      </c>
      <c r="R202">
        <f>VLOOKUP(B202,[2]Sheet1!$B:$J,9,0)</f>
        <v>60880831.399999999</v>
      </c>
      <c r="S202">
        <f t="shared" si="8"/>
        <v>0</v>
      </c>
    </row>
    <row r="203" spans="1:19" hidden="1">
      <c r="A203" s="294">
        <v>1900</v>
      </c>
      <c r="B203" s="294">
        <v>45520026</v>
      </c>
      <c r="C203" t="s">
        <v>486</v>
      </c>
      <c r="D203" s="293" t="s">
        <v>465</v>
      </c>
      <c r="F203" s="326"/>
      <c r="G203" s="323">
        <v>0</v>
      </c>
      <c r="H203" s="326">
        <v>0</v>
      </c>
      <c r="I203" s="326">
        <v>1910</v>
      </c>
      <c r="J203" s="326">
        <v>-1910</v>
      </c>
      <c r="L203" s="324">
        <f>IFERROR(VLOOKUP(C203,'TB_31.03.2026 (Links)'!$D:$H,5,0)-J203,"Error")</f>
        <v>0</v>
      </c>
      <c r="O203">
        <v>-1910</v>
      </c>
      <c r="P203">
        <f t="shared" si="7"/>
        <v>0</v>
      </c>
      <c r="R203">
        <f>VLOOKUP(B203,[2]Sheet1!$B:$J,9,0)</f>
        <v>-1910</v>
      </c>
      <c r="S203">
        <f t="shared" si="8"/>
        <v>0</v>
      </c>
    </row>
    <row r="204" spans="1:19" hidden="1">
      <c r="A204" s="294">
        <v>1900</v>
      </c>
      <c r="B204" s="294">
        <v>11150001</v>
      </c>
      <c r="C204" t="s">
        <v>542</v>
      </c>
      <c r="D204" s="293" t="s">
        <v>465</v>
      </c>
      <c r="F204" s="326"/>
      <c r="G204" s="323">
        <v>0</v>
      </c>
      <c r="H204" s="326">
        <v>0</v>
      </c>
      <c r="I204" s="326">
        <v>6530</v>
      </c>
      <c r="J204" s="326">
        <v>-6530</v>
      </c>
      <c r="L204" s="324">
        <f>IFERROR(VLOOKUP(C204,'TB_31.03.2026 (Links)'!$D:$H,5,0)-J204,"Error")</f>
        <v>0</v>
      </c>
      <c r="O204">
        <v>-6530</v>
      </c>
      <c r="P204">
        <f t="shared" si="7"/>
        <v>0</v>
      </c>
      <c r="R204">
        <f>VLOOKUP(B204,[2]Sheet1!$B:$J,9,0)</f>
        <v>-6530</v>
      </c>
      <c r="S204">
        <f t="shared" si="8"/>
        <v>0</v>
      </c>
    </row>
    <row r="205" spans="1:19" hidden="1">
      <c r="A205" s="294">
        <v>1900</v>
      </c>
      <c r="B205" s="294">
        <v>30000072</v>
      </c>
      <c r="C205" t="s">
        <v>543</v>
      </c>
      <c r="D205" s="293" t="s">
        <v>465</v>
      </c>
      <c r="F205" s="326"/>
      <c r="G205" s="323">
        <v>0</v>
      </c>
      <c r="H205" s="326">
        <v>0</v>
      </c>
      <c r="I205" s="326">
        <v>362900000</v>
      </c>
      <c r="J205" s="326">
        <v>-362900000</v>
      </c>
      <c r="L205" s="324">
        <f>IFERROR(VLOOKUP(C205,'TB_31.03.2026 (Links)'!$D:$H,5,0)-J205,"Error")</f>
        <v>0</v>
      </c>
      <c r="O205">
        <v>-362900000</v>
      </c>
      <c r="P205">
        <f t="shared" si="7"/>
        <v>0</v>
      </c>
      <c r="R205">
        <f>VLOOKUP(B205,[2]Sheet1!$B:$J,9,0)</f>
        <v>-362900000</v>
      </c>
      <c r="S205">
        <f t="shared" si="8"/>
        <v>0</v>
      </c>
    </row>
    <row r="206" spans="1:19" hidden="1">
      <c r="A206" s="294">
        <v>1900</v>
      </c>
      <c r="B206" s="294">
        <v>40900201</v>
      </c>
      <c r="C206" t="s">
        <v>544</v>
      </c>
      <c r="D206" s="293" t="s">
        <v>465</v>
      </c>
      <c r="F206" s="326"/>
      <c r="G206" s="323">
        <v>0</v>
      </c>
      <c r="H206" s="326">
        <v>300000</v>
      </c>
      <c r="I206" s="326">
        <v>0</v>
      </c>
      <c r="J206" s="326">
        <v>300000</v>
      </c>
      <c r="L206" s="324">
        <f>IFERROR(VLOOKUP(C206,'TB_31.03.2026 (Links)'!$D:$H,5,0)-J206,"Error")</f>
        <v>0</v>
      </c>
      <c r="O206">
        <v>300000</v>
      </c>
      <c r="P206">
        <f t="shared" si="7"/>
        <v>0</v>
      </c>
      <c r="R206">
        <f>VLOOKUP(B206,[2]Sheet1!$B:$J,9,0)</f>
        <v>300000</v>
      </c>
      <c r="S206">
        <f t="shared" si="8"/>
        <v>0</v>
      </c>
    </row>
    <row r="207" spans="1:19">
      <c r="A207" s="294">
        <v>1900</v>
      </c>
      <c r="B207" s="294">
        <v>45520021</v>
      </c>
      <c r="C207" t="s">
        <v>545</v>
      </c>
      <c r="D207" s="293" t="s">
        <v>465</v>
      </c>
      <c r="F207" s="326"/>
      <c r="G207" s="323">
        <v>0</v>
      </c>
      <c r="H207" s="326">
        <v>88645</v>
      </c>
      <c r="I207" s="326">
        <v>0</v>
      </c>
      <c r="J207" s="326">
        <v>88645</v>
      </c>
      <c r="L207" s="324">
        <f>IFERROR(VLOOKUP(C207,'TB_31.03.2026 (Links)'!$D:$H,5,0)-J207,"Error")</f>
        <v>0</v>
      </c>
      <c r="O207">
        <v>86645</v>
      </c>
      <c r="P207">
        <f t="shared" si="7"/>
        <v>2000</v>
      </c>
      <c r="R207" s="647">
        <f>VLOOKUP(B207,[2]Sheet1!$B:$J,9,0)</f>
        <v>86645</v>
      </c>
      <c r="S207">
        <f t="shared" si="8"/>
        <v>2000</v>
      </c>
    </row>
    <row r="208" spans="1:19" hidden="1">
      <c r="A208" s="294">
        <v>1900</v>
      </c>
      <c r="B208" s="294">
        <v>10910012</v>
      </c>
      <c r="C208" t="s">
        <v>5964</v>
      </c>
      <c r="D208" s="293" t="s">
        <v>465</v>
      </c>
      <c r="G208" s="323">
        <v>0</v>
      </c>
      <c r="H208" s="326">
        <v>465249.11</v>
      </c>
      <c r="I208" s="326">
        <v>442019.11</v>
      </c>
      <c r="J208" s="326">
        <v>23230</v>
      </c>
    </row>
    <row r="211" spans="10:10">
      <c r="J211" s="285">
        <v>338660970.49999994</v>
      </c>
    </row>
    <row r="212" spans="10:10">
      <c r="J212" s="285">
        <f>J114+J115+J117+J118</f>
        <v>-338684200.49999994</v>
      </c>
    </row>
    <row r="213" spans="10:10">
      <c r="J213" s="285">
        <f>J211+J212</f>
        <v>-23230</v>
      </c>
    </row>
  </sheetData>
  <autoFilter ref="A5:S208">
    <filterColumn colId="18">
      <filters>
        <filter val="1,95,132.90"/>
        <filter val="14,400.00"/>
        <filter val="2,000.00"/>
        <filter val="360.00"/>
        <filter val="39,02,658.00"/>
        <filter val="-39,02,658.00"/>
        <filter val="65,49,157.00"/>
        <filter val="-65,66,277.00"/>
        <filter val="-97,566.45"/>
      </filters>
    </filterColumn>
  </autoFilter>
  <customSheetViews>
    <customSheetView guid="{B8A679C5-B961-4392-BACF-6DDFA7297AAE}" scale="70" showGridLines="0" showAutoFilter="1" topLeftCell="A4">
      <selection activeCell="A4" sqref="A4"/>
      <pageMargins left="0.7" right="0.7" top="0.75" bottom="0.75" header="0.3" footer="0.3"/>
      <autoFilter ref="A5:L207"/>
    </customSheetView>
    <customSheetView guid="{DEA14913-9729-4C6C-B479-A92A59FB4580}" scale="70" showGridLines="0" showAutoFilter="1" topLeftCell="H173">
      <selection activeCell="O201" sqref="O201:S202"/>
      <pageMargins left="0.7" right="0.7" top="0.75" bottom="0.75" header="0.3" footer="0.3"/>
      <autoFilter ref="A5:L207"/>
    </customSheetView>
    <customSheetView guid="{8C4DF1F4-EAB1-489E-8362-1E2D3E732D13}" scale="70" showGridLines="0" showAutoFilter="1" topLeftCell="A4">
      <selection activeCell="A4" sqref="A4"/>
      <pageMargins left="0.7" right="0.7" top="0.75" bottom="0.75" header="0.3" footer="0.3"/>
      <autoFilter ref="A5:L207"/>
    </customSheetView>
  </customSheetView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3:Q207"/>
  <sheetViews>
    <sheetView showGridLines="0" zoomScale="70" zoomScaleNormal="70" workbookViewId="0"/>
  </sheetViews>
  <sheetFormatPr defaultColWidth="9.28515625" defaultRowHeight="12.75"/>
  <cols>
    <col min="1" max="1" width="14" style="272" bestFit="1" customWidth="1"/>
    <col min="2" max="2" width="13" style="272" bestFit="1" customWidth="1"/>
    <col min="3" max="3" width="13" style="272" customWidth="1"/>
    <col min="4" max="4" width="52" style="272" bestFit="1" customWidth="1"/>
    <col min="5" max="5" width="21.42578125" style="312" bestFit="1" customWidth="1"/>
    <col min="6" max="7" width="18.28515625" style="312" bestFit="1" customWidth="1"/>
    <col min="8" max="8" width="21.28515625" style="313" bestFit="1" customWidth="1"/>
    <col min="9" max="10" width="21.28515625" style="313" customWidth="1"/>
    <col min="11" max="13" width="14.5703125" style="272" bestFit="1" customWidth="1"/>
    <col min="14" max="14" width="11.7109375" style="272" bestFit="1" customWidth="1"/>
    <col min="15" max="16384" width="9.28515625" style="272"/>
  </cols>
  <sheetData>
    <row r="3" spans="1:10" s="319" customFormat="1">
      <c r="E3" s="320">
        <f>SUBTOTAL(9,E5:E207)</f>
        <v>-1.430511474609375E-6</v>
      </c>
      <c r="F3" s="320">
        <f t="shared" ref="F3:I3" si="0">SUBTOTAL(9,F5:F207)</f>
        <v>15934277905.370001</v>
      </c>
      <c r="G3" s="320">
        <f t="shared" si="0"/>
        <v>15934277905.369999</v>
      </c>
      <c r="H3" s="320">
        <f t="shared" si="0"/>
        <v>-1.430511474609375E-6</v>
      </c>
      <c r="I3" s="320">
        <f t="shared" si="0"/>
        <v>-1.430511474609375E-6</v>
      </c>
      <c r="J3" s="320"/>
    </row>
    <row r="4" spans="1:10" ht="25.5">
      <c r="A4" s="273" t="s">
        <v>318</v>
      </c>
      <c r="B4" s="273" t="s">
        <v>319</v>
      </c>
      <c r="C4" s="273" t="s">
        <v>429</v>
      </c>
      <c r="D4" s="273" t="s">
        <v>320</v>
      </c>
      <c r="E4" s="314" t="s">
        <v>321</v>
      </c>
      <c r="F4" s="315" t="s">
        <v>322</v>
      </c>
      <c r="G4" s="315" t="s">
        <v>323</v>
      </c>
      <c r="H4" s="316" t="s">
        <v>324</v>
      </c>
      <c r="I4" s="648" t="s">
        <v>5966</v>
      </c>
      <c r="J4" s="648"/>
    </row>
    <row r="5" spans="1:10">
      <c r="A5" s="385">
        <v>1900</v>
      </c>
      <c r="B5" s="385">
        <v>10000070</v>
      </c>
      <c r="C5" s="380" t="s">
        <v>438</v>
      </c>
      <c r="D5" s="380" t="s">
        <v>325</v>
      </c>
      <c r="E5" s="381">
        <f>VLOOKUP(D5,'Raw TB_26.04.2026 (SAP Paste)'!$C:$J,4,0)</f>
        <v>54811</v>
      </c>
      <c r="F5" s="381">
        <f>VLOOKUP(D5,'Raw TB_26.04.2026 (SAP Paste)'!$C:$J,6,0)</f>
        <v>0</v>
      </c>
      <c r="G5" s="381">
        <f>VLOOKUP(D5,'Raw TB_26.04.2026 (SAP Paste)'!$C:$J,7,0)</f>
        <v>0</v>
      </c>
      <c r="H5" s="382">
        <f>+VLOOKUP(D5,'Raw TB_26.04.2026 (SAP Paste)'!C:J,8,0)</f>
        <v>54811</v>
      </c>
      <c r="I5" s="649">
        <f>VLOOKUP(B5,TB!$B$4:$H$202,7,)</f>
        <v>54811</v>
      </c>
      <c r="J5" s="649">
        <f>I5-H5</f>
        <v>0</v>
      </c>
    </row>
    <row r="6" spans="1:10">
      <c r="A6" s="385">
        <v>1900</v>
      </c>
      <c r="B6" s="385">
        <v>10001070</v>
      </c>
      <c r="C6" s="380" t="s">
        <v>438</v>
      </c>
      <c r="D6" s="380" t="s">
        <v>326</v>
      </c>
      <c r="E6" s="381">
        <f>VLOOKUP(D6,'Raw TB_26.04.2026 (SAP Paste)'!$C:$J,4,0)</f>
        <v>-22469.87</v>
      </c>
      <c r="F6" s="381">
        <f>VLOOKUP(D6,'Raw TB_26.04.2026 (SAP Paste)'!$C:$J,6,0)</f>
        <v>0</v>
      </c>
      <c r="G6" s="381">
        <f>VLOOKUP(D6,'Raw TB_26.04.2026 (SAP Paste)'!$C:$J,7,0)</f>
        <v>14576.15</v>
      </c>
      <c r="H6" s="382">
        <f>+VLOOKUP(D6,'Raw TB_26.04.2026 (SAP Paste)'!C:J,8,0)</f>
        <v>-37046.019999999997</v>
      </c>
      <c r="I6" s="649">
        <f>VLOOKUP(B6,TB!$B$4:$H$202,7,)</f>
        <v>-37046.019999999997</v>
      </c>
      <c r="J6" s="649">
        <f t="shared" ref="J6:J69" si="1">I6-H6</f>
        <v>0</v>
      </c>
    </row>
    <row r="7" spans="1:10">
      <c r="A7" s="385">
        <v>1900</v>
      </c>
      <c r="B7" s="385">
        <v>10320101</v>
      </c>
      <c r="C7" s="380" t="s">
        <v>438</v>
      </c>
      <c r="D7" s="380" t="s">
        <v>327</v>
      </c>
      <c r="E7" s="381">
        <f>VLOOKUP(D7,'Raw TB_26.04.2026 (SAP Paste)'!$C:$J,4,0)</f>
        <v>1000000</v>
      </c>
      <c r="F7" s="381">
        <f>VLOOKUP(D7,'Raw TB_26.04.2026 (SAP Paste)'!$C:$J,6,0)</f>
        <v>200403478.87</v>
      </c>
      <c r="G7" s="381">
        <f>VLOOKUP(D7,'Raw TB_26.04.2026 (SAP Paste)'!$C:$J,7,0)</f>
        <v>166403478.87</v>
      </c>
      <c r="H7" s="382">
        <f>+VLOOKUP(D7,'Raw TB_26.04.2026 (SAP Paste)'!C:J,8,0)</f>
        <v>35000000</v>
      </c>
      <c r="I7" s="649">
        <f>VLOOKUP(B7,TB!$B$4:$H$202,7,)</f>
        <v>35000000</v>
      </c>
      <c r="J7" s="649">
        <f t="shared" si="1"/>
        <v>0</v>
      </c>
    </row>
    <row r="8" spans="1:10">
      <c r="A8" s="385">
        <v>1900</v>
      </c>
      <c r="B8" s="385">
        <v>10320102</v>
      </c>
      <c r="C8" s="380" t="s">
        <v>438</v>
      </c>
      <c r="D8" s="380" t="s">
        <v>428</v>
      </c>
      <c r="E8" s="381">
        <f>VLOOKUP(D8,'Raw TB_26.04.2026 (SAP Paste)'!$C:$J,4,0)</f>
        <v>0</v>
      </c>
      <c r="F8" s="381">
        <f>VLOOKUP(D8,'Raw TB_26.04.2026 (SAP Paste)'!$C:$J,6,0)</f>
        <v>166227835.63999999</v>
      </c>
      <c r="G8" s="381">
        <f>VLOOKUP(D8,'Raw TB_26.04.2026 (SAP Paste)'!$C:$J,7,0)</f>
        <v>166227835.63999999</v>
      </c>
      <c r="H8" s="382">
        <f>+VLOOKUP(D8,'Raw TB_26.04.2026 (SAP Paste)'!C:J,8,0)</f>
        <v>0</v>
      </c>
      <c r="I8" s="649">
        <f>VLOOKUP(B8,TB!$B$4:$H$202,7,)</f>
        <v>0</v>
      </c>
      <c r="J8" s="649">
        <f t="shared" si="1"/>
        <v>0</v>
      </c>
    </row>
    <row r="9" spans="1:10">
      <c r="A9" s="385">
        <v>1900</v>
      </c>
      <c r="B9" s="385">
        <v>10400101</v>
      </c>
      <c r="C9" s="380" t="s">
        <v>438</v>
      </c>
      <c r="D9" s="380" t="s">
        <v>328</v>
      </c>
      <c r="E9" s="381">
        <f>VLOOKUP(D9,'Raw TB_26.04.2026 (SAP Paste)'!$C:$J,4,0)</f>
        <v>2812765648.8299999</v>
      </c>
      <c r="F9" s="381">
        <f>VLOOKUP(D9,'Raw TB_26.04.2026 (SAP Paste)'!$C:$J,6,0)</f>
        <v>0</v>
      </c>
      <c r="G9" s="381">
        <f>VLOOKUP(D9,'Raw TB_26.04.2026 (SAP Paste)'!$C:$J,7,0)</f>
        <v>0</v>
      </c>
      <c r="H9" s="382">
        <f>+VLOOKUP(D9,'Raw TB_26.04.2026 (SAP Paste)'!C:J,8,0)</f>
        <v>2812765648.8299999</v>
      </c>
      <c r="I9" s="649">
        <f>VLOOKUP(B9,TB!$B$4:$H$202,7,)</f>
        <v>2812765648.8299999</v>
      </c>
      <c r="J9" s="649">
        <f t="shared" si="1"/>
        <v>0</v>
      </c>
    </row>
    <row r="10" spans="1:10">
      <c r="A10" s="385">
        <v>1900</v>
      </c>
      <c r="B10" s="385">
        <v>10500001</v>
      </c>
      <c r="C10" s="380" t="s">
        <v>438</v>
      </c>
      <c r="D10" s="380" t="s">
        <v>99</v>
      </c>
      <c r="E10" s="381">
        <f>VLOOKUP(D10,'Raw TB_26.04.2026 (SAP Paste)'!$C:$J,4,0)</f>
        <v>835132253.33000004</v>
      </c>
      <c r="F10" s="381">
        <f>VLOOKUP(D10,'Raw TB_26.04.2026 (SAP Paste)'!$C:$J,6,0)</f>
        <v>82317594.280000001</v>
      </c>
      <c r="G10" s="381">
        <f>VLOOKUP(D10,'Raw TB_26.04.2026 (SAP Paste)'!$C:$J,7,0)</f>
        <v>53683312.899999999</v>
      </c>
      <c r="H10" s="382">
        <f>+VLOOKUP(D10,'Raw TB_26.04.2026 (SAP Paste)'!C:J,8,0)</f>
        <v>863766534.71000004</v>
      </c>
      <c r="I10" s="649">
        <f>VLOOKUP(B10,TB!$B$4:$H$202,7,)</f>
        <v>863766534.71000004</v>
      </c>
      <c r="J10" s="649">
        <f t="shared" si="1"/>
        <v>0</v>
      </c>
    </row>
    <row r="11" spans="1:10">
      <c r="A11" s="385">
        <v>1900</v>
      </c>
      <c r="B11" s="385">
        <v>10500002</v>
      </c>
      <c r="C11" s="380" t="s">
        <v>438</v>
      </c>
      <c r="D11" s="380" t="s">
        <v>100</v>
      </c>
      <c r="E11" s="381">
        <f>VLOOKUP(D11,'Raw TB_26.04.2026 (SAP Paste)'!$C:$J,4,0)</f>
        <v>45177026.520000003</v>
      </c>
      <c r="F11" s="381">
        <f>VLOOKUP(D11,'Raw TB_26.04.2026 (SAP Paste)'!$C:$J,6,0)</f>
        <v>3583960.76</v>
      </c>
      <c r="G11" s="381">
        <f>VLOOKUP(D11,'Raw TB_26.04.2026 (SAP Paste)'!$C:$J,7,0)</f>
        <v>1842689.61</v>
      </c>
      <c r="H11" s="382">
        <f>+VLOOKUP(D11,'Raw TB_26.04.2026 (SAP Paste)'!C:J,8,0)</f>
        <v>46918297.670000002</v>
      </c>
      <c r="I11" s="649">
        <f>VLOOKUP(B11,TB!$B$4:$H$202,7,)</f>
        <v>46918297.670000002</v>
      </c>
      <c r="J11" s="649">
        <f t="shared" si="1"/>
        <v>0</v>
      </c>
    </row>
    <row r="12" spans="1:10">
      <c r="A12" s="385">
        <v>1900</v>
      </c>
      <c r="B12" s="385">
        <v>10500003</v>
      </c>
      <c r="C12" s="380" t="s">
        <v>438</v>
      </c>
      <c r="D12" s="380" t="s">
        <v>101</v>
      </c>
      <c r="E12" s="381">
        <f>VLOOKUP(D12,'Raw TB_26.04.2026 (SAP Paste)'!$C:$J,4,0)</f>
        <v>-22777476</v>
      </c>
      <c r="F12" s="381">
        <f>VLOOKUP(D12,'Raw TB_26.04.2026 (SAP Paste)'!$C:$J,6,0)</f>
        <v>22831301</v>
      </c>
      <c r="G12" s="381">
        <f>VLOOKUP(D12,'Raw TB_26.04.2026 (SAP Paste)'!$C:$J,7,0)</f>
        <v>24576201</v>
      </c>
      <c r="H12" s="382">
        <f>+VLOOKUP(D12,'Raw TB_26.04.2026 (SAP Paste)'!C:J,8,0)</f>
        <v>-24522376</v>
      </c>
      <c r="I12" s="649">
        <f>VLOOKUP(B12,TB!$B$4:$H$202,7,)</f>
        <v>-24522376</v>
      </c>
      <c r="J12" s="649">
        <f t="shared" si="1"/>
        <v>0</v>
      </c>
    </row>
    <row r="13" spans="1:10">
      <c r="A13" s="385">
        <v>1900</v>
      </c>
      <c r="B13" s="385">
        <v>10500009</v>
      </c>
      <c r="C13" s="380" t="s">
        <v>438</v>
      </c>
      <c r="D13" s="380" t="s">
        <v>103</v>
      </c>
      <c r="E13" s="381">
        <f>VLOOKUP(D13,'Raw TB_26.04.2026 (SAP Paste)'!$C:$J,4,0)</f>
        <v>261151400.69999999</v>
      </c>
      <c r="F13" s="381">
        <f>VLOOKUP(D13,'Raw TB_26.04.2026 (SAP Paste)'!$C:$J,6,0)</f>
        <v>240500368.86000001</v>
      </c>
      <c r="G13" s="381">
        <f>VLOOKUP(D13,'Raw TB_26.04.2026 (SAP Paste)'!$C:$J,7,0)</f>
        <v>330888724.76999998</v>
      </c>
      <c r="H13" s="382">
        <f>+VLOOKUP(D13,'Raw TB_26.04.2026 (SAP Paste)'!C:J,8,0)</f>
        <v>170763044.78999999</v>
      </c>
      <c r="I13" s="649">
        <f>VLOOKUP(B13,TB!$B$4:$H$202,7,)</f>
        <v>170763044.78999999</v>
      </c>
      <c r="J13" s="649">
        <f t="shared" si="1"/>
        <v>0</v>
      </c>
    </row>
    <row r="14" spans="1:10">
      <c r="A14" s="385">
        <v>1900</v>
      </c>
      <c r="B14" s="385">
        <v>10500100</v>
      </c>
      <c r="C14" s="380" t="s">
        <v>438</v>
      </c>
      <c r="D14" s="380" t="s">
        <v>427</v>
      </c>
      <c r="E14" s="381">
        <f>VLOOKUP(D14,'Raw TB_26.04.2026 (SAP Paste)'!$C:$J,4,0)</f>
        <v>0</v>
      </c>
      <c r="F14" s="381">
        <f>VLOOKUP(D14,'Raw TB_26.04.2026 (SAP Paste)'!$C:$J,6,0)</f>
        <v>2319592.64</v>
      </c>
      <c r="G14" s="381">
        <f>VLOOKUP(D14,'Raw TB_26.04.2026 (SAP Paste)'!$C:$J,7,0)</f>
        <v>2319592.64</v>
      </c>
      <c r="H14" s="382">
        <f>+VLOOKUP(D14,'Raw TB_26.04.2026 (SAP Paste)'!C:J,8,0)</f>
        <v>0</v>
      </c>
      <c r="I14" s="649">
        <f>VLOOKUP(B14,TB!$B$4:$H$202,7,)</f>
        <v>0</v>
      </c>
      <c r="J14" s="649">
        <f t="shared" si="1"/>
        <v>0</v>
      </c>
    </row>
    <row r="15" spans="1:10">
      <c r="A15" s="385">
        <v>1900</v>
      </c>
      <c r="B15" s="385">
        <v>10900002</v>
      </c>
      <c r="C15" s="380" t="s">
        <v>438</v>
      </c>
      <c r="D15" s="380" t="s">
        <v>191</v>
      </c>
      <c r="E15" s="381">
        <f>VLOOKUP(D15,'Raw TB_26.04.2026 (SAP Paste)'!$C:$J,4,0)</f>
        <v>29382876.859999999</v>
      </c>
      <c r="F15" s="381">
        <f>VLOOKUP(D15,'Raw TB_26.04.2026 (SAP Paste)'!$C:$J,6,0)</f>
        <v>5080952.8600000003</v>
      </c>
      <c r="G15" s="381">
        <f>VLOOKUP(D15,'Raw TB_26.04.2026 (SAP Paste)'!$C:$J,7,0)</f>
        <v>171474.45</v>
      </c>
      <c r="H15" s="382">
        <f>+VLOOKUP(D15,'Raw TB_26.04.2026 (SAP Paste)'!C:J,8,0)</f>
        <v>34292355.270000003</v>
      </c>
      <c r="I15" s="649">
        <f>VLOOKUP(B15,TB!$B$4:$H$202,7,)</f>
        <v>34292355.270000003</v>
      </c>
      <c r="J15" s="649">
        <f t="shared" si="1"/>
        <v>0</v>
      </c>
    </row>
    <row r="16" spans="1:10">
      <c r="A16" s="385">
        <v>1900</v>
      </c>
      <c r="B16" s="385">
        <v>10910101</v>
      </c>
      <c r="C16" s="380" t="s">
        <v>438</v>
      </c>
      <c r="D16" s="380" t="s">
        <v>329</v>
      </c>
      <c r="E16" s="381">
        <f>VLOOKUP(D16,'Raw TB_26.04.2026 (SAP Paste)'!$C:$J,4,0)</f>
        <v>6220</v>
      </c>
      <c r="F16" s="381">
        <f>VLOOKUP(D16,'Raw TB_26.04.2026 (SAP Paste)'!$C:$J,6,0)</f>
        <v>286789.98</v>
      </c>
      <c r="G16" s="381">
        <f>VLOOKUP(D16,'Raw TB_26.04.2026 (SAP Paste)'!$C:$J,7,0)</f>
        <v>0</v>
      </c>
      <c r="H16" s="382">
        <f>+VLOOKUP(D16,'Raw TB_26.04.2026 (SAP Paste)'!C:J,8,0)</f>
        <v>293009.98</v>
      </c>
      <c r="I16" s="649">
        <f>VLOOKUP(B16,TB!$B$4:$H$202,7,)</f>
        <v>293009.98</v>
      </c>
      <c r="J16" s="649">
        <f t="shared" si="1"/>
        <v>0</v>
      </c>
    </row>
    <row r="17" spans="1:11">
      <c r="A17" s="385">
        <v>1900</v>
      </c>
      <c r="B17" s="385">
        <v>10930002</v>
      </c>
      <c r="C17" s="380" t="s">
        <v>438</v>
      </c>
      <c r="D17" s="380" t="s">
        <v>330</v>
      </c>
      <c r="E17" s="381">
        <f>VLOOKUP(D17,'Raw TB_26.04.2026 (SAP Paste)'!$C:$J,4,0)</f>
        <v>41467</v>
      </c>
      <c r="F17" s="381">
        <f>VLOOKUP(D17,'Raw TB_26.04.2026 (SAP Paste)'!$C:$J,6,0)</f>
        <v>1008248</v>
      </c>
      <c r="G17" s="381">
        <f>VLOOKUP(D17,'Raw TB_26.04.2026 (SAP Paste)'!$C:$J,7,0)</f>
        <v>851633</v>
      </c>
      <c r="H17" s="382">
        <f>+VLOOKUP(D17,'Raw TB_26.04.2026 (SAP Paste)'!C:J,8,0)</f>
        <v>198082</v>
      </c>
      <c r="I17" s="649">
        <f>VLOOKUP(B17,TB!$B$4:$H$202,7,)</f>
        <v>198082</v>
      </c>
      <c r="J17" s="649">
        <f t="shared" si="1"/>
        <v>0</v>
      </c>
      <c r="K17" s="272" t="s">
        <v>183</v>
      </c>
    </row>
    <row r="18" spans="1:11">
      <c r="A18" s="385">
        <v>1900</v>
      </c>
      <c r="B18" s="385">
        <v>10940001</v>
      </c>
      <c r="C18" s="380" t="s">
        <v>438</v>
      </c>
      <c r="D18" s="380" t="s">
        <v>331</v>
      </c>
      <c r="E18" s="381">
        <f>VLOOKUP(D18,'Raw TB_26.04.2026 (SAP Paste)'!$C:$J,4,0)</f>
        <v>8605</v>
      </c>
      <c r="F18" s="381">
        <f>VLOOKUP(D18,'Raw TB_26.04.2026 (SAP Paste)'!$C:$J,6,0)</f>
        <v>0</v>
      </c>
      <c r="G18" s="381">
        <f>VLOOKUP(D18,'Raw TB_26.04.2026 (SAP Paste)'!$C:$J,7,0)</f>
        <v>500</v>
      </c>
      <c r="H18" s="382">
        <f>+VLOOKUP(D18,'Raw TB_26.04.2026 (SAP Paste)'!C:J,8,0)</f>
        <v>8105</v>
      </c>
      <c r="I18" s="649">
        <f>VLOOKUP(B18,TB!$B$4:$H$202,7,)</f>
        <v>8105</v>
      </c>
      <c r="J18" s="649">
        <f t="shared" si="1"/>
        <v>0</v>
      </c>
    </row>
    <row r="19" spans="1:11">
      <c r="A19" s="385">
        <v>1900</v>
      </c>
      <c r="B19" s="385">
        <v>10951220</v>
      </c>
      <c r="C19" s="380" t="s">
        <v>438</v>
      </c>
      <c r="D19" s="380" t="s">
        <v>155</v>
      </c>
      <c r="E19" s="381">
        <f>VLOOKUP(D19,'Raw TB_26.04.2026 (SAP Paste)'!$C:$J,4,0)</f>
        <v>10000</v>
      </c>
      <c r="F19" s="381">
        <f>VLOOKUP(D19,'Raw TB_26.04.2026 (SAP Paste)'!$C:$J,6,0)</f>
        <v>51819394.219999999</v>
      </c>
      <c r="G19" s="381">
        <f>VLOOKUP(D19,'Raw TB_26.04.2026 (SAP Paste)'!$C:$J,7,0)</f>
        <v>51829394.229999997</v>
      </c>
      <c r="H19" s="382">
        <f>+VLOOKUP(D19,'Raw TB_26.04.2026 (SAP Paste)'!C:J,8,0)</f>
        <v>-0.01</v>
      </c>
      <c r="I19" s="649">
        <f>VLOOKUP(B19,TB!$B$4:$H$202,7,)</f>
        <v>-0.01</v>
      </c>
      <c r="J19" s="649">
        <f t="shared" si="1"/>
        <v>0</v>
      </c>
    </row>
    <row r="20" spans="1:11">
      <c r="A20" s="385">
        <v>1900</v>
      </c>
      <c r="B20" s="385">
        <v>10951221</v>
      </c>
      <c r="C20" s="380" t="s">
        <v>438</v>
      </c>
      <c r="D20" s="380" t="s">
        <v>156</v>
      </c>
      <c r="E20" s="381">
        <f>VLOOKUP(D20,'Raw TB_26.04.2026 (SAP Paste)'!$C:$J,4,0)</f>
        <v>0</v>
      </c>
      <c r="F20" s="381">
        <f>VLOOKUP(D20,'Raw TB_26.04.2026 (SAP Paste)'!$C:$J,6,0)</f>
        <v>59674301.770000003</v>
      </c>
      <c r="G20" s="381">
        <f>VLOOKUP(D20,'Raw TB_26.04.2026 (SAP Paste)'!$C:$J,7,0)</f>
        <v>59674301.770000003</v>
      </c>
      <c r="H20" s="382">
        <f>+VLOOKUP(D20,'Raw TB_26.04.2026 (SAP Paste)'!C:J,8,0)</f>
        <v>0</v>
      </c>
      <c r="I20" s="649">
        <f>VLOOKUP(B20,TB!$B$4:$H$202,7,)</f>
        <v>0</v>
      </c>
      <c r="J20" s="649">
        <f t="shared" si="1"/>
        <v>0</v>
      </c>
    </row>
    <row r="21" spans="1:11">
      <c r="A21" s="385">
        <v>1900</v>
      </c>
      <c r="B21" s="385">
        <v>10951222</v>
      </c>
      <c r="C21" s="380" t="s">
        <v>438</v>
      </c>
      <c r="D21" s="380" t="s">
        <v>332</v>
      </c>
      <c r="E21" s="381">
        <f>VLOOKUP(D21,'Raw TB_26.04.2026 (SAP Paste)'!$C:$J,4,0)</f>
        <v>0</v>
      </c>
      <c r="F21" s="381">
        <f>VLOOKUP(D21,'Raw TB_26.04.2026 (SAP Paste)'!$C:$J,6,0)</f>
        <v>50299508.850000001</v>
      </c>
      <c r="G21" s="381">
        <f>VLOOKUP(D21,'Raw TB_26.04.2026 (SAP Paste)'!$C:$J,7,0)</f>
        <v>50299508.850000001</v>
      </c>
      <c r="H21" s="382">
        <f>+VLOOKUP(D21,'Raw TB_26.04.2026 (SAP Paste)'!C:J,8,0)</f>
        <v>0</v>
      </c>
      <c r="I21" s="649">
        <f>VLOOKUP(B21,TB!$B$4:$H$202,7,)</f>
        <v>0</v>
      </c>
      <c r="J21" s="649">
        <f t="shared" si="1"/>
        <v>0</v>
      </c>
    </row>
    <row r="22" spans="1:11">
      <c r="A22" s="385">
        <v>1900</v>
      </c>
      <c r="B22" s="385">
        <v>10951230</v>
      </c>
      <c r="C22" s="380" t="s">
        <v>438</v>
      </c>
      <c r="D22" s="380" t="s">
        <v>157</v>
      </c>
      <c r="E22" s="381">
        <f>VLOOKUP(D22,'Raw TB_26.04.2026 (SAP Paste)'!$C:$J,4,0)</f>
        <v>1017434.18</v>
      </c>
      <c r="F22" s="381">
        <f>VLOOKUP(D22,'Raw TB_26.04.2026 (SAP Paste)'!$C:$J,6,0)</f>
        <v>39480082.25</v>
      </c>
      <c r="G22" s="381">
        <f>VLOOKUP(D22,'Raw TB_26.04.2026 (SAP Paste)'!$C:$J,7,0)</f>
        <v>40497516.43</v>
      </c>
      <c r="H22" s="382">
        <f>+VLOOKUP(D22,'Raw TB_26.04.2026 (SAP Paste)'!C:J,8,0)</f>
        <v>0</v>
      </c>
      <c r="I22" s="649">
        <f>VLOOKUP(B22,TB!$B$4:$H$202,7,)</f>
        <v>0</v>
      </c>
      <c r="J22" s="649">
        <f t="shared" si="1"/>
        <v>0</v>
      </c>
    </row>
    <row r="23" spans="1:11">
      <c r="A23" s="385">
        <v>1900</v>
      </c>
      <c r="B23" s="385">
        <v>10951231</v>
      </c>
      <c r="C23" s="380" t="s">
        <v>438</v>
      </c>
      <c r="D23" s="380" t="s">
        <v>333</v>
      </c>
      <c r="E23" s="381">
        <f>VLOOKUP(D23,'Raw TB_26.04.2026 (SAP Paste)'!$C:$J,4,0)</f>
        <v>0</v>
      </c>
      <c r="F23" s="381">
        <f>VLOOKUP(D23,'Raw TB_26.04.2026 (SAP Paste)'!$C:$J,6,0)</f>
        <v>34862416.950000003</v>
      </c>
      <c r="G23" s="381">
        <f>VLOOKUP(D23,'Raw TB_26.04.2026 (SAP Paste)'!$C:$J,7,0)</f>
        <v>34862416.950000003</v>
      </c>
      <c r="H23" s="382">
        <f>+VLOOKUP(D23,'Raw TB_26.04.2026 (SAP Paste)'!C:J,8,0)</f>
        <v>0</v>
      </c>
      <c r="I23" s="649">
        <f>VLOOKUP(B23,TB!$B$4:$H$202,7,)</f>
        <v>0</v>
      </c>
      <c r="J23" s="649">
        <f t="shared" si="1"/>
        <v>0</v>
      </c>
    </row>
    <row r="24" spans="1:11">
      <c r="A24" s="385">
        <v>1900</v>
      </c>
      <c r="B24" s="385">
        <v>10951232</v>
      </c>
      <c r="C24" s="380" t="s">
        <v>438</v>
      </c>
      <c r="D24" s="380" t="s">
        <v>334</v>
      </c>
      <c r="E24" s="381">
        <f>VLOOKUP(D24,'Raw TB_26.04.2026 (SAP Paste)'!$C:$J,4,0)</f>
        <v>0</v>
      </c>
      <c r="F24" s="381">
        <f>VLOOKUP(D24,'Raw TB_26.04.2026 (SAP Paste)'!$C:$J,6,0)</f>
        <v>46540188.689999998</v>
      </c>
      <c r="G24" s="381">
        <f>VLOOKUP(D24,'Raw TB_26.04.2026 (SAP Paste)'!$C:$J,7,0)</f>
        <v>46540188.689999998</v>
      </c>
      <c r="H24" s="382">
        <f>+VLOOKUP(D24,'Raw TB_26.04.2026 (SAP Paste)'!C:J,8,0)</f>
        <v>0</v>
      </c>
      <c r="I24" s="649">
        <f>VLOOKUP(B24,TB!$B$4:$H$202,7,)</f>
        <v>0</v>
      </c>
      <c r="J24" s="649">
        <f t="shared" si="1"/>
        <v>0</v>
      </c>
    </row>
    <row r="25" spans="1:11">
      <c r="A25" s="385">
        <v>1900</v>
      </c>
      <c r="B25" s="385">
        <v>10951240</v>
      </c>
      <c r="C25" s="380" t="s">
        <v>438</v>
      </c>
      <c r="D25" s="380" t="s">
        <v>158</v>
      </c>
      <c r="E25" s="381">
        <f>VLOOKUP(D25,'Raw TB_26.04.2026 (SAP Paste)'!$C:$J,4,0)</f>
        <v>6119366.8700000001</v>
      </c>
      <c r="F25" s="381">
        <f>VLOOKUP(D25,'Raw TB_26.04.2026 (SAP Paste)'!$C:$J,6,0)</f>
        <v>964310892.16999996</v>
      </c>
      <c r="G25" s="381">
        <f>VLOOKUP(D25,'Raw TB_26.04.2026 (SAP Paste)'!$C:$J,7,0)</f>
        <v>968860820.99000001</v>
      </c>
      <c r="H25" s="382">
        <f>+VLOOKUP(D25,'Raw TB_26.04.2026 (SAP Paste)'!C:J,8,0)</f>
        <v>1569438.05</v>
      </c>
      <c r="I25" s="649">
        <f>VLOOKUP(B25,TB!$B$4:$H$202,7,)</f>
        <v>1569438.05</v>
      </c>
      <c r="J25" s="649">
        <f t="shared" si="1"/>
        <v>0</v>
      </c>
    </row>
    <row r="26" spans="1:11">
      <c r="A26" s="385">
        <v>1900</v>
      </c>
      <c r="B26" s="385">
        <v>10951241</v>
      </c>
      <c r="C26" s="380" t="s">
        <v>438</v>
      </c>
      <c r="D26" s="380" t="s">
        <v>335</v>
      </c>
      <c r="E26" s="381">
        <f>VLOOKUP(D26,'Raw TB_26.04.2026 (SAP Paste)'!$C:$J,4,0)</f>
        <v>0</v>
      </c>
      <c r="F26" s="381">
        <f>VLOOKUP(D26,'Raw TB_26.04.2026 (SAP Paste)'!$C:$J,6,0)</f>
        <v>1164853824.5699999</v>
      </c>
      <c r="G26" s="381">
        <f>VLOOKUP(D26,'Raw TB_26.04.2026 (SAP Paste)'!$C:$J,7,0)</f>
        <v>1163059303.5699999</v>
      </c>
      <c r="H26" s="382">
        <f>+VLOOKUP(D26,'Raw TB_26.04.2026 (SAP Paste)'!C:J,8,0)</f>
        <v>1794521</v>
      </c>
      <c r="I26" s="649">
        <f>VLOOKUP(B26,TB!$B$4:$H$202,7,)</f>
        <v>1794521</v>
      </c>
      <c r="J26" s="649">
        <f t="shared" si="1"/>
        <v>0</v>
      </c>
    </row>
    <row r="27" spans="1:11">
      <c r="A27" s="385">
        <v>1900</v>
      </c>
      <c r="B27" s="385">
        <v>10951242</v>
      </c>
      <c r="C27" s="380" t="s">
        <v>438</v>
      </c>
      <c r="D27" s="380" t="s">
        <v>160</v>
      </c>
      <c r="E27" s="381">
        <f>VLOOKUP(D27,'Raw TB_26.04.2026 (SAP Paste)'!$C:$J,4,0)</f>
        <v>-5789326.8099999996</v>
      </c>
      <c r="F27" s="381">
        <f>VLOOKUP(D27,'Raw TB_26.04.2026 (SAP Paste)'!$C:$J,6,0)</f>
        <v>1220422290.24</v>
      </c>
      <c r="G27" s="381">
        <f>VLOOKUP(D27,'Raw TB_26.04.2026 (SAP Paste)'!$C:$J,7,0)</f>
        <v>1214738684.4300001</v>
      </c>
      <c r="H27" s="382">
        <f>+VLOOKUP(D27,'Raw TB_26.04.2026 (SAP Paste)'!C:J,8,0)</f>
        <v>-105721</v>
      </c>
      <c r="I27" s="649">
        <f>VLOOKUP(B27,TB!$B$4:$H$202,7,)</f>
        <v>-105721</v>
      </c>
      <c r="J27" s="649">
        <f t="shared" si="1"/>
        <v>0</v>
      </c>
    </row>
    <row r="28" spans="1:11">
      <c r="A28" s="385">
        <v>1900</v>
      </c>
      <c r="B28" s="385">
        <v>10951250</v>
      </c>
      <c r="C28" s="380" t="s">
        <v>438</v>
      </c>
      <c r="D28" s="380" t="s">
        <v>161</v>
      </c>
      <c r="E28" s="381">
        <f>VLOOKUP(D28,'Raw TB_26.04.2026 (SAP Paste)'!$C:$J,4,0)</f>
        <v>614400</v>
      </c>
      <c r="F28" s="381">
        <f>VLOOKUP(D28,'Raw TB_26.04.2026 (SAP Paste)'!$C:$J,6,0)</f>
        <v>21508837.98</v>
      </c>
      <c r="G28" s="381">
        <f>VLOOKUP(D28,'Raw TB_26.04.2026 (SAP Paste)'!$C:$J,7,0)</f>
        <v>22048852.760000002</v>
      </c>
      <c r="H28" s="382">
        <f>+VLOOKUP(D28,'Raw TB_26.04.2026 (SAP Paste)'!C:J,8,0)</f>
        <v>74385.22</v>
      </c>
      <c r="I28" s="649">
        <f>VLOOKUP(B28,TB!$B$4:$H$202,7,)</f>
        <v>74385.22</v>
      </c>
      <c r="J28" s="649">
        <f t="shared" si="1"/>
        <v>0</v>
      </c>
    </row>
    <row r="29" spans="1:11">
      <c r="A29" s="385">
        <v>1900</v>
      </c>
      <c r="B29" s="385">
        <v>10951251</v>
      </c>
      <c r="C29" s="380" t="s">
        <v>438</v>
      </c>
      <c r="D29" s="380" t="s">
        <v>162</v>
      </c>
      <c r="E29" s="381">
        <f>VLOOKUP(D29,'Raw TB_26.04.2026 (SAP Paste)'!$C:$J,4,0)</f>
        <v>0</v>
      </c>
      <c r="F29" s="381">
        <f>VLOOKUP(D29,'Raw TB_26.04.2026 (SAP Paste)'!$C:$J,6,0)</f>
        <v>27981803</v>
      </c>
      <c r="G29" s="381">
        <f>VLOOKUP(D29,'Raw TB_26.04.2026 (SAP Paste)'!$C:$J,7,0)</f>
        <v>27981803</v>
      </c>
      <c r="H29" s="382">
        <f>+VLOOKUP(D29,'Raw TB_26.04.2026 (SAP Paste)'!C:J,8,0)</f>
        <v>0</v>
      </c>
      <c r="I29" s="649">
        <f>VLOOKUP(B29,TB!$B$4:$H$202,7,)</f>
        <v>0</v>
      </c>
      <c r="J29" s="649">
        <f t="shared" si="1"/>
        <v>0</v>
      </c>
    </row>
    <row r="30" spans="1:11">
      <c r="A30" s="385">
        <v>1900</v>
      </c>
      <c r="B30" s="385">
        <v>10951252</v>
      </c>
      <c r="C30" s="380" t="s">
        <v>438</v>
      </c>
      <c r="D30" s="380" t="s">
        <v>336</v>
      </c>
      <c r="E30" s="381">
        <f>VLOOKUP(D30,'Raw TB_26.04.2026 (SAP Paste)'!$C:$J,4,0)</f>
        <v>0</v>
      </c>
      <c r="F30" s="381">
        <f>VLOOKUP(D30,'Raw TB_26.04.2026 (SAP Paste)'!$C:$J,6,0)</f>
        <v>22238988.739999998</v>
      </c>
      <c r="G30" s="381">
        <f>VLOOKUP(D30,'Raw TB_26.04.2026 (SAP Paste)'!$C:$J,7,0)</f>
        <v>22238988.739999998</v>
      </c>
      <c r="H30" s="382">
        <f>+VLOOKUP(D30,'Raw TB_26.04.2026 (SAP Paste)'!C:J,8,0)</f>
        <v>0</v>
      </c>
      <c r="I30" s="649">
        <f>VLOOKUP(B30,TB!$B$4:$H$202,7,)</f>
        <v>0</v>
      </c>
      <c r="J30" s="649">
        <f t="shared" si="1"/>
        <v>0</v>
      </c>
    </row>
    <row r="31" spans="1:11">
      <c r="A31" s="385">
        <v>1900</v>
      </c>
      <c r="B31" s="385">
        <v>10951260</v>
      </c>
      <c r="C31" s="380" t="s">
        <v>438</v>
      </c>
      <c r="D31" s="383" t="s">
        <v>164</v>
      </c>
      <c r="E31" s="381">
        <f>VLOOKUP(D31,'Raw TB_26.04.2026 (SAP Paste)'!$C:$J,4,0)</f>
        <v>19702.66</v>
      </c>
      <c r="F31" s="381">
        <f>VLOOKUP(D31,'Raw TB_26.04.2026 (SAP Paste)'!$C:$J,6,0)</f>
        <v>5297.58</v>
      </c>
      <c r="G31" s="381">
        <f>VLOOKUP(D31,'Raw TB_26.04.2026 (SAP Paste)'!$C:$J,7,0)</f>
        <v>1.47</v>
      </c>
      <c r="H31" s="382">
        <f>+VLOOKUP(D31,'Raw TB_26.04.2026 (SAP Paste)'!C:J,8,0)</f>
        <v>24998.77</v>
      </c>
      <c r="I31" s="649">
        <f>VLOOKUP(B31,TB!$B$4:$H$202,7,)</f>
        <v>24998.77</v>
      </c>
      <c r="J31" s="649">
        <f t="shared" si="1"/>
        <v>0</v>
      </c>
    </row>
    <row r="32" spans="1:11">
      <c r="A32" s="385">
        <v>1900</v>
      </c>
      <c r="B32" s="385">
        <v>10951261</v>
      </c>
      <c r="C32" s="380" t="s">
        <v>438</v>
      </c>
      <c r="D32" s="380" t="s">
        <v>426</v>
      </c>
      <c r="E32" s="381">
        <f>VLOOKUP(D32,'Raw TB_26.04.2026 (SAP Paste)'!$C:$J,4,0)</f>
        <v>0</v>
      </c>
      <c r="F32" s="381">
        <f>VLOOKUP(D32,'Raw TB_26.04.2026 (SAP Paste)'!$C:$J,6,0)</f>
        <v>5297</v>
      </c>
      <c r="G32" s="381">
        <f>VLOOKUP(D32,'Raw TB_26.04.2026 (SAP Paste)'!$C:$J,7,0)</f>
        <v>5297</v>
      </c>
      <c r="H32" s="382">
        <f>+VLOOKUP(D32,'Raw TB_26.04.2026 (SAP Paste)'!C:J,8,0)</f>
        <v>0</v>
      </c>
      <c r="I32" s="649">
        <f>VLOOKUP(B32,TB!$B$4:$H$202,7,)</f>
        <v>0</v>
      </c>
      <c r="J32" s="649">
        <f t="shared" si="1"/>
        <v>0</v>
      </c>
    </row>
    <row r="33" spans="1:10" ht="15">
      <c r="A33" s="385">
        <v>1900</v>
      </c>
      <c r="B33" s="385">
        <v>10952210</v>
      </c>
      <c r="C33" s="380" t="s">
        <v>438</v>
      </c>
      <c r="D33" s="107" t="s">
        <v>466</v>
      </c>
      <c r="E33" s="381">
        <f>VLOOKUP(D33,'Raw TB_26.04.2026 (SAP Paste)'!$C:$J,4,0)</f>
        <v>0</v>
      </c>
      <c r="F33" s="381">
        <f>VLOOKUP(D33,'Raw TB_26.04.2026 (SAP Paste)'!$C:$J,6,0)</f>
        <v>1476565765.3</v>
      </c>
      <c r="G33" s="381">
        <f>VLOOKUP(D33,'Raw TB_26.04.2026 (SAP Paste)'!$C:$J,7,0)</f>
        <v>1504528114.5799999</v>
      </c>
      <c r="H33" s="382">
        <f>+VLOOKUP(D33,'Raw TB_26.04.2026 (SAP Paste)'!C:J,8,0)</f>
        <v>-27962349.280000001</v>
      </c>
      <c r="I33" s="649">
        <f>VLOOKUP(B33,TB!$B$4:$H$202,7,)</f>
        <v>-27962349.280000001</v>
      </c>
      <c r="J33" s="649">
        <f t="shared" si="1"/>
        <v>0</v>
      </c>
    </row>
    <row r="34" spans="1:10" ht="15">
      <c r="A34" s="385">
        <v>1900</v>
      </c>
      <c r="B34" s="385">
        <v>10952211</v>
      </c>
      <c r="C34" s="380" t="s">
        <v>438</v>
      </c>
      <c r="D34" s="107" t="s">
        <v>467</v>
      </c>
      <c r="E34" s="381">
        <f>VLOOKUP(D34,'Raw TB_26.04.2026 (SAP Paste)'!$C:$J,4,0)</f>
        <v>0</v>
      </c>
      <c r="F34" s="381">
        <f>VLOOKUP(D34,'Raw TB_26.04.2026 (SAP Paste)'!$C:$J,6,0)</f>
        <v>1510047710.46</v>
      </c>
      <c r="G34" s="381">
        <f>VLOOKUP(D34,'Raw TB_26.04.2026 (SAP Paste)'!$C:$J,7,0)</f>
        <v>1510047710.46</v>
      </c>
      <c r="H34" s="382">
        <f>+VLOOKUP(D34,'Raw TB_26.04.2026 (SAP Paste)'!C:J,8,0)</f>
        <v>0</v>
      </c>
      <c r="I34" s="649">
        <f>VLOOKUP(B34,TB!$B$4:$H$202,7,)</f>
        <v>0</v>
      </c>
      <c r="J34" s="649">
        <f t="shared" si="1"/>
        <v>0</v>
      </c>
    </row>
    <row r="35" spans="1:10" ht="15">
      <c r="A35" s="385">
        <v>1900</v>
      </c>
      <c r="B35" s="385">
        <v>10952212</v>
      </c>
      <c r="C35" s="380" t="s">
        <v>438</v>
      </c>
      <c r="D35" s="107" t="s">
        <v>468</v>
      </c>
      <c r="E35" s="381">
        <f>VLOOKUP(D35,'Raw TB_26.04.2026 (SAP Paste)'!$C:$J,4,0)</f>
        <v>0</v>
      </c>
      <c r="F35" s="381">
        <f>VLOOKUP(D35,'Raw TB_26.04.2026 (SAP Paste)'!$C:$J,6,0)</f>
        <v>1887464345.4200001</v>
      </c>
      <c r="G35" s="381">
        <f>VLOOKUP(D35,'Raw TB_26.04.2026 (SAP Paste)'!$C:$J,7,0)</f>
        <v>1887464345.4200001</v>
      </c>
      <c r="H35" s="382">
        <f>+VLOOKUP(D35,'Raw TB_26.04.2026 (SAP Paste)'!C:J,8,0)</f>
        <v>0</v>
      </c>
      <c r="I35" s="649">
        <f>VLOOKUP(B35,TB!$B$4:$H$202,7,)</f>
        <v>0</v>
      </c>
      <c r="J35" s="649">
        <f t="shared" si="1"/>
        <v>0</v>
      </c>
    </row>
    <row r="36" spans="1:10">
      <c r="A36" s="385">
        <v>1900</v>
      </c>
      <c r="B36" s="385">
        <v>10952660</v>
      </c>
      <c r="C36" s="380" t="s">
        <v>438</v>
      </c>
      <c r="D36" s="380" t="s">
        <v>166</v>
      </c>
      <c r="E36" s="381">
        <f>VLOOKUP(D36,'Raw TB_26.04.2026 (SAP Paste)'!$C:$J,4,0)</f>
        <v>25000</v>
      </c>
      <c r="F36" s="381">
        <f>VLOOKUP(D36,'Raw TB_26.04.2026 (SAP Paste)'!$C:$J,6,0)</f>
        <v>0</v>
      </c>
      <c r="G36" s="381">
        <f>VLOOKUP(D36,'Raw TB_26.04.2026 (SAP Paste)'!$C:$J,7,0)</f>
        <v>25000</v>
      </c>
      <c r="H36" s="382">
        <f>+VLOOKUP(D36,'Raw TB_26.04.2026 (SAP Paste)'!C:J,8,0)</f>
        <v>0</v>
      </c>
      <c r="I36" s="649">
        <f>VLOOKUP(B36,TB!$B$4:$H$202,7,)</f>
        <v>0</v>
      </c>
      <c r="J36" s="649">
        <f t="shared" si="1"/>
        <v>0</v>
      </c>
    </row>
    <row r="37" spans="1:10">
      <c r="A37" s="385">
        <v>1900</v>
      </c>
      <c r="B37" s="385">
        <v>10952670</v>
      </c>
      <c r="C37" s="380" t="s">
        <v>438</v>
      </c>
      <c r="D37" s="380" t="s">
        <v>337</v>
      </c>
      <c r="E37" s="381">
        <f>VLOOKUP(D37,'Raw TB_26.04.2026 (SAP Paste)'!$C:$J,4,0)</f>
        <v>25000</v>
      </c>
      <c r="F37" s="381">
        <f>VLOOKUP(D37,'Raw TB_26.04.2026 (SAP Paste)'!$C:$J,6,0)</f>
        <v>1500</v>
      </c>
      <c r="G37" s="381">
        <f>VLOOKUP(D37,'Raw TB_26.04.2026 (SAP Paste)'!$C:$J,7,0)</f>
        <v>26500</v>
      </c>
      <c r="H37" s="382">
        <f>+VLOOKUP(D37,'Raw TB_26.04.2026 (SAP Paste)'!C:J,8,0)</f>
        <v>0</v>
      </c>
      <c r="I37" s="649">
        <f>VLOOKUP(B37,TB!$B$4:$H$202,7,)</f>
        <v>0</v>
      </c>
      <c r="J37" s="649">
        <f t="shared" si="1"/>
        <v>0</v>
      </c>
    </row>
    <row r="38" spans="1:10">
      <c r="A38" s="385">
        <v>1900</v>
      </c>
      <c r="B38" s="385">
        <v>10952680</v>
      </c>
      <c r="C38" s="380" t="s">
        <v>438</v>
      </c>
      <c r="D38" s="380" t="s">
        <v>167</v>
      </c>
      <c r="E38" s="381">
        <f>VLOOKUP(D38,'Raw TB_26.04.2026 (SAP Paste)'!$C:$J,4,0)</f>
        <v>25000</v>
      </c>
      <c r="F38" s="381">
        <f>VLOOKUP(D38,'Raw TB_26.04.2026 (SAP Paste)'!$C:$J,6,0)</f>
        <v>2090</v>
      </c>
      <c r="G38" s="381">
        <f>VLOOKUP(D38,'Raw TB_26.04.2026 (SAP Paste)'!$C:$J,7,0)</f>
        <v>27090</v>
      </c>
      <c r="H38" s="382">
        <f>+VLOOKUP(D38,'Raw TB_26.04.2026 (SAP Paste)'!C:J,8,0)</f>
        <v>0</v>
      </c>
      <c r="I38" s="649">
        <f>VLOOKUP(B38,TB!$B$4:$H$202,7,)</f>
        <v>0</v>
      </c>
      <c r="J38" s="649">
        <f t="shared" si="1"/>
        <v>0</v>
      </c>
    </row>
    <row r="39" spans="1:10">
      <c r="A39" s="385">
        <v>1900</v>
      </c>
      <c r="B39" s="385">
        <v>10952740</v>
      </c>
      <c r="C39" s="380" t="s">
        <v>438</v>
      </c>
      <c r="D39" s="380" t="s">
        <v>425</v>
      </c>
      <c r="E39" s="381">
        <f>VLOOKUP(D39,'Raw TB_26.04.2026 (SAP Paste)'!$C:$J,4,0)</f>
        <v>0</v>
      </c>
      <c r="F39" s="381">
        <f>VLOOKUP(D39,'Raw TB_26.04.2026 (SAP Paste)'!$C:$J,6,0)</f>
        <v>8713418.8000000007</v>
      </c>
      <c r="G39" s="381">
        <f>VLOOKUP(D39,'Raw TB_26.04.2026 (SAP Paste)'!$C:$J,7,0)</f>
        <v>8713418.8000000007</v>
      </c>
      <c r="H39" s="382">
        <f>+VLOOKUP(D39,'Raw TB_26.04.2026 (SAP Paste)'!C:J,8,0)</f>
        <v>0</v>
      </c>
      <c r="I39" s="649">
        <f>VLOOKUP(B39,TB!$B$4:$H$202,7,)</f>
        <v>0</v>
      </c>
      <c r="J39" s="649">
        <f t="shared" si="1"/>
        <v>0</v>
      </c>
    </row>
    <row r="40" spans="1:10">
      <c r="A40" s="385">
        <v>1900</v>
      </c>
      <c r="B40" s="385">
        <v>10952741</v>
      </c>
      <c r="C40" s="380" t="s">
        <v>438</v>
      </c>
      <c r="D40" s="380" t="s">
        <v>424</v>
      </c>
      <c r="E40" s="381">
        <f>VLOOKUP(D40,'Raw TB_26.04.2026 (SAP Paste)'!$C:$J,4,0)</f>
        <v>0</v>
      </c>
      <c r="F40" s="381">
        <f>VLOOKUP(D40,'Raw TB_26.04.2026 (SAP Paste)'!$C:$J,6,0)</f>
        <v>12912312.699999999</v>
      </c>
      <c r="G40" s="381">
        <f>VLOOKUP(D40,'Raw TB_26.04.2026 (SAP Paste)'!$C:$J,7,0)</f>
        <v>12912312.699999999</v>
      </c>
      <c r="H40" s="382">
        <f>+VLOOKUP(D40,'Raw TB_26.04.2026 (SAP Paste)'!C:J,8,0)</f>
        <v>0</v>
      </c>
      <c r="I40" s="649">
        <f>VLOOKUP(B40,TB!$B$4:$H$202,7,)</f>
        <v>0</v>
      </c>
      <c r="J40" s="649">
        <f t="shared" si="1"/>
        <v>0</v>
      </c>
    </row>
    <row r="41" spans="1:10">
      <c r="A41" s="385">
        <v>1900</v>
      </c>
      <c r="B41" s="385">
        <v>10952742</v>
      </c>
      <c r="C41" s="380" t="s">
        <v>438</v>
      </c>
      <c r="D41" s="380" t="s">
        <v>423</v>
      </c>
      <c r="E41" s="381">
        <f>VLOOKUP(D41,'Raw TB_26.04.2026 (SAP Paste)'!$C:$J,4,0)</f>
        <v>0</v>
      </c>
      <c r="F41" s="381">
        <f>VLOOKUP(D41,'Raw TB_26.04.2026 (SAP Paste)'!$C:$J,6,0)</f>
        <v>4514534.9000000004</v>
      </c>
      <c r="G41" s="381">
        <f>VLOOKUP(D41,'Raw TB_26.04.2026 (SAP Paste)'!$C:$J,7,0)</f>
        <v>4514534.9000000004</v>
      </c>
      <c r="H41" s="382">
        <f>+VLOOKUP(D41,'Raw TB_26.04.2026 (SAP Paste)'!C:J,8,0)</f>
        <v>0</v>
      </c>
      <c r="I41" s="649">
        <f>VLOOKUP(B41,TB!$B$4:$H$202,7,)</f>
        <v>0</v>
      </c>
      <c r="J41" s="649">
        <f t="shared" si="1"/>
        <v>0</v>
      </c>
    </row>
    <row r="42" spans="1:10">
      <c r="A42" s="385">
        <v>1900</v>
      </c>
      <c r="B42" s="385">
        <v>10952750</v>
      </c>
      <c r="C42" s="380" t="s">
        <v>438</v>
      </c>
      <c r="D42" s="380" t="s">
        <v>422</v>
      </c>
      <c r="E42" s="381">
        <f>VLOOKUP(D42,'Raw TB_26.04.2026 (SAP Paste)'!$C:$J,4,0)</f>
        <v>0</v>
      </c>
      <c r="F42" s="381">
        <f>VLOOKUP(D42,'Raw TB_26.04.2026 (SAP Paste)'!$C:$J,6,0)</f>
        <v>1354362.03</v>
      </c>
      <c r="G42" s="381">
        <f>VLOOKUP(D42,'Raw TB_26.04.2026 (SAP Paste)'!$C:$J,7,0)</f>
        <v>1354361.97</v>
      </c>
      <c r="H42" s="382">
        <f>+VLOOKUP(D42,'Raw TB_26.04.2026 (SAP Paste)'!C:J,8,0)</f>
        <v>0.06</v>
      </c>
      <c r="I42" s="649">
        <f>VLOOKUP(B42,TB!$B$4:$H$202,7,)</f>
        <v>0.06</v>
      </c>
      <c r="J42" s="649">
        <f t="shared" si="1"/>
        <v>0</v>
      </c>
    </row>
    <row r="43" spans="1:10">
      <c r="A43" s="385">
        <v>1900</v>
      </c>
      <c r="B43" s="385">
        <v>10952751</v>
      </c>
      <c r="C43" s="380" t="s">
        <v>438</v>
      </c>
      <c r="D43" s="380" t="s">
        <v>421</v>
      </c>
      <c r="E43" s="381">
        <f>VLOOKUP(D43,'Raw TB_26.04.2026 (SAP Paste)'!$C:$J,4,0)</f>
        <v>0</v>
      </c>
      <c r="F43" s="381">
        <f>VLOOKUP(D43,'Raw TB_26.04.2026 (SAP Paste)'!$C:$J,6,0)</f>
        <v>1354361.97</v>
      </c>
      <c r="G43" s="381">
        <f>VLOOKUP(D43,'Raw TB_26.04.2026 (SAP Paste)'!$C:$J,7,0)</f>
        <v>1354361.97</v>
      </c>
      <c r="H43" s="382">
        <f>+VLOOKUP(D43,'Raw TB_26.04.2026 (SAP Paste)'!C:J,8,0)</f>
        <v>0</v>
      </c>
      <c r="I43" s="649">
        <f>VLOOKUP(B43,TB!$B$4:$H$202,7,)</f>
        <v>0</v>
      </c>
      <c r="J43" s="649">
        <f t="shared" si="1"/>
        <v>0</v>
      </c>
    </row>
    <row r="44" spans="1:10">
      <c r="A44" s="385">
        <v>1900</v>
      </c>
      <c r="B44" s="385">
        <v>10952752</v>
      </c>
      <c r="C44" s="380" t="s">
        <v>438</v>
      </c>
      <c r="D44" s="380" t="s">
        <v>420</v>
      </c>
      <c r="E44" s="381">
        <f>VLOOKUP(D44,'Raw TB_26.04.2026 (SAP Paste)'!$C:$J,4,0)</f>
        <v>0</v>
      </c>
      <c r="F44" s="381">
        <f>VLOOKUP(D44,'Raw TB_26.04.2026 (SAP Paste)'!$C:$J,6,0)</f>
        <v>1354362.03</v>
      </c>
      <c r="G44" s="381">
        <f>VLOOKUP(D44,'Raw TB_26.04.2026 (SAP Paste)'!$C:$J,7,0)</f>
        <v>1354362.03</v>
      </c>
      <c r="H44" s="382">
        <f>+VLOOKUP(D44,'Raw TB_26.04.2026 (SAP Paste)'!C:J,8,0)</f>
        <v>0</v>
      </c>
      <c r="I44" s="649">
        <f>VLOOKUP(B44,TB!$B$4:$H$202,7,)</f>
        <v>0</v>
      </c>
      <c r="J44" s="649">
        <f t="shared" si="1"/>
        <v>0</v>
      </c>
    </row>
    <row r="45" spans="1:10">
      <c r="A45" s="385">
        <v>1900</v>
      </c>
      <c r="B45" s="385">
        <v>10952760</v>
      </c>
      <c r="C45" s="380" t="s">
        <v>438</v>
      </c>
      <c r="D45" s="380" t="s">
        <v>419</v>
      </c>
      <c r="E45" s="381">
        <f>VLOOKUP(D45,'Raw TB_26.04.2026 (SAP Paste)'!$C:$J,4,0)</f>
        <v>0</v>
      </c>
      <c r="F45" s="381">
        <f>VLOOKUP(D45,'Raw TB_26.04.2026 (SAP Paste)'!$C:$J,6,0)</f>
        <v>3160163.93</v>
      </c>
      <c r="G45" s="381">
        <f>VLOOKUP(D45,'Raw TB_26.04.2026 (SAP Paste)'!$C:$J,7,0)</f>
        <v>0</v>
      </c>
      <c r="H45" s="382">
        <f>+VLOOKUP(D45,'Raw TB_26.04.2026 (SAP Paste)'!C:J,8,0)</f>
        <v>3160163.93</v>
      </c>
      <c r="I45" s="649">
        <f>VLOOKUP(B45,TB!$B$4:$H$202,7,)</f>
        <v>3160163.93</v>
      </c>
      <c r="J45" s="649">
        <f t="shared" si="1"/>
        <v>0</v>
      </c>
    </row>
    <row r="46" spans="1:10">
      <c r="A46" s="385">
        <v>1900</v>
      </c>
      <c r="B46" s="385">
        <v>10952761</v>
      </c>
      <c r="C46" s="380" t="s">
        <v>438</v>
      </c>
      <c r="D46" s="380" t="s">
        <v>418</v>
      </c>
      <c r="E46" s="381">
        <f>VLOOKUP(D46,'Raw TB_26.04.2026 (SAP Paste)'!$C:$J,4,0)</f>
        <v>0</v>
      </c>
      <c r="F46" s="381">
        <f>VLOOKUP(D46,'Raw TB_26.04.2026 (SAP Paste)'!$C:$J,6,0)</f>
        <v>3160170.93</v>
      </c>
      <c r="G46" s="381">
        <f>VLOOKUP(D46,'Raw TB_26.04.2026 (SAP Paste)'!$C:$J,7,0)</f>
        <v>3160170.93</v>
      </c>
      <c r="H46" s="382">
        <f>+VLOOKUP(D46,'Raw TB_26.04.2026 (SAP Paste)'!C:J,8,0)</f>
        <v>0</v>
      </c>
      <c r="I46" s="649">
        <f>VLOOKUP(B46,TB!$B$4:$H$202,7,)</f>
        <v>0</v>
      </c>
      <c r="J46" s="649">
        <f t="shared" si="1"/>
        <v>0</v>
      </c>
    </row>
    <row r="47" spans="1:10">
      <c r="A47" s="385">
        <v>1900</v>
      </c>
      <c r="B47" s="385">
        <v>11110003</v>
      </c>
      <c r="C47" s="380" t="s">
        <v>438</v>
      </c>
      <c r="D47" s="380" t="s">
        <v>338</v>
      </c>
      <c r="E47" s="381">
        <f>VLOOKUP(D47,'Raw TB_26.04.2026 (SAP Paste)'!$C:$J,4,0)</f>
        <v>55980</v>
      </c>
      <c r="F47" s="381">
        <f>VLOOKUP(D47,'Raw TB_26.04.2026 (SAP Paste)'!$C:$J,6,0)</f>
        <v>2901127.06</v>
      </c>
      <c r="G47" s="381">
        <f>VLOOKUP(D47,'Raw TB_26.04.2026 (SAP Paste)'!$C:$J,7,0)</f>
        <v>619060.85</v>
      </c>
      <c r="H47" s="382">
        <f>+VLOOKUP(D47,'Raw TB_26.04.2026 (SAP Paste)'!C:J,8,0)</f>
        <v>2338046.21</v>
      </c>
      <c r="I47" s="649">
        <f>VLOOKUP(B47,TB!$B$4:$H$202,7,)</f>
        <v>2338046.21</v>
      </c>
      <c r="J47" s="649">
        <f t="shared" si="1"/>
        <v>0</v>
      </c>
    </row>
    <row r="48" spans="1:10">
      <c r="A48" s="385">
        <v>1900</v>
      </c>
      <c r="B48" s="385">
        <v>11130003</v>
      </c>
      <c r="C48" s="380" t="s">
        <v>438</v>
      </c>
      <c r="D48" s="380" t="s">
        <v>339</v>
      </c>
      <c r="E48" s="381">
        <f>VLOOKUP(D48,'Raw TB_26.04.2026 (SAP Paste)'!$C:$J,4,0)</f>
        <v>0</v>
      </c>
      <c r="F48" s="381">
        <f>VLOOKUP(D48,'Raw TB_26.04.2026 (SAP Paste)'!$C:$J,6,0)</f>
        <v>43.32</v>
      </c>
      <c r="G48" s="381">
        <f>VLOOKUP(D48,'Raw TB_26.04.2026 (SAP Paste)'!$C:$J,7,0)</f>
        <v>43.32</v>
      </c>
      <c r="H48" s="382">
        <f>+VLOOKUP(D48,'Raw TB_26.04.2026 (SAP Paste)'!C:J,8,0)</f>
        <v>0</v>
      </c>
      <c r="I48" s="649">
        <f>VLOOKUP(B48,TB!$B$4:$H$202,7,)</f>
        <v>0</v>
      </c>
      <c r="J48" s="649">
        <f t="shared" si="1"/>
        <v>0</v>
      </c>
    </row>
    <row r="49" spans="1:10">
      <c r="A49" s="385">
        <v>1900</v>
      </c>
      <c r="B49" s="385">
        <v>11130004</v>
      </c>
      <c r="C49" s="380" t="s">
        <v>438</v>
      </c>
      <c r="D49" s="380" t="s">
        <v>340</v>
      </c>
      <c r="E49" s="381">
        <f>VLOOKUP(D49,'Raw TB_26.04.2026 (SAP Paste)'!$C:$J,4,0)</f>
        <v>0</v>
      </c>
      <c r="F49" s="381">
        <f>VLOOKUP(D49,'Raw TB_26.04.2026 (SAP Paste)'!$C:$J,6,0)</f>
        <v>43.32</v>
      </c>
      <c r="G49" s="381">
        <f>VLOOKUP(D49,'Raw TB_26.04.2026 (SAP Paste)'!$C:$J,7,0)</f>
        <v>43.32</v>
      </c>
      <c r="H49" s="382">
        <f>+VLOOKUP(D49,'Raw TB_26.04.2026 (SAP Paste)'!C:J,8,0)</f>
        <v>0</v>
      </c>
      <c r="I49" s="649">
        <f>VLOOKUP(B49,TB!$B$4:$H$202,7,)</f>
        <v>0</v>
      </c>
      <c r="J49" s="649">
        <f t="shared" si="1"/>
        <v>0</v>
      </c>
    </row>
    <row r="50" spans="1:10">
      <c r="A50" s="385">
        <v>1900</v>
      </c>
      <c r="B50" s="385">
        <v>11130005</v>
      </c>
      <c r="C50" s="380" t="s">
        <v>438</v>
      </c>
      <c r="D50" s="380" t="s">
        <v>341</v>
      </c>
      <c r="E50" s="381">
        <f>VLOOKUP(D50,'Raw TB_26.04.2026 (SAP Paste)'!$C:$J,4,0)</f>
        <v>0</v>
      </c>
      <c r="F50" s="381">
        <f>VLOOKUP(D50,'Raw TB_26.04.2026 (SAP Paste)'!$C:$J,6,0)</f>
        <v>132</v>
      </c>
      <c r="G50" s="381">
        <f>VLOOKUP(D50,'Raw TB_26.04.2026 (SAP Paste)'!$C:$J,7,0)</f>
        <v>132</v>
      </c>
      <c r="H50" s="382">
        <f>+VLOOKUP(D50,'Raw TB_26.04.2026 (SAP Paste)'!C:J,8,0)</f>
        <v>0</v>
      </c>
      <c r="I50" s="649">
        <f>VLOOKUP(B50,TB!$B$4:$H$202,7,)</f>
        <v>0</v>
      </c>
      <c r="J50" s="649">
        <f t="shared" si="1"/>
        <v>0</v>
      </c>
    </row>
    <row r="51" spans="1:10">
      <c r="A51" s="385">
        <v>1900</v>
      </c>
      <c r="B51" s="385">
        <v>11130006</v>
      </c>
      <c r="C51" s="380" t="s">
        <v>438</v>
      </c>
      <c r="D51" s="380" t="s">
        <v>342</v>
      </c>
      <c r="E51" s="381">
        <f>VLOOKUP(D51,'Raw TB_26.04.2026 (SAP Paste)'!$C:$J,4,0)</f>
        <v>0</v>
      </c>
      <c r="F51" s="381">
        <f>VLOOKUP(D51,'Raw TB_26.04.2026 (SAP Paste)'!$C:$J,6,0)</f>
        <v>132</v>
      </c>
      <c r="G51" s="381">
        <f>VLOOKUP(D51,'Raw TB_26.04.2026 (SAP Paste)'!$C:$J,7,0)</f>
        <v>132</v>
      </c>
      <c r="H51" s="382">
        <f>+VLOOKUP(D51,'Raw TB_26.04.2026 (SAP Paste)'!C:J,8,0)</f>
        <v>0</v>
      </c>
      <c r="I51" s="649">
        <f>VLOOKUP(B51,TB!$B$4:$H$202,7,)</f>
        <v>0</v>
      </c>
      <c r="J51" s="649">
        <f t="shared" si="1"/>
        <v>0</v>
      </c>
    </row>
    <row r="52" spans="1:10">
      <c r="A52" s="385">
        <v>1900</v>
      </c>
      <c r="B52" s="385">
        <v>11130007</v>
      </c>
      <c r="C52" s="380" t="s">
        <v>438</v>
      </c>
      <c r="D52" s="380" t="s">
        <v>343</v>
      </c>
      <c r="E52" s="381">
        <f>VLOOKUP(D52,'Raw TB_26.04.2026 (SAP Paste)'!$C:$J,4,0)</f>
        <v>0</v>
      </c>
      <c r="F52" s="381">
        <f>VLOOKUP(D52,'Raw TB_26.04.2026 (SAP Paste)'!$C:$J,6,0)</f>
        <v>16219898.779999999</v>
      </c>
      <c r="G52" s="381">
        <f>VLOOKUP(D52,'Raw TB_26.04.2026 (SAP Paste)'!$C:$J,7,0)</f>
        <v>16219898.779999999</v>
      </c>
      <c r="H52" s="382">
        <f>+VLOOKUP(D52,'Raw TB_26.04.2026 (SAP Paste)'!C:J,8,0)</f>
        <v>0</v>
      </c>
      <c r="I52" s="649">
        <f>VLOOKUP(B52,TB!$B$4:$H$202,7,)</f>
        <v>0</v>
      </c>
      <c r="J52" s="649">
        <f t="shared" si="1"/>
        <v>0</v>
      </c>
    </row>
    <row r="53" spans="1:10">
      <c r="A53" s="385">
        <v>1900</v>
      </c>
      <c r="B53" s="385">
        <v>11130008</v>
      </c>
      <c r="C53" s="380" t="s">
        <v>438</v>
      </c>
      <c r="D53" s="380" t="s">
        <v>344</v>
      </c>
      <c r="E53" s="381">
        <f>VLOOKUP(D53,'Raw TB_26.04.2026 (SAP Paste)'!$C:$J,4,0)</f>
        <v>0</v>
      </c>
      <c r="F53" s="381">
        <f>VLOOKUP(D53,'Raw TB_26.04.2026 (SAP Paste)'!$C:$J,6,0)</f>
        <v>16219898.779999999</v>
      </c>
      <c r="G53" s="381">
        <f>VLOOKUP(D53,'Raw TB_26.04.2026 (SAP Paste)'!$C:$J,7,0)</f>
        <v>16219898.779999999</v>
      </c>
      <c r="H53" s="382">
        <f>+VLOOKUP(D53,'Raw TB_26.04.2026 (SAP Paste)'!C:J,8,0)</f>
        <v>0</v>
      </c>
      <c r="I53" s="649">
        <f>VLOOKUP(B53,TB!$B$4:$H$202,7,)</f>
        <v>0</v>
      </c>
      <c r="J53" s="649">
        <f t="shared" si="1"/>
        <v>0</v>
      </c>
    </row>
    <row r="54" spans="1:10">
      <c r="A54" s="385">
        <v>1900</v>
      </c>
      <c r="B54" s="385">
        <v>11130009</v>
      </c>
      <c r="C54" s="380" t="s">
        <v>438</v>
      </c>
      <c r="D54" s="380" t="s">
        <v>345</v>
      </c>
      <c r="E54" s="381">
        <f>VLOOKUP(D54,'Raw TB_26.04.2026 (SAP Paste)'!$C:$J,4,0)</f>
        <v>0</v>
      </c>
      <c r="F54" s="381">
        <f>VLOOKUP(D54,'Raw TB_26.04.2026 (SAP Paste)'!$C:$J,6,0)</f>
        <v>75.09</v>
      </c>
      <c r="G54" s="381">
        <f>VLOOKUP(D54,'Raw TB_26.04.2026 (SAP Paste)'!$C:$J,7,0)</f>
        <v>75.09</v>
      </c>
      <c r="H54" s="382">
        <f>+VLOOKUP(D54,'Raw TB_26.04.2026 (SAP Paste)'!C:J,8,0)</f>
        <v>0</v>
      </c>
      <c r="I54" s="649">
        <f>VLOOKUP(B54,TB!$B$4:$H$202,7,)</f>
        <v>0</v>
      </c>
      <c r="J54" s="649">
        <f t="shared" si="1"/>
        <v>0</v>
      </c>
    </row>
    <row r="55" spans="1:10">
      <c r="A55" s="385">
        <v>1900</v>
      </c>
      <c r="B55" s="385">
        <v>11130010</v>
      </c>
      <c r="C55" s="380" t="s">
        <v>438</v>
      </c>
      <c r="D55" s="380" t="s">
        <v>346</v>
      </c>
      <c r="E55" s="381">
        <f>VLOOKUP(D55,'Raw TB_26.04.2026 (SAP Paste)'!$C:$J,4,0)</f>
        <v>0</v>
      </c>
      <c r="F55" s="381">
        <f>VLOOKUP(D55,'Raw TB_26.04.2026 (SAP Paste)'!$C:$J,6,0)</f>
        <v>75.09</v>
      </c>
      <c r="G55" s="381">
        <f>VLOOKUP(D55,'Raw TB_26.04.2026 (SAP Paste)'!$C:$J,7,0)</f>
        <v>75.09</v>
      </c>
      <c r="H55" s="382">
        <f>+VLOOKUP(D55,'Raw TB_26.04.2026 (SAP Paste)'!C:J,8,0)</f>
        <v>0</v>
      </c>
      <c r="I55" s="649">
        <f>VLOOKUP(B55,TB!$B$4:$H$202,7,)</f>
        <v>0</v>
      </c>
      <c r="J55" s="649">
        <f t="shared" si="1"/>
        <v>0</v>
      </c>
    </row>
    <row r="56" spans="1:10">
      <c r="A56" s="385">
        <v>1900</v>
      </c>
      <c r="B56" s="385">
        <v>11130014</v>
      </c>
      <c r="C56" s="380" t="s">
        <v>438</v>
      </c>
      <c r="D56" s="380" t="s">
        <v>347</v>
      </c>
      <c r="E56" s="381">
        <f>VLOOKUP(D56,'Raw TB_26.04.2026 (SAP Paste)'!$C:$J,4,0)</f>
        <v>0</v>
      </c>
      <c r="F56" s="381">
        <f>VLOOKUP(D56,'Raw TB_26.04.2026 (SAP Paste)'!$C:$J,6,0)</f>
        <v>64028.52</v>
      </c>
      <c r="G56" s="381">
        <f>VLOOKUP(D56,'Raw TB_26.04.2026 (SAP Paste)'!$C:$J,7,0)</f>
        <v>64028.52</v>
      </c>
      <c r="H56" s="382">
        <f>+VLOOKUP(D56,'Raw TB_26.04.2026 (SAP Paste)'!C:J,8,0)</f>
        <v>0</v>
      </c>
      <c r="I56" s="649">
        <f>VLOOKUP(B56,TB!$B$4:$H$202,7,)</f>
        <v>0</v>
      </c>
      <c r="J56" s="649">
        <f t="shared" si="1"/>
        <v>0</v>
      </c>
    </row>
    <row r="57" spans="1:10">
      <c r="A57" s="385">
        <v>1900</v>
      </c>
      <c r="B57" s="385">
        <v>11130201</v>
      </c>
      <c r="C57" s="380" t="s">
        <v>438</v>
      </c>
      <c r="D57" s="380" t="s">
        <v>348</v>
      </c>
      <c r="E57" s="381">
        <f>VLOOKUP(D57,'Raw TB_26.04.2026 (SAP Paste)'!$C:$J,4,0)</f>
        <v>0</v>
      </c>
      <c r="F57" s="381">
        <f>VLOOKUP(D57,'Raw TB_26.04.2026 (SAP Paste)'!$C:$J,6,0)</f>
        <v>78308.460000000006</v>
      </c>
      <c r="G57" s="381">
        <f>VLOOKUP(D57,'Raw TB_26.04.2026 (SAP Paste)'!$C:$J,7,0)</f>
        <v>78308.460000000006</v>
      </c>
      <c r="H57" s="382">
        <f>+VLOOKUP(D57,'Raw TB_26.04.2026 (SAP Paste)'!C:J,8,0)</f>
        <v>0</v>
      </c>
      <c r="I57" s="649">
        <f>VLOOKUP(B57,TB!$B$4:$H$202,7,)</f>
        <v>0</v>
      </c>
      <c r="J57" s="649">
        <f t="shared" si="1"/>
        <v>0</v>
      </c>
    </row>
    <row r="58" spans="1:10">
      <c r="A58" s="385">
        <v>1900</v>
      </c>
      <c r="B58" s="385">
        <v>11130202</v>
      </c>
      <c r="C58" s="380" t="s">
        <v>438</v>
      </c>
      <c r="D58" s="380" t="s">
        <v>349</v>
      </c>
      <c r="E58" s="381">
        <f>VLOOKUP(D58,'Raw TB_26.04.2026 (SAP Paste)'!$C:$J,4,0)</f>
        <v>0</v>
      </c>
      <c r="F58" s="381">
        <f>VLOOKUP(D58,'Raw TB_26.04.2026 (SAP Paste)'!$C:$J,6,0)</f>
        <v>78308.460000000006</v>
      </c>
      <c r="G58" s="381">
        <f>VLOOKUP(D58,'Raw TB_26.04.2026 (SAP Paste)'!$C:$J,7,0)</f>
        <v>78308.460000000006</v>
      </c>
      <c r="H58" s="382">
        <f>+VLOOKUP(D58,'Raw TB_26.04.2026 (SAP Paste)'!C:J,8,0)</f>
        <v>0</v>
      </c>
      <c r="I58" s="649">
        <f>VLOOKUP(B58,TB!$B$4:$H$202,7,)</f>
        <v>0</v>
      </c>
      <c r="J58" s="649">
        <f t="shared" si="1"/>
        <v>0</v>
      </c>
    </row>
    <row r="59" spans="1:10">
      <c r="A59" s="385">
        <v>1900</v>
      </c>
      <c r="B59" s="385">
        <v>11140150</v>
      </c>
      <c r="C59" s="380" t="s">
        <v>438</v>
      </c>
      <c r="D59" s="380" t="s">
        <v>350</v>
      </c>
      <c r="E59" s="381">
        <f>VLOOKUP(D59,'Raw TB_26.04.2026 (SAP Paste)'!$C:$J,4,0)</f>
        <v>-911972112.13</v>
      </c>
      <c r="F59" s="381">
        <f>VLOOKUP(D59,'Raw TB_26.04.2026 (SAP Paste)'!$C:$J,6,0)</f>
        <v>569523167</v>
      </c>
      <c r="G59" s="381">
        <f>VLOOKUP(D59,'Raw TB_26.04.2026 (SAP Paste)'!$C:$J,7,0)</f>
        <v>24189216.66</v>
      </c>
      <c r="H59" s="382">
        <f>+VLOOKUP(D59,'Raw TB_26.04.2026 (SAP Paste)'!C:J,8,0)</f>
        <v>-366638161.79000002</v>
      </c>
      <c r="I59" s="649">
        <f>VLOOKUP(B59,TB!$B$4:$H$202,7,)</f>
        <v>-373187318.79000002</v>
      </c>
      <c r="J59" s="649">
        <f t="shared" si="1"/>
        <v>-6549157</v>
      </c>
    </row>
    <row r="60" spans="1:10">
      <c r="A60" s="385">
        <v>1900</v>
      </c>
      <c r="B60" s="385">
        <v>11140151</v>
      </c>
      <c r="C60" s="380" t="s">
        <v>438</v>
      </c>
      <c r="D60" s="380" t="s">
        <v>417</v>
      </c>
      <c r="E60" s="381">
        <f>VLOOKUP(D60,'Raw TB_26.04.2026 (SAP Paste)'!$C:$J,4,0)</f>
        <v>7256064</v>
      </c>
      <c r="F60" s="381">
        <f>VLOOKUP(D60,'Raw TB_26.04.2026 (SAP Paste)'!$C:$J,6,0)</f>
        <v>0</v>
      </c>
      <c r="G60" s="381">
        <f>VLOOKUP(D60,'Raw TB_26.04.2026 (SAP Paste)'!$C:$J,7,0)</f>
        <v>0</v>
      </c>
      <c r="H60" s="382">
        <f>+VLOOKUP(D60,'Raw TB_26.04.2026 (SAP Paste)'!C:J,8,0)</f>
        <v>7256064</v>
      </c>
      <c r="I60" s="649">
        <f>VLOOKUP(B60,TB!$B$4:$H$202,7,)</f>
        <v>7256064</v>
      </c>
      <c r="J60" s="649">
        <f t="shared" si="1"/>
        <v>0</v>
      </c>
    </row>
    <row r="61" spans="1:10">
      <c r="A61" s="385">
        <v>1900</v>
      </c>
      <c r="B61" s="385">
        <v>11140201</v>
      </c>
      <c r="C61" s="380" t="s">
        <v>438</v>
      </c>
      <c r="D61" s="380" t="s">
        <v>351</v>
      </c>
      <c r="E61" s="381">
        <f>VLOOKUP(D61,'Raw TB_26.04.2026 (SAP Paste)'!$C:$J,4,0)</f>
        <v>0</v>
      </c>
      <c r="F61" s="381">
        <f>VLOOKUP(D61,'Raw TB_26.04.2026 (SAP Paste)'!$C:$J,6,0)</f>
        <v>1178428.8</v>
      </c>
      <c r="G61" s="381">
        <f>VLOOKUP(D61,'Raw TB_26.04.2026 (SAP Paste)'!$C:$J,7,0)</f>
        <v>1178428.52</v>
      </c>
      <c r="H61" s="382">
        <f>+VLOOKUP(D61,'Raw TB_26.04.2026 (SAP Paste)'!C:J,8,0)</f>
        <v>0.28000000000000003</v>
      </c>
      <c r="I61" s="649">
        <f>VLOOKUP(B61,TB!$B$4:$H$202,7,)</f>
        <v>0.28000000000000003</v>
      </c>
      <c r="J61" s="649">
        <f t="shared" si="1"/>
        <v>0</v>
      </c>
    </row>
    <row r="62" spans="1:10">
      <c r="A62" s="385">
        <v>1900</v>
      </c>
      <c r="B62" s="385">
        <v>11150011</v>
      </c>
      <c r="C62" s="380" t="s">
        <v>438</v>
      </c>
      <c r="D62" s="380" t="s">
        <v>352</v>
      </c>
      <c r="E62" s="381">
        <f>VLOOKUP(D62,'Raw TB_26.04.2026 (SAP Paste)'!$C:$J,4,0)</f>
        <v>3585.99</v>
      </c>
      <c r="F62" s="381">
        <f>VLOOKUP(D62,'Raw TB_26.04.2026 (SAP Paste)'!$C:$J,6,0)</f>
        <v>1910</v>
      </c>
      <c r="G62" s="381">
        <f>VLOOKUP(D62,'Raw TB_26.04.2026 (SAP Paste)'!$C:$J,7,0)</f>
        <v>0</v>
      </c>
      <c r="H62" s="382">
        <f>+VLOOKUP(D62,'Raw TB_26.04.2026 (SAP Paste)'!C:J,8,0)</f>
        <v>5495.99</v>
      </c>
      <c r="I62" s="649">
        <f>VLOOKUP(B62,TB!$B$4:$H$202,7,)</f>
        <v>5495.99</v>
      </c>
      <c r="J62" s="649">
        <f t="shared" si="1"/>
        <v>0</v>
      </c>
    </row>
    <row r="63" spans="1:10" ht="15">
      <c r="A63" s="385">
        <v>1900</v>
      </c>
      <c r="B63" s="385">
        <v>20000202</v>
      </c>
      <c r="C63" s="107" t="s">
        <v>473</v>
      </c>
      <c r="D63" s="380" t="s">
        <v>416</v>
      </c>
      <c r="E63" s="381">
        <f>VLOOKUP(D63,'Raw TB_26.04.2026 (SAP Paste)'!$C:$J,4,0)</f>
        <v>0</v>
      </c>
      <c r="F63" s="381">
        <f>VLOOKUP(D63,'Raw TB_26.04.2026 (SAP Paste)'!$C:$J,6,0)</f>
        <v>30000000</v>
      </c>
      <c r="G63" s="381">
        <f>VLOOKUP(D63,'Raw TB_26.04.2026 (SAP Paste)'!$C:$J,7,0)</f>
        <v>30000000</v>
      </c>
      <c r="H63" s="382">
        <f>+VLOOKUP(D63,'Raw TB_26.04.2026 (SAP Paste)'!C:J,8,0)</f>
        <v>0</v>
      </c>
      <c r="I63" s="649">
        <f>VLOOKUP(B63,TB!$B$4:$H$202,7,)</f>
        <v>0</v>
      </c>
      <c r="J63" s="649">
        <f t="shared" si="1"/>
        <v>0</v>
      </c>
    </row>
    <row r="64" spans="1:10" ht="15">
      <c r="A64" s="385">
        <v>1900</v>
      </c>
      <c r="B64" s="385">
        <v>20000308</v>
      </c>
      <c r="C64" s="107" t="s">
        <v>473</v>
      </c>
      <c r="D64" s="380" t="s">
        <v>415</v>
      </c>
      <c r="E64" s="381">
        <f>VLOOKUP(D64,'Raw TB_26.04.2026 (SAP Paste)'!$C:$J,4,0)</f>
        <v>-13852958</v>
      </c>
      <c r="F64" s="381">
        <f>VLOOKUP(D64,'Raw TB_26.04.2026 (SAP Paste)'!$C:$J,6,0)</f>
        <v>0</v>
      </c>
      <c r="G64" s="381">
        <f>VLOOKUP(D64,'Raw TB_26.04.2026 (SAP Paste)'!$C:$J,7,0)</f>
        <v>0</v>
      </c>
      <c r="H64" s="382">
        <f>+VLOOKUP(D64,'Raw TB_26.04.2026 (SAP Paste)'!C:J,8,0)</f>
        <v>-13852958</v>
      </c>
      <c r="I64" s="649">
        <f>VLOOKUP(B64,TB!$B$4:$H$202,7,)</f>
        <v>-13852958</v>
      </c>
      <c r="J64" s="649">
        <f t="shared" si="1"/>
        <v>0</v>
      </c>
    </row>
    <row r="65" spans="1:10" ht="15">
      <c r="A65" s="385">
        <v>1900</v>
      </c>
      <c r="B65" s="385">
        <v>20000350</v>
      </c>
      <c r="C65" s="107" t="s">
        <v>473</v>
      </c>
      <c r="D65" s="380" t="s">
        <v>284</v>
      </c>
      <c r="E65" s="381">
        <f>VLOOKUP(D65,'Raw TB_26.04.2026 (SAP Paste)'!$C:$J,4,0)</f>
        <v>-100000</v>
      </c>
      <c r="F65" s="381">
        <f>VLOOKUP(D65,'Raw TB_26.04.2026 (SAP Paste)'!$C:$J,6,0)</f>
        <v>0</v>
      </c>
      <c r="G65" s="381">
        <f>VLOOKUP(D65,'Raw TB_26.04.2026 (SAP Paste)'!$C:$J,7,0)</f>
        <v>0</v>
      </c>
      <c r="H65" s="382">
        <f>+VLOOKUP(D65,'Raw TB_26.04.2026 (SAP Paste)'!C:J,8,0)</f>
        <v>-100000</v>
      </c>
      <c r="I65" s="649">
        <f>VLOOKUP(B65,TB!$B$4:$H$202,7,)</f>
        <v>-100000</v>
      </c>
      <c r="J65" s="649">
        <f t="shared" si="1"/>
        <v>0</v>
      </c>
    </row>
    <row r="66" spans="1:10" ht="15">
      <c r="A66" s="385">
        <v>1900</v>
      </c>
      <c r="B66" s="385">
        <v>20100001</v>
      </c>
      <c r="C66" s="107" t="s">
        <v>473</v>
      </c>
      <c r="D66" s="380" t="s">
        <v>414</v>
      </c>
      <c r="E66" s="381">
        <f>VLOOKUP(D66,'Raw TB_26.04.2026 (SAP Paste)'!$C:$J,4,0)</f>
        <v>111152.72</v>
      </c>
      <c r="F66" s="381">
        <f>VLOOKUP(D66,'Raw TB_26.04.2026 (SAP Paste)'!$C:$J,6,0)</f>
        <v>0</v>
      </c>
      <c r="G66" s="381">
        <f>VLOOKUP(D66,'Raw TB_26.04.2026 (SAP Paste)'!$C:$J,7,0)</f>
        <v>0</v>
      </c>
      <c r="H66" s="382">
        <f>+VLOOKUP(D66,'Raw TB_26.04.2026 (SAP Paste)'!C:J,8,0)</f>
        <v>111152.72</v>
      </c>
      <c r="I66" s="649">
        <f>VLOOKUP(B66,TB!$B$4:$H$202,7,)</f>
        <v>111152.72</v>
      </c>
      <c r="J66" s="649">
        <f t="shared" si="1"/>
        <v>0</v>
      </c>
    </row>
    <row r="67" spans="1:10" ht="15">
      <c r="A67" s="385">
        <v>1900</v>
      </c>
      <c r="B67" s="385">
        <v>20100003</v>
      </c>
      <c r="C67" s="107" t="s">
        <v>473</v>
      </c>
      <c r="D67" s="380" t="s">
        <v>353</v>
      </c>
      <c r="E67" s="381">
        <f>VLOOKUP(D67,'Raw TB_26.04.2026 (SAP Paste)'!$C:$J,4,0)</f>
        <v>2890.55</v>
      </c>
      <c r="F67" s="381">
        <f>VLOOKUP(D67,'Raw TB_26.04.2026 (SAP Paste)'!$C:$J,6,0)</f>
        <v>0</v>
      </c>
      <c r="G67" s="381">
        <f>VLOOKUP(D67,'Raw TB_26.04.2026 (SAP Paste)'!$C:$J,7,0)</f>
        <v>0</v>
      </c>
      <c r="H67" s="382">
        <f>+VLOOKUP(D67,'Raw TB_26.04.2026 (SAP Paste)'!C:J,8,0)</f>
        <v>2890.55</v>
      </c>
      <c r="I67" s="649">
        <f>VLOOKUP(B67,TB!$B$4:$H$202,7,)</f>
        <v>2890.55</v>
      </c>
      <c r="J67" s="649">
        <f t="shared" si="1"/>
        <v>0</v>
      </c>
    </row>
    <row r="68" spans="1:10" ht="15">
      <c r="A68" s="385">
        <v>1900</v>
      </c>
      <c r="B68" s="385">
        <v>20100101</v>
      </c>
      <c r="C68" s="107" t="s">
        <v>473</v>
      </c>
      <c r="D68" s="380" t="s">
        <v>354</v>
      </c>
      <c r="E68" s="381">
        <f>VLOOKUP(D68,'Raw TB_26.04.2026 (SAP Paste)'!$C:$J,4,0)</f>
        <v>0</v>
      </c>
      <c r="F68" s="381">
        <f>VLOOKUP(D68,'Raw TB_26.04.2026 (SAP Paste)'!$C:$J,6,0)</f>
        <v>1198477335.76</v>
      </c>
      <c r="G68" s="381">
        <f>VLOOKUP(D68,'Raw TB_26.04.2026 (SAP Paste)'!$C:$J,7,0)</f>
        <v>1198477335.76</v>
      </c>
      <c r="H68" s="382">
        <f>+VLOOKUP(D68,'Raw TB_26.04.2026 (SAP Paste)'!C:J,8,0)</f>
        <v>0</v>
      </c>
      <c r="I68" s="649">
        <f>VLOOKUP(B68,TB!$B$4:$H$202,7,)</f>
        <v>0</v>
      </c>
      <c r="J68" s="649">
        <f t="shared" si="1"/>
        <v>0</v>
      </c>
    </row>
    <row r="69" spans="1:10" ht="15">
      <c r="A69" s="385">
        <v>1900</v>
      </c>
      <c r="B69" s="385">
        <v>20200001</v>
      </c>
      <c r="C69" s="107" t="s">
        <v>473</v>
      </c>
      <c r="D69" s="380" t="s">
        <v>355</v>
      </c>
      <c r="E69" s="381">
        <f>VLOOKUP(D69,'Raw TB_26.04.2026 (SAP Paste)'!$C:$J,4,0)</f>
        <v>-29758000</v>
      </c>
      <c r="F69" s="381">
        <f>VLOOKUP(D69,'Raw TB_26.04.2026 (SAP Paste)'!$C:$J,6,0)</f>
        <v>40000000</v>
      </c>
      <c r="G69" s="381">
        <f>VLOOKUP(D69,'Raw TB_26.04.2026 (SAP Paste)'!$C:$J,7,0)</f>
        <v>131600000</v>
      </c>
      <c r="H69" s="382">
        <f>+VLOOKUP(D69,'Raw TB_26.04.2026 (SAP Paste)'!C:J,8,0)</f>
        <v>-121358000</v>
      </c>
      <c r="I69" s="649">
        <f>VLOOKUP(B69,TB!$B$4:$H$202,7,)</f>
        <v>-121358000</v>
      </c>
      <c r="J69" s="649">
        <f t="shared" si="1"/>
        <v>0</v>
      </c>
    </row>
    <row r="70" spans="1:10" ht="15">
      <c r="A70" s="385">
        <v>1900</v>
      </c>
      <c r="B70" s="385">
        <v>20200002</v>
      </c>
      <c r="C70" s="107" t="s">
        <v>473</v>
      </c>
      <c r="D70" s="380" t="s">
        <v>356</v>
      </c>
      <c r="E70" s="381">
        <f>VLOOKUP(D70,'Raw TB_26.04.2026 (SAP Paste)'!$C:$J,4,0)</f>
        <v>-172634520</v>
      </c>
      <c r="F70" s="381">
        <f>VLOOKUP(D70,'Raw TB_26.04.2026 (SAP Paste)'!$C:$J,6,0)</f>
        <v>307500000</v>
      </c>
      <c r="G70" s="381">
        <f>VLOOKUP(D70,'Raw TB_26.04.2026 (SAP Paste)'!$C:$J,7,0)</f>
        <v>340500000</v>
      </c>
      <c r="H70" s="382">
        <f>+VLOOKUP(D70,'Raw TB_26.04.2026 (SAP Paste)'!C:J,8,0)</f>
        <v>-205634520</v>
      </c>
      <c r="I70" s="649">
        <f>VLOOKUP(B70,TB!$B$4:$H$202,7,)</f>
        <v>-205634520</v>
      </c>
      <c r="J70" s="649">
        <f t="shared" ref="J70:J133" si="2">I70-H70</f>
        <v>0</v>
      </c>
    </row>
    <row r="71" spans="1:10" ht="15">
      <c r="A71" s="385">
        <v>1900</v>
      </c>
      <c r="B71" s="385">
        <v>20200003</v>
      </c>
      <c r="C71" s="107" t="s">
        <v>473</v>
      </c>
      <c r="D71" s="380" t="s">
        <v>357</v>
      </c>
      <c r="E71" s="381">
        <f>VLOOKUP(D71,'Raw TB_26.04.2026 (SAP Paste)'!$C:$J,4,0)</f>
        <v>218300000</v>
      </c>
      <c r="F71" s="381">
        <f>VLOOKUP(D71,'Raw TB_26.04.2026 (SAP Paste)'!$C:$J,6,0)</f>
        <v>126600000</v>
      </c>
      <c r="G71" s="381">
        <f>VLOOKUP(D71,'Raw TB_26.04.2026 (SAP Paste)'!$C:$J,7,0)</f>
        <v>394281956</v>
      </c>
      <c r="H71" s="382">
        <f>+VLOOKUP(D71,'Raw TB_26.04.2026 (SAP Paste)'!C:J,8,0)</f>
        <v>-49381956</v>
      </c>
      <c r="I71" s="649">
        <f>VLOOKUP(B71,TB!$B$4:$H$202,7,)</f>
        <v>-49381956</v>
      </c>
      <c r="J71" s="649">
        <f t="shared" si="2"/>
        <v>0</v>
      </c>
    </row>
    <row r="72" spans="1:10" ht="15">
      <c r="A72" s="385">
        <v>1900</v>
      </c>
      <c r="B72" s="385">
        <v>20201009</v>
      </c>
      <c r="C72" s="107" t="s">
        <v>473</v>
      </c>
      <c r="D72" s="380" t="s">
        <v>413</v>
      </c>
      <c r="E72" s="381">
        <f>VLOOKUP(D72,'Raw TB_26.04.2026 (SAP Paste)'!$C:$J,4,0)</f>
        <v>0</v>
      </c>
      <c r="F72" s="381">
        <f>VLOOKUP(D72,'Raw TB_26.04.2026 (SAP Paste)'!$C:$J,6,0)</f>
        <v>410148174.37</v>
      </c>
      <c r="G72" s="381">
        <f>VLOOKUP(D72,'Raw TB_26.04.2026 (SAP Paste)'!$C:$J,7,0)</f>
        <v>797031674.89999998</v>
      </c>
      <c r="H72" s="382">
        <f>+VLOOKUP(D72,'Raw TB_26.04.2026 (SAP Paste)'!C:J,8,0)</f>
        <v>-386883500.52999997</v>
      </c>
      <c r="I72" s="649">
        <f>VLOOKUP(B72,TB!$B$4:$H$202,7,)</f>
        <v>-386883500.52999997</v>
      </c>
      <c r="J72" s="649">
        <f t="shared" si="2"/>
        <v>0</v>
      </c>
    </row>
    <row r="73" spans="1:10" ht="15">
      <c r="A73" s="385">
        <v>1900</v>
      </c>
      <c r="B73" s="385">
        <v>20201010</v>
      </c>
      <c r="C73" s="107" t="s">
        <v>473</v>
      </c>
      <c r="D73" s="380" t="s">
        <v>412</v>
      </c>
      <c r="E73" s="381">
        <f>VLOOKUP(D73,'Raw TB_26.04.2026 (SAP Paste)'!$C:$J,4,0)</f>
        <v>0</v>
      </c>
      <c r="F73" s="381">
        <f>VLOOKUP(D73,'Raw TB_26.04.2026 (SAP Paste)'!$C:$J,6,0)</f>
        <v>2511131</v>
      </c>
      <c r="G73" s="381">
        <f>VLOOKUP(D73,'Raw TB_26.04.2026 (SAP Paste)'!$C:$J,7,0)</f>
        <v>2511131</v>
      </c>
      <c r="H73" s="382">
        <f>+VLOOKUP(D73,'Raw TB_26.04.2026 (SAP Paste)'!C:J,8,0)</f>
        <v>0</v>
      </c>
      <c r="I73" s="649">
        <f>VLOOKUP(B73,TB!$B$4:$H$202,7,)</f>
        <v>0</v>
      </c>
      <c r="J73" s="649">
        <f t="shared" si="2"/>
        <v>0</v>
      </c>
    </row>
    <row r="74" spans="1:10" ht="15">
      <c r="A74" s="385">
        <v>1900</v>
      </c>
      <c r="B74" s="385">
        <v>20411001</v>
      </c>
      <c r="C74" s="107" t="s">
        <v>473</v>
      </c>
      <c r="D74" s="380" t="s">
        <v>136</v>
      </c>
      <c r="E74" s="381">
        <f>VLOOKUP(D74,'Raw TB_26.04.2026 (SAP Paste)'!$C:$J,4,0)</f>
        <v>-1214</v>
      </c>
      <c r="F74" s="381">
        <f>VLOOKUP(D74,'Raw TB_26.04.2026 (SAP Paste)'!$C:$J,6,0)</f>
        <v>1214</v>
      </c>
      <c r="G74" s="381">
        <f>VLOOKUP(D74,'Raw TB_26.04.2026 (SAP Paste)'!$C:$J,7,0)</f>
        <v>0</v>
      </c>
      <c r="H74" s="382">
        <f>+VLOOKUP(D74,'Raw TB_26.04.2026 (SAP Paste)'!C:J,8,0)</f>
        <v>0</v>
      </c>
      <c r="I74" s="649">
        <f>VLOOKUP(B74,TB!$B$4:$H$202,7,)</f>
        <v>0</v>
      </c>
      <c r="J74" s="649">
        <f t="shared" si="2"/>
        <v>0</v>
      </c>
    </row>
    <row r="75" spans="1:10" ht="15">
      <c r="A75" s="385">
        <v>1900</v>
      </c>
      <c r="B75" s="385">
        <v>20411002</v>
      </c>
      <c r="C75" s="107" t="s">
        <v>473</v>
      </c>
      <c r="D75" s="380" t="s">
        <v>137</v>
      </c>
      <c r="E75" s="381">
        <f>VLOOKUP(D75,'Raw TB_26.04.2026 (SAP Paste)'!$C:$J,4,0)</f>
        <v>-1214</v>
      </c>
      <c r="F75" s="381">
        <f>VLOOKUP(D75,'Raw TB_26.04.2026 (SAP Paste)'!$C:$J,6,0)</f>
        <v>1214</v>
      </c>
      <c r="G75" s="381">
        <f>VLOOKUP(D75,'Raw TB_26.04.2026 (SAP Paste)'!$C:$J,7,0)</f>
        <v>0</v>
      </c>
      <c r="H75" s="382">
        <f>+VLOOKUP(D75,'Raw TB_26.04.2026 (SAP Paste)'!C:J,8,0)</f>
        <v>0</v>
      </c>
      <c r="I75" s="649">
        <f>VLOOKUP(B75,TB!$B$4:$H$202,7,)</f>
        <v>0</v>
      </c>
      <c r="J75" s="649">
        <f t="shared" si="2"/>
        <v>0</v>
      </c>
    </row>
    <row r="76" spans="1:10" ht="15">
      <c r="A76" s="385">
        <v>1900</v>
      </c>
      <c r="B76" s="385">
        <v>20412001</v>
      </c>
      <c r="C76" s="107" t="s">
        <v>473</v>
      </c>
      <c r="D76" s="380" t="s">
        <v>411</v>
      </c>
      <c r="E76" s="381">
        <f>VLOOKUP(D76,'Raw TB_26.04.2026 (SAP Paste)'!$C:$J,4,0)</f>
        <v>0</v>
      </c>
      <c r="F76" s="381">
        <f>VLOOKUP(D76,'Raw TB_26.04.2026 (SAP Paste)'!$C:$J,6,0)</f>
        <v>266647</v>
      </c>
      <c r="G76" s="381">
        <f>VLOOKUP(D76,'Raw TB_26.04.2026 (SAP Paste)'!$C:$J,7,0)</f>
        <v>266647</v>
      </c>
      <c r="H76" s="382">
        <f>+VLOOKUP(D76,'Raw TB_26.04.2026 (SAP Paste)'!C:J,8,0)</f>
        <v>0</v>
      </c>
      <c r="I76" s="649">
        <f>VLOOKUP(B76,TB!$B$4:$H$202,7,)</f>
        <v>0</v>
      </c>
      <c r="J76" s="649">
        <f t="shared" si="2"/>
        <v>0</v>
      </c>
    </row>
    <row r="77" spans="1:10" ht="15">
      <c r="A77" s="385">
        <v>1900</v>
      </c>
      <c r="B77" s="385">
        <v>20412003</v>
      </c>
      <c r="C77" s="107" t="s">
        <v>473</v>
      </c>
      <c r="D77" s="380" t="s">
        <v>138</v>
      </c>
      <c r="E77" s="381">
        <f>VLOOKUP(D77,'Raw TB_26.04.2026 (SAP Paste)'!$C:$J,4,0)</f>
        <v>-262826.34999999998</v>
      </c>
      <c r="F77" s="381">
        <f>VLOOKUP(D77,'Raw TB_26.04.2026 (SAP Paste)'!$C:$J,6,0)</f>
        <v>10710486.539999999</v>
      </c>
      <c r="G77" s="381">
        <f>VLOOKUP(D77,'Raw TB_26.04.2026 (SAP Paste)'!$C:$J,7,0)</f>
        <v>10447660.189999999</v>
      </c>
      <c r="H77" s="382">
        <f>+VLOOKUP(D77,'Raw TB_26.04.2026 (SAP Paste)'!C:J,8,0)</f>
        <v>0</v>
      </c>
      <c r="I77" s="649">
        <f>VLOOKUP(B77,TB!$B$4:$H$202,7,)</f>
        <v>0</v>
      </c>
      <c r="J77" s="649">
        <f t="shared" si="2"/>
        <v>0</v>
      </c>
    </row>
    <row r="78" spans="1:10" ht="15">
      <c r="A78" s="385">
        <v>1900</v>
      </c>
      <c r="B78" s="385">
        <v>20412004</v>
      </c>
      <c r="C78" s="107" t="s">
        <v>473</v>
      </c>
      <c r="D78" s="380" t="s">
        <v>139</v>
      </c>
      <c r="E78" s="381">
        <f>VLOOKUP(D78,'Raw TB_26.04.2026 (SAP Paste)'!$C:$J,4,0)</f>
        <v>-234180.38</v>
      </c>
      <c r="F78" s="381">
        <f>VLOOKUP(D78,'Raw TB_26.04.2026 (SAP Paste)'!$C:$J,6,0)</f>
        <v>10681840.57</v>
      </c>
      <c r="G78" s="381">
        <f>VLOOKUP(D78,'Raw TB_26.04.2026 (SAP Paste)'!$C:$J,7,0)</f>
        <v>10447660.189999999</v>
      </c>
      <c r="H78" s="382">
        <f>+VLOOKUP(D78,'Raw TB_26.04.2026 (SAP Paste)'!C:J,8,0)</f>
        <v>0</v>
      </c>
      <c r="I78" s="649">
        <f>VLOOKUP(B78,TB!$B$4:$H$202,7,)</f>
        <v>0</v>
      </c>
      <c r="J78" s="649">
        <f t="shared" si="2"/>
        <v>0</v>
      </c>
    </row>
    <row r="79" spans="1:10" ht="15">
      <c r="A79" s="385">
        <v>1900</v>
      </c>
      <c r="B79" s="385">
        <v>20412007</v>
      </c>
      <c r="C79" s="107" t="s">
        <v>473</v>
      </c>
      <c r="D79" s="380" t="s">
        <v>140</v>
      </c>
      <c r="E79" s="381">
        <f>VLOOKUP(D79,'Raw TB_26.04.2026 (SAP Paste)'!$C:$J,4,0)</f>
        <v>-48112.32</v>
      </c>
      <c r="F79" s="381">
        <f>VLOOKUP(D79,'Raw TB_26.04.2026 (SAP Paste)'!$C:$J,6,0)</f>
        <v>93653.41</v>
      </c>
      <c r="G79" s="381">
        <f>VLOOKUP(D79,'Raw TB_26.04.2026 (SAP Paste)'!$C:$J,7,0)</f>
        <v>45541.55</v>
      </c>
      <c r="H79" s="382">
        <f>+VLOOKUP(D79,'Raw TB_26.04.2026 (SAP Paste)'!C:J,8,0)</f>
        <v>-0.46</v>
      </c>
      <c r="I79" s="649">
        <f>VLOOKUP(B79,TB!$B$4:$H$202,7,)</f>
        <v>-0.46</v>
      </c>
      <c r="J79" s="649">
        <f t="shared" si="2"/>
        <v>0</v>
      </c>
    </row>
    <row r="80" spans="1:10" ht="15">
      <c r="A80" s="385">
        <v>1900</v>
      </c>
      <c r="B80" s="385">
        <v>20412008</v>
      </c>
      <c r="C80" s="107" t="s">
        <v>473</v>
      </c>
      <c r="D80" s="380" t="s">
        <v>141</v>
      </c>
      <c r="E80" s="381">
        <f>VLOOKUP(D80,'Raw TB_26.04.2026 (SAP Paste)'!$C:$J,4,0)</f>
        <v>-48112.32</v>
      </c>
      <c r="F80" s="381">
        <f>VLOOKUP(D80,'Raw TB_26.04.2026 (SAP Paste)'!$C:$J,6,0)</f>
        <v>93653.41</v>
      </c>
      <c r="G80" s="381">
        <f>VLOOKUP(D80,'Raw TB_26.04.2026 (SAP Paste)'!$C:$J,7,0)</f>
        <v>45541.55</v>
      </c>
      <c r="H80" s="382">
        <f>+VLOOKUP(D80,'Raw TB_26.04.2026 (SAP Paste)'!C:J,8,0)</f>
        <v>-0.46</v>
      </c>
      <c r="I80" s="649">
        <f>VLOOKUP(B80,TB!$B$4:$H$202,7,)</f>
        <v>-0.46</v>
      </c>
      <c r="J80" s="649">
        <f t="shared" si="2"/>
        <v>0</v>
      </c>
    </row>
    <row r="81" spans="1:10" ht="15">
      <c r="A81" s="385">
        <v>1900</v>
      </c>
      <c r="B81" s="385">
        <v>20412101</v>
      </c>
      <c r="C81" s="107" t="s">
        <v>473</v>
      </c>
      <c r="D81" s="380" t="s">
        <v>142</v>
      </c>
      <c r="E81" s="381">
        <f>VLOOKUP(D81,'Raw TB_26.04.2026 (SAP Paste)'!$C:$J,4,0)</f>
        <v>-43663.32</v>
      </c>
      <c r="F81" s="381">
        <f>VLOOKUP(D81,'Raw TB_26.04.2026 (SAP Paste)'!$C:$J,6,0)</f>
        <v>147837</v>
      </c>
      <c r="G81" s="381">
        <f>VLOOKUP(D81,'Raw TB_26.04.2026 (SAP Paste)'!$C:$J,7,0)</f>
        <v>113166.46</v>
      </c>
      <c r="H81" s="382">
        <f>+VLOOKUP(D81,'Raw TB_26.04.2026 (SAP Paste)'!C:J,8,0)</f>
        <v>-8992.7800000000007</v>
      </c>
      <c r="I81" s="649">
        <f>VLOOKUP(B81,TB!$B$4:$H$202,7,)</f>
        <v>-8992.7800000000007</v>
      </c>
      <c r="J81" s="649">
        <f t="shared" si="2"/>
        <v>0</v>
      </c>
    </row>
    <row r="82" spans="1:10" ht="15">
      <c r="A82" s="385">
        <v>1900</v>
      </c>
      <c r="B82" s="385">
        <v>20412102</v>
      </c>
      <c r="C82" s="107" t="s">
        <v>473</v>
      </c>
      <c r="D82" s="380" t="s">
        <v>143</v>
      </c>
      <c r="E82" s="381">
        <f>VLOOKUP(D82,'Raw TB_26.04.2026 (SAP Paste)'!$C:$J,4,0)</f>
        <v>-43663.32</v>
      </c>
      <c r="F82" s="381">
        <f>VLOOKUP(D82,'Raw TB_26.04.2026 (SAP Paste)'!$C:$J,6,0)</f>
        <v>147837</v>
      </c>
      <c r="G82" s="381">
        <f>VLOOKUP(D82,'Raw TB_26.04.2026 (SAP Paste)'!$C:$J,7,0)</f>
        <v>113166.46</v>
      </c>
      <c r="H82" s="382">
        <f>+VLOOKUP(D82,'Raw TB_26.04.2026 (SAP Paste)'!C:J,8,0)</f>
        <v>-8992.7800000000007</v>
      </c>
      <c r="I82" s="649">
        <f>VLOOKUP(B82,TB!$B$4:$H$202,7,)</f>
        <v>-8992.7800000000007</v>
      </c>
      <c r="J82" s="649">
        <f t="shared" si="2"/>
        <v>0</v>
      </c>
    </row>
    <row r="83" spans="1:10" ht="15">
      <c r="A83" s="385">
        <v>1900</v>
      </c>
      <c r="B83" s="385">
        <v>20415001</v>
      </c>
      <c r="C83" s="107" t="s">
        <v>473</v>
      </c>
      <c r="D83" s="380" t="s">
        <v>145</v>
      </c>
      <c r="E83" s="381">
        <f>VLOOKUP(D83,'Raw TB_26.04.2026 (SAP Paste)'!$C:$J,4,0)</f>
        <v>-60276.89</v>
      </c>
      <c r="F83" s="381">
        <f>VLOOKUP(D83,'Raw TB_26.04.2026 (SAP Paste)'!$C:$J,6,0)</f>
        <v>60278</v>
      </c>
      <c r="G83" s="381">
        <f>VLOOKUP(D83,'Raw TB_26.04.2026 (SAP Paste)'!$C:$J,7,0)</f>
        <v>1.1100000000000001</v>
      </c>
      <c r="H83" s="382">
        <f>+VLOOKUP(D83,'Raw TB_26.04.2026 (SAP Paste)'!C:J,8,0)</f>
        <v>5.8197890950850706E-13</v>
      </c>
      <c r="I83" s="649">
        <f>VLOOKUP(B83,TB!$B$4:$H$202,7,)</f>
        <v>0</v>
      </c>
      <c r="J83" s="649">
        <f t="shared" si="2"/>
        <v>-5.8197890950850706E-13</v>
      </c>
    </row>
    <row r="84" spans="1:10" ht="15">
      <c r="A84" s="385">
        <v>1900</v>
      </c>
      <c r="B84" s="385">
        <v>20415002</v>
      </c>
      <c r="C84" s="107" t="s">
        <v>473</v>
      </c>
      <c r="D84" s="380" t="s">
        <v>146</v>
      </c>
      <c r="E84" s="381">
        <f>VLOOKUP(D84,'Raw TB_26.04.2026 (SAP Paste)'!$C:$J,4,0)</f>
        <v>20886</v>
      </c>
      <c r="F84" s="381">
        <f>VLOOKUP(D84,'Raw TB_26.04.2026 (SAP Paste)'!$C:$J,6,0)</f>
        <v>303038</v>
      </c>
      <c r="G84" s="381">
        <f>VLOOKUP(D84,'Raw TB_26.04.2026 (SAP Paste)'!$C:$J,7,0)</f>
        <v>349171</v>
      </c>
      <c r="H84" s="382">
        <f>+VLOOKUP(D84,'Raw TB_26.04.2026 (SAP Paste)'!C:J,8,0)</f>
        <v>-25247</v>
      </c>
      <c r="I84" s="649">
        <f>VLOOKUP(B84,TB!$B$4:$H$202,7,)</f>
        <v>-25247</v>
      </c>
      <c r="J84" s="649">
        <f t="shared" si="2"/>
        <v>0</v>
      </c>
    </row>
    <row r="85" spans="1:10" ht="15">
      <c r="A85" s="385">
        <v>1900</v>
      </c>
      <c r="B85" s="385">
        <v>20415004</v>
      </c>
      <c r="C85" s="107" t="s">
        <v>473</v>
      </c>
      <c r="D85" s="380" t="s">
        <v>358</v>
      </c>
      <c r="E85" s="381">
        <f>VLOOKUP(D85,'Raw TB_26.04.2026 (SAP Paste)'!$C:$J,4,0)</f>
        <v>0</v>
      </c>
      <c r="F85" s="381">
        <f>VLOOKUP(D85,'Raw TB_26.04.2026 (SAP Paste)'!$C:$J,6,0)</f>
        <v>3975</v>
      </c>
      <c r="G85" s="381">
        <f>VLOOKUP(D85,'Raw TB_26.04.2026 (SAP Paste)'!$C:$J,7,0)</f>
        <v>3975</v>
      </c>
      <c r="H85" s="382">
        <f>+VLOOKUP(D85,'Raw TB_26.04.2026 (SAP Paste)'!C:J,8,0)</f>
        <v>0</v>
      </c>
      <c r="I85" s="649">
        <f>VLOOKUP(B85,TB!$B$4:$H$202,7,)</f>
        <v>0</v>
      </c>
      <c r="J85" s="649">
        <f t="shared" si="2"/>
        <v>0</v>
      </c>
    </row>
    <row r="86" spans="1:10" ht="15">
      <c r="A86" s="385">
        <v>1900</v>
      </c>
      <c r="B86" s="385">
        <v>20415006</v>
      </c>
      <c r="C86" s="107" t="s">
        <v>473</v>
      </c>
      <c r="D86" s="380" t="s">
        <v>148</v>
      </c>
      <c r="E86" s="381">
        <f>VLOOKUP(D86,'Raw TB_26.04.2026 (SAP Paste)'!$C:$J,4,0)</f>
        <v>-106899</v>
      </c>
      <c r="F86" s="381">
        <f>VLOOKUP(D86,'Raw TB_26.04.2026 (SAP Paste)'!$C:$J,6,0)</f>
        <v>1263022</v>
      </c>
      <c r="G86" s="381">
        <f>VLOOKUP(D86,'Raw TB_26.04.2026 (SAP Paste)'!$C:$J,7,0)</f>
        <v>1212300</v>
      </c>
      <c r="H86" s="382">
        <f>+VLOOKUP(D86,'Raw TB_26.04.2026 (SAP Paste)'!C:J,8,0)</f>
        <v>-56177</v>
      </c>
      <c r="I86" s="649">
        <f>VLOOKUP(B86,TB!$B$4:$H$202,7,)</f>
        <v>-56177</v>
      </c>
      <c r="J86" s="649">
        <f t="shared" si="2"/>
        <v>0</v>
      </c>
    </row>
    <row r="87" spans="1:10" ht="15">
      <c r="A87" s="385">
        <v>1900</v>
      </c>
      <c r="B87" s="385">
        <v>20415007</v>
      </c>
      <c r="C87" s="107" t="s">
        <v>473</v>
      </c>
      <c r="D87" s="380" t="s">
        <v>149</v>
      </c>
      <c r="E87" s="381">
        <f>VLOOKUP(D87,'Raw TB_26.04.2026 (SAP Paste)'!$C:$J,4,0)</f>
        <v>-844881</v>
      </c>
      <c r="F87" s="381">
        <f>VLOOKUP(D87,'Raw TB_26.04.2026 (SAP Paste)'!$C:$J,6,0)</f>
        <v>3404785</v>
      </c>
      <c r="G87" s="381">
        <f>VLOOKUP(D87,'Raw TB_26.04.2026 (SAP Paste)'!$C:$J,7,0)</f>
        <v>2569384</v>
      </c>
      <c r="H87" s="382">
        <f>+VLOOKUP(D87,'Raw TB_26.04.2026 (SAP Paste)'!C:J,8,0)</f>
        <v>-9480</v>
      </c>
      <c r="I87" s="649">
        <f>VLOOKUP(B87,TB!$B$4:$H$202,7,)</f>
        <v>-9480</v>
      </c>
      <c r="J87" s="649">
        <f t="shared" si="2"/>
        <v>0</v>
      </c>
    </row>
    <row r="88" spans="1:10" ht="15">
      <c r="A88" s="385">
        <v>1900</v>
      </c>
      <c r="B88" s="385">
        <v>20415021</v>
      </c>
      <c r="C88" s="107" t="s">
        <v>473</v>
      </c>
      <c r="D88" s="380" t="s">
        <v>359</v>
      </c>
      <c r="E88" s="381">
        <f>VLOOKUP(D88,'Raw TB_26.04.2026 (SAP Paste)'!$C:$J,4,0)</f>
        <v>0</v>
      </c>
      <c r="F88" s="381">
        <f>VLOOKUP(D88,'Raw TB_26.04.2026 (SAP Paste)'!$C:$J,6,0)</f>
        <v>3133723</v>
      </c>
      <c r="G88" s="381">
        <f>VLOOKUP(D88,'Raw TB_26.04.2026 (SAP Paste)'!$C:$J,7,0)</f>
        <v>3486647</v>
      </c>
      <c r="H88" s="382">
        <f>+VLOOKUP(D88,'Raw TB_26.04.2026 (SAP Paste)'!C:J,8,0)</f>
        <v>-352924</v>
      </c>
      <c r="I88" s="649">
        <f>VLOOKUP(B88,TB!$B$4:$H$202,7,)</f>
        <v>-352924</v>
      </c>
      <c r="J88" s="649">
        <f t="shared" si="2"/>
        <v>0</v>
      </c>
    </row>
    <row r="89" spans="1:10" ht="15">
      <c r="A89" s="385">
        <v>1900</v>
      </c>
      <c r="B89" s="385">
        <v>20416001</v>
      </c>
      <c r="C89" s="107" t="s">
        <v>473</v>
      </c>
      <c r="D89" s="380" t="s">
        <v>410</v>
      </c>
      <c r="E89" s="381">
        <f>VLOOKUP(D89,'Raw TB_26.04.2026 (SAP Paste)'!$C:$J,4,0)</f>
        <v>0</v>
      </c>
      <c r="F89" s="381">
        <f>VLOOKUP(D89,'Raw TB_26.04.2026 (SAP Paste)'!$C:$J,6,0)</f>
        <v>54109</v>
      </c>
      <c r="G89" s="381">
        <f>VLOOKUP(D89,'Raw TB_26.04.2026 (SAP Paste)'!$C:$J,7,0)</f>
        <v>60446</v>
      </c>
      <c r="H89" s="382">
        <f>+VLOOKUP(D89,'Raw TB_26.04.2026 (SAP Paste)'!C:J,8,0)</f>
        <v>-6337</v>
      </c>
      <c r="I89" s="649">
        <f>VLOOKUP(B89,TB!$B$4:$H$202,7,)</f>
        <v>-6337</v>
      </c>
      <c r="J89" s="649">
        <f t="shared" si="2"/>
        <v>0</v>
      </c>
    </row>
    <row r="90" spans="1:10" ht="15">
      <c r="A90" s="385">
        <v>1900</v>
      </c>
      <c r="B90" s="385">
        <v>20416002</v>
      </c>
      <c r="C90" s="107" t="s">
        <v>473</v>
      </c>
      <c r="D90" s="380" t="s">
        <v>409</v>
      </c>
      <c r="E90" s="381">
        <f>VLOOKUP(D90,'Raw TB_26.04.2026 (SAP Paste)'!$C:$J,4,0)</f>
        <v>0</v>
      </c>
      <c r="F90" s="381">
        <f>VLOOKUP(D90,'Raw TB_26.04.2026 (SAP Paste)'!$C:$J,6,0)</f>
        <v>13502</v>
      </c>
      <c r="G90" s="381">
        <f>VLOOKUP(D90,'Raw TB_26.04.2026 (SAP Paste)'!$C:$J,7,0)</f>
        <v>13502</v>
      </c>
      <c r="H90" s="382">
        <f>+VLOOKUP(D90,'Raw TB_26.04.2026 (SAP Paste)'!C:J,8,0)</f>
        <v>0</v>
      </c>
      <c r="I90" s="649">
        <f>VLOOKUP(B90,TB!$B$4:$H$202,7,)</f>
        <v>0</v>
      </c>
      <c r="J90" s="649">
        <f t="shared" si="2"/>
        <v>0</v>
      </c>
    </row>
    <row r="91" spans="1:10" ht="15">
      <c r="A91" s="385">
        <v>1900</v>
      </c>
      <c r="B91" s="385">
        <v>20416003</v>
      </c>
      <c r="C91" s="107" t="s">
        <v>473</v>
      </c>
      <c r="D91" s="380" t="s">
        <v>408</v>
      </c>
      <c r="E91" s="381">
        <f>VLOOKUP(D91,'Raw TB_26.04.2026 (SAP Paste)'!$C:$J,4,0)</f>
        <v>0</v>
      </c>
      <c r="F91" s="381">
        <f>VLOOKUP(D91,'Raw TB_26.04.2026 (SAP Paste)'!$C:$J,6,0)</f>
        <v>54103</v>
      </c>
      <c r="G91" s="381">
        <f>VLOOKUP(D91,'Raw TB_26.04.2026 (SAP Paste)'!$C:$J,7,0)</f>
        <v>60440</v>
      </c>
      <c r="H91" s="382">
        <f>+VLOOKUP(D91,'Raw TB_26.04.2026 (SAP Paste)'!C:J,8,0)</f>
        <v>-6337</v>
      </c>
      <c r="I91" s="649">
        <f>VLOOKUP(B91,TB!$B$4:$H$202,7,)</f>
        <v>-6337</v>
      </c>
      <c r="J91" s="649">
        <f t="shared" si="2"/>
        <v>0</v>
      </c>
    </row>
    <row r="92" spans="1:10" ht="15">
      <c r="A92" s="385">
        <v>1900</v>
      </c>
      <c r="B92" s="385">
        <v>20416004</v>
      </c>
      <c r="C92" s="107" t="s">
        <v>473</v>
      </c>
      <c r="D92" s="380" t="s">
        <v>407</v>
      </c>
      <c r="E92" s="381">
        <f>VLOOKUP(D92,'Raw TB_26.04.2026 (SAP Paste)'!$C:$J,4,0)</f>
        <v>0</v>
      </c>
      <c r="F92" s="381">
        <f>VLOOKUP(D92,'Raw TB_26.04.2026 (SAP Paste)'!$C:$J,6,0)</f>
        <v>1298488</v>
      </c>
      <c r="G92" s="381">
        <f>VLOOKUP(D92,'Raw TB_26.04.2026 (SAP Paste)'!$C:$J,7,0)</f>
        <v>1450574</v>
      </c>
      <c r="H92" s="382">
        <f>+VLOOKUP(D92,'Raw TB_26.04.2026 (SAP Paste)'!C:J,8,0)</f>
        <v>-152086</v>
      </c>
      <c r="I92" s="649">
        <f>VLOOKUP(B92,TB!$B$4:$H$202,7,)</f>
        <v>-152086</v>
      </c>
      <c r="J92" s="649">
        <f t="shared" si="2"/>
        <v>0</v>
      </c>
    </row>
    <row r="93" spans="1:10" ht="15">
      <c r="A93" s="385">
        <v>1900</v>
      </c>
      <c r="B93" s="385">
        <v>20420001</v>
      </c>
      <c r="C93" s="107" t="s">
        <v>473</v>
      </c>
      <c r="D93" s="380" t="s">
        <v>406</v>
      </c>
      <c r="E93" s="381">
        <f>VLOOKUP(D93,'Raw TB_26.04.2026 (SAP Paste)'!$C:$J,4,0)</f>
        <v>0</v>
      </c>
      <c r="F93" s="381">
        <f>VLOOKUP(D93,'Raw TB_26.04.2026 (SAP Paste)'!$C:$J,6,0)</f>
        <v>98361817</v>
      </c>
      <c r="G93" s="381">
        <f>VLOOKUP(D93,'Raw TB_26.04.2026 (SAP Paste)'!$C:$J,7,0)</f>
        <v>104036790</v>
      </c>
      <c r="H93" s="382">
        <f>+VLOOKUP(D93,'Raw TB_26.04.2026 (SAP Paste)'!C:J,8,0)</f>
        <v>-5674973</v>
      </c>
      <c r="I93" s="649">
        <f>VLOOKUP(B93,TB!$B$4:$H$202,7,)</f>
        <v>-5674973</v>
      </c>
      <c r="J93" s="649">
        <f t="shared" si="2"/>
        <v>0</v>
      </c>
    </row>
    <row r="94" spans="1:10" ht="15">
      <c r="A94" s="385">
        <v>1900</v>
      </c>
      <c r="B94" s="385">
        <v>20420003</v>
      </c>
      <c r="C94" s="107" t="s">
        <v>473</v>
      </c>
      <c r="D94" s="380" t="s">
        <v>405</v>
      </c>
      <c r="E94" s="381">
        <f>VLOOKUP(D94,'Raw TB_26.04.2026 (SAP Paste)'!$C:$J,4,0)</f>
        <v>0</v>
      </c>
      <c r="F94" s="381">
        <f>VLOOKUP(D94,'Raw TB_26.04.2026 (SAP Paste)'!$C:$J,6,0)</f>
        <v>1298488</v>
      </c>
      <c r="G94" s="381">
        <f>VLOOKUP(D94,'Raw TB_26.04.2026 (SAP Paste)'!$C:$J,7,0)</f>
        <v>1450574</v>
      </c>
      <c r="H94" s="382">
        <f>+VLOOKUP(D94,'Raw TB_26.04.2026 (SAP Paste)'!C:J,8,0)</f>
        <v>-152086</v>
      </c>
      <c r="I94" s="649">
        <f>VLOOKUP(B94,TB!$B$4:$H$202,7,)</f>
        <v>-152086</v>
      </c>
      <c r="J94" s="649">
        <f t="shared" si="2"/>
        <v>0</v>
      </c>
    </row>
    <row r="95" spans="1:10" ht="15">
      <c r="A95" s="385">
        <v>1900</v>
      </c>
      <c r="B95" s="385">
        <v>20420004</v>
      </c>
      <c r="C95" s="107" t="s">
        <v>473</v>
      </c>
      <c r="D95" s="380" t="s">
        <v>404</v>
      </c>
      <c r="E95" s="381">
        <f>VLOOKUP(D95,'Raw TB_26.04.2026 (SAP Paste)'!$C:$J,4,0)</f>
        <v>0</v>
      </c>
      <c r="F95" s="381">
        <f>VLOOKUP(D95,'Raw TB_26.04.2026 (SAP Paste)'!$C:$J,6,0)</f>
        <v>171925</v>
      </c>
      <c r="G95" s="381">
        <f>VLOOKUP(D95,'Raw TB_26.04.2026 (SAP Paste)'!$C:$J,7,0)</f>
        <v>176175</v>
      </c>
      <c r="H95" s="382">
        <f>+VLOOKUP(D95,'Raw TB_26.04.2026 (SAP Paste)'!C:J,8,0)</f>
        <v>-4250</v>
      </c>
      <c r="I95" s="649">
        <f>VLOOKUP(B95,TB!$B$4:$H$202,7,)</f>
        <v>-4250</v>
      </c>
      <c r="J95" s="649">
        <f t="shared" si="2"/>
        <v>0</v>
      </c>
    </row>
    <row r="96" spans="1:10" ht="15">
      <c r="A96" s="385">
        <v>1900</v>
      </c>
      <c r="B96" s="385">
        <v>20420005</v>
      </c>
      <c r="C96" s="107" t="s">
        <v>473</v>
      </c>
      <c r="D96" s="380" t="s">
        <v>403</v>
      </c>
      <c r="E96" s="381">
        <f>VLOOKUP(D96,'Raw TB_26.04.2026 (SAP Paste)'!$C:$J,4,0)</f>
        <v>0</v>
      </c>
      <c r="F96" s="381">
        <f>VLOOKUP(D96,'Raw TB_26.04.2026 (SAP Paste)'!$C:$J,6,0)</f>
        <v>808654</v>
      </c>
      <c r="G96" s="381">
        <f>VLOOKUP(D96,'Raw TB_26.04.2026 (SAP Paste)'!$C:$J,7,0)</f>
        <v>808654</v>
      </c>
      <c r="H96" s="382">
        <f>+VLOOKUP(D96,'Raw TB_26.04.2026 (SAP Paste)'!C:J,8,0)</f>
        <v>0</v>
      </c>
      <c r="I96" s="649">
        <f>VLOOKUP(B96,TB!$B$4:$H$202,7,)</f>
        <v>0</v>
      </c>
      <c r="J96" s="649">
        <f t="shared" si="2"/>
        <v>0</v>
      </c>
    </row>
    <row r="97" spans="1:10" ht="15">
      <c r="A97" s="385">
        <v>1900</v>
      </c>
      <c r="B97" s="385">
        <v>20420006</v>
      </c>
      <c r="C97" s="107" t="s">
        <v>473</v>
      </c>
      <c r="D97" s="380" t="s">
        <v>402</v>
      </c>
      <c r="E97" s="381">
        <f>VLOOKUP(D97,'Raw TB_26.04.2026 (SAP Paste)'!$C:$J,4,0)</f>
        <v>0</v>
      </c>
      <c r="F97" s="381">
        <f>VLOOKUP(D97,'Raw TB_26.04.2026 (SAP Paste)'!$C:$J,6,0)</f>
        <v>26300</v>
      </c>
      <c r="G97" s="381">
        <f>VLOOKUP(D97,'Raw TB_26.04.2026 (SAP Paste)'!$C:$J,7,0)</f>
        <v>26300</v>
      </c>
      <c r="H97" s="382">
        <f>+VLOOKUP(D97,'Raw TB_26.04.2026 (SAP Paste)'!C:J,8,0)</f>
        <v>0</v>
      </c>
      <c r="I97" s="649">
        <f>VLOOKUP(B97,TB!$B$4:$H$202,7,)</f>
        <v>0</v>
      </c>
      <c r="J97" s="649">
        <f t="shared" si="2"/>
        <v>0</v>
      </c>
    </row>
    <row r="98" spans="1:10" ht="15">
      <c r="A98" s="385">
        <v>1900</v>
      </c>
      <c r="B98" s="385">
        <v>20420032</v>
      </c>
      <c r="C98" s="107" t="s">
        <v>473</v>
      </c>
      <c r="D98" s="380" t="s">
        <v>132</v>
      </c>
      <c r="E98" s="381">
        <f>VLOOKUP(D98,'Raw TB_26.04.2026 (SAP Paste)'!$C:$J,4,0)</f>
        <v>-180000</v>
      </c>
      <c r="F98" s="381">
        <f>VLOOKUP(D98,'Raw TB_26.04.2026 (SAP Paste)'!$C:$J,6,0)</f>
        <v>400000</v>
      </c>
      <c r="G98" s="381">
        <f>VLOOKUP(D98,'Raw TB_26.04.2026 (SAP Paste)'!$C:$J,7,0)</f>
        <v>400000</v>
      </c>
      <c r="H98" s="382">
        <f>+VLOOKUP(D98,'Raw TB_26.04.2026 (SAP Paste)'!C:J,8,0)</f>
        <v>-180000</v>
      </c>
      <c r="I98" s="649">
        <f>VLOOKUP(B98,TB!$B$4:$H$202,7,)</f>
        <v>-180000</v>
      </c>
      <c r="J98" s="649">
        <f t="shared" si="2"/>
        <v>0</v>
      </c>
    </row>
    <row r="99" spans="1:10" ht="15">
      <c r="A99" s="385">
        <v>1900</v>
      </c>
      <c r="B99" s="385">
        <v>20420033</v>
      </c>
      <c r="C99" s="107" t="s">
        <v>473</v>
      </c>
      <c r="D99" s="380" t="s">
        <v>131</v>
      </c>
      <c r="E99" s="381">
        <f>VLOOKUP(D99,'Raw TB_26.04.2026 (SAP Paste)'!$C:$J,4,0)</f>
        <v>0</v>
      </c>
      <c r="F99" s="381">
        <f>VLOOKUP(D99,'Raw TB_26.04.2026 (SAP Paste)'!$C:$J,6,0)</f>
        <v>0</v>
      </c>
      <c r="G99" s="381">
        <f>VLOOKUP(D99,'Raw TB_26.04.2026 (SAP Paste)'!$C:$J,7,0)</f>
        <v>7500</v>
      </c>
      <c r="H99" s="382">
        <f>+VLOOKUP(D99,'Raw TB_26.04.2026 (SAP Paste)'!C:J,8,0)</f>
        <v>-7500</v>
      </c>
      <c r="I99" s="649">
        <f>VLOOKUP(B99,TB!$B$4:$H$202,7,)</f>
        <v>-7500</v>
      </c>
      <c r="J99" s="649">
        <f t="shared" si="2"/>
        <v>0</v>
      </c>
    </row>
    <row r="100" spans="1:10" ht="15">
      <c r="A100" s="385">
        <v>1900</v>
      </c>
      <c r="B100" s="385">
        <v>20420202</v>
      </c>
      <c r="C100" s="107" t="s">
        <v>473</v>
      </c>
      <c r="D100" s="380" t="s">
        <v>360</v>
      </c>
      <c r="E100" s="381">
        <f>VLOOKUP(D100,'Raw TB_26.04.2026 (SAP Paste)'!$C:$J,4,0)</f>
        <v>0</v>
      </c>
      <c r="F100" s="381">
        <f>VLOOKUP(D100,'Raw TB_26.04.2026 (SAP Paste)'!$C:$J,6,0)</f>
        <v>15476.04</v>
      </c>
      <c r="G100" s="381">
        <f>VLOOKUP(D100,'Raw TB_26.04.2026 (SAP Paste)'!$C:$J,7,0)</f>
        <v>15476.04</v>
      </c>
      <c r="H100" s="382">
        <f>+VLOOKUP(D100,'Raw TB_26.04.2026 (SAP Paste)'!C:J,8,0)</f>
        <v>0</v>
      </c>
      <c r="I100" s="649">
        <f>VLOOKUP(B100,TB!$B$4:$H$202,7,)</f>
        <v>0</v>
      </c>
      <c r="J100" s="649">
        <f t="shared" si="2"/>
        <v>0</v>
      </c>
    </row>
    <row r="101" spans="1:10" ht="15">
      <c r="A101" s="385">
        <v>1900</v>
      </c>
      <c r="B101" s="385">
        <v>20420203</v>
      </c>
      <c r="C101" s="107" t="s">
        <v>473</v>
      </c>
      <c r="D101" s="380" t="s">
        <v>361</v>
      </c>
      <c r="E101" s="381">
        <f>VLOOKUP(D101,'Raw TB_26.04.2026 (SAP Paste)'!$C:$J,4,0)</f>
        <v>0</v>
      </c>
      <c r="F101" s="381">
        <f>VLOOKUP(D101,'Raw TB_26.04.2026 (SAP Paste)'!$C:$J,6,0)</f>
        <v>40443.879999999997</v>
      </c>
      <c r="G101" s="381">
        <f>VLOOKUP(D101,'Raw TB_26.04.2026 (SAP Paste)'!$C:$J,7,0)</f>
        <v>40443.879999999997</v>
      </c>
      <c r="H101" s="382">
        <f>+VLOOKUP(D101,'Raw TB_26.04.2026 (SAP Paste)'!C:J,8,0)</f>
        <v>0</v>
      </c>
      <c r="I101" s="649">
        <f>VLOOKUP(B101,TB!$B$4:$H$202,7,)</f>
        <v>0</v>
      </c>
      <c r="J101" s="649">
        <f t="shared" si="2"/>
        <v>0</v>
      </c>
    </row>
    <row r="102" spans="1:10" ht="15">
      <c r="A102" s="385">
        <v>1900</v>
      </c>
      <c r="B102" s="385">
        <v>20440001</v>
      </c>
      <c r="C102" s="107" t="s">
        <v>473</v>
      </c>
      <c r="D102" s="380" t="s">
        <v>362</v>
      </c>
      <c r="E102" s="381">
        <f>VLOOKUP(D102,'Raw TB_26.04.2026 (SAP Paste)'!$C:$J,4,0)</f>
        <v>-868866.94</v>
      </c>
      <c r="F102" s="381">
        <f>VLOOKUP(D102,'Raw TB_26.04.2026 (SAP Paste)'!$C:$J,6,0)</f>
        <v>21495491.23</v>
      </c>
      <c r="G102" s="381">
        <f>VLOOKUP(D102,'Raw TB_26.04.2026 (SAP Paste)'!$C:$J,7,0)</f>
        <v>22888533.629999999</v>
      </c>
      <c r="H102" s="382">
        <f>+VLOOKUP(D102,'Raw TB_26.04.2026 (SAP Paste)'!C:J,8,0)</f>
        <v>-2261909.34</v>
      </c>
      <c r="I102" s="649">
        <f>VLOOKUP(B102,TB!$B$4:$H$202,7,)</f>
        <v>-2261909.34</v>
      </c>
      <c r="J102" s="649">
        <f t="shared" si="2"/>
        <v>0</v>
      </c>
    </row>
    <row r="103" spans="1:10" ht="15">
      <c r="A103" s="385">
        <v>1900</v>
      </c>
      <c r="B103" s="385">
        <v>20440002</v>
      </c>
      <c r="C103" s="107" t="s">
        <v>473</v>
      </c>
      <c r="D103" s="380" t="s">
        <v>363</v>
      </c>
      <c r="E103" s="381">
        <f>VLOOKUP(D103,'Raw TB_26.04.2026 (SAP Paste)'!$C:$J,4,0)</f>
        <v>-569244334.20000005</v>
      </c>
      <c r="F103" s="381">
        <f>VLOOKUP(D103,'Raw TB_26.04.2026 (SAP Paste)'!$C:$J,6,0)</f>
        <v>935630945.76999998</v>
      </c>
      <c r="G103" s="381">
        <f>VLOOKUP(D103,'Raw TB_26.04.2026 (SAP Paste)'!$C:$J,7,0)</f>
        <v>701261335.45000005</v>
      </c>
      <c r="H103" s="382">
        <f>+VLOOKUP(D103,'Raw TB_26.04.2026 (SAP Paste)'!C:J,8,0)</f>
        <v>-334874723.88</v>
      </c>
      <c r="I103" s="649">
        <f>VLOOKUP(B103,TB!$B$4:$H$202,7,)</f>
        <v>-334874723.88</v>
      </c>
      <c r="J103" s="649">
        <f t="shared" si="2"/>
        <v>0</v>
      </c>
    </row>
    <row r="104" spans="1:10" ht="15">
      <c r="A104" s="385">
        <v>1900</v>
      </c>
      <c r="B104" s="385">
        <v>20440003</v>
      </c>
      <c r="C104" s="107" t="s">
        <v>473</v>
      </c>
      <c r="D104" s="380" t="s">
        <v>364</v>
      </c>
      <c r="E104" s="381">
        <f>VLOOKUP(D104,'Raw TB_26.04.2026 (SAP Paste)'!$C:$J,4,0)</f>
        <v>0</v>
      </c>
      <c r="F104" s="381">
        <f>VLOOKUP(D104,'Raw TB_26.04.2026 (SAP Paste)'!$C:$J,6,0)</f>
        <v>151562</v>
      </c>
      <c r="G104" s="381">
        <f>VLOOKUP(D104,'Raw TB_26.04.2026 (SAP Paste)'!$C:$J,7,0)</f>
        <v>151562</v>
      </c>
      <c r="H104" s="382">
        <f>+VLOOKUP(D104,'Raw TB_26.04.2026 (SAP Paste)'!C:J,8,0)</f>
        <v>0</v>
      </c>
      <c r="I104" s="649">
        <f>VLOOKUP(B104,TB!$B$4:$H$202,7,)</f>
        <v>0</v>
      </c>
      <c r="J104" s="649">
        <f t="shared" si="2"/>
        <v>0</v>
      </c>
    </row>
    <row r="105" spans="1:10" ht="15">
      <c r="A105" s="385">
        <v>1900</v>
      </c>
      <c r="B105" s="385">
        <v>20440004</v>
      </c>
      <c r="C105" s="107" t="s">
        <v>473</v>
      </c>
      <c r="D105" s="380" t="s">
        <v>365</v>
      </c>
      <c r="E105" s="381">
        <f>VLOOKUP(D105,'Raw TB_26.04.2026 (SAP Paste)'!$C:$J,4,0)</f>
        <v>-1424305.94</v>
      </c>
      <c r="F105" s="381">
        <f>VLOOKUP(D105,'Raw TB_26.04.2026 (SAP Paste)'!$C:$J,6,0)</f>
        <v>28318181.25</v>
      </c>
      <c r="G105" s="381">
        <f>VLOOKUP(D105,'Raw TB_26.04.2026 (SAP Paste)'!$C:$J,7,0)</f>
        <v>28390384.59</v>
      </c>
      <c r="H105" s="382">
        <f>+VLOOKUP(D105,'Raw TB_26.04.2026 (SAP Paste)'!C:J,8,0)</f>
        <v>-1496509.28</v>
      </c>
      <c r="I105" s="649">
        <f>VLOOKUP(B105,TB!$B$4:$H$202,7,)</f>
        <v>-1496509.28</v>
      </c>
      <c r="J105" s="649">
        <f t="shared" si="2"/>
        <v>0</v>
      </c>
    </row>
    <row r="106" spans="1:10" ht="15">
      <c r="A106" s="654">
        <v>1900</v>
      </c>
      <c r="B106" s="654">
        <v>20440007</v>
      </c>
      <c r="C106" s="658" t="s">
        <v>473</v>
      </c>
      <c r="D106" s="659" t="s">
        <v>366</v>
      </c>
      <c r="E106" s="656">
        <f>VLOOKUP(D106,'Raw TB_26.04.2026 (SAP Paste)'!$C:$J,4,0)</f>
        <v>-82169</v>
      </c>
      <c r="F106" s="656">
        <f>VLOOKUP(D106,'Raw TB_26.04.2026 (SAP Paste)'!$C:$J,6,0)</f>
        <v>829402</v>
      </c>
      <c r="G106" s="656">
        <f>VLOOKUP(D106,'Raw TB_26.04.2026 (SAP Paste)'!$C:$J,7,0)</f>
        <v>798291</v>
      </c>
      <c r="H106" s="660">
        <f>+VLOOKUP(D106,'Raw TB_26.04.2026 (SAP Paste)'!C:J,8,0)</f>
        <v>-51058</v>
      </c>
      <c r="I106" s="652">
        <f>VLOOKUP(B106,TB!$B$4:$H$202,7,)</f>
        <v>-51058</v>
      </c>
      <c r="J106" s="652">
        <f t="shared" si="2"/>
        <v>0</v>
      </c>
    </row>
    <row r="107" spans="1:10" ht="15">
      <c r="A107" s="385">
        <v>1900</v>
      </c>
      <c r="B107" s="385">
        <v>20440051</v>
      </c>
      <c r="C107" s="107" t="s">
        <v>473</v>
      </c>
      <c r="D107" s="380" t="s">
        <v>367</v>
      </c>
      <c r="E107" s="381">
        <f>VLOOKUP(D107,'Raw TB_26.04.2026 (SAP Paste)'!$C:$J,4,0)</f>
        <v>0</v>
      </c>
      <c r="F107" s="381">
        <f>VLOOKUP(D107,'Raw TB_26.04.2026 (SAP Paste)'!$C:$J,6,0)</f>
        <v>300000000</v>
      </c>
      <c r="G107" s="381">
        <f>VLOOKUP(D107,'Raw TB_26.04.2026 (SAP Paste)'!$C:$J,7,0)</f>
        <v>300000000</v>
      </c>
      <c r="H107" s="382">
        <f>+VLOOKUP(D107,'Raw TB_26.04.2026 (SAP Paste)'!C:J,8,0)</f>
        <v>0</v>
      </c>
      <c r="I107" s="649">
        <f>VLOOKUP(B107,TB!$B$4:$H$202,7,)</f>
        <v>0</v>
      </c>
      <c r="J107" s="649">
        <f t="shared" si="2"/>
        <v>0</v>
      </c>
    </row>
    <row r="108" spans="1:10" ht="15">
      <c r="A108" s="385">
        <v>1900</v>
      </c>
      <c r="B108" s="385">
        <v>20450001</v>
      </c>
      <c r="C108" s="107" t="s">
        <v>473</v>
      </c>
      <c r="D108" s="380" t="s">
        <v>368</v>
      </c>
      <c r="E108" s="381">
        <f>VLOOKUP(D108,'Raw TB_26.04.2026 (SAP Paste)'!$C:$J,4,0)</f>
        <v>0</v>
      </c>
      <c r="F108" s="381">
        <f>VLOOKUP(D108,'Raw TB_26.04.2026 (SAP Paste)'!$C:$J,6,0)</f>
        <v>4379503.2699999996</v>
      </c>
      <c r="G108" s="381">
        <f>VLOOKUP(D108,'Raw TB_26.04.2026 (SAP Paste)'!$C:$J,7,0)</f>
        <v>4379503.2699999996</v>
      </c>
      <c r="H108" s="382">
        <f>+VLOOKUP(D108,'Raw TB_26.04.2026 (SAP Paste)'!C:J,8,0)</f>
        <v>0</v>
      </c>
      <c r="I108" s="649">
        <f>VLOOKUP(B108,TB!$B$4:$H$202,7,)</f>
        <v>0</v>
      </c>
      <c r="J108" s="649">
        <f t="shared" si="2"/>
        <v>0</v>
      </c>
    </row>
    <row r="109" spans="1:10" ht="15">
      <c r="A109" s="385">
        <v>1900</v>
      </c>
      <c r="B109" s="385">
        <v>20450002</v>
      </c>
      <c r="C109" s="107" t="s">
        <v>473</v>
      </c>
      <c r="D109" s="380" t="s">
        <v>369</v>
      </c>
      <c r="E109" s="381">
        <f>VLOOKUP(D109,'Raw TB_26.04.2026 (SAP Paste)'!$C:$J,4,0)</f>
        <v>0</v>
      </c>
      <c r="F109" s="381">
        <f>VLOOKUP(D109,'Raw TB_26.04.2026 (SAP Paste)'!$C:$J,6,0)</f>
        <v>590542550.89999998</v>
      </c>
      <c r="G109" s="381">
        <f>VLOOKUP(D109,'Raw TB_26.04.2026 (SAP Paste)'!$C:$J,7,0)</f>
        <v>590542550.89999998</v>
      </c>
      <c r="H109" s="382">
        <f>+VLOOKUP(D109,'Raw TB_26.04.2026 (SAP Paste)'!C:J,8,0)</f>
        <v>0</v>
      </c>
      <c r="I109" s="649">
        <f>VLOOKUP(B109,TB!$B$4:$H$202,7,)</f>
        <v>0</v>
      </c>
      <c r="J109" s="649">
        <f t="shared" si="2"/>
        <v>0</v>
      </c>
    </row>
    <row r="110" spans="1:10" ht="15">
      <c r="A110" s="385">
        <v>1900</v>
      </c>
      <c r="B110" s="385">
        <v>20450005</v>
      </c>
      <c r="C110" s="107" t="s">
        <v>473</v>
      </c>
      <c r="D110" s="380" t="s">
        <v>370</v>
      </c>
      <c r="E110" s="381">
        <f>VLOOKUP(D110,'Raw TB_26.04.2026 (SAP Paste)'!$C:$J,4,0)</f>
        <v>0</v>
      </c>
      <c r="F110" s="381">
        <f>VLOOKUP(D110,'Raw TB_26.04.2026 (SAP Paste)'!$C:$J,6,0)</f>
        <v>6210436.6299999999</v>
      </c>
      <c r="G110" s="381">
        <f>VLOOKUP(D110,'Raw TB_26.04.2026 (SAP Paste)'!$C:$J,7,0)</f>
        <v>6210436.6299999999</v>
      </c>
      <c r="H110" s="382">
        <f>+VLOOKUP(D110,'Raw TB_26.04.2026 (SAP Paste)'!C:J,8,0)</f>
        <v>0</v>
      </c>
      <c r="I110" s="649">
        <f>VLOOKUP(B110,TB!$B$4:$H$202,7,)</f>
        <v>0</v>
      </c>
      <c r="J110" s="649">
        <f t="shared" si="2"/>
        <v>0</v>
      </c>
    </row>
    <row r="111" spans="1:10" ht="15">
      <c r="A111" s="385">
        <v>1900</v>
      </c>
      <c r="B111" s="385">
        <v>20490001</v>
      </c>
      <c r="C111" s="107" t="s">
        <v>473</v>
      </c>
      <c r="D111" s="380" t="s">
        <v>104</v>
      </c>
      <c r="E111" s="381">
        <f>VLOOKUP(D111,'Raw TB_26.04.2026 (SAP Paste)'!$C:$J,4,0)</f>
        <v>-3862156.67</v>
      </c>
      <c r="F111" s="381">
        <f>VLOOKUP(D111,'Raw TB_26.04.2026 (SAP Paste)'!$C:$J,6,0)</f>
        <v>12417809.939999999</v>
      </c>
      <c r="G111" s="381">
        <f>VLOOKUP(D111,'Raw TB_26.04.2026 (SAP Paste)'!$C:$J,7,0)</f>
        <v>10070751.939999999</v>
      </c>
      <c r="H111" s="382">
        <f>+VLOOKUP(D111,'Raw TB_26.04.2026 (SAP Paste)'!C:J,8,0)</f>
        <v>-1515098.67</v>
      </c>
      <c r="I111" s="649">
        <f>VLOOKUP(B111,TB!$B$4:$H$202,7,)</f>
        <v>-1515098.67</v>
      </c>
      <c r="J111" s="649">
        <f t="shared" si="2"/>
        <v>0</v>
      </c>
    </row>
    <row r="112" spans="1:10" ht="15">
      <c r="A112" s="385">
        <v>1900</v>
      </c>
      <c r="B112" s="385">
        <v>20610011</v>
      </c>
      <c r="C112" s="107" t="s">
        <v>473</v>
      </c>
      <c r="D112" s="380" t="s">
        <v>371</v>
      </c>
      <c r="E112" s="381">
        <f>VLOOKUP(D112,'Raw TB_26.04.2026 (SAP Paste)'!$C:$J,4,0)</f>
        <v>0</v>
      </c>
      <c r="F112" s="381">
        <f>VLOOKUP(D112,'Raw TB_26.04.2026 (SAP Paste)'!$C:$J,6,0)</f>
        <v>762526876.20000005</v>
      </c>
      <c r="G112" s="381">
        <f>VLOOKUP(D112,'Raw TB_26.04.2026 (SAP Paste)'!$C:$J,7,0)</f>
        <v>762526876.20000005</v>
      </c>
      <c r="H112" s="382">
        <f>+VLOOKUP(D112,'Raw TB_26.04.2026 (SAP Paste)'!C:J,8,0)</f>
        <v>0</v>
      </c>
      <c r="I112" s="649">
        <f>VLOOKUP(B112,TB!$B$4:$H$202,7,)</f>
        <v>0</v>
      </c>
      <c r="J112" s="649">
        <f t="shared" si="2"/>
        <v>0</v>
      </c>
    </row>
    <row r="113" spans="1:10" ht="15">
      <c r="A113" s="385">
        <v>1900</v>
      </c>
      <c r="B113" s="385">
        <v>20610050</v>
      </c>
      <c r="C113" s="107" t="s">
        <v>473</v>
      </c>
      <c r="D113" s="380" t="s">
        <v>401</v>
      </c>
      <c r="E113" s="381">
        <f>VLOOKUP(D113,'Raw TB_26.04.2026 (SAP Paste)'!$C:$J,4,0)</f>
        <v>0</v>
      </c>
      <c r="F113" s="381">
        <f>VLOOKUP(D113,'Raw TB_26.04.2026 (SAP Paste)'!$C:$J,6,0)</f>
        <v>2549638</v>
      </c>
      <c r="G113" s="381">
        <f>VLOOKUP(D113,'Raw TB_26.04.2026 (SAP Paste)'!$C:$J,7,0)</f>
        <v>2549638</v>
      </c>
      <c r="H113" s="382">
        <f>+VLOOKUP(D113,'Raw TB_26.04.2026 (SAP Paste)'!C:J,8,0)</f>
        <v>0</v>
      </c>
      <c r="I113" s="649">
        <f>VLOOKUP(B113,TB!$B$4:$H$202,7,)</f>
        <v>0</v>
      </c>
      <c r="J113" s="649">
        <f t="shared" si="2"/>
        <v>0</v>
      </c>
    </row>
    <row r="114" spans="1:10" ht="15">
      <c r="A114" s="385">
        <v>1900</v>
      </c>
      <c r="B114" s="385">
        <v>20710001</v>
      </c>
      <c r="C114" s="107" t="s">
        <v>473</v>
      </c>
      <c r="D114" s="380" t="s">
        <v>105</v>
      </c>
      <c r="E114" s="381">
        <f>VLOOKUP(D114,'Raw TB_26.04.2026 (SAP Paste)'!$C:$J,4,0)</f>
        <v>-1149942404.79</v>
      </c>
      <c r="F114" s="381">
        <f>VLOOKUP(D114,'Raw TB_26.04.2026 (SAP Paste)'!$C:$J,6,0)</f>
        <v>118840963.64</v>
      </c>
      <c r="G114" s="381">
        <f>VLOOKUP(D114,'Raw TB_26.04.2026 (SAP Paste)'!$C:$J,7,0)</f>
        <v>48909538.689999998</v>
      </c>
      <c r="H114" s="382">
        <f>+VLOOKUP(D114,'Raw TB_26.04.2026 (SAP Paste)'!C:J,8,0)</f>
        <v>-1080010979.8399999</v>
      </c>
      <c r="I114" s="649">
        <f>VLOOKUP(B114,TB!$B$4:$H$202,7,)</f>
        <v>-1080010979.8399999</v>
      </c>
      <c r="J114" s="649">
        <f t="shared" si="2"/>
        <v>0</v>
      </c>
    </row>
    <row r="115" spans="1:10" ht="15">
      <c r="A115" s="385">
        <v>1900</v>
      </c>
      <c r="B115" s="385">
        <v>20710003</v>
      </c>
      <c r="C115" s="107" t="s">
        <v>473</v>
      </c>
      <c r="D115" s="380" t="s">
        <v>106</v>
      </c>
      <c r="E115" s="381">
        <f>VLOOKUP(D115,'Raw TB_26.04.2026 (SAP Paste)'!$C:$J,4,0)</f>
        <v>-56136699.979999997</v>
      </c>
      <c r="F115" s="381">
        <f>VLOOKUP(D115,'Raw TB_26.04.2026 (SAP Paste)'!$C:$J,6,0)</f>
        <v>8725600.3900000006</v>
      </c>
      <c r="G115" s="381">
        <f>VLOOKUP(D115,'Raw TB_26.04.2026 (SAP Paste)'!$C:$J,7,0)</f>
        <v>3068424.92</v>
      </c>
      <c r="H115" s="382">
        <f>+VLOOKUP(D115,'Raw TB_26.04.2026 (SAP Paste)'!C:J,8,0)</f>
        <v>-50479524.509999998</v>
      </c>
      <c r="I115" s="649">
        <f>VLOOKUP(B115,TB!$B$4:$H$202,7,)</f>
        <v>-50479524.509999998</v>
      </c>
      <c r="J115" s="649">
        <f t="shared" si="2"/>
        <v>0</v>
      </c>
    </row>
    <row r="116" spans="1:10" ht="15">
      <c r="A116" s="385">
        <v>1900</v>
      </c>
      <c r="B116" s="385">
        <v>20710011</v>
      </c>
      <c r="C116" s="107" t="s">
        <v>473</v>
      </c>
      <c r="D116" s="380" t="s">
        <v>107</v>
      </c>
      <c r="E116" s="381">
        <f>VLOOKUP(D116,'Raw TB_26.04.2026 (SAP Paste)'!$C:$J,4,0)</f>
        <v>-8849234.7599999998</v>
      </c>
      <c r="F116" s="381">
        <f>VLOOKUP(D116,'Raw TB_26.04.2026 (SAP Paste)'!$C:$J,6,0)</f>
        <v>57432075.799999997</v>
      </c>
      <c r="G116" s="381">
        <f>VLOOKUP(D116,'Raw TB_26.04.2026 (SAP Paste)'!$C:$J,7,0)</f>
        <v>57104447.700000003</v>
      </c>
      <c r="H116" s="382">
        <f>+VLOOKUP(D116,'Raw TB_26.04.2026 (SAP Paste)'!C:J,8,0)</f>
        <v>-8521606.6600000001</v>
      </c>
      <c r="I116" s="649">
        <f>VLOOKUP(B116,TB!$B$4:$H$202,7,)</f>
        <v>-8521606.6600000001</v>
      </c>
      <c r="J116" s="649">
        <f t="shared" si="2"/>
        <v>0</v>
      </c>
    </row>
    <row r="117" spans="1:10" ht="15">
      <c r="A117" s="385">
        <v>1900</v>
      </c>
      <c r="B117" s="385">
        <v>20710013</v>
      </c>
      <c r="C117" s="107" t="s">
        <v>473</v>
      </c>
      <c r="D117" s="380" t="s">
        <v>109</v>
      </c>
      <c r="E117" s="381">
        <f>VLOOKUP(D117,'Raw TB_26.04.2026 (SAP Paste)'!$C:$J,4,0)</f>
        <v>2358044.7599999998</v>
      </c>
      <c r="F117" s="381">
        <f>VLOOKUP(D117,'Raw TB_26.04.2026 (SAP Paste)'!$C:$J,6,0)</f>
        <v>1238084.8</v>
      </c>
      <c r="G117" s="381">
        <f>VLOOKUP(D117,'Raw TB_26.04.2026 (SAP Paste)'!$C:$J,7,0)</f>
        <v>2411164.9</v>
      </c>
      <c r="H117" s="382">
        <f>+VLOOKUP(D117,'Raw TB_26.04.2026 (SAP Paste)'!C:J,8,0)</f>
        <v>1184964.6599999999</v>
      </c>
      <c r="I117" s="649">
        <f>VLOOKUP(B117,TB!$B$4:$H$202,7,)</f>
        <v>1184964.6599999999</v>
      </c>
      <c r="J117" s="649">
        <f t="shared" si="2"/>
        <v>0</v>
      </c>
    </row>
    <row r="118" spans="1:10" ht="15">
      <c r="A118" s="385">
        <v>1900</v>
      </c>
      <c r="B118" s="385">
        <v>20710015</v>
      </c>
      <c r="C118" s="107" t="s">
        <v>473</v>
      </c>
      <c r="D118" s="380" t="s">
        <v>111</v>
      </c>
      <c r="E118" s="381">
        <f>VLOOKUP(D118,'Raw TB_26.04.2026 (SAP Paste)'!$C:$J,4,0)</f>
        <v>13298862</v>
      </c>
      <c r="F118" s="381">
        <f>VLOOKUP(D118,'Raw TB_26.04.2026 (SAP Paste)'!$C:$J,6,0)</f>
        <v>58336400.439999998</v>
      </c>
      <c r="G118" s="381">
        <f>VLOOKUP(D118,'Raw TB_26.04.2026 (SAP Paste)'!$C:$J,7,0)</f>
        <v>50087718.420000002</v>
      </c>
      <c r="H118" s="382">
        <f>+VLOOKUP(D118,'Raw TB_26.04.2026 (SAP Paste)'!C:J,8,0)</f>
        <v>21547544.02</v>
      </c>
      <c r="I118" s="649">
        <f>VLOOKUP(B118,TB!$B$4:$H$202,7,)</f>
        <v>21547544.02</v>
      </c>
      <c r="J118" s="649">
        <f t="shared" si="2"/>
        <v>0</v>
      </c>
    </row>
    <row r="119" spans="1:10" ht="15">
      <c r="A119" s="385">
        <v>1900</v>
      </c>
      <c r="B119" s="385">
        <v>20710016</v>
      </c>
      <c r="C119" s="107" t="s">
        <v>473</v>
      </c>
      <c r="D119" s="380" t="s">
        <v>113</v>
      </c>
      <c r="E119" s="381">
        <f>VLOOKUP(D119,'Raw TB_26.04.2026 (SAP Paste)'!$C:$J,4,0)</f>
        <v>-600</v>
      </c>
      <c r="F119" s="381">
        <f>VLOOKUP(D119,'Raw TB_26.04.2026 (SAP Paste)'!$C:$J,6,0)</f>
        <v>0</v>
      </c>
      <c r="G119" s="381">
        <f>VLOOKUP(D119,'Raw TB_26.04.2026 (SAP Paste)'!$C:$J,7,0)</f>
        <v>0</v>
      </c>
      <c r="H119" s="382">
        <f>+VLOOKUP(D119,'Raw TB_26.04.2026 (SAP Paste)'!C:J,8,0)</f>
        <v>-600</v>
      </c>
      <c r="I119" s="649">
        <f>VLOOKUP(B119,TB!$B$4:$H$202,7,)</f>
        <v>-600</v>
      </c>
      <c r="J119" s="649">
        <f t="shared" si="2"/>
        <v>0</v>
      </c>
    </row>
    <row r="120" spans="1:10" ht="15">
      <c r="A120" s="385">
        <v>1900</v>
      </c>
      <c r="B120" s="385">
        <v>20710019</v>
      </c>
      <c r="C120" s="107" t="s">
        <v>473</v>
      </c>
      <c r="D120" s="380" t="s">
        <v>115</v>
      </c>
      <c r="E120" s="381">
        <f>VLOOKUP(D120,'Raw TB_26.04.2026 (SAP Paste)'!$C:$J,4,0)</f>
        <v>79000</v>
      </c>
      <c r="F120" s="381">
        <f>VLOOKUP(D120,'Raw TB_26.04.2026 (SAP Paste)'!$C:$J,6,0)</f>
        <v>109774747.11</v>
      </c>
      <c r="G120" s="381">
        <f>VLOOKUP(D120,'Raw TB_26.04.2026 (SAP Paste)'!$C:$J,7,0)</f>
        <v>121271582.11</v>
      </c>
      <c r="H120" s="382">
        <f>+VLOOKUP(D120,'Raw TB_26.04.2026 (SAP Paste)'!C:J,8,0)</f>
        <v>-11417835</v>
      </c>
      <c r="I120" s="649">
        <f>VLOOKUP(B120,TB!$B$4:$H$202,7,)</f>
        <v>-11417835</v>
      </c>
      <c r="J120" s="649">
        <f t="shared" si="2"/>
        <v>0</v>
      </c>
    </row>
    <row r="121" spans="1:10" ht="15">
      <c r="A121" s="385">
        <v>1900</v>
      </c>
      <c r="B121" s="385">
        <v>20710022</v>
      </c>
      <c r="C121" s="107" t="s">
        <v>473</v>
      </c>
      <c r="D121" s="380" t="s">
        <v>372</v>
      </c>
      <c r="E121" s="381">
        <f>VLOOKUP(D121,'Raw TB_26.04.2026 (SAP Paste)'!$C:$J,4,0)</f>
        <v>624500</v>
      </c>
      <c r="F121" s="381">
        <f>VLOOKUP(D121,'Raw TB_26.04.2026 (SAP Paste)'!$C:$J,6,0)</f>
        <v>14890800</v>
      </c>
      <c r="G121" s="381">
        <f>VLOOKUP(D121,'Raw TB_26.04.2026 (SAP Paste)'!$C:$J,7,0)</f>
        <v>15515300</v>
      </c>
      <c r="H121" s="382">
        <f>+VLOOKUP(D121,'Raw TB_26.04.2026 (SAP Paste)'!C:J,8,0)</f>
        <v>0</v>
      </c>
      <c r="I121" s="649">
        <f>VLOOKUP(B121,TB!$B$4:$H$202,7,)</f>
        <v>0</v>
      </c>
      <c r="J121" s="649">
        <f t="shared" si="2"/>
        <v>0</v>
      </c>
    </row>
    <row r="122" spans="1:10" ht="15">
      <c r="A122" s="385">
        <v>1900</v>
      </c>
      <c r="B122" s="385">
        <v>20710101</v>
      </c>
      <c r="C122" s="107" t="s">
        <v>473</v>
      </c>
      <c r="D122" s="380" t="s">
        <v>119</v>
      </c>
      <c r="E122" s="381">
        <f>VLOOKUP(D122,'Raw TB_26.04.2026 (SAP Paste)'!$C:$J,4,0)</f>
        <v>-1285494500.98</v>
      </c>
      <c r="F122" s="381">
        <f>VLOOKUP(D122,'Raw TB_26.04.2026 (SAP Paste)'!$C:$J,6,0)</f>
        <v>113766622.26000001</v>
      </c>
      <c r="G122" s="381">
        <f>VLOOKUP(D122,'Raw TB_26.04.2026 (SAP Paste)'!$C:$J,7,0)</f>
        <v>119411144.56</v>
      </c>
      <c r="H122" s="382">
        <f>+VLOOKUP(D122,'Raw TB_26.04.2026 (SAP Paste)'!C:J,8,0)</f>
        <v>-1291139023.28</v>
      </c>
      <c r="I122" s="649">
        <f>VLOOKUP(B122,TB!$B$4:$H$202,7,)</f>
        <v>-1291139023.28</v>
      </c>
      <c r="J122" s="649">
        <f t="shared" si="2"/>
        <v>0</v>
      </c>
    </row>
    <row r="123" spans="1:10">
      <c r="A123" s="385">
        <v>1900</v>
      </c>
      <c r="B123" s="385">
        <v>30100003</v>
      </c>
      <c r="C123" s="380" t="s">
        <v>430</v>
      </c>
      <c r="D123" s="380" t="s">
        <v>196</v>
      </c>
      <c r="E123" s="381">
        <f>VLOOKUP(D123,'Raw TB_26.04.2026 (SAP Paste)'!$C:$J,4,0)</f>
        <v>0</v>
      </c>
      <c r="F123" s="381">
        <f>VLOOKUP(D123,'Raw TB_26.04.2026 (SAP Paste)'!$C:$J,6,0)</f>
        <v>35593.18</v>
      </c>
      <c r="G123" s="381">
        <f>VLOOKUP(D123,'Raw TB_26.04.2026 (SAP Paste)'!$C:$J,7,0)</f>
        <v>432816.92</v>
      </c>
      <c r="H123" s="382">
        <f>+VLOOKUP(D123,'Raw TB_26.04.2026 (SAP Paste)'!C:J,8,0)</f>
        <v>-397223.74</v>
      </c>
      <c r="I123" s="649">
        <f>VLOOKUP(B123,TB!$B$4:$H$202,7,)</f>
        <v>-397223.74</v>
      </c>
      <c r="J123" s="649">
        <f t="shared" si="2"/>
        <v>0</v>
      </c>
    </row>
    <row r="124" spans="1:10">
      <c r="A124" s="385">
        <v>1900</v>
      </c>
      <c r="B124" s="385">
        <v>30100201</v>
      </c>
      <c r="C124" s="380" t="s">
        <v>430</v>
      </c>
      <c r="D124" s="380" t="s">
        <v>400</v>
      </c>
      <c r="E124" s="381">
        <f>VLOOKUP(D124,'Raw TB_26.04.2026 (SAP Paste)'!$C:$J,4,0)</f>
        <v>0</v>
      </c>
      <c r="F124" s="381">
        <f>VLOOKUP(D124,'Raw TB_26.04.2026 (SAP Paste)'!$C:$J,6,0)</f>
        <v>21120</v>
      </c>
      <c r="G124" s="381">
        <f>VLOOKUP(D124,'Raw TB_26.04.2026 (SAP Paste)'!$C:$J,7,0)</f>
        <v>21120</v>
      </c>
      <c r="H124" s="382">
        <f>+VLOOKUP(D124,'Raw TB_26.04.2026 (SAP Paste)'!C:J,8,0)</f>
        <v>0</v>
      </c>
      <c r="I124" s="649">
        <f>VLOOKUP(B124,TB!$B$4:$H$202,7,)</f>
        <v>0</v>
      </c>
      <c r="J124" s="649">
        <f t="shared" si="2"/>
        <v>0</v>
      </c>
    </row>
    <row r="125" spans="1:10">
      <c r="A125" s="385">
        <v>1900</v>
      </c>
      <c r="B125" s="385">
        <v>30101002</v>
      </c>
      <c r="C125" s="380" t="s">
        <v>430</v>
      </c>
      <c r="D125" s="380" t="s">
        <v>373</v>
      </c>
      <c r="E125" s="381">
        <f>VLOOKUP(D125,'Raw TB_26.04.2026 (SAP Paste)'!$C:$J,4,0)</f>
        <v>0</v>
      </c>
      <c r="F125" s="381">
        <f>VLOOKUP(D125,'Raw TB_26.04.2026 (SAP Paste)'!$C:$J,6,0)</f>
        <v>0</v>
      </c>
      <c r="G125" s="381">
        <f>VLOOKUP(D125,'Raw TB_26.04.2026 (SAP Paste)'!$C:$J,7,0)</f>
        <v>2867899.82</v>
      </c>
      <c r="H125" s="382">
        <f>+VLOOKUP(D125,'Raw TB_26.04.2026 (SAP Paste)'!C:J,8,0)</f>
        <v>-2867899.82</v>
      </c>
      <c r="I125" s="649">
        <f>VLOOKUP(B125,TB!$B$4:$H$202,7,)</f>
        <v>-2867899.82</v>
      </c>
      <c r="J125" s="649">
        <f t="shared" si="2"/>
        <v>0</v>
      </c>
    </row>
    <row r="126" spans="1:10">
      <c r="A126" s="385">
        <v>1900</v>
      </c>
      <c r="B126" s="385">
        <v>40100003</v>
      </c>
      <c r="C126" s="380" t="s">
        <v>431</v>
      </c>
      <c r="D126" s="380" t="s">
        <v>209</v>
      </c>
      <c r="E126" s="381">
        <f>VLOOKUP(D126,'Raw TB_26.04.2026 (SAP Paste)'!$C:$J,4,0)</f>
        <v>0</v>
      </c>
      <c r="F126" s="381">
        <f>VLOOKUP(D126,'Raw TB_26.04.2026 (SAP Paste)'!$C:$J,6,0)</f>
        <v>134580</v>
      </c>
      <c r="G126" s="381">
        <f>VLOOKUP(D126,'Raw TB_26.04.2026 (SAP Paste)'!$C:$J,7,0)</f>
        <v>0</v>
      </c>
      <c r="H126" s="382">
        <f>+VLOOKUP(D126,'Raw TB_26.04.2026 (SAP Paste)'!C:J,8,0)</f>
        <v>134580</v>
      </c>
      <c r="I126" s="649">
        <f>VLOOKUP(B126,TB!$B$4:$H$202,7,)</f>
        <v>134580</v>
      </c>
      <c r="J126" s="649">
        <f t="shared" si="2"/>
        <v>0</v>
      </c>
    </row>
    <row r="127" spans="1:10">
      <c r="A127" s="385">
        <v>1900</v>
      </c>
      <c r="B127" s="385">
        <v>40100004</v>
      </c>
      <c r="C127" s="380" t="s">
        <v>431</v>
      </c>
      <c r="D127" s="380" t="s">
        <v>210</v>
      </c>
      <c r="E127" s="381">
        <f>VLOOKUP(D127,'Raw TB_26.04.2026 (SAP Paste)'!$C:$J,4,0)</f>
        <v>0</v>
      </c>
      <c r="F127" s="381">
        <f>VLOOKUP(D127,'Raw TB_26.04.2026 (SAP Paste)'!$C:$J,6,0)</f>
        <v>1530094</v>
      </c>
      <c r="G127" s="381">
        <f>VLOOKUP(D127,'Raw TB_26.04.2026 (SAP Paste)'!$C:$J,7,0)</f>
        <v>0</v>
      </c>
      <c r="H127" s="382">
        <f>+VLOOKUP(D127,'Raw TB_26.04.2026 (SAP Paste)'!C:J,8,0)</f>
        <v>1530094</v>
      </c>
      <c r="I127" s="649">
        <f>VLOOKUP(B127,TB!$B$4:$H$202,7,)</f>
        <v>1530094</v>
      </c>
      <c r="J127" s="649">
        <f t="shared" si="2"/>
        <v>0</v>
      </c>
    </row>
    <row r="128" spans="1:10">
      <c r="A128" s="385">
        <v>1900</v>
      </c>
      <c r="B128" s="385">
        <v>40100007</v>
      </c>
      <c r="C128" s="380" t="s">
        <v>431</v>
      </c>
      <c r="D128" s="380" t="s">
        <v>212</v>
      </c>
      <c r="E128" s="381">
        <f>VLOOKUP(D128,'Raw TB_26.04.2026 (SAP Paste)'!$C:$J,4,0)</f>
        <v>0</v>
      </c>
      <c r="F128" s="381">
        <f>VLOOKUP(D128,'Raw TB_26.04.2026 (SAP Paste)'!$C:$J,6,0)</f>
        <v>1599995.4</v>
      </c>
      <c r="G128" s="381">
        <f>VLOOKUP(D128,'Raw TB_26.04.2026 (SAP Paste)'!$C:$J,7,0)</f>
        <v>200000</v>
      </c>
      <c r="H128" s="382">
        <f>+VLOOKUP(D128,'Raw TB_26.04.2026 (SAP Paste)'!C:J,8,0)</f>
        <v>1399995.4</v>
      </c>
      <c r="I128" s="649">
        <f>VLOOKUP(B128,TB!$B$4:$H$202,7,)</f>
        <v>1399995.4</v>
      </c>
      <c r="J128" s="649">
        <f t="shared" si="2"/>
        <v>0</v>
      </c>
    </row>
    <row r="129" spans="1:15">
      <c r="A129" s="385">
        <v>1900</v>
      </c>
      <c r="B129" s="385">
        <v>40100008</v>
      </c>
      <c r="C129" s="380" t="s">
        <v>431</v>
      </c>
      <c r="D129" s="380" t="s">
        <v>213</v>
      </c>
      <c r="E129" s="381">
        <f>VLOOKUP(D129,'Raw TB_26.04.2026 (SAP Paste)'!$C:$J,4,0)</f>
        <v>0</v>
      </c>
      <c r="F129" s="381">
        <f>VLOOKUP(D129,'Raw TB_26.04.2026 (SAP Paste)'!$C:$J,6,0)</f>
        <v>1196639</v>
      </c>
      <c r="G129" s="381">
        <f>VLOOKUP(D129,'Raw TB_26.04.2026 (SAP Paste)'!$C:$J,7,0)</f>
        <v>3000</v>
      </c>
      <c r="H129" s="382">
        <f>+VLOOKUP(D129,'Raw TB_26.04.2026 (SAP Paste)'!C:J,8,0)</f>
        <v>1193639</v>
      </c>
      <c r="I129" s="649">
        <f>VLOOKUP(B129,TB!$B$4:$H$202,7,)</f>
        <v>1193639</v>
      </c>
      <c r="J129" s="649">
        <f t="shared" si="2"/>
        <v>0</v>
      </c>
    </row>
    <row r="130" spans="1:15">
      <c r="A130" s="385">
        <v>1900</v>
      </c>
      <c r="B130" s="385">
        <v>40200004</v>
      </c>
      <c r="C130" s="380" t="s">
        <v>431</v>
      </c>
      <c r="D130" s="380" t="s">
        <v>399</v>
      </c>
      <c r="E130" s="381">
        <f>VLOOKUP(D130,'Raw TB_26.04.2026 (SAP Paste)'!$C:$J,4,0)</f>
        <v>0</v>
      </c>
      <c r="F130" s="381">
        <f>VLOOKUP(D130,'Raw TB_26.04.2026 (SAP Paste)'!$C:$J,6,0)</f>
        <v>671500</v>
      </c>
      <c r="G130" s="381">
        <f>VLOOKUP(D130,'Raw TB_26.04.2026 (SAP Paste)'!$C:$J,7,0)</f>
        <v>0</v>
      </c>
      <c r="H130" s="382">
        <f>+VLOOKUP(D130,'Raw TB_26.04.2026 (SAP Paste)'!C:J,8,0)</f>
        <v>671500</v>
      </c>
      <c r="I130" s="649">
        <f>VLOOKUP(B130,TB!$B$4:$H$202,7,)</f>
        <v>671500</v>
      </c>
      <c r="J130" s="649">
        <f t="shared" si="2"/>
        <v>0</v>
      </c>
    </row>
    <row r="131" spans="1:15">
      <c r="A131" s="385">
        <v>1900</v>
      </c>
      <c r="B131" s="385">
        <v>40200005</v>
      </c>
      <c r="C131" s="380" t="s">
        <v>431</v>
      </c>
      <c r="D131" s="380" t="s">
        <v>218</v>
      </c>
      <c r="E131" s="381">
        <f>VLOOKUP(D131,'Raw TB_26.04.2026 (SAP Paste)'!$C:$J,4,0)</f>
        <v>0</v>
      </c>
      <c r="F131" s="381">
        <f>VLOOKUP(D131,'Raw TB_26.04.2026 (SAP Paste)'!$C:$J,6,0)</f>
        <v>764422</v>
      </c>
      <c r="G131" s="381">
        <f>VLOOKUP(D131,'Raw TB_26.04.2026 (SAP Paste)'!$C:$J,7,0)</f>
        <v>0</v>
      </c>
      <c r="H131" s="382">
        <f>+VLOOKUP(D131,'Raw TB_26.04.2026 (SAP Paste)'!C:J,8,0)</f>
        <v>764422</v>
      </c>
      <c r="I131" s="649">
        <f>VLOOKUP(B131,TB!$B$4:$H$202,7,)</f>
        <v>764422</v>
      </c>
      <c r="J131" s="649">
        <f t="shared" si="2"/>
        <v>0</v>
      </c>
    </row>
    <row r="132" spans="1:15">
      <c r="A132" s="385">
        <v>1900</v>
      </c>
      <c r="B132" s="385">
        <v>40200032</v>
      </c>
      <c r="C132" s="380" t="s">
        <v>431</v>
      </c>
      <c r="D132" s="380" t="s">
        <v>374</v>
      </c>
      <c r="E132" s="381">
        <f>VLOOKUP(D132,'Raw TB_26.04.2026 (SAP Paste)'!$C:$J,4,0)</f>
        <v>0</v>
      </c>
      <c r="F132" s="381">
        <f>VLOOKUP(D132,'Raw TB_26.04.2026 (SAP Paste)'!$C:$J,6,0)</f>
        <v>20106.04</v>
      </c>
      <c r="G132" s="381">
        <f>VLOOKUP(D132,'Raw TB_26.04.2026 (SAP Paste)'!$C:$J,7,0)</f>
        <v>0</v>
      </c>
      <c r="H132" s="382">
        <f>+VLOOKUP(D132,'Raw TB_26.04.2026 (SAP Paste)'!C:J,8,0)</f>
        <v>20106.04</v>
      </c>
      <c r="I132" s="649">
        <f>VLOOKUP(B132,TB!$B$4:$H$202,7,)</f>
        <v>20106.04</v>
      </c>
      <c r="J132" s="649">
        <f t="shared" si="2"/>
        <v>0</v>
      </c>
    </row>
    <row r="133" spans="1:15">
      <c r="A133" s="385">
        <v>1900</v>
      </c>
      <c r="B133" s="385">
        <v>40300006</v>
      </c>
      <c r="C133" s="380" t="s">
        <v>431</v>
      </c>
      <c r="D133" s="380" t="s">
        <v>375</v>
      </c>
      <c r="E133" s="381">
        <f>VLOOKUP(D133,'Raw TB_26.04.2026 (SAP Paste)'!$C:$J,4,0)</f>
        <v>0</v>
      </c>
      <c r="F133" s="381">
        <f>VLOOKUP(D133,'Raw TB_26.04.2026 (SAP Paste)'!$C:$J,6,0)</f>
        <v>29135</v>
      </c>
      <c r="G133" s="381">
        <f>VLOOKUP(D133,'Raw TB_26.04.2026 (SAP Paste)'!$C:$J,7,0)</f>
        <v>29135</v>
      </c>
      <c r="H133" s="382">
        <f>+VLOOKUP(D133,'Raw TB_26.04.2026 (SAP Paste)'!C:J,8,0)</f>
        <v>0</v>
      </c>
      <c r="I133" s="649">
        <f>VLOOKUP(B133,TB!$B$4:$H$202,7,)</f>
        <v>0</v>
      </c>
      <c r="J133" s="649">
        <f t="shared" si="2"/>
        <v>0</v>
      </c>
    </row>
    <row r="134" spans="1:15">
      <c r="A134" s="385">
        <v>1900</v>
      </c>
      <c r="B134" s="385">
        <v>40300010</v>
      </c>
      <c r="C134" s="380" t="s">
        <v>431</v>
      </c>
      <c r="D134" s="380" t="s">
        <v>376</v>
      </c>
      <c r="E134" s="381">
        <f>VLOOKUP(D134,'Raw TB_26.04.2026 (SAP Paste)'!$C:$J,4,0)</f>
        <v>0</v>
      </c>
      <c r="F134" s="381">
        <f>VLOOKUP(D134,'Raw TB_26.04.2026 (SAP Paste)'!$C:$J,6,0)</f>
        <v>270626.59000000003</v>
      </c>
      <c r="G134" s="381">
        <f>VLOOKUP(D134,'Raw TB_26.04.2026 (SAP Paste)'!$C:$J,7,0)</f>
        <v>270626.59000000003</v>
      </c>
      <c r="H134" s="382">
        <f>+VLOOKUP(D134,'Raw TB_26.04.2026 (SAP Paste)'!C:J,8,0)</f>
        <v>0</v>
      </c>
      <c r="I134" s="649">
        <f>VLOOKUP(B134,TB!$B$4:$H$202,7,)</f>
        <v>0</v>
      </c>
      <c r="J134" s="649">
        <f t="shared" ref="J134:J193" si="3">I134-H134</f>
        <v>0</v>
      </c>
    </row>
    <row r="135" spans="1:15">
      <c r="A135" s="385">
        <v>1900</v>
      </c>
      <c r="B135" s="385">
        <v>40400002</v>
      </c>
      <c r="C135" s="380" t="s">
        <v>431</v>
      </c>
      <c r="D135" s="380" t="s">
        <v>206</v>
      </c>
      <c r="E135" s="381">
        <f>VLOOKUP(D135,'Raw TB_26.04.2026 (SAP Paste)'!$C:$J,4,0)</f>
        <v>0</v>
      </c>
      <c r="F135" s="381">
        <f>VLOOKUP(D135,'Raw TB_26.04.2026 (SAP Paste)'!$C:$J,6,0)</f>
        <v>331055703.76999998</v>
      </c>
      <c r="G135" s="381">
        <f>VLOOKUP(D135,'Raw TB_26.04.2026 (SAP Paste)'!$C:$J,7,0)</f>
        <v>189899193.96000001</v>
      </c>
      <c r="H135" s="382">
        <f>+VLOOKUP(D135,'Raw TB_26.04.2026 (SAP Paste)'!C:J,8,0)</f>
        <v>141156509.81</v>
      </c>
      <c r="I135" s="649">
        <f>VLOOKUP(B135,TB!$B$4:$H$202,7,)</f>
        <v>141156509.81</v>
      </c>
      <c r="J135" s="649">
        <f t="shared" si="3"/>
        <v>0</v>
      </c>
    </row>
    <row r="136" spans="1:15">
      <c r="A136" s="385">
        <v>1900</v>
      </c>
      <c r="B136" s="385">
        <v>40400003</v>
      </c>
      <c r="C136" s="380" t="s">
        <v>431</v>
      </c>
      <c r="D136" s="380" t="s">
        <v>207</v>
      </c>
      <c r="E136" s="381">
        <f>VLOOKUP(D136,'Raw TB_26.04.2026 (SAP Paste)'!$C:$J,4,0)</f>
        <v>0</v>
      </c>
      <c r="F136" s="381">
        <f>VLOOKUP(D136,'Raw TB_26.04.2026 (SAP Paste)'!$C:$J,6,0)</f>
        <v>781859</v>
      </c>
      <c r="G136" s="381">
        <f>VLOOKUP(D136,'Raw TB_26.04.2026 (SAP Paste)'!$C:$J,7,0)</f>
        <v>0</v>
      </c>
      <c r="H136" s="382">
        <f>+VLOOKUP(D136,'Raw TB_26.04.2026 (SAP Paste)'!C:J,8,0)</f>
        <v>781859</v>
      </c>
      <c r="I136" s="649">
        <f>VLOOKUP(B136,TB!$B$4:$H$202,7,)</f>
        <v>781859</v>
      </c>
      <c r="J136" s="649">
        <f t="shared" si="3"/>
        <v>0</v>
      </c>
    </row>
    <row r="137" spans="1:15">
      <c r="A137" s="385">
        <v>1900</v>
      </c>
      <c r="B137" s="385">
        <v>40500001</v>
      </c>
      <c r="C137" s="380" t="s">
        <v>431</v>
      </c>
      <c r="D137" s="380" t="s">
        <v>216</v>
      </c>
      <c r="E137" s="381">
        <f>VLOOKUP(D137,'Raw TB_26.04.2026 (SAP Paste)'!$C:$J,4,0)</f>
        <v>0</v>
      </c>
      <c r="F137" s="381">
        <f>VLOOKUP(D137,'Raw TB_26.04.2026 (SAP Paste)'!$C:$J,6,0)</f>
        <v>11628000</v>
      </c>
      <c r="G137" s="381">
        <f>VLOOKUP(D137,'Raw TB_26.04.2026 (SAP Paste)'!$C:$J,7,0)</f>
        <v>0</v>
      </c>
      <c r="H137" s="382">
        <f>+VLOOKUP(D137,'Raw TB_26.04.2026 (SAP Paste)'!C:J,8,0)</f>
        <v>11628000</v>
      </c>
      <c r="I137" s="649">
        <f>VLOOKUP(B137,TB!$B$4:$H$202,7,)</f>
        <v>11628000</v>
      </c>
      <c r="J137" s="649">
        <f t="shared" si="3"/>
        <v>0</v>
      </c>
    </row>
    <row r="138" spans="1:15">
      <c r="A138" s="385">
        <v>1900</v>
      </c>
      <c r="B138" s="385">
        <v>40800052</v>
      </c>
      <c r="C138" s="380" t="s">
        <v>431</v>
      </c>
      <c r="D138" s="380" t="s">
        <v>215</v>
      </c>
      <c r="E138" s="381">
        <f>VLOOKUP(D138,'Raw TB_26.04.2026 (SAP Paste)'!$C:$J,4,0)</f>
        <v>0</v>
      </c>
      <c r="F138" s="381">
        <f>VLOOKUP(D138,'Raw TB_26.04.2026 (SAP Paste)'!$C:$J,6,0)</f>
        <v>904090.32</v>
      </c>
      <c r="G138" s="381">
        <f>VLOOKUP(D138,'Raw TB_26.04.2026 (SAP Paste)'!$C:$J,7,0)</f>
        <v>156780</v>
      </c>
      <c r="H138" s="382">
        <f>+VLOOKUP(D138,'Raw TB_26.04.2026 (SAP Paste)'!C:J,8,0)</f>
        <v>747310.32</v>
      </c>
      <c r="I138" s="649">
        <f>VLOOKUP(B138,TB!$B$4:$H$202,7,)</f>
        <v>747310.32</v>
      </c>
      <c r="J138" s="649">
        <f t="shared" si="3"/>
        <v>0</v>
      </c>
      <c r="K138" s="500" t="s">
        <v>1560</v>
      </c>
      <c r="L138" s="500" t="s">
        <v>489</v>
      </c>
      <c r="M138" s="500" t="s">
        <v>7</v>
      </c>
      <c r="N138" s="500" t="s">
        <v>1561</v>
      </c>
      <c r="O138" s="500" t="s">
        <v>477</v>
      </c>
    </row>
    <row r="139" spans="1:15">
      <c r="A139" s="385">
        <v>1900</v>
      </c>
      <c r="B139" s="385">
        <v>45100001</v>
      </c>
      <c r="C139" s="380" t="s">
        <v>431</v>
      </c>
      <c r="D139" s="380" t="s">
        <v>398</v>
      </c>
      <c r="E139" s="381">
        <f>VLOOKUP(D139,'Raw TB_26.04.2026 (SAP Paste)'!$C:$J,4,0)</f>
        <v>0</v>
      </c>
      <c r="F139" s="381">
        <f>VLOOKUP(D139,'Raw TB_26.04.2026 (SAP Paste)'!$C:$J,6,0)</f>
        <v>58040948</v>
      </c>
      <c r="G139" s="381">
        <f>VLOOKUP(D139,'Raw TB_26.04.2026 (SAP Paste)'!$C:$J,7,0)</f>
        <v>34210</v>
      </c>
      <c r="H139" s="382">
        <f>+VLOOKUP(D139,'Raw TB_26.04.2026 (SAP Paste)'!C:J,8,0)</f>
        <v>58006738</v>
      </c>
      <c r="I139" s="649">
        <f>VLOOKUP(B139,TB!$B$4:$H$202,7,)</f>
        <v>58006738</v>
      </c>
      <c r="J139" s="649">
        <f t="shared" si="3"/>
        <v>0</v>
      </c>
      <c r="K139" s="312">
        <f>'WIP Final'!G272</f>
        <v>47912268</v>
      </c>
      <c r="L139" s="312">
        <f>'WIP Final'!G273</f>
        <v>10477308</v>
      </c>
      <c r="M139" s="312">
        <f>K139+L139</f>
        <v>58389576</v>
      </c>
      <c r="N139" s="501">
        <f>H139+H140</f>
        <v>58389576</v>
      </c>
      <c r="O139" s="501">
        <f>M139-N139</f>
        <v>0</v>
      </c>
    </row>
    <row r="140" spans="1:15">
      <c r="A140" s="385">
        <v>1900</v>
      </c>
      <c r="B140" s="385">
        <v>45100005</v>
      </c>
      <c r="C140" s="380" t="s">
        <v>431</v>
      </c>
      <c r="D140" s="380" t="s">
        <v>397</v>
      </c>
      <c r="E140" s="381">
        <f>VLOOKUP(D140,'Raw TB_26.04.2026 (SAP Paste)'!$C:$J,4,0)</f>
        <v>0</v>
      </c>
      <c r="F140" s="381">
        <f>VLOOKUP(D140,'Raw TB_26.04.2026 (SAP Paste)'!$C:$J,6,0)</f>
        <v>402674</v>
      </c>
      <c r="G140" s="381">
        <f>VLOOKUP(D140,'Raw TB_26.04.2026 (SAP Paste)'!$C:$J,7,0)</f>
        <v>19836</v>
      </c>
      <c r="H140" s="382">
        <f>+VLOOKUP(D140,'Raw TB_26.04.2026 (SAP Paste)'!C:J,8,0)</f>
        <v>382838</v>
      </c>
      <c r="I140" s="649">
        <f>VLOOKUP(B140,TB!$B$4:$H$202,7,)</f>
        <v>382838</v>
      </c>
      <c r="J140" s="649">
        <f t="shared" si="3"/>
        <v>0</v>
      </c>
    </row>
    <row r="141" spans="1:15">
      <c r="A141" s="385">
        <v>1900</v>
      </c>
      <c r="B141" s="385">
        <v>45100021</v>
      </c>
      <c r="C141" s="380" t="s">
        <v>431</v>
      </c>
      <c r="D141" s="380" t="s">
        <v>396</v>
      </c>
      <c r="E141" s="381">
        <f>VLOOKUP(D141,'Raw TB_26.04.2026 (SAP Paste)'!$C:$J,4,0)</f>
        <v>0</v>
      </c>
      <c r="F141" s="381">
        <f>VLOOKUP(D141,'Raw TB_26.04.2026 (SAP Paste)'!$C:$J,6,0)</f>
        <v>1510470</v>
      </c>
      <c r="G141" s="381">
        <f>VLOOKUP(D141,'Raw TB_26.04.2026 (SAP Paste)'!$C:$J,7,0)</f>
        <v>0</v>
      </c>
      <c r="H141" s="382">
        <f>+VLOOKUP(D141,'Raw TB_26.04.2026 (SAP Paste)'!C:J,8,0)</f>
        <v>1510470</v>
      </c>
      <c r="I141" s="649">
        <f>VLOOKUP(B141,TB!$B$4:$H$202,7,)</f>
        <v>1510470</v>
      </c>
      <c r="J141" s="649">
        <f t="shared" si="3"/>
        <v>0</v>
      </c>
    </row>
    <row r="142" spans="1:15">
      <c r="A142" s="385">
        <v>1900</v>
      </c>
      <c r="B142" s="385">
        <v>45100052</v>
      </c>
      <c r="C142" s="380" t="s">
        <v>431</v>
      </c>
      <c r="D142" s="380" t="s">
        <v>395</v>
      </c>
      <c r="E142" s="381">
        <f>VLOOKUP(D142,'Raw TB_26.04.2026 (SAP Paste)'!$C:$J,4,0)</f>
        <v>0</v>
      </c>
      <c r="F142" s="381">
        <f>VLOOKUP(D142,'Raw TB_26.04.2026 (SAP Paste)'!$C:$J,6,0)</f>
        <v>1450574</v>
      </c>
      <c r="G142" s="381">
        <f>VLOOKUP(D142,'Raw TB_26.04.2026 (SAP Paste)'!$C:$J,7,0)</f>
        <v>0</v>
      </c>
      <c r="H142" s="382">
        <f>+VLOOKUP(D142,'Raw TB_26.04.2026 (SAP Paste)'!C:J,8,0)</f>
        <v>1450574</v>
      </c>
      <c r="I142" s="649">
        <f>VLOOKUP(B142,TB!$B$4:$H$202,7,)</f>
        <v>1450574</v>
      </c>
      <c r="J142" s="649">
        <f t="shared" si="3"/>
        <v>0</v>
      </c>
    </row>
    <row r="143" spans="1:15">
      <c r="A143" s="385">
        <v>1900</v>
      </c>
      <c r="B143" s="385">
        <v>45100053</v>
      </c>
      <c r="C143" s="380" t="s">
        <v>431</v>
      </c>
      <c r="D143" s="380" t="s">
        <v>394</v>
      </c>
      <c r="E143" s="381">
        <f>VLOOKUP(D143,'Raw TB_26.04.2026 (SAP Paste)'!$C:$J,4,0)</f>
        <v>0</v>
      </c>
      <c r="F143" s="381">
        <f>VLOOKUP(D143,'Raw TB_26.04.2026 (SAP Paste)'!$C:$J,6,0)</f>
        <v>60446</v>
      </c>
      <c r="G143" s="381">
        <f>VLOOKUP(D143,'Raw TB_26.04.2026 (SAP Paste)'!$C:$J,7,0)</f>
        <v>0</v>
      </c>
      <c r="H143" s="382">
        <f>+VLOOKUP(D143,'Raw TB_26.04.2026 (SAP Paste)'!C:J,8,0)</f>
        <v>60446</v>
      </c>
      <c r="I143" s="649">
        <f>VLOOKUP(B143,TB!$B$4:$H$202,7,)</f>
        <v>60446</v>
      </c>
      <c r="J143" s="649">
        <f t="shared" si="3"/>
        <v>0</v>
      </c>
    </row>
    <row r="144" spans="1:15">
      <c r="A144" s="385">
        <v>1900</v>
      </c>
      <c r="B144" s="385">
        <v>45100054</v>
      </c>
      <c r="C144" s="380" t="s">
        <v>431</v>
      </c>
      <c r="D144" s="380" t="s">
        <v>393</v>
      </c>
      <c r="E144" s="381">
        <f>VLOOKUP(D144,'Raw TB_26.04.2026 (SAP Paste)'!$C:$J,4,0)</f>
        <v>0</v>
      </c>
      <c r="F144" s="381">
        <f>VLOOKUP(D144,'Raw TB_26.04.2026 (SAP Paste)'!$C:$J,6,0)</f>
        <v>60440</v>
      </c>
      <c r="G144" s="381">
        <f>VLOOKUP(D144,'Raw TB_26.04.2026 (SAP Paste)'!$C:$J,7,0)</f>
        <v>0</v>
      </c>
      <c r="H144" s="382">
        <f>+VLOOKUP(D144,'Raw TB_26.04.2026 (SAP Paste)'!C:J,8,0)</f>
        <v>60440</v>
      </c>
      <c r="I144" s="649">
        <f>VLOOKUP(B144,TB!$B$4:$H$202,7,)</f>
        <v>60440</v>
      </c>
      <c r="J144" s="649">
        <f t="shared" si="3"/>
        <v>0</v>
      </c>
    </row>
    <row r="145" spans="1:10">
      <c r="A145" s="385">
        <v>1900</v>
      </c>
      <c r="B145" s="385">
        <v>45100055</v>
      </c>
      <c r="C145" s="380" t="s">
        <v>431</v>
      </c>
      <c r="D145" s="380" t="s">
        <v>392</v>
      </c>
      <c r="E145" s="381">
        <f>VLOOKUP(D145,'Raw TB_26.04.2026 (SAP Paste)'!$C:$J,4,0)</f>
        <v>0</v>
      </c>
      <c r="F145" s="381">
        <f>VLOOKUP(D145,'Raw TB_26.04.2026 (SAP Paste)'!$C:$J,6,0)</f>
        <v>23678</v>
      </c>
      <c r="G145" s="381">
        <f>VLOOKUP(D145,'Raw TB_26.04.2026 (SAP Paste)'!$C:$J,7,0)</f>
        <v>23678</v>
      </c>
      <c r="H145" s="382">
        <f>+VLOOKUP(D145,'Raw TB_26.04.2026 (SAP Paste)'!C:J,8,0)</f>
        <v>0</v>
      </c>
      <c r="I145" s="649">
        <f>VLOOKUP(B145,TB!$B$4:$H$202,7,)</f>
        <v>0</v>
      </c>
      <c r="J145" s="649">
        <f t="shared" si="3"/>
        <v>0</v>
      </c>
    </row>
    <row r="146" spans="1:10">
      <c r="A146" s="385">
        <v>1900</v>
      </c>
      <c r="B146" s="385">
        <v>45100056</v>
      </c>
      <c r="C146" s="380" t="s">
        <v>431</v>
      </c>
      <c r="D146" s="380" t="s">
        <v>391</v>
      </c>
      <c r="E146" s="381">
        <f>VLOOKUP(D146,'Raw TB_26.04.2026 (SAP Paste)'!$C:$J,4,0)</f>
        <v>0</v>
      </c>
      <c r="F146" s="381">
        <f>VLOOKUP(D146,'Raw TB_26.04.2026 (SAP Paste)'!$C:$J,6,0)</f>
        <v>13502</v>
      </c>
      <c r="G146" s="381">
        <f>VLOOKUP(D146,'Raw TB_26.04.2026 (SAP Paste)'!$C:$J,7,0)</f>
        <v>13502</v>
      </c>
      <c r="H146" s="382">
        <f>+VLOOKUP(D146,'Raw TB_26.04.2026 (SAP Paste)'!C:J,8,0)</f>
        <v>0</v>
      </c>
      <c r="I146" s="649">
        <f>VLOOKUP(B146,TB!$B$4:$H$202,7,)</f>
        <v>0</v>
      </c>
      <c r="J146" s="649">
        <f t="shared" si="3"/>
        <v>0</v>
      </c>
    </row>
    <row r="147" spans="1:10">
      <c r="A147" s="385">
        <v>1900</v>
      </c>
      <c r="B147" s="385">
        <v>45100059</v>
      </c>
      <c r="C147" s="380" t="s">
        <v>431</v>
      </c>
      <c r="D147" s="380" t="s">
        <v>390</v>
      </c>
      <c r="E147" s="381">
        <f>VLOOKUP(D147,'Raw TB_26.04.2026 (SAP Paste)'!$C:$J,4,0)</f>
        <v>0</v>
      </c>
      <c r="F147" s="381">
        <f>VLOOKUP(D147,'Raw TB_26.04.2026 (SAP Paste)'!$C:$J,6,0)</f>
        <v>12525</v>
      </c>
      <c r="G147" s="381">
        <f>VLOOKUP(D147,'Raw TB_26.04.2026 (SAP Paste)'!$C:$J,7,0)</f>
        <v>0</v>
      </c>
      <c r="H147" s="382">
        <f>+VLOOKUP(D147,'Raw TB_26.04.2026 (SAP Paste)'!C:J,8,0)</f>
        <v>12525</v>
      </c>
      <c r="I147" s="649">
        <f>VLOOKUP(B147,TB!$B$4:$H$202,7,)</f>
        <v>12525</v>
      </c>
      <c r="J147" s="649">
        <f t="shared" si="3"/>
        <v>0</v>
      </c>
    </row>
    <row r="148" spans="1:10">
      <c r="A148" s="385">
        <v>1900</v>
      </c>
      <c r="B148" s="385">
        <v>45200003</v>
      </c>
      <c r="C148" s="380" t="s">
        <v>431</v>
      </c>
      <c r="D148" s="380" t="s">
        <v>377</v>
      </c>
      <c r="E148" s="381">
        <f>VLOOKUP(D148,'Raw TB_26.04.2026 (SAP Paste)'!$C:$J,4,0)</f>
        <v>0</v>
      </c>
      <c r="F148" s="381">
        <f>VLOOKUP(D148,'Raw TB_26.04.2026 (SAP Paste)'!$C:$J,6,0)</f>
        <v>64593.2</v>
      </c>
      <c r="G148" s="381">
        <f>VLOOKUP(D148,'Raw TB_26.04.2026 (SAP Paste)'!$C:$J,7,0)</f>
        <v>14451</v>
      </c>
      <c r="H148" s="382">
        <f>+VLOOKUP(D148,'Raw TB_26.04.2026 (SAP Paste)'!C:J,8,0)</f>
        <v>50142.2</v>
      </c>
      <c r="I148" s="649">
        <f>VLOOKUP(B148,TB!$B$4:$H$202,7,)</f>
        <v>50142.2</v>
      </c>
      <c r="J148" s="649">
        <f t="shared" si="3"/>
        <v>0</v>
      </c>
    </row>
    <row r="149" spans="1:10">
      <c r="A149" s="385">
        <v>1900</v>
      </c>
      <c r="B149" s="385">
        <v>45200004</v>
      </c>
      <c r="C149" s="380" t="s">
        <v>431</v>
      </c>
      <c r="D149" s="380" t="s">
        <v>235</v>
      </c>
      <c r="E149" s="381">
        <f>VLOOKUP(D149,'Raw TB_26.04.2026 (SAP Paste)'!$C:$J,4,0)</f>
        <v>0</v>
      </c>
      <c r="F149" s="381">
        <f>VLOOKUP(D149,'Raw TB_26.04.2026 (SAP Paste)'!$C:$J,6,0)</f>
        <v>765000</v>
      </c>
      <c r="G149" s="381">
        <f>VLOOKUP(D149,'Raw TB_26.04.2026 (SAP Paste)'!$C:$J,7,0)</f>
        <v>380000</v>
      </c>
      <c r="H149" s="382">
        <f>+VLOOKUP(D149,'Raw TB_26.04.2026 (SAP Paste)'!C:J,8,0)</f>
        <v>385000</v>
      </c>
      <c r="I149" s="649">
        <f>VLOOKUP(B149,TB!$B$4:$H$202,7,)</f>
        <v>385000</v>
      </c>
      <c r="J149" s="649">
        <f t="shared" si="3"/>
        <v>0</v>
      </c>
    </row>
    <row r="150" spans="1:10">
      <c r="A150" s="385">
        <v>1900</v>
      </c>
      <c r="B150" s="385">
        <v>45200005</v>
      </c>
      <c r="C150" s="380" t="s">
        <v>431</v>
      </c>
      <c r="D150" s="380" t="s">
        <v>233</v>
      </c>
      <c r="E150" s="381">
        <f>VLOOKUP(D150,'Raw TB_26.04.2026 (SAP Paste)'!$C:$J,4,0)</f>
        <v>0</v>
      </c>
      <c r="F150" s="381">
        <f>VLOOKUP(D150,'Raw TB_26.04.2026 (SAP Paste)'!$C:$J,6,0)</f>
        <v>451548.28</v>
      </c>
      <c r="G150" s="381">
        <f>VLOOKUP(D150,'Raw TB_26.04.2026 (SAP Paste)'!$C:$J,7,0)</f>
        <v>50974.99</v>
      </c>
      <c r="H150" s="382">
        <f>+VLOOKUP(D150,'Raw TB_26.04.2026 (SAP Paste)'!C:J,8,0)</f>
        <v>400573.29</v>
      </c>
      <c r="I150" s="649">
        <f>VLOOKUP(B150,TB!$B$4:$H$202,7,)</f>
        <v>400573.29</v>
      </c>
      <c r="J150" s="649">
        <f t="shared" si="3"/>
        <v>0</v>
      </c>
    </row>
    <row r="151" spans="1:10">
      <c r="A151" s="385">
        <v>1900</v>
      </c>
      <c r="B151" s="385">
        <v>45200006</v>
      </c>
      <c r="C151" s="380" t="s">
        <v>431</v>
      </c>
      <c r="D151" s="380" t="s">
        <v>231</v>
      </c>
      <c r="E151" s="381">
        <f>VLOOKUP(D151,'Raw TB_26.04.2026 (SAP Paste)'!$C:$J,4,0)</f>
        <v>0</v>
      </c>
      <c r="F151" s="381">
        <f>VLOOKUP(D151,'Raw TB_26.04.2026 (SAP Paste)'!$C:$J,6,0)</f>
        <v>34.36</v>
      </c>
      <c r="G151" s="381">
        <f>VLOOKUP(D151,'Raw TB_26.04.2026 (SAP Paste)'!$C:$J,7,0)</f>
        <v>13.04</v>
      </c>
      <c r="H151" s="382">
        <f>+VLOOKUP(D151,'Raw TB_26.04.2026 (SAP Paste)'!C:J,8,0)</f>
        <v>21.32</v>
      </c>
      <c r="I151" s="649">
        <f>VLOOKUP(B151,TB!$B$4:$H$202,7,)</f>
        <v>21.32</v>
      </c>
      <c r="J151" s="649">
        <f t="shared" si="3"/>
        <v>0</v>
      </c>
    </row>
    <row r="152" spans="1:10">
      <c r="A152" s="385">
        <v>1900</v>
      </c>
      <c r="B152" s="385">
        <v>45200007</v>
      </c>
      <c r="C152" s="380" t="s">
        <v>431</v>
      </c>
      <c r="D152" s="380" t="s">
        <v>214</v>
      </c>
      <c r="E152" s="381">
        <f>VLOOKUP(D152,'Raw TB_26.04.2026 (SAP Paste)'!$C:$J,4,0)</f>
        <v>0</v>
      </c>
      <c r="F152" s="381">
        <f>VLOOKUP(D152,'Raw TB_26.04.2026 (SAP Paste)'!$C:$J,6,0)</f>
        <v>372851.06</v>
      </c>
      <c r="G152" s="381">
        <f>VLOOKUP(D152,'Raw TB_26.04.2026 (SAP Paste)'!$C:$J,7,0)</f>
        <v>16271.18</v>
      </c>
      <c r="H152" s="382">
        <f>+VLOOKUP(D152,'Raw TB_26.04.2026 (SAP Paste)'!C:J,8,0)</f>
        <v>356579.88</v>
      </c>
      <c r="I152" s="649">
        <f>VLOOKUP(B152,TB!$B$4:$H$202,7,)</f>
        <v>356579.88</v>
      </c>
      <c r="J152" s="649">
        <f t="shared" si="3"/>
        <v>0</v>
      </c>
    </row>
    <row r="153" spans="1:10">
      <c r="A153" s="385">
        <v>1900</v>
      </c>
      <c r="B153" s="385">
        <v>45200023</v>
      </c>
      <c r="C153" s="380" t="s">
        <v>431</v>
      </c>
      <c r="D153" s="380" t="s">
        <v>389</v>
      </c>
      <c r="E153" s="381">
        <f>VLOOKUP(D153,'Raw TB_26.04.2026 (SAP Paste)'!$C:$J,4,0)</f>
        <v>0</v>
      </c>
      <c r="F153" s="381">
        <f>VLOOKUP(D153,'Raw TB_26.04.2026 (SAP Paste)'!$C:$J,6,0)</f>
        <v>6562</v>
      </c>
      <c r="G153" s="381">
        <f>VLOOKUP(D153,'Raw TB_26.04.2026 (SAP Paste)'!$C:$J,7,0)</f>
        <v>0</v>
      </c>
      <c r="H153" s="382">
        <f>+VLOOKUP(D153,'Raw TB_26.04.2026 (SAP Paste)'!C:J,8,0)</f>
        <v>6562</v>
      </c>
      <c r="I153" s="649">
        <f>VLOOKUP(B153,TB!$B$4:$H$202,7,)</f>
        <v>6562</v>
      </c>
      <c r="J153" s="649">
        <f t="shared" si="3"/>
        <v>0</v>
      </c>
    </row>
    <row r="154" spans="1:10">
      <c r="A154" s="385">
        <v>1900</v>
      </c>
      <c r="B154" s="385">
        <v>45300021</v>
      </c>
      <c r="C154" s="380" t="s">
        <v>431</v>
      </c>
      <c r="D154" s="380" t="s">
        <v>388</v>
      </c>
      <c r="E154" s="381">
        <f>VLOOKUP(D154,'Raw TB_26.04.2026 (SAP Paste)'!$C:$J,4,0)</f>
        <v>0</v>
      </c>
      <c r="F154" s="381">
        <f>VLOOKUP(D154,'Raw TB_26.04.2026 (SAP Paste)'!$C:$J,6,0)</f>
        <v>305998</v>
      </c>
      <c r="G154" s="381">
        <f>VLOOKUP(D154,'Raw TB_26.04.2026 (SAP Paste)'!$C:$J,7,0)</f>
        <v>0</v>
      </c>
      <c r="H154" s="382">
        <f>+VLOOKUP(D154,'Raw TB_26.04.2026 (SAP Paste)'!C:J,8,0)</f>
        <v>305998</v>
      </c>
      <c r="I154" s="649">
        <f>VLOOKUP(B154,TB!$B$4:$H$202,7,)</f>
        <v>305998</v>
      </c>
      <c r="J154" s="649">
        <f t="shared" si="3"/>
        <v>0</v>
      </c>
    </row>
    <row r="155" spans="1:10">
      <c r="A155" s="385">
        <v>1900</v>
      </c>
      <c r="B155" s="385">
        <v>45400001</v>
      </c>
      <c r="C155" s="380" t="s">
        <v>431</v>
      </c>
      <c r="D155" s="380" t="s">
        <v>248</v>
      </c>
      <c r="E155" s="381">
        <f>VLOOKUP(D155,'Raw TB_26.04.2026 (SAP Paste)'!$C:$J,4,0)</f>
        <v>0</v>
      </c>
      <c r="F155" s="381">
        <f>VLOOKUP(D155,'Raw TB_26.04.2026 (SAP Paste)'!$C:$J,6,0)</f>
        <v>16427281.98</v>
      </c>
      <c r="G155" s="381">
        <f>VLOOKUP(D155,'Raw TB_26.04.2026 (SAP Paste)'!$C:$J,7,0)</f>
        <v>721799</v>
      </c>
      <c r="H155" s="382">
        <f>+VLOOKUP(D155,'Raw TB_26.04.2026 (SAP Paste)'!C:J,8,0)</f>
        <v>15705482.98</v>
      </c>
      <c r="I155" s="649">
        <f>VLOOKUP(B155,TB!$B$4:$H$202,7,)</f>
        <v>15705482.98</v>
      </c>
      <c r="J155" s="649">
        <f t="shared" si="3"/>
        <v>0</v>
      </c>
    </row>
    <row r="156" spans="1:10">
      <c r="A156" s="385">
        <v>1900</v>
      </c>
      <c r="B156" s="385">
        <v>45400002</v>
      </c>
      <c r="C156" s="380" t="s">
        <v>431</v>
      </c>
      <c r="D156" s="380" t="s">
        <v>387</v>
      </c>
      <c r="E156" s="381">
        <f>VLOOKUP(D156,'Raw TB_26.04.2026 (SAP Paste)'!$C:$J,4,0)</f>
        <v>0</v>
      </c>
      <c r="F156" s="381">
        <f>VLOOKUP(D156,'Raw TB_26.04.2026 (SAP Paste)'!$C:$J,6,0)</f>
        <v>1344000</v>
      </c>
      <c r="G156" s="381">
        <f>VLOOKUP(D156,'Raw TB_26.04.2026 (SAP Paste)'!$C:$J,7,0)</f>
        <v>0</v>
      </c>
      <c r="H156" s="382">
        <f>+VLOOKUP(D156,'Raw TB_26.04.2026 (SAP Paste)'!C:J,8,0)</f>
        <v>1344000</v>
      </c>
      <c r="I156" s="649">
        <f>VLOOKUP(B156,TB!$B$4:$H$202,7,)</f>
        <v>1344000</v>
      </c>
      <c r="J156" s="649">
        <f t="shared" si="3"/>
        <v>0</v>
      </c>
    </row>
    <row r="157" spans="1:10">
      <c r="A157" s="385">
        <v>1900</v>
      </c>
      <c r="B157" s="385">
        <v>45400011</v>
      </c>
      <c r="C157" s="380" t="s">
        <v>431</v>
      </c>
      <c r="D157" s="380" t="s">
        <v>250</v>
      </c>
      <c r="E157" s="381">
        <f>VLOOKUP(D157,'Raw TB_26.04.2026 (SAP Paste)'!$C:$J,4,0)</f>
        <v>0</v>
      </c>
      <c r="F157" s="381">
        <f>VLOOKUP(D157,'Raw TB_26.04.2026 (SAP Paste)'!$C:$J,6,0)</f>
        <v>1886929.64</v>
      </c>
      <c r="G157" s="381">
        <f>VLOOKUP(D157,'Raw TB_26.04.2026 (SAP Paste)'!$C:$J,7,0)</f>
        <v>0</v>
      </c>
      <c r="H157" s="382">
        <f>+VLOOKUP(D157,'Raw TB_26.04.2026 (SAP Paste)'!C:J,8,0)</f>
        <v>1886929.64</v>
      </c>
      <c r="I157" s="649">
        <f>VLOOKUP(B157,TB!$B$4:$H$202,7,)</f>
        <v>1886929.64</v>
      </c>
      <c r="J157" s="649">
        <f t="shared" si="3"/>
        <v>0</v>
      </c>
    </row>
    <row r="158" spans="1:10">
      <c r="A158" s="385">
        <v>1900</v>
      </c>
      <c r="B158" s="385">
        <v>45400014</v>
      </c>
      <c r="C158" s="380" t="s">
        <v>431</v>
      </c>
      <c r="D158" s="380" t="s">
        <v>252</v>
      </c>
      <c r="E158" s="381">
        <f>VLOOKUP(D158,'Raw TB_26.04.2026 (SAP Paste)'!$C:$J,4,0)</f>
        <v>0</v>
      </c>
      <c r="F158" s="381">
        <f>VLOOKUP(D158,'Raw TB_26.04.2026 (SAP Paste)'!$C:$J,6,0)</f>
        <v>2490972.88</v>
      </c>
      <c r="G158" s="381">
        <f>VLOOKUP(D158,'Raw TB_26.04.2026 (SAP Paste)'!$C:$J,7,0)</f>
        <v>0</v>
      </c>
      <c r="H158" s="382">
        <f>+VLOOKUP(D158,'Raw TB_26.04.2026 (SAP Paste)'!C:J,8,0)</f>
        <v>2490972.88</v>
      </c>
      <c r="I158" s="649">
        <f>VLOOKUP(B158,TB!$B$4:$H$202,7,)</f>
        <v>2490972.88</v>
      </c>
      <c r="J158" s="649">
        <f t="shared" si="3"/>
        <v>0</v>
      </c>
    </row>
    <row r="159" spans="1:10">
      <c r="A159" s="385">
        <v>1900</v>
      </c>
      <c r="B159" s="385">
        <v>45400016</v>
      </c>
      <c r="C159" s="380" t="s">
        <v>431</v>
      </c>
      <c r="D159" s="380" t="s">
        <v>253</v>
      </c>
      <c r="E159" s="381">
        <f>VLOOKUP(D159,'Raw TB_26.04.2026 (SAP Paste)'!$C:$J,4,0)</f>
        <v>0</v>
      </c>
      <c r="F159" s="381">
        <f>VLOOKUP(D159,'Raw TB_26.04.2026 (SAP Paste)'!$C:$J,6,0)</f>
        <v>1080115.26</v>
      </c>
      <c r="G159" s="381">
        <f>VLOOKUP(D159,'Raw TB_26.04.2026 (SAP Paste)'!$C:$J,7,0)</f>
        <v>0</v>
      </c>
      <c r="H159" s="382">
        <f>+VLOOKUP(D159,'Raw TB_26.04.2026 (SAP Paste)'!C:J,8,0)</f>
        <v>1080115.26</v>
      </c>
      <c r="I159" s="649">
        <f>VLOOKUP(B159,TB!$B$4:$H$202,7,)</f>
        <v>1080115.26</v>
      </c>
      <c r="J159" s="649">
        <f t="shared" si="3"/>
        <v>0</v>
      </c>
    </row>
    <row r="160" spans="1:10">
      <c r="A160" s="385">
        <v>1900</v>
      </c>
      <c r="B160" s="385">
        <v>45400020</v>
      </c>
      <c r="C160" s="380" t="s">
        <v>431</v>
      </c>
      <c r="D160" s="380" t="s">
        <v>254</v>
      </c>
      <c r="E160" s="381">
        <f>VLOOKUP(D160,'Raw TB_26.04.2026 (SAP Paste)'!$C:$J,4,0)</f>
        <v>0</v>
      </c>
      <c r="F160" s="381">
        <f>VLOOKUP(D160,'Raw TB_26.04.2026 (SAP Paste)'!$C:$J,6,0)</f>
        <v>300000</v>
      </c>
      <c r="G160" s="381">
        <f>VLOOKUP(D160,'Raw TB_26.04.2026 (SAP Paste)'!$C:$J,7,0)</f>
        <v>50000</v>
      </c>
      <c r="H160" s="382">
        <f>+VLOOKUP(D160,'Raw TB_26.04.2026 (SAP Paste)'!C:J,8,0)</f>
        <v>250000</v>
      </c>
      <c r="I160" s="649">
        <f>VLOOKUP(B160,TB!$B$4:$H$202,7,)</f>
        <v>250000</v>
      </c>
      <c r="J160" s="649">
        <f t="shared" si="3"/>
        <v>0</v>
      </c>
    </row>
    <row r="161" spans="1:11">
      <c r="A161" s="385">
        <v>1900</v>
      </c>
      <c r="B161" s="385">
        <v>45510008</v>
      </c>
      <c r="C161" s="380" t="s">
        <v>431</v>
      </c>
      <c r="D161" s="380" t="s">
        <v>386</v>
      </c>
      <c r="E161" s="381">
        <f>VLOOKUP(D161,'Raw TB_26.04.2026 (SAP Paste)'!$C:$J,4,0)</f>
        <v>0</v>
      </c>
      <c r="F161" s="381">
        <f>VLOOKUP(D161,'Raw TB_26.04.2026 (SAP Paste)'!$C:$J,6,0)</f>
        <v>1993971</v>
      </c>
      <c r="G161" s="381">
        <f>VLOOKUP(D161,'Raw TB_26.04.2026 (SAP Paste)'!$C:$J,7,0)</f>
        <v>0</v>
      </c>
      <c r="H161" s="382">
        <f>+VLOOKUP(D161,'Raw TB_26.04.2026 (SAP Paste)'!C:J,8,0)</f>
        <v>1993971</v>
      </c>
      <c r="I161" s="649">
        <f>VLOOKUP(B161,TB!$B$4:$H$202,7,)</f>
        <v>1993971</v>
      </c>
      <c r="J161" s="649">
        <f t="shared" si="3"/>
        <v>0</v>
      </c>
    </row>
    <row r="162" spans="1:11">
      <c r="A162" s="385">
        <v>1900</v>
      </c>
      <c r="B162" s="385">
        <v>45510051</v>
      </c>
      <c r="C162" s="380" t="s">
        <v>431</v>
      </c>
      <c r="D162" s="380" t="s">
        <v>230</v>
      </c>
      <c r="E162" s="381">
        <f>VLOOKUP(D162,'Raw TB_26.04.2026 (SAP Paste)'!$C:$J,4,0)</f>
        <v>0</v>
      </c>
      <c r="F162" s="381">
        <f>VLOOKUP(D162,'Raw TB_26.04.2026 (SAP Paste)'!$C:$J,6,0)</f>
        <v>1040410.66</v>
      </c>
      <c r="G162" s="381">
        <f>VLOOKUP(D162,'Raw TB_26.04.2026 (SAP Paste)'!$C:$J,7,0)</f>
        <v>1005926.56</v>
      </c>
      <c r="H162" s="382">
        <f>+VLOOKUP(D162,'Raw TB_26.04.2026 (SAP Paste)'!C:J,8,0)</f>
        <v>34484.1</v>
      </c>
      <c r="I162" s="649">
        <f>VLOOKUP(B162,TB!$B$4:$H$202,7,)</f>
        <v>34484.1</v>
      </c>
      <c r="J162" s="649">
        <f t="shared" si="3"/>
        <v>0</v>
      </c>
    </row>
    <row r="163" spans="1:11">
      <c r="A163" s="385">
        <v>1900</v>
      </c>
      <c r="B163" s="385">
        <v>45520023</v>
      </c>
      <c r="C163" s="380" t="s">
        <v>431</v>
      </c>
      <c r="D163" s="380" t="s">
        <v>385</v>
      </c>
      <c r="E163" s="381">
        <f>VLOOKUP(D163,'Raw TB_26.04.2026 (SAP Paste)'!$C:$J,4,0)</f>
        <v>0</v>
      </c>
      <c r="F163" s="381">
        <f>VLOOKUP(D163,'Raw TB_26.04.2026 (SAP Paste)'!$C:$J,6,0)</f>
        <v>17875</v>
      </c>
      <c r="G163" s="381">
        <f>VLOOKUP(D163,'Raw TB_26.04.2026 (SAP Paste)'!$C:$J,7,0)</f>
        <v>0</v>
      </c>
      <c r="H163" s="382">
        <f>+VLOOKUP(D163,'Raw TB_26.04.2026 (SAP Paste)'!C:J,8,0)</f>
        <v>17875</v>
      </c>
      <c r="I163" s="649">
        <f>VLOOKUP(B163,TB!$B$4:$H$202,7,)</f>
        <v>17875</v>
      </c>
      <c r="J163" s="649">
        <f t="shared" si="3"/>
        <v>0</v>
      </c>
    </row>
    <row r="164" spans="1:11" ht="15">
      <c r="A164" s="385">
        <v>1900</v>
      </c>
      <c r="B164" s="385">
        <v>45600006</v>
      </c>
      <c r="C164" s="380" t="s">
        <v>431</v>
      </c>
      <c r="D164" s="107" t="s">
        <v>469</v>
      </c>
      <c r="E164" s="381">
        <f>VLOOKUP(D164,'Raw TB_26.04.2026 (SAP Paste)'!$C:$J,4,0)</f>
        <v>0</v>
      </c>
      <c r="F164" s="381">
        <f>VLOOKUP(D164,'Raw TB_26.04.2026 (SAP Paste)'!$C:$J,6,0)</f>
        <v>14576.15</v>
      </c>
      <c r="G164" s="381">
        <f>VLOOKUP(D164,'Raw TB_26.04.2026 (SAP Paste)'!$C:$J,7,0)</f>
        <v>0</v>
      </c>
      <c r="H164" s="382">
        <f>+VLOOKUP(D164,'Raw TB_26.04.2026 (SAP Paste)'!C:J,8,0)</f>
        <v>14576.15</v>
      </c>
      <c r="I164" s="649">
        <f>VLOOKUP(B164,TB!$B$4:$H$202,7,)</f>
        <v>14576.15</v>
      </c>
      <c r="J164" s="649">
        <f t="shared" si="3"/>
        <v>0</v>
      </c>
    </row>
    <row r="165" spans="1:11" s="293" customFormat="1" ht="15">
      <c r="A165" s="386">
        <v>1900</v>
      </c>
      <c r="B165" s="385">
        <v>10900102</v>
      </c>
      <c r="C165" s="107" t="s">
        <v>438</v>
      </c>
      <c r="D165" s="107" t="s">
        <v>439</v>
      </c>
      <c r="E165" s="381">
        <f>VLOOKUP(D165,'Raw TB_26.04.2026 (SAP Paste)'!$C:$J,4,0)</f>
        <v>0</v>
      </c>
      <c r="F165" s="381">
        <f>VLOOKUP(D165,'Raw TB_26.04.2026 (SAP Paste)'!$C:$J,6,0)</f>
        <v>87116.7</v>
      </c>
      <c r="G165" s="381">
        <f>VLOOKUP(D165,'Raw TB_26.04.2026 (SAP Paste)'!$C:$J,7,0)</f>
        <v>87116.7</v>
      </c>
      <c r="H165" s="382">
        <f>+VLOOKUP(D165,'Raw TB_26.04.2026 (SAP Paste)'!C:J,8,0)</f>
        <v>0</v>
      </c>
      <c r="I165" s="649">
        <f>VLOOKUP(B165,TB!$B$4:$H$202,7,)</f>
        <v>0</v>
      </c>
      <c r="J165" s="649">
        <f t="shared" si="3"/>
        <v>0</v>
      </c>
    </row>
    <row r="166" spans="1:11" s="293" customFormat="1" ht="15">
      <c r="A166" s="386">
        <v>1900</v>
      </c>
      <c r="B166" s="385">
        <v>10910011</v>
      </c>
      <c r="C166" s="107" t="s">
        <v>438</v>
      </c>
      <c r="D166" s="330" t="s">
        <v>440</v>
      </c>
      <c r="E166" s="381">
        <f>VLOOKUP(D166,'Raw TB_26.04.2026 (SAP Paste)'!$C:$J,4,0)</f>
        <v>0</v>
      </c>
      <c r="F166" s="381">
        <f>VLOOKUP(D166,'Raw TB_26.04.2026 (SAP Paste)'!$C:$J,6,0)</f>
        <v>5563060.9000000004</v>
      </c>
      <c r="G166" s="381">
        <f>VLOOKUP(D166,'Raw TB_26.04.2026 (SAP Paste)'!$C:$J,7,0)</f>
        <v>713183.9</v>
      </c>
      <c r="H166" s="382">
        <f>+VLOOKUP(D166,'Raw TB_26.04.2026 (SAP Paste)'!C:J,8,0)</f>
        <v>4849877</v>
      </c>
      <c r="I166" s="649">
        <f>VLOOKUP(B166,TB!$B$4:$H$202,7,)</f>
        <v>4849877</v>
      </c>
      <c r="J166" s="649">
        <f t="shared" si="3"/>
        <v>0</v>
      </c>
    </row>
    <row r="167" spans="1:11" s="293" customFormat="1" ht="15">
      <c r="A167" s="386">
        <v>1900</v>
      </c>
      <c r="B167" s="385">
        <v>10930001</v>
      </c>
      <c r="C167" s="107" t="s">
        <v>438</v>
      </c>
      <c r="D167" s="107" t="s">
        <v>441</v>
      </c>
      <c r="E167" s="381">
        <f>VLOOKUP(D167,'Raw TB_26.04.2026 (SAP Paste)'!$C:$J,4,0)</f>
        <v>0</v>
      </c>
      <c r="F167" s="381">
        <f>VLOOKUP(D167,'Raw TB_26.04.2026 (SAP Paste)'!$C:$J,6,0)</f>
        <v>120000</v>
      </c>
      <c r="G167" s="381">
        <f>VLOOKUP(D167,'Raw TB_26.04.2026 (SAP Paste)'!$C:$J,7,0)</f>
        <v>100000</v>
      </c>
      <c r="H167" s="382">
        <f>+VLOOKUP(D167,'Raw TB_26.04.2026 (SAP Paste)'!C:J,8,0)</f>
        <v>20000</v>
      </c>
      <c r="I167" s="649">
        <f>VLOOKUP(B167,TB!$B$4:$H$202,7,)</f>
        <v>20000</v>
      </c>
      <c r="J167" s="649">
        <f t="shared" si="3"/>
        <v>0</v>
      </c>
      <c r="K167" s="293" t="s">
        <v>536</v>
      </c>
    </row>
    <row r="168" spans="1:11" s="293" customFormat="1" ht="15">
      <c r="A168" s="386">
        <v>1900</v>
      </c>
      <c r="B168" s="385">
        <v>10951262</v>
      </c>
      <c r="C168" s="107" t="s">
        <v>438</v>
      </c>
      <c r="D168" s="107" t="s">
        <v>442</v>
      </c>
      <c r="E168" s="381">
        <f>VLOOKUP(D168,'Raw TB_26.04.2026 (SAP Paste)'!$C:$J,4,0)</f>
        <v>0</v>
      </c>
      <c r="F168" s="381">
        <f>VLOOKUP(D168,'Raw TB_26.04.2026 (SAP Paste)'!$C:$J,6,0)</f>
        <v>1.47</v>
      </c>
      <c r="G168" s="381">
        <f>VLOOKUP(D168,'Raw TB_26.04.2026 (SAP Paste)'!$C:$J,7,0)</f>
        <v>1.47</v>
      </c>
      <c r="H168" s="382">
        <f>+VLOOKUP(D168,'Raw TB_26.04.2026 (SAP Paste)'!C:J,8,0)</f>
        <v>0</v>
      </c>
      <c r="I168" s="649">
        <f>VLOOKUP(B168,TB!$B$4:$H$202,7,)</f>
        <v>0</v>
      </c>
      <c r="J168" s="649">
        <f t="shared" si="3"/>
        <v>0</v>
      </c>
    </row>
    <row r="169" spans="1:11" s="293" customFormat="1" ht="15">
      <c r="A169" s="386">
        <v>1900</v>
      </c>
      <c r="B169" s="385">
        <v>10952662</v>
      </c>
      <c r="C169" s="107" t="s">
        <v>438</v>
      </c>
      <c r="D169" s="107" t="s">
        <v>443</v>
      </c>
      <c r="E169" s="381">
        <f>VLOOKUP(D169,'Raw TB_26.04.2026 (SAP Paste)'!$C:$J,4,0)</f>
        <v>0</v>
      </c>
      <c r="F169" s="381">
        <f>VLOOKUP(D169,'Raw TB_26.04.2026 (SAP Paste)'!$C:$J,6,0)</f>
        <v>25000</v>
      </c>
      <c r="G169" s="381">
        <f>VLOOKUP(D169,'Raw TB_26.04.2026 (SAP Paste)'!$C:$J,7,0)</f>
        <v>25000</v>
      </c>
      <c r="H169" s="382">
        <f>+VLOOKUP(D169,'Raw TB_26.04.2026 (SAP Paste)'!C:J,8,0)</f>
        <v>0</v>
      </c>
      <c r="I169" s="649">
        <f>VLOOKUP(B169,TB!$B$4:$H$202,7,)</f>
        <v>0</v>
      </c>
      <c r="J169" s="649">
        <f t="shared" si="3"/>
        <v>0</v>
      </c>
    </row>
    <row r="170" spans="1:11" s="293" customFormat="1" ht="15">
      <c r="A170" s="386">
        <v>1900</v>
      </c>
      <c r="B170" s="385">
        <v>10952671</v>
      </c>
      <c r="C170" s="107" t="s">
        <v>438</v>
      </c>
      <c r="D170" s="107" t="s">
        <v>444</v>
      </c>
      <c r="E170" s="381">
        <f>VLOOKUP(D170,'Raw TB_26.04.2026 (SAP Paste)'!$C:$J,4,0)</f>
        <v>0</v>
      </c>
      <c r="F170" s="381">
        <f>VLOOKUP(D170,'Raw TB_26.04.2026 (SAP Paste)'!$C:$J,6,0)</f>
        <v>1500</v>
      </c>
      <c r="G170" s="381">
        <f>VLOOKUP(D170,'Raw TB_26.04.2026 (SAP Paste)'!$C:$J,7,0)</f>
        <v>1500</v>
      </c>
      <c r="H170" s="382">
        <f>+VLOOKUP(D170,'Raw TB_26.04.2026 (SAP Paste)'!C:J,8,0)</f>
        <v>0</v>
      </c>
      <c r="I170" s="649">
        <f>VLOOKUP(B170,TB!$B$4:$H$202,7,)</f>
        <v>0</v>
      </c>
      <c r="J170" s="649">
        <f t="shared" si="3"/>
        <v>0</v>
      </c>
    </row>
    <row r="171" spans="1:11" s="293" customFormat="1" ht="15">
      <c r="A171" s="386">
        <v>1900</v>
      </c>
      <c r="B171" s="385">
        <v>10952672</v>
      </c>
      <c r="C171" s="107" t="s">
        <v>438</v>
      </c>
      <c r="D171" s="107" t="s">
        <v>445</v>
      </c>
      <c r="E171" s="381">
        <f>VLOOKUP(D171,'Raw TB_26.04.2026 (SAP Paste)'!$C:$J,4,0)</f>
        <v>0</v>
      </c>
      <c r="F171" s="381">
        <f>VLOOKUP(D171,'Raw TB_26.04.2026 (SAP Paste)'!$C:$J,6,0)</f>
        <v>26761</v>
      </c>
      <c r="G171" s="381">
        <f>VLOOKUP(D171,'Raw TB_26.04.2026 (SAP Paste)'!$C:$J,7,0)</f>
        <v>26761</v>
      </c>
      <c r="H171" s="382">
        <f>+VLOOKUP(D171,'Raw TB_26.04.2026 (SAP Paste)'!C:J,8,0)</f>
        <v>0</v>
      </c>
      <c r="I171" s="649">
        <f>VLOOKUP(B171,TB!$B$4:$H$202,7,)</f>
        <v>0</v>
      </c>
      <c r="J171" s="649">
        <f t="shared" si="3"/>
        <v>0</v>
      </c>
    </row>
    <row r="172" spans="1:11" s="293" customFormat="1" ht="15">
      <c r="A172" s="386">
        <v>1900</v>
      </c>
      <c r="B172" s="385">
        <v>10952681</v>
      </c>
      <c r="C172" s="107" t="s">
        <v>438</v>
      </c>
      <c r="D172" s="107" t="s">
        <v>446</v>
      </c>
      <c r="E172" s="381">
        <f>VLOOKUP(D172,'Raw TB_26.04.2026 (SAP Paste)'!$C:$J,4,0)</f>
        <v>0</v>
      </c>
      <c r="F172" s="381">
        <f>VLOOKUP(D172,'Raw TB_26.04.2026 (SAP Paste)'!$C:$J,6,0)</f>
        <v>1000</v>
      </c>
      <c r="G172" s="381">
        <f>VLOOKUP(D172,'Raw TB_26.04.2026 (SAP Paste)'!$C:$J,7,0)</f>
        <v>1000</v>
      </c>
      <c r="H172" s="382">
        <f>+VLOOKUP(D172,'Raw TB_26.04.2026 (SAP Paste)'!C:J,8,0)</f>
        <v>0</v>
      </c>
      <c r="I172" s="649">
        <f>VLOOKUP(B172,TB!$B$4:$H$202,7,)</f>
        <v>0</v>
      </c>
      <c r="J172" s="649">
        <f t="shared" si="3"/>
        <v>0</v>
      </c>
    </row>
    <row r="173" spans="1:11" s="293" customFormat="1" ht="15">
      <c r="A173" s="386">
        <v>1900</v>
      </c>
      <c r="B173" s="385">
        <v>10952682</v>
      </c>
      <c r="C173" s="107" t="s">
        <v>438</v>
      </c>
      <c r="D173" s="107" t="s">
        <v>447</v>
      </c>
      <c r="E173" s="381">
        <f>VLOOKUP(D173,'Raw TB_26.04.2026 (SAP Paste)'!$C:$J,4,0)</f>
        <v>0</v>
      </c>
      <c r="F173" s="381">
        <f>VLOOKUP(D173,'Raw TB_26.04.2026 (SAP Paste)'!$C:$J,6,0)</f>
        <v>27351</v>
      </c>
      <c r="G173" s="381">
        <f>VLOOKUP(D173,'Raw TB_26.04.2026 (SAP Paste)'!$C:$J,7,0)</f>
        <v>27351</v>
      </c>
      <c r="H173" s="382">
        <f>+VLOOKUP(D173,'Raw TB_26.04.2026 (SAP Paste)'!C:J,8,0)</f>
        <v>0</v>
      </c>
      <c r="I173" s="649">
        <f>VLOOKUP(B173,TB!$B$4:$H$202,7,)</f>
        <v>0</v>
      </c>
      <c r="J173" s="649">
        <f t="shared" si="3"/>
        <v>0</v>
      </c>
    </row>
    <row r="174" spans="1:11" s="293" customFormat="1" ht="15">
      <c r="A174" s="386">
        <v>1900</v>
      </c>
      <c r="B174" s="385">
        <v>11140001</v>
      </c>
      <c r="C174" s="107" t="s">
        <v>438</v>
      </c>
      <c r="D174" s="107" t="s">
        <v>448</v>
      </c>
      <c r="E174" s="381">
        <f>VLOOKUP(D174,'Raw TB_26.04.2026 (SAP Paste)'!$C:$J,4,0)</f>
        <v>0</v>
      </c>
      <c r="F174" s="381">
        <f>VLOOKUP(D174,'Raw TB_26.04.2026 (SAP Paste)'!$C:$J,6,0)</f>
        <v>391553</v>
      </c>
      <c r="G174" s="381">
        <f>VLOOKUP(D174,'Raw TB_26.04.2026 (SAP Paste)'!$C:$J,7,0)</f>
        <v>0</v>
      </c>
      <c r="H174" s="382">
        <f>+VLOOKUP(D174,'Raw TB_26.04.2026 (SAP Paste)'!C:J,8,0)</f>
        <v>391553</v>
      </c>
      <c r="I174" s="649">
        <f>VLOOKUP(B174,TB!$B$4:$H$202,7,)</f>
        <v>391553</v>
      </c>
      <c r="J174" s="649">
        <f t="shared" si="3"/>
        <v>0</v>
      </c>
    </row>
    <row r="175" spans="1:11" s="293" customFormat="1" ht="15">
      <c r="A175" s="386">
        <v>1900</v>
      </c>
      <c r="B175" s="385">
        <v>20000203</v>
      </c>
      <c r="C175" s="107" t="s">
        <v>473</v>
      </c>
      <c r="D175" s="107" t="s">
        <v>450</v>
      </c>
      <c r="E175" s="381">
        <f>VLOOKUP(D175,'Raw TB_26.04.2026 (SAP Paste)'!$C:$J,4,0)</f>
        <v>0</v>
      </c>
      <c r="F175" s="381">
        <f>VLOOKUP(D175,'Raw TB_26.04.2026 (SAP Paste)'!$C:$J,6,0)</f>
        <v>8000000</v>
      </c>
      <c r="G175" s="381">
        <f>VLOOKUP(D175,'Raw TB_26.04.2026 (SAP Paste)'!$C:$J,7,0)</f>
        <v>8000000</v>
      </c>
      <c r="H175" s="382">
        <f>+VLOOKUP(D175,'Raw TB_26.04.2026 (SAP Paste)'!C:J,8,0)</f>
        <v>0</v>
      </c>
      <c r="I175" s="649">
        <f>VLOOKUP(B175,TB!$B$4:$H$202,7,)</f>
        <v>0</v>
      </c>
      <c r="J175" s="649">
        <f t="shared" si="3"/>
        <v>0</v>
      </c>
    </row>
    <row r="176" spans="1:11" s="293" customFormat="1" ht="15">
      <c r="A176" s="386">
        <v>1900</v>
      </c>
      <c r="B176" s="385">
        <v>20412002</v>
      </c>
      <c r="C176" s="107" t="s">
        <v>473</v>
      </c>
      <c r="D176" s="107" t="s">
        <v>451</v>
      </c>
      <c r="E176" s="381">
        <f>VLOOKUP(D176,'Raw TB_26.04.2026 (SAP Paste)'!$C:$J,4,0)</f>
        <v>0</v>
      </c>
      <c r="F176" s="381">
        <f>VLOOKUP(D176,'Raw TB_26.04.2026 (SAP Paste)'!$C:$J,6,0)</f>
        <v>180481</v>
      </c>
      <c r="G176" s="381">
        <f>VLOOKUP(D176,'Raw TB_26.04.2026 (SAP Paste)'!$C:$J,7,0)</f>
        <v>180481</v>
      </c>
      <c r="H176" s="382">
        <f>+VLOOKUP(D176,'Raw TB_26.04.2026 (SAP Paste)'!C:J,8,0)</f>
        <v>0</v>
      </c>
      <c r="I176" s="649">
        <f>VLOOKUP(B176,TB!$B$4:$H$202,7,)</f>
        <v>0</v>
      </c>
      <c r="J176" s="649">
        <f t="shared" si="3"/>
        <v>0</v>
      </c>
    </row>
    <row r="177" spans="1:17" s="293" customFormat="1" ht="15">
      <c r="A177" s="386">
        <v>1900</v>
      </c>
      <c r="B177" s="385">
        <v>20415003</v>
      </c>
      <c r="C177" s="107" t="s">
        <v>473</v>
      </c>
      <c r="D177" s="107" t="s">
        <v>147</v>
      </c>
      <c r="E177" s="381">
        <f>VLOOKUP(D177,'Raw TB_26.04.2026 (SAP Paste)'!$C:$J,4,0)</f>
        <v>0</v>
      </c>
      <c r="F177" s="381">
        <f>VLOOKUP(D177,'Raw TB_26.04.2026 (SAP Paste)'!$C:$J,6,0)</f>
        <v>1616152.01</v>
      </c>
      <c r="G177" s="381">
        <f>VLOOKUP(D177,'Raw TB_26.04.2026 (SAP Paste)'!$C:$J,7,0)</f>
        <v>6024009.9000000004</v>
      </c>
      <c r="H177" s="382">
        <f>+VLOOKUP(D177,'Raw TB_26.04.2026 (SAP Paste)'!C:J,8,0)</f>
        <v>-4407857.8899999997</v>
      </c>
      <c r="I177" s="649">
        <f>VLOOKUP(B177,TB!$B$4:$H$202,7,)</f>
        <v>-4407857.8899999997</v>
      </c>
      <c r="J177" s="649">
        <f t="shared" si="3"/>
        <v>0</v>
      </c>
    </row>
    <row r="178" spans="1:17" s="293" customFormat="1" ht="15">
      <c r="A178" s="386">
        <v>1900</v>
      </c>
      <c r="B178" s="385">
        <v>20420009</v>
      </c>
      <c r="C178" s="107" t="s">
        <v>473</v>
      </c>
      <c r="D178" s="107" t="s">
        <v>452</v>
      </c>
      <c r="E178" s="381">
        <f>VLOOKUP(D178,'Raw TB_26.04.2026 (SAP Paste)'!$C:$J,4,0)</f>
        <v>0</v>
      </c>
      <c r="F178" s="381">
        <f>VLOOKUP(D178,'Raw TB_26.04.2026 (SAP Paste)'!$C:$J,6,0)</f>
        <v>2500</v>
      </c>
      <c r="G178" s="381">
        <f>VLOOKUP(D178,'Raw TB_26.04.2026 (SAP Paste)'!$C:$J,7,0)</f>
        <v>5000</v>
      </c>
      <c r="H178" s="382">
        <f>+VLOOKUP(D178,'Raw TB_26.04.2026 (SAP Paste)'!C:J,8,0)</f>
        <v>-2500</v>
      </c>
      <c r="I178" s="649">
        <f>VLOOKUP(B178,TB!$B$4:$H$202,7,)</f>
        <v>-2500</v>
      </c>
      <c r="J178" s="649">
        <f t="shared" si="3"/>
        <v>0</v>
      </c>
    </row>
    <row r="179" spans="1:17" s="293" customFormat="1" ht="15">
      <c r="A179" s="386">
        <v>1900</v>
      </c>
      <c r="B179" s="385">
        <v>40100005</v>
      </c>
      <c r="C179" s="107" t="s">
        <v>431</v>
      </c>
      <c r="D179" s="107" t="s">
        <v>211</v>
      </c>
      <c r="E179" s="381">
        <f>VLOOKUP(D179,'Raw TB_26.04.2026 (SAP Paste)'!$C:$J,4,0)</f>
        <v>0</v>
      </c>
      <c r="F179" s="381">
        <f>VLOOKUP(D179,'Raw TB_26.04.2026 (SAP Paste)'!$C:$J,6,0)</f>
        <v>147188</v>
      </c>
      <c r="G179" s="381">
        <f>VLOOKUP(D179,'Raw TB_26.04.2026 (SAP Paste)'!$C:$J,7,0)</f>
        <v>0</v>
      </c>
      <c r="H179" s="382">
        <f>+VLOOKUP(D179,'Raw TB_26.04.2026 (SAP Paste)'!C:J,8,0)</f>
        <v>147188</v>
      </c>
      <c r="I179" s="649">
        <f>VLOOKUP(B179,TB!$B$4:$H$202,7,)</f>
        <v>147188</v>
      </c>
      <c r="J179" s="649">
        <f t="shared" si="3"/>
        <v>0</v>
      </c>
    </row>
    <row r="180" spans="1:17" s="293" customFormat="1" ht="15">
      <c r="A180" s="386">
        <v>1900</v>
      </c>
      <c r="B180" s="385">
        <v>40200002</v>
      </c>
      <c r="C180" s="107" t="s">
        <v>431</v>
      </c>
      <c r="D180" s="107" t="s">
        <v>217</v>
      </c>
      <c r="E180" s="381">
        <f>VLOOKUP(D180,'Raw TB_26.04.2026 (SAP Paste)'!$C:$J,4,0)</f>
        <v>0</v>
      </c>
      <c r="F180" s="381">
        <f>VLOOKUP(D180,'Raw TB_26.04.2026 (SAP Paste)'!$C:$J,6,0)</f>
        <v>6640637</v>
      </c>
      <c r="G180" s="381">
        <f>VLOOKUP(D180,'Raw TB_26.04.2026 (SAP Paste)'!$C:$J,7,0)</f>
        <v>6616637</v>
      </c>
      <c r="H180" s="382">
        <f>+VLOOKUP(D180,'Raw TB_26.04.2026 (SAP Paste)'!C:J,8,0)</f>
        <v>24000</v>
      </c>
      <c r="I180" s="649">
        <f>VLOOKUP(B180,TB!$B$4:$H$202,7,)</f>
        <v>6590277</v>
      </c>
      <c r="J180" s="649">
        <f t="shared" si="3"/>
        <v>6566277</v>
      </c>
    </row>
    <row r="181" spans="1:17" s="293" customFormat="1" ht="15">
      <c r="A181" s="386">
        <v>1900</v>
      </c>
      <c r="B181" s="385">
        <v>40300003</v>
      </c>
      <c r="C181" s="107" t="s">
        <v>431</v>
      </c>
      <c r="D181" s="107" t="s">
        <v>205</v>
      </c>
      <c r="E181" s="381">
        <f>VLOOKUP(D181,'Raw TB_26.04.2026 (SAP Paste)'!$C:$J,4,0)</f>
        <v>0</v>
      </c>
      <c r="F181" s="381">
        <f>VLOOKUP(D181,'Raw TB_26.04.2026 (SAP Paste)'!$C:$J,6,0)</f>
        <v>3267147.7</v>
      </c>
      <c r="G181" s="381">
        <f>VLOOKUP(D181,'Raw TB_26.04.2026 (SAP Paste)'!$C:$J,7,0)</f>
        <v>164262.75</v>
      </c>
      <c r="H181" s="382">
        <f>+VLOOKUP(D181,'Raw TB_26.04.2026 (SAP Paste)'!C:J,8,0)</f>
        <v>3102884.95</v>
      </c>
      <c r="I181" s="649">
        <f>VLOOKUP(B181,TB!$B$4:$H$202,7,)</f>
        <v>3102884.95</v>
      </c>
      <c r="J181" s="649">
        <f t="shared" si="3"/>
        <v>0</v>
      </c>
    </row>
    <row r="182" spans="1:17" s="293" customFormat="1" ht="15">
      <c r="A182" s="386">
        <v>1900</v>
      </c>
      <c r="B182" s="385">
        <v>40300008</v>
      </c>
      <c r="C182" s="107" t="s">
        <v>431</v>
      </c>
      <c r="D182" s="107" t="s">
        <v>454</v>
      </c>
      <c r="E182" s="381">
        <f>VLOOKUP(D182,'Raw TB_26.04.2026 (SAP Paste)'!$C:$J,4,0)</f>
        <v>0</v>
      </c>
      <c r="F182" s="381">
        <f>VLOOKUP(D182,'Raw TB_26.04.2026 (SAP Paste)'!$C:$J,6,0)</f>
        <v>801105.77</v>
      </c>
      <c r="G182" s="381">
        <f>VLOOKUP(D182,'Raw TB_26.04.2026 (SAP Paste)'!$C:$J,7,0)</f>
        <v>0</v>
      </c>
      <c r="H182" s="382">
        <f>+VLOOKUP(D182,'Raw TB_26.04.2026 (SAP Paste)'!C:J,8,0)</f>
        <v>801105.77</v>
      </c>
      <c r="I182" s="649">
        <f>VLOOKUP(B182,TB!$B$4:$H$202,7,)</f>
        <v>801105.77</v>
      </c>
      <c r="J182" s="649">
        <f t="shared" si="3"/>
        <v>0</v>
      </c>
    </row>
    <row r="183" spans="1:17" s="293" customFormat="1" ht="15">
      <c r="A183" s="386">
        <v>1900</v>
      </c>
      <c r="B183" s="385">
        <v>40300009</v>
      </c>
      <c r="C183" s="107" t="s">
        <v>431</v>
      </c>
      <c r="D183" s="107" t="s">
        <v>455</v>
      </c>
      <c r="E183" s="381">
        <f>VLOOKUP(D183,'Raw TB_26.04.2026 (SAP Paste)'!$C:$J,4,0)</f>
        <v>0</v>
      </c>
      <c r="F183" s="381">
        <f>VLOOKUP(D183,'Raw TB_26.04.2026 (SAP Paste)'!$C:$J,6,0)</f>
        <v>1809</v>
      </c>
      <c r="G183" s="381">
        <f>VLOOKUP(D183,'Raw TB_26.04.2026 (SAP Paste)'!$C:$J,7,0)</f>
        <v>1809</v>
      </c>
      <c r="H183" s="382">
        <f>+VLOOKUP(D183,'Raw TB_26.04.2026 (SAP Paste)'!C:J,8,0)</f>
        <v>0</v>
      </c>
      <c r="I183" s="649">
        <f>VLOOKUP(B183,TB!$B$4:$H$202,7,)</f>
        <v>0</v>
      </c>
      <c r="J183" s="649">
        <f t="shared" si="3"/>
        <v>0</v>
      </c>
    </row>
    <row r="184" spans="1:17" s="293" customFormat="1" ht="15">
      <c r="A184" s="386">
        <v>1900</v>
      </c>
      <c r="B184" s="385">
        <v>40400004</v>
      </c>
      <c r="C184" s="107" t="s">
        <v>431</v>
      </c>
      <c r="D184" s="107" t="s">
        <v>208</v>
      </c>
      <c r="E184" s="381">
        <f>VLOOKUP(D184,'Raw TB_26.04.2026 (SAP Paste)'!$C:$J,4,0)</f>
        <v>0</v>
      </c>
      <c r="F184" s="381">
        <f>VLOOKUP(D184,'Raw TB_26.04.2026 (SAP Paste)'!$C:$J,6,0)</f>
        <v>4261.12</v>
      </c>
      <c r="G184" s="381">
        <f>VLOOKUP(D184,'Raw TB_26.04.2026 (SAP Paste)'!$C:$J,7,0)</f>
        <v>0</v>
      </c>
      <c r="H184" s="382">
        <f>+VLOOKUP(D184,'Raw TB_26.04.2026 (SAP Paste)'!C:J,8,0)</f>
        <v>4261.12</v>
      </c>
      <c r="I184" s="649">
        <f>VLOOKUP(B184,TB!$B$4:$H$202,7,)</f>
        <v>4261.12</v>
      </c>
      <c r="J184" s="649">
        <f t="shared" si="3"/>
        <v>0</v>
      </c>
    </row>
    <row r="185" spans="1:17" s="293" customFormat="1" ht="15">
      <c r="A185" s="386">
        <v>1900</v>
      </c>
      <c r="B185" s="385">
        <v>40700001</v>
      </c>
      <c r="C185" s="107" t="s">
        <v>431</v>
      </c>
      <c r="D185" s="107" t="s">
        <v>219</v>
      </c>
      <c r="E185" s="381">
        <f>VLOOKUP(D185,'Raw TB_26.04.2026 (SAP Paste)'!$C:$J,4,0)</f>
        <v>0</v>
      </c>
      <c r="F185" s="381">
        <f>VLOOKUP(D185,'Raw TB_26.04.2026 (SAP Paste)'!$C:$J,6,0)</f>
        <v>14214357.970000001</v>
      </c>
      <c r="G185" s="381">
        <f>VLOOKUP(D185,'Raw TB_26.04.2026 (SAP Paste)'!$C:$J,7,0)</f>
        <v>0</v>
      </c>
      <c r="H185" s="382">
        <f>+VLOOKUP(D185,'Raw TB_26.04.2026 (SAP Paste)'!C:J,8,0)</f>
        <v>14214357.970000001</v>
      </c>
      <c r="I185" s="649">
        <f>VLOOKUP(B185,TB!$B$4:$H$202,7,)</f>
        <v>14214357.970000001</v>
      </c>
      <c r="J185" s="649">
        <f t="shared" si="3"/>
        <v>0</v>
      </c>
    </row>
    <row r="186" spans="1:17" s="293" customFormat="1" ht="15">
      <c r="A186" s="386">
        <v>1900</v>
      </c>
      <c r="B186" s="385">
        <v>40700002</v>
      </c>
      <c r="C186" s="107" t="s">
        <v>431</v>
      </c>
      <c r="D186" s="107" t="s">
        <v>220</v>
      </c>
      <c r="E186" s="381">
        <f>VLOOKUP(D186,'Raw TB_26.04.2026 (SAP Paste)'!$C:$J,4,0)</f>
        <v>0</v>
      </c>
      <c r="F186" s="381">
        <f>VLOOKUP(D186,'Raw TB_26.04.2026 (SAP Paste)'!$C:$J,6,0)</f>
        <v>14214357.970000001</v>
      </c>
      <c r="G186" s="381">
        <f>VLOOKUP(D186,'Raw TB_26.04.2026 (SAP Paste)'!$C:$J,7,0)</f>
        <v>0</v>
      </c>
      <c r="H186" s="382">
        <f>+VLOOKUP(D186,'Raw TB_26.04.2026 (SAP Paste)'!C:J,8,0)</f>
        <v>14214357.970000001</v>
      </c>
      <c r="I186" s="649">
        <f>VLOOKUP(B186,TB!$B$4:$H$202,7,)</f>
        <v>14214357.970000001</v>
      </c>
      <c r="J186" s="649">
        <f t="shared" si="3"/>
        <v>0</v>
      </c>
    </row>
    <row r="187" spans="1:17" s="293" customFormat="1" ht="15">
      <c r="A187" s="386">
        <v>1900</v>
      </c>
      <c r="B187" s="385">
        <v>45100057</v>
      </c>
      <c r="C187" s="107" t="s">
        <v>431</v>
      </c>
      <c r="D187" s="107" t="s">
        <v>239</v>
      </c>
      <c r="E187" s="381">
        <f>VLOOKUP(D187,'Raw TB_26.04.2026 (SAP Paste)'!$C:$J,4,0)</f>
        <v>0</v>
      </c>
      <c r="F187" s="381">
        <f>VLOOKUP(D187,'Raw TB_26.04.2026 (SAP Paste)'!$C:$J,6,0)</f>
        <v>5000</v>
      </c>
      <c r="G187" s="381">
        <f>VLOOKUP(D187,'Raw TB_26.04.2026 (SAP Paste)'!$C:$J,7,0)</f>
        <v>2500</v>
      </c>
      <c r="H187" s="382">
        <f>+VLOOKUP(D187,'Raw TB_26.04.2026 (SAP Paste)'!C:J,8,0)</f>
        <v>2500</v>
      </c>
      <c r="I187" s="649">
        <f>VLOOKUP(B187,TB!$B$4:$H$202,7,)</f>
        <v>2500</v>
      </c>
      <c r="J187" s="649">
        <f t="shared" si="3"/>
        <v>0</v>
      </c>
    </row>
    <row r="188" spans="1:17" s="293" customFormat="1" ht="15">
      <c r="A188" s="386">
        <v>1900</v>
      </c>
      <c r="B188" s="385">
        <v>45200001</v>
      </c>
      <c r="C188" s="107" t="s">
        <v>431</v>
      </c>
      <c r="D188" s="107" t="s">
        <v>456</v>
      </c>
      <c r="E188" s="381">
        <f>VLOOKUP(D188,'Raw TB_26.04.2026 (SAP Paste)'!$C:$J,4,0)</f>
        <v>0</v>
      </c>
      <c r="F188" s="381">
        <f>VLOOKUP(D188,'Raw TB_26.04.2026 (SAP Paste)'!$C:$J,6,0)</f>
        <v>816666.94</v>
      </c>
      <c r="G188" s="381">
        <f>VLOOKUP(D188,'Raw TB_26.04.2026 (SAP Paste)'!$C:$J,7,0)</f>
        <v>391553</v>
      </c>
      <c r="H188" s="382">
        <f>+VLOOKUP(D188,'Raw TB_26.04.2026 (SAP Paste)'!C:J,8,0)</f>
        <v>425113.94</v>
      </c>
      <c r="I188" s="649">
        <f>VLOOKUP(B188,TB!$B$4:$H$202,7,)</f>
        <v>425113.94</v>
      </c>
      <c r="J188" s="649">
        <f t="shared" si="3"/>
        <v>0</v>
      </c>
    </row>
    <row r="189" spans="1:17" s="293" customFormat="1" ht="15">
      <c r="A189" s="386">
        <v>1900</v>
      </c>
      <c r="B189" s="385">
        <v>45200029</v>
      </c>
      <c r="C189" s="107" t="s">
        <v>431</v>
      </c>
      <c r="D189" s="107" t="s">
        <v>236</v>
      </c>
      <c r="E189" s="381">
        <f>VLOOKUP(D189,'Raw TB_26.04.2026 (SAP Paste)'!$C:$J,4,0)</f>
        <v>0</v>
      </c>
      <c r="F189" s="381">
        <f>VLOOKUP(D189,'Raw TB_26.04.2026 (SAP Paste)'!$C:$J,6,0)</f>
        <v>580000</v>
      </c>
      <c r="G189" s="381">
        <f>VLOOKUP(D189,'Raw TB_26.04.2026 (SAP Paste)'!$C:$J,7,0)</f>
        <v>380000</v>
      </c>
      <c r="H189" s="382">
        <f>+VLOOKUP(D189,'Raw TB_26.04.2026 (SAP Paste)'!C:J,8,0)</f>
        <v>200000</v>
      </c>
      <c r="I189" s="649">
        <f>VLOOKUP(B189,TB!$B$4:$H$202,7,)</f>
        <v>200000</v>
      </c>
      <c r="J189" s="649">
        <f t="shared" si="3"/>
        <v>0</v>
      </c>
    </row>
    <row r="190" spans="1:17" s="293" customFormat="1" ht="15">
      <c r="A190" s="386">
        <v>1900</v>
      </c>
      <c r="B190" s="385">
        <v>45300001</v>
      </c>
      <c r="C190" s="107" t="s">
        <v>431</v>
      </c>
      <c r="D190" s="107" t="s">
        <v>243</v>
      </c>
      <c r="E190" s="381">
        <f>VLOOKUP(D190,'Raw TB_26.04.2026 (SAP Paste)'!$C:$J,4,0)</f>
        <v>0</v>
      </c>
      <c r="F190" s="381">
        <f>VLOOKUP(D190,'Raw TB_26.04.2026 (SAP Paste)'!$C:$J,6,0)</f>
        <v>2134989.0299999998</v>
      </c>
      <c r="G190" s="381">
        <f>VLOOKUP(D190,'Raw TB_26.04.2026 (SAP Paste)'!$C:$J,7,0)</f>
        <v>239957.07</v>
      </c>
      <c r="H190" s="382">
        <f>+VLOOKUP(D190,'Raw TB_26.04.2026 (SAP Paste)'!C:J,8,0)</f>
        <v>1895031.9599999997</v>
      </c>
      <c r="I190" s="649">
        <f>VLOOKUP(B190,TB!$B$4:$H$202,7,)</f>
        <v>1894671.96</v>
      </c>
      <c r="J190" s="649">
        <f t="shared" si="3"/>
        <v>-359.99999999976717</v>
      </c>
    </row>
    <row r="191" spans="1:17" s="293" customFormat="1" ht="15">
      <c r="A191" s="386">
        <v>1900</v>
      </c>
      <c r="B191" s="385">
        <v>45300002</v>
      </c>
      <c r="C191" s="107" t="s">
        <v>431</v>
      </c>
      <c r="D191" s="107" t="s">
        <v>244</v>
      </c>
      <c r="E191" s="381">
        <f>VLOOKUP(D191,'Raw TB_26.04.2026 (SAP Paste)'!$C:$J,4,0)</f>
        <v>0</v>
      </c>
      <c r="F191" s="381">
        <f>VLOOKUP(D191,'Raw TB_26.04.2026 (SAP Paste)'!$C:$J,6,0)</f>
        <v>2134989.0299999998</v>
      </c>
      <c r="G191" s="381">
        <f>VLOOKUP(D191,'Raw TB_26.04.2026 (SAP Paste)'!$C:$J,7,0)</f>
        <v>239957.07</v>
      </c>
      <c r="H191" s="382">
        <f>+VLOOKUP(D191,'Raw TB_26.04.2026 (SAP Paste)'!C:J,8,0)</f>
        <v>1895031.9599999997</v>
      </c>
      <c r="I191" s="649">
        <f>VLOOKUP(B191,TB!$B$4:$H$202,7,)</f>
        <v>1894671.96</v>
      </c>
      <c r="J191" s="649">
        <f t="shared" si="3"/>
        <v>-359.99999999976717</v>
      </c>
    </row>
    <row r="192" spans="1:17" s="293" customFormat="1" ht="15">
      <c r="A192" s="386">
        <v>1900</v>
      </c>
      <c r="B192" s="385">
        <v>45300003</v>
      </c>
      <c r="C192" s="107" t="s">
        <v>431</v>
      </c>
      <c r="D192" s="107" t="s">
        <v>245</v>
      </c>
      <c r="E192" s="381">
        <f>VLOOKUP(D192,'Raw TB_26.04.2026 (SAP Paste)'!$C:$J,4,0)</f>
        <v>0</v>
      </c>
      <c r="F192" s="381">
        <f>VLOOKUP(D192,'Raw TB_26.04.2026 (SAP Paste)'!$C:$J,6,0)</f>
        <v>64028.52</v>
      </c>
      <c r="G192" s="381">
        <f>VLOOKUP(D192,'Raw TB_26.04.2026 (SAP Paste)'!$C:$J,7,0)</f>
        <v>64028.52</v>
      </c>
      <c r="H192" s="382">
        <f>+VLOOKUP(D192,'Raw TB_26.04.2026 (SAP Paste)'!C:J,8,0)</f>
        <v>0</v>
      </c>
      <c r="I192" s="649">
        <f>VLOOKUP(B192,TB!$B$4:$H$202,7,)</f>
        <v>0</v>
      </c>
      <c r="J192" s="649">
        <f t="shared" si="3"/>
        <v>0</v>
      </c>
      <c r="M192" t="s">
        <v>678</v>
      </c>
      <c r="N192" t="s">
        <v>679</v>
      </c>
      <c r="O192"/>
      <c r="P192" t="s">
        <v>682</v>
      </c>
      <c r="Q192" t="s">
        <v>681</v>
      </c>
    </row>
    <row r="193" spans="1:17" s="293" customFormat="1" ht="17.25">
      <c r="A193" s="386">
        <v>1900</v>
      </c>
      <c r="B193" s="385">
        <v>45520001</v>
      </c>
      <c r="C193" s="107" t="s">
        <v>431</v>
      </c>
      <c r="D193" s="107" t="s">
        <v>226</v>
      </c>
      <c r="E193" s="381">
        <f>VLOOKUP(D193,'Raw TB_26.04.2026 (SAP Paste)'!$C:$J,4,0)</f>
        <v>0</v>
      </c>
      <c r="F193" s="381">
        <f>VLOOKUP(D193,'Raw TB_26.04.2026 (SAP Paste)'!$C:$J,6,0)</f>
        <v>67296060.400000006</v>
      </c>
      <c r="G193" s="381">
        <f>VLOOKUP(D193,'Raw TB_26.04.2026 (SAP Paste)'!$C:$J,7,0)</f>
        <v>6415229</v>
      </c>
      <c r="H193" s="382">
        <f>+VLOOKUP(D193,'Raw TB_26.04.2026 (SAP Paste)'!C:J,8,0)</f>
        <v>60880831.399999999</v>
      </c>
      <c r="I193" s="649">
        <f>VLOOKUP(B193,TB!$B$4:$H$202,7,)</f>
        <v>60880831.399999999</v>
      </c>
      <c r="J193" s="649">
        <f t="shared" si="3"/>
        <v>0</v>
      </c>
      <c r="M193" s="460">
        <v>1551002</v>
      </c>
      <c r="N193" s="460">
        <f>'Raw TB_26.04.2026 (SAP Paste)'!J202-M193</f>
        <v>59329829.399999999</v>
      </c>
      <c r="O193"/>
      <c r="P193" s="460">
        <v>12382060</v>
      </c>
      <c r="Q193" s="460">
        <f>'Raw TB_26.04.2026 (SAP Paste)'!J202-P193</f>
        <v>48498771.399999999</v>
      </c>
    </row>
    <row r="194" spans="1:17">
      <c r="A194" s="385">
        <v>1900</v>
      </c>
      <c r="B194" s="385">
        <v>90000001</v>
      </c>
      <c r="C194" s="380"/>
      <c r="D194" s="380" t="s">
        <v>378</v>
      </c>
      <c r="E194" s="381">
        <f>VLOOKUP(D194,'Raw TB_26.04.2026 (SAP Paste)'!$C:$J,4,0)</f>
        <v>-8605</v>
      </c>
      <c r="F194" s="381">
        <f>VLOOKUP(D194,'Raw TB_26.04.2026 (SAP Paste)'!$C:$J,6,0)</f>
        <v>0</v>
      </c>
      <c r="G194" s="381">
        <f>VLOOKUP(D194,'Raw TB_26.04.2026 (SAP Paste)'!$C:$J,7,0)</f>
        <v>0</v>
      </c>
      <c r="H194" s="382">
        <f>+VLOOKUP(D194,'Raw TB_26.04.2026 (SAP Paste)'!C:J,8,0)</f>
        <v>-8605</v>
      </c>
      <c r="I194" s="649">
        <v>0</v>
      </c>
      <c r="J194" s="649">
        <v>0</v>
      </c>
    </row>
    <row r="195" spans="1:17">
      <c r="A195" s="385">
        <v>1900</v>
      </c>
      <c r="B195" s="385">
        <v>90000002</v>
      </c>
      <c r="C195" s="380"/>
      <c r="D195" s="380" t="s">
        <v>379</v>
      </c>
      <c r="E195" s="381">
        <f>VLOOKUP(D195,'Raw TB_26.04.2026 (SAP Paste)'!$C:$J,4,0)</f>
        <v>-1888422011.98</v>
      </c>
      <c r="F195" s="381">
        <f>VLOOKUP(D195,'Raw TB_26.04.2026 (SAP Paste)'!$C:$J,6,0)</f>
        <v>0</v>
      </c>
      <c r="G195" s="381">
        <f>VLOOKUP(D195,'Raw TB_26.04.2026 (SAP Paste)'!$C:$J,7,0)</f>
        <v>0</v>
      </c>
      <c r="H195" s="382">
        <f>+VLOOKUP(D195,'Raw TB_26.04.2026 (SAP Paste)'!C:J,8,0)</f>
        <v>-1888422011.98</v>
      </c>
      <c r="I195" s="649">
        <v>0</v>
      </c>
      <c r="J195" s="649">
        <v>0</v>
      </c>
    </row>
    <row r="196" spans="1:17">
      <c r="A196" s="385">
        <v>1900</v>
      </c>
      <c r="B196" s="385">
        <v>90000003</v>
      </c>
      <c r="C196" s="380"/>
      <c r="D196" s="380" t="s">
        <v>380</v>
      </c>
      <c r="E196" s="381">
        <f>VLOOKUP(D196,'Raw TB_26.04.2026 (SAP Paste)'!$C:$J,4,0)</f>
        <v>132954844.3</v>
      </c>
      <c r="F196" s="381">
        <f>VLOOKUP(D196,'Raw TB_26.04.2026 (SAP Paste)'!$C:$J,6,0)</f>
        <v>21662823.300000001</v>
      </c>
      <c r="G196" s="381">
        <f>VLOOKUP(D196,'Raw TB_26.04.2026 (SAP Paste)'!$C:$J,7,0)</f>
        <v>21662823.300000001</v>
      </c>
      <c r="H196" s="382">
        <f>+VLOOKUP(D196,'Raw TB_26.04.2026 (SAP Paste)'!C:J,8,0)</f>
        <v>132954844.3</v>
      </c>
      <c r="I196" s="649">
        <v>0</v>
      </c>
      <c r="J196" s="649">
        <v>0</v>
      </c>
    </row>
    <row r="197" spans="1:17">
      <c r="A197" s="385">
        <v>1900</v>
      </c>
      <c r="B197" s="385">
        <v>90000004</v>
      </c>
      <c r="C197" s="380"/>
      <c r="D197" s="380" t="s">
        <v>381</v>
      </c>
      <c r="E197" s="381">
        <f>VLOOKUP(D197,'Raw TB_26.04.2026 (SAP Paste)'!$C:$J,4,0)</f>
        <v>538919625</v>
      </c>
      <c r="F197" s="381">
        <f>VLOOKUP(D197,'Raw TB_26.04.2026 (SAP Paste)'!$C:$J,6,0)</f>
        <v>0</v>
      </c>
      <c r="G197" s="381">
        <f>VLOOKUP(D197,'Raw TB_26.04.2026 (SAP Paste)'!$C:$J,7,0)</f>
        <v>0</v>
      </c>
      <c r="H197" s="382">
        <f>+VLOOKUP(D197,'Raw TB_26.04.2026 (SAP Paste)'!C:J,8,0)</f>
        <v>538919625</v>
      </c>
      <c r="I197" s="649">
        <v>0</v>
      </c>
      <c r="J197" s="649">
        <v>0</v>
      </c>
    </row>
    <row r="198" spans="1:17">
      <c r="A198" s="385">
        <v>1900</v>
      </c>
      <c r="B198" s="385">
        <v>90000005</v>
      </c>
      <c r="C198" s="380"/>
      <c r="D198" s="380" t="s">
        <v>382</v>
      </c>
      <c r="E198" s="381">
        <f>VLOOKUP(D198,'Raw TB_26.04.2026 (SAP Paste)'!$C:$J,4,0)</f>
        <v>1216556147.6800001</v>
      </c>
      <c r="F198" s="381">
        <f>VLOOKUP(D198,'Raw TB_26.04.2026 (SAP Paste)'!$C:$J,6,0)</f>
        <v>0</v>
      </c>
      <c r="G198" s="381">
        <f>VLOOKUP(D198,'Raw TB_26.04.2026 (SAP Paste)'!$C:$J,7,0)</f>
        <v>0</v>
      </c>
      <c r="H198" s="382">
        <f>+VLOOKUP(D198,'Raw TB_26.04.2026 (SAP Paste)'!C:J,8,0)</f>
        <v>1216556147.6800001</v>
      </c>
      <c r="I198" s="649">
        <v>0</v>
      </c>
      <c r="J198" s="649">
        <v>0</v>
      </c>
    </row>
    <row r="199" spans="1:17">
      <c r="A199" s="385">
        <v>1900</v>
      </c>
      <c r="B199" s="385">
        <v>11110011</v>
      </c>
      <c r="C199" s="383" t="s">
        <v>438</v>
      </c>
      <c r="D199" s="380" t="s">
        <v>483</v>
      </c>
      <c r="E199" s="381">
        <f>VLOOKUP(D199,'Raw TB_26.04.2026 (SAP Paste)'!$C:$J,4,0)</f>
        <v>0</v>
      </c>
      <c r="F199" s="381">
        <f>VLOOKUP(D199,'Raw TB_26.04.2026 (SAP Paste)'!$C:$J,6,0)</f>
        <v>147</v>
      </c>
      <c r="G199" s="381">
        <f>VLOOKUP(D199,'Raw TB_26.04.2026 (SAP Paste)'!$C:$J,7,0)</f>
        <v>0</v>
      </c>
      <c r="H199" s="382">
        <f>+VLOOKUP(D199,'Raw TB_26.04.2026 (SAP Paste)'!C:J,8,0)</f>
        <v>147</v>
      </c>
      <c r="I199" s="649">
        <f>VLOOKUP(B199,TB!$B$4:$H$202,7,)</f>
        <v>147</v>
      </c>
      <c r="J199" s="649">
        <f t="shared" ref="J199:J206" si="4">I199-H199</f>
        <v>0</v>
      </c>
    </row>
    <row r="200" spans="1:17">
      <c r="A200" s="385">
        <v>1900</v>
      </c>
      <c r="B200" s="385">
        <v>45400018</v>
      </c>
      <c r="C200" s="383" t="s">
        <v>431</v>
      </c>
      <c r="D200" s="380" t="s">
        <v>484</v>
      </c>
      <c r="E200" s="381">
        <f>VLOOKUP(D200,'Raw TB_26.04.2026 (SAP Paste)'!$C:$J,4,0)</f>
        <v>0</v>
      </c>
      <c r="F200" s="381">
        <f>VLOOKUP(D200,'Raw TB_26.04.2026 (SAP Paste)'!$C:$J,6,0)</f>
        <v>29760</v>
      </c>
      <c r="G200" s="381">
        <f>VLOOKUP(D200,'Raw TB_26.04.2026 (SAP Paste)'!$C:$J,7,0)</f>
        <v>0</v>
      </c>
      <c r="H200" s="382">
        <f>+VLOOKUP(D200,'Raw TB_26.04.2026 (SAP Paste)'!C:J,8,0)</f>
        <v>29760</v>
      </c>
      <c r="I200" s="649">
        <f>VLOOKUP(B200,TB!$B$4:$H$202,7,)</f>
        <v>15360</v>
      </c>
      <c r="J200" s="649">
        <f t="shared" si="4"/>
        <v>-14400</v>
      </c>
    </row>
    <row r="201" spans="1:17">
      <c r="A201" s="385">
        <v>1900</v>
      </c>
      <c r="B201" s="385">
        <v>45510053</v>
      </c>
      <c r="C201" s="383" t="s">
        <v>431</v>
      </c>
      <c r="D201" s="380" t="s">
        <v>485</v>
      </c>
      <c r="E201" s="381">
        <f>VLOOKUP(D201,'Raw TB_26.04.2026 (SAP Paste)'!$C:$J,4,0)</f>
        <v>0</v>
      </c>
      <c r="F201" s="381">
        <f>VLOOKUP(D201,'Raw TB_26.04.2026 (SAP Paste)'!$C:$J,6,0)</f>
        <v>1000000</v>
      </c>
      <c r="G201" s="381">
        <f>VLOOKUP(D201,'Raw TB_26.04.2026 (SAP Paste)'!$C:$J,7,0)</f>
        <v>0</v>
      </c>
      <c r="H201" s="382">
        <f>+VLOOKUP(D201,'Raw TB_26.04.2026 (SAP Paste)'!C:J,8,0)</f>
        <v>1000000</v>
      </c>
      <c r="I201" s="649">
        <f>VLOOKUP(B201,TB!$B$4:$H$202,7,)</f>
        <v>1000000</v>
      </c>
      <c r="J201" s="649">
        <f t="shared" si="4"/>
        <v>0</v>
      </c>
    </row>
    <row r="202" spans="1:17">
      <c r="A202" s="385">
        <v>1900</v>
      </c>
      <c r="B202" s="385">
        <v>45520026</v>
      </c>
      <c r="C202" s="383" t="s">
        <v>431</v>
      </c>
      <c r="D202" s="380" t="s">
        <v>486</v>
      </c>
      <c r="E202" s="381">
        <f>VLOOKUP(D202,'Raw TB_26.04.2026 (SAP Paste)'!$C:$J,4,0)</f>
        <v>0</v>
      </c>
      <c r="F202" s="381">
        <f>VLOOKUP(D202,'Raw TB_26.04.2026 (SAP Paste)'!$C:$J,6,0)</f>
        <v>0</v>
      </c>
      <c r="G202" s="381">
        <f>VLOOKUP(D202,'Raw TB_26.04.2026 (SAP Paste)'!$C:$J,7,0)</f>
        <v>1910</v>
      </c>
      <c r="H202" s="382">
        <f>+VLOOKUP(D202,'Raw TB_26.04.2026 (SAP Paste)'!C:J,8,0)</f>
        <v>-1910</v>
      </c>
      <c r="I202" s="649">
        <f>VLOOKUP(B202,TB!$B$4:$H$202,7,)</f>
        <v>-1910</v>
      </c>
      <c r="J202" s="649">
        <f t="shared" si="4"/>
        <v>0</v>
      </c>
    </row>
    <row r="203" spans="1:17" ht="15">
      <c r="A203" s="386">
        <v>1900</v>
      </c>
      <c r="B203" s="385">
        <v>11150001</v>
      </c>
      <c r="C203" s="383" t="s">
        <v>438</v>
      </c>
      <c r="D203" s="330" t="s">
        <v>542</v>
      </c>
      <c r="E203" s="381">
        <f>VLOOKUP(D203,'Raw TB_26.04.2026 (SAP Paste)'!$C:$J,4,0)</f>
        <v>0</v>
      </c>
      <c r="F203" s="381">
        <f>VLOOKUP(D203,'Raw TB_26.04.2026 (SAP Paste)'!$C:$J,6,0)</f>
        <v>0</v>
      </c>
      <c r="G203" s="384">
        <v>6530</v>
      </c>
      <c r="H203" s="384">
        <v>-6530</v>
      </c>
      <c r="I203" s="649">
        <f>VLOOKUP(B203,TB!$B$4:$H$202,7,)</f>
        <v>-6530</v>
      </c>
      <c r="J203" s="649">
        <f t="shared" si="4"/>
        <v>0</v>
      </c>
    </row>
    <row r="204" spans="1:17" ht="15">
      <c r="A204" s="386">
        <v>1900</v>
      </c>
      <c r="B204" s="385">
        <v>30000072</v>
      </c>
      <c r="C204" s="380" t="s">
        <v>430</v>
      </c>
      <c r="D204" s="330" t="s">
        <v>543</v>
      </c>
      <c r="E204" s="381">
        <f>VLOOKUP(D204,'Raw TB_26.04.2026 (SAP Paste)'!$C:$J,4,0)</f>
        <v>0</v>
      </c>
      <c r="F204" s="381">
        <f>VLOOKUP(D204,'Raw TB_26.04.2026 (SAP Paste)'!$C:$J,6,0)</f>
        <v>0</v>
      </c>
      <c r="G204" s="384">
        <v>362900000</v>
      </c>
      <c r="H204" s="384">
        <v>-362900000</v>
      </c>
      <c r="I204" s="649">
        <f>VLOOKUP(B204,TB!$B$4:$H$202,7,)</f>
        <v>-362900000</v>
      </c>
      <c r="J204" s="649">
        <f t="shared" si="4"/>
        <v>0</v>
      </c>
    </row>
    <row r="205" spans="1:17" ht="15">
      <c r="A205" s="386">
        <v>1900</v>
      </c>
      <c r="B205" s="385">
        <v>40900201</v>
      </c>
      <c r="C205" s="383" t="s">
        <v>431</v>
      </c>
      <c r="D205" s="330" t="s">
        <v>544</v>
      </c>
      <c r="E205" s="381">
        <f>VLOOKUP(D205,'Raw TB_26.04.2026 (SAP Paste)'!$C:$J,4,0)</f>
        <v>0</v>
      </c>
      <c r="F205" s="384">
        <v>300000</v>
      </c>
      <c r="G205" s="384">
        <v>0</v>
      </c>
      <c r="H205" s="384">
        <v>300000</v>
      </c>
      <c r="I205" s="649">
        <f>VLOOKUP(B205,TB!$B$4:$H$202,7,)</f>
        <v>300000</v>
      </c>
      <c r="J205" s="649">
        <f t="shared" si="4"/>
        <v>0</v>
      </c>
    </row>
    <row r="206" spans="1:17" ht="15">
      <c r="A206" s="386">
        <v>1900</v>
      </c>
      <c r="B206" s="385">
        <v>45520021</v>
      </c>
      <c r="C206" s="383" t="s">
        <v>431</v>
      </c>
      <c r="D206" s="330" t="s">
        <v>545</v>
      </c>
      <c r="E206" s="381">
        <f>VLOOKUP(D206,'Raw TB_26.04.2026 (SAP Paste)'!$C:$J,4,0)</f>
        <v>0</v>
      </c>
      <c r="F206" s="384">
        <v>88645</v>
      </c>
      <c r="G206" s="384">
        <v>0</v>
      </c>
      <c r="H206" s="384">
        <v>88645</v>
      </c>
      <c r="I206" s="649">
        <f>VLOOKUP(B206,TB!$B$4:$H$202,7,)</f>
        <v>86645</v>
      </c>
      <c r="J206" s="649">
        <f t="shared" si="4"/>
        <v>-2000</v>
      </c>
    </row>
    <row r="207" spans="1:17" ht="15">
      <c r="A207" s="653">
        <v>1900</v>
      </c>
      <c r="B207" s="654">
        <v>10910012</v>
      </c>
      <c r="C207" s="655" t="s">
        <v>438</v>
      </c>
      <c r="D207" s="650" t="s">
        <v>5964</v>
      </c>
      <c r="E207" s="656">
        <f>VLOOKUP(D207,'Raw TB_26.04.2026 (SAP Paste)'!$C:$J,4,0)</f>
        <v>0</v>
      </c>
      <c r="F207" s="657">
        <v>465249.11</v>
      </c>
      <c r="G207" s="657">
        <v>442019.11</v>
      </c>
      <c r="H207" s="657">
        <v>23230</v>
      </c>
      <c r="I207" s="652">
        <f>VLOOKUP(B207,TB!$B$4:$H$202,7,)</f>
        <v>23230</v>
      </c>
      <c r="J207" s="652">
        <f t="shared" ref="J207" si="5">I207-H207</f>
        <v>0</v>
      </c>
    </row>
  </sheetData>
  <autoFilter ref="A4:J207"/>
  <customSheetViews>
    <customSheetView guid="{B8A679C5-B961-4392-BACF-6DDFA7297AAE}" scale="70" showGridLines="0" showAutoFilter="1">
      <selection activeCell="G3" sqref="G3"/>
      <pageMargins left="0.75" right="0.75" top="1" bottom="1" header="0.5" footer="0.5"/>
      <pageSetup orientation="portrait" r:id="rId1"/>
      <headerFooter alignWithMargins="0"/>
      <autoFilter ref="A4:H206"/>
    </customSheetView>
    <customSheetView guid="{DEA14913-9729-4C6C-B479-A92A59FB4580}" scale="70" showGridLines="0" showAutoFilter="1" topLeftCell="E170">
      <selection activeCell="P192" sqref="P192"/>
      <pageMargins left="0.75" right="0.75" top="1" bottom="1" header="0.5" footer="0.5"/>
      <pageSetup orientation="portrait" r:id="rId2"/>
      <headerFooter alignWithMargins="0"/>
      <autoFilter ref="A4:H206"/>
    </customSheetView>
    <customSheetView guid="{8C4DF1F4-EAB1-489E-8362-1E2D3E732D13}" scale="70" showGridLines="0" showAutoFilter="1">
      <selection activeCell="G3" sqref="G3"/>
      <pageMargins left="0.75" right="0.75" top="1" bottom="1" header="0.5" footer="0.5"/>
      <pageSetup orientation="portrait" r:id="rId3"/>
      <headerFooter alignWithMargins="0"/>
      <autoFilter ref="A4:H206"/>
    </customSheetView>
  </customSheetViews>
  <pageMargins left="0.75" right="0.75" top="1" bottom="1" header="0.5" footer="0.5"/>
  <pageSetup orientation="portrait" r:id="rId4"/>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202"/>
  <sheetViews>
    <sheetView showGridLines="0" topLeftCell="C1" workbookViewId="0">
      <selection activeCell="H1" sqref="H1"/>
    </sheetView>
  </sheetViews>
  <sheetFormatPr defaultRowHeight="15"/>
  <cols>
    <col min="1" max="1" width="14.42578125" bestFit="1" customWidth="1"/>
    <col min="2" max="2" width="13.42578125" bestFit="1" customWidth="1"/>
    <col min="3" max="3" width="48.42578125" bestFit="1" customWidth="1"/>
    <col min="4" max="4" width="20.140625" bestFit="1" customWidth="1"/>
    <col min="5" max="5" width="22.42578125" bestFit="1" customWidth="1"/>
    <col min="6" max="6" width="28.85546875" bestFit="1" customWidth="1"/>
    <col min="7" max="7" width="27.42578125" bestFit="1" customWidth="1"/>
    <col min="8" max="8" width="20.140625" bestFit="1" customWidth="1"/>
  </cols>
  <sheetData>
    <row r="2" spans="1:8">
      <c r="D2">
        <v>0</v>
      </c>
      <c r="E2" t="s">
        <v>5963</v>
      </c>
      <c r="F2">
        <v>15921197678</v>
      </c>
      <c r="G2">
        <v>15921197678</v>
      </c>
      <c r="H2">
        <v>0</v>
      </c>
    </row>
    <row r="3" spans="1:8">
      <c r="A3" s="650" t="s">
        <v>318</v>
      </c>
      <c r="B3" s="650" t="s">
        <v>319</v>
      </c>
      <c r="C3" s="650" t="s">
        <v>320</v>
      </c>
      <c r="D3" s="650" t="s">
        <v>321</v>
      </c>
      <c r="E3" s="650" t="s">
        <v>463</v>
      </c>
      <c r="F3" s="650" t="s">
        <v>322</v>
      </c>
      <c r="G3" s="650" t="s">
        <v>323</v>
      </c>
      <c r="H3" s="650" t="s">
        <v>324</v>
      </c>
    </row>
    <row r="4" spans="1:8">
      <c r="A4" s="330">
        <v>1900</v>
      </c>
      <c r="B4" s="651">
        <v>10000070</v>
      </c>
      <c r="C4" s="330" t="s">
        <v>325</v>
      </c>
      <c r="D4" s="330">
        <v>54811</v>
      </c>
      <c r="E4" s="330">
        <v>0</v>
      </c>
      <c r="F4" s="330">
        <v>0</v>
      </c>
      <c r="G4" s="330">
        <v>0</v>
      </c>
      <c r="H4" s="330">
        <v>54811</v>
      </c>
    </row>
    <row r="5" spans="1:8">
      <c r="A5" s="330">
        <v>1900</v>
      </c>
      <c r="B5" s="651">
        <v>10001070</v>
      </c>
      <c r="C5" s="330" t="s">
        <v>326</v>
      </c>
      <c r="D5" s="330">
        <v>-22469.87</v>
      </c>
      <c r="E5" s="330">
        <v>0</v>
      </c>
      <c r="F5" s="330">
        <v>0</v>
      </c>
      <c r="G5" s="330">
        <v>14576.15</v>
      </c>
      <c r="H5" s="330">
        <v>-37046.019999999997</v>
      </c>
    </row>
    <row r="6" spans="1:8">
      <c r="A6" s="330">
        <v>1900</v>
      </c>
      <c r="B6" s="651">
        <v>10320101</v>
      </c>
      <c r="C6" s="330" t="s">
        <v>327</v>
      </c>
      <c r="D6" s="330">
        <v>1000000</v>
      </c>
      <c r="E6" s="330">
        <v>0</v>
      </c>
      <c r="F6" s="330">
        <v>200403478.87</v>
      </c>
      <c r="G6" s="330">
        <v>166403478.87</v>
      </c>
      <c r="H6" s="330">
        <v>35000000</v>
      </c>
    </row>
    <row r="7" spans="1:8">
      <c r="A7" s="330">
        <v>1900</v>
      </c>
      <c r="B7" s="651">
        <v>10320102</v>
      </c>
      <c r="C7" s="330" t="s">
        <v>428</v>
      </c>
      <c r="D7" s="330">
        <v>0</v>
      </c>
      <c r="E7" s="330">
        <v>0</v>
      </c>
      <c r="F7" s="330">
        <v>166227835.63999999</v>
      </c>
      <c r="G7" s="330">
        <v>166227835.63999999</v>
      </c>
      <c r="H7" s="330">
        <v>0</v>
      </c>
    </row>
    <row r="8" spans="1:8">
      <c r="A8" s="330">
        <v>1900</v>
      </c>
      <c r="B8" s="651">
        <v>10400101</v>
      </c>
      <c r="C8" s="330" t="s">
        <v>328</v>
      </c>
      <c r="D8" s="330">
        <v>2812765648.8299999</v>
      </c>
      <c r="E8" s="330">
        <v>0</v>
      </c>
      <c r="F8" s="330">
        <v>0</v>
      </c>
      <c r="G8" s="330">
        <v>0</v>
      </c>
      <c r="H8" s="330">
        <v>2812765648.8299999</v>
      </c>
    </row>
    <row r="9" spans="1:8">
      <c r="A9" s="330">
        <v>1900</v>
      </c>
      <c r="B9" s="651">
        <v>10500001</v>
      </c>
      <c r="C9" s="330" t="s">
        <v>99</v>
      </c>
      <c r="D9" s="330">
        <v>835132253.33000004</v>
      </c>
      <c r="E9" s="330">
        <v>0</v>
      </c>
      <c r="F9" s="330">
        <v>86220252.280000001</v>
      </c>
      <c r="G9" s="330">
        <v>57585970.899999999</v>
      </c>
      <c r="H9" s="330">
        <v>863766534.71000004</v>
      </c>
    </row>
    <row r="10" spans="1:8">
      <c r="A10" s="330">
        <v>1900</v>
      </c>
      <c r="B10" s="651">
        <v>10500002</v>
      </c>
      <c r="C10" s="330" t="s">
        <v>100</v>
      </c>
      <c r="D10" s="330">
        <v>45177026.520000003</v>
      </c>
      <c r="E10" s="330">
        <v>0</v>
      </c>
      <c r="F10" s="330">
        <v>3779093.66</v>
      </c>
      <c r="G10" s="330">
        <v>2037822.51</v>
      </c>
      <c r="H10" s="330">
        <v>46918297.670000002</v>
      </c>
    </row>
    <row r="11" spans="1:8">
      <c r="A11" s="330">
        <v>1900</v>
      </c>
      <c r="B11" s="651">
        <v>10500003</v>
      </c>
      <c r="C11" s="330" t="s">
        <v>101</v>
      </c>
      <c r="D11" s="330">
        <v>-22777476</v>
      </c>
      <c r="E11" s="330">
        <v>0</v>
      </c>
      <c r="F11" s="330">
        <v>22831301</v>
      </c>
      <c r="G11" s="330">
        <v>24576201</v>
      </c>
      <c r="H11" s="330">
        <v>-24522376</v>
      </c>
    </row>
    <row r="12" spans="1:8">
      <c r="A12" s="330">
        <v>1900</v>
      </c>
      <c r="B12" s="651">
        <v>10500009</v>
      </c>
      <c r="C12" s="330" t="s">
        <v>103</v>
      </c>
      <c r="D12" s="330">
        <v>261151400.69999999</v>
      </c>
      <c r="E12" s="330">
        <v>0</v>
      </c>
      <c r="F12" s="330">
        <v>240500368.86000001</v>
      </c>
      <c r="G12" s="330">
        <v>330888724.76999998</v>
      </c>
      <c r="H12" s="330">
        <v>170763044.78999999</v>
      </c>
    </row>
    <row r="13" spans="1:8">
      <c r="A13" s="330">
        <v>1900</v>
      </c>
      <c r="B13" s="651">
        <v>10500100</v>
      </c>
      <c r="C13" s="330" t="s">
        <v>427</v>
      </c>
      <c r="D13" s="330">
        <v>0</v>
      </c>
      <c r="E13" s="330">
        <v>0</v>
      </c>
      <c r="F13" s="330">
        <v>2319592.64</v>
      </c>
      <c r="G13" s="330">
        <v>2319592.64</v>
      </c>
      <c r="H13" s="330">
        <v>0</v>
      </c>
    </row>
    <row r="14" spans="1:8">
      <c r="A14" s="330">
        <v>1900</v>
      </c>
      <c r="B14" s="651">
        <v>10900002</v>
      </c>
      <c r="C14" s="330" t="s">
        <v>191</v>
      </c>
      <c r="D14" s="330">
        <v>29382876.859999999</v>
      </c>
      <c r="E14" s="330">
        <v>0</v>
      </c>
      <c r="F14" s="330">
        <v>5080952.8600000003</v>
      </c>
      <c r="G14" s="330">
        <v>171474.45</v>
      </c>
      <c r="H14" s="330">
        <v>34292355.270000003</v>
      </c>
    </row>
    <row r="15" spans="1:8">
      <c r="A15" s="330">
        <v>1900</v>
      </c>
      <c r="B15" s="651">
        <v>10900102</v>
      </c>
      <c r="C15" s="330" t="s">
        <v>439</v>
      </c>
      <c r="D15" s="330">
        <v>0</v>
      </c>
      <c r="E15" s="330">
        <v>0</v>
      </c>
      <c r="F15" s="330">
        <v>87116.7</v>
      </c>
      <c r="G15" s="330">
        <v>87116.7</v>
      </c>
      <c r="H15" s="330">
        <v>0</v>
      </c>
    </row>
    <row r="16" spans="1:8">
      <c r="A16" s="330">
        <v>1900</v>
      </c>
      <c r="B16" s="651">
        <v>10910011</v>
      </c>
      <c r="C16" s="330" t="s">
        <v>440</v>
      </c>
      <c r="D16" s="330">
        <v>0</v>
      </c>
      <c r="E16" s="330">
        <v>0</v>
      </c>
      <c r="F16" s="330">
        <v>5563060.9000000004</v>
      </c>
      <c r="G16" s="330">
        <v>713183.9</v>
      </c>
      <c r="H16" s="330">
        <v>4849877</v>
      </c>
    </row>
    <row r="17" spans="1:8">
      <c r="A17" s="330">
        <v>1900</v>
      </c>
      <c r="B17" s="651">
        <v>10910012</v>
      </c>
      <c r="C17" s="330" t="s">
        <v>5964</v>
      </c>
      <c r="D17" s="330">
        <v>0</v>
      </c>
      <c r="E17" s="330">
        <v>0</v>
      </c>
      <c r="F17" s="330">
        <v>465249.11</v>
      </c>
      <c r="G17" s="330">
        <v>442019.11</v>
      </c>
      <c r="H17" s="330">
        <v>23230</v>
      </c>
    </row>
    <row r="18" spans="1:8">
      <c r="A18" s="330">
        <v>1900</v>
      </c>
      <c r="B18" s="651">
        <v>10910101</v>
      </c>
      <c r="C18" s="330" t="s">
        <v>329</v>
      </c>
      <c r="D18" s="330">
        <v>6220</v>
      </c>
      <c r="E18" s="330">
        <v>0</v>
      </c>
      <c r="F18" s="330">
        <v>286789.98</v>
      </c>
      <c r="G18" s="330">
        <v>0</v>
      </c>
      <c r="H18" s="330">
        <v>293009.98</v>
      </c>
    </row>
    <row r="19" spans="1:8">
      <c r="A19" s="330">
        <v>1900</v>
      </c>
      <c r="B19" s="651">
        <v>10930001</v>
      </c>
      <c r="C19" s="330" t="s">
        <v>441</v>
      </c>
      <c r="D19" s="330">
        <v>0</v>
      </c>
      <c r="E19" s="330">
        <v>0</v>
      </c>
      <c r="F19" s="330">
        <v>120000</v>
      </c>
      <c r="G19" s="330">
        <v>100000</v>
      </c>
      <c r="H19" s="330">
        <v>20000</v>
      </c>
    </row>
    <row r="20" spans="1:8">
      <c r="A20" s="330">
        <v>1900</v>
      </c>
      <c r="B20" s="651">
        <v>10930002</v>
      </c>
      <c r="C20" s="330" t="s">
        <v>330</v>
      </c>
      <c r="D20" s="330">
        <v>41467</v>
      </c>
      <c r="E20" s="330">
        <v>0</v>
      </c>
      <c r="F20" s="330">
        <v>1008248</v>
      </c>
      <c r="G20" s="330">
        <v>851633</v>
      </c>
      <c r="H20" s="330">
        <v>198082</v>
      </c>
    </row>
    <row r="21" spans="1:8">
      <c r="A21" s="330">
        <v>1900</v>
      </c>
      <c r="B21" s="651">
        <v>10940001</v>
      </c>
      <c r="C21" s="330" t="s">
        <v>331</v>
      </c>
      <c r="D21" s="330">
        <v>8605</v>
      </c>
      <c r="E21" s="330">
        <v>0</v>
      </c>
      <c r="F21" s="330">
        <v>0</v>
      </c>
      <c r="G21" s="330">
        <v>500</v>
      </c>
      <c r="H21" s="330">
        <v>8105</v>
      </c>
    </row>
    <row r="22" spans="1:8">
      <c r="A22" s="330">
        <v>1900</v>
      </c>
      <c r="B22" s="651">
        <v>10951220</v>
      </c>
      <c r="C22" s="330" t="s">
        <v>155</v>
      </c>
      <c r="D22" s="330">
        <v>10000</v>
      </c>
      <c r="E22" s="330">
        <v>0</v>
      </c>
      <c r="F22" s="330">
        <v>51819394.219999999</v>
      </c>
      <c r="G22" s="330">
        <v>51829394.229999997</v>
      </c>
      <c r="H22" s="330">
        <v>-0.01</v>
      </c>
    </row>
    <row r="23" spans="1:8">
      <c r="A23" s="330">
        <v>1900</v>
      </c>
      <c r="B23" s="651">
        <v>10951221</v>
      </c>
      <c r="C23" s="330" t="s">
        <v>156</v>
      </c>
      <c r="D23" s="330">
        <v>0</v>
      </c>
      <c r="E23" s="330">
        <v>0</v>
      </c>
      <c r="F23" s="330">
        <v>59674301.770000003</v>
      </c>
      <c r="G23" s="330">
        <v>59674301.770000003</v>
      </c>
      <c r="H23" s="330">
        <v>0</v>
      </c>
    </row>
    <row r="24" spans="1:8">
      <c r="A24" s="330">
        <v>1900</v>
      </c>
      <c r="B24" s="651">
        <v>10951222</v>
      </c>
      <c r="C24" s="330" t="s">
        <v>332</v>
      </c>
      <c r="D24" s="330">
        <v>0</v>
      </c>
      <c r="E24" s="330">
        <v>0</v>
      </c>
      <c r="F24" s="330">
        <v>50299508.850000001</v>
      </c>
      <c r="G24" s="330">
        <v>50299508.850000001</v>
      </c>
      <c r="H24" s="330">
        <v>0</v>
      </c>
    </row>
    <row r="25" spans="1:8">
      <c r="A25" s="330">
        <v>1900</v>
      </c>
      <c r="B25" s="651">
        <v>10951230</v>
      </c>
      <c r="C25" s="330" t="s">
        <v>157</v>
      </c>
      <c r="D25" s="330">
        <v>1017434.18</v>
      </c>
      <c r="E25" s="330">
        <v>0</v>
      </c>
      <c r="F25" s="330">
        <v>39480082.25</v>
      </c>
      <c r="G25" s="330">
        <v>40497516.43</v>
      </c>
      <c r="H25" s="330">
        <v>0</v>
      </c>
    </row>
    <row r="26" spans="1:8">
      <c r="A26" s="330">
        <v>1900</v>
      </c>
      <c r="B26" s="651">
        <v>10951231</v>
      </c>
      <c r="C26" s="330" t="s">
        <v>333</v>
      </c>
      <c r="D26" s="330">
        <v>0</v>
      </c>
      <c r="E26" s="330">
        <v>0</v>
      </c>
      <c r="F26" s="330">
        <v>34862416.950000003</v>
      </c>
      <c r="G26" s="330">
        <v>34862416.950000003</v>
      </c>
      <c r="H26" s="330">
        <v>0</v>
      </c>
    </row>
    <row r="27" spans="1:8">
      <c r="A27" s="330">
        <v>1900</v>
      </c>
      <c r="B27" s="651">
        <v>10951232</v>
      </c>
      <c r="C27" s="330" t="s">
        <v>334</v>
      </c>
      <c r="D27" s="330">
        <v>0</v>
      </c>
      <c r="E27" s="330">
        <v>0</v>
      </c>
      <c r="F27" s="330">
        <v>46540188.689999998</v>
      </c>
      <c r="G27" s="330">
        <v>46540188.689999998</v>
      </c>
      <c r="H27" s="330">
        <v>0</v>
      </c>
    </row>
    <row r="28" spans="1:8">
      <c r="A28" s="330">
        <v>1900</v>
      </c>
      <c r="B28" s="651">
        <v>10951240</v>
      </c>
      <c r="C28" s="330" t="s">
        <v>158</v>
      </c>
      <c r="D28" s="330">
        <v>6119366.8700000001</v>
      </c>
      <c r="E28" s="330">
        <v>0</v>
      </c>
      <c r="F28" s="330">
        <v>965605413.16999996</v>
      </c>
      <c r="G28" s="330">
        <v>970155341.99000001</v>
      </c>
      <c r="H28" s="330">
        <v>1569438.05</v>
      </c>
    </row>
    <row r="29" spans="1:8">
      <c r="A29" s="330">
        <v>1900</v>
      </c>
      <c r="B29" s="651">
        <v>10951241</v>
      </c>
      <c r="C29" s="330" t="s">
        <v>335</v>
      </c>
      <c r="D29" s="330">
        <v>0</v>
      </c>
      <c r="E29" s="330">
        <v>0</v>
      </c>
      <c r="F29" s="330">
        <v>1164853824.5699999</v>
      </c>
      <c r="G29" s="330">
        <v>1163059303.5699999</v>
      </c>
      <c r="H29" s="330">
        <v>1794521</v>
      </c>
    </row>
    <row r="30" spans="1:8">
      <c r="A30" s="330">
        <v>1900</v>
      </c>
      <c r="B30" s="651">
        <v>10951242</v>
      </c>
      <c r="C30" s="330" t="s">
        <v>160</v>
      </c>
      <c r="D30" s="330">
        <v>-5789326.8099999996</v>
      </c>
      <c r="E30" s="330">
        <v>0</v>
      </c>
      <c r="F30" s="330">
        <v>1223011332.24</v>
      </c>
      <c r="G30" s="330">
        <v>1217327726.4300001</v>
      </c>
      <c r="H30" s="330">
        <v>-105721</v>
      </c>
    </row>
    <row r="31" spans="1:8">
      <c r="A31" s="330">
        <v>1900</v>
      </c>
      <c r="B31" s="651">
        <v>10951250</v>
      </c>
      <c r="C31" s="330" t="s">
        <v>161</v>
      </c>
      <c r="D31" s="330">
        <v>614400</v>
      </c>
      <c r="E31" s="330">
        <v>0</v>
      </c>
      <c r="F31" s="330">
        <v>21508837.98</v>
      </c>
      <c r="G31" s="330">
        <v>22048852.760000002</v>
      </c>
      <c r="H31" s="330">
        <v>74385.22</v>
      </c>
    </row>
    <row r="32" spans="1:8">
      <c r="A32" s="330">
        <v>1900</v>
      </c>
      <c r="B32" s="651">
        <v>10951251</v>
      </c>
      <c r="C32" s="330" t="s">
        <v>162</v>
      </c>
      <c r="D32" s="330">
        <v>0</v>
      </c>
      <c r="E32" s="330">
        <v>0</v>
      </c>
      <c r="F32" s="330">
        <v>27981803</v>
      </c>
      <c r="G32" s="330">
        <v>27981803</v>
      </c>
      <c r="H32" s="330">
        <v>0</v>
      </c>
    </row>
    <row r="33" spans="1:8">
      <c r="A33" s="330">
        <v>1900</v>
      </c>
      <c r="B33" s="651">
        <v>10951252</v>
      </c>
      <c r="C33" s="330" t="s">
        <v>336</v>
      </c>
      <c r="D33" s="330">
        <v>0</v>
      </c>
      <c r="E33" s="330">
        <v>0</v>
      </c>
      <c r="F33" s="330">
        <v>22238988.739999998</v>
      </c>
      <c r="G33" s="330">
        <v>22238988.739999998</v>
      </c>
      <c r="H33" s="330">
        <v>0</v>
      </c>
    </row>
    <row r="34" spans="1:8">
      <c r="A34" s="330">
        <v>1900</v>
      </c>
      <c r="B34" s="651">
        <v>10951260</v>
      </c>
      <c r="C34" s="330" t="s">
        <v>164</v>
      </c>
      <c r="D34" s="330">
        <v>19702.66</v>
      </c>
      <c r="E34" s="330">
        <v>0</v>
      </c>
      <c r="F34" s="330">
        <v>5297.58</v>
      </c>
      <c r="G34" s="330">
        <v>1.47</v>
      </c>
      <c r="H34" s="330">
        <v>24998.77</v>
      </c>
    </row>
    <row r="35" spans="1:8">
      <c r="A35" s="330">
        <v>1900</v>
      </c>
      <c r="B35" s="651">
        <v>10951261</v>
      </c>
      <c r="C35" s="330" t="s">
        <v>426</v>
      </c>
      <c r="D35" s="330">
        <v>0</v>
      </c>
      <c r="E35" s="330">
        <v>0</v>
      </c>
      <c r="F35" s="330">
        <v>5297</v>
      </c>
      <c r="G35" s="330">
        <v>5297</v>
      </c>
      <c r="H35" s="330">
        <v>0</v>
      </c>
    </row>
    <row r="36" spans="1:8">
      <c r="A36" s="330">
        <v>1900</v>
      </c>
      <c r="B36" s="651">
        <v>10951262</v>
      </c>
      <c r="C36" s="330" t="s">
        <v>442</v>
      </c>
      <c r="D36" s="330">
        <v>0</v>
      </c>
      <c r="E36" s="330">
        <v>0</v>
      </c>
      <c r="F36" s="330">
        <v>1.47</v>
      </c>
      <c r="G36" s="330">
        <v>1.47</v>
      </c>
      <c r="H36" s="330">
        <v>0</v>
      </c>
    </row>
    <row r="37" spans="1:8">
      <c r="A37" s="330">
        <v>1900</v>
      </c>
      <c r="B37" s="651">
        <v>10952210</v>
      </c>
      <c r="C37" s="330" t="s">
        <v>466</v>
      </c>
      <c r="D37" s="330">
        <v>0</v>
      </c>
      <c r="E37" s="330">
        <v>0</v>
      </c>
      <c r="F37" s="330">
        <v>1476565765.3</v>
      </c>
      <c r="G37" s="330">
        <v>1504528114.5799999</v>
      </c>
      <c r="H37" s="330">
        <v>-27962349.280000001</v>
      </c>
    </row>
    <row r="38" spans="1:8">
      <c r="A38" s="330">
        <v>1900</v>
      </c>
      <c r="B38" s="651">
        <v>10952211</v>
      </c>
      <c r="C38" s="330" t="s">
        <v>467</v>
      </c>
      <c r="D38" s="330">
        <v>0</v>
      </c>
      <c r="E38" s="330">
        <v>0</v>
      </c>
      <c r="F38" s="330">
        <v>1510047710.46</v>
      </c>
      <c r="G38" s="330">
        <v>1510047710.46</v>
      </c>
      <c r="H38" s="330">
        <v>0</v>
      </c>
    </row>
    <row r="39" spans="1:8">
      <c r="A39" s="330">
        <v>1900</v>
      </c>
      <c r="B39" s="651">
        <v>10952212</v>
      </c>
      <c r="C39" s="330" t="s">
        <v>468</v>
      </c>
      <c r="D39" s="330">
        <v>0</v>
      </c>
      <c r="E39" s="330">
        <v>0</v>
      </c>
      <c r="F39" s="330">
        <v>1887464345.4200001</v>
      </c>
      <c r="G39" s="330">
        <v>1887464345.4200001</v>
      </c>
      <c r="H39" s="330">
        <v>0</v>
      </c>
    </row>
    <row r="40" spans="1:8">
      <c r="A40" s="330">
        <v>1900</v>
      </c>
      <c r="B40" s="651">
        <v>10952660</v>
      </c>
      <c r="C40" s="330" t="s">
        <v>166</v>
      </c>
      <c r="D40" s="330">
        <v>25000</v>
      </c>
      <c r="E40" s="330">
        <v>0</v>
      </c>
      <c r="F40" s="330">
        <v>0</v>
      </c>
      <c r="G40" s="330">
        <v>25000</v>
      </c>
      <c r="H40" s="330">
        <v>0</v>
      </c>
    </row>
    <row r="41" spans="1:8">
      <c r="A41" s="330">
        <v>1900</v>
      </c>
      <c r="B41" s="651">
        <v>10952662</v>
      </c>
      <c r="C41" s="330" t="s">
        <v>443</v>
      </c>
      <c r="D41" s="330">
        <v>0</v>
      </c>
      <c r="E41" s="330">
        <v>0</v>
      </c>
      <c r="F41" s="330">
        <v>25000</v>
      </c>
      <c r="G41" s="330">
        <v>25000</v>
      </c>
      <c r="H41" s="330">
        <v>0</v>
      </c>
    </row>
    <row r="42" spans="1:8">
      <c r="A42" s="330">
        <v>1900</v>
      </c>
      <c r="B42" s="651">
        <v>10952670</v>
      </c>
      <c r="C42" s="330" t="s">
        <v>337</v>
      </c>
      <c r="D42" s="330">
        <v>25000</v>
      </c>
      <c r="E42" s="330">
        <v>0</v>
      </c>
      <c r="F42" s="330">
        <v>1500</v>
      </c>
      <c r="G42" s="330">
        <v>26500</v>
      </c>
      <c r="H42" s="330">
        <v>0</v>
      </c>
    </row>
    <row r="43" spans="1:8">
      <c r="A43" s="330">
        <v>1900</v>
      </c>
      <c r="B43" s="651">
        <v>10952671</v>
      </c>
      <c r="C43" s="330" t="s">
        <v>444</v>
      </c>
      <c r="D43" s="330">
        <v>0</v>
      </c>
      <c r="E43" s="330">
        <v>0</v>
      </c>
      <c r="F43" s="330">
        <v>1500</v>
      </c>
      <c r="G43" s="330">
        <v>1500</v>
      </c>
      <c r="H43" s="330">
        <v>0</v>
      </c>
    </row>
    <row r="44" spans="1:8">
      <c r="A44" s="330">
        <v>1900</v>
      </c>
      <c r="B44" s="651">
        <v>10952672</v>
      </c>
      <c r="C44" s="330" t="s">
        <v>445</v>
      </c>
      <c r="D44" s="330">
        <v>0</v>
      </c>
      <c r="E44" s="330">
        <v>0</v>
      </c>
      <c r="F44" s="330">
        <v>26761</v>
      </c>
      <c r="G44" s="330">
        <v>26761</v>
      </c>
      <c r="H44" s="330">
        <v>0</v>
      </c>
    </row>
    <row r="45" spans="1:8">
      <c r="A45" s="330">
        <v>1900</v>
      </c>
      <c r="B45" s="651">
        <v>10952680</v>
      </c>
      <c r="C45" s="330" t="s">
        <v>167</v>
      </c>
      <c r="D45" s="330">
        <v>25000</v>
      </c>
      <c r="E45" s="330">
        <v>0</v>
      </c>
      <c r="F45" s="330">
        <v>2090</v>
      </c>
      <c r="G45" s="330">
        <v>27090</v>
      </c>
      <c r="H45" s="330">
        <v>0</v>
      </c>
    </row>
    <row r="46" spans="1:8">
      <c r="A46" s="330">
        <v>1900</v>
      </c>
      <c r="B46" s="651">
        <v>10952681</v>
      </c>
      <c r="C46" s="330" t="s">
        <v>446</v>
      </c>
      <c r="D46" s="330">
        <v>0</v>
      </c>
      <c r="E46" s="330">
        <v>0</v>
      </c>
      <c r="F46" s="330">
        <v>1500</v>
      </c>
      <c r="G46" s="330">
        <v>1500</v>
      </c>
      <c r="H46" s="330">
        <v>0</v>
      </c>
    </row>
    <row r="47" spans="1:8">
      <c r="A47" s="330">
        <v>1900</v>
      </c>
      <c r="B47" s="651">
        <v>10952682</v>
      </c>
      <c r="C47" s="330" t="s">
        <v>447</v>
      </c>
      <c r="D47" s="330">
        <v>0</v>
      </c>
      <c r="E47" s="330">
        <v>0</v>
      </c>
      <c r="F47" s="330">
        <v>27941</v>
      </c>
      <c r="G47" s="330">
        <v>27941</v>
      </c>
      <c r="H47" s="330">
        <v>0</v>
      </c>
    </row>
    <row r="48" spans="1:8">
      <c r="A48" s="330">
        <v>1900</v>
      </c>
      <c r="B48" s="651">
        <v>10952740</v>
      </c>
      <c r="C48" s="330" t="s">
        <v>425</v>
      </c>
      <c r="D48" s="330">
        <v>0</v>
      </c>
      <c r="E48" s="330">
        <v>0</v>
      </c>
      <c r="F48" s="330">
        <v>8713418.8000000007</v>
      </c>
      <c r="G48" s="330">
        <v>8713418.8000000007</v>
      </c>
      <c r="H48" s="330">
        <v>0</v>
      </c>
    </row>
    <row r="49" spans="1:8">
      <c r="A49" s="330">
        <v>1900</v>
      </c>
      <c r="B49" s="651">
        <v>10952741</v>
      </c>
      <c r="C49" s="330" t="s">
        <v>424</v>
      </c>
      <c r="D49" s="330">
        <v>0</v>
      </c>
      <c r="E49" s="330">
        <v>0</v>
      </c>
      <c r="F49" s="330">
        <v>12912312.699999999</v>
      </c>
      <c r="G49" s="330">
        <v>12912312.699999999</v>
      </c>
      <c r="H49" s="330">
        <v>0</v>
      </c>
    </row>
    <row r="50" spans="1:8">
      <c r="A50" s="330">
        <v>1900</v>
      </c>
      <c r="B50" s="651">
        <v>10952742</v>
      </c>
      <c r="C50" s="330" t="s">
        <v>423</v>
      </c>
      <c r="D50" s="330">
        <v>0</v>
      </c>
      <c r="E50" s="330">
        <v>0</v>
      </c>
      <c r="F50" s="330">
        <v>4514534.9000000004</v>
      </c>
      <c r="G50" s="330">
        <v>4514534.9000000004</v>
      </c>
      <c r="H50" s="330">
        <v>0</v>
      </c>
    </row>
    <row r="51" spans="1:8">
      <c r="A51" s="330">
        <v>1900</v>
      </c>
      <c r="B51" s="651">
        <v>10952750</v>
      </c>
      <c r="C51" s="330" t="s">
        <v>422</v>
      </c>
      <c r="D51" s="330">
        <v>0</v>
      </c>
      <c r="E51" s="330">
        <v>0</v>
      </c>
      <c r="F51" s="330">
        <v>1354362.03</v>
      </c>
      <c r="G51" s="330">
        <v>1354361.97</v>
      </c>
      <c r="H51" s="330">
        <v>0.06</v>
      </c>
    </row>
    <row r="52" spans="1:8">
      <c r="A52" s="330">
        <v>1900</v>
      </c>
      <c r="B52" s="651">
        <v>10952751</v>
      </c>
      <c r="C52" s="330" t="s">
        <v>421</v>
      </c>
      <c r="D52" s="330">
        <v>0</v>
      </c>
      <c r="E52" s="330">
        <v>0</v>
      </c>
      <c r="F52" s="330">
        <v>1354361.97</v>
      </c>
      <c r="G52" s="330">
        <v>1354361.97</v>
      </c>
      <c r="H52" s="330">
        <v>0</v>
      </c>
    </row>
    <row r="53" spans="1:8">
      <c r="A53" s="330">
        <v>1900</v>
      </c>
      <c r="B53" s="651">
        <v>10952752</v>
      </c>
      <c r="C53" s="330" t="s">
        <v>420</v>
      </c>
      <c r="D53" s="330">
        <v>0</v>
      </c>
      <c r="E53" s="330">
        <v>0</v>
      </c>
      <c r="F53" s="330">
        <v>1354362.03</v>
      </c>
      <c r="G53" s="330">
        <v>1354362.03</v>
      </c>
      <c r="H53" s="330">
        <v>0</v>
      </c>
    </row>
    <row r="54" spans="1:8">
      <c r="A54" s="330">
        <v>1900</v>
      </c>
      <c r="B54" s="651">
        <v>10952760</v>
      </c>
      <c r="C54" s="330" t="s">
        <v>419</v>
      </c>
      <c r="D54" s="330">
        <v>0</v>
      </c>
      <c r="E54" s="330">
        <v>0</v>
      </c>
      <c r="F54" s="330">
        <v>3160163.93</v>
      </c>
      <c r="G54" s="330">
        <v>0</v>
      </c>
      <c r="H54" s="330">
        <v>3160163.93</v>
      </c>
    </row>
    <row r="55" spans="1:8">
      <c r="A55" s="330">
        <v>1900</v>
      </c>
      <c r="B55" s="651">
        <v>10952761</v>
      </c>
      <c r="C55" s="330" t="s">
        <v>418</v>
      </c>
      <c r="D55" s="330">
        <v>0</v>
      </c>
      <c r="E55" s="330">
        <v>0</v>
      </c>
      <c r="F55" s="330">
        <v>3160170.93</v>
      </c>
      <c r="G55" s="330">
        <v>3160170.93</v>
      </c>
      <c r="H55" s="330">
        <v>0</v>
      </c>
    </row>
    <row r="56" spans="1:8">
      <c r="A56" s="330">
        <v>1900</v>
      </c>
      <c r="B56" s="651">
        <v>11110003</v>
      </c>
      <c r="C56" s="330" t="s">
        <v>338</v>
      </c>
      <c r="D56" s="330">
        <v>55980</v>
      </c>
      <c r="E56" s="330">
        <v>0</v>
      </c>
      <c r="F56" s="330">
        <v>2901127.06</v>
      </c>
      <c r="G56" s="330">
        <v>619060.85</v>
      </c>
      <c r="H56" s="330">
        <v>2338046.21</v>
      </c>
    </row>
    <row r="57" spans="1:8">
      <c r="A57" s="330">
        <v>1900</v>
      </c>
      <c r="B57" s="651">
        <v>11110011</v>
      </c>
      <c r="C57" s="330" t="s">
        <v>483</v>
      </c>
      <c r="D57" s="330">
        <v>0</v>
      </c>
      <c r="E57" s="330">
        <v>0</v>
      </c>
      <c r="F57" s="330">
        <v>147</v>
      </c>
      <c r="G57" s="330">
        <v>0</v>
      </c>
      <c r="H57" s="330">
        <v>147</v>
      </c>
    </row>
    <row r="58" spans="1:8">
      <c r="A58" s="330">
        <v>1900</v>
      </c>
      <c r="B58" s="651">
        <v>11130003</v>
      </c>
      <c r="C58" s="330" t="s">
        <v>339</v>
      </c>
      <c r="D58" s="330">
        <v>0</v>
      </c>
      <c r="E58" s="330">
        <v>0</v>
      </c>
      <c r="F58" s="330">
        <v>43.32</v>
      </c>
      <c r="G58" s="330">
        <v>43.32</v>
      </c>
      <c r="H58" s="330">
        <v>0</v>
      </c>
    </row>
    <row r="59" spans="1:8">
      <c r="A59" s="330">
        <v>1900</v>
      </c>
      <c r="B59" s="651">
        <v>11130004</v>
      </c>
      <c r="C59" s="330" t="s">
        <v>340</v>
      </c>
      <c r="D59" s="330">
        <v>0</v>
      </c>
      <c r="E59" s="330">
        <v>0</v>
      </c>
      <c r="F59" s="330">
        <v>43.32</v>
      </c>
      <c r="G59" s="330">
        <v>43.32</v>
      </c>
      <c r="H59" s="330">
        <v>0</v>
      </c>
    </row>
    <row r="60" spans="1:8">
      <c r="A60" s="330">
        <v>1900</v>
      </c>
      <c r="B60" s="651">
        <v>11130005</v>
      </c>
      <c r="C60" s="330" t="s">
        <v>341</v>
      </c>
      <c r="D60" s="330">
        <v>0</v>
      </c>
      <c r="E60" s="330">
        <v>0</v>
      </c>
      <c r="F60" s="330">
        <v>132</v>
      </c>
      <c r="G60" s="330">
        <v>132</v>
      </c>
      <c r="H60" s="330">
        <v>0</v>
      </c>
    </row>
    <row r="61" spans="1:8">
      <c r="A61" s="330">
        <v>1900</v>
      </c>
      <c r="B61" s="651">
        <v>11130006</v>
      </c>
      <c r="C61" s="330" t="s">
        <v>342</v>
      </c>
      <c r="D61" s="330">
        <v>0</v>
      </c>
      <c r="E61" s="330">
        <v>0</v>
      </c>
      <c r="F61" s="330">
        <v>132</v>
      </c>
      <c r="G61" s="330">
        <v>132</v>
      </c>
      <c r="H61" s="330">
        <v>0</v>
      </c>
    </row>
    <row r="62" spans="1:8">
      <c r="A62" s="330">
        <v>1900</v>
      </c>
      <c r="B62" s="651">
        <v>11130007</v>
      </c>
      <c r="C62" s="330" t="s">
        <v>343</v>
      </c>
      <c r="D62" s="330">
        <v>0</v>
      </c>
      <c r="E62" s="330">
        <v>0</v>
      </c>
      <c r="F62" s="330">
        <v>16219898.779999999</v>
      </c>
      <c r="G62" s="330">
        <v>16219898.779999999</v>
      </c>
      <c r="H62" s="330">
        <v>0</v>
      </c>
    </row>
    <row r="63" spans="1:8">
      <c r="A63" s="330">
        <v>1900</v>
      </c>
      <c r="B63" s="651">
        <v>11130008</v>
      </c>
      <c r="C63" s="330" t="s">
        <v>344</v>
      </c>
      <c r="D63" s="330">
        <v>0</v>
      </c>
      <c r="E63" s="330">
        <v>0</v>
      </c>
      <c r="F63" s="330">
        <v>16219898.779999999</v>
      </c>
      <c r="G63" s="330">
        <v>16219898.779999999</v>
      </c>
      <c r="H63" s="330">
        <v>0</v>
      </c>
    </row>
    <row r="64" spans="1:8">
      <c r="A64" s="330">
        <v>1900</v>
      </c>
      <c r="B64" s="651">
        <v>11130009</v>
      </c>
      <c r="C64" s="330" t="s">
        <v>345</v>
      </c>
      <c r="D64" s="330">
        <v>0</v>
      </c>
      <c r="E64" s="330">
        <v>0</v>
      </c>
      <c r="F64" s="330">
        <v>75.09</v>
      </c>
      <c r="G64" s="330">
        <v>75.09</v>
      </c>
      <c r="H64" s="330">
        <v>0</v>
      </c>
    </row>
    <row r="65" spans="1:8">
      <c r="A65" s="330">
        <v>1900</v>
      </c>
      <c r="B65" s="651">
        <v>11130010</v>
      </c>
      <c r="C65" s="330" t="s">
        <v>346</v>
      </c>
      <c r="D65" s="330">
        <v>0</v>
      </c>
      <c r="E65" s="330">
        <v>0</v>
      </c>
      <c r="F65" s="330">
        <v>75.09</v>
      </c>
      <c r="G65" s="330">
        <v>75.09</v>
      </c>
      <c r="H65" s="330">
        <v>0</v>
      </c>
    </row>
    <row r="66" spans="1:8">
      <c r="A66" s="330">
        <v>1900</v>
      </c>
      <c r="B66" s="651">
        <v>11130014</v>
      </c>
      <c r="C66" s="330" t="s">
        <v>347</v>
      </c>
      <c r="D66" s="330">
        <v>0</v>
      </c>
      <c r="E66" s="330">
        <v>0</v>
      </c>
      <c r="F66" s="330">
        <v>64028.52</v>
      </c>
      <c r="G66" s="330">
        <v>64028.52</v>
      </c>
      <c r="H66" s="330">
        <v>0</v>
      </c>
    </row>
    <row r="67" spans="1:8">
      <c r="A67" s="330">
        <v>1900</v>
      </c>
      <c r="B67" s="651">
        <v>11130201</v>
      </c>
      <c r="C67" s="330" t="s">
        <v>348</v>
      </c>
      <c r="D67" s="330">
        <v>0</v>
      </c>
      <c r="E67" s="330">
        <v>0</v>
      </c>
      <c r="F67" s="330">
        <v>78308.460000000006</v>
      </c>
      <c r="G67" s="330">
        <v>78308.460000000006</v>
      </c>
      <c r="H67" s="330">
        <v>0</v>
      </c>
    </row>
    <row r="68" spans="1:8">
      <c r="A68" s="330">
        <v>1900</v>
      </c>
      <c r="B68" s="651">
        <v>11130202</v>
      </c>
      <c r="C68" s="330" t="s">
        <v>349</v>
      </c>
      <c r="D68" s="330">
        <v>0</v>
      </c>
      <c r="E68" s="330">
        <v>0</v>
      </c>
      <c r="F68" s="330">
        <v>78308.460000000006</v>
      </c>
      <c r="G68" s="330">
        <v>78308.460000000006</v>
      </c>
      <c r="H68" s="330">
        <v>0</v>
      </c>
    </row>
    <row r="69" spans="1:8">
      <c r="A69" s="330">
        <v>1900</v>
      </c>
      <c r="B69" s="651">
        <v>11140001</v>
      </c>
      <c r="C69" s="330" t="s">
        <v>448</v>
      </c>
      <c r="D69" s="330">
        <v>0</v>
      </c>
      <c r="E69" s="330">
        <v>0</v>
      </c>
      <c r="F69" s="330">
        <v>391553</v>
      </c>
      <c r="G69" s="330">
        <v>0</v>
      </c>
      <c r="H69" s="330">
        <v>391553</v>
      </c>
    </row>
    <row r="70" spans="1:8">
      <c r="A70" s="330">
        <v>1900</v>
      </c>
      <c r="B70" s="651">
        <v>11140150</v>
      </c>
      <c r="C70" s="330" t="s">
        <v>350</v>
      </c>
      <c r="D70" s="330">
        <v>-911972112.13</v>
      </c>
      <c r="E70" s="330">
        <v>0</v>
      </c>
      <c r="F70" s="330">
        <v>562956890</v>
      </c>
      <c r="G70" s="330">
        <v>24172096.66</v>
      </c>
      <c r="H70" s="330">
        <v>-373187318.79000002</v>
      </c>
    </row>
    <row r="71" spans="1:8">
      <c r="A71" s="330">
        <v>1900</v>
      </c>
      <c r="B71" s="651">
        <v>11140151</v>
      </c>
      <c r="C71" s="330" t="s">
        <v>417</v>
      </c>
      <c r="D71" s="330">
        <v>7256064</v>
      </c>
      <c r="E71" s="330">
        <v>0</v>
      </c>
      <c r="F71" s="330">
        <v>0</v>
      </c>
      <c r="G71" s="330">
        <v>0</v>
      </c>
      <c r="H71" s="330">
        <v>7256064</v>
      </c>
    </row>
    <row r="72" spans="1:8">
      <c r="A72" s="330">
        <v>1900</v>
      </c>
      <c r="B72" s="651">
        <v>11140201</v>
      </c>
      <c r="C72" s="330" t="s">
        <v>351</v>
      </c>
      <c r="D72" s="330">
        <v>0</v>
      </c>
      <c r="E72" s="330">
        <v>0</v>
      </c>
      <c r="F72" s="330">
        <v>2472949.7999999998</v>
      </c>
      <c r="G72" s="330">
        <v>2472949.52</v>
      </c>
      <c r="H72" s="330">
        <v>0.28000000000000003</v>
      </c>
    </row>
    <row r="73" spans="1:8">
      <c r="A73" s="330">
        <v>1900</v>
      </c>
      <c r="B73" s="651">
        <v>11150001</v>
      </c>
      <c r="C73" s="330" t="s">
        <v>542</v>
      </c>
      <c r="D73" s="330">
        <v>0</v>
      </c>
      <c r="E73" s="330">
        <v>0</v>
      </c>
      <c r="F73" s="330">
        <v>0</v>
      </c>
      <c r="G73" s="330">
        <v>6530</v>
      </c>
      <c r="H73" s="330">
        <v>-6530</v>
      </c>
    </row>
    <row r="74" spans="1:8">
      <c r="A74" s="330">
        <v>1900</v>
      </c>
      <c r="B74" s="651">
        <v>11150011</v>
      </c>
      <c r="C74" s="330" t="s">
        <v>352</v>
      </c>
      <c r="D74" s="330">
        <v>3585.99</v>
      </c>
      <c r="E74" s="330">
        <v>0</v>
      </c>
      <c r="F74" s="330">
        <v>1910</v>
      </c>
      <c r="G74" s="330">
        <v>0</v>
      </c>
      <c r="H74" s="330">
        <v>5495.99</v>
      </c>
    </row>
    <row r="75" spans="1:8">
      <c r="A75" s="330">
        <v>1900</v>
      </c>
      <c r="B75" s="651">
        <v>20000202</v>
      </c>
      <c r="C75" s="330" t="s">
        <v>416</v>
      </c>
      <c r="D75" s="330">
        <v>0</v>
      </c>
      <c r="E75" s="330">
        <v>0</v>
      </c>
      <c r="F75" s="330">
        <v>30000000</v>
      </c>
      <c r="G75" s="330">
        <v>30000000</v>
      </c>
      <c r="H75" s="330">
        <v>0</v>
      </c>
    </row>
    <row r="76" spans="1:8">
      <c r="A76" s="330">
        <v>1900</v>
      </c>
      <c r="B76" s="651">
        <v>20000203</v>
      </c>
      <c r="C76" s="330" t="s">
        <v>450</v>
      </c>
      <c r="D76" s="330">
        <v>0</v>
      </c>
      <c r="E76" s="330">
        <v>0</v>
      </c>
      <c r="F76" s="330">
        <v>8000000</v>
      </c>
      <c r="G76" s="330">
        <v>8000000</v>
      </c>
      <c r="H76" s="330">
        <v>0</v>
      </c>
    </row>
    <row r="77" spans="1:8">
      <c r="A77" s="330">
        <v>1900</v>
      </c>
      <c r="B77" s="651">
        <v>20000308</v>
      </c>
      <c r="C77" s="330" t="s">
        <v>415</v>
      </c>
      <c r="D77" s="330">
        <v>-13852958</v>
      </c>
      <c r="E77" s="330">
        <v>0</v>
      </c>
      <c r="F77" s="330">
        <v>0</v>
      </c>
      <c r="G77" s="330">
        <v>0</v>
      </c>
      <c r="H77" s="330">
        <v>-13852958</v>
      </c>
    </row>
    <row r="78" spans="1:8">
      <c r="A78" s="330">
        <v>1900</v>
      </c>
      <c r="B78" s="651">
        <v>20000350</v>
      </c>
      <c r="C78" s="330" t="s">
        <v>284</v>
      </c>
      <c r="D78" s="330">
        <v>-100000</v>
      </c>
      <c r="E78" s="330">
        <v>0</v>
      </c>
      <c r="F78" s="330">
        <v>0</v>
      </c>
      <c r="G78" s="330">
        <v>0</v>
      </c>
      <c r="H78" s="330">
        <v>-100000</v>
      </c>
    </row>
    <row r="79" spans="1:8">
      <c r="A79" s="330">
        <v>1900</v>
      </c>
      <c r="B79" s="651">
        <v>20100001</v>
      </c>
      <c r="C79" s="330" t="s">
        <v>414</v>
      </c>
      <c r="D79" s="330">
        <v>111152.72</v>
      </c>
      <c r="E79" s="330">
        <v>0</v>
      </c>
      <c r="F79" s="330">
        <v>0</v>
      </c>
      <c r="G79" s="330">
        <v>0</v>
      </c>
      <c r="H79" s="330">
        <v>111152.72</v>
      </c>
    </row>
    <row r="80" spans="1:8">
      <c r="A80" s="330">
        <v>1900</v>
      </c>
      <c r="B80" s="651">
        <v>20100003</v>
      </c>
      <c r="C80" s="330" t="s">
        <v>353</v>
      </c>
      <c r="D80" s="330">
        <v>2890.55</v>
      </c>
      <c r="E80" s="330">
        <v>0</v>
      </c>
      <c r="F80" s="330">
        <v>0</v>
      </c>
      <c r="G80" s="330">
        <v>0</v>
      </c>
      <c r="H80" s="330">
        <v>2890.55</v>
      </c>
    </row>
    <row r="81" spans="1:8">
      <c r="A81" s="330">
        <v>1900</v>
      </c>
      <c r="B81" s="651">
        <v>20100101</v>
      </c>
      <c r="C81" s="330" t="s">
        <v>354</v>
      </c>
      <c r="D81" s="330">
        <v>0</v>
      </c>
      <c r="E81" s="330">
        <v>0</v>
      </c>
      <c r="F81" s="330">
        <v>1199828707.6199999</v>
      </c>
      <c r="G81" s="330">
        <v>1199828707.6199999</v>
      </c>
      <c r="H81" s="330">
        <v>0</v>
      </c>
    </row>
    <row r="82" spans="1:8">
      <c r="A82" s="330">
        <v>1900</v>
      </c>
      <c r="B82" s="651">
        <v>20200001</v>
      </c>
      <c r="C82" s="330" t="s">
        <v>355</v>
      </c>
      <c r="D82" s="330">
        <v>-29758000</v>
      </c>
      <c r="E82" s="330">
        <v>0</v>
      </c>
      <c r="F82" s="330">
        <v>40000000</v>
      </c>
      <c r="G82" s="330">
        <v>131600000</v>
      </c>
      <c r="H82" s="330">
        <v>-121358000</v>
      </c>
    </row>
    <row r="83" spans="1:8">
      <c r="A83" s="330">
        <v>1900</v>
      </c>
      <c r="B83" s="651">
        <v>20200002</v>
      </c>
      <c r="C83" s="330" t="s">
        <v>356</v>
      </c>
      <c r="D83" s="330">
        <v>-172634520</v>
      </c>
      <c r="E83" s="330">
        <v>0</v>
      </c>
      <c r="F83" s="330">
        <v>307500000</v>
      </c>
      <c r="G83" s="330">
        <v>340500000</v>
      </c>
      <c r="H83" s="330">
        <v>-205634520</v>
      </c>
    </row>
    <row r="84" spans="1:8">
      <c r="A84" s="330">
        <v>1900</v>
      </c>
      <c r="B84" s="651">
        <v>20200003</v>
      </c>
      <c r="C84" s="330" t="s">
        <v>357</v>
      </c>
      <c r="D84" s="330">
        <v>218300000</v>
      </c>
      <c r="E84" s="330">
        <v>0</v>
      </c>
      <c r="F84" s="330">
        <v>126600000</v>
      </c>
      <c r="G84" s="330">
        <v>394281956</v>
      </c>
      <c r="H84" s="330">
        <v>-49381956</v>
      </c>
    </row>
    <row r="85" spans="1:8">
      <c r="A85" s="330">
        <v>1900</v>
      </c>
      <c r="B85" s="651">
        <v>20201009</v>
      </c>
      <c r="C85" s="330" t="s">
        <v>413</v>
      </c>
      <c r="D85" s="330">
        <v>0</v>
      </c>
      <c r="E85" s="330">
        <v>0</v>
      </c>
      <c r="F85" s="330">
        <v>410148174.37</v>
      </c>
      <c r="G85" s="330">
        <v>797031674.89999998</v>
      </c>
      <c r="H85" s="330">
        <v>-386883500.52999997</v>
      </c>
    </row>
    <row r="86" spans="1:8">
      <c r="A86" s="330">
        <v>1900</v>
      </c>
      <c r="B86" s="651">
        <v>20201010</v>
      </c>
      <c r="C86" s="330" t="s">
        <v>412</v>
      </c>
      <c r="D86" s="330">
        <v>0</v>
      </c>
      <c r="E86" s="330">
        <v>0</v>
      </c>
      <c r="F86" s="330">
        <v>2511131</v>
      </c>
      <c r="G86" s="330">
        <v>2511131</v>
      </c>
      <c r="H86" s="330">
        <v>0</v>
      </c>
    </row>
    <row r="87" spans="1:8">
      <c r="A87" s="330">
        <v>1900</v>
      </c>
      <c r="B87" s="651">
        <v>20411001</v>
      </c>
      <c r="C87" s="330" t="s">
        <v>136</v>
      </c>
      <c r="D87" s="330">
        <v>-1214</v>
      </c>
      <c r="E87" s="330">
        <v>0</v>
      </c>
      <c r="F87" s="330">
        <v>1214</v>
      </c>
      <c r="G87" s="330">
        <v>0</v>
      </c>
      <c r="H87" s="330">
        <v>0</v>
      </c>
    </row>
    <row r="88" spans="1:8">
      <c r="A88" s="330">
        <v>1900</v>
      </c>
      <c r="B88" s="651">
        <v>20411002</v>
      </c>
      <c r="C88" s="330" t="s">
        <v>137</v>
      </c>
      <c r="D88" s="330">
        <v>-1214</v>
      </c>
      <c r="E88" s="330">
        <v>0</v>
      </c>
      <c r="F88" s="330">
        <v>1214</v>
      </c>
      <c r="G88" s="330">
        <v>0</v>
      </c>
      <c r="H88" s="330">
        <v>0</v>
      </c>
    </row>
    <row r="89" spans="1:8">
      <c r="A89" s="330">
        <v>1900</v>
      </c>
      <c r="B89" s="651">
        <v>20412001</v>
      </c>
      <c r="C89" s="330" t="s">
        <v>411</v>
      </c>
      <c r="D89" s="330">
        <v>0</v>
      </c>
      <c r="E89" s="330">
        <v>0</v>
      </c>
      <c r="F89" s="330">
        <v>266647</v>
      </c>
      <c r="G89" s="330">
        <v>266647</v>
      </c>
      <c r="H89" s="330">
        <v>0</v>
      </c>
    </row>
    <row r="90" spans="1:8">
      <c r="A90" s="330">
        <v>1900</v>
      </c>
      <c r="B90" s="651">
        <v>20412002</v>
      </c>
      <c r="C90" s="330" t="s">
        <v>451</v>
      </c>
      <c r="D90" s="330">
        <v>0</v>
      </c>
      <c r="E90" s="330">
        <v>0</v>
      </c>
      <c r="F90" s="330">
        <v>180481</v>
      </c>
      <c r="G90" s="330">
        <v>180481</v>
      </c>
      <c r="H90" s="330">
        <v>0</v>
      </c>
    </row>
    <row r="91" spans="1:8">
      <c r="A91" s="330">
        <v>1900</v>
      </c>
      <c r="B91" s="651">
        <v>20412003</v>
      </c>
      <c r="C91" s="330" t="s">
        <v>138</v>
      </c>
      <c r="D91" s="330">
        <v>-262826.34999999998</v>
      </c>
      <c r="E91" s="330">
        <v>0</v>
      </c>
      <c r="F91" s="330">
        <v>10808052.99</v>
      </c>
      <c r="G91" s="330">
        <v>10545226.640000001</v>
      </c>
      <c r="H91" s="330">
        <v>0</v>
      </c>
    </row>
    <row r="92" spans="1:8">
      <c r="A92" s="330">
        <v>1900</v>
      </c>
      <c r="B92" s="651">
        <v>20412004</v>
      </c>
      <c r="C92" s="330" t="s">
        <v>139</v>
      </c>
      <c r="D92" s="330">
        <v>-234180.38</v>
      </c>
      <c r="E92" s="330">
        <v>0</v>
      </c>
      <c r="F92" s="330">
        <v>10779407.02</v>
      </c>
      <c r="G92" s="330">
        <v>10545226.640000001</v>
      </c>
      <c r="H92" s="330">
        <v>0</v>
      </c>
    </row>
    <row r="93" spans="1:8">
      <c r="A93" s="330">
        <v>1900</v>
      </c>
      <c r="B93" s="651">
        <v>20412007</v>
      </c>
      <c r="C93" s="330" t="s">
        <v>140</v>
      </c>
      <c r="D93" s="330">
        <v>-48112.32</v>
      </c>
      <c r="E93" s="330">
        <v>0</v>
      </c>
      <c r="F93" s="330">
        <v>93653.41</v>
      </c>
      <c r="G93" s="330">
        <v>45541.55</v>
      </c>
      <c r="H93" s="330">
        <v>-0.46</v>
      </c>
    </row>
    <row r="94" spans="1:8">
      <c r="A94" s="330">
        <v>1900</v>
      </c>
      <c r="B94" s="651">
        <v>20412008</v>
      </c>
      <c r="C94" s="330" t="s">
        <v>141</v>
      </c>
      <c r="D94" s="330">
        <v>-48112.32</v>
      </c>
      <c r="E94" s="330">
        <v>0</v>
      </c>
      <c r="F94" s="330">
        <v>93653.41</v>
      </c>
      <c r="G94" s="330">
        <v>45541.55</v>
      </c>
      <c r="H94" s="330">
        <v>-0.46</v>
      </c>
    </row>
    <row r="95" spans="1:8">
      <c r="A95" s="330">
        <v>1900</v>
      </c>
      <c r="B95" s="651">
        <v>20412101</v>
      </c>
      <c r="C95" s="330" t="s">
        <v>142</v>
      </c>
      <c r="D95" s="330">
        <v>-43663.32</v>
      </c>
      <c r="E95" s="330">
        <v>0</v>
      </c>
      <c r="F95" s="330">
        <v>147837</v>
      </c>
      <c r="G95" s="330">
        <v>113166.46</v>
      </c>
      <c r="H95" s="330">
        <v>-8992.7800000000007</v>
      </c>
    </row>
    <row r="96" spans="1:8">
      <c r="A96" s="330">
        <v>1900</v>
      </c>
      <c r="B96" s="651">
        <v>20412102</v>
      </c>
      <c r="C96" s="330" t="s">
        <v>143</v>
      </c>
      <c r="D96" s="330">
        <v>-43663.32</v>
      </c>
      <c r="E96" s="330">
        <v>0</v>
      </c>
      <c r="F96" s="330">
        <v>147837</v>
      </c>
      <c r="G96" s="330">
        <v>113166.46</v>
      </c>
      <c r="H96" s="330">
        <v>-8992.7800000000007</v>
      </c>
    </row>
    <row r="97" spans="1:8">
      <c r="A97" s="330">
        <v>1900</v>
      </c>
      <c r="B97" s="651">
        <v>20415001</v>
      </c>
      <c r="C97" s="330" t="s">
        <v>145</v>
      </c>
      <c r="D97" s="330">
        <v>-60276.89</v>
      </c>
      <c r="E97" s="330">
        <v>0</v>
      </c>
      <c r="F97" s="330">
        <v>60278</v>
      </c>
      <c r="G97" s="330">
        <v>1.1100000000000001</v>
      </c>
      <c r="H97" s="330">
        <v>0</v>
      </c>
    </row>
    <row r="98" spans="1:8">
      <c r="A98" s="330">
        <v>1900</v>
      </c>
      <c r="B98" s="651">
        <v>20415002</v>
      </c>
      <c r="C98" s="330" t="s">
        <v>146</v>
      </c>
      <c r="D98" s="330">
        <v>20886</v>
      </c>
      <c r="E98" s="330">
        <v>0</v>
      </c>
      <c r="F98" s="330">
        <v>303038</v>
      </c>
      <c r="G98" s="330">
        <v>349171</v>
      </c>
      <c r="H98" s="330">
        <v>-25247</v>
      </c>
    </row>
    <row r="99" spans="1:8">
      <c r="A99" s="330">
        <v>1900</v>
      </c>
      <c r="B99" s="651">
        <v>20415003</v>
      </c>
      <c r="C99" s="330" t="s">
        <v>147</v>
      </c>
      <c r="D99" s="330">
        <v>0</v>
      </c>
      <c r="E99" s="330">
        <v>0</v>
      </c>
      <c r="F99" s="330">
        <v>1616152.01</v>
      </c>
      <c r="G99" s="330">
        <v>6024009.9000000004</v>
      </c>
      <c r="H99" s="330">
        <v>-4407857.8899999997</v>
      </c>
    </row>
    <row r="100" spans="1:8">
      <c r="A100" s="330">
        <v>1900</v>
      </c>
      <c r="B100" s="651">
        <v>20415004</v>
      </c>
      <c r="C100" s="330" t="s">
        <v>358</v>
      </c>
      <c r="D100" s="330">
        <v>0</v>
      </c>
      <c r="E100" s="330">
        <v>0</v>
      </c>
      <c r="F100" s="330">
        <v>3975</v>
      </c>
      <c r="G100" s="330">
        <v>3975</v>
      </c>
      <c r="H100" s="330">
        <v>0</v>
      </c>
    </row>
    <row r="101" spans="1:8">
      <c r="A101" s="330">
        <v>1900</v>
      </c>
      <c r="B101" s="651">
        <v>20415006</v>
      </c>
      <c r="C101" s="330" t="s">
        <v>148</v>
      </c>
      <c r="D101" s="330">
        <v>-106899</v>
      </c>
      <c r="E101" s="330">
        <v>0</v>
      </c>
      <c r="F101" s="330">
        <v>1263772</v>
      </c>
      <c r="G101" s="330">
        <v>1213050</v>
      </c>
      <c r="H101" s="330">
        <v>-56177</v>
      </c>
    </row>
    <row r="102" spans="1:8">
      <c r="A102" s="330">
        <v>1900</v>
      </c>
      <c r="B102" s="651">
        <v>20415007</v>
      </c>
      <c r="C102" s="330" t="s">
        <v>149</v>
      </c>
      <c r="D102" s="330">
        <v>-844881</v>
      </c>
      <c r="E102" s="330">
        <v>0</v>
      </c>
      <c r="F102" s="330">
        <v>3404785</v>
      </c>
      <c r="G102" s="330">
        <v>2569384</v>
      </c>
      <c r="H102" s="330">
        <v>-9480</v>
      </c>
    </row>
    <row r="103" spans="1:8">
      <c r="A103" s="330">
        <v>1900</v>
      </c>
      <c r="B103" s="651">
        <v>20415021</v>
      </c>
      <c r="C103" s="330" t="s">
        <v>359</v>
      </c>
      <c r="D103" s="330">
        <v>0</v>
      </c>
      <c r="E103" s="330">
        <v>0</v>
      </c>
      <c r="F103" s="330">
        <v>3156953</v>
      </c>
      <c r="G103" s="330">
        <v>3509877</v>
      </c>
      <c r="H103" s="330">
        <v>-352924</v>
      </c>
    </row>
    <row r="104" spans="1:8">
      <c r="A104" s="330">
        <v>1900</v>
      </c>
      <c r="B104" s="651">
        <v>20416001</v>
      </c>
      <c r="C104" s="330" t="s">
        <v>410</v>
      </c>
      <c r="D104" s="330">
        <v>0</v>
      </c>
      <c r="E104" s="330">
        <v>0</v>
      </c>
      <c r="F104" s="330">
        <v>54109</v>
      </c>
      <c r="G104" s="330">
        <v>60446</v>
      </c>
      <c r="H104" s="330">
        <v>-6337</v>
      </c>
    </row>
    <row r="105" spans="1:8">
      <c r="A105" s="330">
        <v>1900</v>
      </c>
      <c r="B105" s="651">
        <v>20416002</v>
      </c>
      <c r="C105" s="330" t="s">
        <v>409</v>
      </c>
      <c r="D105" s="330">
        <v>0</v>
      </c>
      <c r="E105" s="330">
        <v>0</v>
      </c>
      <c r="F105" s="330">
        <v>13502</v>
      </c>
      <c r="G105" s="330">
        <v>13502</v>
      </c>
      <c r="H105" s="330">
        <v>0</v>
      </c>
    </row>
    <row r="106" spans="1:8">
      <c r="A106" s="330">
        <v>1900</v>
      </c>
      <c r="B106" s="651">
        <v>20416003</v>
      </c>
      <c r="C106" s="330" t="s">
        <v>408</v>
      </c>
      <c r="D106" s="330">
        <v>0</v>
      </c>
      <c r="E106" s="330">
        <v>0</v>
      </c>
      <c r="F106" s="330">
        <v>54103</v>
      </c>
      <c r="G106" s="330">
        <v>60440</v>
      </c>
      <c r="H106" s="330">
        <v>-6337</v>
      </c>
    </row>
    <row r="107" spans="1:8">
      <c r="A107" s="330">
        <v>1900</v>
      </c>
      <c r="B107" s="651">
        <v>20416004</v>
      </c>
      <c r="C107" s="330" t="s">
        <v>407</v>
      </c>
      <c r="D107" s="330">
        <v>0</v>
      </c>
      <c r="E107" s="330">
        <v>0</v>
      </c>
      <c r="F107" s="330">
        <v>1298488</v>
      </c>
      <c r="G107" s="330">
        <v>1450574</v>
      </c>
      <c r="H107" s="330">
        <v>-152086</v>
      </c>
    </row>
    <row r="108" spans="1:8">
      <c r="A108" s="330">
        <v>1900</v>
      </c>
      <c r="B108" s="651">
        <v>20420001</v>
      </c>
      <c r="C108" s="330" t="s">
        <v>406</v>
      </c>
      <c r="D108" s="330">
        <v>0</v>
      </c>
      <c r="E108" s="330">
        <v>0</v>
      </c>
      <c r="F108" s="330">
        <v>98361817</v>
      </c>
      <c r="G108" s="330">
        <v>104036790</v>
      </c>
      <c r="H108" s="330">
        <v>-5674973</v>
      </c>
    </row>
    <row r="109" spans="1:8">
      <c r="A109" s="330">
        <v>1900</v>
      </c>
      <c r="B109" s="651">
        <v>20420003</v>
      </c>
      <c r="C109" s="330" t="s">
        <v>405</v>
      </c>
      <c r="D109" s="330">
        <v>0</v>
      </c>
      <c r="E109" s="330">
        <v>0</v>
      </c>
      <c r="F109" s="330">
        <v>1298488</v>
      </c>
      <c r="G109" s="330">
        <v>1450574</v>
      </c>
      <c r="H109" s="330">
        <v>-152086</v>
      </c>
    </row>
    <row r="110" spans="1:8">
      <c r="A110" s="330">
        <v>1900</v>
      </c>
      <c r="B110" s="651">
        <v>20420004</v>
      </c>
      <c r="C110" s="330" t="s">
        <v>404</v>
      </c>
      <c r="D110" s="330">
        <v>0</v>
      </c>
      <c r="E110" s="330">
        <v>0</v>
      </c>
      <c r="F110" s="330">
        <v>171925</v>
      </c>
      <c r="G110" s="330">
        <v>176175</v>
      </c>
      <c r="H110" s="330">
        <v>-4250</v>
      </c>
    </row>
    <row r="111" spans="1:8">
      <c r="A111" s="330">
        <v>1900</v>
      </c>
      <c r="B111" s="651">
        <v>20420005</v>
      </c>
      <c r="C111" s="330" t="s">
        <v>403</v>
      </c>
      <c r="D111" s="330">
        <v>0</v>
      </c>
      <c r="E111" s="330">
        <v>0</v>
      </c>
      <c r="F111" s="330">
        <v>808654</v>
      </c>
      <c r="G111" s="330">
        <v>808654</v>
      </c>
      <c r="H111" s="330">
        <v>0</v>
      </c>
    </row>
    <row r="112" spans="1:8">
      <c r="A112" s="330">
        <v>1900</v>
      </c>
      <c r="B112" s="651">
        <v>20420006</v>
      </c>
      <c r="C112" s="330" t="s">
        <v>402</v>
      </c>
      <c r="D112" s="330">
        <v>0</v>
      </c>
      <c r="E112" s="330">
        <v>0</v>
      </c>
      <c r="F112" s="330">
        <v>26300</v>
      </c>
      <c r="G112" s="330">
        <v>26300</v>
      </c>
      <c r="H112" s="330">
        <v>0</v>
      </c>
    </row>
    <row r="113" spans="1:8">
      <c r="A113" s="330">
        <v>1900</v>
      </c>
      <c r="B113" s="651">
        <v>20420009</v>
      </c>
      <c r="C113" s="330" t="s">
        <v>452</v>
      </c>
      <c r="D113" s="330">
        <v>0</v>
      </c>
      <c r="E113" s="330">
        <v>0</v>
      </c>
      <c r="F113" s="330">
        <v>2500</v>
      </c>
      <c r="G113" s="330">
        <v>5000</v>
      </c>
      <c r="H113" s="330">
        <v>-2500</v>
      </c>
    </row>
    <row r="114" spans="1:8">
      <c r="A114" s="330">
        <v>1900</v>
      </c>
      <c r="B114" s="651">
        <v>20420032</v>
      </c>
      <c r="C114" s="330" t="s">
        <v>132</v>
      </c>
      <c r="D114" s="330">
        <v>-180000</v>
      </c>
      <c r="E114" s="330">
        <v>0</v>
      </c>
      <c r="F114" s="330">
        <v>400000</v>
      </c>
      <c r="G114" s="330">
        <v>400000</v>
      </c>
      <c r="H114" s="330">
        <v>-180000</v>
      </c>
    </row>
    <row r="115" spans="1:8">
      <c r="A115" s="330">
        <v>1900</v>
      </c>
      <c r="B115" s="651">
        <v>20420033</v>
      </c>
      <c r="C115" s="330" t="s">
        <v>131</v>
      </c>
      <c r="D115" s="330">
        <v>0</v>
      </c>
      <c r="E115" s="330">
        <v>0</v>
      </c>
      <c r="F115" s="330">
        <v>0</v>
      </c>
      <c r="G115" s="330">
        <v>7500</v>
      </c>
      <c r="H115" s="330">
        <v>-7500</v>
      </c>
    </row>
    <row r="116" spans="1:8">
      <c r="A116" s="330">
        <v>1900</v>
      </c>
      <c r="B116" s="651">
        <v>20420202</v>
      </c>
      <c r="C116" s="330" t="s">
        <v>360</v>
      </c>
      <c r="D116" s="330">
        <v>0</v>
      </c>
      <c r="E116" s="330">
        <v>0</v>
      </c>
      <c r="F116" s="330">
        <v>15476.04</v>
      </c>
      <c r="G116" s="330">
        <v>15476.04</v>
      </c>
      <c r="H116" s="330">
        <v>0</v>
      </c>
    </row>
    <row r="117" spans="1:8">
      <c r="A117" s="330">
        <v>1900</v>
      </c>
      <c r="B117" s="651">
        <v>20420203</v>
      </c>
      <c r="C117" s="330" t="s">
        <v>361</v>
      </c>
      <c r="D117" s="330">
        <v>0</v>
      </c>
      <c r="E117" s="330">
        <v>0</v>
      </c>
      <c r="F117" s="330">
        <v>40443.879999999997</v>
      </c>
      <c r="G117" s="330">
        <v>40443.879999999997</v>
      </c>
      <c r="H117" s="330">
        <v>0</v>
      </c>
    </row>
    <row r="118" spans="1:8">
      <c r="A118" s="330">
        <v>1900</v>
      </c>
      <c r="B118" s="651">
        <v>20440001</v>
      </c>
      <c r="C118" s="330" t="s">
        <v>362</v>
      </c>
      <c r="D118" s="330">
        <v>-868866.94</v>
      </c>
      <c r="E118" s="330">
        <v>0</v>
      </c>
      <c r="F118" s="330">
        <v>21495491.23</v>
      </c>
      <c r="G118" s="330">
        <v>22888533.629999999</v>
      </c>
      <c r="H118" s="330">
        <v>-2261909.34</v>
      </c>
    </row>
    <row r="119" spans="1:8">
      <c r="A119" s="330">
        <v>1900</v>
      </c>
      <c r="B119" s="651">
        <v>20440002</v>
      </c>
      <c r="C119" s="330" t="s">
        <v>363</v>
      </c>
      <c r="D119" s="330">
        <v>-569244334.20000005</v>
      </c>
      <c r="E119" s="330">
        <v>0</v>
      </c>
      <c r="F119" s="330">
        <v>935630945.76999998</v>
      </c>
      <c r="G119" s="330">
        <v>701261335.45000005</v>
      </c>
      <c r="H119" s="330">
        <v>-334874723.88</v>
      </c>
    </row>
    <row r="120" spans="1:8">
      <c r="A120" s="330">
        <v>1900</v>
      </c>
      <c r="B120" s="651">
        <v>20440003</v>
      </c>
      <c r="C120" s="330" t="s">
        <v>364</v>
      </c>
      <c r="D120" s="330">
        <v>0</v>
      </c>
      <c r="E120" s="330">
        <v>0</v>
      </c>
      <c r="F120" s="330">
        <v>151562</v>
      </c>
      <c r="G120" s="330">
        <v>151562</v>
      </c>
      <c r="H120" s="330">
        <v>0</v>
      </c>
    </row>
    <row r="121" spans="1:8">
      <c r="A121" s="330">
        <v>1900</v>
      </c>
      <c r="B121" s="651">
        <v>20440004</v>
      </c>
      <c r="C121" s="330" t="s">
        <v>365</v>
      </c>
      <c r="D121" s="330">
        <v>-1424305.94</v>
      </c>
      <c r="E121" s="330">
        <v>0</v>
      </c>
      <c r="F121" s="330">
        <v>28318181.25</v>
      </c>
      <c r="G121" s="330">
        <v>28390384.59</v>
      </c>
      <c r="H121" s="330">
        <v>-1496509.28</v>
      </c>
    </row>
    <row r="122" spans="1:8">
      <c r="A122" s="330">
        <v>1900</v>
      </c>
      <c r="B122" s="651">
        <v>20440007</v>
      </c>
      <c r="C122" s="330" t="s">
        <v>366</v>
      </c>
      <c r="D122" s="330">
        <v>-82169</v>
      </c>
      <c r="E122" s="330">
        <v>0</v>
      </c>
      <c r="F122" s="330">
        <v>829402</v>
      </c>
      <c r="G122" s="330">
        <v>798291</v>
      </c>
      <c r="H122" s="330">
        <v>-51058</v>
      </c>
    </row>
    <row r="123" spans="1:8">
      <c r="A123" s="330">
        <v>1900</v>
      </c>
      <c r="B123" s="651">
        <v>20440051</v>
      </c>
      <c r="C123" s="330" t="s">
        <v>367</v>
      </c>
      <c r="D123" s="330">
        <v>0</v>
      </c>
      <c r="E123" s="330">
        <v>0</v>
      </c>
      <c r="F123" s="330">
        <v>300000000</v>
      </c>
      <c r="G123" s="330">
        <v>300000000</v>
      </c>
      <c r="H123" s="330">
        <v>0</v>
      </c>
    </row>
    <row r="124" spans="1:8">
      <c r="A124" s="330">
        <v>1900</v>
      </c>
      <c r="B124" s="651">
        <v>20450001</v>
      </c>
      <c r="C124" s="330" t="s">
        <v>368</v>
      </c>
      <c r="D124" s="330">
        <v>0</v>
      </c>
      <c r="E124" s="330">
        <v>0</v>
      </c>
      <c r="F124" s="330">
        <v>4379503.2699999996</v>
      </c>
      <c r="G124" s="330">
        <v>4379503.2699999996</v>
      </c>
      <c r="H124" s="330">
        <v>0</v>
      </c>
    </row>
    <row r="125" spans="1:8">
      <c r="A125" s="330">
        <v>1900</v>
      </c>
      <c r="B125" s="651">
        <v>20450002</v>
      </c>
      <c r="C125" s="330" t="s">
        <v>369</v>
      </c>
      <c r="D125" s="330">
        <v>0</v>
      </c>
      <c r="E125" s="330">
        <v>0</v>
      </c>
      <c r="F125" s="330">
        <v>590542550.89999998</v>
      </c>
      <c r="G125" s="330">
        <v>590542550.89999998</v>
      </c>
      <c r="H125" s="330">
        <v>0</v>
      </c>
    </row>
    <row r="126" spans="1:8">
      <c r="A126" s="330">
        <v>1900</v>
      </c>
      <c r="B126" s="651">
        <v>20450005</v>
      </c>
      <c r="C126" s="330" t="s">
        <v>370</v>
      </c>
      <c r="D126" s="330">
        <v>0</v>
      </c>
      <c r="E126" s="330">
        <v>0</v>
      </c>
      <c r="F126" s="330">
        <v>6210436.6299999999</v>
      </c>
      <c r="G126" s="330">
        <v>6210436.6299999999</v>
      </c>
      <c r="H126" s="330">
        <v>0</v>
      </c>
    </row>
    <row r="127" spans="1:8">
      <c r="A127" s="330">
        <v>1900</v>
      </c>
      <c r="B127" s="651">
        <v>20490001</v>
      </c>
      <c r="C127" s="330" t="s">
        <v>104</v>
      </c>
      <c r="D127" s="330">
        <v>-3862156.67</v>
      </c>
      <c r="E127" s="330">
        <v>0</v>
      </c>
      <c r="F127" s="330">
        <v>12417809.939999999</v>
      </c>
      <c r="G127" s="330">
        <v>10070751.939999999</v>
      </c>
      <c r="H127" s="330">
        <v>-1515098.67</v>
      </c>
    </row>
    <row r="128" spans="1:8">
      <c r="A128" s="330">
        <v>1900</v>
      </c>
      <c r="B128" s="651">
        <v>20610011</v>
      </c>
      <c r="C128" s="330" t="s">
        <v>371</v>
      </c>
      <c r="D128" s="330">
        <v>0</v>
      </c>
      <c r="E128" s="330">
        <v>0</v>
      </c>
      <c r="F128" s="330">
        <v>762526876.20000005</v>
      </c>
      <c r="G128" s="330">
        <v>762526876.20000005</v>
      </c>
      <c r="H128" s="330">
        <v>0</v>
      </c>
    </row>
    <row r="129" spans="1:8">
      <c r="A129" s="330">
        <v>1900</v>
      </c>
      <c r="B129" s="651">
        <v>20610050</v>
      </c>
      <c r="C129" s="330" t="s">
        <v>401</v>
      </c>
      <c r="D129" s="330">
        <v>0</v>
      </c>
      <c r="E129" s="330">
        <v>0</v>
      </c>
      <c r="F129" s="330">
        <v>2549638</v>
      </c>
      <c r="G129" s="330">
        <v>2549638</v>
      </c>
      <c r="H129" s="330">
        <v>0</v>
      </c>
    </row>
    <row r="130" spans="1:8">
      <c r="A130" s="330">
        <v>1900</v>
      </c>
      <c r="B130" s="651">
        <v>20710001</v>
      </c>
      <c r="C130" s="330" t="s">
        <v>105</v>
      </c>
      <c r="D130" s="330">
        <v>-1149942404.79</v>
      </c>
      <c r="E130" s="330">
        <v>0</v>
      </c>
      <c r="F130" s="330">
        <v>118840963.64</v>
      </c>
      <c r="G130" s="330">
        <v>48909538.689999998</v>
      </c>
      <c r="H130" s="330">
        <v>-1080010979.8399999</v>
      </c>
    </row>
    <row r="131" spans="1:8">
      <c r="A131" s="330">
        <v>1900</v>
      </c>
      <c r="B131" s="651">
        <v>20710003</v>
      </c>
      <c r="C131" s="330" t="s">
        <v>106</v>
      </c>
      <c r="D131" s="330">
        <v>-56136699.979999997</v>
      </c>
      <c r="E131" s="330">
        <v>0</v>
      </c>
      <c r="F131" s="330">
        <v>8725600.3900000006</v>
      </c>
      <c r="G131" s="330">
        <v>3068424.92</v>
      </c>
      <c r="H131" s="330">
        <v>-50479524.509999998</v>
      </c>
    </row>
    <row r="132" spans="1:8">
      <c r="A132" s="330">
        <v>1900</v>
      </c>
      <c r="B132" s="651">
        <v>20710011</v>
      </c>
      <c r="C132" s="330" t="s">
        <v>107</v>
      </c>
      <c r="D132" s="330">
        <v>-8849234.7599999998</v>
      </c>
      <c r="E132" s="330">
        <v>0</v>
      </c>
      <c r="F132" s="330">
        <v>57432075.799999997</v>
      </c>
      <c r="G132" s="330">
        <v>57104447.700000003</v>
      </c>
      <c r="H132" s="330">
        <v>-8521606.6600000001</v>
      </c>
    </row>
    <row r="133" spans="1:8">
      <c r="A133" s="330">
        <v>1900</v>
      </c>
      <c r="B133" s="651">
        <v>20710013</v>
      </c>
      <c r="C133" s="330" t="s">
        <v>109</v>
      </c>
      <c r="D133" s="330">
        <v>2358044.7599999998</v>
      </c>
      <c r="E133" s="330">
        <v>0</v>
      </c>
      <c r="F133" s="330">
        <v>1238084.8</v>
      </c>
      <c r="G133" s="330">
        <v>2411164.9</v>
      </c>
      <c r="H133" s="330">
        <v>1184964.6599999999</v>
      </c>
    </row>
    <row r="134" spans="1:8">
      <c r="A134" s="330">
        <v>1900</v>
      </c>
      <c r="B134" s="651">
        <v>20710015</v>
      </c>
      <c r="C134" s="330" t="s">
        <v>111</v>
      </c>
      <c r="D134" s="330">
        <v>13298862</v>
      </c>
      <c r="E134" s="330">
        <v>0</v>
      </c>
      <c r="F134" s="330">
        <v>58336400.439999998</v>
      </c>
      <c r="G134" s="330">
        <v>50087718.420000002</v>
      </c>
      <c r="H134" s="330">
        <v>21547544.02</v>
      </c>
    </row>
    <row r="135" spans="1:8">
      <c r="A135" s="330">
        <v>1900</v>
      </c>
      <c r="B135" s="651">
        <v>20710016</v>
      </c>
      <c r="C135" s="330" t="s">
        <v>113</v>
      </c>
      <c r="D135" s="330">
        <v>-600</v>
      </c>
      <c r="E135" s="330">
        <v>0</v>
      </c>
      <c r="F135" s="330">
        <v>0</v>
      </c>
      <c r="G135" s="330">
        <v>0</v>
      </c>
      <c r="H135" s="330">
        <v>-600</v>
      </c>
    </row>
    <row r="136" spans="1:8">
      <c r="A136" s="330">
        <v>1900</v>
      </c>
      <c r="B136" s="651">
        <v>20710019</v>
      </c>
      <c r="C136" s="330" t="s">
        <v>115</v>
      </c>
      <c r="D136" s="330">
        <v>79000</v>
      </c>
      <c r="E136" s="330">
        <v>0</v>
      </c>
      <c r="F136" s="330">
        <v>109774747.11</v>
      </c>
      <c r="G136" s="330">
        <v>121271582.11</v>
      </c>
      <c r="H136" s="330">
        <v>-11417835</v>
      </c>
    </row>
    <row r="137" spans="1:8">
      <c r="A137" s="330">
        <v>1900</v>
      </c>
      <c r="B137" s="651">
        <v>20710022</v>
      </c>
      <c r="C137" s="330" t="s">
        <v>372</v>
      </c>
      <c r="D137" s="330">
        <v>624500</v>
      </c>
      <c r="E137" s="330">
        <v>0</v>
      </c>
      <c r="F137" s="330">
        <v>14890800</v>
      </c>
      <c r="G137" s="330">
        <v>15515300</v>
      </c>
      <c r="H137" s="330">
        <v>0</v>
      </c>
    </row>
    <row r="138" spans="1:8">
      <c r="A138" s="330">
        <v>1900</v>
      </c>
      <c r="B138" s="651">
        <v>20710101</v>
      </c>
      <c r="C138" s="330" t="s">
        <v>119</v>
      </c>
      <c r="D138" s="330">
        <v>-1285494500.98</v>
      </c>
      <c r="E138" s="330">
        <v>0</v>
      </c>
      <c r="F138" s="330">
        <v>117669280.26000001</v>
      </c>
      <c r="G138" s="330">
        <v>123313802.56</v>
      </c>
      <c r="H138" s="330">
        <v>-1291139023.28</v>
      </c>
    </row>
    <row r="139" spans="1:8">
      <c r="A139" s="330">
        <v>1900</v>
      </c>
      <c r="B139" s="651">
        <v>30000072</v>
      </c>
      <c r="C139" s="330" t="s">
        <v>543</v>
      </c>
      <c r="D139" s="330">
        <v>0</v>
      </c>
      <c r="E139" s="330">
        <v>0</v>
      </c>
      <c r="F139" s="330">
        <v>0</v>
      </c>
      <c r="G139" s="330">
        <v>362900000</v>
      </c>
      <c r="H139" s="330">
        <v>-362900000</v>
      </c>
    </row>
    <row r="140" spans="1:8">
      <c r="A140" s="330">
        <v>1900</v>
      </c>
      <c r="B140" s="651">
        <v>30100003</v>
      </c>
      <c r="C140" s="330" t="s">
        <v>196</v>
      </c>
      <c r="D140" s="330">
        <v>0</v>
      </c>
      <c r="E140" s="330">
        <v>0</v>
      </c>
      <c r="F140" s="330">
        <v>35593.18</v>
      </c>
      <c r="G140" s="330">
        <v>432816.92</v>
      </c>
      <c r="H140" s="330">
        <v>-397223.74</v>
      </c>
    </row>
    <row r="141" spans="1:8">
      <c r="A141" s="330">
        <v>1900</v>
      </c>
      <c r="B141" s="651">
        <v>30100011</v>
      </c>
      <c r="C141" s="330" t="s">
        <v>200</v>
      </c>
      <c r="D141" s="330">
        <v>0</v>
      </c>
      <c r="E141" s="330">
        <v>0</v>
      </c>
      <c r="F141" s="330">
        <v>415885.62</v>
      </c>
      <c r="G141" s="330">
        <v>415885.62</v>
      </c>
      <c r="H141" s="330">
        <v>0</v>
      </c>
    </row>
    <row r="142" spans="1:8">
      <c r="A142" s="330">
        <v>1900</v>
      </c>
      <c r="B142" s="651">
        <v>30100201</v>
      </c>
      <c r="C142" s="330" t="s">
        <v>400</v>
      </c>
      <c r="D142" s="330">
        <v>0</v>
      </c>
      <c r="E142" s="330">
        <v>0</v>
      </c>
      <c r="F142" s="330">
        <v>21120</v>
      </c>
      <c r="G142" s="330">
        <v>21120</v>
      </c>
      <c r="H142" s="330">
        <v>0</v>
      </c>
    </row>
    <row r="143" spans="1:8">
      <c r="A143" s="330">
        <v>1900</v>
      </c>
      <c r="B143" s="651">
        <v>30101002</v>
      </c>
      <c r="C143" s="330" t="s">
        <v>373</v>
      </c>
      <c r="D143" s="330">
        <v>0</v>
      </c>
      <c r="E143" s="330">
        <v>0</v>
      </c>
      <c r="F143" s="330">
        <v>0</v>
      </c>
      <c r="G143" s="330">
        <v>2867899.82</v>
      </c>
      <c r="H143" s="330">
        <v>-2867899.82</v>
      </c>
    </row>
    <row r="144" spans="1:8">
      <c r="A144" s="330">
        <v>1900</v>
      </c>
      <c r="B144" s="651">
        <v>40100003</v>
      </c>
      <c r="C144" s="330" t="s">
        <v>209</v>
      </c>
      <c r="D144" s="330">
        <v>0</v>
      </c>
      <c r="E144" s="330">
        <v>0</v>
      </c>
      <c r="F144" s="330">
        <v>134580</v>
      </c>
      <c r="G144" s="330">
        <v>0</v>
      </c>
      <c r="H144" s="330">
        <v>134580</v>
      </c>
    </row>
    <row r="145" spans="1:8">
      <c r="A145" s="330">
        <v>1900</v>
      </c>
      <c r="B145" s="651">
        <v>40100004</v>
      </c>
      <c r="C145" s="330" t="s">
        <v>210</v>
      </c>
      <c r="D145" s="330">
        <v>0</v>
      </c>
      <c r="E145" s="330">
        <v>0</v>
      </c>
      <c r="F145" s="330">
        <v>1530094</v>
      </c>
      <c r="G145" s="330">
        <v>0</v>
      </c>
      <c r="H145" s="330">
        <v>1530094</v>
      </c>
    </row>
    <row r="146" spans="1:8">
      <c r="A146" s="330">
        <v>1900</v>
      </c>
      <c r="B146" s="651">
        <v>40100005</v>
      </c>
      <c r="C146" s="330" t="s">
        <v>211</v>
      </c>
      <c r="D146" s="330">
        <v>0</v>
      </c>
      <c r="E146" s="330">
        <v>0</v>
      </c>
      <c r="F146" s="330">
        <v>147188</v>
      </c>
      <c r="G146" s="330">
        <v>0</v>
      </c>
      <c r="H146" s="330">
        <v>147188</v>
      </c>
    </row>
    <row r="147" spans="1:8">
      <c r="A147" s="330">
        <v>1900</v>
      </c>
      <c r="B147" s="651">
        <v>40100007</v>
      </c>
      <c r="C147" s="330" t="s">
        <v>212</v>
      </c>
      <c r="D147" s="330">
        <v>0</v>
      </c>
      <c r="E147" s="330">
        <v>0</v>
      </c>
      <c r="F147" s="330">
        <v>1599995.4</v>
      </c>
      <c r="G147" s="330">
        <v>200000</v>
      </c>
      <c r="H147" s="330">
        <v>1399995.4</v>
      </c>
    </row>
    <row r="148" spans="1:8">
      <c r="A148" s="330">
        <v>1900</v>
      </c>
      <c r="B148" s="651">
        <v>40100008</v>
      </c>
      <c r="C148" s="330" t="s">
        <v>213</v>
      </c>
      <c r="D148" s="330">
        <v>0</v>
      </c>
      <c r="E148" s="330">
        <v>0</v>
      </c>
      <c r="F148" s="330">
        <v>1196639</v>
      </c>
      <c r="G148" s="330">
        <v>3000</v>
      </c>
      <c r="H148" s="330">
        <v>1193639</v>
      </c>
    </row>
    <row r="149" spans="1:8">
      <c r="A149" s="330">
        <v>1900</v>
      </c>
      <c r="B149" s="651">
        <v>40200002</v>
      </c>
      <c r="C149" s="330" t="s">
        <v>217</v>
      </c>
      <c r="D149" s="330">
        <v>0</v>
      </c>
      <c r="E149" s="330">
        <v>0</v>
      </c>
      <c r="F149" s="330">
        <v>6640637</v>
      </c>
      <c r="G149" s="330">
        <v>50360</v>
      </c>
      <c r="H149" s="330">
        <v>6590277</v>
      </c>
    </row>
    <row r="150" spans="1:8">
      <c r="A150" s="330">
        <v>1900</v>
      </c>
      <c r="B150" s="651">
        <v>40200004</v>
      </c>
      <c r="C150" s="330" t="s">
        <v>399</v>
      </c>
      <c r="D150" s="330">
        <v>0</v>
      </c>
      <c r="E150" s="330">
        <v>0</v>
      </c>
      <c r="F150" s="330">
        <v>671500</v>
      </c>
      <c r="G150" s="330">
        <v>0</v>
      </c>
      <c r="H150" s="330">
        <v>671500</v>
      </c>
    </row>
    <row r="151" spans="1:8">
      <c r="A151" s="330">
        <v>1900</v>
      </c>
      <c r="B151" s="651">
        <v>40200005</v>
      </c>
      <c r="C151" s="330" t="s">
        <v>218</v>
      </c>
      <c r="D151" s="330">
        <v>0</v>
      </c>
      <c r="E151" s="330">
        <v>0</v>
      </c>
      <c r="F151" s="330">
        <v>764422</v>
      </c>
      <c r="G151" s="330">
        <v>0</v>
      </c>
      <c r="H151" s="330">
        <v>764422</v>
      </c>
    </row>
    <row r="152" spans="1:8">
      <c r="A152" s="330">
        <v>1900</v>
      </c>
      <c r="B152" s="651">
        <v>40200032</v>
      </c>
      <c r="C152" s="330" t="s">
        <v>374</v>
      </c>
      <c r="D152" s="330">
        <v>0</v>
      </c>
      <c r="E152" s="330">
        <v>0</v>
      </c>
      <c r="F152" s="330">
        <v>20106.04</v>
      </c>
      <c r="G152" s="330">
        <v>0</v>
      </c>
      <c r="H152" s="330">
        <v>20106.04</v>
      </c>
    </row>
    <row r="153" spans="1:8">
      <c r="A153" s="330">
        <v>1900</v>
      </c>
      <c r="B153" s="651">
        <v>40300003</v>
      </c>
      <c r="C153" s="330" t="s">
        <v>205</v>
      </c>
      <c r="D153" s="330">
        <v>0</v>
      </c>
      <c r="E153" s="330">
        <v>0</v>
      </c>
      <c r="F153" s="330">
        <v>3267147.7</v>
      </c>
      <c r="G153" s="330">
        <v>164262.75</v>
      </c>
      <c r="H153" s="330">
        <v>3102884.95</v>
      </c>
    </row>
    <row r="154" spans="1:8">
      <c r="A154" s="330">
        <v>1900</v>
      </c>
      <c r="B154" s="651">
        <v>40300006</v>
      </c>
      <c r="C154" s="330" t="s">
        <v>375</v>
      </c>
      <c r="D154" s="330">
        <v>0</v>
      </c>
      <c r="E154" s="330">
        <v>0</v>
      </c>
      <c r="F154" s="330">
        <v>29135</v>
      </c>
      <c r="G154" s="330">
        <v>29135</v>
      </c>
      <c r="H154" s="330">
        <v>0</v>
      </c>
    </row>
    <row r="155" spans="1:8">
      <c r="A155" s="330">
        <v>1900</v>
      </c>
      <c r="B155" s="651">
        <v>40300008</v>
      </c>
      <c r="C155" s="330" t="s">
        <v>454</v>
      </c>
      <c r="D155" s="330">
        <v>0</v>
      </c>
      <c r="E155" s="330">
        <v>0</v>
      </c>
      <c r="F155" s="330">
        <v>801105.77</v>
      </c>
      <c r="G155" s="330">
        <v>0</v>
      </c>
      <c r="H155" s="330">
        <v>801105.77</v>
      </c>
    </row>
    <row r="156" spans="1:8">
      <c r="A156" s="330">
        <v>1900</v>
      </c>
      <c r="B156" s="651">
        <v>40300009</v>
      </c>
      <c r="C156" s="330" t="s">
        <v>455</v>
      </c>
      <c r="D156" s="330">
        <v>0</v>
      </c>
      <c r="E156" s="330">
        <v>0</v>
      </c>
      <c r="F156" s="330">
        <v>1809</v>
      </c>
      <c r="G156" s="330">
        <v>1809</v>
      </c>
      <c r="H156" s="330">
        <v>0</v>
      </c>
    </row>
    <row r="157" spans="1:8">
      <c r="A157" s="330">
        <v>1900</v>
      </c>
      <c r="B157" s="651">
        <v>40300010</v>
      </c>
      <c r="C157" s="330" t="s">
        <v>376</v>
      </c>
      <c r="D157" s="330">
        <v>0</v>
      </c>
      <c r="E157" s="330">
        <v>0</v>
      </c>
      <c r="F157" s="330">
        <v>270626.59000000003</v>
      </c>
      <c r="G157" s="330">
        <v>270626.59000000003</v>
      </c>
      <c r="H157" s="330">
        <v>0</v>
      </c>
    </row>
    <row r="158" spans="1:8">
      <c r="A158" s="330">
        <v>1900</v>
      </c>
      <c r="B158" s="651">
        <v>40400002</v>
      </c>
      <c r="C158" s="330" t="s">
        <v>206</v>
      </c>
      <c r="D158" s="330">
        <v>0</v>
      </c>
      <c r="E158" s="330">
        <v>0</v>
      </c>
      <c r="F158" s="330">
        <v>331055703.76999998</v>
      </c>
      <c r="G158" s="330">
        <v>189899193.96000001</v>
      </c>
      <c r="H158" s="330">
        <v>141156509.81</v>
      </c>
    </row>
    <row r="159" spans="1:8">
      <c r="A159" s="330">
        <v>1900</v>
      </c>
      <c r="B159" s="651">
        <v>40400003</v>
      </c>
      <c r="C159" s="330" t="s">
        <v>207</v>
      </c>
      <c r="D159" s="330">
        <v>0</v>
      </c>
      <c r="E159" s="330">
        <v>0</v>
      </c>
      <c r="F159" s="330">
        <v>781859</v>
      </c>
      <c r="G159" s="330">
        <v>0</v>
      </c>
      <c r="H159" s="330">
        <v>781859</v>
      </c>
    </row>
    <row r="160" spans="1:8">
      <c r="A160" s="330">
        <v>1900</v>
      </c>
      <c r="B160" s="651">
        <v>40400004</v>
      </c>
      <c r="C160" s="330" t="s">
        <v>208</v>
      </c>
      <c r="D160" s="330">
        <v>0</v>
      </c>
      <c r="E160" s="330">
        <v>0</v>
      </c>
      <c r="F160" s="330">
        <v>4261.12</v>
      </c>
      <c r="G160" s="330">
        <v>0</v>
      </c>
      <c r="H160" s="330">
        <v>4261.12</v>
      </c>
    </row>
    <row r="161" spans="1:8">
      <c r="A161" s="330">
        <v>1900</v>
      </c>
      <c r="B161" s="651">
        <v>40500001</v>
      </c>
      <c r="C161" s="330" t="s">
        <v>216</v>
      </c>
      <c r="D161" s="330">
        <v>0</v>
      </c>
      <c r="E161" s="330">
        <v>0</v>
      </c>
      <c r="F161" s="330">
        <v>11628000</v>
      </c>
      <c r="G161" s="330">
        <v>0</v>
      </c>
      <c r="H161" s="330">
        <v>11628000</v>
      </c>
    </row>
    <row r="162" spans="1:8">
      <c r="A162" s="330">
        <v>1900</v>
      </c>
      <c r="B162" s="651">
        <v>40700001</v>
      </c>
      <c r="C162" s="330" t="s">
        <v>219</v>
      </c>
      <c r="D162" s="330">
        <v>0</v>
      </c>
      <c r="E162" s="330">
        <v>0</v>
      </c>
      <c r="F162" s="330">
        <v>14214357.970000001</v>
      </c>
      <c r="G162" s="330">
        <v>0</v>
      </c>
      <c r="H162" s="330">
        <v>14214357.970000001</v>
      </c>
    </row>
    <row r="163" spans="1:8">
      <c r="A163" s="330">
        <v>1900</v>
      </c>
      <c r="B163" s="651">
        <v>40700002</v>
      </c>
      <c r="C163" s="330" t="s">
        <v>220</v>
      </c>
      <c r="D163" s="330">
        <v>0</v>
      </c>
      <c r="E163" s="330">
        <v>0</v>
      </c>
      <c r="F163" s="330">
        <v>14214357.970000001</v>
      </c>
      <c r="G163" s="330">
        <v>0</v>
      </c>
      <c r="H163" s="330">
        <v>14214357.970000001</v>
      </c>
    </row>
    <row r="164" spans="1:8">
      <c r="A164" s="330">
        <v>1900</v>
      </c>
      <c r="B164" s="651">
        <v>40800052</v>
      </c>
      <c r="C164" s="330" t="s">
        <v>215</v>
      </c>
      <c r="D164" s="330">
        <v>0</v>
      </c>
      <c r="E164" s="330">
        <v>0</v>
      </c>
      <c r="F164" s="330">
        <v>904090.32</v>
      </c>
      <c r="G164" s="330">
        <v>156780</v>
      </c>
      <c r="H164" s="330">
        <v>747310.32</v>
      </c>
    </row>
    <row r="165" spans="1:8">
      <c r="A165" s="330">
        <v>1900</v>
      </c>
      <c r="B165" s="651">
        <v>40900201</v>
      </c>
      <c r="C165" s="330" t="s">
        <v>544</v>
      </c>
      <c r="D165" s="330">
        <v>0</v>
      </c>
      <c r="E165" s="330">
        <v>0</v>
      </c>
      <c r="F165" s="330">
        <v>300000</v>
      </c>
      <c r="G165" s="330">
        <v>0</v>
      </c>
      <c r="H165" s="330">
        <v>300000</v>
      </c>
    </row>
    <row r="166" spans="1:8">
      <c r="A166" s="330">
        <v>1900</v>
      </c>
      <c r="B166" s="651">
        <v>45100001</v>
      </c>
      <c r="C166" s="330" t="s">
        <v>398</v>
      </c>
      <c r="D166" s="330">
        <v>0</v>
      </c>
      <c r="E166" s="330">
        <v>0</v>
      </c>
      <c r="F166" s="330">
        <v>58040948</v>
      </c>
      <c r="G166" s="330">
        <v>34210</v>
      </c>
      <c r="H166" s="330">
        <v>58006738</v>
      </c>
    </row>
    <row r="167" spans="1:8">
      <c r="A167" s="330">
        <v>1900</v>
      </c>
      <c r="B167" s="651">
        <v>45100005</v>
      </c>
      <c r="C167" s="330" t="s">
        <v>397</v>
      </c>
      <c r="D167" s="330">
        <v>0</v>
      </c>
      <c r="E167" s="330">
        <v>0</v>
      </c>
      <c r="F167" s="330">
        <v>402674</v>
      </c>
      <c r="G167" s="330">
        <v>19836</v>
      </c>
      <c r="H167" s="330">
        <v>382838</v>
      </c>
    </row>
    <row r="168" spans="1:8">
      <c r="A168" s="330">
        <v>1900</v>
      </c>
      <c r="B168" s="651">
        <v>45100021</v>
      </c>
      <c r="C168" s="330" t="s">
        <v>396</v>
      </c>
      <c r="D168" s="330">
        <v>0</v>
      </c>
      <c r="E168" s="330">
        <v>0</v>
      </c>
      <c r="F168" s="330">
        <v>1510470</v>
      </c>
      <c r="G168" s="330">
        <v>0</v>
      </c>
      <c r="H168" s="330">
        <v>1510470</v>
      </c>
    </row>
    <row r="169" spans="1:8">
      <c r="A169" s="330">
        <v>1900</v>
      </c>
      <c r="B169" s="651">
        <v>45100052</v>
      </c>
      <c r="C169" s="330" t="s">
        <v>395</v>
      </c>
      <c r="D169" s="330">
        <v>0</v>
      </c>
      <c r="E169" s="330">
        <v>0</v>
      </c>
      <c r="F169" s="330">
        <v>1450574</v>
      </c>
      <c r="G169" s="330">
        <v>0</v>
      </c>
      <c r="H169" s="330">
        <v>1450574</v>
      </c>
    </row>
    <row r="170" spans="1:8">
      <c r="A170" s="330">
        <v>1900</v>
      </c>
      <c r="B170" s="651">
        <v>45100053</v>
      </c>
      <c r="C170" s="330" t="s">
        <v>394</v>
      </c>
      <c r="D170" s="330">
        <v>0</v>
      </c>
      <c r="E170" s="330">
        <v>0</v>
      </c>
      <c r="F170" s="330">
        <v>60446</v>
      </c>
      <c r="G170" s="330">
        <v>0</v>
      </c>
      <c r="H170" s="330">
        <v>60446</v>
      </c>
    </row>
    <row r="171" spans="1:8">
      <c r="A171" s="330">
        <v>1900</v>
      </c>
      <c r="B171" s="651">
        <v>45100054</v>
      </c>
      <c r="C171" s="330" t="s">
        <v>393</v>
      </c>
      <c r="D171" s="330">
        <v>0</v>
      </c>
      <c r="E171" s="330">
        <v>0</v>
      </c>
      <c r="F171" s="330">
        <v>60440</v>
      </c>
      <c r="G171" s="330">
        <v>0</v>
      </c>
      <c r="H171" s="330">
        <v>60440</v>
      </c>
    </row>
    <row r="172" spans="1:8">
      <c r="A172" s="330">
        <v>1900</v>
      </c>
      <c r="B172" s="651">
        <v>45100055</v>
      </c>
      <c r="C172" s="330" t="s">
        <v>392</v>
      </c>
      <c r="D172" s="330">
        <v>0</v>
      </c>
      <c r="E172" s="330">
        <v>0</v>
      </c>
      <c r="F172" s="330">
        <v>23678</v>
      </c>
      <c r="G172" s="330">
        <v>23678</v>
      </c>
      <c r="H172" s="330">
        <v>0</v>
      </c>
    </row>
    <row r="173" spans="1:8">
      <c r="A173" s="330">
        <v>1900</v>
      </c>
      <c r="B173" s="651">
        <v>45100056</v>
      </c>
      <c r="C173" s="330" t="s">
        <v>391</v>
      </c>
      <c r="D173" s="330">
        <v>0</v>
      </c>
      <c r="E173" s="330">
        <v>0</v>
      </c>
      <c r="F173" s="330">
        <v>13502</v>
      </c>
      <c r="G173" s="330">
        <v>13502</v>
      </c>
      <c r="H173" s="330">
        <v>0</v>
      </c>
    </row>
    <row r="174" spans="1:8">
      <c r="A174" s="330">
        <v>1900</v>
      </c>
      <c r="B174" s="651">
        <v>45100057</v>
      </c>
      <c r="C174" s="330" t="s">
        <v>239</v>
      </c>
      <c r="D174" s="330">
        <v>0</v>
      </c>
      <c r="E174" s="330">
        <v>0</v>
      </c>
      <c r="F174" s="330">
        <v>5000</v>
      </c>
      <c r="G174" s="330">
        <v>2500</v>
      </c>
      <c r="H174" s="330">
        <v>2500</v>
      </c>
    </row>
    <row r="175" spans="1:8">
      <c r="A175" s="330">
        <v>1900</v>
      </c>
      <c r="B175" s="651">
        <v>45100059</v>
      </c>
      <c r="C175" s="330" t="s">
        <v>390</v>
      </c>
      <c r="D175" s="330">
        <v>0</v>
      </c>
      <c r="E175" s="330">
        <v>0</v>
      </c>
      <c r="F175" s="330">
        <v>12525</v>
      </c>
      <c r="G175" s="330">
        <v>0</v>
      </c>
      <c r="H175" s="330">
        <v>12525</v>
      </c>
    </row>
    <row r="176" spans="1:8">
      <c r="A176" s="330">
        <v>1900</v>
      </c>
      <c r="B176" s="651">
        <v>45200001</v>
      </c>
      <c r="C176" s="330" t="s">
        <v>456</v>
      </c>
      <c r="D176" s="330">
        <v>0</v>
      </c>
      <c r="E176" s="330">
        <v>0</v>
      </c>
      <c r="F176" s="330">
        <v>816666.94</v>
      </c>
      <c r="G176" s="330">
        <v>391553</v>
      </c>
      <c r="H176" s="330">
        <v>425113.94</v>
      </c>
    </row>
    <row r="177" spans="1:8">
      <c r="A177" s="330">
        <v>1900</v>
      </c>
      <c r="B177" s="651">
        <v>45200003</v>
      </c>
      <c r="C177" s="330" t="s">
        <v>377</v>
      </c>
      <c r="D177" s="330">
        <v>0</v>
      </c>
      <c r="E177" s="330">
        <v>0</v>
      </c>
      <c r="F177" s="330">
        <v>64593.2</v>
      </c>
      <c r="G177" s="330">
        <v>14451</v>
      </c>
      <c r="H177" s="330">
        <v>50142.2</v>
      </c>
    </row>
    <row r="178" spans="1:8">
      <c r="A178" s="330">
        <v>1900</v>
      </c>
      <c r="B178" s="651">
        <v>45200004</v>
      </c>
      <c r="C178" s="330" t="s">
        <v>235</v>
      </c>
      <c r="D178" s="330">
        <v>0</v>
      </c>
      <c r="E178" s="330">
        <v>0</v>
      </c>
      <c r="F178" s="330">
        <v>765000</v>
      </c>
      <c r="G178" s="330">
        <v>380000</v>
      </c>
      <c r="H178" s="330">
        <v>385000</v>
      </c>
    </row>
    <row r="179" spans="1:8">
      <c r="A179" s="330">
        <v>1900</v>
      </c>
      <c r="B179" s="651">
        <v>45200005</v>
      </c>
      <c r="C179" s="330" t="s">
        <v>233</v>
      </c>
      <c r="D179" s="330">
        <v>0</v>
      </c>
      <c r="E179" s="330">
        <v>0</v>
      </c>
      <c r="F179" s="330">
        <v>451548.28</v>
      </c>
      <c r="G179" s="330">
        <v>50974.99</v>
      </c>
      <c r="H179" s="330">
        <v>400573.29</v>
      </c>
    </row>
    <row r="180" spans="1:8">
      <c r="A180" s="330">
        <v>1900</v>
      </c>
      <c r="B180" s="651">
        <v>45200006</v>
      </c>
      <c r="C180" s="330" t="s">
        <v>231</v>
      </c>
      <c r="D180" s="330">
        <v>0</v>
      </c>
      <c r="E180" s="330">
        <v>0</v>
      </c>
      <c r="F180" s="330">
        <v>34.36</v>
      </c>
      <c r="G180" s="330">
        <v>13.04</v>
      </c>
      <c r="H180" s="330">
        <v>21.32</v>
      </c>
    </row>
    <row r="181" spans="1:8">
      <c r="A181" s="330">
        <v>1900</v>
      </c>
      <c r="B181" s="651">
        <v>45200007</v>
      </c>
      <c r="C181" s="330" t="s">
        <v>5965</v>
      </c>
      <c r="D181" s="330">
        <v>0</v>
      </c>
      <c r="E181" s="330">
        <v>0</v>
      </c>
      <c r="F181" s="330">
        <v>372851.06</v>
      </c>
      <c r="G181" s="330">
        <v>16271.18</v>
      </c>
      <c r="H181" s="330">
        <v>356579.88</v>
      </c>
    </row>
    <row r="182" spans="1:8">
      <c r="A182" s="330">
        <v>1900</v>
      </c>
      <c r="B182" s="651">
        <v>45200023</v>
      </c>
      <c r="C182" s="330" t="s">
        <v>389</v>
      </c>
      <c r="D182" s="330">
        <v>0</v>
      </c>
      <c r="E182" s="330">
        <v>0</v>
      </c>
      <c r="F182" s="330">
        <v>6562</v>
      </c>
      <c r="G182" s="330">
        <v>0</v>
      </c>
      <c r="H182" s="330">
        <v>6562</v>
      </c>
    </row>
    <row r="183" spans="1:8">
      <c r="A183" s="330">
        <v>1900</v>
      </c>
      <c r="B183" s="651">
        <v>45200029</v>
      </c>
      <c r="C183" s="330" t="s">
        <v>236</v>
      </c>
      <c r="D183" s="330">
        <v>0</v>
      </c>
      <c r="E183" s="330">
        <v>0</v>
      </c>
      <c r="F183" s="330">
        <v>580000</v>
      </c>
      <c r="G183" s="330">
        <v>380000</v>
      </c>
      <c r="H183" s="330">
        <v>200000</v>
      </c>
    </row>
    <row r="184" spans="1:8">
      <c r="A184" s="330">
        <v>1900</v>
      </c>
      <c r="B184" s="651">
        <v>45300001</v>
      </c>
      <c r="C184" s="330" t="s">
        <v>243</v>
      </c>
      <c r="D184" s="330">
        <v>0</v>
      </c>
      <c r="E184" s="330">
        <v>0</v>
      </c>
      <c r="F184" s="330">
        <v>2134629.0299999998</v>
      </c>
      <c r="G184" s="330">
        <v>239957.07</v>
      </c>
      <c r="H184" s="330">
        <v>1894671.96</v>
      </c>
    </row>
    <row r="185" spans="1:8">
      <c r="A185" s="330">
        <v>1900</v>
      </c>
      <c r="B185" s="651">
        <v>45300002</v>
      </c>
      <c r="C185" s="330" t="s">
        <v>244</v>
      </c>
      <c r="D185" s="330">
        <v>0</v>
      </c>
      <c r="E185" s="330">
        <v>0</v>
      </c>
      <c r="F185" s="330">
        <v>2134629.0299999998</v>
      </c>
      <c r="G185" s="330">
        <v>239957.07</v>
      </c>
      <c r="H185" s="330">
        <v>1894671.96</v>
      </c>
    </row>
    <row r="186" spans="1:8">
      <c r="A186" s="330">
        <v>1900</v>
      </c>
      <c r="B186" s="651">
        <v>45300003</v>
      </c>
      <c r="C186" s="330" t="s">
        <v>245</v>
      </c>
      <c r="D186" s="330">
        <v>0</v>
      </c>
      <c r="E186" s="330">
        <v>0</v>
      </c>
      <c r="F186" s="330">
        <v>64028.52</v>
      </c>
      <c r="G186" s="330">
        <v>64028.52</v>
      </c>
      <c r="H186" s="330">
        <v>0</v>
      </c>
    </row>
    <row r="187" spans="1:8">
      <c r="A187" s="330">
        <v>1900</v>
      </c>
      <c r="B187" s="651">
        <v>45300021</v>
      </c>
      <c r="C187" s="330" t="s">
        <v>388</v>
      </c>
      <c r="D187" s="330">
        <v>0</v>
      </c>
      <c r="E187" s="330">
        <v>0</v>
      </c>
      <c r="F187" s="330">
        <v>305998</v>
      </c>
      <c r="G187" s="330">
        <v>0</v>
      </c>
      <c r="H187" s="330">
        <v>305998</v>
      </c>
    </row>
    <row r="188" spans="1:8">
      <c r="A188" s="330">
        <v>1900</v>
      </c>
      <c r="B188" s="651">
        <v>45400001</v>
      </c>
      <c r="C188" s="330" t="s">
        <v>248</v>
      </c>
      <c r="D188" s="330">
        <v>0</v>
      </c>
      <c r="E188" s="330">
        <v>0</v>
      </c>
      <c r="F188" s="330">
        <v>16427281.98</v>
      </c>
      <c r="G188" s="330">
        <v>721799</v>
      </c>
      <c r="H188" s="330">
        <v>15705482.98</v>
      </c>
    </row>
    <row r="189" spans="1:8">
      <c r="A189" s="330">
        <v>1900</v>
      </c>
      <c r="B189" s="651">
        <v>45400002</v>
      </c>
      <c r="C189" s="330" t="s">
        <v>387</v>
      </c>
      <c r="D189" s="330">
        <v>0</v>
      </c>
      <c r="E189" s="330">
        <v>0</v>
      </c>
      <c r="F189" s="330">
        <v>1344000</v>
      </c>
      <c r="G189" s="330">
        <v>0</v>
      </c>
      <c r="H189" s="330">
        <v>1344000</v>
      </c>
    </row>
    <row r="190" spans="1:8">
      <c r="A190" s="330">
        <v>1900</v>
      </c>
      <c r="B190" s="651">
        <v>45400011</v>
      </c>
      <c r="C190" s="330" t="s">
        <v>250</v>
      </c>
      <c r="D190" s="330">
        <v>0</v>
      </c>
      <c r="E190" s="330">
        <v>0</v>
      </c>
      <c r="F190" s="330">
        <v>1886929.64</v>
      </c>
      <c r="G190" s="330">
        <v>0</v>
      </c>
      <c r="H190" s="330">
        <v>1886929.64</v>
      </c>
    </row>
    <row r="191" spans="1:8">
      <c r="A191" s="330">
        <v>1900</v>
      </c>
      <c r="B191" s="651">
        <v>45400014</v>
      </c>
      <c r="C191" s="330" t="s">
        <v>252</v>
      </c>
      <c r="D191" s="330">
        <v>0</v>
      </c>
      <c r="E191" s="330">
        <v>0</v>
      </c>
      <c r="F191" s="330">
        <v>2490972.88</v>
      </c>
      <c r="G191" s="330">
        <v>0</v>
      </c>
      <c r="H191" s="330">
        <v>2490972.88</v>
      </c>
    </row>
    <row r="192" spans="1:8">
      <c r="A192" s="330">
        <v>1900</v>
      </c>
      <c r="B192" s="651">
        <v>45400016</v>
      </c>
      <c r="C192" s="330" t="s">
        <v>253</v>
      </c>
      <c r="D192" s="330">
        <v>0</v>
      </c>
      <c r="E192" s="330">
        <v>0</v>
      </c>
      <c r="F192" s="330">
        <v>1080115.26</v>
      </c>
      <c r="G192" s="330">
        <v>0</v>
      </c>
      <c r="H192" s="330">
        <v>1080115.26</v>
      </c>
    </row>
    <row r="193" spans="1:8">
      <c r="A193" s="330">
        <v>1900</v>
      </c>
      <c r="B193" s="651">
        <v>45400018</v>
      </c>
      <c r="C193" s="330" t="s">
        <v>484</v>
      </c>
      <c r="D193" s="330">
        <v>0</v>
      </c>
      <c r="E193" s="330">
        <v>0</v>
      </c>
      <c r="F193" s="330">
        <v>15360</v>
      </c>
      <c r="G193" s="330">
        <v>0</v>
      </c>
      <c r="H193" s="330">
        <v>15360</v>
      </c>
    </row>
    <row r="194" spans="1:8">
      <c r="A194" s="330">
        <v>1900</v>
      </c>
      <c r="B194" s="651">
        <v>45400020</v>
      </c>
      <c r="C194" s="330" t="s">
        <v>254</v>
      </c>
      <c r="D194" s="330">
        <v>0</v>
      </c>
      <c r="E194" s="330">
        <v>0</v>
      </c>
      <c r="F194" s="330">
        <v>300000</v>
      </c>
      <c r="G194" s="330">
        <v>50000</v>
      </c>
      <c r="H194" s="330">
        <v>250000</v>
      </c>
    </row>
    <row r="195" spans="1:8">
      <c r="A195" s="330">
        <v>1900</v>
      </c>
      <c r="B195" s="651">
        <v>45510008</v>
      </c>
      <c r="C195" s="330" t="s">
        <v>386</v>
      </c>
      <c r="D195" s="330">
        <v>0</v>
      </c>
      <c r="E195" s="330">
        <v>0</v>
      </c>
      <c r="F195" s="330">
        <v>1993971</v>
      </c>
      <c r="G195" s="330">
        <v>0</v>
      </c>
      <c r="H195" s="330">
        <v>1993971</v>
      </c>
    </row>
    <row r="196" spans="1:8">
      <c r="A196" s="330">
        <v>1900</v>
      </c>
      <c r="B196" s="651">
        <v>45510051</v>
      </c>
      <c r="C196" s="330" t="s">
        <v>230</v>
      </c>
      <c r="D196" s="330">
        <v>0</v>
      </c>
      <c r="E196" s="330">
        <v>0</v>
      </c>
      <c r="F196" s="330">
        <v>1040410.66</v>
      </c>
      <c r="G196" s="330">
        <v>1005926.56</v>
      </c>
      <c r="H196" s="330">
        <v>34484.1</v>
      </c>
    </row>
    <row r="197" spans="1:8">
      <c r="A197" s="330">
        <v>1900</v>
      </c>
      <c r="B197" s="651">
        <v>45510053</v>
      </c>
      <c r="C197" s="330" t="s">
        <v>485</v>
      </c>
      <c r="D197" s="330">
        <v>0</v>
      </c>
      <c r="E197" s="330">
        <v>0</v>
      </c>
      <c r="F197" s="330">
        <v>1000000</v>
      </c>
      <c r="G197" s="330">
        <v>0</v>
      </c>
      <c r="H197" s="330">
        <v>1000000</v>
      </c>
    </row>
    <row r="198" spans="1:8">
      <c r="A198" s="330">
        <v>1900</v>
      </c>
      <c r="B198" s="651">
        <v>45520001</v>
      </c>
      <c r="C198" s="330" t="s">
        <v>226</v>
      </c>
      <c r="D198" s="330">
        <v>0</v>
      </c>
      <c r="E198" s="330">
        <v>0</v>
      </c>
      <c r="F198" s="330">
        <v>67296060.400000006</v>
      </c>
      <c r="G198" s="330">
        <v>6415229</v>
      </c>
      <c r="H198" s="330">
        <v>60880831.399999999</v>
      </c>
    </row>
    <row r="199" spans="1:8">
      <c r="A199" s="330">
        <v>1900</v>
      </c>
      <c r="B199" s="651">
        <v>45520021</v>
      </c>
      <c r="C199" s="330" t="s">
        <v>545</v>
      </c>
      <c r="D199" s="330">
        <v>0</v>
      </c>
      <c r="E199" s="330">
        <v>0</v>
      </c>
      <c r="F199" s="330">
        <v>86645</v>
      </c>
      <c r="G199" s="330">
        <v>0</v>
      </c>
      <c r="H199" s="330">
        <v>86645</v>
      </c>
    </row>
    <row r="200" spans="1:8">
      <c r="A200" s="330">
        <v>1900</v>
      </c>
      <c r="B200" s="651">
        <v>45520023</v>
      </c>
      <c r="C200" s="330" t="s">
        <v>385</v>
      </c>
      <c r="D200" s="330">
        <v>0</v>
      </c>
      <c r="E200" s="330">
        <v>0</v>
      </c>
      <c r="F200" s="330">
        <v>17875</v>
      </c>
      <c r="G200" s="330">
        <v>0</v>
      </c>
      <c r="H200" s="330">
        <v>17875</v>
      </c>
    </row>
    <row r="201" spans="1:8">
      <c r="A201" s="330">
        <v>1900</v>
      </c>
      <c r="B201" s="651">
        <v>45520026</v>
      </c>
      <c r="C201" s="330" t="s">
        <v>486</v>
      </c>
      <c r="D201" s="330">
        <v>0</v>
      </c>
      <c r="E201" s="330">
        <v>0</v>
      </c>
      <c r="F201" s="330">
        <v>0</v>
      </c>
      <c r="G201" s="330">
        <v>1910</v>
      </c>
      <c r="H201" s="330">
        <v>-1910</v>
      </c>
    </row>
    <row r="202" spans="1:8">
      <c r="A202" s="330">
        <v>1900</v>
      </c>
      <c r="B202" s="651">
        <v>45600006</v>
      </c>
      <c r="C202" s="330" t="s">
        <v>469</v>
      </c>
      <c r="D202" s="330">
        <v>0</v>
      </c>
      <c r="E202" s="330">
        <v>0</v>
      </c>
      <c r="F202" s="330">
        <v>14576.15</v>
      </c>
      <c r="G202" s="330">
        <v>0</v>
      </c>
      <c r="H202" s="330">
        <v>14576.15</v>
      </c>
    </row>
  </sheetData>
  <autoFilter ref="A3:H20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6</vt:i4>
      </vt:variant>
    </vt:vector>
  </HeadingPairs>
  <TitlesOfParts>
    <vt:vector size="22" baseType="lpstr">
      <vt:lpstr>Observation</vt:lpstr>
      <vt:lpstr>BS</vt:lpstr>
      <vt:lpstr>PL</vt:lpstr>
      <vt:lpstr>Cashflow</vt:lpstr>
      <vt:lpstr>Sheet1 (2)</vt:lpstr>
      <vt:lpstr>WIP Final</vt:lpstr>
      <vt:lpstr>Notes</vt:lpstr>
      <vt:lpstr>ESC</vt:lpstr>
      <vt:lpstr>Note-4</vt:lpstr>
      <vt:lpstr>Dep &amp; DTA DTL</vt:lpstr>
      <vt:lpstr>Customer Reco details</vt:lpstr>
      <vt:lpstr>Customer</vt:lpstr>
      <vt:lpstr>SAP Cross Check</vt:lpstr>
      <vt:lpstr>Raw TB_26.04.2026 (SAP Paste)</vt:lpstr>
      <vt:lpstr>TB_31.03.2026 (Links)</vt:lpstr>
      <vt:lpstr>TB</vt:lpstr>
      <vt:lpstr>BS!Print_Area</vt:lpstr>
      <vt:lpstr>'Dep &amp; DTA DTL'!Print_Area</vt:lpstr>
      <vt:lpstr>ESC!Print_Area</vt:lpstr>
      <vt:lpstr>'Note-4'!Print_Area</vt:lpstr>
      <vt:lpstr>Notes!Print_Area</vt:lpstr>
      <vt:lpstr>PL!Print_Area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cp:lastPrinted>2026-05-27T17:17:22Z</cp:lastPrinted>
  <dcterms:created xsi:type="dcterms:W3CDTF">2026-02-27T05:44:42Z</dcterms:created>
  <dcterms:modified xsi:type="dcterms:W3CDTF">2026-07-29T05:51:37Z</dcterms:modified>
</cp:coreProperties>
</file>

<file path=userCustomization/customUI.xml><?xml version="1.0" encoding="utf-8"?>
<mso:customUI xmlns:mso="http://schemas.microsoft.com/office/2006/01/customui">
  <mso:ribbon>
    <mso:qat>
      <mso:documentControls>
        <mso:control idQ="mso:ReviewShareWorkbookLegacy" visible="true"/>
      </mso:documentControls>
    </mso:qat>
  </mso:ribbon>
</mso:customUI>
</file>